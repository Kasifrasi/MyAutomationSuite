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tables/table66.xml" ContentType="application/vnd.openxmlformats-officedocument.spreadsheetml.table+xml"/>
  <Override PartName="/xl/tables/table64.xml" ContentType="application/vnd.openxmlformats-officedocument.spreadsheetml.table+xml"/>
  <Override PartName="/xl/tables/table60.xml" ContentType="application/vnd.openxmlformats-officedocument.spreadsheetml.table+xml"/>
  <Override PartName="/xl/tables/table59.xml" ContentType="application/vnd.openxmlformats-officedocument.spreadsheetml.table+xml"/>
  <Override PartName="/xl/tables/table75.xml" ContentType="application/vnd.openxmlformats-officedocument.spreadsheetml.table+xml"/>
  <Override PartName="/xl/tables/table71.xml" ContentType="application/vnd.openxmlformats-officedocument.spreadsheetml.table+xml"/>
  <Override PartName="/xl/tables/table70.xml" ContentType="application/vnd.openxmlformats-officedocument.spreadsheetml.table+xml"/>
  <Override PartName="/xl/tables/table68.xml" ContentType="application/vnd.openxmlformats-officedocument.spreadsheetml.table+xml"/>
  <Override PartName="/xl/tables/table58.xml" ContentType="application/vnd.openxmlformats-officedocument.spreadsheetml.table+xml"/>
  <Override PartName="/xl/worksheets/sheet5.xml" ContentType="application/vnd.openxmlformats-officedocument.spreadsheetml.worksheet+xml"/>
  <Override PartName="/xl/tables/table12.xml" ContentType="application/vnd.openxmlformats-officedocument.spreadsheetml.table+xml"/>
  <Override PartName="/xl/tables/table62.xml" ContentType="application/vnd.openxmlformats-officedocument.spreadsheetml.table+xml"/>
  <Override PartName="/xl/tables/table11.xml" ContentType="application/vnd.openxmlformats-officedocument.spreadsheetml.table+xml"/>
  <Override PartName="/xl/tables/table57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4.xml" ContentType="application/vnd.openxmlformats-officedocument.spreadsheetml.table+xml"/>
  <Override PartName="/xl/tables/table49.xml" ContentType="application/vnd.openxmlformats-officedocument.spreadsheetml.table+xml"/>
  <Override PartName="/xl/tables/table9.xml" ContentType="application/vnd.openxmlformats-officedocument.spreadsheetml.table+xml"/>
  <Override PartName="/xl/tables/table48.xml" ContentType="application/vnd.openxmlformats-officedocument.spreadsheetml.table+xml"/>
  <Override PartName="/xl/tables/table53.xml" ContentType="application/vnd.openxmlformats-officedocument.spreadsheetml.table+xml"/>
  <Override PartName="/xl/tables/table47.xml" ContentType="application/vnd.openxmlformats-officedocument.spreadsheetml.table+xml"/>
  <Override PartName="/xl/tables/table46.xml" ContentType="application/vnd.openxmlformats-officedocument.spreadsheetml.table+xml"/>
  <Override PartName="/xl/tables/table63.xml" ContentType="application/vnd.openxmlformats-officedocument.spreadsheetml.table+xml"/>
  <Override PartName="/xl/tables/table44.xml" ContentType="application/vnd.openxmlformats-officedocument.spreadsheetml.table+xml"/>
  <Override PartName="/xl/tables/table69.xml" ContentType="application/vnd.openxmlformats-officedocument.spreadsheetml.table+xml"/>
  <Override PartName="/xl/tables/table21.xml" ContentType="application/vnd.openxmlformats-officedocument.spreadsheetml.table+xml"/>
  <Override PartName="/xl/tables/table50.xml" ContentType="application/vnd.openxmlformats-officedocument.spreadsheetml.table+xml"/>
  <Override PartName="/xl/tables/table20.xml" ContentType="application/vnd.openxmlformats-officedocument.spreadsheetml.table+xml"/>
  <Override PartName="/xl/tables/table18.xml" ContentType="application/vnd.openxmlformats-officedocument.spreadsheetml.table+xml"/>
  <Override PartName="/xl/sharedStrings.xml" ContentType="application/vnd.openxmlformats-officedocument.spreadsheetml.sharedStrings+xml"/>
  <Override PartName="/xl/tables/table14.xml" ContentType="application/vnd.openxmlformats-officedocument.spreadsheetml.table+xml"/>
  <Override PartName="/xl/tables/table61.xml" ContentType="application/vnd.openxmlformats-officedocument.spreadsheetml.table+xml"/>
  <Override PartName="/xl/tables/table74.xml" ContentType="application/vnd.openxmlformats-officedocument.spreadsheetml.table+xml"/>
  <Override PartName="/xl/tables/table45.xml" ContentType="application/vnd.openxmlformats-officedocument.spreadsheetml.table+xml"/>
  <Override PartName="/xl/tables/table29.xml" ContentType="application/vnd.openxmlformats-officedocument.spreadsheetml.table+xml"/>
  <Override PartName="/xl/tables/table13.xml" ContentType="application/vnd.openxmlformats-officedocument.spreadsheetml.table+xml"/>
  <Override PartName="/xl/workbook.xml" ContentType="application/vnd.openxmlformats-officedocument.spreadsheetml.sheet.main+xml"/>
  <Override PartName="/xl/tables/table4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52.xml" ContentType="application/vnd.openxmlformats-officedocument.spreadsheetml.table+xml"/>
  <Override PartName="/xl/tables/table51.xml" ContentType="application/vnd.openxmlformats-officedocument.spreadsheetml.table+xml"/>
  <Override PartName="/xl/worksheets/sheet4.xml" ContentType="application/vnd.openxmlformats-officedocument.spreadsheetml.worksheet+xml"/>
  <Override PartName="/xl/tables/table22.xml" ContentType="application/vnd.openxmlformats-officedocument.spreadsheetml.table+xml"/>
  <Override PartName="/xl/tables/table38.xml" ContentType="application/vnd.openxmlformats-officedocument.spreadsheetml.table+xml"/>
  <Override PartName="/xl/tables/table7.xml" ContentType="application/vnd.openxmlformats-officedocument.spreadsheetml.table+xml"/>
  <Override PartName="/xl/tables/table67.xml" ContentType="application/vnd.openxmlformats-officedocument.spreadsheetml.table+xml"/>
  <Override PartName="/docProps/app.xml" ContentType="application/vnd.openxmlformats-officedocument.extended-properties+xml"/>
  <Override PartName="/xl/tables/table73.xml" ContentType="application/vnd.openxmlformats-officedocument.spreadsheetml.table+xml"/>
  <Override PartName="/xl/tables/table16.xml" ContentType="application/vnd.openxmlformats-officedocument.spreadsheetml.table+xml"/>
  <Override PartName="/xl/styles.xml" ContentType="application/vnd.openxmlformats-officedocument.spreadsheetml.styles+xml"/>
  <Override PartName="/xl/tables/table37.xml" ContentType="application/vnd.openxmlformats-officedocument.spreadsheetml.table+xml"/>
  <Override PartName="/xl/tables/table10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8.xml" ContentType="application/vnd.openxmlformats-officedocument.spreadsheetml.table+xml"/>
  <Override PartName="/xl/tables/table25.xml" ContentType="application/vnd.openxmlformats-officedocument.spreadsheetml.table+xml"/>
  <Override PartName="/xl/tables/table19.xml" ContentType="application/vnd.openxmlformats-officedocument.spreadsheetml.tabl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ables/table32.xml" ContentType="application/vnd.openxmlformats-officedocument.spreadsheetml.table+xml"/>
  <Override PartName="/xl/tables/table17.xml" ContentType="application/vnd.openxmlformats-officedocument.spreadsheetml.table+xml"/>
  <Override PartName="/xl/tables/table5.xml" ContentType="application/vnd.openxmlformats-officedocument.spreadsheetml.table+xml"/>
  <Override PartName="/xl/tables/table23.xml" ContentType="application/vnd.openxmlformats-officedocument.spreadsheetml.table+xml"/>
  <Override PartName="/xl/tables/table28.xml" ContentType="application/vnd.openxmlformats-officedocument.spreadsheetml.table+xml"/>
  <Override PartName="/docProps/core.xml" ContentType="application/vnd.openxmlformats-package.core-properties+xml"/>
  <Override PartName="/xl/tables/table26.xml" ContentType="application/vnd.openxmlformats-officedocument.spreadsheetml.table+xml"/>
  <Override PartName="/xl/tables/table15.xml" ContentType="application/vnd.openxmlformats-officedocument.spreadsheetml.table+xml"/>
  <Override PartName="/xl/tables/table39.xml" ContentType="application/vnd.openxmlformats-officedocument.spreadsheetml.table+xml"/>
  <Override PartName="/xl/tables/table27.xml" ContentType="application/vnd.openxmlformats-officedocument.spreadsheetml.table+xml"/>
  <Override PartName="/xl/tables/table30.xml" ContentType="application/vnd.openxmlformats-officedocument.spreadsheetml.table+xml"/>
  <Override PartName="/xl/tables/table72.xml" ContentType="application/vnd.openxmlformats-officedocument.spreadsheetml.table+xml"/>
  <Override PartName="/xl/tables/table31.xml" ContentType="application/vnd.openxmlformats-officedocument.spreadsheetml.table+xml"/>
  <Override PartName="/xl/tables/table6.xml" ContentType="application/vnd.openxmlformats-officedocument.spreadsheetml.table+xml"/>
  <Override PartName="/xl/tables/table36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43.xml" ContentType="application/vnd.openxmlformats-officedocument.spreadsheetml.table+xml"/>
  <Override PartName="/xl/tables/table35.xml" ContentType="application/vnd.openxmlformats-officedocument.spreadsheetml.table+xml"/>
  <Override PartName="/xl/tables/table40.xml" ContentType="application/vnd.openxmlformats-officedocument.spreadsheetml.table+xml"/>
  <Override PartName="/xl/tables/table65.xml" ContentType="application/vnd.openxmlformats-officedocument.spreadsheetml.table+xml"/>
  <Override PartName="/xl/tables/table24.xml" ContentType="application/vnd.openxmlformats-officedocument.spreadsheetml.table+xml"/>
  <Override PartName="/xl/tables/table4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6"/>
  </bookViews>
  <sheets>
    <sheet name="Dashboard" sheetId="1" state="visible" r:id="rId1"/>
    <sheet name="I. Budget" sheetId="2" state="visible" r:id="rId2"/>
    <sheet name="II. KMW-Mittel" sheetId="3" state="visible" r:id="rId3"/>
    <sheet name="III. Finanzberichte" sheetId="4" state="visible" r:id="rId4"/>
    <sheet name="IV. MA" sheetId="5" state="visible" r:id="rId5"/>
    <sheet name="V. AUSWERTUNG" sheetId="6" state="visible" r:id="rId6"/>
    <sheet name="Daten" sheetId="7" state="visible" r:id="rId7"/>
  </sheets>
  <definedNames>
    <definedName name="Saldovortrag_LW">Dashboard!$C$14</definedName>
    <definedName name="Saldovortrag_EUR">Dashboard!$E$14</definedName>
    <definedName name="Budget_Kurs">'I. Budget'!$H$4</definedName>
    <definedName name="Eigenmittel_LW">'I. Budget'!$E$7</definedName>
    <definedName name="Eigenmittel_EUR">'I. Budget'!$I$7</definedName>
    <definedName name="Drittmittel_LW">'I. Budget'!$E$10</definedName>
    <definedName name="Drittmittel_EUR">'I. Budget'!$I$10</definedName>
    <definedName name="KMW_Mittel_LW">'I. Budget'!$E$13</definedName>
    <definedName name="KMW_Mittel_EUR">'I. Budget'!$I$13</definedName>
    <definedName name="Gesamtprojektmittel_LW">'I. Budget'!$E$15</definedName>
    <definedName name="Gesamtprojektmittel_EUR">'I. Budget'!$I$15</definedName>
    <definedName name="Kosten_Bauausgaben_LW">'I. Budget'!$O$4</definedName>
    <definedName name="Kosten_Bauausgaben_EUR">'I. Budget'!$P$4</definedName>
    <definedName name="Kosten_Investitionen_LW">'I. Budget'!$O$5</definedName>
    <definedName name="Kosten_Investitionen_EUR">'I. Budget'!$P$5</definedName>
    <definedName name="Kosten_Personalkosten_LW">'I. Budget'!$O$6</definedName>
    <definedName name="Kosten_Personalkosten_EUR">'I. Budget'!$P$6</definedName>
    <definedName name="Kosten_Projektaktivitaeten_LW">'I. Budget'!$O$7</definedName>
    <definedName name="Kosten_Projektaktivitaeten_EUR">'I. Budget'!$P$7</definedName>
    <definedName name="Kosten_Projektverwaltung_LW">'I. Budget'!$O$8</definedName>
    <definedName name="Kosten_Projektverwaltung_EUR">'I. Budget'!$P$8</definedName>
    <definedName name="Kosten_Evaluierung_LW">'I. Budget'!$O$9</definedName>
    <definedName name="Kosten_Evaluierung_EUR">'I. Budget'!$P$9</definedName>
    <definedName name="Kosten_Audit_LW">'I. Budget'!$O$10</definedName>
    <definedName name="Kosten_Audit_EUR">'I. Budget'!$P$10</definedName>
    <definedName name="Kosten_Reserve_LW">'I. Budget'!$O$11</definedName>
    <definedName name="Kosten_Reserve_EUR">'I. Budget'!$P$11</definedName>
    <definedName name="Gesamtausgaben_LW">'I. Budget'!$O$12</definedName>
    <definedName name="Gesamtausgaben_EUR">'I. Budget'!$P$12</definedName>
    <definedName name="Budget_ID_Liste">OFFSET('I. Budget'!$S$1,0,0,COUNTA('I. Budget'!S:S),1)</definedName>
    <definedName name="Geber_Liste">OFFSET('I. Budget'!$K$19,0,0,MAX(1,COUNTA('I. Budget'!$K$19:$K$19)),1)</definedName>
    <definedName name="Reserve_Freigabe">'I. Budget'!$K$5</definedName>
    <definedName name="FB_Kurs_1">'III. Finanzberichte'!$C$8</definedName>
    <definedName name="FB_SaldoLC_1">'III. Finanzberichte'!$C$104</definedName>
    <definedName name="FB_SaldoEUR_1">'III. Finanzberichte'!$D$104</definedName>
    <definedName name="FB_Kurs_2">'III. Finanzberichte'!$J$8</definedName>
    <definedName name="FB_SaldoLC_2">'III. Finanzberichte'!$J$104</definedName>
    <definedName name="FB_SaldoEUR_2">'III. Finanzberichte'!$K$104</definedName>
    <definedName name="FB_Kurs_3">'III. Finanzberichte'!$Q$8</definedName>
    <definedName name="FB_SaldoLC_3">'III. Finanzberichte'!$Q$104</definedName>
    <definedName name="FB_SaldoEUR_3">'III. Finanzberichte'!$R$104</definedName>
    <definedName name="FB_Kurs_4">'III. Finanzberichte'!$X$8</definedName>
    <definedName name="FB_SaldoLC_4">'III. Finanzberichte'!$X$104</definedName>
    <definedName name="FB_SaldoEUR_4">'III. Finanzberichte'!$Y$104</definedName>
    <definedName name="FB_Kurs_5">'III. Finanzberichte'!$AE$8</definedName>
    <definedName name="FB_SaldoLC_5">'III. Finanzberichte'!$AE$104</definedName>
    <definedName name="FB_SaldoEUR_5">'III. Finanzberichte'!$AF$104</definedName>
    <definedName name="FB_Kurs_6">'III. Finanzberichte'!$AL$8</definedName>
    <definedName name="FB_SaldoLC_6">'III. Finanzberichte'!$AL$104</definedName>
    <definedName name="FB_SaldoEUR_6">'III. Finanzberichte'!$AM$104</definedName>
    <definedName name="FB_Kurs_7">'III. Finanzberichte'!$AS$8</definedName>
    <definedName name="FB_SaldoLC_7">'III. Finanzberichte'!$AS$104</definedName>
    <definedName name="FB_SaldoEUR_7">'III. Finanzberichte'!$AT$104</definedName>
    <definedName name="FB_Kurs_8">'III. Finanzberichte'!$AZ$8</definedName>
    <definedName name="FB_SaldoLC_8">'III. Finanzberichte'!$AZ$104</definedName>
    <definedName name="FB_SaldoEUR_8">'III. Finanzberichte'!$BA$104</definedName>
    <definedName name="FB_Kurs_9">'III. Finanzberichte'!$BG$8</definedName>
    <definedName name="FB_SaldoLC_9">'III. Finanzberichte'!$BG$104</definedName>
    <definedName name="FB_SaldoEUR_9">'III. Finanzberichte'!$BH$104</definedName>
    <definedName name="FB_Kurs_10">'III. Finanzberichte'!$BN$8</definedName>
    <definedName name="FB_SaldoLC_10">'III. Finanzberichte'!$BN$104</definedName>
    <definedName name="FB_SaldoEUR_10">'III. Finanzberichte'!$BO$104</definedName>
    <definedName name="FB_Kurs_11">'III. Finanzberichte'!$BU$8</definedName>
    <definedName name="FB_SaldoLC_11">'III. Finanzberichte'!$BU$104</definedName>
    <definedName name="FB_SaldoEUR_11">'III. Finanzberichte'!$BV$104</definedName>
    <definedName name="FB_Kurs_12">'III. Finanzberichte'!$CB$8</definedName>
    <definedName name="FB_SaldoLC_12">'III. Finanzberichte'!$CB$104</definedName>
    <definedName name="FB_SaldoEUR_12">'III. Finanzberichte'!$CC$104</definedName>
    <definedName name="FB_Kurs_13">'III. Finanzberichte'!$CI$8</definedName>
    <definedName name="FB_SaldoLC_13">'III. Finanzberichte'!$CI$104</definedName>
    <definedName name="FB_SaldoEUR_13">'III. Finanzberichte'!$CJ$104</definedName>
    <definedName name="FB_Kurs_14">'III. Finanzberichte'!$CP$8</definedName>
    <definedName name="FB_SaldoLC_14">'III. Finanzberichte'!$CP$104</definedName>
    <definedName name="FB_SaldoEUR_14">'III. Finanzberichte'!$CQ$104</definedName>
    <definedName name="FB_Kurs_15">'III. Finanzberichte'!$CW$8</definedName>
    <definedName name="FB_SaldoLC_15">'III. Finanzberichte'!$CW$104</definedName>
    <definedName name="FB_SaldoEUR_15">'III. Finanzberichte'!$CX$104</definedName>
    <definedName name="FB_Kurs_16">'III. Finanzberichte'!$DD$8</definedName>
    <definedName name="FB_SaldoLC_16">'III. Finanzberichte'!$DD$104</definedName>
    <definedName name="FB_SaldoEUR_16">'III. Finanzberichte'!$DE$104</definedName>
    <definedName name="FB_Kurs_17">'III. Finanzberichte'!$DK$8</definedName>
    <definedName name="FB_SaldoLC_17">'III. Finanzberichte'!$DK$104</definedName>
    <definedName name="FB_SaldoEUR_17">'III. Finanzberichte'!$DL$104</definedName>
    <definedName name="FB_Kurs_18">'III. Finanzberichte'!$DR$8</definedName>
    <definedName name="FB_SaldoLC_18">'III. Finanzberichte'!$DR$104</definedName>
    <definedName name="FB_SaldoEUR_18">'III. Finanzberichte'!$DS$104</definedName>
    <definedName name="MA_Kurs_1">'IV. MA'!$C$8</definedName>
    <definedName name="MA_ManBetrag_1">'IV. MA'!$D$27</definedName>
    <definedName name="MA_Kurs_2">'IV. MA'!$G$8</definedName>
    <definedName name="MA_ManBetrag_2">'IV. MA'!$H$27</definedName>
    <definedName name="MA_Kurs_3">'IV. MA'!$K$8</definedName>
    <definedName name="MA_ManBetrag_3">'IV. MA'!$L$27</definedName>
    <definedName name="MA_Kurs_4">'IV. MA'!$O$8</definedName>
    <definedName name="MA_ManBetrag_4">'IV. MA'!$P$27</definedName>
    <definedName name="MA_Kurs_5">'IV. MA'!$S$8</definedName>
    <definedName name="MA_ManBetrag_5">'IV. MA'!$T$27</definedName>
    <definedName name="MA_Kurs_6">'IV. MA'!$W$8</definedName>
    <definedName name="MA_ManBetrag_6">'IV. MA'!$X$27</definedName>
    <definedName name="MA_Kurs_7">'IV. MA'!$AA$8</definedName>
    <definedName name="MA_ManBetrag_7">'IV. MA'!$AB$27</definedName>
    <definedName name="MA_Kurs_8">'IV. MA'!$AE$8</definedName>
    <definedName name="MA_ManBetrag_8">'IV. MA'!$AF$27</definedName>
    <definedName name="MA_Kurs_9">'IV. MA'!$AI$8</definedName>
    <definedName name="MA_ManBetrag_9">'IV. MA'!$AJ$27</definedName>
    <definedName name="MA_Kurs_10">'IV. MA'!$AM$8</definedName>
    <definedName name="MA_ManBetrag_10">'IV. MA'!$AN$27</definedName>
    <definedName name="MA_Kurs_11">'IV. MA'!$AQ$8</definedName>
    <definedName name="MA_ManBetrag_11">'IV. MA'!$AR$27</definedName>
    <definedName name="MA_Kurs_12">'IV. MA'!$AU$8</definedName>
    <definedName name="MA_ManBetrag_12">'IV. MA'!$AV$27</definedName>
    <definedName name="MA_Kurs_13">'IV. MA'!$AY$8</definedName>
    <definedName name="MA_ManBetrag_13">'IV. MA'!$AZ$27</definedName>
    <definedName name="MA_Kurs_14">'IV. MA'!$BC$8</definedName>
    <definedName name="MA_ManBetrag_14">'IV. MA'!$BD$27</definedName>
    <definedName name="MA_Kurs_15">'IV. MA'!$BG$8</definedName>
    <definedName name="MA_ManBetrag_15">'IV. MA'!$BH$27</definedName>
    <definedName name="MA_Kurs_16">'IV. MA'!$BK$8</definedName>
    <definedName name="MA_ManBetrag_16">'IV. MA'!$BL$27</definedName>
    <definedName name="MA_Kurs_17">'IV. MA'!$BO$8</definedName>
    <definedName name="MA_ManBetrag_17">'IV. MA'!$BP$27</definedName>
    <definedName name="MA_Kurs_18">'IV. MA'!$BS$8</definedName>
    <definedName name="MA_ManBetrag_18">'IV. MA'!$BT$27</definedName>
    <definedName name="FB_Auswahl_Liste">OFFSET(Daten!$BP$1,0,0,COUNTA(Daten!$BP:$BP),1)</definedName>
    <definedName name="MA_Auswahl_Liste">OFFSET(Daten!$BN$1,0,0,COUNTA(Daten!$BN:$BN),1)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<sst xmlns="http://schemas.openxmlformats.org/spreadsheetml/2006/main" count="489" uniqueCount="489">
  <si>
    <t>AED</t>
  </si>
  <si>
    <t xml:space="preserve">  DASHBOARD (v1.0)</t>
  </si>
  <si>
    <t>AFN</t>
  </si>
  <si>
    <t>ALL</t>
  </si>
  <si>
    <t xml:space="preserve">Statische Projektinformationen</t>
  </si>
  <si>
    <t>AMD</t>
  </si>
  <si>
    <t>Projektnummer</t>
  </si>
  <si>
    <t/>
  </si>
  <si>
    <t xml:space="preserve">Vorprojekt vorhanden</t>
  </si>
  <si>
    <t>Ja</t>
  </si>
  <si>
    <t>AOA</t>
  </si>
  <si>
    <t>Projekttitel</t>
  </si>
  <si>
    <t>ARS</t>
  </si>
  <si>
    <t>Projekttraeger</t>
  </si>
  <si>
    <t>Berichtswaehrung</t>
  </si>
  <si>
    <t>AUD</t>
  </si>
  <si>
    <t>Projektstart</t>
  </si>
  <si>
    <t>Projektende</t>
  </si>
  <si>
    <t>AWG</t>
  </si>
  <si>
    <t xml:space="preserve">Projektlaufzeit (geplant)</t>
  </si>
  <si>
    <t xml:space="preserve">In Monate</t>
  </si>
  <si>
    <t>AZN</t>
  </si>
  <si>
    <t>Vorprojektnummer</t>
  </si>
  <si>
    <t>VP-Berichtswaehrung</t>
  </si>
  <si>
    <t>BAM</t>
  </si>
  <si>
    <t>Vorprojektende</t>
  </si>
  <si>
    <t>Wechselkurs</t>
  </si>
  <si>
    <t>BBD</t>
  </si>
  <si>
    <t xml:space="preserve">Saldo (LW)</t>
  </si>
  <si>
    <t xml:space="preserve">Saldo (EUR)</t>
  </si>
  <si>
    <t>BDT</t>
  </si>
  <si>
    <t>Folgeprojektstart</t>
  </si>
  <si>
    <t>BHD</t>
  </si>
  <si>
    <t xml:space="preserve">Saldovortrag (LW)</t>
  </si>
  <si>
    <t xml:space="preserve">Saldovortrag (EUR)</t>
  </si>
  <si>
    <t>BIF</t>
  </si>
  <si>
    <t>BMD</t>
  </si>
  <si>
    <t xml:space="preserve">Folgende Dokumente liegen vor:</t>
  </si>
  <si>
    <t>Nein</t>
  </si>
  <si>
    <t xml:space="preserve">Vorprojektsaldo (Nachweis)</t>
  </si>
  <si>
    <t>BND</t>
  </si>
  <si>
    <t>Vertrag</t>
  </si>
  <si>
    <t>BOB</t>
  </si>
  <si>
    <t>Budget</t>
  </si>
  <si>
    <t>BRL</t>
  </si>
  <si>
    <t>Bankbelege</t>
  </si>
  <si>
    <t>BSD</t>
  </si>
  <si>
    <t>Finanzbericht(e)</t>
  </si>
  <si>
    <t>BTN</t>
  </si>
  <si>
    <t xml:space="preserve">Einzelbelege und Beleglisten</t>
  </si>
  <si>
    <t>BWP</t>
  </si>
  <si>
    <t xml:space="preserve">Narrativer Bericht</t>
  </si>
  <si>
    <t>BYN</t>
  </si>
  <si>
    <t>BZD</t>
  </si>
  <si>
    <t>CAD</t>
  </si>
  <si>
    <t>CDF</t>
  </si>
  <si>
    <t>CHF</t>
  </si>
  <si>
    <t>CLP</t>
  </si>
  <si>
    <t>CNY</t>
  </si>
  <si>
    <t>COP</t>
  </si>
  <si>
    <t>CRC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</si>
  <si>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</si>
  <si>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</si>
  <si>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</si>
  <si>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</si>
  <si>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</si>
  <si>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</si>
  <si>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</si>
  <si>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</si>
  <si>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</si>
  <si>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</si>
  <si>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EUR</t>
  </si>
  <si>
    <t>FJD</t>
  </si>
  <si>
    <t>FKP</t>
  </si>
  <si>
    <t>GBP</t>
  </si>
  <si>
    <t>GEL</t>
  </si>
  <si>
    <t>GHS</t>
  </si>
  <si>
    <t>GIP</t>
  </si>
  <si>
    <t>GMD</t>
  </si>
  <si>
    <t>GNF</t>
  </si>
  <si>
    <t>GTQ</t>
  </si>
  <si>
    <t>GYD</t>
  </si>
  <si>
    <t>HKD</t>
  </si>
  <si>
    <t>HNL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</si>
  <si>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</si>
  <si>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</si>
  <si>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</si>
  <si>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</si>
  <si>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</si>
  <si>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</si>
  <si>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</si>
  <si>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</si>
  <si>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</si>
  <si>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</si>
  <si>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</si>
  <si>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</si>
  <si>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</si>
  <si>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</si>
  <si>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</si>
  <si>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</si>
  <si>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</si>
  <si>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</si>
  <si>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</si>
  <si>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</si>
  <si>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</si>
  <si>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</si>
  <si>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</si>
  <si>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</si>
  <si>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</si>
  <si>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</si>
  <si>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</si>
  <si>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</si>
  <si>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</si>
  <si>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</si>
  <si>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</si>
  <si>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</si>
  <si>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</si>
  <si>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</si>
  <si>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</si>
  <si>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</si>
  <si>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</si>
  <si>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</si>
  <si>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</si>
  <si>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</si>
  <si>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</si>
  <si>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</si>
  <si>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</si>
  <si>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</si>
  <si>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</si>
  <si>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</si>
  <si>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</si>
  <si>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</si>
  <si>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</si>
  <si>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</si>
  <si>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</si>
  <si>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</si>
  <si>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</si>
  <si>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</si>
  <si>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</si>
  <si>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</si>
  <si>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</si>
  <si>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</si>
  <si>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</si>
  <si>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</si>
  <si>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</si>
  <si>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</si>
  <si>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</si>
  <si>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</si>
  <si>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</si>
  <si>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</si>
  <si>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SLE</t>
  </si>
  <si>
    <t>SOS</t>
  </si>
  <si>
    <t>SRD</t>
  </si>
  <si>
    <t>SSP</t>
  </si>
  <si>
    <t>STN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</si>
  <si>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</si>
  <si>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</si>
  <si>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</si>
  <si>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</si>
  <si>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</si>
  <si>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</si>
  <si>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</si>
  <si>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</si>
  <si>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</si>
  <si>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</si>
  <si>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</si>
  <si>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</si>
  <si>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</si>
  <si>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UGX</t>
  </si>
  <si>
    <t>USD</t>
  </si>
  <si>
    <t>UYU</t>
  </si>
  <si>
    <t>UZS</t>
  </si>
  <si>
    <t>VED</t>
  </si>
  <si>
    <t>VES</t>
  </si>
  <si>
    <t>VND</t>
  </si>
  <si>
    <t>VUV</t>
  </si>
  <si>
    <t>WST</t>
  </si>
  <si>
    <t>XAF</t>
  </si>
  <si>
    <t>XCD</t>
  </si>
  <si>
    <t>XCG</t>
  </si>
  <si>
    <t>XOF</t>
  </si>
  <si>
    <t>XPF</t>
  </si>
  <si>
    <t>YER</t>
  </si>
  <si>
    <t>ZAR</t>
  </si>
  <si>
    <t>ZMW</t>
  </si>
  <si>
    <t>ZWG</t>
  </si>
  <si>
    <t xml:space="preserve">I. KERNDATEN BUDGET</t>
  </si>
  <si>
    <t xml:space="preserve">Reserve Freigabe</t>
  </si>
  <si>
    <t xml:space="preserve">1. GEPLANTE EINNAHMEN / FINANZIERUNG</t>
  </si>
  <si>
    <t xml:space="preserve">€ Budget-Kurs:</t>
  </si>
  <si>
    <t xml:space="preserve">Reserve freigeben:</t>
  </si>
  <si>
    <t>Finanzierungsquelle</t>
  </si>
  <si>
    <t xml:space="preserve">Betrag (LC)</t>
  </si>
  <si>
    <t xml:space="preserve">Jahr 1</t>
  </si>
  <si>
    <t xml:space="preserve">Jahr 2</t>
  </si>
  <si>
    <t xml:space="preserve">Jahr 3</t>
  </si>
  <si>
    <t xml:space="preserve">Betrag (EUR)</t>
  </si>
  <si>
    <t xml:space="preserve">1.1 Eigenmittel</t>
  </si>
  <si>
    <t>Eigenmittel</t>
  </si>
  <si>
    <t>Begruendung</t>
  </si>
  <si>
    <t xml:space="preserve">1.2 Drittmittel</t>
  </si>
  <si>
    <t xml:space="preserve">Drittmittel (Summe):</t>
  </si>
  <si>
    <t xml:space="preserve">Aufstellung je Geber → Tabelle rechts</t>
  </si>
  <si>
    <t xml:space="preserve">1.3 KMW-Mittel</t>
  </si>
  <si>
    <t>KMW-Mittel</t>
  </si>
  <si>
    <t>GESAMTPROJEKTMITTEL</t>
  </si>
  <si>
    <t xml:space="preserve">2. GEPLANTE AUSGABEN</t>
  </si>
  <si>
    <t xml:space="preserve">Drittmittel – Aufstellung je Geber</t>
  </si>
  <si>
    <t>Kostenkategorie</t>
  </si>
  <si>
    <t>ID</t>
  </si>
  <si>
    <t>Kostenposition</t>
  </si>
  <si>
    <t xml:space="preserve">Name des Gebers</t>
  </si>
  <si>
    <t>Bauausgaben</t>
  </si>
  <si>
    <t>1.1</t>
  </si>
  <si>
    <t>Hallo1</t>
  </si>
  <si>
    <t>Sonstige</t>
  </si>
  <si>
    <t>1.2</t>
  </si>
  <si>
    <t>Hallo2</t>
  </si>
  <si>
    <t>1.3</t>
  </si>
  <si>
    <t>Hallo3</t>
  </si>
  <si>
    <t>1.4</t>
  </si>
  <si>
    <t>Hallo4</t>
  </si>
  <si>
    <t>1.5</t>
  </si>
  <si>
    <t>Hallo5</t>
  </si>
  <si>
    <t>1.6</t>
  </si>
  <si>
    <t>Hallo6</t>
  </si>
  <si>
    <t>1.7</t>
  </si>
  <si>
    <t>Hallo7</t>
  </si>
  <si>
    <t>1.8</t>
  </si>
  <si>
    <t>Hallo8</t>
  </si>
  <si>
    <t>1.9</t>
  </si>
  <si>
    <t>Hallo9</t>
  </si>
  <si>
    <t>1.10</t>
  </si>
  <si>
    <t>Hallo10</t>
  </si>
  <si>
    <t>1.11</t>
  </si>
  <si>
    <t>Hallo11</t>
  </si>
  <si>
    <t>1.12</t>
  </si>
  <si>
    <t>Hallo12</t>
  </si>
  <si>
    <t>1.13</t>
  </si>
  <si>
    <t>Hallo13</t>
  </si>
  <si>
    <t>1.14</t>
  </si>
  <si>
    <t>Hallo14</t>
  </si>
  <si>
    <t>1.15</t>
  </si>
  <si>
    <t>Hallo15</t>
  </si>
  <si>
    <t>1.16</t>
  </si>
  <si>
    <t>Hallo16</t>
  </si>
  <si>
    <t>1.17</t>
  </si>
  <si>
    <t>Hallo17</t>
  </si>
  <si>
    <t>1.18</t>
  </si>
  <si>
    <t>Hallo18</t>
  </si>
  <si>
    <t>1.19</t>
  </si>
  <si>
    <t>Hallo19</t>
  </si>
  <si>
    <t>1.20</t>
  </si>
  <si>
    <t>Hallo20</t>
  </si>
  <si>
    <t>Investitionen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</si>
  <si>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</si>
  <si>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</si>
  <si>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</si>
  <si>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</si>
  <si>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</si>
  <si>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</si>
  <si>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</si>
  <si>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</si>
  <si>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</si>
  <si>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</si>
  <si>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</si>
  <si>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</si>
  <si>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</si>
  <si>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</si>
  <si>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</si>
  <si>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</si>
  <si>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</si>
  <si>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</si>
  <si>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</si>
  <si>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</si>
  <si>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Projektaktivitaeten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</si>
  <si>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</si>
  <si>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</si>
  <si>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</si>
  <si>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</si>
  <si>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</si>
  <si>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</si>
  <si>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</si>
  <si>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</si>
  <si>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</si>
  <si>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</si>
  <si>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</si>
  <si>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</si>
  <si>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</si>
  <si>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</si>
  <si>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</si>
  <si>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</si>
  <si>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</si>
  <si>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</si>
  <si>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</si>
  <si>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</si>
  <si>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Projektverwaltung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</si>
  <si>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</si>
  <si>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</si>
  <si>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</si>
  <si>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</si>
  <si>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</si>
  <si>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</si>
  <si>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</si>
  <si>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</si>
  <si>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</si>
  <si>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</si>
  <si>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</si>
  <si>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</si>
  <si>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</si>
  <si>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</si>
  <si>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</si>
  <si>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</si>
  <si>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</si>
  <si>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</si>
  <si>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</si>
  <si>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</si>
  <si>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Evaluierung</t>
  </si>
  <si>
    <t>6.</t>
  </si>
  <si>
    <t>Audit</t>
  </si>
  <si>
    <t>7.</t>
  </si>
  <si>
    <t>Reserve</t>
  </si>
  <si>
    <t>8.</t>
  </si>
  <si>
    <t xml:space="preserve">Reserve - nur nach Genehmigung</t>
  </si>
  <si>
    <t xml:space="preserve">Geplante Gesamtausgaben</t>
  </si>
  <si>
    <t>Budgetpruefung</t>
  </si>
  <si>
    <t xml:space="preserve">Einnahmen = Ausgaben (LC)</t>
  </si>
  <si>
    <t xml:space="preserve">Einnahmen = Ausgaben (EUR)</t>
  </si>
  <si>
    <t xml:space="preserve">Gleicher Budget-Kurs</t>
  </si>
  <si>
    <t xml:space="preserve">Einnahmen: Jahre = Gesamt (LC)</t>
  </si>
  <si>
    <t xml:space="preserve">Ausgaben: Jahre = Gesamt (LC)</t>
  </si>
  <si>
    <t xml:space="preserve">Periode 1</t>
  </si>
  <si>
    <t xml:space="preserve">II. KMW-MITTEL BEREITGESTELLT</t>
  </si>
  <si>
    <t xml:space="preserve">Periode 2</t>
  </si>
  <si>
    <t xml:space="preserve">Periode 3</t>
  </si>
  <si>
    <t>Periode</t>
  </si>
  <si>
    <t>Waehrung</t>
  </si>
  <si>
    <t>Betrag</t>
  </si>
  <si>
    <t>Datum</t>
  </si>
  <si>
    <t xml:space="preserve">Periode 4</t>
  </si>
  <si>
    <t xml:space="preserve">Periode 5</t>
  </si>
  <si>
    <t xml:space="preserve">Periode 6</t>
  </si>
  <si>
    <t xml:space="preserve">Periode 7</t>
  </si>
  <si>
    <t xml:space="preserve">Periode 8</t>
  </si>
  <si>
    <t xml:space="preserve">Periode 9</t>
  </si>
  <si>
    <t xml:space="preserve">Periode 10</t>
  </si>
  <si>
    <t xml:space="preserve">Periode 11</t>
  </si>
  <si>
    <t xml:space="preserve">Periode 12</t>
  </si>
  <si>
    <t xml:space="preserve">Periode 13</t>
  </si>
  <si>
    <t xml:space="preserve">Periode 14</t>
  </si>
  <si>
    <t xml:space="preserve">Periode 15</t>
  </si>
  <si>
    <t xml:space="preserve">Periode 16</t>
  </si>
  <si>
    <t xml:space="preserve">Periode 17</t>
  </si>
  <si>
    <t xml:space="preserve">Periode 18</t>
  </si>
  <si>
    <t xml:space="preserve">Periode 19</t>
  </si>
  <si>
    <t xml:space="preserve">Periode 20</t>
  </si>
  <si>
    <t xml:space="preserve">Periode 21</t>
  </si>
  <si>
    <t xml:space="preserve">Periode 22</t>
  </si>
  <si>
    <t>GESAMT</t>
  </si>
  <si>
    <t xml:space="preserve">Periode 23</t>
  </si>
  <si>
    <t xml:space="preserve">Periode 24</t>
  </si>
  <si>
    <t xml:space="preserve">Periode 25</t>
  </si>
  <si>
    <t xml:space="preserve">Periode 26</t>
  </si>
  <si>
    <t xml:space="preserve">Periode 27</t>
  </si>
  <si>
    <t xml:space="preserve">Periode 28</t>
  </si>
  <si>
    <t xml:space="preserve">Periode 29</t>
  </si>
  <si>
    <t xml:space="preserve">Periode 30</t>
  </si>
  <si>
    <t xml:space="preserve">Periode 31</t>
  </si>
  <si>
    <t xml:space="preserve">Periode 32</t>
  </si>
  <si>
    <t xml:space="preserve">Periode 33</t>
  </si>
  <si>
    <t xml:space="preserve">Periode 34</t>
  </si>
  <si>
    <t xml:space="preserve">Periode 35</t>
  </si>
  <si>
    <t xml:space="preserve">Periode 36</t>
  </si>
  <si>
    <t>➤</t>
  </si>
  <si>
    <t>Periode:</t>
  </si>
  <si>
    <t>Von:</t>
  </si>
  <si>
    <t>Bis:</t>
  </si>
  <si>
    <t>Zeitraum:</t>
  </si>
  <si>
    <t>Durchschnittskurs:</t>
  </si>
  <si>
    <t>Einnahmen</t>
  </si>
  <si>
    <t xml:space="preserve">Typ / ID</t>
  </si>
  <si>
    <t xml:space="preserve">Einnahmen (LC)</t>
  </si>
  <si>
    <t xml:space="preserve">Einnahmen (EUR)</t>
  </si>
  <si>
    <t xml:space="preserve">Kum. Einnahmen (LC)</t>
  </si>
  <si>
    <t xml:space="preserve">Kum. Einnahmen (EUR)</t>
  </si>
  <si>
    <t>Vorprojektsaldo</t>
  </si>
  <si>
    <t>Vorperiodensaldo</t>
  </si>
  <si>
    <t>Drittmittel</t>
  </si>
  <si>
    <t>Zinsertraege</t>
  </si>
  <si>
    <t>Gesamteinnahmen</t>
  </si>
  <si>
    <t>Ausgaben</t>
  </si>
  <si>
    <t xml:space="preserve">Ausgaben (LC)</t>
  </si>
  <si>
    <t xml:space="preserve">Ausgaben (EUR)</t>
  </si>
  <si>
    <t xml:space="preserve">Kum. Ausgaben (LC)</t>
  </si>
  <si>
    <t xml:space="preserve">Kum. Ausgaben (EUR)</t>
  </si>
  <si>
    <t>Gesamtausgaben</t>
  </si>
  <si>
    <t xml:space="preserve">Saldo des Finanzberichts</t>
  </si>
  <si>
    <t>Aufschluesselung:</t>
  </si>
  <si>
    <t>Bank</t>
  </si>
  <si>
    <t>Kasse</t>
  </si>
  <si>
    <t>Sonstiges</t>
  </si>
  <si>
    <t xml:space="preserve">Differenz (Pruefung):</t>
  </si>
  <si>
    <t xml:space="preserve">Einnahmen (Explizite Kurseingabe)</t>
  </si>
  <si>
    <t>Typ</t>
  </si>
  <si>
    <t>Geber</t>
  </si>
  <si>
    <t>Kurs</t>
  </si>
  <si>
    <t xml:space="preserve">Saldo des Vorprojekts</t>
  </si>
  <si>
    <t xml:space="preserve">Saldo der Vorperiode</t>
  </si>
  <si>
    <t xml:space="preserve">Gesamteinnahmen in Periode</t>
  </si>
  <si>
    <t xml:space="preserve">Einnahmen (Durchschnittskurs)</t>
  </si>
  <si>
    <t xml:space="preserve">Gesamt (Durchschnittskurs)</t>
  </si>
  <si>
    <t>OANDA-Kurs:</t>
  </si>
  <si>
    <t xml:space="preserve">Angefordert (LC)</t>
  </si>
  <si>
    <t xml:space="preserve">Angefordert (EUR)</t>
  </si>
  <si>
    <t>Personalkosten</t>
  </si>
  <si>
    <t>SUMME</t>
  </si>
  <si>
    <t xml:space="preserve">Gesamtbedarf an Mitteln:</t>
  </si>
  <si>
    <t xml:space="preserve">abzueglich Eigenmittel:</t>
  </si>
  <si>
    <t xml:space="preserve">abzueglich Drittmittel:</t>
  </si>
  <si>
    <t xml:space="preserve">abzueglich Saldo Vorprojekt:</t>
  </si>
  <si>
    <t xml:space="preserve">abzueglich Saldo Vorperiode (FB):</t>
  </si>
  <si>
    <t xml:space="preserve">KMW-Mittel Anforderung:</t>
  </si>
  <si>
    <t xml:space="preserve">Manueller Betrag (EUR):</t>
  </si>
  <si>
    <t xml:space="preserve">V. AUSWERTUNG</t>
  </si>
  <si>
    <t xml:space="preserve">Automatische Prüfung von Mittelanforderung und Finanzberichten</t>
  </si>
  <si>
    <t>MITTELANFORDERUNGSPRÜFUNG</t>
  </si>
  <si>
    <t xml:space="preserve">Basis: ausgewählte Mittelanforderung (Folgeperiode des Finanzberichts)</t>
  </si>
  <si>
    <t xml:space="preserve">Mittelanforderung auswählen</t>
  </si>
  <si>
    <t>Auswahl:</t>
  </si>
  <si>
    <t xml:space="preserve">Neuste MA</t>
  </si>
  <si>
    <t xml:space="preserve">Geprüfte Periode</t>
  </si>
  <si>
    <t xml:space="preserve">Ausgewählte Anforderung (#)</t>
  </si>
  <si>
    <t xml:space="preserve">Einbezogene Anforderungen</t>
  </si>
  <si>
    <t xml:space="preserve">KMW-Mittelprüfung (Mittelanforderung)</t>
  </si>
  <si>
    <t xml:space="preserve">Bewilligte KMW-Mittel</t>
  </si>
  <si>
    <t xml:space="preserve">Abzugsoptionen KMW-Mittel</t>
  </si>
  <si>
    <t xml:space="preserve">Davon Reserve</t>
  </si>
  <si>
    <t>Abzug</t>
  </si>
  <si>
    <t>Saldovortrag</t>
  </si>
  <si>
    <t>Mehreinnahmen</t>
  </si>
  <si>
    <t xml:space="preserve">abzüglich Eigenmittel:</t>
  </si>
  <si>
    <t xml:space="preserve">Bereitgestellte KMW-Mittel</t>
  </si>
  <si>
    <t xml:space="preserve">Prognostizierte Mehreinnahmen</t>
  </si>
  <si>
    <t xml:space="preserve">abzüglich Drittmittel:</t>
  </si>
  <si>
    <t xml:space="preserve">Verfügbare KMW-Mittel</t>
  </si>
  <si>
    <t xml:space="preserve">Abzugsoptionen KMW insgesamt</t>
  </si>
  <si>
    <t xml:space="preserve">Verfügbare KMW-Mittel (bereinigt)</t>
  </si>
  <si>
    <t xml:space="preserve">Abzüglich aktuelle Anforderung</t>
  </si>
  <si>
    <t xml:space="preserve">Verbleibende KMW-Mittel</t>
  </si>
  <si>
    <t xml:space="preserve">Verbleibende KMW-Mittel (bereinigt)</t>
  </si>
  <si>
    <t xml:space="preserve">Abzüglich manueller Betrag</t>
  </si>
  <si>
    <t>Monatslimit-Prüfung</t>
  </si>
  <si>
    <t>Lokalwährung</t>
  </si>
  <si>
    <t xml:space="preserve">Monate (von 12)</t>
  </si>
  <si>
    <t>Euro</t>
  </si>
  <si>
    <t>Anforderungshöhe</t>
  </si>
  <si>
    <t xml:space="preserve">Jahresbudget Jahr 1</t>
  </si>
  <si>
    <t xml:space="preserve">Jahresbudget Jahr 2</t>
  </si>
  <si>
    <t xml:space="preserve">Jahresbudget Jahr 3</t>
  </si>
  <si>
    <t xml:space="preserve">Limit-Monate (Summe Anteile)</t>
  </si>
  <si>
    <t xml:space="preserve">Bezugszeitraum (Monate, aus MA)</t>
  </si>
  <si>
    <t xml:space="preserve">Monatslimit (anteilig)</t>
  </si>
  <si>
    <t>Status</t>
  </si>
  <si>
    <t>Überschreitung</t>
  </si>
  <si>
    <t xml:space="preserve">Auslastung %</t>
  </si>
  <si>
    <t xml:space="preserve">Prognostizierte Finanzierungsanteile</t>
  </si>
  <si>
    <t>Kategorie</t>
  </si>
  <si>
    <t xml:space="preserve">Prognose (LC)</t>
  </si>
  <si>
    <t xml:space="preserve">Budget (LC)</t>
  </si>
  <si>
    <t xml:space="preserve">Differenz (LC)</t>
  </si>
  <si>
    <t xml:space="preserve">Abweichung (LC)</t>
  </si>
  <si>
    <t xml:space="preserve">Prognose (EUR)</t>
  </si>
  <si>
    <t xml:space="preserve">Budget (EUR)</t>
  </si>
  <si>
    <t xml:space="preserve">Differenz (EUR)</t>
  </si>
  <si>
    <t xml:space="preserve">Abweichung (EUR)</t>
  </si>
  <si>
    <t xml:space="preserve">Prognoseprüfung (Ausgaben)</t>
  </si>
  <si>
    <t>FINANZBERICHTSPRÜFUNG</t>
  </si>
  <si>
    <t xml:space="preserve">Basis: ausgewählter Finanzbericht (kumulativ bis zur Periode)</t>
  </si>
  <si>
    <t xml:space="preserve">Finanzbericht auswählen</t>
  </si>
  <si>
    <t xml:space="preserve">Neuester FB</t>
  </si>
  <si>
    <t>KMW-Mittelprüfung</t>
  </si>
  <si>
    <t>Finanzierungsanteile</t>
  </si>
  <si>
    <t xml:space="preserve">Kumulativ (LC)</t>
  </si>
  <si>
    <t xml:space="preserve">Kumulativ (EUR)</t>
  </si>
  <si>
    <t xml:space="preserve">Soll-Ist Abweichungsprüfung</t>
  </si>
  <si>
    <t>Einnahmen_Explizit_Stack</t>
  </si>
  <si>
    <t>Einnahmen_Durchschnittskurs_Stack</t>
  </si>
  <si>
    <t>Ausgaben_Finanzbericht_Stack</t>
  </si>
  <si>
    <t>Mittelanforderung_Stack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</si>
</sst>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0.0000"/>
    <numFmt numFmtId="165" formatCode="#,##0.00&quot; €&quot;"/>
    <numFmt numFmtId="166" formatCode="0&quot; Monate&quot;"/>
    <numFmt numFmtId="167" formatCode="0.000000"/>
    <numFmt numFmtId="168" formatCode="DD.MM.YYYY"/>
    <numFmt numFmtId="169" formatCode="0.0%"/>
  </numFmts>
  <fonts count="26">
    <font>
      <sz val="11.000000"/>
      <color theme="1"/>
      <name val="Calibri"/>
    </font>
    <font>
      <name val="Segoe UI"/>
    </font>
    <font>
      <b/>
      <sz val="18.000000"/>
      <color indexed="65"/>
      <name val="Segoe UI"/>
    </font>
    <font>
      <b/>
      <sz val="13.000000"/>
      <name val="Segoe UI"/>
    </font>
    <font>
      <b/>
      <sz val="10.000000"/>
      <name val="Segoe UI"/>
    </font>
    <font>
      <b/>
      <sz val="14.000000"/>
      <name val="Segoe UI"/>
    </font>
    <font>
      <b/>
      <sz val="9.000000"/>
      <name val="Segoe UI"/>
    </font>
    <font>
      <b/>
      <sz val="9.000000"/>
      <color rgb="FF3C3C3C"/>
      <name val="Segoe UI"/>
    </font>
    <font>
      <b/>
      <sz val="11.000000"/>
      <name val="Segoe UI"/>
    </font>
    <font>
      <sz val="9.000000"/>
      <name val="Segoe UI"/>
    </font>
    <font>
      <i/>
      <name val="Segoe UI"/>
    </font>
    <font>
      <i/>
      <sz val="9.000000"/>
      <color rgb="FF595959"/>
      <name val="Segoe UI"/>
    </font>
    <font>
      <b/>
      <sz val="9.000000"/>
      <color rgb="FF595959"/>
      <name val="Segoe UI"/>
    </font>
    <font>
      <sz val="10.000000"/>
      <name val="Segoe UI"/>
    </font>
    <font>
      <i/>
      <sz val="8.000000"/>
      <color rgb="FF595959"/>
      <name val="Segoe UI"/>
    </font>
    <font>
      <b/>
      <name val="Segoe UI"/>
    </font>
    <font>
      <sz val="9.000000"/>
      <color rgb="FF595959"/>
      <name val="Segoe UI"/>
    </font>
    <font>
      <b/>
      <sz val="24.000000"/>
      <color indexed="23"/>
      <name val="Segoe UI"/>
    </font>
    <font>
      <sz val="8.000000"/>
      <color indexed="23"/>
      <name val="Segoe UI"/>
    </font>
    <font>
      <b/>
      <sz val="12.000000"/>
      <name val="Segoe UI"/>
    </font>
    <font>
      <i/>
      <sz val="9.000000"/>
      <color rgb="FFB4BEC8"/>
      <name val="Segoe UI"/>
    </font>
    <font>
      <b/>
      <sz val="13.000000"/>
      <color indexed="65"/>
      <name val="Segoe UI"/>
    </font>
    <font>
      <b/>
      <sz val="11.000000"/>
      <color indexed="65"/>
      <name val="Segoe UI"/>
    </font>
    <font>
      <b/>
      <sz val="10.000000"/>
      <color indexed="65"/>
      <name val="Segoe UI"/>
    </font>
    <font>
      <b/>
      <sz val="9.000000"/>
      <color indexed="65"/>
      <name val="Segoe UI"/>
    </font>
    <font>
      <b/>
      <color indexed="65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6C7A50"/>
      </patternFill>
    </fill>
    <fill>
      <patternFill patternType="solid">
        <fgColor rgb="FFDCDCDC"/>
      </patternFill>
    </fill>
    <fill>
      <patternFill patternType="solid">
        <fgColor rgb="FFF5F5F5"/>
      </patternFill>
    </fill>
    <fill>
      <patternFill patternType="solid">
        <fgColor rgb="FFFFFAE5"/>
      </patternFill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indexed="65"/>
      </patternFill>
    </fill>
    <fill>
      <patternFill patternType="solid">
        <fgColor rgb="FFDCE6F1"/>
      </patternFill>
    </fill>
    <fill>
      <patternFill patternType="solid">
        <fgColor rgb="FF212F3D"/>
      </patternFill>
    </fill>
    <fill>
      <patternFill patternType="solid">
        <fgColor rgb="FFEAF2F8"/>
      </patternFill>
    </fill>
  </fills>
  <borders count="55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>
        <color rgb="FF667022"/>
      </bottom>
      <diagonal style="none"/>
    </border>
    <border>
      <left style="none"/>
      <right style="none"/>
      <top style="none"/>
      <bottom style="thin">
        <color indexed="55"/>
      </bottom>
      <diagonal style="none"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none"/>
    </border>
    <border>
      <left style="thin">
        <color indexed="55"/>
      </left>
      <right style="thin">
        <color indexed="55"/>
      </right>
      <top style="double">
        <color indexed="55"/>
      </top>
      <bottom style="thin">
        <color indexed="55"/>
      </bottom>
      <diagonal style="none"/>
    </border>
    <border>
      <left style="medium">
        <color indexed="23"/>
      </left>
      <right style="none"/>
      <top style="medium">
        <color indexed="23"/>
      </top>
      <bottom style="medium">
        <color indexed="23"/>
      </bottom>
      <diagonal style="none"/>
    </border>
    <border>
      <left style="none"/>
      <right style="none"/>
      <top style="medium">
        <color indexed="23"/>
      </top>
      <bottom style="medium">
        <color indexed="23"/>
      </bottom>
      <diagonal style="none"/>
    </border>
    <border>
      <left style="none"/>
      <right style="medium">
        <color indexed="23"/>
      </right>
      <top style="medium">
        <color indexed="23"/>
      </top>
      <bottom style="medium">
        <color indexed="23"/>
      </bottom>
      <diagonal style="none"/>
    </border>
    <border>
      <left style="medium">
        <color indexed="23"/>
      </left>
      <right style="medium">
        <color indexed="23"/>
      </right>
      <top style="medium">
        <color indexed="23"/>
      </top>
      <bottom style="thin">
        <color rgb="FFD3D3D3"/>
      </bottom>
      <diagonal style="none"/>
    </border>
    <border>
      <left style="medium">
        <color indexed="23"/>
      </left>
      <right style="none"/>
      <top style="none"/>
      <bottom style="none"/>
      <diagonal style="none"/>
    </border>
    <border>
      <left style="none"/>
      <right style="medium">
        <color indexed="23"/>
      </right>
      <top style="none"/>
      <bottom style="none"/>
      <diagonal style="none"/>
    </border>
    <border>
      <left style="medium">
        <color indexed="23"/>
      </left>
      <right style="medium">
        <color indexed="23"/>
      </right>
      <top style="thin">
        <color rgb="FFD3D3D3"/>
      </top>
      <bottom style="thin">
        <color rgb="FFD3D3D3"/>
      </bottom>
      <diagonal style="none"/>
    </border>
    <border>
      <left style="medium">
        <color indexed="23"/>
      </left>
      <right style="none"/>
      <top style="medium">
        <color indexed="23"/>
      </top>
      <bottom style="thin">
        <color indexed="23"/>
      </bottom>
      <diagonal style="none"/>
    </border>
    <border>
      <left style="none"/>
      <right style="none"/>
      <top style="medium">
        <color indexed="23"/>
      </top>
      <bottom style="thin">
        <color indexed="23"/>
      </bottom>
      <diagonal style="none"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 style="none"/>
    </border>
    <border>
      <left style="none"/>
      <right style="medium">
        <color indexed="23"/>
      </right>
      <top style="medium">
        <color indexed="23"/>
      </top>
      <bottom style="thin">
        <color indexed="23"/>
      </bottom>
      <diagonal style="none"/>
    </border>
    <border>
      <left style="medium">
        <color indexed="23"/>
      </left>
      <right style="none"/>
      <top style="none"/>
      <bottom style="medium">
        <color indexed="23"/>
      </bottom>
      <diagonal style="none"/>
    </border>
    <border>
      <left style="none"/>
      <right style="none"/>
      <top style="none"/>
      <bottom style="medium">
        <color indexed="23"/>
      </bottom>
      <diagonal style="none"/>
    </border>
    <border>
      <left style="none"/>
      <right style="medium">
        <color indexed="23"/>
      </right>
      <top style="none"/>
      <bottom style="medium">
        <color indexed="23"/>
      </bottom>
      <diagonal style="none"/>
    </border>
    <border>
      <left style="medium">
        <color indexed="23"/>
      </left>
      <right style="none"/>
      <top style="thin">
        <color indexed="23"/>
      </top>
      <bottom style="thin">
        <color indexed="23"/>
      </bottom>
      <diagonal style="none"/>
    </border>
    <border>
      <left style="none"/>
      <right style="none"/>
      <top style="thin">
        <color indexed="23"/>
      </top>
      <bottom style="thin">
        <color indexed="23"/>
      </bottom>
      <diagonal style="none"/>
    </border>
    <border>
      <left style="none"/>
      <right style="medium">
        <color indexed="23"/>
      </right>
      <top style="thin">
        <color indexed="23"/>
      </top>
      <bottom style="thin">
        <color indexed="23"/>
      </bottom>
      <diagonal style="none"/>
    </border>
    <border>
      <left style="medium">
        <color indexed="23"/>
      </left>
      <right style="medium">
        <color indexed="23"/>
      </right>
      <top style="thin">
        <color rgb="FFD3D3D3"/>
      </top>
      <bottom style="medium">
        <color indexed="23"/>
      </bottom>
      <diagonal style="none"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none"/>
    </border>
    <border>
      <left style="thin">
        <color rgb="FFD3D3D3"/>
      </left>
      <right style="medium">
        <color indexed="23"/>
      </right>
      <top style="thin">
        <color rgb="FFD3D3D3"/>
      </top>
      <bottom style="thin">
        <color rgb="FFD3D3D3"/>
      </bottom>
      <diagonal style="none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 style="none"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 style="none"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 style="none"/>
    </border>
    <border>
      <left style="medium">
        <color indexed="23"/>
      </left>
      <right style="none"/>
      <top style="medium">
        <color indexed="23"/>
      </top>
      <bottom style="none"/>
      <diagonal style="none"/>
    </border>
    <border>
      <left style="none"/>
      <right style="none"/>
      <top style="medium">
        <color indexed="23"/>
      </top>
      <bottom style="none"/>
      <diagonal style="none"/>
    </border>
    <border>
      <left style="none"/>
      <right style="medium">
        <color indexed="23"/>
      </right>
      <top style="medium">
        <color indexed="23"/>
      </top>
      <bottom style="none"/>
      <diagonal style="none"/>
    </border>
    <border>
      <left style="medium">
        <color indexed="23"/>
      </left>
      <right style="thin">
        <color rgb="FFD3D3D3"/>
      </right>
      <top style="thin">
        <color rgb="FFD3D3D3"/>
      </top>
      <bottom style="thin">
        <color rgb="FFD3D3D3"/>
      </bottom>
      <diagonal style="none"/>
    </border>
    <border>
      <left style="medium">
        <color indexed="23"/>
      </left>
      <right style="thin">
        <color rgb="FFD3D3D3"/>
      </right>
      <top style="thin">
        <color rgb="FFD3D3D3"/>
      </top>
      <bottom style="medium">
        <color indexed="23"/>
      </bottom>
      <diagonal style="none"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indexed="23"/>
      </bottom>
      <diagonal style="none"/>
    </border>
    <border>
      <left style="thin">
        <color rgb="FFD3D3D3"/>
      </left>
      <right style="medium">
        <color indexed="23"/>
      </right>
      <top style="thin">
        <color rgb="FFD3D3D3"/>
      </top>
      <bottom style="medium">
        <color indexed="23"/>
      </bottom>
      <diagonal style="none"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 style="none"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 style="none"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 style="none"/>
    </border>
    <border>
      <left style="medium">
        <color indexed="23"/>
      </left>
      <right style="thin">
        <color rgb="FFD3D3D3"/>
      </right>
      <top style="medium">
        <color indexed="23"/>
      </top>
      <bottom style="thin">
        <color rgb="FFD3D3D3"/>
      </bottom>
      <diagonal style="none"/>
    </border>
    <border>
      <left style="thin">
        <color rgb="FFD3D3D3"/>
      </left>
      <right style="thin">
        <color rgb="FFD3D3D3"/>
      </right>
      <top style="medium">
        <color indexed="23"/>
      </top>
      <bottom style="thin">
        <color rgb="FFD3D3D3"/>
      </bottom>
      <diagonal style="none"/>
    </border>
    <border>
      <left style="thin">
        <color rgb="FFD3D3D3"/>
      </left>
      <right style="medium">
        <color indexed="23"/>
      </right>
      <top style="medium">
        <color indexed="23"/>
      </top>
      <bottom style="thin">
        <color rgb="FFD3D3D3"/>
      </bottom>
      <diagonal style="none"/>
    </border>
    <border>
      <left style="medium">
        <color indexed="23"/>
      </left>
      <right style="thin">
        <color rgb="FFD3D3D3"/>
      </right>
      <top style="medium">
        <color indexed="23"/>
      </top>
      <bottom style="medium">
        <color indexed="23"/>
      </bottom>
      <diagonal style="none"/>
    </border>
    <border>
      <left style="thin">
        <color rgb="FFD3D3D3"/>
      </left>
      <right style="thin">
        <color rgb="FFD3D3D3"/>
      </right>
      <top style="medium">
        <color indexed="23"/>
      </top>
      <bottom style="medium">
        <color indexed="23"/>
      </bottom>
      <diagonal style="none"/>
    </border>
    <border>
      <left style="thin">
        <color rgb="FFD3D3D3"/>
      </left>
      <right style="medium">
        <color indexed="23"/>
      </right>
      <top style="medium">
        <color indexed="23"/>
      </top>
      <bottom style="medium">
        <color indexed="23"/>
      </bottom>
      <diagonal style="none"/>
    </border>
    <border>
      <left style="none"/>
      <right style="none"/>
      <top style="medium">
        <color indexed="23"/>
      </top>
      <bottom style="thin">
        <color rgb="FFD3D3D3"/>
      </bottom>
      <diagonal style="none"/>
    </border>
    <border>
      <left style="none"/>
      <right style="none"/>
      <top style="none"/>
      <bottom style="thin">
        <color rgb="FFD3D3D3"/>
      </bottom>
      <diagonal style="none"/>
    </border>
    <border>
      <left style="none"/>
      <right style="none"/>
      <top style="double">
        <color indexed="23"/>
      </top>
      <bottom style="double">
        <color indexed="23"/>
      </bottom>
      <diagonal style="none"/>
    </border>
    <border>
      <left style="none"/>
      <right style="medium">
        <color indexed="23"/>
      </right>
      <top style="double">
        <color indexed="23"/>
      </top>
      <bottom style="double">
        <color indexed="23"/>
      </bottom>
      <diagonal style="none"/>
    </border>
    <border>
      <left style="medium">
        <color indexed="23"/>
      </left>
      <right style="none"/>
      <top style="none"/>
      <bottom style="thin">
        <color rgb="FFD3D3D3"/>
      </bottom>
      <diagonal style="none"/>
    </border>
    <border>
      <left style="thin">
        <color indexed="23"/>
      </left>
      <right style="thin">
        <color indexed="23"/>
      </right>
      <top style="double">
        <color indexed="23"/>
      </top>
      <bottom style="thin">
        <color indexed="23"/>
      </bottom>
      <diagonal style="none"/>
    </border>
    <border>
      <left style="none"/>
      <right style="none"/>
      <top style="double">
        <color indexed="23"/>
      </top>
      <bottom style="none"/>
      <diagonal style="none"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 style="none"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 style="none"/>
    </border>
    <border>
      <left style="thin">
        <color rgb="FFD3D3D3"/>
      </left>
      <right style="thin">
        <color rgb="FFD3D3D3"/>
      </right>
      <top style="double">
        <color rgb="FFD3D3D3"/>
      </top>
      <bottom style="medium">
        <color indexed="23"/>
      </bottom>
      <diagonal style="none"/>
    </border>
    <border>
      <left style="thin">
        <color rgb="FFD3D3D3"/>
      </left>
      <right style="medium">
        <color indexed="23"/>
      </right>
      <top style="double">
        <color rgb="FFD3D3D3"/>
      </top>
      <bottom style="medium">
        <color indexed="23"/>
      </bottom>
      <diagonal style="none"/>
    </border>
  </borders>
  <cellStyleXfs count="1">
    <xf fontId="0" fillId="0" borderId="0" numFmtId="0" applyNumberFormat="1" applyFont="1" applyFill="1" applyBorder="1"/>
  </cellStyleXfs>
  <cellXfs count="280">
    <xf fontId="0" fillId="0" borderId="0" numFmtId="0" xfId="0" applyProtection="1">
      <protection locked="1"/>
    </xf>
    <xf fontId="0" fillId="0" borderId="0" numFmtId="0" xfId="0" applyProtection="1">
      <protection locked="1"/>
    </xf>
    <xf fontId="1" fillId="0" borderId="0" numFmtId="0" xfId="0" applyFont="1" applyProtection="1">
      <protection locked="1"/>
    </xf>
    <xf fontId="2" fillId="2" borderId="1" numFmtId="0" xfId="0" applyFont="1" applyFill="1" applyBorder="1" applyAlignment="1" applyProtection="1">
      <alignment horizontal="left" vertical="center"/>
      <protection locked="1"/>
    </xf>
    <xf fontId="3" fillId="3" borderId="2" numFmtId="0" xfId="0" applyFont="1" applyFill="1" applyBorder="1" applyAlignment="1" applyProtection="1">
      <alignment horizontal="center" vertical="center"/>
      <protection locked="1"/>
    </xf>
    <xf fontId="4" fillId="4" borderId="3" numFmtId="0" xfId="0" applyFont="1" applyFill="1" applyBorder="1" applyAlignment="1" applyProtection="1">
      <alignment horizontal="left" vertical="center" wrapText="1"/>
      <protection locked="1"/>
    </xf>
    <xf fontId="1" fillId="5" borderId="3" numFmtId="0" xfId="0" applyFont="1" applyFill="1" applyBorder="1" applyAlignment="1" applyProtection="1">
      <alignment horizontal="left" vertical="center"/>
      <protection locked="0"/>
    </xf>
    <xf fontId="1" fillId="5" borderId="3" numFmtId="0" xfId="0" applyFont="1" applyFill="1" applyBorder="1" applyAlignment="1" applyProtection="1">
      <alignment horizontal="center" vertical="center"/>
      <protection locked="0"/>
    </xf>
    <xf fontId="1" fillId="5" borderId="3" numFmtId="14" xfId="0" applyNumberFormat="1" applyFont="1" applyFill="1" applyBorder="1" applyAlignment="1" applyProtection="1">
      <alignment horizontal="left" vertical="center"/>
      <protection locked="0"/>
    </xf>
    <xf fontId="1" fillId="6" borderId="3" numFmtId="0" xfId="0" applyFont="1" applyFill="1" applyBorder="1" applyAlignment="1" applyProtection="1">
      <alignment horizontal="left" vertical="center"/>
      <protection locked="1"/>
    </xf>
    <xf fontId="4" fillId="4" borderId="4" numFmtId="0" xfId="0" applyFont="1" applyFill="1" applyBorder="1" applyAlignment="1" applyProtection="1">
      <alignment horizontal="left" vertical="center" wrapText="1"/>
      <protection locked="1"/>
    </xf>
    <xf fontId="1" fillId="5" borderId="4" numFmtId="0" xfId="0" applyFont="1" applyFill="1" applyBorder="1" applyAlignment="1" applyProtection="1">
      <alignment horizontal="left" vertical="center"/>
      <protection locked="0"/>
    </xf>
    <xf fontId="1" fillId="5" borderId="3" numFmtId="164" xfId="0" applyNumberFormat="1" applyFont="1" applyFill="1" applyBorder="1" applyAlignment="1" applyProtection="1">
      <alignment horizontal="left" vertical="center"/>
      <protection locked="0"/>
    </xf>
    <xf fontId="1" fillId="5" borderId="3" numFmtId="4" xfId="0" applyNumberFormat="1" applyFont="1" applyFill="1" applyBorder="1" applyAlignment="1" applyProtection="1">
      <alignment horizontal="left" vertical="center"/>
      <protection locked="0"/>
    </xf>
    <xf fontId="1" fillId="6" borderId="3" numFmtId="165" xfId="0" applyNumberFormat="1" applyFont="1" applyFill="1" applyBorder="1" applyAlignment="1" applyProtection="1">
      <alignment horizontal="left" vertical="center"/>
      <protection locked="1"/>
    </xf>
    <xf fontId="4" fillId="0" borderId="3" numFmtId="0" xfId="0" applyFont="1" applyBorder="1" applyAlignment="1" applyProtection="1">
      <alignment horizontal="left" vertical="center" wrapText="1"/>
      <protection locked="1"/>
    </xf>
    <xf fontId="1" fillId="0" borderId="3" numFmtId="0" xfId="0" applyFont="1" applyBorder="1" applyAlignment="1" applyProtection="1">
      <alignment horizontal="center" vertical="center"/>
      <protection locked="1"/>
    </xf>
    <xf fontId="1" fillId="0" borderId="3" numFmtId="0" xfId="0" applyFont="1" applyBorder="1" applyAlignment="1" applyProtection="1">
      <alignment horizontal="left" vertical="center"/>
      <protection locked="1"/>
    </xf>
    <xf fontId="5" fillId="7" borderId="5" numFmtId="0" xfId="0" applyFont="1" applyFill="1" applyBorder="1" applyAlignment="1" applyProtection="1">
      <alignment vertical="center"/>
      <protection locked="1"/>
    </xf>
    <xf fontId="5" fillId="7" borderId="6" numFmtId="0" xfId="0" applyFont="1" applyFill="1" applyBorder="1" applyAlignment="1" applyProtection="1">
      <alignment vertical="center"/>
      <protection locked="1"/>
    </xf>
    <xf fontId="5" fillId="7" borderId="7" numFmtId="0" xfId="0" applyFont="1" applyFill="1" applyBorder="1" applyAlignment="1" applyProtection="1">
      <alignment vertical="center"/>
      <protection locked="1"/>
    </xf>
    <xf fontId="6" fillId="7" borderId="8" numFmtId="0" xfId="0" applyFont="1" applyFill="1" applyBorder="1" applyAlignment="1" applyProtection="1">
      <alignment horizontal="center" vertical="center"/>
      <protection locked="1"/>
    </xf>
    <xf fontId="0" fillId="0" borderId="9" numFmtId="0" xfId="0" applyBorder="1" applyProtection="1">
      <protection locked="1"/>
    </xf>
    <xf fontId="0" fillId="0" borderId="10" numFmtId="0" xfId="0" applyBorder="1" applyProtection="1">
      <protection locked="1"/>
    </xf>
    <xf fontId="7" fillId="0" borderId="11" numFmtId="165" xfId="0" applyNumberFormat="1" applyFont="1" applyBorder="1" applyAlignment="1" applyProtection="1">
      <alignment horizontal="center" vertical="center"/>
      <protection locked="1"/>
    </xf>
    <xf fontId="8" fillId="7" borderId="12" numFmtId="0" xfId="0" applyFont="1" applyFill="1" applyBorder="1" applyAlignment="1" applyProtection="1">
      <alignment horizontal="left" vertical="center"/>
      <protection locked="1"/>
    </xf>
    <xf fontId="8" fillId="7" borderId="13" numFmtId="0" xfId="0" applyFont="1" applyFill="1" applyBorder="1" applyAlignment="1" applyProtection="1">
      <alignment horizontal="left" vertical="center"/>
      <protection locked="1"/>
    </xf>
    <xf fontId="9" fillId="7" borderId="13" numFmtId="0" xfId="0" applyFont="1" applyFill="1" applyBorder="1" applyAlignment="1" applyProtection="1">
      <alignment horizontal="right" vertical="center"/>
      <protection locked="1"/>
    </xf>
    <xf fontId="10" fillId="0" borderId="14" numFmtId="164" xfId="0" applyNumberFormat="1" applyFont="1" applyBorder="1" applyProtection="1">
      <protection locked="1"/>
    </xf>
    <xf fontId="8" fillId="7" borderId="15" numFmtId="0" xfId="0" applyFont="1" applyFill="1" applyBorder="1" applyAlignment="1" applyProtection="1">
      <alignment horizontal="left" vertical="center"/>
      <protection locked="1"/>
    </xf>
    <xf fontId="11" fillId="0" borderId="11" numFmtId="0" xfId="0" applyFont="1" applyBorder="1" applyAlignment="1" applyProtection="1">
      <alignment horizontal="center" vertical="center"/>
      <protection locked="1"/>
    </xf>
    <xf fontId="7" fillId="7" borderId="16" numFmtId="0" xfId="0" applyFont="1" applyFill="1" applyBorder="1" applyAlignment="1" applyProtection="1">
      <alignment horizontal="center" vertical="center"/>
      <protection locked="1"/>
    </xf>
    <xf fontId="7" fillId="7" borderId="17" numFmtId="0" xfId="0" applyFont="1" applyFill="1" applyBorder="1" applyAlignment="1" applyProtection="1">
      <alignment horizontal="center" vertical="center"/>
      <protection locked="1"/>
    </xf>
    <xf fontId="7" fillId="7" borderId="18" numFmtId="0" xfId="0" applyFont="1" applyFill="1" applyBorder="1" applyAlignment="1" applyProtection="1">
      <alignment horizontal="center" vertical="center"/>
      <protection locked="1"/>
    </xf>
    <xf fontId="1" fillId="5" borderId="11" numFmtId="0" xfId="0" applyFont="1" applyFill="1" applyBorder="1" applyAlignment="1" applyProtection="1">
      <alignment horizontal="center" vertical="center"/>
      <protection locked="0"/>
    </xf>
    <xf fontId="4" fillId="6" borderId="19" numFmtId="0" xfId="0" applyFont="1" applyFill="1" applyBorder="1" applyAlignment="1" applyProtection="1">
      <alignment horizontal="left" vertical="center"/>
      <protection locked="1"/>
    </xf>
    <xf fontId="4" fillId="6" borderId="20" numFmtId="0" xfId="0" applyFont="1" applyFill="1" applyBorder="1" applyAlignment="1" applyProtection="1">
      <alignment horizontal="left" vertical="center"/>
      <protection locked="1"/>
    </xf>
    <xf fontId="4" fillId="6" borderId="21" numFmtId="0" xfId="0" applyFont="1" applyFill="1" applyBorder="1" applyAlignment="1" applyProtection="1">
      <alignment horizontal="left" vertical="center"/>
      <protection locked="1"/>
    </xf>
    <xf fontId="12" fillId="8" borderId="22" numFmtId="0" xfId="0" applyFont="1" applyFill="1" applyBorder="1" applyAlignment="1" applyProtection="1">
      <alignment horizontal="center" vertical="center"/>
      <protection locked="1"/>
    </xf>
    <xf fontId="13" fillId="0" borderId="9" numFmtId="0" xfId="0" applyFont="1" applyBorder="1" applyProtection="1">
      <protection locked="1"/>
    </xf>
    <xf fontId="1" fillId="5" borderId="23" numFmtId="4" xfId="0" applyNumberFormat="1" applyFont="1" applyFill="1" applyBorder="1" applyAlignment="1" applyProtection="1">
      <alignment horizontal="right" vertical="center"/>
      <protection locked="0"/>
    </xf>
    <xf fontId="1" fillId="5" borderId="24" numFmtId="165" xfId="0" applyNumberFormat="1" applyFont="1" applyFill="1" applyBorder="1" applyAlignment="1" applyProtection="1">
      <alignment horizontal="right" vertical="center"/>
      <protection locked="0"/>
    </xf>
    <xf fontId="6" fillId="7" borderId="25" numFmtId="0" xfId="0" applyFont="1" applyFill="1" applyBorder="1" applyAlignment="1" applyProtection="1">
      <alignment horizontal="center" vertical="center"/>
      <protection locked="1"/>
    </xf>
    <xf fontId="1" fillId="8" borderId="23" numFmtId="0" xfId="0" applyFont="1" applyFill="1" applyBorder="1" applyAlignment="1" applyProtection="1">
      <alignment horizontal="left" vertical="top" wrapText="1"/>
      <protection locked="1"/>
    </xf>
    <xf fontId="14" fillId="0" borderId="0" numFmtId="0" xfId="0" applyFont="1" applyProtection="1">
      <protection locked="1"/>
    </xf>
    <xf fontId="15" fillId="0" borderId="0" numFmtId="4" xfId="0" applyNumberFormat="1" applyFont="1" applyAlignment="1" applyProtection="1">
      <alignment horizontal="right" vertical="center"/>
      <protection locked="1"/>
    </xf>
    <xf fontId="15" fillId="0" borderId="10" numFmtId="165" xfId="0" applyNumberFormat="1" applyFont="1" applyBorder="1" applyAlignment="1" applyProtection="1">
      <alignment horizontal="right" vertical="center"/>
      <protection locked="1"/>
    </xf>
    <xf fontId="4" fillId="6" borderId="26" numFmtId="0" xfId="0" applyFont="1" applyFill="1" applyBorder="1" applyAlignment="1" applyProtection="1">
      <alignment vertical="center"/>
      <protection locked="1"/>
    </xf>
    <xf fontId="4" fillId="6" borderId="25" numFmtId="0" xfId="0" applyFont="1" applyFill="1" applyBorder="1" applyAlignment="1" applyProtection="1">
      <alignment vertical="center"/>
      <protection locked="1"/>
    </xf>
    <xf fontId="4" fillId="6" borderId="25" numFmtId="4" xfId="0" applyNumberFormat="1" applyFont="1" applyFill="1" applyBorder="1" applyAlignment="1" applyProtection="1">
      <alignment vertical="center"/>
      <protection locked="1"/>
    </xf>
    <xf fontId="4" fillId="6" borderId="27" numFmtId="165" xfId="0" applyNumberFormat="1" applyFont="1" applyFill="1" applyBorder="1" applyAlignment="1" applyProtection="1">
      <alignment vertical="center"/>
      <protection locked="1"/>
    </xf>
    <xf fontId="15" fillId="7" borderId="28" numFmtId="0" xfId="0" applyFont="1" applyFill="1" applyBorder="1" applyAlignment="1" applyProtection="1">
      <alignment horizontal="center" vertical="center"/>
      <protection locked="1"/>
    </xf>
    <xf fontId="15" fillId="7" borderId="29" numFmtId="0" xfId="0" applyFont="1" applyFill="1" applyBorder="1" applyAlignment="1" applyProtection="1">
      <alignment horizontal="center" vertical="center"/>
      <protection locked="1"/>
    </xf>
    <xf fontId="15" fillId="7" borderId="30" numFmtId="0" xfId="0" applyFont="1" applyFill="1" applyBorder="1" applyAlignment="1" applyProtection="1">
      <alignment horizontal="center" vertical="center"/>
      <protection locked="1"/>
    </xf>
    <xf fontId="1" fillId="5" borderId="31" numFmtId="0" xfId="0" applyFont="1" applyFill="1" applyBorder="1" applyAlignment="1" applyProtection="1">
      <alignment horizontal="left" vertical="center"/>
      <protection locked="0"/>
    </xf>
    <xf fontId="1" fillId="5" borderId="23" numFmtId="49" xfId="0" applyNumberFormat="1" applyFont="1" applyFill="1" applyBorder="1" applyAlignment="1" applyProtection="1">
      <alignment horizontal="center" vertical="center"/>
      <protection locked="0"/>
    </xf>
    <xf fontId="1" fillId="5" borderId="23" numFmtId="0" xfId="0" applyFont="1" applyFill="1" applyBorder="1" applyAlignment="1" applyProtection="1">
      <alignment horizontal="left" vertical="center"/>
      <protection locked="0"/>
    </xf>
    <xf fontId="1" fillId="5" borderId="32" numFmtId="0" xfId="0" applyFont="1" applyFill="1" applyBorder="1" applyAlignment="1" applyProtection="1">
      <alignment horizontal="left" vertical="center"/>
      <protection locked="0"/>
    </xf>
    <xf fontId="1" fillId="5" borderId="33" numFmtId="4" xfId="0" applyNumberFormat="1" applyFont="1" applyFill="1" applyBorder="1" applyAlignment="1" applyProtection="1">
      <alignment horizontal="right" vertical="center"/>
      <protection locked="0"/>
    </xf>
    <xf fontId="1" fillId="5" borderId="34" numFmtId="165" xfId="0" applyNumberFormat="1" applyFont="1" applyFill="1" applyBorder="1" applyAlignment="1" applyProtection="1">
      <alignment horizontal="right" vertical="center"/>
      <protection locked="0"/>
    </xf>
    <xf fontId="4" fillId="6" borderId="35" numFmtId="0" xfId="0" applyFont="1" applyFill="1" applyBorder="1" applyAlignment="1" applyProtection="1">
      <alignment vertical="center"/>
      <protection locked="1"/>
    </xf>
    <xf fontId="4" fillId="6" borderId="36" numFmtId="0" xfId="0" applyFont="1" applyFill="1" applyBorder="1" applyAlignment="1" applyProtection="1">
      <alignment vertical="center"/>
      <protection locked="1"/>
    </xf>
    <xf fontId="4" fillId="6" borderId="36" numFmtId="4" xfId="0" applyNumberFormat="1" applyFont="1" applyFill="1" applyBorder="1" applyAlignment="1" applyProtection="1">
      <alignment vertical="center"/>
      <protection locked="1"/>
    </xf>
    <xf fontId="4" fillId="6" borderId="37" numFmtId="165" xfId="0" applyNumberFormat="1" applyFont="1" applyFill="1" applyBorder="1" applyAlignment="1" applyProtection="1">
      <alignment vertical="center"/>
      <protection locked="1"/>
    </xf>
    <xf fontId="6" fillId="7" borderId="38" numFmtId="0" xfId="0" applyFont="1" applyFill="1" applyBorder="1" applyAlignment="1" applyProtection="1">
      <alignment horizontal="center" vertical="center"/>
      <protection locked="1"/>
    </xf>
    <xf fontId="6" fillId="7" borderId="39" numFmtId="0" xfId="0" applyFont="1" applyFill="1" applyBorder="1" applyAlignment="1" applyProtection="1">
      <alignment horizontal="center" vertical="center"/>
      <protection locked="1"/>
    </xf>
    <xf fontId="6" fillId="7" borderId="40" numFmtId="0" xfId="0" applyFont="1" applyFill="1" applyBorder="1" applyAlignment="1" applyProtection="1">
      <alignment horizontal="center" vertical="center"/>
      <protection locked="1"/>
    </xf>
    <xf fontId="16" fillId="0" borderId="31" numFmtId="0" xfId="0" applyFont="1" applyBorder="1" applyAlignment="1" applyProtection="1">
      <alignment horizontal="left" vertical="center"/>
      <protection locked="1"/>
    </xf>
    <xf fontId="16" fillId="0" borderId="23" numFmtId="0" xfId="0" applyFont="1" applyBorder="1" applyAlignment="1" applyProtection="1">
      <alignment horizontal="left" vertical="center"/>
      <protection locked="1"/>
    </xf>
    <xf fontId="12" fillId="8" borderId="24" numFmtId="0" xfId="0" applyFont="1" applyFill="1" applyBorder="1" applyAlignment="1" applyProtection="1">
      <alignment horizontal="center" vertical="center"/>
      <protection locked="1"/>
    </xf>
    <xf fontId="16" fillId="0" borderId="32" numFmtId="0" xfId="0" applyFont="1" applyBorder="1" applyAlignment="1" applyProtection="1">
      <alignment horizontal="left" vertical="center"/>
      <protection locked="1"/>
    </xf>
    <xf fontId="16" fillId="0" borderId="33" numFmtId="0" xfId="0" applyFont="1" applyBorder="1" applyAlignment="1" applyProtection="1">
      <alignment horizontal="left" vertical="center"/>
      <protection locked="1"/>
    </xf>
    <xf fontId="12" fillId="8" borderId="34" numFmtId="0" xfId="0" applyFont="1" applyFill="1" applyBorder="1" applyAlignment="1" applyProtection="1">
      <alignment horizontal="center" vertical="center"/>
      <protection locked="1"/>
    </xf>
    <xf fontId="5" fillId="7" borderId="0" numFmtId="0" xfId="0" applyFont="1" applyFill="1" applyAlignment="1" applyProtection="1">
      <alignment horizontal="center" vertical="center"/>
      <protection locked="1"/>
    </xf>
    <xf fontId="7" fillId="7" borderId="41" numFmtId="0" xfId="0" applyFont="1" applyFill="1" applyBorder="1" applyAlignment="1" applyProtection="1">
      <alignment horizontal="center" vertical="center"/>
      <protection locked="1"/>
    </xf>
    <xf fontId="7" fillId="7" borderId="42" numFmtId="0" xfId="0" applyFont="1" applyFill="1" applyBorder="1" applyAlignment="1" applyProtection="1">
      <alignment horizontal="center" vertical="center"/>
      <protection locked="1"/>
    </xf>
    <xf fontId="7" fillId="7" borderId="43" numFmtId="0" xfId="0" applyFont="1" applyFill="1" applyBorder="1" applyAlignment="1" applyProtection="1">
      <alignment horizontal="center" vertical="center"/>
      <protection locked="1"/>
    </xf>
    <xf fontId="1" fillId="5" borderId="38" numFmtId="0" xfId="0" applyFont="1" applyFill="1" applyBorder="1" applyAlignment="1" applyProtection="1">
      <alignment vertical="center"/>
      <protection locked="0"/>
    </xf>
    <xf fontId="1" fillId="5" borderId="39" numFmtId="0" xfId="0" applyFont="1" applyFill="1" applyBorder="1" applyAlignment="1" applyProtection="1">
      <alignment vertical="center"/>
      <protection locked="0"/>
    </xf>
    <xf fontId="1" fillId="5" borderId="39" numFmtId="4" xfId="0" applyNumberFormat="1" applyFont="1" applyFill="1" applyBorder="1" applyAlignment="1" applyProtection="1">
      <alignment vertical="center"/>
      <protection locked="0"/>
    </xf>
    <xf fontId="1" fillId="5" borderId="40" numFmtId="14" xfId="0" applyNumberFormat="1" applyFont="1" applyFill="1" applyBorder="1" applyAlignment="1" applyProtection="1">
      <alignment horizontal="center" vertical="center"/>
      <protection locked="0"/>
    </xf>
    <xf fontId="1" fillId="5" borderId="31" numFmtId="0" xfId="0" applyFont="1" applyFill="1" applyBorder="1" applyAlignment="1" applyProtection="1">
      <alignment vertical="center"/>
      <protection locked="0"/>
    </xf>
    <xf fontId="1" fillId="5" borderId="23" numFmtId="0" xfId="0" applyFont="1" applyFill="1" applyBorder="1" applyAlignment="1" applyProtection="1">
      <alignment vertical="center"/>
      <protection locked="0"/>
    </xf>
    <xf fontId="1" fillId="5" borderId="23" numFmtId="4" xfId="0" applyNumberFormat="1" applyFont="1" applyFill="1" applyBorder="1" applyAlignment="1" applyProtection="1">
      <alignment vertical="center"/>
      <protection locked="0"/>
    </xf>
    <xf fontId="1" fillId="5" borderId="24" numFmtId="14" xfId="0" applyNumberFormat="1" applyFont="1" applyFill="1" applyBorder="1" applyAlignment="1" applyProtection="1">
      <alignment horizontal="center" vertical="center"/>
      <protection locked="0"/>
    </xf>
    <xf fontId="1" fillId="5" borderId="32" numFmtId="0" xfId="0" applyFont="1" applyFill="1" applyBorder="1" applyAlignment="1" applyProtection="1">
      <alignment vertical="center"/>
      <protection locked="0"/>
    </xf>
    <xf fontId="1" fillId="5" borderId="33" numFmtId="0" xfId="0" applyFont="1" applyFill="1" applyBorder="1" applyAlignment="1" applyProtection="1">
      <alignment vertical="center"/>
      <protection locked="0"/>
    </xf>
    <xf fontId="1" fillId="5" borderId="33" numFmtId="4" xfId="0" applyNumberFormat="1" applyFont="1" applyFill="1" applyBorder="1" applyAlignment="1" applyProtection="1">
      <alignment vertical="center"/>
      <protection locked="0"/>
    </xf>
    <xf fontId="1" fillId="5" borderId="34" numFmtId="14" xfId="0" applyNumberFormat="1" applyFont="1" applyFill="1" applyBorder="1" applyAlignment="1" applyProtection="1">
      <alignment horizontal="center" vertical="center"/>
      <protection locked="0"/>
    </xf>
    <xf fontId="7" fillId="7" borderId="41" numFmtId="0" xfId="0" applyFont="1" applyFill="1" applyBorder="1" applyAlignment="1" applyProtection="1">
      <alignment vertical="center"/>
      <protection locked="1"/>
    </xf>
    <xf fontId="7" fillId="7" borderId="42" numFmtId="0" xfId="0" applyFont="1" applyFill="1" applyBorder="1" applyAlignment="1" applyProtection="1">
      <alignment vertical="center"/>
      <protection locked="1"/>
    </xf>
    <xf fontId="7" fillId="7" borderId="42" numFmtId="4" xfId="0" applyNumberFormat="1" applyFont="1" applyFill="1" applyBorder="1" applyAlignment="1" applyProtection="1">
      <alignment vertical="center"/>
      <protection locked="1"/>
    </xf>
    <xf fontId="7" fillId="7" borderId="43" numFmtId="0" xfId="0" applyFont="1" applyFill="1" applyBorder="1" applyAlignment="1" applyProtection="1">
      <alignment vertical="center"/>
      <protection locked="1"/>
    </xf>
    <xf fontId="17" fillId="0" borderId="0" numFmtId="0" xfId="0" applyFont="1" applyAlignment="1" applyProtection="1">
      <alignment horizontal="center" vertical="center"/>
      <protection locked="1"/>
    </xf>
    <xf fontId="15" fillId="0" borderId="28" numFmtId="0" xfId="0" applyFont="1" applyBorder="1" applyAlignment="1" applyProtection="1">
      <alignment horizontal="left" vertical="center"/>
      <protection locked="1"/>
    </xf>
    <xf fontId="1" fillId="6" borderId="44" numFmtId="0" xfId="0" applyFont="1" applyFill="1" applyBorder="1" applyAlignment="1" applyProtection="1">
      <alignment horizontal="center" vertical="center"/>
      <protection locked="1"/>
    </xf>
    <xf fontId="0" fillId="0" borderId="29" numFmtId="0" xfId="0" applyBorder="1" applyProtection="1">
      <protection locked="1"/>
    </xf>
    <xf fontId="0" fillId="0" borderId="30" numFmtId="0" xfId="0" applyBorder="1" applyProtection="1">
      <protection locked="1"/>
    </xf>
    <xf fontId="15" fillId="0" borderId="9" numFmtId="0" xfId="0" applyFont="1" applyBorder="1" applyAlignment="1" applyProtection="1">
      <alignment horizontal="left" vertical="center"/>
      <protection locked="1"/>
    </xf>
    <xf fontId="1" fillId="5" borderId="45" numFmtId="14" xfId="0" applyNumberFormat="1" applyFont="1" applyFill="1" applyBorder="1" applyAlignment="1" applyProtection="1">
      <alignment horizontal="center" vertical="center"/>
      <protection locked="0"/>
    </xf>
    <xf fontId="1" fillId="6" borderId="45" numFmtId="166" xfId="0" applyNumberFormat="1" applyFont="1" applyFill="1" applyBorder="1" applyAlignment="1" applyProtection="1">
      <alignment horizontal="center" vertical="center"/>
      <protection locked="1"/>
    </xf>
    <xf fontId="1" fillId="0" borderId="45" numFmtId="167" xfId="0" applyNumberFormat="1" applyFont="1" applyBorder="1" applyAlignment="1" applyProtection="1">
      <alignment horizontal="center" vertical="center"/>
      <protection locked="1"/>
    </xf>
    <xf fontId="15" fillId="7" borderId="12" numFmtId="0" xfId="0" applyFont="1" applyFill="1" applyBorder="1" applyAlignment="1" applyProtection="1">
      <alignment horizontal="left" vertical="center"/>
      <protection locked="1"/>
    </xf>
    <xf fontId="15" fillId="7" borderId="13" numFmtId="0" xfId="0" applyFont="1" applyFill="1" applyBorder="1" applyAlignment="1" applyProtection="1">
      <alignment horizontal="left" vertical="center"/>
      <protection locked="1"/>
    </xf>
    <xf fontId="15" fillId="7" borderId="15" numFmtId="0" xfId="0" applyFont="1" applyFill="1" applyBorder="1" applyAlignment="1" applyProtection="1">
      <alignment horizontal="left" vertical="center"/>
      <protection locked="1"/>
    </xf>
    <xf fontId="15" fillId="7" borderId="26" numFmtId="0" xfId="0" applyFont="1" applyFill="1" applyBorder="1" applyAlignment="1" applyProtection="1">
      <alignment horizontal="left" vertical="center"/>
      <protection locked="1"/>
    </xf>
    <xf fontId="15" fillId="7" borderId="25" numFmtId="0" xfId="0" applyFont="1" applyFill="1" applyBorder="1" applyAlignment="1" applyProtection="1">
      <alignment horizontal="center" vertical="center" wrapText="1"/>
      <protection locked="1"/>
    </xf>
    <xf fontId="15" fillId="7" borderId="27" numFmtId="0" xfId="0" applyFont="1" applyFill="1" applyBorder="1" applyAlignment="1" applyProtection="1">
      <alignment horizontal="center" vertical="center" wrapText="1"/>
      <protection locked="1"/>
    </xf>
    <xf fontId="1" fillId="9" borderId="31" numFmtId="0" xfId="0" applyFont="1" applyFill="1" applyBorder="1" applyAlignment="1" applyProtection="1">
      <alignment horizontal="left" vertical="center"/>
      <protection locked="1"/>
    </xf>
    <xf fontId="1" fillId="9" borderId="23" numFmtId="4" xfId="0" applyNumberFormat="1" applyFont="1" applyFill="1" applyBorder="1" applyAlignment="1" applyProtection="1">
      <alignment horizontal="right" vertical="center"/>
      <protection locked="1"/>
    </xf>
    <xf fontId="1" fillId="9" borderId="23" numFmtId="165" xfId="0" applyNumberFormat="1" applyFont="1" applyFill="1" applyBorder="1" applyAlignment="1" applyProtection="1">
      <alignment horizontal="right" vertical="center"/>
      <protection locked="1"/>
    </xf>
    <xf fontId="1" fillId="9" borderId="24" numFmtId="165" xfId="0" applyNumberFormat="1" applyFont="1" applyFill="1" applyBorder="1" applyAlignment="1" applyProtection="1">
      <alignment horizontal="right" vertical="center"/>
      <protection locked="1"/>
    </xf>
    <xf fontId="15" fillId="6" borderId="26" numFmtId="0" xfId="0" applyFont="1" applyFill="1" applyBorder="1" applyAlignment="1" applyProtection="1">
      <alignment horizontal="left" vertical="center"/>
      <protection locked="1"/>
    </xf>
    <xf fontId="15" fillId="6" borderId="25" numFmtId="4" xfId="0" applyNumberFormat="1" applyFont="1" applyFill="1" applyBorder="1" applyAlignment="1" applyProtection="1">
      <alignment horizontal="right" vertical="center"/>
      <protection locked="1"/>
    </xf>
    <xf fontId="15" fillId="6" borderId="25" numFmtId="165" xfId="0" applyNumberFormat="1" applyFont="1" applyFill="1" applyBorder="1" applyAlignment="1" applyProtection="1">
      <alignment horizontal="right" vertical="center"/>
      <protection locked="1"/>
    </xf>
    <xf fontId="15" fillId="6" borderId="27" numFmtId="165" xfId="0" applyNumberFormat="1" applyFont="1" applyFill="1" applyBorder="1" applyAlignment="1" applyProtection="1">
      <alignment horizontal="right" vertical="center"/>
      <protection locked="1"/>
    </xf>
    <xf fontId="15" fillId="7" borderId="26" numFmtId="0" xfId="0" applyFont="1" applyFill="1" applyBorder="1" applyAlignment="1" applyProtection="1">
      <alignment horizontal="center" vertical="center"/>
      <protection locked="1"/>
    </xf>
    <xf fontId="15" fillId="7" borderId="25" numFmtId="0" xfId="0" applyFont="1" applyFill="1" applyBorder="1" applyAlignment="1" applyProtection="1">
      <alignment horizontal="center" vertical="center"/>
      <protection locked="1"/>
    </xf>
    <xf fontId="15" fillId="7" borderId="27" numFmtId="0" xfId="0" applyFont="1" applyFill="1" applyBorder="1" applyAlignment="1" applyProtection="1">
      <alignment horizontal="center" vertical="center"/>
      <protection locked="1"/>
    </xf>
    <xf fontId="1" fillId="9" borderId="31" numFmtId="49" xfId="0" applyNumberFormat="1" applyFont="1" applyFill="1" applyBorder="1" applyAlignment="1" applyProtection="1">
      <alignment horizontal="center" vertical="center"/>
      <protection locked="1"/>
    </xf>
    <xf fontId="15" fillId="6" borderId="31" numFmtId="0" xfId="0" applyFont="1" applyFill="1" applyBorder="1" applyAlignment="1" applyProtection="1">
      <alignment horizontal="left"/>
      <protection locked="1"/>
    </xf>
    <xf fontId="15" fillId="6" borderId="23" numFmtId="4" xfId="0" applyNumberFormat="1" applyFont="1" applyFill="1" applyBorder="1" applyAlignment="1" applyProtection="1">
      <alignment horizontal="right"/>
      <protection locked="1"/>
    </xf>
    <xf fontId="15" fillId="6" borderId="23" numFmtId="165" xfId="0" applyNumberFormat="1" applyFont="1" applyFill="1" applyBorder="1" applyAlignment="1" applyProtection="1">
      <alignment horizontal="right"/>
      <protection locked="1"/>
    </xf>
    <xf fontId="15" fillId="6" borderId="24" numFmtId="165" xfId="0" applyNumberFormat="1" applyFont="1" applyFill="1" applyBorder="1" applyAlignment="1" applyProtection="1">
      <alignment horizontal="right"/>
      <protection locked="1"/>
    </xf>
    <xf fontId="15" fillId="0" borderId="46" numFmtId="4" xfId="0" applyNumberFormat="1" applyFont="1" applyBorder="1" applyProtection="1">
      <protection locked="1"/>
    </xf>
    <xf fontId="15" fillId="0" borderId="46" numFmtId="165" xfId="0" applyNumberFormat="1" applyFont="1" applyBorder="1" applyProtection="1">
      <protection locked="1"/>
    </xf>
    <xf fontId="15" fillId="0" borderId="47" numFmtId="165" xfId="0" applyNumberFormat="1" applyFont="1" applyBorder="1" applyProtection="1">
      <protection locked="1"/>
    </xf>
    <xf fontId="1" fillId="0" borderId="9" numFmtId="0" xfId="0" applyFont="1" applyBorder="1" applyAlignment="1" applyProtection="1">
      <alignment horizontal="left" vertical="center"/>
      <protection locked="1"/>
    </xf>
    <xf fontId="1" fillId="0" borderId="48" numFmtId="0" xfId="0" applyFont="1" applyBorder="1" applyAlignment="1" applyProtection="1">
      <alignment horizontal="left" vertical="center"/>
      <protection locked="1"/>
    </xf>
    <xf fontId="1" fillId="5" borderId="45" numFmtId="4" xfId="0" applyNumberFormat="1" applyFont="1" applyFill="1" applyBorder="1" applyAlignment="1" applyProtection="1">
      <alignment horizontal="right" vertical="center"/>
      <protection locked="0"/>
    </xf>
    <xf fontId="1" fillId="9" borderId="45" numFmtId="165" xfId="0" applyNumberFormat="1" applyFont="1" applyFill="1" applyBorder="1" applyAlignment="1" applyProtection="1">
      <alignment horizontal="right" vertical="center"/>
      <protection locked="1"/>
    </xf>
    <xf fontId="18" fillId="0" borderId="16" numFmtId="0" xfId="0" applyFont="1" applyBorder="1" applyAlignment="1" applyProtection="1">
      <alignment horizontal="left" vertical="center"/>
      <protection locked="1"/>
    </xf>
    <xf fontId="18" fillId="0" borderId="17" numFmtId="4" xfId="0" applyNumberFormat="1" applyFont="1" applyBorder="1" applyAlignment="1" applyProtection="1">
      <alignment horizontal="right" vertical="center"/>
      <protection locked="1"/>
    </xf>
    <xf fontId="18" fillId="0" borderId="17" numFmtId="165" xfId="0" applyNumberFormat="1" applyFont="1" applyBorder="1" applyAlignment="1" applyProtection="1">
      <alignment horizontal="right" vertical="center"/>
      <protection locked="1"/>
    </xf>
    <xf fontId="0" fillId="0" borderId="17" numFmtId="0" xfId="0" applyBorder="1" applyProtection="1">
      <protection locked="1"/>
    </xf>
    <xf fontId="0" fillId="0" borderId="18" numFmtId="0" xfId="0" applyBorder="1" applyProtection="1">
      <protection locked="1"/>
    </xf>
    <xf fontId="15" fillId="0" borderId="0" numFmtId="0" xfId="0" applyFont="1" applyAlignment="1" applyProtection="1">
      <alignment horizontal="left" vertical="center"/>
      <protection locked="1"/>
    </xf>
    <xf fontId="10" fillId="9" borderId="23" numFmtId="0" xfId="0" applyFont="1" applyFill="1" applyBorder="1" applyAlignment="1" applyProtection="1">
      <alignment horizontal="left"/>
      <protection locked="1"/>
    </xf>
    <xf fontId="10" fillId="9" borderId="23" numFmtId="0" xfId="0" applyFont="1" applyFill="1" applyBorder="1" applyAlignment="1" applyProtection="1">
      <alignment horizontal="center"/>
      <protection locked="1"/>
    </xf>
    <xf fontId="10" fillId="9" borderId="23" numFmtId="4" xfId="0" applyNumberFormat="1" applyFont="1" applyFill="1" applyBorder="1" applyAlignment="1" applyProtection="1">
      <alignment horizontal="right"/>
      <protection locked="1"/>
    </xf>
    <xf fontId="10" fillId="9" borderId="23" numFmtId="165" xfId="0" applyNumberFormat="1" applyFont="1" applyFill="1" applyBorder="1" applyAlignment="1" applyProtection="1">
      <alignment horizontal="right"/>
      <protection locked="1"/>
    </xf>
    <xf fontId="10" fillId="9" borderId="23" numFmtId="167" xfId="0" applyNumberFormat="1" applyFont="1" applyFill="1" applyBorder="1" applyAlignment="1" applyProtection="1">
      <alignment horizontal="right"/>
      <protection locked="1"/>
    </xf>
    <xf fontId="1" fillId="5" borderId="23" numFmtId="0" xfId="0" applyFont="1" applyFill="1" applyBorder="1" applyAlignment="1" applyProtection="1">
      <alignment horizontal="left"/>
      <protection locked="0"/>
    </xf>
    <xf fontId="1" fillId="5" borderId="23" numFmtId="0" xfId="0" applyFont="1" applyFill="1" applyBorder="1" applyAlignment="1" applyProtection="1">
      <alignment horizontal="center"/>
      <protection locked="0"/>
    </xf>
    <xf fontId="1" fillId="5" borderId="23" numFmtId="4" xfId="0" applyNumberFormat="1" applyFont="1" applyFill="1" applyBorder="1" applyAlignment="1" applyProtection="1">
      <alignment horizontal="right"/>
      <protection locked="0"/>
    </xf>
    <xf fontId="1" fillId="5" borderId="23" numFmtId="165" xfId="0" applyNumberFormat="1" applyFont="1" applyFill="1" applyBorder="1" applyAlignment="1" applyProtection="1">
      <alignment horizontal="right"/>
      <protection locked="0"/>
    </xf>
    <xf fontId="1" fillId="9" borderId="23" numFmtId="167" xfId="0" applyNumberFormat="1" applyFont="1" applyFill="1" applyBorder="1" applyAlignment="1" applyProtection="1">
      <alignment horizontal="right"/>
      <protection locked="1"/>
    </xf>
    <xf fontId="15" fillId="9" borderId="23" numFmtId="0" xfId="0" applyFont="1" applyFill="1" applyBorder="1" applyAlignment="1" applyProtection="1">
      <alignment horizontal="left"/>
      <protection locked="1"/>
    </xf>
    <xf fontId="15" fillId="9" borderId="23" numFmtId="0" xfId="0" applyFont="1" applyFill="1" applyBorder="1" applyAlignment="1" applyProtection="1">
      <alignment horizontal="center"/>
      <protection locked="1"/>
    </xf>
    <xf fontId="15" fillId="9" borderId="23" numFmtId="4" xfId="0" applyNumberFormat="1" applyFont="1" applyFill="1" applyBorder="1" applyAlignment="1" applyProtection="1">
      <alignment horizontal="right"/>
      <protection locked="1"/>
    </xf>
    <xf fontId="15" fillId="9" borderId="23" numFmtId="165" xfId="0" applyNumberFormat="1" applyFont="1" applyFill="1" applyBorder="1" applyAlignment="1" applyProtection="1">
      <alignment horizontal="right"/>
      <protection locked="1"/>
    </xf>
    <xf fontId="15" fillId="9" borderId="23" numFmtId="167" xfId="0" applyNumberFormat="1" applyFont="1" applyFill="1" applyBorder="1" applyAlignment="1" applyProtection="1">
      <alignment horizontal="right"/>
      <protection locked="1"/>
    </xf>
    <xf fontId="1" fillId="9" borderId="23" numFmtId="165" xfId="0" applyNumberFormat="1" applyFont="1" applyFill="1" applyBorder="1" applyAlignment="1" applyProtection="1">
      <alignment horizontal="right"/>
      <protection locked="1"/>
    </xf>
    <xf fontId="1" fillId="8" borderId="45" numFmtId="0" xfId="0" applyFont="1" applyFill="1" applyBorder="1" applyAlignment="1" applyProtection="1">
      <alignment horizontal="center" vertical="center"/>
      <protection locked="1"/>
    </xf>
    <xf fontId="1" fillId="8" borderId="45" numFmtId="166" xfId="0" applyNumberFormat="1" applyFont="1" applyFill="1" applyBorder="1" applyAlignment="1" applyProtection="1">
      <alignment horizontal="center" vertical="center"/>
      <protection locked="1"/>
    </xf>
    <xf fontId="1" fillId="5" borderId="45" numFmtId="164" xfId="0" applyNumberFormat="1" applyFont="1" applyFill="1" applyBorder="1" applyAlignment="1" applyProtection="1">
      <alignment horizontal="center" vertical="center"/>
      <protection locked="0"/>
    </xf>
    <xf fontId="15" fillId="8" borderId="25" numFmtId="0" xfId="0" applyFont="1" applyFill="1" applyBorder="1" applyAlignment="1" applyProtection="1">
      <alignment horizontal="center" vertical="center"/>
      <protection locked="1"/>
    </xf>
    <xf fontId="1" fillId="0" borderId="23" numFmtId="0" xfId="0" applyFont="1" applyBorder="1" applyAlignment="1" applyProtection="1">
      <alignment horizontal="left" vertical="center"/>
      <protection locked="1"/>
    </xf>
    <xf fontId="1" fillId="0" borderId="23" numFmtId="165" xfId="0" applyNumberFormat="1" applyFont="1" applyBorder="1" applyAlignment="1" applyProtection="1">
      <alignment horizontal="right" vertical="center"/>
      <protection locked="1"/>
    </xf>
    <xf fontId="15" fillId="8" borderId="49" numFmtId="0" xfId="0" applyFont="1" applyFill="1" applyBorder="1" applyAlignment="1" applyProtection="1">
      <alignment horizontal="left" vertical="center"/>
      <protection locked="1"/>
    </xf>
    <xf fontId="15" fillId="8" borderId="49" numFmtId="4" xfId="0" applyNumberFormat="1" applyFont="1" applyFill="1" applyBorder="1" applyAlignment="1" applyProtection="1">
      <alignment horizontal="right" vertical="center"/>
      <protection locked="1"/>
    </xf>
    <xf fontId="15" fillId="8" borderId="49" numFmtId="165" xfId="0" applyNumberFormat="1" applyFont="1" applyFill="1" applyBorder="1" applyAlignment="1" applyProtection="1">
      <alignment horizontal="right" vertical="center"/>
      <protection locked="1"/>
    </xf>
    <xf fontId="10" fillId="0" borderId="0" numFmtId="4" xfId="0" applyNumberFormat="1" applyFont="1" applyAlignment="1" applyProtection="1">
      <alignment horizontal="right" vertical="center"/>
      <protection locked="1"/>
    </xf>
    <xf fontId="1" fillId="0" borderId="0" numFmtId="165" xfId="0" applyNumberFormat="1" applyFont="1" applyAlignment="1" applyProtection="1">
      <alignment horizontal="right" vertical="center"/>
      <protection locked="1"/>
    </xf>
    <xf fontId="10" fillId="0" borderId="23" numFmtId="4" xfId="0" applyNumberFormat="1" applyFont="1" applyBorder="1" applyAlignment="1" applyProtection="1">
      <alignment horizontal="right" vertical="center"/>
      <protection locked="1"/>
    </xf>
    <xf fontId="19" fillId="0" borderId="50" numFmtId="0" xfId="0" applyFont="1" applyBorder="1" applyAlignment="1" applyProtection="1">
      <alignment horizontal="left" vertical="center"/>
      <protection locked="1"/>
    </xf>
    <xf fontId="19" fillId="10" borderId="49" numFmtId="4" xfId="0" applyNumberFormat="1" applyFont="1" applyFill="1" applyBorder="1" applyAlignment="1" applyProtection="1">
      <alignment horizontal="right" vertical="center"/>
      <protection locked="1"/>
    </xf>
    <xf fontId="19" fillId="10" borderId="49" numFmtId="165" xfId="0" applyNumberFormat="1" applyFont="1" applyFill="1" applyBorder="1" applyAlignment="1" applyProtection="1">
      <alignment horizontal="right" vertical="center"/>
      <protection locked="1"/>
    </xf>
    <xf fontId="1" fillId="5" borderId="23" numFmtId="165" xfId="0" applyNumberFormat="1" applyFont="1" applyFill="1" applyBorder="1" applyAlignment="1" applyProtection="1">
      <alignment horizontal="right" vertical="center"/>
      <protection locked="0"/>
    </xf>
    <xf fontId="2" fillId="11" borderId="0" numFmtId="0" xfId="0" applyFont="1" applyFill="1" applyAlignment="1" applyProtection="1">
      <alignment horizontal="left" vertical="center"/>
      <protection locked="1"/>
    </xf>
    <xf fontId="20" fillId="11" borderId="0" numFmtId="0" xfId="0" applyFont="1" applyFill="1" applyAlignment="1" applyProtection="1">
      <alignment horizontal="left" vertical="center"/>
      <protection locked="1"/>
    </xf>
    <xf fontId="21" fillId="11" borderId="0" numFmtId="0" xfId="0" applyFont="1" applyFill="1" applyAlignment="1" applyProtection="1">
      <alignment horizontal="center" vertical="center"/>
      <protection locked="1"/>
    </xf>
    <xf fontId="22" fillId="11" borderId="51" numFmtId="0" xfId="0" applyFont="1" applyFill="1" applyBorder="1" applyAlignment="1" applyProtection="1">
      <alignment horizontal="center" vertical="center"/>
      <protection locked="1"/>
    </xf>
    <xf fontId="22" fillId="11" borderId="14" numFmtId="0" xfId="0" applyFont="1" applyFill="1" applyBorder="1" applyAlignment="1" applyProtection="1">
      <alignment horizontal="center" vertical="center"/>
      <protection locked="1"/>
    </xf>
    <xf fontId="22" fillId="11" borderId="52" numFmtId="0" xfId="0" applyFont="1" applyFill="1" applyBorder="1" applyAlignment="1" applyProtection="1">
      <alignment horizontal="center" vertical="center"/>
      <protection locked="1"/>
    </xf>
    <xf fontId="11" fillId="0" borderId="0" numFmtId="0" xfId="0" applyFont="1" applyAlignment="1" applyProtection="1">
      <alignment horizontal="center" vertical="center"/>
      <protection locked="1"/>
    </xf>
    <xf fontId="15" fillId="0" borderId="31" numFmtId="0" xfId="0" applyFont="1" applyBorder="1" applyAlignment="1" applyProtection="1">
      <alignment horizontal="left" vertical="center"/>
      <protection locked="1"/>
    </xf>
    <xf fontId="1" fillId="8" borderId="23" numFmtId="0" xfId="0" applyFont="1" applyFill="1" applyBorder="1" applyAlignment="1" applyProtection="1">
      <alignment horizontal="center" vertical="center"/>
      <protection locked="1"/>
    </xf>
    <xf fontId="1" fillId="8" borderId="24" numFmtId="0" xfId="0" applyFont="1" applyFill="1" applyBorder="1" applyAlignment="1" applyProtection="1">
      <alignment horizontal="center" vertical="center"/>
      <protection locked="1"/>
    </xf>
    <xf fontId="1" fillId="8" borderId="23" numFmtId="168" xfId="0" applyNumberFormat="1" applyFont="1" applyFill="1" applyBorder="1" applyAlignment="1" applyProtection="1">
      <alignment horizontal="center" vertical="center"/>
      <protection locked="1"/>
    </xf>
    <xf fontId="1" fillId="8" borderId="24" numFmtId="168" xfId="0" applyNumberFormat="1" applyFont="1" applyFill="1" applyBorder="1" applyAlignment="1" applyProtection="1">
      <alignment horizontal="center" vertical="center"/>
      <protection locked="1"/>
    </xf>
    <xf fontId="13" fillId="0" borderId="31" numFmtId="0" xfId="0" applyFont="1" applyBorder="1" applyAlignment="1" applyProtection="1">
      <alignment horizontal="left" vertical="center"/>
      <protection locked="1"/>
    </xf>
    <xf fontId="13" fillId="0" borderId="23" numFmtId="0" xfId="0" applyFont="1" applyBorder="1" applyAlignment="1" applyProtection="1">
      <alignment horizontal="left" vertical="center"/>
      <protection locked="1"/>
    </xf>
    <xf fontId="1" fillId="5" borderId="23" numFmtId="0" xfId="0" applyFont="1" applyFill="1" applyBorder="1" applyAlignment="1" applyProtection="1">
      <alignment horizontal="center" vertical="center"/>
      <protection locked="0"/>
    </xf>
    <xf fontId="1" fillId="5" borderId="24" numFmtId="0" xfId="0" applyFont="1" applyFill="1" applyBorder="1" applyAlignment="1" applyProtection="1">
      <alignment horizontal="center" vertical="center"/>
      <protection locked="0"/>
    </xf>
    <xf fontId="1" fillId="8" borderId="23" numFmtId="166" xfId="0" applyNumberFormat="1" applyFont="1" applyFill="1" applyBorder="1" applyAlignment="1" applyProtection="1">
      <alignment horizontal="center" vertical="center"/>
      <protection locked="1"/>
    </xf>
    <xf fontId="1" fillId="8" borderId="24" numFmtId="166" xfId="0" applyNumberFormat="1" applyFont="1" applyFill="1" applyBorder="1" applyAlignment="1" applyProtection="1">
      <alignment horizontal="center" vertical="center"/>
      <protection locked="1"/>
    </xf>
    <xf fontId="15" fillId="8" borderId="23" numFmtId="1" xfId="0" applyNumberFormat="1" applyFont="1" applyFill="1" applyBorder="1" applyAlignment="1" applyProtection="1">
      <alignment horizontal="center" vertical="center"/>
      <protection locked="1"/>
    </xf>
    <xf fontId="15" fillId="8" borderId="24" numFmtId="1" xfId="0" applyNumberFormat="1" applyFont="1" applyFill="1" applyBorder="1" applyAlignment="1" applyProtection="1">
      <alignment horizontal="center" vertical="center"/>
      <protection locked="1"/>
    </xf>
    <xf fontId="1" fillId="8" borderId="23" numFmtId="164" xfId="0" applyNumberFormat="1" applyFont="1" applyFill="1" applyBorder="1" applyAlignment="1" applyProtection="1">
      <alignment horizontal="center" vertical="center"/>
      <protection locked="1"/>
    </xf>
    <xf fontId="1" fillId="8" borderId="24" numFmtId="164" xfId="0" applyNumberFormat="1" applyFont="1" applyFill="1" applyBorder="1" applyAlignment="1" applyProtection="1">
      <alignment horizontal="center" vertical="center"/>
      <protection locked="1"/>
    </xf>
    <xf fontId="6" fillId="7" borderId="31" numFmtId="0" xfId="0" applyFont="1" applyFill="1" applyBorder="1" applyAlignment="1" applyProtection="1">
      <alignment horizontal="left" vertical="center"/>
      <protection locked="1"/>
    </xf>
    <xf fontId="6" fillId="7" borderId="23" numFmtId="0" xfId="0" applyFont="1" applyFill="1" applyBorder="1" applyAlignment="1" applyProtection="1">
      <alignment horizontal="left" vertical="center"/>
      <protection locked="1"/>
    </xf>
    <xf fontId="6" fillId="7" borderId="24" numFmtId="0" xfId="0" applyFont="1" applyFill="1" applyBorder="1" applyAlignment="1" applyProtection="1">
      <alignment horizontal="left" vertical="center"/>
      <protection locked="1"/>
    </xf>
    <xf fontId="15" fillId="8" borderId="26" numFmtId="0" xfId="0" applyFont="1" applyFill="1" applyBorder="1" applyAlignment="1" applyProtection="1">
      <alignment horizontal="center" vertical="center"/>
      <protection locked="1"/>
    </xf>
    <xf fontId="15" fillId="8" borderId="27" numFmtId="0" xfId="0" applyFont="1" applyFill="1" applyBorder="1" applyAlignment="1" applyProtection="1">
      <alignment horizontal="center" vertical="center"/>
      <protection locked="1"/>
    </xf>
    <xf fontId="9" fillId="0" borderId="31" numFmtId="0" xfId="0" applyFont="1" applyBorder="1" applyAlignment="1" applyProtection="1">
      <alignment horizontal="left" vertical="center"/>
      <protection locked="1"/>
    </xf>
    <xf fontId="9" fillId="0" borderId="23" numFmtId="0" xfId="0" applyFont="1" applyBorder="1" applyAlignment="1" applyProtection="1">
      <alignment horizontal="left" vertical="center"/>
      <protection locked="1"/>
    </xf>
    <xf fontId="1" fillId="0" borderId="23" numFmtId="4" xfId="0" applyNumberFormat="1" applyFont="1" applyBorder="1" applyAlignment="1" applyProtection="1">
      <alignment horizontal="right" vertical="center"/>
      <protection locked="1"/>
    </xf>
    <xf fontId="1" fillId="0" borderId="24" numFmtId="165" xfId="0" applyNumberFormat="1" applyFont="1" applyBorder="1" applyAlignment="1" applyProtection="1">
      <alignment horizontal="right" vertical="center"/>
      <protection locked="1"/>
    </xf>
    <xf fontId="9" fillId="0" borderId="32" numFmtId="0" xfId="0" applyFont="1" applyBorder="1" applyAlignment="1" applyProtection="1">
      <alignment horizontal="left" vertical="center"/>
      <protection locked="1"/>
    </xf>
    <xf fontId="9" fillId="0" borderId="33" numFmtId="0" xfId="0" applyFont="1" applyBorder="1" applyAlignment="1" applyProtection="1">
      <alignment horizontal="left" vertical="center"/>
      <protection locked="1"/>
    </xf>
    <xf fontId="1" fillId="0" borderId="33" numFmtId="4" xfId="0" applyNumberFormat="1" applyFont="1" applyBorder="1" applyAlignment="1" applyProtection="1">
      <alignment horizontal="right" vertical="center"/>
      <protection locked="1"/>
    </xf>
    <xf fontId="1" fillId="0" borderId="34" numFmtId="165" xfId="0" applyNumberFormat="1" applyFont="1" applyBorder="1" applyAlignment="1" applyProtection="1">
      <alignment horizontal="right" vertical="center"/>
      <protection locked="1"/>
    </xf>
    <xf fontId="15" fillId="8" borderId="31" numFmtId="0" xfId="0" applyFont="1" applyFill="1" applyBorder="1" applyAlignment="1" applyProtection="1">
      <alignment horizontal="left" vertical="center"/>
      <protection locked="1"/>
    </xf>
    <xf fontId="15" fillId="8" borderId="23" numFmtId="4" xfId="0" applyNumberFormat="1" applyFont="1" applyFill="1" applyBorder="1" applyAlignment="1" applyProtection="1">
      <alignment horizontal="right" vertical="center"/>
      <protection locked="1"/>
    </xf>
    <xf fontId="15" fillId="8" borderId="24" numFmtId="165" xfId="0" applyNumberFormat="1" applyFont="1" applyFill="1" applyBorder="1" applyAlignment="1" applyProtection="1">
      <alignment horizontal="right" vertical="center"/>
      <protection locked="1"/>
    </xf>
    <xf fontId="13" fillId="0" borderId="38" numFmtId="0" xfId="0" applyFont="1" applyBorder="1" applyAlignment="1" applyProtection="1">
      <alignment horizontal="left" vertical="center"/>
      <protection locked="1"/>
    </xf>
    <xf fontId="13" fillId="0" borderId="39" numFmtId="0" xfId="0" applyFont="1" applyBorder="1" applyAlignment="1" applyProtection="1">
      <alignment horizontal="left" vertical="center"/>
      <protection locked="1"/>
    </xf>
    <xf fontId="1" fillId="8" borderId="40" numFmtId="165" xfId="0" applyNumberFormat="1" applyFont="1" applyFill="1" applyBorder="1" applyAlignment="1" applyProtection="1">
      <alignment horizontal="right" vertical="center"/>
      <protection locked="1"/>
    </xf>
    <xf fontId="23" fillId="11" borderId="51" numFmtId="0" xfId="0" applyFont="1" applyFill="1" applyBorder="1" applyAlignment="1" applyProtection="1">
      <alignment horizontal="center" vertical="center"/>
      <protection locked="1"/>
    </xf>
    <xf fontId="23" fillId="11" borderId="14" numFmtId="0" xfId="0" applyFont="1" applyFill="1" applyBorder="1" applyAlignment="1" applyProtection="1">
      <alignment horizontal="center" vertical="center"/>
      <protection locked="1"/>
    </xf>
    <xf fontId="23" fillId="11" borderId="52" numFmtId="0" xfId="0" applyFont="1" applyFill="1" applyBorder="1" applyAlignment="1" applyProtection="1">
      <alignment horizontal="center" vertical="center"/>
      <protection locked="1"/>
    </xf>
    <xf fontId="1" fillId="8" borderId="24" numFmtId="165" xfId="0" applyNumberFormat="1" applyFont="1" applyFill="1" applyBorder="1" applyAlignment="1" applyProtection="1">
      <alignment horizontal="right" vertical="center"/>
      <protection locked="1"/>
    </xf>
    <xf fontId="9" fillId="5" borderId="31" numFmtId="0" xfId="0" applyFont="1" applyFill="1" applyBorder="1" applyAlignment="1" applyProtection="1">
      <alignment horizontal="center" vertical="center"/>
      <protection locked="0"/>
    </xf>
    <xf fontId="1" fillId="12" borderId="24" numFmtId="165" xfId="0" applyNumberFormat="1" applyFont="1" applyFill="1" applyBorder="1" applyAlignment="1" applyProtection="1">
      <alignment horizontal="right" vertical="center"/>
      <protection locked="1"/>
    </xf>
    <xf fontId="4" fillId="0" borderId="32" numFmtId="0" xfId="0" applyFont="1" applyBorder="1" applyAlignment="1" applyProtection="1">
      <alignment horizontal="left" vertical="center"/>
      <protection locked="1"/>
    </xf>
    <xf fontId="4" fillId="0" borderId="33" numFmtId="0" xfId="0" applyFont="1" applyBorder="1" applyAlignment="1" applyProtection="1">
      <alignment horizontal="left" vertical="center"/>
      <protection locked="1"/>
    </xf>
    <xf fontId="15" fillId="8" borderId="34" numFmtId="165" xfId="0" applyNumberFormat="1" applyFont="1" applyFill="1" applyBorder="1" applyAlignment="1" applyProtection="1">
      <alignment horizontal="right" vertical="center"/>
      <protection locked="1"/>
    </xf>
    <xf fontId="4" fillId="0" borderId="23" numFmtId="0" xfId="0" applyFont="1" applyBorder="1" applyAlignment="1" applyProtection="1">
      <alignment horizontal="left" vertical="center"/>
      <protection locked="1"/>
    </xf>
    <xf fontId="0" fillId="0" borderId="16" numFmtId="0" xfId="0" applyBorder="1" applyProtection="1">
      <protection locked="1"/>
    </xf>
    <xf fontId="15" fillId="10" borderId="32" numFmtId="0" xfId="0" applyFont="1" applyFill="1" applyBorder="1" applyAlignment="1" applyProtection="1">
      <alignment horizontal="left" vertical="center"/>
      <protection locked="1"/>
    </xf>
    <xf fontId="15" fillId="10" borderId="33" numFmtId="4" xfId="0" applyNumberFormat="1" applyFont="1" applyFill="1" applyBorder="1" applyAlignment="1" applyProtection="1">
      <alignment horizontal="right" vertical="center"/>
      <protection locked="1"/>
    </xf>
    <xf fontId="15" fillId="10" borderId="34" numFmtId="165" xfId="0" applyNumberFormat="1" applyFont="1" applyFill="1" applyBorder="1" applyAlignment="1" applyProtection="1">
      <alignment horizontal="right" vertical="center"/>
      <protection locked="1"/>
    </xf>
    <xf fontId="1" fillId="12" borderId="40" numFmtId="165" xfId="0" applyNumberFormat="1" applyFont="1" applyFill="1" applyBorder="1" applyAlignment="1" applyProtection="1">
      <alignment horizontal="right" vertical="center"/>
      <protection locked="1"/>
    </xf>
    <xf fontId="11" fillId="7" borderId="38" numFmtId="0" xfId="0" applyFont="1" applyFill="1" applyBorder="1" applyAlignment="1" applyProtection="1">
      <alignment horizontal="center" vertical="center"/>
      <protection locked="1"/>
    </xf>
    <xf fontId="11" fillId="7" borderId="39" numFmtId="0" xfId="0" applyFont="1" applyFill="1" applyBorder="1" applyAlignment="1" applyProtection="1">
      <alignment horizontal="center" vertical="center"/>
      <protection locked="1"/>
    </xf>
    <xf fontId="11" fillId="7" borderId="40" numFmtId="0" xfId="0" applyFont="1" applyFill="1" applyBorder="1" applyAlignment="1" applyProtection="1">
      <alignment horizontal="center" vertical="center"/>
      <protection locked="1"/>
    </xf>
    <xf fontId="1" fillId="8" borderId="23" numFmtId="4" xfId="0" applyNumberFormat="1" applyFont="1" applyFill="1" applyBorder="1" applyAlignment="1" applyProtection="1">
      <alignment horizontal="right" vertical="center"/>
      <protection locked="1"/>
    </xf>
    <xf fontId="1" fillId="8" borderId="23" numFmtId="0" xfId="0" applyFont="1" applyFill="1" applyBorder="1" applyProtection="1">
      <protection locked="1"/>
    </xf>
    <xf fontId="1" fillId="5" borderId="23" numFmtId="1" xfId="0" applyNumberFormat="1" applyFont="1" applyFill="1" applyBorder="1" applyAlignment="1" applyProtection="1">
      <alignment horizontal="center" vertical="center"/>
      <protection locked="0"/>
    </xf>
    <xf fontId="1" fillId="8" borderId="23" numFmtId="1" xfId="0" applyNumberFormat="1" applyFont="1" applyFill="1" applyBorder="1" applyAlignment="1" applyProtection="1">
      <alignment horizontal="center" vertical="center"/>
      <protection locked="1"/>
    </xf>
    <xf fontId="1" fillId="8" borderId="24" numFmtId="1" xfId="0" applyNumberFormat="1" applyFont="1" applyFill="1" applyBorder="1" applyAlignment="1" applyProtection="1">
      <alignment horizontal="center" vertical="center"/>
      <protection locked="1"/>
    </xf>
    <xf fontId="4" fillId="0" borderId="31" numFmtId="0" xfId="0" applyFont="1" applyBorder="1" applyAlignment="1" applyProtection="1">
      <alignment horizontal="left" vertical="center"/>
      <protection locked="1"/>
    </xf>
    <xf fontId="15" fillId="8" borderId="23" numFmtId="0" xfId="0" applyFont="1" applyFill="1" applyBorder="1" applyAlignment="1" applyProtection="1">
      <alignment horizontal="center" vertical="center"/>
      <protection locked="1"/>
    </xf>
    <xf fontId="15" fillId="8" borderId="24" numFmtId="0" xfId="0" applyFont="1" applyFill="1" applyBorder="1" applyAlignment="1" applyProtection="1">
      <alignment horizontal="center" vertical="center"/>
      <protection locked="1"/>
    </xf>
    <xf fontId="13" fillId="0" borderId="32" numFmtId="0" xfId="0" applyFont="1" applyBorder="1" applyAlignment="1" applyProtection="1">
      <alignment horizontal="left" vertical="center"/>
      <protection locked="1"/>
    </xf>
    <xf fontId="1" fillId="8" borderId="33" numFmtId="169" xfId="0" applyNumberFormat="1" applyFont="1" applyFill="1" applyBorder="1" applyAlignment="1" applyProtection="1">
      <alignment horizontal="right" vertical="center"/>
      <protection locked="1"/>
    </xf>
    <xf fontId="1" fillId="8" borderId="33" numFmtId="0" xfId="0" applyFont="1" applyFill="1" applyBorder="1" applyProtection="1">
      <protection locked="1"/>
    </xf>
    <xf fontId="1" fillId="8" borderId="34" numFmtId="169" xfId="0" applyNumberFormat="1" applyFont="1" applyFill="1" applyBorder="1" applyAlignment="1" applyProtection="1">
      <alignment horizontal="right" vertical="center"/>
      <protection locked="1"/>
    </xf>
    <xf fontId="24" fillId="11" borderId="51" numFmtId="0" xfId="0" applyFont="1" applyFill="1" applyBorder="1" applyAlignment="1" applyProtection="1">
      <alignment horizontal="center" vertical="center" wrapText="1"/>
      <protection locked="1"/>
    </xf>
    <xf fontId="24" fillId="11" borderId="14" numFmtId="0" xfId="0" applyFont="1" applyFill="1" applyBorder="1" applyAlignment="1" applyProtection="1">
      <alignment horizontal="center" vertical="center" wrapText="1"/>
      <protection locked="1"/>
    </xf>
    <xf fontId="24" fillId="11" borderId="52" numFmtId="0" xfId="0" applyFont="1" applyFill="1" applyBorder="1" applyAlignment="1" applyProtection="1">
      <alignment horizontal="center" vertical="center" wrapText="1"/>
      <protection locked="1"/>
    </xf>
    <xf fontId="1" fillId="0" borderId="31" numFmtId="0" xfId="0" applyFont="1" applyBorder="1" applyAlignment="1" applyProtection="1">
      <alignment horizontal="left" vertical="center"/>
      <protection locked="1"/>
    </xf>
    <xf fontId="1" fillId="0" borderId="23" numFmtId="169" xfId="0" applyNumberFormat="1" applyFont="1" applyBorder="1" applyAlignment="1" applyProtection="1">
      <alignment horizontal="right" vertical="center"/>
      <protection locked="1"/>
    </xf>
    <xf fontId="1" fillId="8" borderId="23" numFmtId="165" xfId="0" applyNumberFormat="1" applyFont="1" applyFill="1" applyBorder="1" applyAlignment="1" applyProtection="1">
      <alignment horizontal="right" vertical="center"/>
      <protection locked="1"/>
    </xf>
    <xf fontId="1" fillId="0" borderId="24" numFmtId="169" xfId="0" applyNumberFormat="1" applyFont="1" applyBorder="1" applyAlignment="1" applyProtection="1">
      <alignment horizontal="right" vertical="center"/>
      <protection locked="1"/>
    </xf>
    <xf fontId="25" fillId="11" borderId="35" numFmtId="0" xfId="0" applyFont="1" applyFill="1" applyBorder="1" applyAlignment="1" applyProtection="1">
      <alignment horizontal="left" vertical="center"/>
      <protection locked="1"/>
    </xf>
    <xf fontId="25" fillId="11" borderId="36" numFmtId="4" xfId="0" applyNumberFormat="1" applyFont="1" applyFill="1" applyBorder="1" applyAlignment="1" applyProtection="1">
      <alignment horizontal="right" vertical="center"/>
      <protection locked="1"/>
    </xf>
    <xf fontId="25" fillId="11" borderId="36" numFmtId="169" xfId="0" applyNumberFormat="1" applyFont="1" applyFill="1" applyBorder="1" applyAlignment="1" applyProtection="1">
      <alignment horizontal="right" vertical="center"/>
      <protection locked="1"/>
    </xf>
    <xf fontId="25" fillId="11" borderId="36" numFmtId="165" xfId="0" applyNumberFormat="1" applyFont="1" applyFill="1" applyBorder="1" applyAlignment="1" applyProtection="1">
      <alignment horizontal="right" vertical="center"/>
      <protection locked="1"/>
    </xf>
    <xf fontId="25" fillId="11" borderId="37" numFmtId="169" xfId="0" applyNumberFormat="1" applyFont="1" applyFill="1" applyBorder="1" applyAlignment="1" applyProtection="1">
      <alignment horizontal="right" vertical="center"/>
      <protection locked="1"/>
    </xf>
    <xf fontId="1" fillId="6" borderId="23" numFmtId="0" xfId="0" applyFont="1" applyFill="1" applyBorder="1" applyAlignment="1" applyProtection="1">
      <alignment horizontal="center" vertical="center"/>
      <protection locked="1"/>
    </xf>
    <xf fontId="1" fillId="6" borderId="24" numFmtId="0" xfId="0" applyFont="1" applyFill="1" applyBorder="1" applyAlignment="1" applyProtection="1">
      <alignment horizontal="center" vertical="center"/>
      <protection locked="1"/>
    </xf>
    <xf fontId="1" fillId="6" borderId="23" numFmtId="168" xfId="0" applyNumberFormat="1" applyFont="1" applyFill="1" applyBorder="1" applyAlignment="1" applyProtection="1">
      <alignment horizontal="center" vertical="center"/>
      <protection locked="1"/>
    </xf>
    <xf fontId="1" fillId="6" borderId="24" numFmtId="168" xfId="0" applyNumberFormat="1" applyFont="1" applyFill="1" applyBorder="1" applyAlignment="1" applyProtection="1">
      <alignment horizontal="center" vertical="center"/>
      <protection locked="1"/>
    </xf>
    <xf fontId="1" fillId="6" borderId="23" numFmtId="166" xfId="0" applyNumberFormat="1" applyFont="1" applyFill="1" applyBorder="1" applyAlignment="1" applyProtection="1">
      <alignment horizontal="center" vertical="center"/>
      <protection locked="1"/>
    </xf>
    <xf fontId="1" fillId="6" borderId="24" numFmtId="166" xfId="0" applyNumberFormat="1" applyFont="1" applyFill="1" applyBorder="1" applyAlignment="1" applyProtection="1">
      <alignment horizontal="center" vertical="center"/>
      <protection locked="1"/>
    </xf>
    <xf fontId="13" fillId="0" borderId="33" numFmtId="0" xfId="0" applyFont="1" applyBorder="1" applyAlignment="1" applyProtection="1">
      <alignment horizontal="left" vertical="center"/>
      <protection locked="1"/>
    </xf>
    <xf fontId="15" fillId="8" borderId="33" numFmtId="1" xfId="0" applyNumberFormat="1" applyFont="1" applyFill="1" applyBorder="1" applyAlignment="1" applyProtection="1">
      <alignment horizontal="center" vertical="center"/>
      <protection locked="1"/>
    </xf>
    <xf fontId="15" fillId="8" borderId="34" numFmtId="1" xfId="0" applyNumberFormat="1" applyFont="1" applyFill="1" applyBorder="1" applyAlignment="1" applyProtection="1">
      <alignment horizontal="center" vertical="center"/>
      <protection locked="1"/>
    </xf>
    <xf fontId="1" fillId="6" borderId="23" numFmtId="167" xfId="0" applyNumberFormat="1" applyFont="1" applyFill="1" applyBorder="1" applyAlignment="1" applyProtection="1">
      <alignment horizontal="center" vertical="center"/>
      <protection locked="1"/>
    </xf>
    <xf fontId="1" fillId="6" borderId="24" numFmtId="167" xfId="0" applyNumberFormat="1" applyFont="1" applyFill="1" applyBorder="1" applyAlignment="1" applyProtection="1">
      <alignment horizontal="center" vertical="center"/>
      <protection locked="1"/>
    </xf>
    <xf fontId="15" fillId="7" borderId="51" numFmtId="0" xfId="0" applyFont="1" applyFill="1" applyBorder="1" applyAlignment="1" applyProtection="1">
      <alignment horizontal="left" vertical="center"/>
      <protection locked="1"/>
    </xf>
    <xf fontId="15" fillId="7" borderId="14" numFmtId="0" xfId="0" applyFont="1" applyFill="1" applyBorder="1" applyAlignment="1" applyProtection="1">
      <alignment horizontal="left" vertical="center"/>
      <protection locked="1"/>
    </xf>
    <xf fontId="15" fillId="7" borderId="52" numFmtId="0" xfId="0" applyFont="1" applyFill="1" applyBorder="1" applyAlignment="1" applyProtection="1">
      <alignment horizontal="left" vertical="center"/>
      <protection locked="1"/>
    </xf>
    <xf fontId="6" fillId="7" borderId="26" numFmtId="0" xfId="0" applyFont="1" applyFill="1" applyBorder="1" applyAlignment="1" applyProtection="1">
      <alignment horizontal="center" vertical="center" wrapText="1"/>
      <protection locked="1"/>
    </xf>
    <xf fontId="6" fillId="7" borderId="25" numFmtId="0" xfId="0" applyFont="1" applyFill="1" applyBorder="1" applyAlignment="1" applyProtection="1">
      <alignment horizontal="center" vertical="center" wrapText="1"/>
      <protection locked="1"/>
    </xf>
    <xf fontId="6" fillId="7" borderId="27" numFmtId="0" xfId="0" applyFont="1" applyFill="1" applyBorder="1" applyAlignment="1" applyProtection="1">
      <alignment horizontal="center" vertical="center" wrapText="1"/>
      <protection locked="1"/>
    </xf>
    <xf fontId="15" fillId="6" borderId="31" numFmtId="0" xfId="0" applyFont="1" applyFill="1" applyBorder="1" applyAlignment="1" applyProtection="1">
      <alignment horizontal="left" vertical="center"/>
      <protection locked="1"/>
    </xf>
    <xf fontId="15" fillId="6" borderId="23" numFmtId="4" xfId="0" applyNumberFormat="1" applyFont="1" applyFill="1" applyBorder="1" applyAlignment="1" applyProtection="1">
      <alignment horizontal="right" vertical="center"/>
      <protection locked="1"/>
    </xf>
    <xf fontId="15" fillId="6" borderId="23" numFmtId="165" xfId="0" applyNumberFormat="1" applyFont="1" applyFill="1" applyBorder="1" applyAlignment="1" applyProtection="1">
      <alignment horizontal="right" vertical="center"/>
      <protection locked="1"/>
    </xf>
    <xf fontId="15" fillId="6" borderId="24" numFmtId="165" xfId="0" applyNumberFormat="1" applyFont="1" applyFill="1" applyBorder="1" applyAlignment="1" applyProtection="1">
      <alignment horizontal="right" vertical="center"/>
      <protection locked="1"/>
    </xf>
    <xf fontId="15" fillId="0" borderId="32" numFmtId="0" xfId="0" applyFont="1" applyBorder="1" applyAlignment="1" applyProtection="1">
      <alignment horizontal="left" vertical="center"/>
      <protection locked="1"/>
    </xf>
    <xf fontId="15" fillId="0" borderId="53" numFmtId="4" xfId="0" applyNumberFormat="1" applyFont="1" applyBorder="1" applyAlignment="1" applyProtection="1">
      <alignment horizontal="right" vertical="center"/>
      <protection locked="1"/>
    </xf>
    <xf fontId="15" fillId="0" borderId="53" numFmtId="165" xfId="0" applyNumberFormat="1" applyFont="1" applyBorder="1" applyAlignment="1" applyProtection="1">
      <alignment horizontal="right" vertical="center"/>
      <protection locked="1"/>
    </xf>
    <xf fontId="15" fillId="0" borderId="54" numFmtId="165" xfId="0" applyNumberFormat="1" applyFont="1" applyBorder="1" applyAlignment="1" applyProtection="1">
      <alignment horizontal="right" vertical="center"/>
      <protection locked="1"/>
    </xf>
    <xf fontId="15" fillId="7" borderId="0" numFmtId="0" xfId="0" applyFont="1" applyFill="1" applyProtection="1">
      <protection locked="1"/>
    </xf>
    <xf numFmtId="0" fontId="0" fillId="0" borderId="0" xfId="0" applyAlignment="false" applyProtection="true">
      <alignment/>
      <protection hidden="false" locked="0"/>
    </xf>
    <xf numFmtId="0" fontId="0" fillId="0" borderId="0" xfId="0" applyAlignment="false" applyProtection="true">
      <alignment/>
      <protection hidden="false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blBudgetAusgaben" ref="B18:I101">
  <autoFilter ref="B18:I101"/>
  <tableColumns count="8">
    <tableColumn id="1" name="Kostenkategorie"/>
    <tableColumn id="2" name="ID"/>
    <tableColumn id="3" name="Kostenposition"/>
    <tableColumn id="4" name="Betrag (LC)"/>
    <tableColumn id="5" name="Jahr 1"/>
    <tableColumn id="6" name="Jahr 2"/>
    <tableColumn id="7" name="Jahr 3"/>
    <tableColumn id="8" name="Betrag (EUR)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blDrittmittel" ref="K18:M19">
  <autoFilter ref="K18:M19"/>
  <tableColumns count="3">
    <tableColumn id="1" name="Name des Gebers"/>
    <tableColumn id="2" name="Betrag (LC)"/>
    <tableColumn id="3" name="Betrag (EUR)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blKMWMittel" ref="B4:E22">
  <autoFilter ref="B4:E22"/>
  <tableColumns count="4">
    <tableColumn id="1" name="Periode"/>
    <tableColumn id="2" name="Waehrung"/>
    <tableColumn id="3" name="Betrag"/>
    <tableColumn id="4" name="Datum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Ausgaben_1" ref="B18:F101">
  <autoFilter ref="B18:F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Einnahmen_1" ref="B115:F120">
  <autoFilter ref="B115:F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displayName="Einnahmen_WK_1" ref="B124:F130">
  <autoFilter ref="B124:F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displayName="Ausgaben_2" ref="I18:M101">
  <autoFilter ref="I18:M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displayName="Einnahmen_2" ref="I115:M120">
  <autoFilter ref="I115:M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displayName="Einnahmen_WK_2" ref="I124:M130">
  <autoFilter ref="I124:M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displayName="Ausgaben_3" ref="P18:T101">
  <autoFilter ref="P18:T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displayName="Einnahmen_3" ref="P115:T120">
  <autoFilter ref="P115:T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displayName="Einnahmen_WK_3" ref="P124:T130">
  <autoFilter ref="P124:T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displayName="Ausgaben_4" ref="W18:AA101">
  <autoFilter ref="W18:AA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displayName="Einnahmen_4" ref="W115:AA120">
  <autoFilter ref="W115:AA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displayName="Einnahmen_WK_4" ref="W124:AA130">
  <autoFilter ref="W124:AA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displayName="Ausgaben_5" ref="AD18:AH101">
  <autoFilter ref="AD18:AH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displayName="Einnahmen_5" ref="AD115:AH120">
  <autoFilter ref="AD115:AH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displayName="Einnahmen_WK_5" ref="AD124:AH130">
  <autoFilter ref="AD124:AH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displayName="Ausgaben_6" ref="AK18:AO101">
  <autoFilter ref="AK18:AO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displayName="Einnahmen_6" ref="AK115:AO120">
  <autoFilter ref="AK115:AO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displayName="Einnahmen_WK_6" ref="AK124:AO130">
  <autoFilter ref="AK124:AO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displayName="Ausgaben_7" ref="AR18:AV101">
  <autoFilter ref="AR18:AV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displayName="Einnahmen_7" ref="AR115:AV120">
  <autoFilter ref="AR115:AV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displayName="Einnahmen_WK_7" ref="AR124:AV130">
  <autoFilter ref="AR124:AV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displayName="Ausgaben_8" ref="AY18:BC101">
  <autoFilter ref="AY18:BC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displayName="Einnahmen_8" ref="AY115:BC120">
  <autoFilter ref="AY115:BC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displayName="Einnahmen_WK_8" ref="AY124:BC130">
  <autoFilter ref="AY124:BC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displayName="Ausgaben_9" ref="BF18:BJ101">
  <autoFilter ref="BF18:BJ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displayName="Einnahmen_9" ref="BF115:BJ120">
  <autoFilter ref="BF115:BJ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displayName="Einnahmen_WK_9" ref="BF124:BJ130">
  <autoFilter ref="BF124:BJ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displayName="Ausgaben_10" ref="BM18:BQ101">
  <autoFilter ref="BM18:BQ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displayName="Einnahmen_10" ref="BM115:BQ120">
  <autoFilter ref="BM115:BQ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displayName="Einnahmen_WK_10" ref="BM124:BQ130">
  <autoFilter ref="BM124:BQ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displayName="Ausgaben_11" ref="BT18:BX101">
  <autoFilter ref="BT18:BX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displayName="Einnahmen_11" ref="BT115:BX120">
  <autoFilter ref="BT115:BX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displayName="Einnahmen_WK_11" ref="BT124:BX130">
  <autoFilter ref="BT124:BX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displayName="Ausgaben_12" ref="CA18:CE101">
  <autoFilter ref="CA18:CE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displayName="Einnahmen_12" ref="CA115:CE120">
  <autoFilter ref="CA115:CE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displayName="Einnahmen_WK_12" ref="CA124:CE130">
  <autoFilter ref="CA124:CE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displayName="Ausgaben_13" ref="CH18:CL101">
  <autoFilter ref="CH18:CL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displayName="Einnahmen_13" ref="CH115:CL120">
  <autoFilter ref="CH115:CL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displayName="Einnahmen_WK_13" ref="CH124:CL130">
  <autoFilter ref="CH124:CL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displayName="Ausgaben_14" ref="CO18:CS101">
  <autoFilter ref="CO18:CS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displayName="Einnahmen_14" ref="CO115:CS120">
  <autoFilter ref="CO115:CS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displayName="Einnahmen_WK_14" ref="CO124:CS130">
  <autoFilter ref="CO124:CS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displayName="Ausgaben_15" ref="CV18:CZ101">
  <autoFilter ref="CV18:CZ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displayName="Einnahmen_15" ref="CV115:CZ120">
  <autoFilter ref="CV115:CZ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displayName="Einnahmen_WK_15" ref="CV124:CZ130">
  <autoFilter ref="CV124:CZ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displayName="Ausgaben_16" ref="DC18:DG101">
  <autoFilter ref="DC18:DG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displayName="Einnahmen_16" ref="DC115:DG120">
  <autoFilter ref="DC115:DG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displayName="Einnahmen_WK_16" ref="DC124:DG130">
  <autoFilter ref="DC124:DG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displayName="Ausgaben_17" ref="DJ18:DN101">
  <autoFilter ref="DJ18:DN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displayName="Einnahmen_17" ref="DJ115:DN120">
  <autoFilter ref="DJ115:DN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displayName="Einnahmen_WK_17" ref="DJ124:DN130">
  <autoFilter ref="DJ124:DN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displayName="Ausgaben_18" ref="DQ18:DU101">
  <autoFilter ref="DQ18:DU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displayName="Einnahmen_18" ref="DQ115:DU120">
  <autoFilter ref="DQ115:DU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displayName="Einnahmen_WK_18" ref="DQ124:DU130">
  <autoFilter ref="DQ124:DU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displayName="MA_1" ref="B9:D17">
  <autoFilter ref="B9:D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displayName="MA_2" ref="F9:H17">
  <autoFilter ref="F9:H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displayName="MA_3" ref="J9:L17">
  <autoFilter ref="J9:L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displayName="MA_4" ref="N9:P17">
  <autoFilter ref="N9:P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displayName="MA_5" ref="R9:T17">
  <autoFilter ref="R9:T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displayName="MA_6" ref="V9:X17">
  <autoFilter ref="V9:X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displayName="MA_7" ref="Z9:AB17">
  <autoFilter ref="Z9:AB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displayName="MA_8" ref="AD9:AF17">
  <autoFilter ref="AD9:AF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displayName="MA_9" ref="AH9:AJ17">
  <autoFilter ref="AH9:AJ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displayName="MA_10" ref="AL9:AN17">
  <autoFilter ref="AL9:AN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displayName="MA_11" ref="AP9:AR17">
  <autoFilter ref="AP9:AR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displayName="MA_12" ref="AT9:AV17">
  <autoFilter ref="AT9:AV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displayName="MA_13" ref="AX9:AZ17">
  <autoFilter ref="AX9:AZ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displayName="MA_14" ref="BB9:BD17">
  <autoFilter ref="BB9:BD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displayName="MA_15" ref="BF9:BH17">
  <autoFilter ref="BF9:BH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displayName="MA_16" ref="BJ9:BL17">
  <autoFilter ref="BJ9:BL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displayName="MA_17" ref="BN9:BP17">
  <autoFilter ref="BN9:BP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displayName="MA_18" ref="BR9:BT17">
  <autoFilter ref="BR9:BT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Relationship  Id="rId2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4.xml"/><Relationship  Id="rId10" Type="http://schemas.openxmlformats.org/officeDocument/2006/relationships/table" Target="../tables/table13.xml"/><Relationship  Id="rId11" Type="http://schemas.openxmlformats.org/officeDocument/2006/relationships/table" Target="../tables/table14.xml"/><Relationship  Id="rId12" Type="http://schemas.openxmlformats.org/officeDocument/2006/relationships/table" Target="../tables/table15.xml"/><Relationship  Id="rId13" Type="http://schemas.openxmlformats.org/officeDocument/2006/relationships/table" Target="../tables/table16.xml"/><Relationship  Id="rId14" Type="http://schemas.openxmlformats.org/officeDocument/2006/relationships/table" Target="../tables/table17.xml"/><Relationship  Id="rId15" Type="http://schemas.openxmlformats.org/officeDocument/2006/relationships/table" Target="../tables/table18.xml"/><Relationship  Id="rId16" Type="http://schemas.openxmlformats.org/officeDocument/2006/relationships/table" Target="../tables/table19.xml"/><Relationship  Id="rId17" Type="http://schemas.openxmlformats.org/officeDocument/2006/relationships/table" Target="../tables/table20.xml"/><Relationship  Id="rId18" Type="http://schemas.openxmlformats.org/officeDocument/2006/relationships/table" Target="../tables/table21.xml"/><Relationship  Id="rId19" Type="http://schemas.openxmlformats.org/officeDocument/2006/relationships/table" Target="../tables/table22.xml"/><Relationship  Id="rId2" Type="http://schemas.openxmlformats.org/officeDocument/2006/relationships/table" Target="../tables/table5.xml"/><Relationship  Id="rId20" Type="http://schemas.openxmlformats.org/officeDocument/2006/relationships/table" Target="../tables/table23.xml"/><Relationship  Id="rId21" Type="http://schemas.openxmlformats.org/officeDocument/2006/relationships/table" Target="../tables/table24.xml"/><Relationship  Id="rId22" Type="http://schemas.openxmlformats.org/officeDocument/2006/relationships/table" Target="../tables/table25.xml"/><Relationship  Id="rId23" Type="http://schemas.openxmlformats.org/officeDocument/2006/relationships/table" Target="../tables/table26.xml"/><Relationship  Id="rId24" Type="http://schemas.openxmlformats.org/officeDocument/2006/relationships/table" Target="../tables/table27.xml"/><Relationship  Id="rId25" Type="http://schemas.openxmlformats.org/officeDocument/2006/relationships/table" Target="../tables/table28.xml"/><Relationship  Id="rId26" Type="http://schemas.openxmlformats.org/officeDocument/2006/relationships/table" Target="../tables/table29.xml"/><Relationship  Id="rId27" Type="http://schemas.openxmlformats.org/officeDocument/2006/relationships/table" Target="../tables/table30.xml"/><Relationship  Id="rId28" Type="http://schemas.openxmlformats.org/officeDocument/2006/relationships/table" Target="../tables/table31.xml"/><Relationship  Id="rId29" Type="http://schemas.openxmlformats.org/officeDocument/2006/relationships/table" Target="../tables/table32.xml"/><Relationship  Id="rId3" Type="http://schemas.openxmlformats.org/officeDocument/2006/relationships/table" Target="../tables/table6.xml"/><Relationship  Id="rId30" Type="http://schemas.openxmlformats.org/officeDocument/2006/relationships/table" Target="../tables/table33.xml"/><Relationship  Id="rId31" Type="http://schemas.openxmlformats.org/officeDocument/2006/relationships/table" Target="../tables/table34.xml"/><Relationship  Id="rId32" Type="http://schemas.openxmlformats.org/officeDocument/2006/relationships/table" Target="../tables/table35.xml"/><Relationship  Id="rId33" Type="http://schemas.openxmlformats.org/officeDocument/2006/relationships/table" Target="../tables/table36.xml"/><Relationship  Id="rId34" Type="http://schemas.openxmlformats.org/officeDocument/2006/relationships/table" Target="../tables/table37.xml"/><Relationship  Id="rId35" Type="http://schemas.openxmlformats.org/officeDocument/2006/relationships/table" Target="../tables/table38.xml"/><Relationship  Id="rId36" Type="http://schemas.openxmlformats.org/officeDocument/2006/relationships/table" Target="../tables/table39.xml"/><Relationship  Id="rId37" Type="http://schemas.openxmlformats.org/officeDocument/2006/relationships/table" Target="../tables/table40.xml"/><Relationship  Id="rId38" Type="http://schemas.openxmlformats.org/officeDocument/2006/relationships/table" Target="../tables/table41.xml"/><Relationship  Id="rId39" Type="http://schemas.openxmlformats.org/officeDocument/2006/relationships/table" Target="../tables/table42.xml"/><Relationship  Id="rId4" Type="http://schemas.openxmlformats.org/officeDocument/2006/relationships/table" Target="../tables/table7.xml"/><Relationship  Id="rId40" Type="http://schemas.openxmlformats.org/officeDocument/2006/relationships/table" Target="../tables/table43.xml"/><Relationship  Id="rId41" Type="http://schemas.openxmlformats.org/officeDocument/2006/relationships/table" Target="../tables/table44.xml"/><Relationship  Id="rId42" Type="http://schemas.openxmlformats.org/officeDocument/2006/relationships/table" Target="../tables/table45.xml"/><Relationship  Id="rId43" Type="http://schemas.openxmlformats.org/officeDocument/2006/relationships/table" Target="../tables/table46.xml"/><Relationship  Id="rId44" Type="http://schemas.openxmlformats.org/officeDocument/2006/relationships/table" Target="../tables/table47.xml"/><Relationship  Id="rId45" Type="http://schemas.openxmlformats.org/officeDocument/2006/relationships/table" Target="../tables/table48.xml"/><Relationship  Id="rId46" Type="http://schemas.openxmlformats.org/officeDocument/2006/relationships/table" Target="../tables/table49.xml"/><Relationship  Id="rId47" Type="http://schemas.openxmlformats.org/officeDocument/2006/relationships/table" Target="../tables/table50.xml"/><Relationship  Id="rId48" Type="http://schemas.openxmlformats.org/officeDocument/2006/relationships/table" Target="../tables/table51.xml"/><Relationship  Id="rId49" Type="http://schemas.openxmlformats.org/officeDocument/2006/relationships/table" Target="../tables/table52.xml"/><Relationship  Id="rId5" Type="http://schemas.openxmlformats.org/officeDocument/2006/relationships/table" Target="../tables/table8.xml"/><Relationship  Id="rId50" Type="http://schemas.openxmlformats.org/officeDocument/2006/relationships/table" Target="../tables/table53.xml"/><Relationship  Id="rId51" Type="http://schemas.openxmlformats.org/officeDocument/2006/relationships/table" Target="../tables/table54.xml"/><Relationship  Id="rId52" Type="http://schemas.openxmlformats.org/officeDocument/2006/relationships/table" Target="../tables/table55.xml"/><Relationship  Id="rId53" Type="http://schemas.openxmlformats.org/officeDocument/2006/relationships/table" Target="../tables/table56.xml"/><Relationship  Id="rId54" Type="http://schemas.openxmlformats.org/officeDocument/2006/relationships/table" Target="../tables/table57.xml"/><Relationship  Id="rId6" Type="http://schemas.openxmlformats.org/officeDocument/2006/relationships/table" Target="../tables/table9.xml"/><Relationship  Id="rId7" Type="http://schemas.openxmlformats.org/officeDocument/2006/relationships/table" Target="../tables/table10.xml"/><Relationship  Id="rId8" Type="http://schemas.openxmlformats.org/officeDocument/2006/relationships/table" Target="../tables/table11.xml"/><Relationship  Id="rId9" Type="http://schemas.openxmlformats.org/officeDocument/2006/relationships/table" Target="../tables/table12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table" Target="../tables/table58.xml"/><Relationship  Id="rId10" Type="http://schemas.openxmlformats.org/officeDocument/2006/relationships/table" Target="../tables/table67.xml"/><Relationship  Id="rId11" Type="http://schemas.openxmlformats.org/officeDocument/2006/relationships/table" Target="../tables/table68.xml"/><Relationship  Id="rId12" Type="http://schemas.openxmlformats.org/officeDocument/2006/relationships/table" Target="../tables/table69.xml"/><Relationship  Id="rId13" Type="http://schemas.openxmlformats.org/officeDocument/2006/relationships/table" Target="../tables/table70.xml"/><Relationship  Id="rId14" Type="http://schemas.openxmlformats.org/officeDocument/2006/relationships/table" Target="../tables/table71.xml"/><Relationship  Id="rId15" Type="http://schemas.openxmlformats.org/officeDocument/2006/relationships/table" Target="../tables/table72.xml"/><Relationship  Id="rId16" Type="http://schemas.openxmlformats.org/officeDocument/2006/relationships/table" Target="../tables/table73.xml"/><Relationship  Id="rId17" Type="http://schemas.openxmlformats.org/officeDocument/2006/relationships/table" Target="../tables/table74.xml"/><Relationship  Id="rId18" Type="http://schemas.openxmlformats.org/officeDocument/2006/relationships/table" Target="../tables/table75.xml"/><Relationship  Id="rId2" Type="http://schemas.openxmlformats.org/officeDocument/2006/relationships/table" Target="../tables/table59.xml"/><Relationship  Id="rId3" Type="http://schemas.openxmlformats.org/officeDocument/2006/relationships/table" Target="../tables/table60.xml"/><Relationship  Id="rId4" Type="http://schemas.openxmlformats.org/officeDocument/2006/relationships/table" Target="../tables/table61.xml"/><Relationship  Id="rId5" Type="http://schemas.openxmlformats.org/officeDocument/2006/relationships/table" Target="../tables/table62.xml"/><Relationship  Id="rId6" Type="http://schemas.openxmlformats.org/officeDocument/2006/relationships/table" Target="../tables/table63.xml"/><Relationship  Id="rId7" Type="http://schemas.openxmlformats.org/officeDocument/2006/relationships/table" Target="../tables/table64.xml"/><Relationship  Id="rId8" Type="http://schemas.openxmlformats.org/officeDocument/2006/relationships/table" Target="../tables/table65.xml"/><Relationship  Id="rId9" Type="http://schemas.openxmlformats.org/officeDocument/2006/relationships/table" Target="../tables/table6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D3D3D3"/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defaultRowHeight="14.25"/>
  <cols>
    <col min="1" max="1" style="278" customWidth="1" width="3"/>
    <col min="2" max="2" style="278" customWidth="1" width="32"/>
    <col min="3" max="3" style="278" customWidth="1" width="43"/>
    <col min="4" max="4" style="278" customWidth="1" width="24"/>
    <col min="5" max="5" style="278" customWidth="1" width="35"/>
    <col min="6" max="10" style="278" width="9.140625"/>
    <col min="11" max="26" style="1" width="9.140625"/>
    <col min="27" max="27" style="1" customWidth="1" hidden="1" width="9.140625"/>
    <col min="28" max="16384" style="1" width="9.140625"/>
  </cols>
  <sheetData>
    <row r="1">
      <c r="AA1" s="2" t="s">
        <v>0</v>
      </c>
    </row>
    <row r="2" ht="40" customHeight="1">
      <c r="B2" s="3" t="s">
        <v>1</v>
      </c>
      <c r="C2" s="3"/>
      <c r="D2" s="3"/>
      <c r="E2" s="3"/>
      <c r="AA2" s="2" t="s">
        <v>2</v>
      </c>
    </row>
    <row r="3">
      <c r="AA3" s="2" t="s">
        <v>3</v>
      </c>
    </row>
    <row r="4" ht="24" customHeight="1">
      <c r="B4" s="4" t="s">
        <v>4</v>
      </c>
      <c r="C4" s="4"/>
      <c r="D4" s="4"/>
      <c r="E4" s="4"/>
      <c r="AA4" s="2" t="s">
        <v>5</v>
      </c>
    </row>
    <row r="5" ht="22" customHeight="1">
      <c r="B5" s="5" t="s">
        <v>6</v>
      </c>
      <c r="C5" s="6" t="s">
        <v>7</v>
      </c>
      <c r="D5" s="5" t="s">
        <v>8</v>
      </c>
      <c r="E5" s="7" t="s">
        <v>9</v>
      </c>
      <c r="AA5" s="2" t="s">
        <v>10</v>
      </c>
    </row>
    <row r="6" ht="22" customHeight="1">
      <c r="B6" s="5" t="s">
        <v>11</v>
      </c>
      <c r="C6" s="6" t="s">
        <v>7</v>
      </c>
      <c r="D6" s="6"/>
      <c r="E6" s="6"/>
      <c r="AA6" s="2" t="s">
        <v>12</v>
      </c>
    </row>
    <row r="7" ht="22" customHeight="1">
      <c r="B7" s="5" t="s">
        <v>13</v>
      </c>
      <c r="C7" s="6" t="s">
        <v>7</v>
      </c>
      <c r="D7" s="5" t="s">
        <v>14</v>
      </c>
      <c r="E7" s="6" t="s">
        <v>7</v>
      </c>
      <c r="AA7" s="2" t="s">
        <v>15</v>
      </c>
    </row>
    <row r="8" ht="22" customHeight="1">
      <c r="B8" s="5" t="s">
        <v>16</v>
      </c>
      <c r="C8" s="8" t="s">
        <v>7</v>
      </c>
      <c r="D8" s="5" t="s">
        <v>17</v>
      </c>
      <c r="E8" s="8" t="s">
        <v>7</v>
      </c>
      <c r="AA8" s="2" t="s">
        <v>18</v>
      </c>
    </row>
    <row r="9" ht="22" customHeight="1">
      <c r="B9" s="5" t="s">
        <v>19</v>
      </c>
      <c r="C9" s="9" t="str">
        <f>IF(AND(ISNUMBER($C$8),ISNUMBER($E$8)),TEXT(DAY($C$8),"00")&amp;"."&amp;TEXT(MONTH($C$8),"00")&amp;"."&amp;TEXT(YEAR($C$8),"0000")&amp;" - "&amp;TEXT(DAY($E$8),"00")&amp;"."&amp;TEXT(MONTH($E$8),"00")&amp;"."&amp;TEXT(YEAR($E$8),"0000"),"")</f>
        <v/>
      </c>
      <c r="D9" s="5" t="s">
        <v>20</v>
      </c>
      <c r="E9" s="9" t="str">
        <f>IF(AND(ISNUMBER($C$8),ISNUMBER($E$8)),DATEDIF($C$8,$E$8+1,"M"),"")</f>
        <v/>
      </c>
      <c r="AA9" s="2" t="s">
        <v>21</v>
      </c>
    </row>
    <row r="10" ht="22" customHeight="1">
      <c r="B10" s="10" t="s">
        <v>22</v>
      </c>
      <c r="C10" s="11" t="s">
        <v>7</v>
      </c>
      <c r="D10" s="10" t="s">
        <v>23</v>
      </c>
      <c r="E10" s="11" t="s">
        <v>7</v>
      </c>
      <c r="AA10" s="2" t="s">
        <v>24</v>
      </c>
    </row>
    <row r="11" ht="22" customHeight="1">
      <c r="B11" s="5" t="s">
        <v>25</v>
      </c>
      <c r="C11" s="8" t="s">
        <v>7</v>
      </c>
      <c r="D11" s="5" t="s">
        <v>26</v>
      </c>
      <c r="E11" s="12" t="s">
        <v>7</v>
      </c>
      <c r="AA11" s="2" t="s">
        <v>27</v>
      </c>
    </row>
    <row r="12" ht="22" customHeight="1">
      <c r="B12" s="5" t="s">
        <v>28</v>
      </c>
      <c r="C12" s="13" t="s">
        <v>7</v>
      </c>
      <c r="D12" s="5" t="s">
        <v>29</v>
      </c>
      <c r="E12" s="14">
        <f>IFERROR(ROUND($C$12/$E$11,2),0)</f>
        <v>0</v>
      </c>
      <c r="AA12" s="2" t="s">
        <v>30</v>
      </c>
    </row>
    <row r="13" ht="22" customHeight="1">
      <c r="B13" s="5" t="s">
        <v>31</v>
      </c>
      <c r="C13" s="8" t="s">
        <v>7</v>
      </c>
      <c r="D13" s="5" t="s">
        <v>26</v>
      </c>
      <c r="E13" s="12" t="s">
        <v>7</v>
      </c>
      <c r="AA13" s="2" t="s">
        <v>32</v>
      </c>
    </row>
    <row r="14" ht="22" customHeight="1">
      <c r="B14" s="5" t="s">
        <v>33</v>
      </c>
      <c r="C14" s="13" t="s">
        <v>7</v>
      </c>
      <c r="D14" s="5" t="s">
        <v>34</v>
      </c>
      <c r="E14" s="14">
        <f>IFERROR(ROUND($C$14/$E$13,2),0)</f>
        <v>0</v>
      </c>
      <c r="AA14" s="2" t="s">
        <v>35</v>
      </c>
    </row>
    <row r="15">
      <c r="AA15" s="2" t="s">
        <v>36</v>
      </c>
    </row>
    <row r="16" ht="22" customHeight="1">
      <c r="B16" s="15" t="s">
        <v>37</v>
      </c>
      <c r="C16" s="15"/>
      <c r="D16" s="16" t="s">
        <v>38</v>
      </c>
      <c r="E16" s="17" t="s">
        <v>39</v>
      </c>
      <c r="AA16" s="2" t="s">
        <v>40</v>
      </c>
    </row>
    <row r="17" ht="22" customHeight="1">
      <c r="B17" s="15"/>
      <c r="C17" s="15"/>
      <c r="D17" s="16" t="s">
        <v>38</v>
      </c>
      <c r="E17" s="17" t="s">
        <v>41</v>
      </c>
      <c r="AA17" s="2" t="s">
        <v>42</v>
      </c>
    </row>
    <row r="18" ht="22" customHeight="1">
      <c r="B18" s="15"/>
      <c r="C18" s="15"/>
      <c r="D18" s="16" t="s">
        <v>38</v>
      </c>
      <c r="E18" s="17" t="s">
        <v>43</v>
      </c>
      <c r="AA18" s="2" t="s">
        <v>44</v>
      </c>
    </row>
    <row r="19" ht="22" customHeight="1">
      <c r="B19" s="15"/>
      <c r="C19" s="15"/>
      <c r="D19" s="16" t="s">
        <v>38</v>
      </c>
      <c r="E19" s="17" t="s">
        <v>45</v>
      </c>
      <c r="AA19" s="2" t="s">
        <v>46</v>
      </c>
    </row>
    <row r="20" ht="22" customHeight="1">
      <c r="B20" s="15"/>
      <c r="C20" s="15"/>
      <c r="D20" s="16" t="s">
        <v>38</v>
      </c>
      <c r="E20" s="17" t="s">
        <v>47</v>
      </c>
      <c r="AA20" s="2" t="s">
        <v>48</v>
      </c>
    </row>
    <row r="21" ht="22" customHeight="1">
      <c r="B21" s="15"/>
      <c r="C21" s="15"/>
      <c r="D21" s="16" t="s">
        <v>38</v>
      </c>
      <c r="E21" s="17" t="s">
        <v>49</v>
      </c>
      <c r="AA21" s="2" t="s">
        <v>50</v>
      </c>
    </row>
    <row r="22" ht="22" customHeight="1">
      <c r="B22" s="15"/>
      <c r="C22" s="15"/>
      <c r="D22" s="16" t="s">
        <v>38</v>
      </c>
      <c r="E22" s="17" t="s">
        <v>51</v>
      </c>
      <c r="AA22" s="2" t="s">
        <v>52</v>
      </c>
    </row>
    <row r="23">
      <c r="AA23" s="2" t="s">
        <v>53</v>
      </c>
    </row>
    <row r="24">
      <c r="AA24" s="2" t="s">
        <v>54</v>
      </c>
    </row>
    <row r="25">
      <c r="AA25" s="2" t="s">
        <v>55</v>
      </c>
    </row>
    <row r="26">
      <c r="AA26" s="2" t="s">
        <v>56</v>
      </c>
    </row>
    <row r="27">
      <c r="AA27" s="2" t="s">
        <v>57</v>
      </c>
    </row>
    <row r="28">
      <c r="AA28" s="2" t="s">
        <v>58</v>
      </c>
    </row>
    <row r="29">
      <c r="AA29" s="2" t="s">
        <v>59</v>
      </c>
    </row>
    <row r="30">
      <c r="AA30" s="2" t="s">
        <v>60</v>
      </c>
    </row>
    <row r="31">
      <c r="AA31" s="2" t="s">
        <v>61</v>
      </c>
    </row>
    <row r="32">
      <c r="AA32" s="2" t="s">
        <v>62</v>
      </c>
    </row>
    <row r="33">
      <c r="AA33" s="2" t="s">
        <v>63</v>
      </c>
    </row>
    <row r="34">
      <c r="AA34" s="2" t="s">
        <v>64</v>
      </c>
    </row>
    <row r="35">
      <c r="AA35" s="2" t="s">
        <v>65</v>
      </c>
    </row>
    <row r="36">
      <c r="AA36" s="2" t="s">
        <v>66</v>
      </c>
    </row>
    <row r="37">
      <c r="AA37" s="2" t="s">
        <v>67</v>
      </c>
    </row>
    <row r="38">
      <c r="AA38" s="2" t="s">
        <v>68</v>
      </c>
    </row>
    <row r="39">
      <c r="AA39" s="2" t="s">
        <v>69</v>
      </c>
    </row>
    <row r="40">
      <c r="AA40" s="2" t="s">
        <v>70</v>
      </c>
    </row>
    <row r="41">
      <c r="AA41" s="2" t="s">
        <v>71</v>
      </c>
    </row>
    <row r="42">
      <c r="AA42" s="2" t="s">
        <v>72</v>
      </c>
    </row>
    <row r="43">
      <c r="AA43" s="2" t="s">
        <v>73</v>
      </c>
    </row>
    <row r="44">
      <c r="AA44" s="2" t="s">
        <v>74</v>
      </c>
    </row>
    <row r="45">
      <c r="AA45" s="2" t="s">
        <v>75</v>
      </c>
    </row>
    <row r="46">
      <c r="AA46" s="2" t="s">
        <v>76</v>
      </c>
    </row>
    <row r="47">
      <c r="AA47" s="2" t="s">
        <v>77</v>
      </c>
    </row>
    <row r="48">
      <c r="AA48" s="2" t="s">
        <v>78</v>
      </c>
    </row>
    <row r="49">
      <c r="AA49" s="2" t="s">
        <v>79</v>
      </c>
    </row>
    <row r="50">
      <c r="AA50" s="2" t="s">
        <v>80</v>
      </c>
    </row>
    <row r="51">
      <c r="AA51" s="2" t="s">
        <v>81</v>
      </c>
    </row>
    <row r="52">
      <c r="AA52" s="2" t="s">
        <v>82</v>
      </c>
    </row>
    <row r="53">
      <c r="AA53" s="2" t="s">
        <v>83</v>
      </c>
    </row>
    <row r="54">
      <c r="AA54" s="2" t="s">
        <v>84</v>
      </c>
    </row>
    <row r="55">
      <c r="AA55" s="2" t="s">
        <v>85</v>
      </c>
    </row>
    <row r="56">
      <c r="AA56" s="2" t="s">
        <v>86</v>
      </c>
    </row>
    <row r="57">
      <c r="AA57" s="2" t="s">
        <v>87</v>
      </c>
    </row>
    <row r="58">
      <c r="AA58" s="2" t="s">
        <v>88</v>
      </c>
    </row>
    <row r="59">
      <c r="AA59" s="2" t="s">
        <v>89</v>
      </c>
    </row>
    <row r="60">
      <c r="AA60" s="2" t="s">
        <v>90</v>
      </c>
    </row>
    <row r="61">
      <c r="AA61" s="2" t="s">
        <v>91</v>
      </c>
    </row>
    <row r="62">
      <c r="AA62" s="2" t="s">
        <v>92</v>
      </c>
    </row>
    <row r="63">
      <c r="AA63" s="2" t="s">
        <v>93</v>
      </c>
    </row>
    <row r="64">
      <c r="AA64" s="2" t="s">
        <v>94</v>
      </c>
    </row>
    <row r="65">
      <c r="AA65" s="2" t="s">
        <v>95</v>
      </c>
    </row>
    <row r="66">
      <c r="AA66" s="2" t="s">
        <v>96</v>
      </c>
    </row>
    <row r="67">
      <c r="AA67" s="2" t="s">
        <v>97</v>
      </c>
    </row>
    <row r="68">
      <c r="AA68" s="2" t="s">
        <v>98</v>
      </c>
    </row>
    <row r="69">
      <c r="AA69" s="2" t="s">
        <v>99</v>
      </c>
    </row>
    <row r="70">
      <c r="AA70" s="2" t="s">
        <v>100</v>
      </c>
    </row>
    <row r="71">
      <c r="AA71" s="2" t="s">
        <v>101</v>
      </c>
    </row>
    <row r="72">
      <c r="AA72" s="2" t="s">
        <v>102</v>
      </c>
    </row>
    <row r="73">
      <c r="AA73" s="2" t="s">
        <v>103</v>
      </c>
    </row>
    <row r="74">
      <c r="AA74" s="2" t="s">
        <v>104</v>
      </c>
    </row>
    <row r="75">
      <c r="AA75" s="2" t="s">
        <v>105</v>
      </c>
    </row>
    <row r="76">
      <c r="AA76" s="2" t="s">
        <v>106</v>
      </c>
    </row>
    <row r="77">
      <c r="AA77" s="2" t="s">
        <v>107</v>
      </c>
    </row>
    <row r="78">
      <c r="AA78" s="2" t="s">
        <v>108</v>
      </c>
    </row>
    <row r="79">
      <c r="AA79" s="2" t="s">
        <v>109</v>
      </c>
    </row>
    <row r="80">
      <c r="AA80" s="2" t="s">
        <v>110</v>
      </c>
    </row>
    <row r="81">
      <c r="AA81" s="2" t="s">
        <v>111</v>
      </c>
    </row>
    <row r="82">
      <c r="AA82" s="2" t="s">
        <v>112</v>
      </c>
    </row>
    <row r="83">
      <c r="AA83" s="2" t="s">
        <v>113</v>
      </c>
    </row>
    <row r="84">
      <c r="AA84" s="2" t="s">
        <v>114</v>
      </c>
    </row>
    <row r="85">
      <c r="AA85" s="2" t="s">
        <v>115</v>
      </c>
    </row>
    <row r="86">
      <c r="AA86" s="2" t="s">
        <v>116</v>
      </c>
    </row>
    <row r="87">
      <c r="AA87" s="2" t="s">
        <v>117</v>
      </c>
    </row>
    <row r="88">
      <c r="AA88" s="2" t="s">
        <v>118</v>
      </c>
    </row>
    <row r="89">
      <c r="AA89" s="2" t="s">
        <v>119</v>
      </c>
    </row>
    <row r="90">
      <c r="AA90" s="2" t="s">
        <v>120</v>
      </c>
    </row>
    <row r="91">
      <c r="AA91" s="2" t="s">
        <v>121</v>
      </c>
    </row>
    <row r="92">
      <c r="AA92" s="2" t="s">
        <v>122</v>
      </c>
    </row>
    <row r="93">
      <c r="AA93" s="2" t="s">
        <v>123</v>
      </c>
    </row>
    <row r="94">
      <c r="AA94" s="2" t="s">
        <v>124</v>
      </c>
    </row>
    <row r="95">
      <c r="AA95" s="2" t="s">
        <v>125</v>
      </c>
    </row>
    <row r="96">
      <c r="AA96" s="2" t="s">
        <v>126</v>
      </c>
    </row>
    <row r="97">
      <c r="AA97" s="2" t="s">
        <v>127</v>
      </c>
    </row>
    <row r="98">
      <c r="AA98" s="2" t="s">
        <v>128</v>
      </c>
    </row>
    <row r="99">
      <c r="AA99" s="2" t="s">
        <v>129</v>
      </c>
    </row>
    <row r="100">
      <c r="AA100" s="2" t="s">
        <v>130</v>
      </c>
    </row>
    <row r="101">
      <c r="AA101" s="2" t="s">
        <v>131</v>
      </c>
    </row>
    <row r="102">
      <c r="AA102" s="2" t="s">
        <v>132</v>
      </c>
    </row>
    <row r="103">
      <c r="AA103" s="2" t="s">
        <v>133</v>
      </c>
    </row>
    <row r="104">
      <c r="AA104" s="2" t="s">
        <v>134</v>
      </c>
    </row>
    <row r="105">
      <c r="AA105" s="2" t="s">
        <v>135</v>
      </c>
    </row>
    <row r="106">
      <c r="AA106" s="2" t="s">
        <v>136</v>
      </c>
    </row>
    <row r="107">
      <c r="AA107" s="2" t="s">
        <v>137</v>
      </c>
    </row>
    <row r="108">
      <c r="AA108" s="2" t="s">
        <v>138</v>
      </c>
    </row>
    <row r="109">
      <c r="AA109" s="2" t="s">
        <v>139</v>
      </c>
    </row>
    <row r="110">
      <c r="AA110" s="2" t="s">
        <v>140</v>
      </c>
    </row>
    <row r="111">
      <c r="AA111" s="2" t="s">
        <v>141</v>
      </c>
    </row>
    <row r="112">
      <c r="AA112" s="2" t="s">
        <v>142</v>
      </c>
    </row>
    <row r="113">
      <c r="AA113" s="2" t="s">
        <v>143</v>
      </c>
    </row>
    <row r="114">
      <c r="AA114" s="2" t="s">
        <v>144</v>
      </c>
    </row>
    <row r="115">
      <c r="AA115" s="2" t="s">
        <v>145</v>
      </c>
    </row>
    <row r="116">
      <c r="AA116" s="2" t="s">
        <v>146</v>
      </c>
    </row>
    <row r="117">
      <c r="AA117" s="2" t="s">
        <v>147</v>
      </c>
    </row>
    <row r="118">
      <c r="AA118" s="2" t="s">
        <v>148</v>
      </c>
    </row>
    <row r="119">
      <c r="AA119" s="2" t="s">
        <v>149</v>
      </c>
    </row>
    <row r="120">
      <c r="AA120" s="2" t="s">
        <v>150</v>
      </c>
    </row>
    <row r="121">
      <c r="AA121" s="2" t="s">
        <v>151</v>
      </c>
    </row>
    <row r="122">
      <c r="AA122" s="2" t="s">
        <v>152</v>
      </c>
    </row>
    <row r="123">
      <c r="AA123" s="2" t="s">
        <v>153</v>
      </c>
    </row>
    <row r="124">
      <c r="AA124" s="2" t="s">
        <v>154</v>
      </c>
    </row>
    <row r="125">
      <c r="AA125" s="2" t="s">
        <v>155</v>
      </c>
    </row>
    <row r="126">
      <c r="AA126" s="2" t="s">
        <v>156</v>
      </c>
    </row>
    <row r="127">
      <c r="AA127" s="2" t="s">
        <v>157</v>
      </c>
    </row>
    <row r="128">
      <c r="AA128" s="2" t="s">
        <v>158</v>
      </c>
    </row>
    <row r="129">
      <c r="AA129" s="2" t="s">
        <v>159</v>
      </c>
    </row>
    <row r="130">
      <c r="AA130" s="2" t="s">
        <v>160</v>
      </c>
    </row>
    <row r="131">
      <c r="AA131" s="2" t="s">
        <v>161</v>
      </c>
    </row>
    <row r="132">
      <c r="AA132" s="2" t="s">
        <v>162</v>
      </c>
    </row>
    <row r="133">
      <c r="AA133" s="2" t="s">
        <v>163</v>
      </c>
    </row>
    <row r="134">
      <c r="AA134" s="2" t="s">
        <v>164</v>
      </c>
    </row>
    <row r="135">
      <c r="AA135" s="2" t="s">
        <v>165</v>
      </c>
    </row>
    <row r="136">
      <c r="AA136" s="2" t="s">
        <v>166</v>
      </c>
    </row>
    <row r="137">
      <c r="AA137" s="2" t="s">
        <v>167</v>
      </c>
    </row>
    <row r="138">
      <c r="AA138" s="2" t="s">
        <v>168</v>
      </c>
    </row>
    <row r="139">
      <c r="AA139" s="2" t="s">
        <v>169</v>
      </c>
    </row>
    <row r="140">
      <c r="AA140" s="2" t="s">
        <v>170</v>
      </c>
    </row>
    <row r="141">
      <c r="AA141" s="2" t="s">
        <v>171</v>
      </c>
    </row>
    <row r="142">
      <c r="AA142" s="2" t="s">
        <v>172</v>
      </c>
    </row>
    <row r="143">
      <c r="AA143" s="2" t="s">
        <v>173</v>
      </c>
    </row>
    <row r="144">
      <c r="AA144" s="2" t="s">
        <v>174</v>
      </c>
    </row>
    <row r="145">
      <c r="AA145" s="2" t="s">
        <v>175</v>
      </c>
    </row>
    <row r="146">
      <c r="AA146" s="2" t="s">
        <v>176</v>
      </c>
    </row>
    <row r="147">
      <c r="AA147" s="2" t="s">
        <v>177</v>
      </c>
    </row>
    <row r="148">
      <c r="AA148" s="2" t="s">
        <v>178</v>
      </c>
    </row>
    <row r="149">
      <c r="AA149" s="2" t="s">
        <v>179</v>
      </c>
    </row>
    <row r="150">
      <c r="AA150" s="2" t="s">
        <v>180</v>
      </c>
    </row>
    <row r="151">
      <c r="AA151" s="2" t="s">
        <v>181</v>
      </c>
    </row>
    <row r="152">
      <c r="AA152" s="2" t="s">
        <v>182</v>
      </c>
    </row>
    <row r="153">
      <c r="AA153" s="2" t="s">
        <v>183</v>
      </c>
    </row>
    <row r="154">
      <c r="AA154" s="2" t="s">
        <v>184</v>
      </c>
    </row>
    <row r="155">
      <c r="AA155" s="2" t="s">
        <v>185</v>
      </c>
    </row>
  </sheetData>
  <sheetProtection algorithmName="SHA-512" hashValue="vYGS9ri6ksHlA32xbvWGhZg/8+pbfkEh8tIBbXfwjg5T5u13Mhqm2octwDFb2BZsukWeev7c3xvaa0lbGR97gQ==" saltValue="a213ZmJfcnB0X3YxXyEhAA==" spinCount="100000" sheet="1" selectLockedCells="0" selectUnlockedCells="0" formatCells="1" formatColumns="1" formatRows="1" insertColumns="1" insertRows="1" insertHyperlinks="1" deleteColumns="1" deleteRows="1" sort="1" autoFilter="0" pivotTables="1" objects="1" scenarios="1"/>
  <mergeCells count="4">
    <mergeCell ref="B2:E2"/>
    <mergeCell ref="B4:E4"/>
    <mergeCell ref="C6:E6"/>
    <mergeCell ref="B16:C22"/>
  </mergeCells>
  <dataValidations count="2" disablePrompts="0">
    <dataValidation sqref="E7" type="list" allowBlank="1" errorStyle="stop" imeMode="noControl" operator="between" showDropDown="0" showErrorMessage="0" showInputMessage="0">
      <formula1>'Dashboard'!$AA$1:$AA$155</formula1>
    </dataValidation>
    <dataValidation sqref="E10" type="list" allowBlank="1" errorStyle="stop" imeMode="noControl" operator="between" showDropDown="0" showErrorMessage="0" showInputMessage="0">
      <formula1>'Dashboard'!$AA$1:$AA$155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6E00A8-0050-4D18-B65E-000D001F00EE}">
            <xm:f>$E$5="Nein"</xm:f>
            <x14:dxf>
              <font>
                <color rgb="FF646464"/>
                <name val="Segoe UI"/>
              </font>
              <fill>
                <patternFill patternType="solid">
                  <fgColor rgb="FFF0F0F0"/>
                  <bgColor rgb="FFF0F0F0"/>
                </patternFill>
              </fill>
              <alignment indent="0" relativeIndent="0" shrinkToFit="0" textRotation="0" vertical="bottom" wrapText="0"/>
            </x14:dxf>
          </x14:cfRule>
          <xm:sqref>B10:E14</xm:sqref>
        </x14:conditionalFormatting>
        <x14:conditionalFormatting xmlns:xm="http://schemas.microsoft.com/office/excel/2006/main">
          <x14:cfRule type="expression" priority="2" id="{00BD009B-00CF-4C9E-956D-0011004200DF}">
            <xm:f>$D16="Nein"</xm:f>
            <x14:dxf>
              <font>
                <strike/>
                <color rgb="FF646464"/>
                <name val="Segoe UI"/>
              </font>
              <alignment indent="0" relativeIndent="0" shrinkToFit="0" textRotation="0" vertical="bottom" wrapText="0"/>
            </x14:dxf>
          </x14:cfRule>
          <xm:sqref>E16:E22</xm:sqref>
        </x14:conditionalFormatting>
        <x14:conditionalFormatting xmlns:xm="http://schemas.microsoft.com/office/excel/2006/main">
          <x14:cfRule type="expression" priority="3" id="{00CC004D-0012-4A96-8A0D-0005008200FA}">
            <xm:f>$E$5="Nein"</xm:f>
            <x14:dxf>
              <font>
                <color rgb="FF646464"/>
                <name val="Segoe UI"/>
              </font>
              <fill>
                <patternFill patternType="solid">
                  <fgColor rgb="FFF0F0F0"/>
                  <bgColor rgb="FFF0F0F0"/>
                </patternFill>
              </fill>
              <alignment indent="0" relativeIndent="0" shrinkToFit="0" textRotation="0" vertical="bottom" wrapText="0"/>
            </x14:dxf>
          </x14:cfRule>
          <xm:sqref>D16:E16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8" disablePrompts="0">
        <x14:dataValidation xr:uid="{0043008C-0053-4055-848E-006000D9005E}" type="list" allowBlank="1" errorStyle="stop" imeMode="noControl" operator="between" showDropDown="0" showErrorMessage="0" showInputMessage="0">
          <x14:formula1>
            <xm:f>"Ja,Nein"</xm:f>
          </x14:formula1>
          <xm:sqref>E5</xm:sqref>
        </x14:dataValidation>
        <x14:dataValidation xr:uid="{00C900F9-0060-46EA-AC90-00B800990072}" type="list" allowBlank="1" errorStyle="stop" imeMode="noControl" operator="between" showDropDown="0" showErrorMessage="0" showInputMessage="0">
          <x14:formula1>
            <xm:f>"Ja,Nein"</xm:f>
          </x14:formula1>
          <xm:sqref>D16</xm:sqref>
        </x14:dataValidation>
        <x14:dataValidation xr:uid="{00D300FD-00FD-49D9-9CBB-0062000A00A2}" type="list" allowBlank="1" errorStyle="stop" imeMode="noControl" operator="between" showDropDown="0" showErrorMessage="0" showInputMessage="0">
          <x14:formula1>
            <xm:f>"Ja,Nein"</xm:f>
          </x14:formula1>
          <xm:sqref>D17</xm:sqref>
        </x14:dataValidation>
        <x14:dataValidation xr:uid="{007300E2-00D3-4815-95A5-00850003007F}" type="list" allowBlank="1" errorStyle="stop" imeMode="noControl" operator="between" showDropDown="0" showErrorMessage="0" showInputMessage="0">
          <x14:formula1>
            <xm:f>"Ja,Nein"</xm:f>
          </x14:formula1>
          <xm:sqref>D18</xm:sqref>
        </x14:dataValidation>
        <x14:dataValidation xr:uid="{00080045-003B-4A95-B6EE-00AE004200AC}" type="list" allowBlank="1" errorStyle="stop" imeMode="noControl" operator="between" showDropDown="0" showErrorMessage="0" showInputMessage="0">
          <x14:formula1>
            <xm:f>"Ja,Nein"</xm:f>
          </x14:formula1>
          <xm:sqref>D19</xm:sqref>
        </x14:dataValidation>
        <x14:dataValidation xr:uid="{00FF0088-008B-4B5D-A035-009200FD00D4}" type="list" allowBlank="1" errorStyle="stop" imeMode="noControl" operator="between" showDropDown="0" showErrorMessage="0" showInputMessage="0">
          <x14:formula1>
            <xm:f>"Ja,Nein"</xm:f>
          </x14:formula1>
          <xm:sqref>D20</xm:sqref>
        </x14:dataValidation>
        <x14:dataValidation xr:uid="{00670041-003D-4AE8-95F9-004000EA0095}" type="list" allowBlank="1" errorStyle="stop" imeMode="noControl" operator="between" showDropDown="0" showErrorMessage="0" showInputMessage="0">
          <x14:formula1>
            <xm:f>"Ja,Nein"</xm:f>
          </x14:formula1>
          <xm:sqref>D21</xm:sqref>
        </x14:dataValidation>
        <x14:dataValidation xr:uid="{004600C9-005F-469A-B769-007D00C70040}" type="list" allowBlank="1" errorStyle="stop" imeMode="noControl" operator="between" showDropDown="0" showErrorMessage="0" showInputMessage="0">
          <x14:formula1>
            <xm:f>"Ja,Nein"</xm:f>
          </x14:formula1>
          <xm:sqref>D22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5B9BD5"/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defaultRowHeight="15"/>
  <cols>
    <col min="1" max="1" style="278" width="9.140625"/>
    <col min="2" max="2" style="278" customWidth="1" width="25"/>
    <col min="3" max="3" style="278" customWidth="1" width="8"/>
    <col min="4" max="4" style="278" customWidth="1" width="30"/>
    <col min="5" max="5" style="278" customWidth="1" width="18"/>
    <col min="6" max="8" style="278" customWidth="1" width="14"/>
    <col min="9" max="9" style="278" customWidth="1" width="18"/>
    <col min="10" max="10" style="278" customWidth="1" width="3"/>
    <col min="11" max="11" style="1" customWidth="1" width="25"/>
    <col min="12" max="12" style="1" customWidth="1" width="14"/>
    <col min="13" max="13" style="1" customWidth="1" width="16"/>
    <col min="14" max="14" style="1" width="9.140625"/>
    <col min="15" max="16" style="1" customWidth="1" hidden="1" width="9.140625"/>
    <col min="17" max="17" style="1" width="9.140625"/>
    <col min="18" max="19" style="1" customWidth="1" hidden="1" width="9.140625"/>
    <col min="20" max="16384" style="1" width="9.140625"/>
  </cols>
  <sheetData>
    <row r="1">
      <c r="S1" s="2">
        <f t="array" ref="S1">IFERROR(_xlfn._xlws.FILTER(TblBudgetAusgaben[ID],TblBudgetAusgaben[ID]&lt;&gt;""),"")</f>
        <v>0</v>
      </c>
    </row>
    <row r="2" ht="24" customHeight="1">
      <c r="B2" s="18" t="s">
        <v>186</v>
      </c>
      <c r="C2" s="19"/>
      <c r="D2" s="19"/>
      <c r="E2" s="19"/>
      <c r="F2" s="19"/>
      <c r="G2" s="19"/>
      <c r="H2" s="19"/>
      <c r="I2" s="20"/>
      <c r="K2" s="21" t="s">
        <v>187</v>
      </c>
    </row>
    <row r="3">
      <c r="B3" s="22"/>
      <c r="I3" s="23"/>
      <c r="K3" s="24">
        <f>$P$11</f>
        <v>39500</v>
      </c>
    </row>
    <row r="4" ht="24" customHeight="1">
      <c r="B4" s="25" t="s">
        <v>188</v>
      </c>
      <c r="C4" s="26"/>
      <c r="D4" s="26"/>
      <c r="E4" s="26"/>
      <c r="F4" s="26"/>
      <c r="G4" s="27" t="s">
        <v>189</v>
      </c>
      <c r="H4" s="28">
        <f>IFERROR($E$15/$I$15,0)</f>
        <v>2</v>
      </c>
      <c r="I4" s="29"/>
      <c r="K4" s="30" t="s">
        <v>190</v>
      </c>
      <c r="O4" s="2">
        <f>SUMIFS(TblBudgetAusgaben[Betrag (LC)],TblBudgetAusgaben[Kostenkategorie],"Bauausgaben")</f>
        <v>390000</v>
      </c>
      <c r="P4" s="2">
        <f>SUMIFS(TblBudgetAusgaben[Betrag (EUR)],TblBudgetAusgaben[Kostenkategorie],"Bauausgaben")</f>
        <v>195000</v>
      </c>
    </row>
    <row r="5">
      <c r="B5" s="31" t="s">
        <v>191</v>
      </c>
      <c r="C5" s="32"/>
      <c r="D5" s="32"/>
      <c r="E5" s="32" t="s">
        <v>192</v>
      </c>
      <c r="F5" s="32" t="s">
        <v>193</v>
      </c>
      <c r="G5" s="32" t="s">
        <v>194</v>
      </c>
      <c r="H5" s="32" t="s">
        <v>195</v>
      </c>
      <c r="I5" s="33" t="s">
        <v>196</v>
      </c>
      <c r="K5" s="34" t="s">
        <v>38</v>
      </c>
      <c r="O5" s="2">
        <f>SUMIFS(TblBudgetAusgaben[Betrag (LC)],TblBudgetAusgaben[Kostenkategorie],"Investitionen")</f>
        <v>390000</v>
      </c>
      <c r="P5" s="2">
        <f>SUMIFS(TblBudgetAusgaben[Betrag (EUR)],TblBudgetAusgaben[Kostenkategorie],"Investitionen")</f>
        <v>195000</v>
      </c>
    </row>
    <row r="6" ht="20" customHeight="1">
      <c r="B6" s="35" t="s">
        <v>197</v>
      </c>
      <c r="C6" s="36"/>
      <c r="D6" s="36"/>
      <c r="E6" s="36"/>
      <c r="F6" s="36"/>
      <c r="G6" s="36"/>
      <c r="H6" s="36"/>
      <c r="I6" s="37"/>
      <c r="K6" s="38" t="str">
        <f>IF($K$5="Ja","FREIGEGEBEN","NICHT FREIGEGEBEN")</f>
        <v xml:space="preserve">NICHT FREIGEGEBEN</v>
      </c>
      <c r="O6" s="2">
        <f>SUMIFS(TblBudgetAusgaben[Betrag (LC)],TblBudgetAusgaben[Kostenkategorie],"Personalkosten")</f>
        <v>0</v>
      </c>
      <c r="P6" s="2">
        <f>SUMIFS(TblBudgetAusgaben[Betrag (EUR)],TblBudgetAusgaben[Kostenkategorie],"Personalkosten")</f>
        <v>0</v>
      </c>
    </row>
    <row r="7" ht="22" customHeight="1">
      <c r="B7" s="39" t="s">
        <v>198</v>
      </c>
      <c r="E7" s="40">
        <v>40000</v>
      </c>
      <c r="F7" s="40">
        <v>40000</v>
      </c>
      <c r="G7" s="40"/>
      <c r="H7" s="40"/>
      <c r="I7" s="41">
        <v>20000</v>
      </c>
      <c r="O7" s="2">
        <f>SUMIFS(TblBudgetAusgaben[Betrag (LC)],TblBudgetAusgaben[Kostenkategorie],"Projektaktivitaeten")</f>
        <v>390000</v>
      </c>
      <c r="P7" s="2">
        <f>SUMIFS(TblBudgetAusgaben[Betrag (EUR)],TblBudgetAusgaben[Kostenkategorie],"Projektaktivitaeten")</f>
        <v>195000</v>
      </c>
    </row>
    <row r="8">
      <c r="B8" s="22"/>
      <c r="I8" s="23"/>
      <c r="K8" s="42" t="s">
        <v>199</v>
      </c>
      <c r="L8" s="42"/>
      <c r="M8" s="42"/>
      <c r="O8" s="2">
        <f>SUMIFS(TblBudgetAusgaben[Betrag (LC)],TblBudgetAusgaben[Kostenkategorie],"Projektverwaltung")</f>
        <v>390000</v>
      </c>
      <c r="P8" s="2">
        <f>SUMIFS(TblBudgetAusgaben[Betrag (EUR)],TblBudgetAusgaben[Kostenkategorie],"Projektverwaltung")</f>
        <v>195000</v>
      </c>
    </row>
    <row r="9" ht="20" customHeight="1">
      <c r="B9" s="35" t="s">
        <v>200</v>
      </c>
      <c r="C9" s="36"/>
      <c r="D9" s="36"/>
      <c r="E9" s="36"/>
      <c r="F9" s="36"/>
      <c r="G9" s="36"/>
      <c r="H9" s="36"/>
      <c r="I9" s="37"/>
      <c r="K9" s="43" t="s">
        <v>7</v>
      </c>
      <c r="L9" s="43"/>
      <c r="M9" s="43"/>
      <c r="O9" s="2">
        <f>SUMIFS(TblBudgetAusgaben[Betrag (LC)],TblBudgetAusgaben[Kostenkategorie],"Evaluierung")</f>
        <v>10000</v>
      </c>
      <c r="P9" s="2">
        <f>SUMIFS(TblBudgetAusgaben[Betrag (EUR)],TblBudgetAusgaben[Kostenkategorie],"Evaluierung")</f>
        <v>5000</v>
      </c>
    </row>
    <row r="10" ht="22" customHeight="1">
      <c r="B10" s="39" t="s">
        <v>201</v>
      </c>
      <c r="D10" s="44" t="s">
        <v>202</v>
      </c>
      <c r="E10" s="45">
        <f>SUM(TblDrittmittel[Betrag (LC)])</f>
        <v>30000</v>
      </c>
      <c r="F10" s="40">
        <v>30000</v>
      </c>
      <c r="G10" s="40"/>
      <c r="H10" s="40"/>
      <c r="I10" s="46">
        <f>SUM(TblDrittmittel[Betrag (EUR)])</f>
        <v>15000</v>
      </c>
      <c r="K10" s="43"/>
      <c r="L10" s="43"/>
      <c r="M10" s="43"/>
      <c r="O10" s="2">
        <f>SUMIFS(TblBudgetAusgaben[Betrag (LC)],TblBudgetAusgaben[Kostenkategorie],"Audit")</f>
        <v>10000</v>
      </c>
      <c r="P10" s="2">
        <f>SUMIFS(TblBudgetAusgaben[Betrag (EUR)],TblBudgetAusgaben[Kostenkategorie],"Audit")</f>
        <v>5000</v>
      </c>
    </row>
    <row r="11">
      <c r="B11" s="22"/>
      <c r="I11" s="23"/>
      <c r="K11" s="43"/>
      <c r="L11" s="43"/>
      <c r="M11" s="43"/>
      <c r="O11" s="2">
        <f>SUMIFS(TblBudgetAusgaben[Betrag (LC)],TblBudgetAusgaben[Kostenkategorie],"Reserve")</f>
        <v>79000</v>
      </c>
      <c r="P11" s="2">
        <f>SUMIFS(TblBudgetAusgaben[Betrag (EUR)],TblBudgetAusgaben[Kostenkategorie],"Reserve")</f>
        <v>39500</v>
      </c>
    </row>
    <row r="12" ht="20" customHeight="1">
      <c r="B12" s="35" t="s">
        <v>203</v>
      </c>
      <c r="C12" s="36"/>
      <c r="D12" s="36"/>
      <c r="E12" s="36"/>
      <c r="F12" s="36"/>
      <c r="G12" s="36"/>
      <c r="H12" s="36"/>
      <c r="I12" s="37"/>
      <c r="K12" s="43"/>
      <c r="L12" s="43"/>
      <c r="M12" s="43"/>
      <c r="O12" s="2">
        <f>SUBTOTAL(109,TblBudgetAusgaben[Betrag (LC)])</f>
        <v>1659000</v>
      </c>
      <c r="P12" s="2">
        <f>SUBTOTAL(109,TblBudgetAusgaben[Betrag (EUR)])</f>
        <v>829500</v>
      </c>
    </row>
    <row r="13" ht="22" customHeight="1">
      <c r="B13" s="39" t="s">
        <v>204</v>
      </c>
      <c r="E13" s="40">
        <v>1589000</v>
      </c>
      <c r="F13" s="40">
        <v>1589000</v>
      </c>
      <c r="G13" s="40">
        <v>0</v>
      </c>
      <c r="H13" s="40">
        <v>0</v>
      </c>
      <c r="I13" s="41">
        <v>794500</v>
      </c>
    </row>
    <row r="14">
      <c r="B14" s="22"/>
      <c r="I14" s="23"/>
    </row>
    <row r="15" ht="20" customHeight="1">
      <c r="B15" s="47" t="s">
        <v>205</v>
      </c>
      <c r="C15" s="48"/>
      <c r="D15" s="48"/>
      <c r="E15" s="49">
        <f>E7+E10+E13</f>
        <v>1659000</v>
      </c>
      <c r="F15" s="49">
        <f>F7+F10+F13</f>
        <v>1659000</v>
      </c>
      <c r="G15" s="49">
        <f>G7+G10+G13</f>
        <v>0</v>
      </c>
      <c r="H15" s="49">
        <f>H7+H10+H13</f>
        <v>0</v>
      </c>
      <c r="I15" s="50">
        <f>I7+I10+I13</f>
        <v>829500</v>
      </c>
    </row>
    <row r="16">
      <c r="B16" s="22"/>
      <c r="I16" s="23"/>
    </row>
    <row r="17" ht="24" customHeight="1">
      <c r="B17" s="25" t="s">
        <v>206</v>
      </c>
      <c r="C17" s="26"/>
      <c r="D17" s="26"/>
      <c r="E17" s="26"/>
      <c r="F17" s="26"/>
      <c r="G17" s="26"/>
      <c r="H17" s="26"/>
      <c r="I17" s="29"/>
      <c r="K17" s="51" t="s">
        <v>207</v>
      </c>
      <c r="L17" s="52"/>
      <c r="M17" s="53"/>
    </row>
    <row r="18">
      <c r="B18" s="31" t="s">
        <v>208</v>
      </c>
      <c r="C18" s="32" t="s">
        <v>209</v>
      </c>
      <c r="D18" s="32" t="s">
        <v>210</v>
      </c>
      <c r="E18" s="32" t="s">
        <v>192</v>
      </c>
      <c r="F18" s="32" t="s">
        <v>193</v>
      </c>
      <c r="G18" s="32" t="s">
        <v>194</v>
      </c>
      <c r="H18" s="32" t="s">
        <v>195</v>
      </c>
      <c r="I18" s="33" t="s">
        <v>196</v>
      </c>
      <c r="K18" s="31" t="s">
        <v>211</v>
      </c>
      <c r="L18" s="32" t="s">
        <v>192</v>
      </c>
      <c r="M18" s="33" t="s">
        <v>196</v>
      </c>
    </row>
    <row r="19">
      <c r="B19" s="54" t="s">
        <v>212</v>
      </c>
      <c r="C19" s="55" t="s">
        <v>213</v>
      </c>
      <c r="D19" s="56" t="s">
        <v>214</v>
      </c>
      <c r="E19" s="40">
        <v>10000</v>
      </c>
      <c r="F19" s="40">
        <v>10000</v>
      </c>
      <c r="G19" s="40"/>
      <c r="H19" s="40"/>
      <c r="I19" s="41">
        <v>5000</v>
      </c>
      <c r="K19" s="57" t="s">
        <v>215</v>
      </c>
      <c r="L19" s="58">
        <v>30000</v>
      </c>
      <c r="M19" s="59">
        <v>15000</v>
      </c>
    </row>
    <row r="20">
      <c r="B20" s="54" t="s">
        <v>212</v>
      </c>
      <c r="C20" s="55" t="s">
        <v>216</v>
      </c>
      <c r="D20" s="56" t="s">
        <v>217</v>
      </c>
      <c r="E20" s="40">
        <v>11000</v>
      </c>
      <c r="F20" s="40">
        <v>11000</v>
      </c>
      <c r="G20" s="40"/>
      <c r="H20" s="40"/>
      <c r="I20" s="41">
        <v>5500</v>
      </c>
    </row>
    <row r="21">
      <c r="B21" s="54" t="s">
        <v>212</v>
      </c>
      <c r="C21" s="55" t="s">
        <v>218</v>
      </c>
      <c r="D21" s="56" t="s">
        <v>219</v>
      </c>
      <c r="E21" s="40">
        <v>12000</v>
      </c>
      <c r="F21" s="40">
        <v>12000</v>
      </c>
      <c r="G21" s="40"/>
      <c r="H21" s="40"/>
      <c r="I21" s="41">
        <v>6000</v>
      </c>
    </row>
    <row r="22">
      <c r="B22" s="54" t="s">
        <v>212</v>
      </c>
      <c r="C22" s="55" t="s">
        <v>220</v>
      </c>
      <c r="D22" s="56" t="s">
        <v>221</v>
      </c>
      <c r="E22" s="40">
        <v>13000</v>
      </c>
      <c r="F22" s="40">
        <v>13000</v>
      </c>
      <c r="G22" s="40"/>
      <c r="H22" s="40"/>
      <c r="I22" s="41">
        <v>6500</v>
      </c>
    </row>
    <row r="23">
      <c r="B23" s="54" t="s">
        <v>212</v>
      </c>
      <c r="C23" s="55" t="s">
        <v>222</v>
      </c>
      <c r="D23" s="56" t="s">
        <v>223</v>
      </c>
      <c r="E23" s="40">
        <v>14000</v>
      </c>
      <c r="F23" s="40">
        <v>14000</v>
      </c>
      <c r="G23" s="40"/>
      <c r="H23" s="40"/>
      <c r="I23" s="41">
        <v>7000</v>
      </c>
    </row>
    <row r="24">
      <c r="B24" s="54" t="s">
        <v>212</v>
      </c>
      <c r="C24" s="55" t="s">
        <v>224</v>
      </c>
      <c r="D24" s="56" t="s">
        <v>225</v>
      </c>
      <c r="E24" s="40">
        <v>15000</v>
      </c>
      <c r="F24" s="40">
        <v>15000</v>
      </c>
      <c r="G24" s="40"/>
      <c r="H24" s="40"/>
      <c r="I24" s="41">
        <v>7500</v>
      </c>
    </row>
    <row r="25">
      <c r="B25" s="54" t="s">
        <v>212</v>
      </c>
      <c r="C25" s="55" t="s">
        <v>226</v>
      </c>
      <c r="D25" s="56" t="s">
        <v>227</v>
      </c>
      <c r="E25" s="40">
        <v>16000</v>
      </c>
      <c r="F25" s="40">
        <v>16000</v>
      </c>
      <c r="G25" s="40"/>
      <c r="H25" s="40"/>
      <c r="I25" s="41">
        <v>8000</v>
      </c>
    </row>
    <row r="26">
      <c r="B26" s="54" t="s">
        <v>212</v>
      </c>
      <c r="C26" s="55" t="s">
        <v>228</v>
      </c>
      <c r="D26" s="56" t="s">
        <v>229</v>
      </c>
      <c r="E26" s="40">
        <v>17000</v>
      </c>
      <c r="F26" s="40">
        <v>17000</v>
      </c>
      <c r="G26" s="40"/>
      <c r="H26" s="40"/>
      <c r="I26" s="41">
        <v>8500</v>
      </c>
    </row>
    <row r="27">
      <c r="B27" s="54" t="s">
        <v>212</v>
      </c>
      <c r="C27" s="55" t="s">
        <v>230</v>
      </c>
      <c r="D27" s="56" t="s">
        <v>231</v>
      </c>
      <c r="E27" s="40">
        <v>18000</v>
      </c>
      <c r="F27" s="40">
        <v>18000</v>
      </c>
      <c r="G27" s="40"/>
      <c r="H27" s="40"/>
      <c r="I27" s="41">
        <v>9000</v>
      </c>
    </row>
    <row r="28">
      <c r="B28" s="54" t="s">
        <v>212</v>
      </c>
      <c r="C28" s="55" t="s">
        <v>232</v>
      </c>
      <c r="D28" s="56" t="s">
        <v>233</v>
      </c>
      <c r="E28" s="40">
        <v>19000</v>
      </c>
      <c r="F28" s="40">
        <v>19000</v>
      </c>
      <c r="G28" s="40"/>
      <c r="H28" s="40"/>
      <c r="I28" s="41">
        <v>9500</v>
      </c>
    </row>
    <row r="29">
      <c r="B29" s="54" t="s">
        <v>212</v>
      </c>
      <c r="C29" s="55" t="s">
        <v>234</v>
      </c>
      <c r="D29" s="56" t="s">
        <v>235</v>
      </c>
      <c r="E29" s="40">
        <v>20000</v>
      </c>
      <c r="F29" s="40">
        <v>20000</v>
      </c>
      <c r="G29" s="40"/>
      <c r="H29" s="40"/>
      <c r="I29" s="41">
        <v>10000</v>
      </c>
    </row>
    <row r="30">
      <c r="B30" s="54" t="s">
        <v>212</v>
      </c>
      <c r="C30" s="55" t="s">
        <v>236</v>
      </c>
      <c r="D30" s="56" t="s">
        <v>237</v>
      </c>
      <c r="E30" s="40">
        <v>21000</v>
      </c>
      <c r="F30" s="40">
        <v>21000</v>
      </c>
      <c r="G30" s="40"/>
      <c r="H30" s="40"/>
      <c r="I30" s="41">
        <v>10500</v>
      </c>
    </row>
    <row r="31">
      <c r="B31" s="54" t="s">
        <v>212</v>
      </c>
      <c r="C31" s="55" t="s">
        <v>238</v>
      </c>
      <c r="D31" s="56" t="s">
        <v>239</v>
      </c>
      <c r="E31" s="40">
        <v>22000</v>
      </c>
      <c r="F31" s="40">
        <v>22000</v>
      </c>
      <c r="G31" s="40"/>
      <c r="H31" s="40"/>
      <c r="I31" s="41">
        <v>11000</v>
      </c>
    </row>
    <row r="32">
      <c r="B32" s="54" t="s">
        <v>212</v>
      </c>
      <c r="C32" s="55" t="s">
        <v>240</v>
      </c>
      <c r="D32" s="56" t="s">
        <v>241</v>
      </c>
      <c r="E32" s="40">
        <v>23000</v>
      </c>
      <c r="F32" s="40">
        <v>23000</v>
      </c>
      <c r="G32" s="40"/>
      <c r="H32" s="40"/>
      <c r="I32" s="41">
        <v>11500</v>
      </c>
    </row>
    <row r="33">
      <c r="B33" s="54" t="s">
        <v>212</v>
      </c>
      <c r="C33" s="55" t="s">
        <v>242</v>
      </c>
      <c r="D33" s="56" t="s">
        <v>243</v>
      </c>
      <c r="E33" s="40">
        <v>24000</v>
      </c>
      <c r="F33" s="40">
        <v>24000</v>
      </c>
      <c r="G33" s="40"/>
      <c r="H33" s="40"/>
      <c r="I33" s="41">
        <v>12000</v>
      </c>
    </row>
    <row r="34">
      <c r="B34" s="54" t="s">
        <v>212</v>
      </c>
      <c r="C34" s="55" t="s">
        <v>244</v>
      </c>
      <c r="D34" s="56" t="s">
        <v>245</v>
      </c>
      <c r="E34" s="40">
        <v>25000</v>
      </c>
      <c r="F34" s="40">
        <v>25000</v>
      </c>
      <c r="G34" s="40"/>
      <c r="H34" s="40"/>
      <c r="I34" s="41">
        <v>12500</v>
      </c>
    </row>
    <row r="35">
      <c r="B35" s="54" t="s">
        <v>212</v>
      </c>
      <c r="C35" s="55" t="s">
        <v>246</v>
      </c>
      <c r="D35" s="56" t="s">
        <v>247</v>
      </c>
      <c r="E35" s="40">
        <v>26000</v>
      </c>
      <c r="F35" s="40">
        <v>26000</v>
      </c>
      <c r="G35" s="40"/>
      <c r="H35" s="40"/>
      <c r="I35" s="41">
        <v>13000</v>
      </c>
    </row>
    <row r="36">
      <c r="B36" s="54" t="s">
        <v>212</v>
      </c>
      <c r="C36" s="55" t="s">
        <v>248</v>
      </c>
      <c r="D36" s="56" t="s">
        <v>249</v>
      </c>
      <c r="E36" s="40">
        <v>27000</v>
      </c>
      <c r="F36" s="40">
        <v>27000</v>
      </c>
      <c r="G36" s="40"/>
      <c r="H36" s="40"/>
      <c r="I36" s="41">
        <v>13500</v>
      </c>
    </row>
    <row r="37">
      <c r="B37" s="54" t="s">
        <v>212</v>
      </c>
      <c r="C37" s="55" t="s">
        <v>250</v>
      </c>
      <c r="D37" s="56" t="s">
        <v>251</v>
      </c>
      <c r="E37" s="40">
        <v>28000</v>
      </c>
      <c r="F37" s="40">
        <v>28000</v>
      </c>
      <c r="G37" s="40"/>
      <c r="H37" s="40"/>
      <c r="I37" s="41">
        <v>14000</v>
      </c>
    </row>
    <row r="38">
      <c r="B38" s="54" t="s">
        <v>212</v>
      </c>
      <c r="C38" s="55" t="s">
        <v>252</v>
      </c>
      <c r="D38" s="56" t="s">
        <v>253</v>
      </c>
      <c r="E38" s="40">
        <v>29000</v>
      </c>
      <c r="F38" s="40">
        <v>29000</v>
      </c>
      <c r="G38" s="40"/>
      <c r="H38" s="40"/>
      <c r="I38" s="41">
        <v>14500</v>
      </c>
    </row>
    <row r="39">
      <c r="B39" s="54" t="s">
        <v>254</v>
      </c>
      <c r="C39" s="55" t="s">
        <v>255</v>
      </c>
      <c r="D39" s="56" t="s">
        <v>214</v>
      </c>
      <c r="E39" s="40">
        <v>10000</v>
      </c>
      <c r="F39" s="40">
        <v>10000</v>
      </c>
      <c r="G39" s="40"/>
      <c r="H39" s="40"/>
      <c r="I39" s="41">
        <v>5000</v>
      </c>
    </row>
    <row r="40">
      <c r="B40" s="54" t="s">
        <v>254</v>
      </c>
      <c r="C40" s="55" t="s">
        <v>256</v>
      </c>
      <c r="D40" s="56" t="s">
        <v>217</v>
      </c>
      <c r="E40" s="40">
        <v>11000</v>
      </c>
      <c r="F40" s="40">
        <v>11000</v>
      </c>
      <c r="G40" s="40"/>
      <c r="H40" s="40"/>
      <c r="I40" s="41">
        <v>5500</v>
      </c>
    </row>
    <row r="41">
      <c r="B41" s="54" t="s">
        <v>254</v>
      </c>
      <c r="C41" s="55" t="s">
        <v>257</v>
      </c>
      <c r="D41" s="56" t="s">
        <v>219</v>
      </c>
      <c r="E41" s="40">
        <v>12000</v>
      </c>
      <c r="F41" s="40">
        <v>12000</v>
      </c>
      <c r="G41" s="40"/>
      <c r="H41" s="40"/>
      <c r="I41" s="41">
        <v>6000</v>
      </c>
    </row>
    <row r="42">
      <c r="B42" s="54" t="s">
        <v>254</v>
      </c>
      <c r="C42" s="55" t="s">
        <v>258</v>
      </c>
      <c r="D42" s="56" t="s">
        <v>221</v>
      </c>
      <c r="E42" s="40">
        <v>13000</v>
      </c>
      <c r="F42" s="40">
        <v>13000</v>
      </c>
      <c r="G42" s="40"/>
      <c r="H42" s="40"/>
      <c r="I42" s="41">
        <v>6500</v>
      </c>
    </row>
    <row r="43">
      <c r="B43" s="54" t="s">
        <v>254</v>
      </c>
      <c r="C43" s="55" t="s">
        <v>259</v>
      </c>
      <c r="D43" s="56" t="s">
        <v>223</v>
      </c>
      <c r="E43" s="40">
        <v>14000</v>
      </c>
      <c r="F43" s="40">
        <v>14000</v>
      </c>
      <c r="G43" s="40"/>
      <c r="H43" s="40"/>
      <c r="I43" s="41">
        <v>7000</v>
      </c>
    </row>
    <row r="44">
      <c r="B44" s="54" t="s">
        <v>254</v>
      </c>
      <c r="C44" s="55" t="s">
        <v>260</v>
      </c>
      <c r="D44" s="56" t="s">
        <v>225</v>
      </c>
      <c r="E44" s="40">
        <v>15000</v>
      </c>
      <c r="F44" s="40">
        <v>15000</v>
      </c>
      <c r="G44" s="40"/>
      <c r="H44" s="40"/>
      <c r="I44" s="41">
        <v>7500</v>
      </c>
    </row>
    <row r="45">
      <c r="B45" s="54" t="s">
        <v>254</v>
      </c>
      <c r="C45" s="55" t="s">
        <v>261</v>
      </c>
      <c r="D45" s="56" t="s">
        <v>227</v>
      </c>
      <c r="E45" s="40">
        <v>16000</v>
      </c>
      <c r="F45" s="40">
        <v>16000</v>
      </c>
      <c r="G45" s="40"/>
      <c r="H45" s="40"/>
      <c r="I45" s="41">
        <v>8000</v>
      </c>
    </row>
    <row r="46">
      <c r="B46" s="54" t="s">
        <v>254</v>
      </c>
      <c r="C46" s="55" t="s">
        <v>262</v>
      </c>
      <c r="D46" s="56" t="s">
        <v>229</v>
      </c>
      <c r="E46" s="40">
        <v>17000</v>
      </c>
      <c r="F46" s="40">
        <v>17000</v>
      </c>
      <c r="G46" s="40"/>
      <c r="H46" s="40"/>
      <c r="I46" s="41">
        <v>8500</v>
      </c>
    </row>
    <row r="47">
      <c r="B47" s="54" t="s">
        <v>254</v>
      </c>
      <c r="C47" s="55" t="s">
        <v>263</v>
      </c>
      <c r="D47" s="56" t="s">
        <v>231</v>
      </c>
      <c r="E47" s="40">
        <v>18000</v>
      </c>
      <c r="F47" s="40">
        <v>18000</v>
      </c>
      <c r="G47" s="40"/>
      <c r="H47" s="40"/>
      <c r="I47" s="41">
        <v>9000</v>
      </c>
    </row>
    <row r="48">
      <c r="B48" s="54" t="s">
        <v>254</v>
      </c>
      <c r="C48" s="55" t="s">
        <v>264</v>
      </c>
      <c r="D48" s="56" t="s">
        <v>233</v>
      </c>
      <c r="E48" s="40">
        <v>19000</v>
      </c>
      <c r="F48" s="40">
        <v>19000</v>
      </c>
      <c r="G48" s="40"/>
      <c r="H48" s="40"/>
      <c r="I48" s="41">
        <v>9500</v>
      </c>
    </row>
    <row r="49">
      <c r="B49" s="54" t="s">
        <v>254</v>
      </c>
      <c r="C49" s="55" t="s">
        <v>265</v>
      </c>
      <c r="D49" s="56" t="s">
        <v>235</v>
      </c>
      <c r="E49" s="40">
        <v>20000</v>
      </c>
      <c r="F49" s="40">
        <v>20000</v>
      </c>
      <c r="G49" s="40"/>
      <c r="H49" s="40"/>
      <c r="I49" s="41">
        <v>10000</v>
      </c>
    </row>
    <row r="50">
      <c r="B50" s="54" t="s">
        <v>254</v>
      </c>
      <c r="C50" s="55" t="s">
        <v>266</v>
      </c>
      <c r="D50" s="56" t="s">
        <v>237</v>
      </c>
      <c r="E50" s="40">
        <v>21000</v>
      </c>
      <c r="F50" s="40">
        <v>21000</v>
      </c>
      <c r="G50" s="40"/>
      <c r="H50" s="40"/>
      <c r="I50" s="41">
        <v>10500</v>
      </c>
    </row>
    <row r="51">
      <c r="B51" s="54" t="s">
        <v>254</v>
      </c>
      <c r="C51" s="55" t="s">
        <v>267</v>
      </c>
      <c r="D51" s="56" t="s">
        <v>239</v>
      </c>
      <c r="E51" s="40">
        <v>22000</v>
      </c>
      <c r="F51" s="40">
        <v>22000</v>
      </c>
      <c r="G51" s="40"/>
      <c r="H51" s="40"/>
      <c r="I51" s="41">
        <v>11000</v>
      </c>
    </row>
    <row r="52">
      <c r="B52" s="54" t="s">
        <v>254</v>
      </c>
      <c r="C52" s="55" t="s">
        <v>268</v>
      </c>
      <c r="D52" s="56" t="s">
        <v>241</v>
      </c>
      <c r="E52" s="40">
        <v>23000</v>
      </c>
      <c r="F52" s="40">
        <v>23000</v>
      </c>
      <c r="G52" s="40"/>
      <c r="H52" s="40"/>
      <c r="I52" s="41">
        <v>11500</v>
      </c>
    </row>
    <row r="53">
      <c r="B53" s="54" t="s">
        <v>254</v>
      </c>
      <c r="C53" s="55" t="s">
        <v>269</v>
      </c>
      <c r="D53" s="56" t="s">
        <v>243</v>
      </c>
      <c r="E53" s="40">
        <v>24000</v>
      </c>
      <c r="F53" s="40">
        <v>24000</v>
      </c>
      <c r="G53" s="40"/>
      <c r="H53" s="40"/>
      <c r="I53" s="41">
        <v>12000</v>
      </c>
    </row>
    <row r="54">
      <c r="B54" s="54" t="s">
        <v>254</v>
      </c>
      <c r="C54" s="55" t="s">
        <v>270</v>
      </c>
      <c r="D54" s="56" t="s">
        <v>245</v>
      </c>
      <c r="E54" s="40">
        <v>25000</v>
      </c>
      <c r="F54" s="40">
        <v>25000</v>
      </c>
      <c r="G54" s="40"/>
      <c r="H54" s="40"/>
      <c r="I54" s="41">
        <v>12500</v>
      </c>
    </row>
    <row r="55">
      <c r="B55" s="54" t="s">
        <v>254</v>
      </c>
      <c r="C55" s="55" t="s">
        <v>271</v>
      </c>
      <c r="D55" s="56" t="s">
        <v>247</v>
      </c>
      <c r="E55" s="40">
        <v>26000</v>
      </c>
      <c r="F55" s="40">
        <v>26000</v>
      </c>
      <c r="G55" s="40"/>
      <c r="H55" s="40"/>
      <c r="I55" s="41">
        <v>13000</v>
      </c>
    </row>
    <row r="56">
      <c r="B56" s="54" t="s">
        <v>254</v>
      </c>
      <c r="C56" s="55" t="s">
        <v>272</v>
      </c>
      <c r="D56" s="56" t="s">
        <v>249</v>
      </c>
      <c r="E56" s="40">
        <v>27000</v>
      </c>
      <c r="F56" s="40">
        <v>27000</v>
      </c>
      <c r="G56" s="40"/>
      <c r="H56" s="40"/>
      <c r="I56" s="41">
        <v>13500</v>
      </c>
    </row>
    <row r="57">
      <c r="B57" s="54" t="s">
        <v>254</v>
      </c>
      <c r="C57" s="55" t="s">
        <v>273</v>
      </c>
      <c r="D57" s="56" t="s">
        <v>251</v>
      </c>
      <c r="E57" s="40">
        <v>28000</v>
      </c>
      <c r="F57" s="40">
        <v>28000</v>
      </c>
      <c r="G57" s="40"/>
      <c r="H57" s="40"/>
      <c r="I57" s="41">
        <v>14000</v>
      </c>
    </row>
    <row r="58">
      <c r="B58" s="54" t="s">
        <v>254</v>
      </c>
      <c r="C58" s="55" t="s">
        <v>274</v>
      </c>
      <c r="D58" s="56" t="s">
        <v>253</v>
      </c>
      <c r="E58" s="40">
        <v>29000</v>
      </c>
      <c r="F58" s="40">
        <v>29000</v>
      </c>
      <c r="G58" s="40"/>
      <c r="H58" s="40"/>
      <c r="I58" s="41">
        <v>14500</v>
      </c>
    </row>
    <row r="59">
      <c r="B59" s="54" t="s">
        <v>275</v>
      </c>
      <c r="C59" s="55" t="s">
        <v>276</v>
      </c>
      <c r="D59" s="56" t="s">
        <v>214</v>
      </c>
      <c r="E59" s="40">
        <v>10000</v>
      </c>
      <c r="F59" s="40">
        <v>10000</v>
      </c>
      <c r="G59" s="40"/>
      <c r="H59" s="40"/>
      <c r="I59" s="41">
        <v>5000</v>
      </c>
    </row>
    <row r="60">
      <c r="B60" s="54" t="s">
        <v>275</v>
      </c>
      <c r="C60" s="55" t="s">
        <v>277</v>
      </c>
      <c r="D60" s="56" t="s">
        <v>217</v>
      </c>
      <c r="E60" s="40">
        <v>11000</v>
      </c>
      <c r="F60" s="40">
        <v>11000</v>
      </c>
      <c r="G60" s="40"/>
      <c r="H60" s="40"/>
      <c r="I60" s="41">
        <v>5500</v>
      </c>
    </row>
    <row r="61">
      <c r="B61" s="54" t="s">
        <v>275</v>
      </c>
      <c r="C61" s="55" t="s">
        <v>278</v>
      </c>
      <c r="D61" s="56" t="s">
        <v>219</v>
      </c>
      <c r="E61" s="40">
        <v>12000</v>
      </c>
      <c r="F61" s="40">
        <v>12000</v>
      </c>
      <c r="G61" s="40"/>
      <c r="H61" s="40"/>
      <c r="I61" s="41">
        <v>6000</v>
      </c>
    </row>
    <row r="62">
      <c r="B62" s="54" t="s">
        <v>275</v>
      </c>
      <c r="C62" s="55" t="s">
        <v>279</v>
      </c>
      <c r="D62" s="56" t="s">
        <v>221</v>
      </c>
      <c r="E62" s="40">
        <v>13000</v>
      </c>
      <c r="F62" s="40">
        <v>13000</v>
      </c>
      <c r="G62" s="40"/>
      <c r="H62" s="40"/>
      <c r="I62" s="41">
        <v>6500</v>
      </c>
    </row>
    <row r="63">
      <c r="B63" s="54" t="s">
        <v>275</v>
      </c>
      <c r="C63" s="55" t="s">
        <v>280</v>
      </c>
      <c r="D63" s="56" t="s">
        <v>223</v>
      </c>
      <c r="E63" s="40">
        <v>14000</v>
      </c>
      <c r="F63" s="40">
        <v>14000</v>
      </c>
      <c r="G63" s="40"/>
      <c r="H63" s="40"/>
      <c r="I63" s="41">
        <v>7000</v>
      </c>
    </row>
    <row r="64">
      <c r="B64" s="54" t="s">
        <v>275</v>
      </c>
      <c r="C64" s="55" t="s">
        <v>281</v>
      </c>
      <c r="D64" s="56" t="s">
        <v>225</v>
      </c>
      <c r="E64" s="40">
        <v>15000</v>
      </c>
      <c r="F64" s="40">
        <v>15000</v>
      </c>
      <c r="G64" s="40"/>
      <c r="H64" s="40"/>
      <c r="I64" s="41">
        <v>7500</v>
      </c>
    </row>
    <row r="65">
      <c r="B65" s="54" t="s">
        <v>275</v>
      </c>
      <c r="C65" s="55" t="s">
        <v>282</v>
      </c>
      <c r="D65" s="56" t="s">
        <v>227</v>
      </c>
      <c r="E65" s="40">
        <v>16000</v>
      </c>
      <c r="F65" s="40">
        <v>16000</v>
      </c>
      <c r="G65" s="40"/>
      <c r="H65" s="40"/>
      <c r="I65" s="41">
        <v>8000</v>
      </c>
    </row>
    <row r="66">
      <c r="B66" s="54" t="s">
        <v>275</v>
      </c>
      <c r="C66" s="55" t="s">
        <v>283</v>
      </c>
      <c r="D66" s="56" t="s">
        <v>229</v>
      </c>
      <c r="E66" s="40">
        <v>17000</v>
      </c>
      <c r="F66" s="40">
        <v>17000</v>
      </c>
      <c r="G66" s="40"/>
      <c r="H66" s="40"/>
      <c r="I66" s="41">
        <v>8500</v>
      </c>
    </row>
    <row r="67">
      <c r="B67" s="54" t="s">
        <v>275</v>
      </c>
      <c r="C67" s="55" t="s">
        <v>284</v>
      </c>
      <c r="D67" s="56" t="s">
        <v>231</v>
      </c>
      <c r="E67" s="40">
        <v>18000</v>
      </c>
      <c r="F67" s="40">
        <v>18000</v>
      </c>
      <c r="G67" s="40"/>
      <c r="H67" s="40"/>
      <c r="I67" s="41">
        <v>9000</v>
      </c>
    </row>
    <row r="68">
      <c r="B68" s="54" t="s">
        <v>275</v>
      </c>
      <c r="C68" s="55" t="s">
        <v>285</v>
      </c>
      <c r="D68" s="56" t="s">
        <v>233</v>
      </c>
      <c r="E68" s="40">
        <v>19000</v>
      </c>
      <c r="F68" s="40">
        <v>19000</v>
      </c>
      <c r="G68" s="40"/>
      <c r="H68" s="40"/>
      <c r="I68" s="41">
        <v>9500</v>
      </c>
    </row>
    <row r="69">
      <c r="B69" s="54" t="s">
        <v>275</v>
      </c>
      <c r="C69" s="55" t="s">
        <v>286</v>
      </c>
      <c r="D69" s="56" t="s">
        <v>235</v>
      </c>
      <c r="E69" s="40">
        <v>20000</v>
      </c>
      <c r="F69" s="40">
        <v>20000</v>
      </c>
      <c r="G69" s="40"/>
      <c r="H69" s="40"/>
      <c r="I69" s="41">
        <v>10000</v>
      </c>
    </row>
    <row r="70">
      <c r="B70" s="54" t="s">
        <v>275</v>
      </c>
      <c r="C70" s="55" t="s">
        <v>287</v>
      </c>
      <c r="D70" s="56" t="s">
        <v>237</v>
      </c>
      <c r="E70" s="40">
        <v>21000</v>
      </c>
      <c r="F70" s="40">
        <v>21000</v>
      </c>
      <c r="G70" s="40"/>
      <c r="H70" s="40"/>
      <c r="I70" s="41">
        <v>10500</v>
      </c>
    </row>
    <row r="71">
      <c r="B71" s="54" t="s">
        <v>275</v>
      </c>
      <c r="C71" s="55" t="s">
        <v>288</v>
      </c>
      <c r="D71" s="56" t="s">
        <v>239</v>
      </c>
      <c r="E71" s="40">
        <v>22000</v>
      </c>
      <c r="F71" s="40">
        <v>22000</v>
      </c>
      <c r="G71" s="40"/>
      <c r="H71" s="40"/>
      <c r="I71" s="41">
        <v>11000</v>
      </c>
    </row>
    <row r="72">
      <c r="B72" s="54" t="s">
        <v>275</v>
      </c>
      <c r="C72" s="55" t="s">
        <v>289</v>
      </c>
      <c r="D72" s="56" t="s">
        <v>241</v>
      </c>
      <c r="E72" s="40">
        <v>23000</v>
      </c>
      <c r="F72" s="40">
        <v>23000</v>
      </c>
      <c r="G72" s="40"/>
      <c r="H72" s="40"/>
      <c r="I72" s="41">
        <v>11500</v>
      </c>
    </row>
    <row r="73">
      <c r="B73" s="54" t="s">
        <v>275</v>
      </c>
      <c r="C73" s="55" t="s">
        <v>290</v>
      </c>
      <c r="D73" s="56" t="s">
        <v>243</v>
      </c>
      <c r="E73" s="40">
        <v>24000</v>
      </c>
      <c r="F73" s="40">
        <v>24000</v>
      </c>
      <c r="G73" s="40"/>
      <c r="H73" s="40"/>
      <c r="I73" s="41">
        <v>12000</v>
      </c>
    </row>
    <row r="74">
      <c r="B74" s="54" t="s">
        <v>275</v>
      </c>
      <c r="C74" s="55" t="s">
        <v>291</v>
      </c>
      <c r="D74" s="56" t="s">
        <v>245</v>
      </c>
      <c r="E74" s="40">
        <v>25000</v>
      </c>
      <c r="F74" s="40">
        <v>25000</v>
      </c>
      <c r="G74" s="40"/>
      <c r="H74" s="40"/>
      <c r="I74" s="41">
        <v>12500</v>
      </c>
    </row>
    <row r="75">
      <c r="B75" s="54" t="s">
        <v>275</v>
      </c>
      <c r="C75" s="55" t="s">
        <v>292</v>
      </c>
      <c r="D75" s="56" t="s">
        <v>247</v>
      </c>
      <c r="E75" s="40">
        <v>26000</v>
      </c>
      <c r="F75" s="40">
        <v>26000</v>
      </c>
      <c r="G75" s="40"/>
      <c r="H75" s="40"/>
      <c r="I75" s="41">
        <v>13000</v>
      </c>
    </row>
    <row r="76">
      <c r="B76" s="54" t="s">
        <v>275</v>
      </c>
      <c r="C76" s="55" t="s">
        <v>293</v>
      </c>
      <c r="D76" s="56" t="s">
        <v>249</v>
      </c>
      <c r="E76" s="40">
        <v>27000</v>
      </c>
      <c r="F76" s="40">
        <v>27000</v>
      </c>
      <c r="G76" s="40"/>
      <c r="H76" s="40"/>
      <c r="I76" s="41">
        <v>13500</v>
      </c>
    </row>
    <row r="77">
      <c r="B77" s="54" t="s">
        <v>275</v>
      </c>
      <c r="C77" s="55" t="s">
        <v>294</v>
      </c>
      <c r="D77" s="56" t="s">
        <v>251</v>
      </c>
      <c r="E77" s="40">
        <v>28000</v>
      </c>
      <c r="F77" s="40">
        <v>28000</v>
      </c>
      <c r="G77" s="40"/>
      <c r="H77" s="40"/>
      <c r="I77" s="41">
        <v>14000</v>
      </c>
    </row>
    <row r="78">
      <c r="B78" s="54" t="s">
        <v>275</v>
      </c>
      <c r="C78" s="55" t="s">
        <v>295</v>
      </c>
      <c r="D78" s="56" t="s">
        <v>253</v>
      </c>
      <c r="E78" s="40">
        <v>29000</v>
      </c>
      <c r="F78" s="40">
        <v>29000</v>
      </c>
      <c r="G78" s="40"/>
      <c r="H78" s="40"/>
      <c r="I78" s="41">
        <v>14500</v>
      </c>
    </row>
    <row r="79">
      <c r="B79" s="54" t="s">
        <v>296</v>
      </c>
      <c r="C79" s="55" t="s">
        <v>297</v>
      </c>
      <c r="D79" s="56" t="s">
        <v>214</v>
      </c>
      <c r="E79" s="40">
        <v>10000</v>
      </c>
      <c r="F79" s="40">
        <v>10000</v>
      </c>
      <c r="G79" s="40"/>
      <c r="H79" s="40"/>
      <c r="I79" s="41">
        <v>5000</v>
      </c>
    </row>
    <row r="80">
      <c r="B80" s="54" t="s">
        <v>296</v>
      </c>
      <c r="C80" s="55" t="s">
        <v>298</v>
      </c>
      <c r="D80" s="56" t="s">
        <v>217</v>
      </c>
      <c r="E80" s="40">
        <v>11000</v>
      </c>
      <c r="F80" s="40">
        <v>11000</v>
      </c>
      <c r="G80" s="40"/>
      <c r="H80" s="40"/>
      <c r="I80" s="41">
        <v>5500</v>
      </c>
    </row>
    <row r="81">
      <c r="B81" s="54" t="s">
        <v>296</v>
      </c>
      <c r="C81" s="55" t="s">
        <v>299</v>
      </c>
      <c r="D81" s="56" t="s">
        <v>219</v>
      </c>
      <c r="E81" s="40">
        <v>12000</v>
      </c>
      <c r="F81" s="40">
        <v>12000</v>
      </c>
      <c r="G81" s="40"/>
      <c r="H81" s="40"/>
      <c r="I81" s="41">
        <v>6000</v>
      </c>
    </row>
    <row r="82">
      <c r="B82" s="54" t="s">
        <v>296</v>
      </c>
      <c r="C82" s="55" t="s">
        <v>300</v>
      </c>
      <c r="D82" s="56" t="s">
        <v>221</v>
      </c>
      <c r="E82" s="40">
        <v>13000</v>
      </c>
      <c r="F82" s="40">
        <v>13000</v>
      </c>
      <c r="G82" s="40"/>
      <c r="H82" s="40"/>
      <c r="I82" s="41">
        <v>6500</v>
      </c>
    </row>
    <row r="83">
      <c r="B83" s="54" t="s">
        <v>296</v>
      </c>
      <c r="C83" s="55" t="s">
        <v>301</v>
      </c>
      <c r="D83" s="56" t="s">
        <v>223</v>
      </c>
      <c r="E83" s="40">
        <v>14000</v>
      </c>
      <c r="F83" s="40">
        <v>14000</v>
      </c>
      <c r="G83" s="40"/>
      <c r="H83" s="40"/>
      <c r="I83" s="41">
        <v>7000</v>
      </c>
    </row>
    <row r="84">
      <c r="B84" s="54" t="s">
        <v>296</v>
      </c>
      <c r="C84" s="55" t="s">
        <v>302</v>
      </c>
      <c r="D84" s="56" t="s">
        <v>225</v>
      </c>
      <c r="E84" s="40">
        <v>15000</v>
      </c>
      <c r="F84" s="40">
        <v>15000</v>
      </c>
      <c r="G84" s="40"/>
      <c r="H84" s="40"/>
      <c r="I84" s="41">
        <v>7500</v>
      </c>
    </row>
    <row r="85">
      <c r="B85" s="54" t="s">
        <v>296</v>
      </c>
      <c r="C85" s="55" t="s">
        <v>303</v>
      </c>
      <c r="D85" s="56" t="s">
        <v>227</v>
      </c>
      <c r="E85" s="40">
        <v>16000</v>
      </c>
      <c r="F85" s="40">
        <v>16000</v>
      </c>
      <c r="G85" s="40"/>
      <c r="H85" s="40"/>
      <c r="I85" s="41">
        <v>8000</v>
      </c>
    </row>
    <row r="86">
      <c r="B86" s="54" t="s">
        <v>296</v>
      </c>
      <c r="C86" s="55" t="s">
        <v>304</v>
      </c>
      <c r="D86" s="56" t="s">
        <v>229</v>
      </c>
      <c r="E86" s="40">
        <v>17000</v>
      </c>
      <c r="F86" s="40">
        <v>17000</v>
      </c>
      <c r="G86" s="40"/>
      <c r="H86" s="40"/>
      <c r="I86" s="41">
        <v>8500</v>
      </c>
    </row>
    <row r="87">
      <c r="B87" s="54" t="s">
        <v>296</v>
      </c>
      <c r="C87" s="55" t="s">
        <v>305</v>
      </c>
      <c r="D87" s="56" t="s">
        <v>231</v>
      </c>
      <c r="E87" s="40">
        <v>18000</v>
      </c>
      <c r="F87" s="40">
        <v>18000</v>
      </c>
      <c r="G87" s="40"/>
      <c r="H87" s="40"/>
      <c r="I87" s="41">
        <v>9000</v>
      </c>
    </row>
    <row r="88">
      <c r="B88" s="54" t="s">
        <v>296</v>
      </c>
      <c r="C88" s="55" t="s">
        <v>306</v>
      </c>
      <c r="D88" s="56" t="s">
        <v>233</v>
      </c>
      <c r="E88" s="40">
        <v>19000</v>
      </c>
      <c r="F88" s="40">
        <v>19000</v>
      </c>
      <c r="G88" s="40"/>
      <c r="H88" s="40"/>
      <c r="I88" s="41">
        <v>9500</v>
      </c>
    </row>
    <row r="89">
      <c r="B89" s="54" t="s">
        <v>296</v>
      </c>
      <c r="C89" s="55" t="s">
        <v>307</v>
      </c>
      <c r="D89" s="56" t="s">
        <v>235</v>
      </c>
      <c r="E89" s="40">
        <v>20000</v>
      </c>
      <c r="F89" s="40">
        <v>20000</v>
      </c>
      <c r="G89" s="40"/>
      <c r="H89" s="40"/>
      <c r="I89" s="41">
        <v>10000</v>
      </c>
    </row>
    <row r="90">
      <c r="B90" s="54" t="s">
        <v>296</v>
      </c>
      <c r="C90" s="55" t="s">
        <v>308</v>
      </c>
      <c r="D90" s="56" t="s">
        <v>237</v>
      </c>
      <c r="E90" s="40">
        <v>21000</v>
      </c>
      <c r="F90" s="40">
        <v>21000</v>
      </c>
      <c r="G90" s="40"/>
      <c r="H90" s="40"/>
      <c r="I90" s="41">
        <v>10500</v>
      </c>
    </row>
    <row r="91">
      <c r="B91" s="54" t="s">
        <v>296</v>
      </c>
      <c r="C91" s="55" t="s">
        <v>309</v>
      </c>
      <c r="D91" s="56" t="s">
        <v>239</v>
      </c>
      <c r="E91" s="40">
        <v>22000</v>
      </c>
      <c r="F91" s="40">
        <v>22000</v>
      </c>
      <c r="G91" s="40"/>
      <c r="H91" s="40"/>
      <c r="I91" s="41">
        <v>11000</v>
      </c>
    </row>
    <row r="92">
      <c r="B92" s="54" t="s">
        <v>296</v>
      </c>
      <c r="C92" s="55" t="s">
        <v>310</v>
      </c>
      <c r="D92" s="56" t="s">
        <v>241</v>
      </c>
      <c r="E92" s="40">
        <v>23000</v>
      </c>
      <c r="F92" s="40">
        <v>23000</v>
      </c>
      <c r="G92" s="40"/>
      <c r="H92" s="40"/>
      <c r="I92" s="41">
        <v>11500</v>
      </c>
    </row>
    <row r="93">
      <c r="B93" s="54" t="s">
        <v>296</v>
      </c>
      <c r="C93" s="55" t="s">
        <v>311</v>
      </c>
      <c r="D93" s="56" t="s">
        <v>243</v>
      </c>
      <c r="E93" s="40">
        <v>24000</v>
      </c>
      <c r="F93" s="40">
        <v>24000</v>
      </c>
      <c r="G93" s="40"/>
      <c r="H93" s="40"/>
      <c r="I93" s="41">
        <v>12000</v>
      </c>
    </row>
    <row r="94">
      <c r="B94" s="54" t="s">
        <v>296</v>
      </c>
      <c r="C94" s="55" t="s">
        <v>312</v>
      </c>
      <c r="D94" s="56" t="s">
        <v>245</v>
      </c>
      <c r="E94" s="40">
        <v>25000</v>
      </c>
      <c r="F94" s="40">
        <v>25000</v>
      </c>
      <c r="G94" s="40"/>
      <c r="H94" s="40"/>
      <c r="I94" s="41">
        <v>12500</v>
      </c>
    </row>
    <row r="95">
      <c r="B95" s="54" t="s">
        <v>296</v>
      </c>
      <c r="C95" s="55" t="s">
        <v>313</v>
      </c>
      <c r="D95" s="56" t="s">
        <v>247</v>
      </c>
      <c r="E95" s="40">
        <v>26000</v>
      </c>
      <c r="F95" s="40">
        <v>26000</v>
      </c>
      <c r="G95" s="40"/>
      <c r="H95" s="40"/>
      <c r="I95" s="41">
        <v>13000</v>
      </c>
    </row>
    <row r="96">
      <c r="B96" s="54" t="s">
        <v>296</v>
      </c>
      <c r="C96" s="55" t="s">
        <v>314</v>
      </c>
      <c r="D96" s="56" t="s">
        <v>249</v>
      </c>
      <c r="E96" s="40">
        <v>27000</v>
      </c>
      <c r="F96" s="40">
        <v>27000</v>
      </c>
      <c r="G96" s="40"/>
      <c r="H96" s="40"/>
      <c r="I96" s="41">
        <v>13500</v>
      </c>
    </row>
    <row r="97">
      <c r="B97" s="54" t="s">
        <v>296</v>
      </c>
      <c r="C97" s="55" t="s">
        <v>315</v>
      </c>
      <c r="D97" s="56" t="s">
        <v>251</v>
      </c>
      <c r="E97" s="40">
        <v>28000</v>
      </c>
      <c r="F97" s="40">
        <v>28000</v>
      </c>
      <c r="G97" s="40"/>
      <c r="H97" s="40"/>
      <c r="I97" s="41">
        <v>14000</v>
      </c>
    </row>
    <row r="98">
      <c r="B98" s="54" t="s">
        <v>296</v>
      </c>
      <c r="C98" s="55" t="s">
        <v>316</v>
      </c>
      <c r="D98" s="56" t="s">
        <v>253</v>
      </c>
      <c r="E98" s="40">
        <v>29000</v>
      </c>
      <c r="F98" s="40">
        <v>29000</v>
      </c>
      <c r="G98" s="40"/>
      <c r="H98" s="40"/>
      <c r="I98" s="41">
        <v>14500</v>
      </c>
    </row>
    <row r="99">
      <c r="B99" s="54" t="s">
        <v>317</v>
      </c>
      <c r="C99" s="55" t="s">
        <v>318</v>
      </c>
      <c r="D99" s="56" t="s">
        <v>317</v>
      </c>
      <c r="E99" s="40">
        <v>10000</v>
      </c>
      <c r="F99" s="40">
        <v>10000</v>
      </c>
      <c r="G99" s="40"/>
      <c r="H99" s="40"/>
      <c r="I99" s="41">
        <v>5000</v>
      </c>
    </row>
    <row r="100">
      <c r="B100" s="54" t="s">
        <v>319</v>
      </c>
      <c r="C100" s="55" t="s">
        <v>320</v>
      </c>
      <c r="D100" s="56" t="s">
        <v>319</v>
      </c>
      <c r="E100" s="40">
        <v>10000</v>
      </c>
      <c r="F100" s="40">
        <v>10000</v>
      </c>
      <c r="G100" s="40"/>
      <c r="H100" s="40"/>
      <c r="I100" s="41">
        <v>5000</v>
      </c>
    </row>
    <row r="101">
      <c r="B101" s="54" t="s">
        <v>321</v>
      </c>
      <c r="C101" s="55" t="s">
        <v>322</v>
      </c>
      <c r="D101" s="56" t="s">
        <v>323</v>
      </c>
      <c r="E101" s="40">
        <v>79000</v>
      </c>
      <c r="F101" s="40">
        <v>79000</v>
      </c>
      <c r="G101" s="40">
        <v>0</v>
      </c>
      <c r="H101" s="40">
        <v>0</v>
      </c>
      <c r="I101" s="41">
        <v>39500</v>
      </c>
    </row>
    <row r="102" ht="20" customHeight="1">
      <c r="B102" s="60" t="s">
        <v>324</v>
      </c>
      <c r="C102" s="61"/>
      <c r="D102" s="61"/>
      <c r="E102" s="62">
        <f>SUBTOTAL(109,TblBudgetAusgaben[Betrag (LC)])</f>
        <v>1659000</v>
      </c>
      <c r="F102" s="62">
        <f>SUBTOTAL(109,TblBudgetAusgaben[Jahr 1])</f>
        <v>1659000</v>
      </c>
      <c r="G102" s="62">
        <f>SUBTOTAL(109,TblBudgetAusgaben[Jahr 2])</f>
        <v>0</v>
      </c>
      <c r="H102" s="62">
        <f>SUBTOTAL(109,TblBudgetAusgaben[Jahr 3])</f>
        <v>0</v>
      </c>
      <c r="I102" s="63">
        <f>SUBTOTAL(109,TblBudgetAusgaben[Betrag (EUR)])</f>
        <v>829500</v>
      </c>
    </row>
    <row r="104">
      <c r="B104" s="64" t="s">
        <v>325</v>
      </c>
      <c r="C104" s="65"/>
      <c r="D104" s="65"/>
      <c r="E104" s="66"/>
    </row>
    <row r="105">
      <c r="B105" s="67" t="s">
        <v>326</v>
      </c>
      <c r="C105" s="68"/>
      <c r="D105" s="68"/>
      <c r="E105" s="69" t="str">
        <f>IF(ROUND($E$15-$O$12,2)=0,"OK","Abweichung")</f>
        <v>OK</v>
      </c>
    </row>
    <row r="106">
      <c r="B106" s="67" t="s">
        <v>327</v>
      </c>
      <c r="C106" s="68"/>
      <c r="D106" s="68"/>
      <c r="E106" s="69" t="str">
        <f>IF(ROUND($I$15-$P$12,2)=0,"OK","Abweichung")</f>
        <v>OK</v>
      </c>
    </row>
    <row r="107">
      <c r="B107" s="67" t="s">
        <v>328</v>
      </c>
      <c r="C107" s="68"/>
      <c r="D107" s="68"/>
      <c r="E107" s="69" t="str">
        <f>IF(ROUND($H$4,4)=ROUND(IFERROR($O$12/$P$12,0),4),"OK","Abweichung")</f>
        <v>OK</v>
      </c>
    </row>
    <row r="108">
      <c r="B108" s="67" t="s">
        <v>329</v>
      </c>
      <c r="C108" s="68"/>
      <c r="D108" s="68"/>
      <c r="E108" s="69" t="str">
        <f>IF(ROUND(($F$15+$G$15+$H$15)-$E$15,2)=0,"OK","Abweichung")</f>
        <v>OK</v>
      </c>
    </row>
    <row r="109">
      <c r="B109" s="70" t="s">
        <v>330</v>
      </c>
      <c r="C109" s="71"/>
      <c r="D109" s="71"/>
      <c r="E109" s="72" t="str">
        <f>IF(ROUND(($F$102+$G$102+$H$102)-$O$12,2)=0,"OK","Abweichung")</f>
        <v>OK</v>
      </c>
    </row>
  </sheetData>
  <sheetProtection algorithmName="SHA-512" hashValue="vYGS9ri6ksHlA32xbvWGhZg/8+pbfkEh8tIBbXfwjg5T5u13Mhqm2octwDFb2BZsukWeev7c3xvaa0lbGR97gQ==" saltValue="a213ZmJfcnB0X3YxXyEhAA==" spinCount="100000" sheet="1" selectLockedCells="0" selectUnlockedCells="0" formatCells="1" formatColumns="1" formatRows="1" insertColumns="1" insertRows="1" insertHyperlinks="1" deleteColumns="1" deleteRows="1" sort="1" autoFilter="0" pivotTables="1" objects="1" scenarios="1"/>
  <mergeCells count="9">
    <mergeCell ref="K17:M17"/>
    <mergeCell ref="K8:M8"/>
    <mergeCell ref="K9:M12"/>
    <mergeCell ref="B104:E104"/>
    <mergeCell ref="B105:D105"/>
    <mergeCell ref="B106:D106"/>
    <mergeCell ref="B107:D107"/>
    <mergeCell ref="B108:D108"/>
    <mergeCell ref="B109:D10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87003F-008C-4EB2-8352-0047007700A2}">
            <xm:f>$K$5="Ja"</xm:f>
            <x14:dxf>
              <font>
                <b/>
                <sz val="9.000000"/>
                <color rgb="FF006100"/>
                <name val="Segoe UI"/>
              </font>
              <fill>
                <patternFill patternType="solid">
                  <fgColor rgb="FFC6EFCE"/>
                  <bgColor rgb="FFC6EFCE"/>
                </patternFill>
              </fill>
              <alignment indent="0" relativeIndent="0" shrinkToFit="0" textRotation="0" vertical="bottom" wrapText="0"/>
              <border>
                <left style="medium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medium">
                  <color indexed="23"/>
                </bottom>
                <diagonal style="none"/>
              </border>
            </x14:dxf>
          </x14:cfRule>
          <xm:sqref>K6</xm:sqref>
        </x14:conditionalFormatting>
        <x14:conditionalFormatting xmlns:xm="http://schemas.microsoft.com/office/excel/2006/main">
          <x14:cfRule type="expression" priority="2" id="{00F300E6-00CD-475D-8BDF-004500D20089}">
            <xm:f>$K$5="Ja"</xm:f>
            <x14:dxf>
              <font>
                <name val="Segoe UI"/>
              </font>
              <fill>
                <patternFill patternType="solid">
                  <fgColor rgb="FFFFFAE5"/>
                  <bgColor rgb="FFFFFAE5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K9:M12</xm:sqref>
        </x14:conditionalFormatting>
        <x14:conditionalFormatting xmlns:xm="http://schemas.microsoft.com/office/excel/2006/main">
          <x14:cfRule type="expression" priority="3" id="{00A40007-00A3-4763-8A2F-0061002600B8}">
            <xm:f>$E$105="OK"</xm:f>
            <x14:dxf>
              <font>
                <b/>
                <sz val="9.000000"/>
                <color rgb="FF006100"/>
                <name val="Segoe UI"/>
              </font>
              <fill>
                <patternFill patternType="solid">
                  <fgColor rgb="FFC6EFCE"/>
                  <bgColor rgb="FFC6EFCE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E105</xm:sqref>
        </x14:conditionalFormatting>
        <x14:conditionalFormatting xmlns:xm="http://schemas.microsoft.com/office/excel/2006/main">
          <x14:cfRule type="expression" priority="4" id="{0086004A-00C2-47E4-B78A-00F90085006A}">
            <xm:f>$E$105&lt;&gt;"OK"</xm:f>
            <x14:dxf>
              <font>
                <b/>
                <sz val="9.000000"/>
                <color rgb="FF9C0006"/>
                <name val="Segoe UI"/>
              </font>
              <fill>
                <patternFill patternType="solid">
                  <fgColor rgb="FFFFC7CE"/>
                  <bgColor rgb="FFFFC7CE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E105</xm:sqref>
        </x14:conditionalFormatting>
        <x14:conditionalFormatting xmlns:xm="http://schemas.microsoft.com/office/excel/2006/main">
          <x14:cfRule type="expression" priority="5" id="{00A70073-00FD-4E1E-BF01-00BE0091003A}">
            <xm:f>$E$106="OK"</xm:f>
            <x14:dxf>
              <font>
                <b/>
                <sz val="9.000000"/>
                <color rgb="FF006100"/>
                <name val="Segoe UI"/>
              </font>
              <fill>
                <patternFill patternType="solid">
                  <fgColor rgb="FFC6EFCE"/>
                  <bgColor rgb="FFC6EFCE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E106</xm:sqref>
        </x14:conditionalFormatting>
        <x14:conditionalFormatting xmlns:xm="http://schemas.microsoft.com/office/excel/2006/main">
          <x14:cfRule type="expression" priority="6" id="{003E0020-0074-4186-A08B-008E00B900CF}">
            <xm:f>$E$106&lt;&gt;"OK"</xm:f>
            <x14:dxf>
              <font>
                <b/>
                <sz val="9.000000"/>
                <color rgb="FF9C0006"/>
                <name val="Segoe UI"/>
              </font>
              <fill>
                <patternFill patternType="solid">
                  <fgColor rgb="FFFFC7CE"/>
                  <bgColor rgb="FFFFC7CE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E106</xm:sqref>
        </x14:conditionalFormatting>
        <x14:conditionalFormatting xmlns:xm="http://schemas.microsoft.com/office/excel/2006/main">
          <x14:cfRule type="expression" priority="7" id="{008E00A1-00E6-4524-A73F-00DE0081009A}">
            <xm:f>$E$107="OK"</xm:f>
            <x14:dxf>
              <font>
                <b/>
                <sz val="9.000000"/>
                <color rgb="FF006100"/>
                <name val="Segoe UI"/>
              </font>
              <fill>
                <patternFill patternType="solid">
                  <fgColor rgb="FFC6EFCE"/>
                  <bgColor rgb="FFC6EFCE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E107</xm:sqref>
        </x14:conditionalFormatting>
        <x14:conditionalFormatting xmlns:xm="http://schemas.microsoft.com/office/excel/2006/main">
          <x14:cfRule type="expression" priority="8" id="{009700D6-00DC-475D-B7BE-0092009B006B}">
            <xm:f>$E$107&lt;&gt;"OK"</xm:f>
            <x14:dxf>
              <font>
                <b/>
                <sz val="9.000000"/>
                <color rgb="FF9C0006"/>
                <name val="Segoe UI"/>
              </font>
              <fill>
                <patternFill patternType="solid">
                  <fgColor rgb="FFFFC7CE"/>
                  <bgColor rgb="FFFFC7CE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E107</xm:sqref>
        </x14:conditionalFormatting>
        <x14:conditionalFormatting xmlns:xm="http://schemas.microsoft.com/office/excel/2006/main">
          <x14:cfRule type="expression" priority="9" id="{00610033-00F7-4891-A7FB-00840094006E}">
            <xm:f>$E$108="OK"</xm:f>
            <x14:dxf>
              <font>
                <b/>
                <sz val="9.000000"/>
                <color rgb="FF006100"/>
                <name val="Segoe UI"/>
              </font>
              <fill>
                <patternFill patternType="solid">
                  <fgColor rgb="FFC6EFCE"/>
                  <bgColor rgb="FFC6EFCE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E108</xm:sqref>
        </x14:conditionalFormatting>
        <x14:conditionalFormatting xmlns:xm="http://schemas.microsoft.com/office/excel/2006/main">
          <x14:cfRule type="expression" priority="10" id="{00CF0075-00AE-4535-8A8E-008E00C100B0}">
            <xm:f>$E$108&lt;&gt;"OK"</xm:f>
            <x14:dxf>
              <font>
                <b/>
                <sz val="9.000000"/>
                <color rgb="FF9C0006"/>
                <name val="Segoe UI"/>
              </font>
              <fill>
                <patternFill patternType="solid">
                  <fgColor rgb="FFFFC7CE"/>
                  <bgColor rgb="FFFFC7CE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E108</xm:sqref>
        </x14:conditionalFormatting>
        <x14:conditionalFormatting xmlns:xm="http://schemas.microsoft.com/office/excel/2006/main">
          <x14:cfRule type="expression" priority="11" id="{00A500E2-006E-403A-906D-00CD0054002F}">
            <xm:f>$E$109="OK"</xm:f>
            <x14:dxf>
              <font>
                <b/>
                <sz val="9.000000"/>
                <color rgb="FF006100"/>
                <name val="Segoe UI"/>
              </font>
              <fill>
                <patternFill patternType="solid">
                  <fgColor rgb="FFC6EFCE"/>
                  <bgColor rgb="FFC6EFCE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medium">
                  <color indexed="23"/>
                </bottom>
                <diagonal style="none"/>
              </border>
            </x14:dxf>
          </x14:cfRule>
          <xm:sqref>E109</xm:sqref>
        </x14:conditionalFormatting>
        <x14:conditionalFormatting xmlns:xm="http://schemas.microsoft.com/office/excel/2006/main">
          <x14:cfRule type="expression" priority="12" id="{00BF00FE-00CA-4D51-A56C-00F400750009}">
            <xm:f>$E$109&lt;&gt;"OK"</xm:f>
            <x14:dxf>
              <font>
                <b/>
                <sz val="9.000000"/>
                <color rgb="FF9C0006"/>
                <name val="Segoe UI"/>
              </font>
              <fill>
                <patternFill patternType="solid">
                  <fgColor rgb="FFFFC7CE"/>
                  <bgColor rgb="FFFFC7CE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medium">
                  <color indexed="23"/>
                </bottom>
                <diagonal style="none"/>
              </border>
            </x14:dxf>
          </x14:cfRule>
          <xm:sqref>E109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A0051-007F-427A-B18A-004B0082005E}" type="list" allowBlank="1" errorStyle="stop" imeMode="noControl" operator="between" showDropDown="0" showErrorMessage="0" showInputMessage="0">
          <x14:formula1>
            <xm:f>"Bauausgaben,Investitionen,Personalkosten,Projektaktivitaeten,Projektverwaltung,Evaluierung,Audit,Reserve"</xm:f>
          </x14:formula1>
          <xm:sqref>B19:B101</xm:sqref>
        </x14:dataValidation>
        <x14:dataValidation xr:uid="{00BC0045-00D7-418D-823F-006100DF0040}" type="list" allowBlank="1" errorStyle="stop" imeMode="noControl" operator="between" showDropDown="0" showErrorMessage="0" showInputMessage="0">
          <x14:formula1>
            <xm:f>"Ja,Nein"</xm:f>
          </x14:formula1>
          <xm:sqref>K5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defaultRowHeight="15"/>
  <cols>
    <col min="1" max="1" style="278" width="9.140625"/>
    <col min="2" max="2" style="278" customWidth="1" width="15"/>
    <col min="3" max="3" style="278" customWidth="1" width="10"/>
    <col min="4" max="4" style="278" customWidth="1" width="20"/>
    <col min="5" max="5" style="278" customWidth="1" width="15"/>
    <col min="6" max="10" style="278" width="9.140625"/>
    <col min="11" max="25" style="1" width="9.140625"/>
    <col min="26" max="26" style="1" customWidth="1" hidden="1" width="9.140625"/>
    <col min="27" max="16384" style="1" width="9.140625"/>
  </cols>
  <sheetData>
    <row r="1">
      <c r="Z1" s="1" t="s">
        <v>331</v>
      </c>
    </row>
    <row r="2" ht="24" customHeight="1">
      <c r="B2" s="73" t="s">
        <v>332</v>
      </c>
      <c r="C2" s="73"/>
      <c r="D2" s="73"/>
      <c r="E2" s="73"/>
      <c r="Z2" s="1" t="s">
        <v>333</v>
      </c>
    </row>
    <row r="3">
      <c r="Z3" s="1" t="s">
        <v>334</v>
      </c>
    </row>
    <row r="4" ht="20" customHeight="1">
      <c r="B4" s="74" t="s">
        <v>335</v>
      </c>
      <c r="C4" s="75" t="s">
        <v>336</v>
      </c>
      <c r="D4" s="75" t="s">
        <v>337</v>
      </c>
      <c r="E4" s="76" t="s">
        <v>338</v>
      </c>
      <c r="Z4" s="1" t="s">
        <v>339</v>
      </c>
    </row>
    <row r="5">
      <c r="B5" s="77"/>
      <c r="C5" s="78"/>
      <c r="D5" s="79"/>
      <c r="E5" s="80"/>
      <c r="Z5" s="1" t="s">
        <v>340</v>
      </c>
    </row>
    <row r="6">
      <c r="B6" s="81"/>
      <c r="C6" s="82"/>
      <c r="D6" s="83"/>
      <c r="E6" s="84"/>
      <c r="Z6" s="1" t="s">
        <v>341</v>
      </c>
    </row>
    <row r="7">
      <c r="B7" s="81"/>
      <c r="C7" s="82"/>
      <c r="D7" s="83"/>
      <c r="E7" s="84"/>
      <c r="Z7" s="1" t="s">
        <v>342</v>
      </c>
    </row>
    <row r="8">
      <c r="B8" s="81"/>
      <c r="C8" s="82"/>
      <c r="D8" s="83"/>
      <c r="E8" s="84"/>
      <c r="Z8" s="1" t="s">
        <v>343</v>
      </c>
    </row>
    <row r="9">
      <c r="B9" s="81"/>
      <c r="C9" s="82"/>
      <c r="D9" s="83"/>
      <c r="E9" s="84"/>
      <c r="Z9" s="1" t="s">
        <v>344</v>
      </c>
    </row>
    <row r="10">
      <c r="B10" s="81"/>
      <c r="C10" s="82"/>
      <c r="D10" s="83"/>
      <c r="E10" s="84"/>
      <c r="Z10" s="1" t="s">
        <v>345</v>
      </c>
    </row>
    <row r="11">
      <c r="B11" s="81"/>
      <c r="C11" s="82"/>
      <c r="D11" s="83"/>
      <c r="E11" s="84"/>
      <c r="Z11" s="1" t="s">
        <v>346</v>
      </c>
    </row>
    <row r="12">
      <c r="B12" s="81"/>
      <c r="C12" s="82"/>
      <c r="D12" s="83"/>
      <c r="E12" s="84"/>
      <c r="Z12" s="1" t="s">
        <v>347</v>
      </c>
    </row>
    <row r="13">
      <c r="B13" s="81"/>
      <c r="C13" s="82"/>
      <c r="D13" s="83"/>
      <c r="E13" s="84"/>
      <c r="Z13" s="1" t="s">
        <v>348</v>
      </c>
    </row>
    <row r="14">
      <c r="B14" s="81"/>
      <c r="C14" s="82"/>
      <c r="D14" s="83"/>
      <c r="E14" s="84"/>
      <c r="Z14" s="1" t="s">
        <v>349</v>
      </c>
    </row>
    <row r="15">
      <c r="B15" s="81"/>
      <c r="C15" s="82"/>
      <c r="D15" s="83"/>
      <c r="E15" s="84"/>
      <c r="Z15" s="1" t="s">
        <v>350</v>
      </c>
    </row>
    <row r="16">
      <c r="B16" s="81"/>
      <c r="C16" s="82"/>
      <c r="D16" s="83"/>
      <c r="E16" s="84"/>
      <c r="Z16" s="1" t="s">
        <v>351</v>
      </c>
    </row>
    <row r="17">
      <c r="B17" s="81"/>
      <c r="C17" s="82"/>
      <c r="D17" s="83"/>
      <c r="E17" s="84"/>
      <c r="Z17" s="1" t="s">
        <v>352</v>
      </c>
    </row>
    <row r="18">
      <c r="B18" s="81"/>
      <c r="C18" s="82"/>
      <c r="D18" s="83"/>
      <c r="E18" s="84"/>
      <c r="Z18" s="1" t="s">
        <v>353</v>
      </c>
    </row>
    <row r="19">
      <c r="B19" s="81"/>
      <c r="C19" s="82"/>
      <c r="D19" s="83"/>
      <c r="E19" s="84"/>
      <c r="Z19" s="1" t="s">
        <v>354</v>
      </c>
    </row>
    <row r="20">
      <c r="B20" s="81"/>
      <c r="C20" s="82"/>
      <c r="D20" s="83"/>
      <c r="E20" s="84"/>
      <c r="Z20" s="1" t="s">
        <v>355</v>
      </c>
    </row>
    <row r="21">
      <c r="B21" s="81"/>
      <c r="C21" s="82"/>
      <c r="D21" s="83"/>
      <c r="E21" s="84"/>
      <c r="Z21" s="1" t="s">
        <v>356</v>
      </c>
    </row>
    <row r="22">
      <c r="B22" s="85"/>
      <c r="C22" s="86"/>
      <c r="D22" s="87"/>
      <c r="E22" s="88"/>
      <c r="Z22" s="1" t="s">
        <v>357</v>
      </c>
    </row>
    <row r="23">
      <c r="B23" s="89" t="s">
        <v>358</v>
      </c>
      <c r="C23" s="90"/>
      <c r="D23" s="91">
        <f>SUBTOTAL(109,TblKMWMittel[Betrag])</f>
        <v>0</v>
      </c>
      <c r="E23" s="92"/>
      <c r="Z23" s="1" t="s">
        <v>359</v>
      </c>
    </row>
    <row r="24">
      <c r="Z24" s="1" t="s">
        <v>360</v>
      </c>
    </row>
    <row r="25">
      <c r="Z25" s="1" t="s">
        <v>361</v>
      </c>
    </row>
    <row r="26">
      <c r="Z26" s="1" t="s">
        <v>362</v>
      </c>
    </row>
    <row r="27">
      <c r="Z27" s="1" t="s">
        <v>363</v>
      </c>
    </row>
    <row r="28">
      <c r="Z28" s="1" t="s">
        <v>364</v>
      </c>
    </row>
    <row r="29">
      <c r="Z29" s="1" t="s">
        <v>365</v>
      </c>
    </row>
    <row r="30">
      <c r="Z30" s="1" t="s">
        <v>366</v>
      </c>
    </row>
    <row r="31">
      <c r="Z31" s="1" t="s">
        <v>367</v>
      </c>
    </row>
    <row r="32">
      <c r="Z32" s="1" t="s">
        <v>368</v>
      </c>
    </row>
    <row r="33">
      <c r="Z33" s="1" t="s">
        <v>369</v>
      </c>
    </row>
    <row r="34">
      <c r="Z34" s="1" t="s">
        <v>370</v>
      </c>
    </row>
    <row r="35">
      <c r="Z35" s="1" t="s">
        <v>371</v>
      </c>
    </row>
    <row r="36">
      <c r="Z36" s="1" t="s">
        <v>372</v>
      </c>
    </row>
  </sheetData>
  <sheetProtection algorithmName="SHA-512" hashValue="vYGS9ri6ksHlA32xbvWGhZg/8+pbfkEh8tIBbXfwjg5T5u13Mhqm2octwDFb2BZsukWeev7c3xvaa0lbGR97gQ==" saltValue="a213ZmJfcnB0X3YxXyEhAA==" spinCount="100000" sheet="1" selectLockedCells="0" selectUnlockedCells="0" formatCells="1" formatColumns="1" formatRows="1" insertColumns="1" insertRows="1" insertHyperlinks="1" deleteColumns="1" deleteRows="1" sort="1" autoFilter="0" pivotTables="1" objects="1" scenarios="1"/>
  <mergeCells count="1">
    <mergeCell ref="B2:E2"/>
  </mergeCells>
  <dataValidations count="1" disablePrompts="0">
    <dataValidation sqref="B5:B22" type="list" allowBlank="1" errorStyle="stop" imeMode="noControl" operator="between" showDropDown="0" showErrorMessage="0" showInputMessage="0">
      <formula1>'II. KMW-Mittel'!$Z$1:$Z$36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8A000A-00F3-4281-80C7-00100012002B}" type="list" allowBlank="1" errorStyle="stop" imeMode="noControl" operator="between" showDropDown="0" showErrorMessage="0" showInputMessage="0">
          <x14:formula1>
            <xm:f>"EUR,USD"</xm:f>
          </x14:formula1>
          <xm:sqref>C5:C22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defaultRowHeight="15"/>
  <cols>
    <col min="1" max="1" style="278" width="9.140625"/>
    <col min="2" max="2" style="278" customWidth="1" width="30.43"/>
    <col min="3" max="6" style="278" customWidth="1" width="24.710000000000001"/>
    <col min="7" max="8" style="278" width="9.140625"/>
    <col min="9" max="9" style="278" customWidth="1" hidden="1" outlineLevel="1" width="30.43"/>
    <col min="10" max="10" style="278" customWidth="1" hidden="1" outlineLevel="1" width="24.710000000000001"/>
    <col min="11" max="13" style="1" customWidth="1" hidden="1" outlineLevel="1" width="24.710000000000001"/>
    <col min="14" max="15" style="1" width="9.140625"/>
    <col min="16" max="16" style="1" customWidth="1" hidden="1" outlineLevel="1" width="30.43"/>
    <col min="17" max="20" style="1" customWidth="1" hidden="1" outlineLevel="1" width="24.710000000000001"/>
    <col min="21" max="22" style="1" width="9.140625"/>
    <col min="23" max="23" style="1" customWidth="1" hidden="1" outlineLevel="1" width="30.43"/>
    <col min="24" max="27" style="1" customWidth="1" hidden="1" outlineLevel="1" width="24.710000000000001"/>
    <col min="28" max="29" style="1" width="9.140625"/>
    <col min="30" max="30" style="1" customWidth="1" hidden="1" outlineLevel="1" width="30.43"/>
    <col min="31" max="34" style="1" customWidth="1" hidden="1" outlineLevel="1" width="24.710000000000001"/>
    <col min="35" max="36" style="1" width="9.140625"/>
    <col min="37" max="37" style="1" customWidth="1" hidden="1" outlineLevel="1" width="30.43"/>
    <col min="38" max="41" style="1" customWidth="1" hidden="1" outlineLevel="1" width="24.710000000000001"/>
    <col min="42" max="43" style="1" width="9.140625"/>
    <col min="44" max="44" style="1" customWidth="1" hidden="1" outlineLevel="1" width="30.43"/>
    <col min="45" max="48" style="1" customWidth="1" hidden="1" outlineLevel="1" width="24.710000000000001"/>
    <col min="49" max="50" style="1" width="9.140625"/>
    <col min="51" max="51" style="1" customWidth="1" hidden="1" outlineLevel="1" width="30.43"/>
    <col min="52" max="55" style="1" customWidth="1" hidden="1" outlineLevel="1" width="24.710000000000001"/>
    <col min="56" max="57" style="1" width="9.140625"/>
    <col min="58" max="58" style="1" customWidth="1" hidden="1" outlineLevel="1" width="30.43"/>
    <col min="59" max="62" style="1" customWidth="1" hidden="1" outlineLevel="1" width="24.710000000000001"/>
    <col min="63" max="64" style="1" width="9.140625"/>
    <col min="65" max="65" style="1" customWidth="1" hidden="1" outlineLevel="1" width="30.43"/>
    <col min="66" max="69" style="1" customWidth="1" hidden="1" outlineLevel="1" width="24.710000000000001"/>
    <col min="70" max="71" style="1" width="9.140625"/>
    <col min="72" max="72" style="1" customWidth="1" hidden="1" outlineLevel="1" width="30.43"/>
    <col min="73" max="76" style="1" customWidth="1" hidden="1" outlineLevel="1" width="24.710000000000001"/>
    <col min="77" max="78" style="1" width="9.140625"/>
    <col min="79" max="79" style="1" customWidth="1" hidden="1" outlineLevel="1" width="30.43"/>
    <col min="80" max="83" style="1" customWidth="1" hidden="1" outlineLevel="1" width="24.710000000000001"/>
    <col min="84" max="85" style="1" width="9.140625"/>
    <col min="86" max="86" style="1" customWidth="1" hidden="1" outlineLevel="1" width="30.43"/>
    <col min="87" max="90" style="1" customWidth="1" hidden="1" outlineLevel="1" width="24.710000000000001"/>
    <col min="91" max="92" style="1" width="9.140625"/>
    <col min="93" max="93" style="1" customWidth="1" hidden="1" outlineLevel="1" width="30.43"/>
    <col min="94" max="97" style="1" customWidth="1" hidden="1" outlineLevel="1" width="24.710000000000001"/>
    <col min="98" max="99" style="1" width="9.140625"/>
    <col min="100" max="100" style="1" customWidth="1" hidden="1" outlineLevel="1" width="30.43"/>
    <col min="101" max="104" style="1" customWidth="1" hidden="1" outlineLevel="1" width="24.710000000000001"/>
    <col min="105" max="106" style="1" width="9.140625"/>
    <col min="107" max="107" style="1" customWidth="1" hidden="1" outlineLevel="1" width="30.43"/>
    <col min="108" max="111" style="1" customWidth="1" hidden="1" outlineLevel="1" width="24.710000000000001"/>
    <col min="112" max="113" style="1" width="9.140625"/>
    <col min="114" max="114" style="1" customWidth="1" hidden="1" outlineLevel="1" width="30.43"/>
    <col min="115" max="118" style="1" customWidth="1" hidden="1" outlineLevel="1" width="24.710000000000001"/>
    <col min="119" max="120" style="1" width="9.140625"/>
    <col min="121" max="121" style="1" customWidth="1" hidden="1" outlineLevel="1" width="30.43"/>
    <col min="122" max="125" style="1" customWidth="1" hidden="1" outlineLevel="1" width="24.710000000000001"/>
    <col min="126" max="16384" style="1" width="9.140625"/>
  </cols>
  <sheetData>
    <row r="3">
      <c r="H3" s="93" t="s">
        <v>373</v>
      </c>
      <c r="O3" s="93" t="s">
        <v>373</v>
      </c>
      <c r="V3" s="93" t="s">
        <v>373</v>
      </c>
      <c r="AC3" s="93" t="s">
        <v>373</v>
      </c>
      <c r="AJ3" s="93" t="s">
        <v>373</v>
      </c>
      <c r="AQ3" s="93" t="s">
        <v>373</v>
      </c>
      <c r="AX3" s="93" t="s">
        <v>373</v>
      </c>
      <c r="BE3" s="93" t="s">
        <v>373</v>
      </c>
      <c r="BL3" s="93" t="s">
        <v>373</v>
      </c>
      <c r="BS3" s="93" t="s">
        <v>373</v>
      </c>
      <c r="BZ3" s="93" t="s">
        <v>373</v>
      </c>
      <c r="CG3" s="93" t="s">
        <v>373</v>
      </c>
      <c r="CN3" s="93" t="s">
        <v>373</v>
      </c>
      <c r="CU3" s="93" t="s">
        <v>373</v>
      </c>
      <c r="DB3" s="93" t="s">
        <v>373</v>
      </c>
      <c r="DI3" s="93" t="s">
        <v>373</v>
      </c>
      <c r="DP3" s="93" t="s">
        <v>373</v>
      </c>
    </row>
    <row r="4">
      <c r="B4" s="94" t="s">
        <v>374</v>
      </c>
      <c r="C4" s="95" t="s">
        <v>331</v>
      </c>
      <c r="D4" s="95"/>
      <c r="E4" s="96"/>
      <c r="F4" s="97"/>
      <c r="I4" s="94" t="s">
        <v>374</v>
      </c>
      <c r="J4" s="95" t="s">
        <v>333</v>
      </c>
      <c r="K4" s="95"/>
      <c r="L4" s="96"/>
      <c r="M4" s="97"/>
      <c r="P4" s="94" t="s">
        <v>374</v>
      </c>
      <c r="Q4" s="95" t="s">
        <v>334</v>
      </c>
      <c r="R4" s="95"/>
      <c r="S4" s="96"/>
      <c r="T4" s="97"/>
      <c r="W4" s="94" t="s">
        <v>374</v>
      </c>
      <c r="X4" s="95" t="s">
        <v>339</v>
      </c>
      <c r="Y4" s="95"/>
      <c r="Z4" s="96"/>
      <c r="AA4" s="97"/>
      <c r="AD4" s="94" t="s">
        <v>374</v>
      </c>
      <c r="AE4" s="95" t="s">
        <v>340</v>
      </c>
      <c r="AF4" s="95"/>
      <c r="AG4" s="96"/>
      <c r="AH4" s="97"/>
      <c r="AK4" s="94" t="s">
        <v>374</v>
      </c>
      <c r="AL4" s="95" t="s">
        <v>341</v>
      </c>
      <c r="AM4" s="95"/>
      <c r="AN4" s="96"/>
      <c r="AO4" s="97"/>
      <c r="AR4" s="94" t="s">
        <v>374</v>
      </c>
      <c r="AS4" s="95" t="s">
        <v>342</v>
      </c>
      <c r="AT4" s="95"/>
      <c r="AU4" s="96"/>
      <c r="AV4" s="97"/>
      <c r="AY4" s="94" t="s">
        <v>374</v>
      </c>
      <c r="AZ4" s="95" t="s">
        <v>343</v>
      </c>
      <c r="BA4" s="95"/>
      <c r="BB4" s="96"/>
      <c r="BC4" s="97"/>
      <c r="BF4" s="94" t="s">
        <v>374</v>
      </c>
      <c r="BG4" s="95" t="s">
        <v>344</v>
      </c>
      <c r="BH4" s="95"/>
      <c r="BI4" s="96"/>
      <c r="BJ4" s="97"/>
      <c r="BM4" s="94" t="s">
        <v>374</v>
      </c>
      <c r="BN4" s="95" t="s">
        <v>345</v>
      </c>
      <c r="BO4" s="95"/>
      <c r="BP4" s="96"/>
      <c r="BQ4" s="97"/>
      <c r="BT4" s="94" t="s">
        <v>374</v>
      </c>
      <c r="BU4" s="95" t="s">
        <v>346</v>
      </c>
      <c r="BV4" s="95"/>
      <c r="BW4" s="96"/>
      <c r="BX4" s="97"/>
      <c r="CA4" s="94" t="s">
        <v>374</v>
      </c>
      <c r="CB4" s="95" t="s">
        <v>347</v>
      </c>
      <c r="CC4" s="95"/>
      <c r="CD4" s="96"/>
      <c r="CE4" s="97"/>
      <c r="CH4" s="94" t="s">
        <v>374</v>
      </c>
      <c r="CI4" s="95" t="s">
        <v>348</v>
      </c>
      <c r="CJ4" s="95"/>
      <c r="CK4" s="96"/>
      <c r="CL4" s="97"/>
      <c r="CO4" s="94" t="s">
        <v>374</v>
      </c>
      <c r="CP4" s="95" t="s">
        <v>349</v>
      </c>
      <c r="CQ4" s="95"/>
      <c r="CR4" s="96"/>
      <c r="CS4" s="97"/>
      <c r="CV4" s="94" t="s">
        <v>374</v>
      </c>
      <c r="CW4" s="95" t="s">
        <v>350</v>
      </c>
      <c r="CX4" s="95"/>
      <c r="CY4" s="96"/>
      <c r="CZ4" s="97"/>
      <c r="DC4" s="94" t="s">
        <v>374</v>
      </c>
      <c r="DD4" s="95" t="s">
        <v>351</v>
      </c>
      <c r="DE4" s="95"/>
      <c r="DF4" s="96"/>
      <c r="DG4" s="97"/>
      <c r="DJ4" s="94" t="s">
        <v>374</v>
      </c>
      <c r="DK4" s="95" t="s">
        <v>352</v>
      </c>
      <c r="DL4" s="95"/>
      <c r="DM4" s="96"/>
      <c r="DN4" s="97"/>
      <c r="DQ4" s="94" t="s">
        <v>374</v>
      </c>
      <c r="DR4" s="95" t="s">
        <v>353</v>
      </c>
      <c r="DS4" s="95"/>
      <c r="DT4" s="96"/>
      <c r="DU4" s="97"/>
    </row>
    <row r="5">
      <c r="B5" s="98" t="s">
        <v>375</v>
      </c>
      <c r="C5" s="99"/>
      <c r="D5" s="99"/>
      <c r="F5" s="23"/>
      <c r="I5" s="98" t="s">
        <v>375</v>
      </c>
      <c r="J5" s="99"/>
      <c r="K5" s="99"/>
      <c r="M5" s="23"/>
      <c r="P5" s="98" t="s">
        <v>375</v>
      </c>
      <c r="Q5" s="99"/>
      <c r="R5" s="99"/>
      <c r="T5" s="23"/>
      <c r="W5" s="98" t="s">
        <v>375</v>
      </c>
      <c r="X5" s="99"/>
      <c r="Y5" s="99"/>
      <c r="AA5" s="23"/>
      <c r="AD5" s="98" t="s">
        <v>375</v>
      </c>
      <c r="AE5" s="99"/>
      <c r="AF5" s="99"/>
      <c r="AH5" s="23"/>
      <c r="AK5" s="98" t="s">
        <v>375</v>
      </c>
      <c r="AL5" s="99"/>
      <c r="AM5" s="99"/>
      <c r="AO5" s="23"/>
      <c r="AR5" s="98" t="s">
        <v>375</v>
      </c>
      <c r="AS5" s="99"/>
      <c r="AT5" s="99"/>
      <c r="AV5" s="23"/>
      <c r="AY5" s="98" t="s">
        <v>375</v>
      </c>
      <c r="AZ5" s="99"/>
      <c r="BA5" s="99"/>
      <c r="BC5" s="23"/>
      <c r="BF5" s="98" t="s">
        <v>375</v>
      </c>
      <c r="BG5" s="99"/>
      <c r="BH5" s="99"/>
      <c r="BJ5" s="23"/>
      <c r="BM5" s="98" t="s">
        <v>375</v>
      </c>
      <c r="BN5" s="99"/>
      <c r="BO5" s="99"/>
      <c r="BQ5" s="23"/>
      <c r="BT5" s="98" t="s">
        <v>375</v>
      </c>
      <c r="BU5" s="99"/>
      <c r="BV5" s="99"/>
      <c r="BX5" s="23"/>
      <c r="CA5" s="98" t="s">
        <v>375</v>
      </c>
      <c r="CB5" s="99"/>
      <c r="CC5" s="99"/>
      <c r="CE5" s="23"/>
      <c r="CH5" s="98" t="s">
        <v>375</v>
      </c>
      <c r="CI5" s="99"/>
      <c r="CJ5" s="99"/>
      <c r="CL5" s="23"/>
      <c r="CO5" s="98" t="s">
        <v>375</v>
      </c>
      <c r="CP5" s="99"/>
      <c r="CQ5" s="99"/>
      <c r="CS5" s="23"/>
      <c r="CV5" s="98" t="s">
        <v>375</v>
      </c>
      <c r="CW5" s="99"/>
      <c r="CX5" s="99"/>
      <c r="CZ5" s="23"/>
      <c r="DC5" s="98" t="s">
        <v>375</v>
      </c>
      <c r="DD5" s="99"/>
      <c r="DE5" s="99"/>
      <c r="DG5" s="23"/>
      <c r="DJ5" s="98" t="s">
        <v>375</v>
      </c>
      <c r="DK5" s="99"/>
      <c r="DL5" s="99"/>
      <c r="DN5" s="23"/>
      <c r="DQ5" s="98" t="s">
        <v>375</v>
      </c>
      <c r="DR5" s="99"/>
      <c r="DS5" s="99"/>
      <c r="DU5" s="23"/>
    </row>
    <row r="6">
      <c r="B6" s="98" t="s">
        <v>376</v>
      </c>
      <c r="C6" s="99"/>
      <c r="D6" s="99"/>
      <c r="F6" s="23"/>
      <c r="I6" s="98" t="s">
        <v>376</v>
      </c>
      <c r="J6" s="99"/>
      <c r="K6" s="99"/>
      <c r="M6" s="23"/>
      <c r="P6" s="98" t="s">
        <v>376</v>
      </c>
      <c r="Q6" s="99"/>
      <c r="R6" s="99"/>
      <c r="T6" s="23"/>
      <c r="W6" s="98" t="s">
        <v>376</v>
      </c>
      <c r="X6" s="99"/>
      <c r="Y6" s="99"/>
      <c r="AA6" s="23"/>
      <c r="AD6" s="98" t="s">
        <v>376</v>
      </c>
      <c r="AE6" s="99"/>
      <c r="AF6" s="99"/>
      <c r="AH6" s="23"/>
      <c r="AK6" s="98" t="s">
        <v>376</v>
      </c>
      <c r="AL6" s="99"/>
      <c r="AM6" s="99"/>
      <c r="AO6" s="23"/>
      <c r="AR6" s="98" t="s">
        <v>376</v>
      </c>
      <c r="AS6" s="99"/>
      <c r="AT6" s="99"/>
      <c r="AV6" s="23"/>
      <c r="AY6" s="98" t="s">
        <v>376</v>
      </c>
      <c r="AZ6" s="99"/>
      <c r="BA6" s="99"/>
      <c r="BC6" s="23"/>
      <c r="BF6" s="98" t="s">
        <v>376</v>
      </c>
      <c r="BG6" s="99"/>
      <c r="BH6" s="99"/>
      <c r="BJ6" s="23"/>
      <c r="BM6" s="98" t="s">
        <v>376</v>
      </c>
      <c r="BN6" s="99"/>
      <c r="BO6" s="99"/>
      <c r="BQ6" s="23"/>
      <c r="BT6" s="98" t="s">
        <v>376</v>
      </c>
      <c r="BU6" s="99"/>
      <c r="BV6" s="99"/>
      <c r="BX6" s="23"/>
      <c r="CA6" s="98" t="s">
        <v>376</v>
      </c>
      <c r="CB6" s="99"/>
      <c r="CC6" s="99"/>
      <c r="CE6" s="23"/>
      <c r="CH6" s="98" t="s">
        <v>376</v>
      </c>
      <c r="CI6" s="99"/>
      <c r="CJ6" s="99"/>
      <c r="CL6" s="23"/>
      <c r="CO6" s="98" t="s">
        <v>376</v>
      </c>
      <c r="CP6" s="99"/>
      <c r="CQ6" s="99"/>
      <c r="CS6" s="23"/>
      <c r="CV6" s="98" t="s">
        <v>376</v>
      </c>
      <c r="CW6" s="99"/>
      <c r="CX6" s="99"/>
      <c r="CZ6" s="23"/>
      <c r="DC6" s="98" t="s">
        <v>376</v>
      </c>
      <c r="DD6" s="99"/>
      <c r="DE6" s="99"/>
      <c r="DG6" s="23"/>
      <c r="DJ6" s="98" t="s">
        <v>376</v>
      </c>
      <c r="DK6" s="99"/>
      <c r="DL6" s="99"/>
      <c r="DN6" s="23"/>
      <c r="DQ6" s="98" t="s">
        <v>376</v>
      </c>
      <c r="DR6" s="99"/>
      <c r="DS6" s="99"/>
      <c r="DU6" s="23"/>
    </row>
    <row r="7">
      <c r="B7" s="98" t="s">
        <v>377</v>
      </c>
      <c r="C7" s="100" t="str">
        <f>IF(OR(C5="",C6=""),"",DATEDIF(C5,C6,"m")+1)</f>
        <v>158</v>
      </c>
      <c r="D7" s="100"/>
      <c r="F7" s="23"/>
      <c r="I7" s="98" t="s">
        <v>377</v>
      </c>
      <c r="J7" s="100" t="str">
        <f>IF(OR(J5="",J6=""),"",DATEDIF(J5,J6,"m")+1)</f>
        <v>158</v>
      </c>
      <c r="K7" s="100"/>
      <c r="M7" s="23"/>
      <c r="P7" s="98" t="s">
        <v>377</v>
      </c>
      <c r="Q7" s="100" t="str">
        <f>IF(OR(Q5="",Q6=""),"",DATEDIF(Q5,Q6,"m")+1)</f>
        <v>158</v>
      </c>
      <c r="R7" s="100"/>
      <c r="T7" s="23"/>
      <c r="W7" s="98" t="s">
        <v>377</v>
      </c>
      <c r="X7" s="100" t="str">
        <f>IF(OR(X5="",X6=""),"",DATEDIF(X5,X6,"m")+1)</f>
        <v>158</v>
      </c>
      <c r="Y7" s="100"/>
      <c r="AA7" s="23"/>
      <c r="AD7" s="98" t="s">
        <v>377</v>
      </c>
      <c r="AE7" s="100" t="str">
        <f>IF(OR(AE5="",AE6=""),"",DATEDIF(AE5,AE6,"m")+1)</f>
        <v>158</v>
      </c>
      <c r="AF7" s="100"/>
      <c r="AH7" s="23"/>
      <c r="AK7" s="98" t="s">
        <v>377</v>
      </c>
      <c r="AL7" s="100" t="str">
        <f>IF(OR(AL5="",AL6=""),"",DATEDIF(AL5,AL6,"m")+1)</f>
        <v>158</v>
      </c>
      <c r="AM7" s="100"/>
      <c r="AO7" s="23"/>
      <c r="AR7" s="98" t="s">
        <v>377</v>
      </c>
      <c r="AS7" s="100" t="str">
        <f>IF(OR(AS5="",AS6=""),"",DATEDIF(AS5,AS6,"m")+1)</f>
        <v>158</v>
      </c>
      <c r="AT7" s="100"/>
      <c r="AV7" s="23"/>
      <c r="AY7" s="98" t="s">
        <v>377</v>
      </c>
      <c r="AZ7" s="100" t="str">
        <f>IF(OR(AZ5="",AZ6=""),"",DATEDIF(AZ5,AZ6,"m")+1)</f>
        <v>158</v>
      </c>
      <c r="BA7" s="100"/>
      <c r="BC7" s="23"/>
      <c r="BF7" s="98" t="s">
        <v>377</v>
      </c>
      <c r="BG7" s="100" t="str">
        <f>IF(OR(BG5="",BG6=""),"",DATEDIF(BG5,BG6,"m")+1)</f>
        <v>158</v>
      </c>
      <c r="BH7" s="100"/>
      <c r="BJ7" s="23"/>
      <c r="BM7" s="98" t="s">
        <v>377</v>
      </c>
      <c r="BN7" s="100" t="str">
        <f>IF(OR(BN5="",BN6=""),"",DATEDIF(BN5,BN6,"m")+1)</f>
        <v>158</v>
      </c>
      <c r="BO7" s="100"/>
      <c r="BQ7" s="23"/>
      <c r="BT7" s="98" t="s">
        <v>377</v>
      </c>
      <c r="BU7" s="100" t="str">
        <f>IF(OR(BU5="",BU6=""),"",DATEDIF(BU5,BU6,"m")+1)</f>
        <v>158</v>
      </c>
      <c r="BV7" s="100"/>
      <c r="BX7" s="23"/>
      <c r="CA7" s="98" t="s">
        <v>377</v>
      </c>
      <c r="CB7" s="100" t="str">
        <f>IF(OR(CB5="",CB6=""),"",DATEDIF(CB5,CB6,"m")+1)</f>
        <v>158</v>
      </c>
      <c r="CC7" s="100"/>
      <c r="CE7" s="23"/>
      <c r="CH7" s="98" t="s">
        <v>377</v>
      </c>
      <c r="CI7" s="100" t="str">
        <f>IF(OR(CI5="",CI6=""),"",DATEDIF(CI5,CI6,"m")+1)</f>
        <v>158</v>
      </c>
      <c r="CJ7" s="100"/>
      <c r="CL7" s="23"/>
      <c r="CO7" s="98" t="s">
        <v>377</v>
      </c>
      <c r="CP7" s="100" t="str">
        <f>IF(OR(CP5="",CP6=""),"",DATEDIF(CP5,CP6,"m")+1)</f>
        <v>158</v>
      </c>
      <c r="CQ7" s="100"/>
      <c r="CS7" s="23"/>
      <c r="CV7" s="98" t="s">
        <v>377</v>
      </c>
      <c r="CW7" s="100" t="str">
        <f>IF(OR(CW5="",CW6=""),"",DATEDIF(CW5,CW6,"m")+1)</f>
        <v>158</v>
      </c>
      <c r="CX7" s="100"/>
      <c r="CZ7" s="23"/>
      <c r="DC7" s="98" t="s">
        <v>377</v>
      </c>
      <c r="DD7" s="100" t="str">
        <f>IF(OR(DD5="",DD6=""),"",DATEDIF(DD5,DD6,"m")+1)</f>
        <v>158</v>
      </c>
      <c r="DE7" s="100"/>
      <c r="DG7" s="23"/>
      <c r="DJ7" s="98" t="s">
        <v>377</v>
      </c>
      <c r="DK7" s="100" t="str">
        <f>IF(OR(DK5="",DK6=""),"",DATEDIF(DK5,DK6,"m")+1)</f>
        <v>158</v>
      </c>
      <c r="DL7" s="100"/>
      <c r="DN7" s="23"/>
      <c r="DQ7" s="98" t="s">
        <v>377</v>
      </c>
      <c r="DR7" s="100" t="str">
        <f>IF(OR(DR5="",DR6=""),"",DATEDIF(DR5,DR6,"m")+1)</f>
        <v>158</v>
      </c>
      <c r="DS7" s="100"/>
      <c r="DU7" s="23"/>
    </row>
    <row r="8">
      <c r="B8" s="98" t="s">
        <v>378</v>
      </c>
      <c r="C8" s="101">
        <f>ROUND(IFERROR(F121,0),6)</f>
        <v>0</v>
      </c>
      <c r="D8" s="101"/>
      <c r="F8" s="23"/>
      <c r="I8" s="98" t="s">
        <v>378</v>
      </c>
      <c r="J8" s="101">
        <f>ROUND(IFERROR(M121,0),6)</f>
        <v>0</v>
      </c>
      <c r="K8" s="101"/>
      <c r="M8" s="23"/>
      <c r="P8" s="98" t="s">
        <v>378</v>
      </c>
      <c r="Q8" s="101">
        <f>ROUND(IFERROR(T121,0),6)</f>
        <v>0</v>
      </c>
      <c r="R8" s="101"/>
      <c r="T8" s="23"/>
      <c r="W8" s="98" t="s">
        <v>378</v>
      </c>
      <c r="X8" s="101">
        <f>ROUND(IFERROR(AA121,0),6)</f>
        <v>0</v>
      </c>
      <c r="Y8" s="101"/>
      <c r="AA8" s="23"/>
      <c r="AD8" s="98" t="s">
        <v>378</v>
      </c>
      <c r="AE8" s="101">
        <f>ROUND(IFERROR(AH121,0),6)</f>
        <v>0</v>
      </c>
      <c r="AF8" s="101"/>
      <c r="AH8" s="23"/>
      <c r="AK8" s="98" t="s">
        <v>378</v>
      </c>
      <c r="AL8" s="101">
        <f>ROUND(IFERROR(AO121,0),6)</f>
        <v>0</v>
      </c>
      <c r="AM8" s="101"/>
      <c r="AO8" s="23"/>
      <c r="AR8" s="98" t="s">
        <v>378</v>
      </c>
      <c r="AS8" s="101">
        <f>ROUND(IFERROR(AV121,0),6)</f>
        <v>0</v>
      </c>
      <c r="AT8" s="101"/>
      <c r="AV8" s="23"/>
      <c r="AY8" s="98" t="s">
        <v>378</v>
      </c>
      <c r="AZ8" s="101">
        <f>ROUND(IFERROR(BC121,0),6)</f>
        <v>0</v>
      </c>
      <c r="BA8" s="101"/>
      <c r="BC8" s="23"/>
      <c r="BF8" s="98" t="s">
        <v>378</v>
      </c>
      <c r="BG8" s="101">
        <f>ROUND(IFERROR(BJ121,0),6)</f>
        <v>0</v>
      </c>
      <c r="BH8" s="101"/>
      <c r="BJ8" s="23"/>
      <c r="BM8" s="98" t="s">
        <v>378</v>
      </c>
      <c r="BN8" s="101">
        <f>ROUND(IFERROR(BQ121,0),6)</f>
        <v>0</v>
      </c>
      <c r="BO8" s="101"/>
      <c r="BQ8" s="23"/>
      <c r="BT8" s="98" t="s">
        <v>378</v>
      </c>
      <c r="BU8" s="101">
        <f>ROUND(IFERROR(BX121,0),6)</f>
        <v>0</v>
      </c>
      <c r="BV8" s="101"/>
      <c r="BX8" s="23"/>
      <c r="CA8" s="98" t="s">
        <v>378</v>
      </c>
      <c r="CB8" s="101">
        <f>ROUND(IFERROR(CE121,0),6)</f>
        <v>0</v>
      </c>
      <c r="CC8" s="101"/>
      <c r="CE8" s="23"/>
      <c r="CH8" s="98" t="s">
        <v>378</v>
      </c>
      <c r="CI8" s="101">
        <f>ROUND(IFERROR(CL121,0),6)</f>
        <v>0</v>
      </c>
      <c r="CJ8" s="101"/>
      <c r="CL8" s="23"/>
      <c r="CO8" s="98" t="s">
        <v>378</v>
      </c>
      <c r="CP8" s="101">
        <f>ROUND(IFERROR(CS121,0),6)</f>
        <v>0</v>
      </c>
      <c r="CQ8" s="101"/>
      <c r="CS8" s="23"/>
      <c r="CV8" s="98" t="s">
        <v>378</v>
      </c>
      <c r="CW8" s="101">
        <f>ROUND(IFERROR(CZ121,0),6)</f>
        <v>0</v>
      </c>
      <c r="CX8" s="101"/>
      <c r="CZ8" s="23"/>
      <c r="DC8" s="98" t="s">
        <v>378</v>
      </c>
      <c r="DD8" s="101">
        <f>ROUND(IFERROR(DG121,0),6)</f>
        <v>0</v>
      </c>
      <c r="DE8" s="101"/>
      <c r="DG8" s="23"/>
      <c r="DJ8" s="98" t="s">
        <v>378</v>
      </c>
      <c r="DK8" s="101">
        <f>ROUND(IFERROR(DN121,0),6)</f>
        <v>0</v>
      </c>
      <c r="DL8" s="101"/>
      <c r="DN8" s="23"/>
      <c r="DQ8" s="98" t="s">
        <v>378</v>
      </c>
      <c r="DR8" s="101">
        <f>ROUND(IFERROR(DU121,0),6)</f>
        <v>0</v>
      </c>
      <c r="DS8" s="101"/>
      <c r="DU8" s="23"/>
    </row>
    <row r="9">
      <c r="B9" s="102" t="s">
        <v>379</v>
      </c>
      <c r="C9" s="103"/>
      <c r="D9" s="103"/>
      <c r="E9" s="103"/>
      <c r="F9" s="104"/>
      <c r="I9" s="102" t="s">
        <v>379</v>
      </c>
      <c r="J9" s="103"/>
      <c r="K9" s="103"/>
      <c r="L9" s="103"/>
      <c r="M9" s="104"/>
      <c r="P9" s="102" t="s">
        <v>379</v>
      </c>
      <c r="Q9" s="103"/>
      <c r="R9" s="103"/>
      <c r="S9" s="103"/>
      <c r="T9" s="104"/>
      <c r="W9" s="102" t="s">
        <v>379</v>
      </c>
      <c r="X9" s="103"/>
      <c r="Y9" s="103"/>
      <c r="Z9" s="103"/>
      <c r="AA9" s="104"/>
      <c r="AD9" s="102" t="s">
        <v>379</v>
      </c>
      <c r="AE9" s="103"/>
      <c r="AF9" s="103"/>
      <c r="AG9" s="103"/>
      <c r="AH9" s="104"/>
      <c r="AK9" s="102" t="s">
        <v>379</v>
      </c>
      <c r="AL9" s="103"/>
      <c r="AM9" s="103"/>
      <c r="AN9" s="103"/>
      <c r="AO9" s="104"/>
      <c r="AR9" s="102" t="s">
        <v>379</v>
      </c>
      <c r="AS9" s="103"/>
      <c r="AT9" s="103"/>
      <c r="AU9" s="103"/>
      <c r="AV9" s="104"/>
      <c r="AY9" s="102" t="s">
        <v>379</v>
      </c>
      <c r="AZ9" s="103"/>
      <c r="BA9" s="103"/>
      <c r="BB9" s="103"/>
      <c r="BC9" s="104"/>
      <c r="BF9" s="102" t="s">
        <v>379</v>
      </c>
      <c r="BG9" s="103"/>
      <c r="BH9" s="103"/>
      <c r="BI9" s="103"/>
      <c r="BJ9" s="104"/>
      <c r="BM9" s="102" t="s">
        <v>379</v>
      </c>
      <c r="BN9" s="103"/>
      <c r="BO9" s="103"/>
      <c r="BP9" s="103"/>
      <c r="BQ9" s="104"/>
      <c r="BT9" s="102" t="s">
        <v>379</v>
      </c>
      <c r="BU9" s="103"/>
      <c r="BV9" s="103"/>
      <c r="BW9" s="103"/>
      <c r="BX9" s="104"/>
      <c r="CA9" s="102" t="s">
        <v>379</v>
      </c>
      <c r="CB9" s="103"/>
      <c r="CC9" s="103"/>
      <c r="CD9" s="103"/>
      <c r="CE9" s="104"/>
      <c r="CH9" s="102" t="s">
        <v>379</v>
      </c>
      <c r="CI9" s="103"/>
      <c r="CJ9" s="103"/>
      <c r="CK9" s="103"/>
      <c r="CL9" s="104"/>
      <c r="CO9" s="102" t="s">
        <v>379</v>
      </c>
      <c r="CP9" s="103"/>
      <c r="CQ9" s="103"/>
      <c r="CR9" s="103"/>
      <c r="CS9" s="104"/>
      <c r="CV9" s="102" t="s">
        <v>379</v>
      </c>
      <c r="CW9" s="103"/>
      <c r="CX9" s="103"/>
      <c r="CY9" s="103"/>
      <c r="CZ9" s="104"/>
      <c r="DC9" s="102" t="s">
        <v>379</v>
      </c>
      <c r="DD9" s="103"/>
      <c r="DE9" s="103"/>
      <c r="DF9" s="103"/>
      <c r="DG9" s="104"/>
      <c r="DJ9" s="102" t="s">
        <v>379</v>
      </c>
      <c r="DK9" s="103"/>
      <c r="DL9" s="103"/>
      <c r="DM9" s="103"/>
      <c r="DN9" s="104"/>
      <c r="DQ9" s="102" t="s">
        <v>379</v>
      </c>
      <c r="DR9" s="103"/>
      <c r="DS9" s="103"/>
      <c r="DT9" s="103"/>
      <c r="DU9" s="104"/>
    </row>
    <row r="10">
      <c r="B10" s="105" t="s">
        <v>380</v>
      </c>
      <c r="C10" s="106" t="s">
        <v>381</v>
      </c>
      <c r="D10" s="106" t="s">
        <v>382</v>
      </c>
      <c r="E10" s="106" t="s">
        <v>383</v>
      </c>
      <c r="F10" s="107" t="s">
        <v>384</v>
      </c>
      <c r="I10" s="105" t="s">
        <v>380</v>
      </c>
      <c r="J10" s="106" t="s">
        <v>381</v>
      </c>
      <c r="K10" s="106" t="s">
        <v>382</v>
      </c>
      <c r="L10" s="106" t="s">
        <v>383</v>
      </c>
      <c r="M10" s="107" t="s">
        <v>384</v>
      </c>
      <c r="P10" s="105" t="s">
        <v>380</v>
      </c>
      <c r="Q10" s="106" t="s">
        <v>381</v>
      </c>
      <c r="R10" s="106" t="s">
        <v>382</v>
      </c>
      <c r="S10" s="106" t="s">
        <v>383</v>
      </c>
      <c r="T10" s="107" t="s">
        <v>384</v>
      </c>
      <c r="W10" s="105" t="s">
        <v>380</v>
      </c>
      <c r="X10" s="106" t="s">
        <v>381</v>
      </c>
      <c r="Y10" s="106" t="s">
        <v>382</v>
      </c>
      <c r="Z10" s="106" t="s">
        <v>383</v>
      </c>
      <c r="AA10" s="107" t="s">
        <v>384</v>
      </c>
      <c r="AD10" s="105" t="s">
        <v>380</v>
      </c>
      <c r="AE10" s="106" t="s">
        <v>381</v>
      </c>
      <c r="AF10" s="106" t="s">
        <v>382</v>
      </c>
      <c r="AG10" s="106" t="s">
        <v>383</v>
      </c>
      <c r="AH10" s="107" t="s">
        <v>384</v>
      </c>
      <c r="AK10" s="105" t="s">
        <v>380</v>
      </c>
      <c r="AL10" s="106" t="s">
        <v>381</v>
      </c>
      <c r="AM10" s="106" t="s">
        <v>382</v>
      </c>
      <c r="AN10" s="106" t="s">
        <v>383</v>
      </c>
      <c r="AO10" s="107" t="s">
        <v>384</v>
      </c>
      <c r="AR10" s="105" t="s">
        <v>380</v>
      </c>
      <c r="AS10" s="106" t="s">
        <v>381</v>
      </c>
      <c r="AT10" s="106" t="s">
        <v>382</v>
      </c>
      <c r="AU10" s="106" t="s">
        <v>383</v>
      </c>
      <c r="AV10" s="107" t="s">
        <v>384</v>
      </c>
      <c r="AY10" s="105" t="s">
        <v>380</v>
      </c>
      <c r="AZ10" s="106" t="s">
        <v>381</v>
      </c>
      <c r="BA10" s="106" t="s">
        <v>382</v>
      </c>
      <c r="BB10" s="106" t="s">
        <v>383</v>
      </c>
      <c r="BC10" s="107" t="s">
        <v>384</v>
      </c>
      <c r="BF10" s="105" t="s">
        <v>380</v>
      </c>
      <c r="BG10" s="106" t="s">
        <v>381</v>
      </c>
      <c r="BH10" s="106" t="s">
        <v>382</v>
      </c>
      <c r="BI10" s="106" t="s">
        <v>383</v>
      </c>
      <c r="BJ10" s="107" t="s">
        <v>384</v>
      </c>
      <c r="BM10" s="105" t="s">
        <v>380</v>
      </c>
      <c r="BN10" s="106" t="s">
        <v>381</v>
      </c>
      <c r="BO10" s="106" t="s">
        <v>382</v>
      </c>
      <c r="BP10" s="106" t="s">
        <v>383</v>
      </c>
      <c r="BQ10" s="107" t="s">
        <v>384</v>
      </c>
      <c r="BT10" s="105" t="s">
        <v>380</v>
      </c>
      <c r="BU10" s="106" t="s">
        <v>381</v>
      </c>
      <c r="BV10" s="106" t="s">
        <v>382</v>
      </c>
      <c r="BW10" s="106" t="s">
        <v>383</v>
      </c>
      <c r="BX10" s="107" t="s">
        <v>384</v>
      </c>
      <c r="CA10" s="105" t="s">
        <v>380</v>
      </c>
      <c r="CB10" s="106" t="s">
        <v>381</v>
      </c>
      <c r="CC10" s="106" t="s">
        <v>382</v>
      </c>
      <c r="CD10" s="106" t="s">
        <v>383</v>
      </c>
      <c r="CE10" s="107" t="s">
        <v>384</v>
      </c>
      <c r="CH10" s="105" t="s">
        <v>380</v>
      </c>
      <c r="CI10" s="106" t="s">
        <v>381</v>
      </c>
      <c r="CJ10" s="106" t="s">
        <v>382</v>
      </c>
      <c r="CK10" s="106" t="s">
        <v>383</v>
      </c>
      <c r="CL10" s="107" t="s">
        <v>384</v>
      </c>
      <c r="CO10" s="105" t="s">
        <v>380</v>
      </c>
      <c r="CP10" s="106" t="s">
        <v>381</v>
      </c>
      <c r="CQ10" s="106" t="s">
        <v>382</v>
      </c>
      <c r="CR10" s="106" t="s">
        <v>383</v>
      </c>
      <c r="CS10" s="107" t="s">
        <v>384</v>
      </c>
      <c r="CV10" s="105" t="s">
        <v>380</v>
      </c>
      <c r="CW10" s="106" t="s">
        <v>381</v>
      </c>
      <c r="CX10" s="106" t="s">
        <v>382</v>
      </c>
      <c r="CY10" s="106" t="s">
        <v>383</v>
      </c>
      <c r="CZ10" s="107" t="s">
        <v>384</v>
      </c>
      <c r="DC10" s="105" t="s">
        <v>380</v>
      </c>
      <c r="DD10" s="106" t="s">
        <v>381</v>
      </c>
      <c r="DE10" s="106" t="s">
        <v>382</v>
      </c>
      <c r="DF10" s="106" t="s">
        <v>383</v>
      </c>
      <c r="DG10" s="107" t="s">
        <v>384</v>
      </c>
      <c r="DJ10" s="105" t="s">
        <v>380</v>
      </c>
      <c r="DK10" s="106" t="s">
        <v>381</v>
      </c>
      <c r="DL10" s="106" t="s">
        <v>382</v>
      </c>
      <c r="DM10" s="106" t="s">
        <v>383</v>
      </c>
      <c r="DN10" s="107" t="s">
        <v>384</v>
      </c>
      <c r="DQ10" s="105" t="s">
        <v>380</v>
      </c>
      <c r="DR10" s="106" t="s">
        <v>381</v>
      </c>
      <c r="DS10" s="106" t="s">
        <v>382</v>
      </c>
      <c r="DT10" s="106" t="s">
        <v>383</v>
      </c>
      <c r="DU10" s="107" t="s">
        <v>384</v>
      </c>
    </row>
    <row r="11">
      <c r="B11" s="108" t="s">
        <v>385</v>
      </c>
      <c r="C11" s="109">
        <f>ROUND(IF(Saldovortrag_LW="",0,Saldovortrag_LW),2)</f>
        <v>0</v>
      </c>
      <c r="D11" s="110">
        <f>ROUND(IF(Saldovortrag_EUR="",0,Saldovortrag_EUR),2)</f>
        <v>0</v>
      </c>
      <c r="E11" s="109">
        <f>ROUND(IF(Saldovortrag_LW="",0,Saldovortrag_LW),2)</f>
        <v>0</v>
      </c>
      <c r="F11" s="111">
        <f>ROUND(IF(Saldovortrag_EUR="",0,Saldovortrag_EUR),2)</f>
        <v>0</v>
      </c>
      <c r="I11" s="108" t="s">
        <v>386</v>
      </c>
      <c r="J11" s="109">
        <f>ROUND(FB_SaldoLC_1,2)</f>
        <v>0</v>
      </c>
      <c r="K11" s="110">
        <f>ROUND(FB_SaldoEUR_1,2)</f>
        <v>0</v>
      </c>
      <c r="L11" s="109">
        <f>ROUND(FB_SaldoLC_1,2)</f>
        <v>0</v>
      </c>
      <c r="M11" s="111">
        <f>ROUND(FB_SaldoEUR_1,2)</f>
        <v>0</v>
      </c>
      <c r="P11" s="108" t="s">
        <v>386</v>
      </c>
      <c r="Q11" s="109">
        <f>ROUND(FB_SaldoLC_2,2)</f>
        <v>0</v>
      </c>
      <c r="R11" s="110">
        <f>ROUND(FB_SaldoEUR_2,2)</f>
        <v>0</v>
      </c>
      <c r="S11" s="109">
        <f>ROUND(FB_SaldoLC_2,2)</f>
        <v>0</v>
      </c>
      <c r="T11" s="111">
        <f>ROUND(FB_SaldoEUR_2,2)</f>
        <v>0</v>
      </c>
      <c r="W11" s="108" t="s">
        <v>386</v>
      </c>
      <c r="X11" s="109">
        <f>ROUND(FB_SaldoLC_3,2)</f>
        <v>0</v>
      </c>
      <c r="Y11" s="110">
        <f>ROUND(FB_SaldoEUR_3,2)</f>
        <v>0</v>
      </c>
      <c r="Z11" s="109">
        <f>ROUND(FB_SaldoLC_3,2)</f>
        <v>0</v>
      </c>
      <c r="AA11" s="111">
        <f>ROUND(FB_SaldoEUR_3,2)</f>
        <v>0</v>
      </c>
      <c r="AD11" s="108" t="s">
        <v>386</v>
      </c>
      <c r="AE11" s="109">
        <f>ROUND(FB_SaldoLC_4,2)</f>
        <v>0</v>
      </c>
      <c r="AF11" s="110">
        <f>ROUND(FB_SaldoEUR_4,2)</f>
        <v>0</v>
      </c>
      <c r="AG11" s="109">
        <f>ROUND(FB_SaldoLC_4,2)</f>
        <v>0</v>
      </c>
      <c r="AH11" s="111">
        <f>ROUND(FB_SaldoEUR_4,2)</f>
        <v>0</v>
      </c>
      <c r="AK11" s="108" t="s">
        <v>386</v>
      </c>
      <c r="AL11" s="109">
        <f>ROUND(FB_SaldoLC_5,2)</f>
        <v>0</v>
      </c>
      <c r="AM11" s="110">
        <f>ROUND(FB_SaldoEUR_5,2)</f>
        <v>0</v>
      </c>
      <c r="AN11" s="109">
        <f>ROUND(FB_SaldoLC_5,2)</f>
        <v>0</v>
      </c>
      <c r="AO11" s="111">
        <f>ROUND(FB_SaldoEUR_5,2)</f>
        <v>0</v>
      </c>
      <c r="AR11" s="108" t="s">
        <v>386</v>
      </c>
      <c r="AS11" s="109">
        <f>ROUND(FB_SaldoLC_6,2)</f>
        <v>0</v>
      </c>
      <c r="AT11" s="110">
        <f>ROUND(FB_SaldoEUR_6,2)</f>
        <v>0</v>
      </c>
      <c r="AU11" s="109">
        <f>ROUND(FB_SaldoLC_6,2)</f>
        <v>0</v>
      </c>
      <c r="AV11" s="111">
        <f>ROUND(FB_SaldoEUR_6,2)</f>
        <v>0</v>
      </c>
      <c r="AY11" s="108" t="s">
        <v>386</v>
      </c>
      <c r="AZ11" s="109">
        <f>ROUND(FB_SaldoLC_7,2)</f>
        <v>0</v>
      </c>
      <c r="BA11" s="110">
        <f>ROUND(FB_SaldoEUR_7,2)</f>
        <v>0</v>
      </c>
      <c r="BB11" s="109">
        <f>ROUND(FB_SaldoLC_7,2)</f>
        <v>0</v>
      </c>
      <c r="BC11" s="111">
        <f>ROUND(FB_SaldoEUR_7,2)</f>
        <v>0</v>
      </c>
      <c r="BF11" s="108" t="s">
        <v>386</v>
      </c>
      <c r="BG11" s="109">
        <f>ROUND(FB_SaldoLC_8,2)</f>
        <v>0</v>
      </c>
      <c r="BH11" s="110">
        <f>ROUND(FB_SaldoEUR_8,2)</f>
        <v>0</v>
      </c>
      <c r="BI11" s="109">
        <f>ROUND(FB_SaldoLC_8,2)</f>
        <v>0</v>
      </c>
      <c r="BJ11" s="111">
        <f>ROUND(FB_SaldoEUR_8,2)</f>
        <v>0</v>
      </c>
      <c r="BM11" s="108" t="s">
        <v>386</v>
      </c>
      <c r="BN11" s="109">
        <f>ROUND(FB_SaldoLC_9,2)</f>
        <v>0</v>
      </c>
      <c r="BO11" s="110">
        <f>ROUND(FB_SaldoEUR_9,2)</f>
        <v>0</v>
      </c>
      <c r="BP11" s="109">
        <f>ROUND(FB_SaldoLC_9,2)</f>
        <v>0</v>
      </c>
      <c r="BQ11" s="111">
        <f>ROUND(FB_SaldoEUR_9,2)</f>
        <v>0</v>
      </c>
      <c r="BT11" s="108" t="s">
        <v>386</v>
      </c>
      <c r="BU11" s="109">
        <f>ROUND(FB_SaldoLC_10,2)</f>
        <v>0</v>
      </c>
      <c r="BV11" s="110">
        <f>ROUND(FB_SaldoEUR_10,2)</f>
        <v>0</v>
      </c>
      <c r="BW11" s="109">
        <f>ROUND(FB_SaldoLC_10,2)</f>
        <v>0</v>
      </c>
      <c r="BX11" s="111">
        <f>ROUND(FB_SaldoEUR_10,2)</f>
        <v>0</v>
      </c>
      <c r="CA11" s="108" t="s">
        <v>386</v>
      </c>
      <c r="CB11" s="109">
        <f>ROUND(FB_SaldoLC_11,2)</f>
        <v>0</v>
      </c>
      <c r="CC11" s="110">
        <f>ROUND(FB_SaldoEUR_11,2)</f>
        <v>0</v>
      </c>
      <c r="CD11" s="109">
        <f>ROUND(FB_SaldoLC_11,2)</f>
        <v>0</v>
      </c>
      <c r="CE11" s="111">
        <f>ROUND(FB_SaldoEUR_11,2)</f>
        <v>0</v>
      </c>
      <c r="CH11" s="108" t="s">
        <v>386</v>
      </c>
      <c r="CI11" s="109">
        <f>ROUND(FB_SaldoLC_12,2)</f>
        <v>0</v>
      </c>
      <c r="CJ11" s="110">
        <f>ROUND(FB_SaldoEUR_12,2)</f>
        <v>0</v>
      </c>
      <c r="CK11" s="109">
        <f>ROUND(FB_SaldoLC_12,2)</f>
        <v>0</v>
      </c>
      <c r="CL11" s="111">
        <f>ROUND(FB_SaldoEUR_12,2)</f>
        <v>0</v>
      </c>
      <c r="CO11" s="108" t="s">
        <v>386</v>
      </c>
      <c r="CP11" s="109">
        <f>ROUND(FB_SaldoLC_13,2)</f>
        <v>0</v>
      </c>
      <c r="CQ11" s="110">
        <f>ROUND(FB_SaldoEUR_13,2)</f>
        <v>0</v>
      </c>
      <c r="CR11" s="109">
        <f>ROUND(FB_SaldoLC_13,2)</f>
        <v>0</v>
      </c>
      <c r="CS11" s="111">
        <f>ROUND(FB_SaldoEUR_13,2)</f>
        <v>0</v>
      </c>
      <c r="CV11" s="108" t="s">
        <v>386</v>
      </c>
      <c r="CW11" s="109">
        <f>ROUND(FB_SaldoLC_14,2)</f>
        <v>0</v>
      </c>
      <c r="CX11" s="110">
        <f>ROUND(FB_SaldoEUR_14,2)</f>
        <v>0</v>
      </c>
      <c r="CY11" s="109">
        <f>ROUND(FB_SaldoLC_14,2)</f>
        <v>0</v>
      </c>
      <c r="CZ11" s="111">
        <f>ROUND(FB_SaldoEUR_14,2)</f>
        <v>0</v>
      </c>
      <c r="DC11" s="108" t="s">
        <v>386</v>
      </c>
      <c r="DD11" s="109">
        <f>ROUND(FB_SaldoLC_15,2)</f>
        <v>0</v>
      </c>
      <c r="DE11" s="110">
        <f>ROUND(FB_SaldoEUR_15,2)</f>
        <v>0</v>
      </c>
      <c r="DF11" s="109">
        <f>ROUND(FB_SaldoLC_15,2)</f>
        <v>0</v>
      </c>
      <c r="DG11" s="111">
        <f>ROUND(FB_SaldoEUR_15,2)</f>
        <v>0</v>
      </c>
      <c r="DJ11" s="108" t="s">
        <v>386</v>
      </c>
      <c r="DK11" s="109">
        <f>ROUND(FB_SaldoLC_16,2)</f>
        <v>0</v>
      </c>
      <c r="DL11" s="110">
        <f>ROUND(FB_SaldoEUR_16,2)</f>
        <v>0</v>
      </c>
      <c r="DM11" s="109">
        <f>ROUND(FB_SaldoLC_16,2)</f>
        <v>0</v>
      </c>
      <c r="DN11" s="111">
        <f>ROUND(FB_SaldoEUR_16,2)</f>
        <v>0</v>
      </c>
      <c r="DQ11" s="108" t="s">
        <v>386</v>
      </c>
      <c r="DR11" s="109">
        <f>ROUND(FB_SaldoLC_17,2)</f>
        <v>0</v>
      </c>
      <c r="DS11" s="110">
        <f>ROUND(FB_SaldoEUR_17,2)</f>
        <v>0</v>
      </c>
      <c r="DT11" s="109">
        <f>ROUND(FB_SaldoLC_17,2)</f>
        <v>0</v>
      </c>
      <c r="DU11" s="111">
        <f>ROUND(FB_SaldoEUR_17,2)</f>
        <v>0</v>
      </c>
    </row>
    <row r="12">
      <c r="B12" s="108" t="s">
        <v>198</v>
      </c>
      <c r="C12" s="109">
        <f>ROUND(SUMIF($B$116:$B$120,"Eigenmittel",$D$116:$D$120)+SUMIF($B$125:$B$130,"Eigenmittel",$D$125:$D$130),2)</f>
        <v>0</v>
      </c>
      <c r="D12" s="110">
        <f>ROUND(SUMIF($B$116:$B$120,"Eigenmittel",$E$116:$E$120)+SUMIF($B$125:$B$130,"Eigenmittel",$E$125:$E$130),2)</f>
        <v>0</v>
      </c>
      <c r="E12" s="109">
        <f>ROUND(SUMIF($B$116:$B$120,"Eigenmittel",$D$116:$D$120)+SUMIF($B$125:$B$130,"Eigenmittel",$D$125:$D$130),2)</f>
        <v>0</v>
      </c>
      <c r="F12" s="111">
        <f>ROUND(SUMIF($B$116:$B$120,"Eigenmittel",$E$116:$E$120)+SUMIF($B$125:$B$130,"Eigenmittel",$E$125:$E$130),2)</f>
        <v>0</v>
      </c>
      <c r="I12" s="108" t="s">
        <v>198</v>
      </c>
      <c r="J12" s="109">
        <f>ROUND(SUMIF($I$116:$I$120,"Eigenmittel",$K$116:$K$120)+SUMIF($I$125:$I$130,"Eigenmittel",$K$125:$K$130),2)</f>
        <v>0</v>
      </c>
      <c r="K12" s="110">
        <f>ROUND(SUMIF($I$116:$I$120,"Eigenmittel",$L$116:$L$120)+SUMIF($I$125:$I$130,"Eigenmittel",$L$125:$L$130),2)</f>
        <v>0</v>
      </c>
      <c r="L12" s="109">
        <f t="shared" ref="L12:L15" si="0">IFERROR(ROUND(E12 + J12, 2), J12)</f>
        <v>0</v>
      </c>
      <c r="M12" s="111">
        <f t="shared" ref="M12:M15" si="1">IFERROR(ROUND(F12 + K12, 2), K12)</f>
        <v>0</v>
      </c>
      <c r="P12" s="108" t="s">
        <v>198</v>
      </c>
      <c r="Q12" s="109">
        <f>ROUND(SUMIF($P$116:$P$120,"Eigenmittel",$R$116:$R$120)+SUMIF($P$125:$P$130,"Eigenmittel",$R$125:$R$130),2)</f>
        <v>0</v>
      </c>
      <c r="R12" s="110">
        <f>ROUND(SUMIF($P$116:$P$120,"Eigenmittel",$S$116:$S$120)+SUMIF($P$125:$P$130,"Eigenmittel",$S$125:$S$130),2)</f>
        <v>0</v>
      </c>
      <c r="S12" s="109">
        <f t="shared" ref="S12:S15" si="2">IFERROR(ROUND(L12 + Q12, 2), Q12)</f>
        <v>0</v>
      </c>
      <c r="T12" s="111">
        <f t="shared" ref="T12:T15" si="3">IFERROR(ROUND(M12 + R12, 2), R12)</f>
        <v>0</v>
      </c>
      <c r="W12" s="108" t="s">
        <v>198</v>
      </c>
      <c r="X12" s="109">
        <f>ROUND(SUMIF($W$116:$W$120,"Eigenmittel",$Y$116:$Y$120)+SUMIF($W$125:$W$130,"Eigenmittel",$Y$125:$Y$130),2)</f>
        <v>0</v>
      </c>
      <c r="Y12" s="110">
        <f>ROUND(SUMIF($W$116:$W$120,"Eigenmittel",$Z$116:$Z$120)+SUMIF($W$125:$W$130,"Eigenmittel",$Z$125:$Z$130),2)</f>
        <v>0</v>
      </c>
      <c r="Z12" s="109">
        <f t="shared" ref="Z12:Z15" si="4">IFERROR(ROUND(S12 + X12, 2), X12)</f>
        <v>0</v>
      </c>
      <c r="AA12" s="111">
        <f t="shared" ref="AA12:AA15" si="5">IFERROR(ROUND(T12 + Y12, 2), Y12)</f>
        <v>0</v>
      </c>
      <c r="AD12" s="108" t="s">
        <v>198</v>
      </c>
      <c r="AE12" s="109">
        <f>ROUND(SUMIF($AD$116:$AD$120,"Eigenmittel",$AF$116:$AF$120)+SUMIF($AD$125:$AD$130,"Eigenmittel",$AF$125:$AF$130),2)</f>
        <v>0</v>
      </c>
      <c r="AF12" s="110">
        <f>ROUND(SUMIF($AD$116:$AD$120,"Eigenmittel",$AG$116:$AG$120)+SUMIF($AD$125:$AD$130,"Eigenmittel",$AG$125:$AG$130),2)</f>
        <v>0</v>
      </c>
      <c r="AG12" s="109">
        <f t="shared" ref="AG12:AG15" si="6">IFERROR(ROUND(Z12 + AE12, 2), AE12)</f>
        <v>0</v>
      </c>
      <c r="AH12" s="111">
        <f t="shared" ref="AH12:AH15" si="7">IFERROR(ROUND(AA12 + AF12, 2), AF12)</f>
        <v>0</v>
      </c>
      <c r="AK12" s="108" t="s">
        <v>198</v>
      </c>
      <c r="AL12" s="109">
        <f>ROUND(SUMIF($AK$116:$AK$120,"Eigenmittel",$AM$116:$AM$120)+SUMIF($AK$125:$AK$130,"Eigenmittel",$AM$125:$AM$130),2)</f>
        <v>0</v>
      </c>
      <c r="AM12" s="110">
        <f>ROUND(SUMIF($AK$116:$AK$120,"Eigenmittel",$AN$116:$AN$120)+SUMIF($AK$125:$AK$130,"Eigenmittel",$AN$125:$AN$130),2)</f>
        <v>0</v>
      </c>
      <c r="AN12" s="109">
        <f t="shared" ref="AN12:AN15" si="8">IFERROR(ROUND(AG12 + AL12, 2), AL12)</f>
        <v>0</v>
      </c>
      <c r="AO12" s="111">
        <f t="shared" ref="AO12:AO15" si="9">IFERROR(ROUND(AH12 + AM12, 2), AM12)</f>
        <v>0</v>
      </c>
      <c r="AR12" s="108" t="s">
        <v>198</v>
      </c>
      <c r="AS12" s="109">
        <f>ROUND(SUMIF($AR$116:$AR$120,"Eigenmittel",$AT$116:$AT$120)+SUMIF($AR$125:$AR$130,"Eigenmittel",$AT$125:$AT$130),2)</f>
        <v>0</v>
      </c>
      <c r="AT12" s="110">
        <f>ROUND(SUMIF($AR$116:$AR$120,"Eigenmittel",$AU$116:$AU$120)+SUMIF($AR$125:$AR$130,"Eigenmittel",$AU$125:$AU$130),2)</f>
        <v>0</v>
      </c>
      <c r="AU12" s="109">
        <f t="shared" ref="AU12:AU15" si="10">IFERROR(ROUND(AN12 + AS12, 2), AS12)</f>
        <v>0</v>
      </c>
      <c r="AV12" s="111">
        <f t="shared" ref="AV12:AV15" si="11">IFERROR(ROUND(AO12 + AT12, 2), AT12)</f>
        <v>0</v>
      </c>
      <c r="AY12" s="108" t="s">
        <v>198</v>
      </c>
      <c r="AZ12" s="109">
        <f>ROUND(SUMIF($AY$116:$AY$120,"Eigenmittel",$BA$116:$BA$120)+SUMIF($AY$125:$AY$130,"Eigenmittel",$BA$125:$BA$130),2)</f>
        <v>0</v>
      </c>
      <c r="BA12" s="110">
        <f>ROUND(SUMIF($AY$116:$AY$120,"Eigenmittel",$BB$116:$BB$120)+SUMIF($AY$125:$AY$130,"Eigenmittel",$BB$125:$BB$130),2)</f>
        <v>0</v>
      </c>
      <c r="BB12" s="109">
        <f t="shared" ref="BB12:BB15" si="12">IFERROR(ROUND(AU12 + AZ12, 2), AZ12)</f>
        <v>0</v>
      </c>
      <c r="BC12" s="111">
        <f t="shared" ref="BC12:BC15" si="13">IFERROR(ROUND(AV12 + BA12, 2), BA12)</f>
        <v>0</v>
      </c>
      <c r="BF12" s="108" t="s">
        <v>198</v>
      </c>
      <c r="BG12" s="109">
        <f>ROUND(SUMIF($BF$116:$BF$120,"Eigenmittel",$BH$116:$BH$120)+SUMIF($BF$125:$BF$130,"Eigenmittel",$BH$125:$BH$130),2)</f>
        <v>0</v>
      </c>
      <c r="BH12" s="110">
        <f>ROUND(SUMIF($BF$116:$BF$120,"Eigenmittel",$BI$116:$BI$120)+SUMIF($BF$125:$BF$130,"Eigenmittel",$BI$125:$BI$130),2)</f>
        <v>0</v>
      </c>
      <c r="BI12" s="109">
        <f t="shared" ref="BI12:BI15" si="14">IFERROR(ROUND(BB12 + BG12, 2), BG12)</f>
        <v>0</v>
      </c>
      <c r="BJ12" s="111">
        <f t="shared" ref="BJ12:BJ15" si="15">IFERROR(ROUND(BC12 + BH12, 2), BH12)</f>
        <v>0</v>
      </c>
      <c r="BM12" s="108" t="s">
        <v>198</v>
      </c>
      <c r="BN12" s="109">
        <f>ROUND(SUMIF($BM$116:$BM$120,"Eigenmittel",$BO$116:$BO$120)+SUMIF($BM$125:$BM$130,"Eigenmittel",$BO$125:$BO$130),2)</f>
        <v>0</v>
      </c>
      <c r="BO12" s="110">
        <f>ROUND(SUMIF($BM$116:$BM$120,"Eigenmittel",$BP$116:$BP$120)+SUMIF($BM$125:$BM$130,"Eigenmittel",$BP$125:$BP$130),2)</f>
        <v>0</v>
      </c>
      <c r="BP12" s="109">
        <f t="shared" ref="BP12:BP15" si="16">IFERROR(ROUND(BI12 + BN12, 2), BN12)</f>
        <v>0</v>
      </c>
      <c r="BQ12" s="111">
        <f t="shared" ref="BQ12:BQ15" si="17">IFERROR(ROUND(BJ12 + BO12, 2), BO12)</f>
        <v>0</v>
      </c>
      <c r="BT12" s="108" t="s">
        <v>198</v>
      </c>
      <c r="BU12" s="109">
        <f>ROUND(SUMIF($BT$116:$BT$120,"Eigenmittel",$BV$116:$BV$120)+SUMIF($BT$125:$BT$130,"Eigenmittel",$BV$125:$BV$130),2)</f>
        <v>0</v>
      </c>
      <c r="BV12" s="110">
        <f>ROUND(SUMIF($BT$116:$BT$120,"Eigenmittel",$BW$116:$BW$120)+SUMIF($BT$125:$BT$130,"Eigenmittel",$BW$125:$BW$130),2)</f>
        <v>0</v>
      </c>
      <c r="BW12" s="109">
        <f t="shared" ref="BW12:BW15" si="18">IFERROR(ROUND(BP12 + BU12, 2), BU12)</f>
        <v>0</v>
      </c>
      <c r="BX12" s="111">
        <f t="shared" ref="BX12:BX15" si="19">IFERROR(ROUND(BQ12 + BV12, 2), BV12)</f>
        <v>0</v>
      </c>
      <c r="CA12" s="108" t="s">
        <v>198</v>
      </c>
      <c r="CB12" s="109">
        <f>ROUND(SUMIF($CA$116:$CA$120,"Eigenmittel",$CC$116:$CC$120)+SUMIF($CA$125:$CA$130,"Eigenmittel",$CC$125:$CC$130),2)</f>
        <v>0</v>
      </c>
      <c r="CC12" s="110">
        <f>ROUND(SUMIF($CA$116:$CA$120,"Eigenmittel",$CD$116:$CD$120)+SUMIF($CA$125:$CA$130,"Eigenmittel",$CD$125:$CD$130),2)</f>
        <v>0</v>
      </c>
      <c r="CD12" s="109">
        <f t="shared" ref="CD12:CD15" si="20">IFERROR(ROUND(BW12 + CB12, 2), CB12)</f>
        <v>0</v>
      </c>
      <c r="CE12" s="111">
        <f t="shared" ref="CE12:CE15" si="21">IFERROR(ROUND(BX12 + CC12, 2), CC12)</f>
        <v>0</v>
      </c>
      <c r="CH12" s="108" t="s">
        <v>198</v>
      </c>
      <c r="CI12" s="109">
        <f>ROUND(SUMIF($CH$116:$CH$120,"Eigenmittel",$CJ$116:$CJ$120)+SUMIF($CH$125:$CH$130,"Eigenmittel",$CJ$125:$CJ$130),2)</f>
        <v>0</v>
      </c>
      <c r="CJ12" s="110">
        <f>ROUND(SUMIF($CH$116:$CH$120,"Eigenmittel",$CK$116:$CK$120)+SUMIF($CH$125:$CH$130,"Eigenmittel",$CK$125:$CK$130),2)</f>
        <v>0</v>
      </c>
      <c r="CK12" s="109">
        <f t="shared" ref="CK12:CK15" si="22">IFERROR(ROUND(CD12 + CI12, 2), CI12)</f>
        <v>0</v>
      </c>
      <c r="CL12" s="111">
        <f t="shared" ref="CL12:CL15" si="23">IFERROR(ROUND(CE12 + CJ12, 2), CJ12)</f>
        <v>0</v>
      </c>
      <c r="CO12" s="108" t="s">
        <v>198</v>
      </c>
      <c r="CP12" s="109">
        <f>ROUND(SUMIF($CO$116:$CO$120,"Eigenmittel",$CQ$116:$CQ$120)+SUMIF($CO$125:$CO$130,"Eigenmittel",$CQ$125:$CQ$130),2)</f>
        <v>0</v>
      </c>
      <c r="CQ12" s="110">
        <f>ROUND(SUMIF($CO$116:$CO$120,"Eigenmittel",$CR$116:$CR$120)+SUMIF($CO$125:$CO$130,"Eigenmittel",$CR$125:$CR$130),2)</f>
        <v>0</v>
      </c>
      <c r="CR12" s="109">
        <f t="shared" ref="CR12:CR15" si="24">IFERROR(ROUND(CK12 + CP12, 2), CP12)</f>
        <v>0</v>
      </c>
      <c r="CS12" s="111">
        <f t="shared" ref="CS12:CS15" si="25">IFERROR(ROUND(CL12 + CQ12, 2), CQ12)</f>
        <v>0</v>
      </c>
      <c r="CV12" s="108" t="s">
        <v>198</v>
      </c>
      <c r="CW12" s="109">
        <f>ROUND(SUMIF($CV$116:$CV$120,"Eigenmittel",$CX$116:$CX$120)+SUMIF($CV$125:$CV$130,"Eigenmittel",$CX$125:$CX$130),2)</f>
        <v>0</v>
      </c>
      <c r="CX12" s="110">
        <f>ROUND(SUMIF($CV$116:$CV$120,"Eigenmittel",$CY$116:$CY$120)+SUMIF($CV$125:$CV$130,"Eigenmittel",$CY$125:$CY$130),2)</f>
        <v>0</v>
      </c>
      <c r="CY12" s="109">
        <f t="shared" ref="CY12:CY15" si="26">IFERROR(ROUND(CR12 + CW12, 2), CW12)</f>
        <v>0</v>
      </c>
      <c r="CZ12" s="111">
        <f t="shared" ref="CZ12:CZ15" si="27">IFERROR(ROUND(CS12 + CX12, 2), CX12)</f>
        <v>0</v>
      </c>
      <c r="DC12" s="108" t="s">
        <v>198</v>
      </c>
      <c r="DD12" s="109">
        <f>ROUND(SUMIF($DC$116:$DC$120,"Eigenmittel",$DE$116:$DE$120)+SUMIF($DC$125:$DC$130,"Eigenmittel",$DE$125:$DE$130),2)</f>
        <v>0</v>
      </c>
      <c r="DE12" s="110">
        <f>ROUND(SUMIF($DC$116:$DC$120,"Eigenmittel",$DF$116:$DF$120)+SUMIF($DC$125:$DC$130,"Eigenmittel",$DF$125:$DF$130),2)</f>
        <v>0</v>
      </c>
      <c r="DF12" s="109">
        <f t="shared" ref="DF12:DF15" si="28">IFERROR(ROUND(CY12 + DD12, 2), DD12)</f>
        <v>0</v>
      </c>
      <c r="DG12" s="111">
        <f t="shared" ref="DG12:DG15" si="29">IFERROR(ROUND(CZ12 + DE12, 2), DE12)</f>
        <v>0</v>
      </c>
      <c r="DJ12" s="108" t="s">
        <v>198</v>
      </c>
      <c r="DK12" s="109">
        <f>ROUND(SUMIF($DJ$116:$DJ$120,"Eigenmittel",$DL$116:$DL$120)+SUMIF($DJ$125:$DJ$130,"Eigenmittel",$DL$125:$DL$130),2)</f>
        <v>0</v>
      </c>
      <c r="DL12" s="110">
        <f>ROUND(SUMIF($DJ$116:$DJ$120,"Eigenmittel",$DM$116:$DM$120)+SUMIF($DJ$125:$DJ$130,"Eigenmittel",$DM$125:$DM$130),2)</f>
        <v>0</v>
      </c>
      <c r="DM12" s="109">
        <f t="shared" ref="DM12:DM15" si="30">IFERROR(ROUND(DF12 + DK12, 2), DK12)</f>
        <v>0</v>
      </c>
      <c r="DN12" s="111">
        <f t="shared" ref="DN12:DN15" si="31">IFERROR(ROUND(DG12 + DL12, 2), DL12)</f>
        <v>0</v>
      </c>
      <c r="DQ12" s="108" t="s">
        <v>198</v>
      </c>
      <c r="DR12" s="109">
        <f>ROUND(SUMIF($DQ$116:$DQ$120,"Eigenmittel",$DS$116:$DS$120)+SUMIF($DQ$125:$DQ$130,"Eigenmittel",$DS$125:$DS$130),2)</f>
        <v>0</v>
      </c>
      <c r="DS12" s="110">
        <f>ROUND(SUMIF($DQ$116:$DQ$120,"Eigenmittel",$DT$116:$DT$120)+SUMIF($DQ$125:$DQ$130,"Eigenmittel",$DT$125:$DT$130),2)</f>
        <v>0</v>
      </c>
      <c r="DT12" s="109">
        <f t="shared" ref="DT12:DT15" si="32">IFERROR(ROUND(DM12 + DR12, 2), DR12)</f>
        <v>0</v>
      </c>
      <c r="DU12" s="111">
        <f t="shared" ref="DU12:DU15" si="33">IFERROR(ROUND(DN12 + DS12, 2), DS12)</f>
        <v>0</v>
      </c>
    </row>
    <row r="13">
      <c r="B13" s="108" t="s">
        <v>387</v>
      </c>
      <c r="C13" s="109">
        <f>ROUND(SUMIF($B$116:$B$120,"Drittmittel",$D$116:$D$120)+SUMIF($B$125:$B$130,"Drittmittel",$D$125:$D$130),2)</f>
        <v>0</v>
      </c>
      <c r="D13" s="110">
        <f>ROUND(SUMIF($B$116:$B$120,"Drittmittel",$E$116:$E$120)+SUMIF($B$125:$B$130,"Drittmittel",$E$125:$E$130),2)</f>
        <v>0</v>
      </c>
      <c r="E13" s="109">
        <f>ROUND(SUMIF($B$116:$B$120,"Drittmittel",$D$116:$D$120)+SUMIF($B$125:$B$130,"Drittmittel",$D$125:$D$130),2)</f>
        <v>0</v>
      </c>
      <c r="F13" s="111">
        <f>ROUND(SUMIF($B$116:$B$120,"Drittmittel",$E$116:$E$120)+SUMIF($B$125:$B$130,"Drittmittel",$E$125:$E$130),2)</f>
        <v>0</v>
      </c>
      <c r="I13" s="108" t="s">
        <v>387</v>
      </c>
      <c r="J13" s="109">
        <f>ROUND(SUMIF($I$116:$I$120,"Drittmittel",$K$116:$K$120)+SUMIF($I$125:$I$130,"Drittmittel",$K$125:$K$130),2)</f>
        <v>0</v>
      </c>
      <c r="K13" s="110">
        <f>ROUND(SUMIF($I$116:$I$120,"Drittmittel",$L$116:$L$120)+SUMIF($I$125:$I$130,"Drittmittel",$L$125:$L$130),2)</f>
        <v>0</v>
      </c>
      <c r="L13" s="109">
        <f t="shared" si="0"/>
        <v>0</v>
      </c>
      <c r="M13" s="111">
        <f t="shared" si="1"/>
        <v>0</v>
      </c>
      <c r="P13" s="108" t="s">
        <v>387</v>
      </c>
      <c r="Q13" s="109">
        <f>ROUND(SUMIF($P$116:$P$120,"Drittmittel",$R$116:$R$120)+SUMIF($P$125:$P$130,"Drittmittel",$R$125:$R$130),2)</f>
        <v>0</v>
      </c>
      <c r="R13" s="110">
        <f>ROUND(SUMIF($P$116:$P$120,"Drittmittel",$S$116:$S$120)+SUMIF($P$125:$P$130,"Drittmittel",$S$125:$S$130),2)</f>
        <v>0</v>
      </c>
      <c r="S13" s="109">
        <f t="shared" si="2"/>
        <v>0</v>
      </c>
      <c r="T13" s="111">
        <f t="shared" si="3"/>
        <v>0</v>
      </c>
      <c r="W13" s="108" t="s">
        <v>387</v>
      </c>
      <c r="X13" s="109">
        <f>ROUND(SUMIF($W$116:$W$120,"Drittmittel",$Y$116:$Y$120)+SUMIF($W$125:$W$130,"Drittmittel",$Y$125:$Y$130),2)</f>
        <v>0</v>
      </c>
      <c r="Y13" s="110">
        <f>ROUND(SUMIF($W$116:$W$120,"Drittmittel",$Z$116:$Z$120)+SUMIF($W$125:$W$130,"Drittmittel",$Z$125:$Z$130),2)</f>
        <v>0</v>
      </c>
      <c r="Z13" s="109">
        <f t="shared" si="4"/>
        <v>0</v>
      </c>
      <c r="AA13" s="111">
        <f t="shared" si="5"/>
        <v>0</v>
      </c>
      <c r="AD13" s="108" t="s">
        <v>387</v>
      </c>
      <c r="AE13" s="109">
        <f>ROUND(SUMIF($AD$116:$AD$120,"Drittmittel",$AF$116:$AF$120)+SUMIF($AD$125:$AD$130,"Drittmittel",$AF$125:$AF$130),2)</f>
        <v>0</v>
      </c>
      <c r="AF13" s="110">
        <f>ROUND(SUMIF($AD$116:$AD$120,"Drittmittel",$AG$116:$AG$120)+SUMIF($AD$125:$AD$130,"Drittmittel",$AG$125:$AG$130),2)</f>
        <v>0</v>
      </c>
      <c r="AG13" s="109">
        <f t="shared" si="6"/>
        <v>0</v>
      </c>
      <c r="AH13" s="111">
        <f t="shared" si="7"/>
        <v>0</v>
      </c>
      <c r="AK13" s="108" t="s">
        <v>387</v>
      </c>
      <c r="AL13" s="109">
        <f>ROUND(SUMIF($AK$116:$AK$120,"Drittmittel",$AM$116:$AM$120)+SUMIF($AK$125:$AK$130,"Drittmittel",$AM$125:$AM$130),2)</f>
        <v>0</v>
      </c>
      <c r="AM13" s="110">
        <f>ROUND(SUMIF($AK$116:$AK$120,"Drittmittel",$AN$116:$AN$120)+SUMIF($AK$125:$AK$130,"Drittmittel",$AN$125:$AN$130),2)</f>
        <v>0</v>
      </c>
      <c r="AN13" s="109">
        <f t="shared" si="8"/>
        <v>0</v>
      </c>
      <c r="AO13" s="111">
        <f t="shared" si="9"/>
        <v>0</v>
      </c>
      <c r="AR13" s="108" t="s">
        <v>387</v>
      </c>
      <c r="AS13" s="109">
        <f>ROUND(SUMIF($AR$116:$AR$120,"Drittmittel",$AT$116:$AT$120)+SUMIF($AR$125:$AR$130,"Drittmittel",$AT$125:$AT$130),2)</f>
        <v>0</v>
      </c>
      <c r="AT13" s="110">
        <f>ROUND(SUMIF($AR$116:$AR$120,"Drittmittel",$AU$116:$AU$120)+SUMIF($AR$125:$AR$130,"Drittmittel",$AU$125:$AU$130),2)</f>
        <v>0</v>
      </c>
      <c r="AU13" s="109">
        <f t="shared" si="10"/>
        <v>0</v>
      </c>
      <c r="AV13" s="111">
        <f t="shared" si="11"/>
        <v>0</v>
      </c>
      <c r="AY13" s="108" t="s">
        <v>387</v>
      </c>
      <c r="AZ13" s="109">
        <f>ROUND(SUMIF($AY$116:$AY$120,"Drittmittel",$BA$116:$BA$120)+SUMIF($AY$125:$AY$130,"Drittmittel",$BA$125:$BA$130),2)</f>
        <v>0</v>
      </c>
      <c r="BA13" s="110">
        <f>ROUND(SUMIF($AY$116:$AY$120,"Drittmittel",$BB$116:$BB$120)+SUMIF($AY$125:$AY$130,"Drittmittel",$BB$125:$BB$130),2)</f>
        <v>0</v>
      </c>
      <c r="BB13" s="109">
        <f t="shared" si="12"/>
        <v>0</v>
      </c>
      <c r="BC13" s="111">
        <f t="shared" si="13"/>
        <v>0</v>
      </c>
      <c r="BF13" s="108" t="s">
        <v>387</v>
      </c>
      <c r="BG13" s="109">
        <f>ROUND(SUMIF($BF$116:$BF$120,"Drittmittel",$BH$116:$BH$120)+SUMIF($BF$125:$BF$130,"Drittmittel",$BH$125:$BH$130),2)</f>
        <v>0</v>
      </c>
      <c r="BH13" s="110">
        <f>ROUND(SUMIF($BF$116:$BF$120,"Drittmittel",$BI$116:$BI$120)+SUMIF($BF$125:$BF$130,"Drittmittel",$BI$125:$BI$130),2)</f>
        <v>0</v>
      </c>
      <c r="BI13" s="109">
        <f t="shared" si="14"/>
        <v>0</v>
      </c>
      <c r="BJ13" s="111">
        <f t="shared" si="15"/>
        <v>0</v>
      </c>
      <c r="BM13" s="108" t="s">
        <v>387</v>
      </c>
      <c r="BN13" s="109">
        <f>ROUND(SUMIF($BM$116:$BM$120,"Drittmittel",$BO$116:$BO$120)+SUMIF($BM$125:$BM$130,"Drittmittel",$BO$125:$BO$130),2)</f>
        <v>0</v>
      </c>
      <c r="BO13" s="110">
        <f>ROUND(SUMIF($BM$116:$BM$120,"Drittmittel",$BP$116:$BP$120)+SUMIF($BM$125:$BM$130,"Drittmittel",$BP$125:$BP$130),2)</f>
        <v>0</v>
      </c>
      <c r="BP13" s="109">
        <f t="shared" si="16"/>
        <v>0</v>
      </c>
      <c r="BQ13" s="111">
        <f t="shared" si="17"/>
        <v>0</v>
      </c>
      <c r="BT13" s="108" t="s">
        <v>387</v>
      </c>
      <c r="BU13" s="109">
        <f>ROUND(SUMIF($BT$116:$BT$120,"Drittmittel",$BV$116:$BV$120)+SUMIF($BT$125:$BT$130,"Drittmittel",$BV$125:$BV$130),2)</f>
        <v>0</v>
      </c>
      <c r="BV13" s="110">
        <f>ROUND(SUMIF($BT$116:$BT$120,"Drittmittel",$BW$116:$BW$120)+SUMIF($BT$125:$BT$130,"Drittmittel",$BW$125:$BW$130),2)</f>
        <v>0</v>
      </c>
      <c r="BW13" s="109">
        <f t="shared" si="18"/>
        <v>0</v>
      </c>
      <c r="BX13" s="111">
        <f t="shared" si="19"/>
        <v>0</v>
      </c>
      <c r="CA13" s="108" t="s">
        <v>387</v>
      </c>
      <c r="CB13" s="109">
        <f>ROUND(SUMIF($CA$116:$CA$120,"Drittmittel",$CC$116:$CC$120)+SUMIF($CA$125:$CA$130,"Drittmittel",$CC$125:$CC$130),2)</f>
        <v>0</v>
      </c>
      <c r="CC13" s="110">
        <f>ROUND(SUMIF($CA$116:$CA$120,"Drittmittel",$CD$116:$CD$120)+SUMIF($CA$125:$CA$130,"Drittmittel",$CD$125:$CD$130),2)</f>
        <v>0</v>
      </c>
      <c r="CD13" s="109">
        <f t="shared" si="20"/>
        <v>0</v>
      </c>
      <c r="CE13" s="111">
        <f t="shared" si="21"/>
        <v>0</v>
      </c>
      <c r="CH13" s="108" t="s">
        <v>387</v>
      </c>
      <c r="CI13" s="109">
        <f>ROUND(SUMIF($CH$116:$CH$120,"Drittmittel",$CJ$116:$CJ$120)+SUMIF($CH$125:$CH$130,"Drittmittel",$CJ$125:$CJ$130),2)</f>
        <v>0</v>
      </c>
      <c r="CJ13" s="110">
        <f>ROUND(SUMIF($CH$116:$CH$120,"Drittmittel",$CK$116:$CK$120)+SUMIF($CH$125:$CH$130,"Drittmittel",$CK$125:$CK$130),2)</f>
        <v>0</v>
      </c>
      <c r="CK13" s="109">
        <f t="shared" si="22"/>
        <v>0</v>
      </c>
      <c r="CL13" s="111">
        <f t="shared" si="23"/>
        <v>0</v>
      </c>
      <c r="CO13" s="108" t="s">
        <v>387</v>
      </c>
      <c r="CP13" s="109">
        <f>ROUND(SUMIF($CO$116:$CO$120,"Drittmittel",$CQ$116:$CQ$120)+SUMIF($CO$125:$CO$130,"Drittmittel",$CQ$125:$CQ$130),2)</f>
        <v>0</v>
      </c>
      <c r="CQ13" s="110">
        <f>ROUND(SUMIF($CO$116:$CO$120,"Drittmittel",$CR$116:$CR$120)+SUMIF($CO$125:$CO$130,"Drittmittel",$CR$125:$CR$130),2)</f>
        <v>0</v>
      </c>
      <c r="CR13" s="109">
        <f t="shared" si="24"/>
        <v>0</v>
      </c>
      <c r="CS13" s="111">
        <f t="shared" si="25"/>
        <v>0</v>
      </c>
      <c r="CV13" s="108" t="s">
        <v>387</v>
      </c>
      <c r="CW13" s="109">
        <f>ROUND(SUMIF($CV$116:$CV$120,"Drittmittel",$CX$116:$CX$120)+SUMIF($CV$125:$CV$130,"Drittmittel",$CX$125:$CX$130),2)</f>
        <v>0</v>
      </c>
      <c r="CX13" s="110">
        <f>ROUND(SUMIF($CV$116:$CV$120,"Drittmittel",$CY$116:$CY$120)+SUMIF($CV$125:$CV$130,"Drittmittel",$CY$125:$CY$130),2)</f>
        <v>0</v>
      </c>
      <c r="CY13" s="109">
        <f t="shared" si="26"/>
        <v>0</v>
      </c>
      <c r="CZ13" s="111">
        <f t="shared" si="27"/>
        <v>0</v>
      </c>
      <c r="DC13" s="108" t="s">
        <v>387</v>
      </c>
      <c r="DD13" s="109">
        <f>ROUND(SUMIF($DC$116:$DC$120,"Drittmittel",$DE$116:$DE$120)+SUMIF($DC$125:$DC$130,"Drittmittel",$DE$125:$DE$130),2)</f>
        <v>0</v>
      </c>
      <c r="DE13" s="110">
        <f>ROUND(SUMIF($DC$116:$DC$120,"Drittmittel",$DF$116:$DF$120)+SUMIF($DC$125:$DC$130,"Drittmittel",$DF$125:$DF$130),2)</f>
        <v>0</v>
      </c>
      <c r="DF13" s="109">
        <f t="shared" si="28"/>
        <v>0</v>
      </c>
      <c r="DG13" s="111">
        <f t="shared" si="29"/>
        <v>0</v>
      </c>
      <c r="DJ13" s="108" t="s">
        <v>387</v>
      </c>
      <c r="DK13" s="109">
        <f>ROUND(SUMIF($DJ$116:$DJ$120,"Drittmittel",$DL$116:$DL$120)+SUMIF($DJ$125:$DJ$130,"Drittmittel",$DL$125:$DL$130),2)</f>
        <v>0</v>
      </c>
      <c r="DL13" s="110">
        <f>ROUND(SUMIF($DJ$116:$DJ$120,"Drittmittel",$DM$116:$DM$120)+SUMIF($DJ$125:$DJ$130,"Drittmittel",$DM$125:$DM$130),2)</f>
        <v>0</v>
      </c>
      <c r="DM13" s="109">
        <f t="shared" si="30"/>
        <v>0</v>
      </c>
      <c r="DN13" s="111">
        <f t="shared" si="31"/>
        <v>0</v>
      </c>
      <c r="DQ13" s="108" t="s">
        <v>387</v>
      </c>
      <c r="DR13" s="109">
        <f>ROUND(SUMIF($DQ$116:$DQ$120,"Drittmittel",$DS$116:$DS$120)+SUMIF($DQ$125:$DQ$130,"Drittmittel",$DS$125:$DS$130),2)</f>
        <v>0</v>
      </c>
      <c r="DS13" s="110">
        <f>ROUND(SUMIF($DQ$116:$DQ$120,"Drittmittel",$DT$116:$DT$120)+SUMIF($DQ$125:$DQ$130,"Drittmittel",$DT$125:$DT$130),2)</f>
        <v>0</v>
      </c>
      <c r="DT13" s="109">
        <f t="shared" si="32"/>
        <v>0</v>
      </c>
      <c r="DU13" s="111">
        <f t="shared" si="33"/>
        <v>0</v>
      </c>
    </row>
    <row r="14">
      <c r="B14" s="108" t="s">
        <v>204</v>
      </c>
      <c r="C14" s="109">
        <f>ROUND(SUMIF($B$116:$B$120,"KMW-Mittel",$D$116:$D$120)+SUMIF($B$125:$B$130,"KMW-Mittel",$D$125:$D$130),2)</f>
        <v>0</v>
      </c>
      <c r="D14" s="110">
        <f>ROUND(SUMIF($B$116:$B$120,"KMW-Mittel",$E$116:$E$120)+SUMIF($B$125:$B$130,"KMW-Mittel",$E$125:$E$130),2)</f>
        <v>0</v>
      </c>
      <c r="E14" s="109">
        <f>ROUND(SUMIF($B$116:$B$120,"KMW-Mittel",$D$116:$D$120)+SUMIF($B$125:$B$130,"KMW-Mittel",$D$125:$D$130),2)</f>
        <v>0</v>
      </c>
      <c r="F14" s="111">
        <f>ROUND(SUMIF($B$116:$B$120,"KMW-Mittel",$E$116:$E$120)+SUMIF($B$125:$B$130,"KMW-Mittel",$E$125:$E$130),2)</f>
        <v>0</v>
      </c>
      <c r="I14" s="108" t="s">
        <v>204</v>
      </c>
      <c r="J14" s="109">
        <f>ROUND(SUMIF($I$116:$I$120,"KMW-Mittel",$K$116:$K$120)+SUMIF($I$125:$I$130,"KMW-Mittel",$K$125:$K$130),2)</f>
        <v>0</v>
      </c>
      <c r="K14" s="110">
        <f>ROUND(SUMIF($I$116:$I$120,"KMW-Mittel",$L$116:$L$120)+SUMIF($I$125:$I$130,"KMW-Mittel",$L$125:$L$130),2)</f>
        <v>0</v>
      </c>
      <c r="L14" s="109">
        <f t="shared" si="0"/>
        <v>0</v>
      </c>
      <c r="M14" s="111">
        <f t="shared" si="1"/>
        <v>0</v>
      </c>
      <c r="P14" s="108" t="s">
        <v>204</v>
      </c>
      <c r="Q14" s="109">
        <f>ROUND(SUMIF($P$116:$P$120,"KMW-Mittel",$R$116:$R$120)+SUMIF($P$125:$P$130,"KMW-Mittel",$R$125:$R$130),2)</f>
        <v>0</v>
      </c>
      <c r="R14" s="110">
        <f>ROUND(SUMIF($P$116:$P$120,"KMW-Mittel",$S$116:$S$120)+SUMIF($P$125:$P$130,"KMW-Mittel",$S$125:$S$130),2)</f>
        <v>0</v>
      </c>
      <c r="S14" s="109">
        <f t="shared" si="2"/>
        <v>0</v>
      </c>
      <c r="T14" s="111">
        <f t="shared" si="3"/>
        <v>0</v>
      </c>
      <c r="W14" s="108" t="s">
        <v>204</v>
      </c>
      <c r="X14" s="109">
        <f>ROUND(SUMIF($W$116:$W$120,"KMW-Mittel",$Y$116:$Y$120)+SUMIF($W$125:$W$130,"KMW-Mittel",$Y$125:$Y$130),2)</f>
        <v>0</v>
      </c>
      <c r="Y14" s="110">
        <f>ROUND(SUMIF($W$116:$W$120,"KMW-Mittel",$Z$116:$Z$120)+SUMIF($W$125:$W$130,"KMW-Mittel",$Z$125:$Z$130),2)</f>
        <v>0</v>
      </c>
      <c r="Z14" s="109">
        <f t="shared" si="4"/>
        <v>0</v>
      </c>
      <c r="AA14" s="111">
        <f t="shared" si="5"/>
        <v>0</v>
      </c>
      <c r="AD14" s="108" t="s">
        <v>204</v>
      </c>
      <c r="AE14" s="109">
        <f>ROUND(SUMIF($AD$116:$AD$120,"KMW-Mittel",$AF$116:$AF$120)+SUMIF($AD$125:$AD$130,"KMW-Mittel",$AF$125:$AF$130),2)</f>
        <v>0</v>
      </c>
      <c r="AF14" s="110">
        <f>ROUND(SUMIF($AD$116:$AD$120,"KMW-Mittel",$AG$116:$AG$120)+SUMIF($AD$125:$AD$130,"KMW-Mittel",$AG$125:$AG$130),2)</f>
        <v>0</v>
      </c>
      <c r="AG14" s="109">
        <f t="shared" si="6"/>
        <v>0</v>
      </c>
      <c r="AH14" s="111">
        <f t="shared" si="7"/>
        <v>0</v>
      </c>
      <c r="AK14" s="108" t="s">
        <v>204</v>
      </c>
      <c r="AL14" s="109">
        <f>ROUND(SUMIF($AK$116:$AK$120,"KMW-Mittel",$AM$116:$AM$120)+SUMIF($AK$125:$AK$130,"KMW-Mittel",$AM$125:$AM$130),2)</f>
        <v>0</v>
      </c>
      <c r="AM14" s="110">
        <f>ROUND(SUMIF($AK$116:$AK$120,"KMW-Mittel",$AN$116:$AN$120)+SUMIF($AK$125:$AK$130,"KMW-Mittel",$AN$125:$AN$130),2)</f>
        <v>0</v>
      </c>
      <c r="AN14" s="109">
        <f t="shared" si="8"/>
        <v>0</v>
      </c>
      <c r="AO14" s="111">
        <f t="shared" si="9"/>
        <v>0</v>
      </c>
      <c r="AR14" s="108" t="s">
        <v>204</v>
      </c>
      <c r="AS14" s="109">
        <f>ROUND(SUMIF($AR$116:$AR$120,"KMW-Mittel",$AT$116:$AT$120)+SUMIF($AR$125:$AR$130,"KMW-Mittel",$AT$125:$AT$130),2)</f>
        <v>0</v>
      </c>
      <c r="AT14" s="110">
        <f>ROUND(SUMIF($AR$116:$AR$120,"KMW-Mittel",$AU$116:$AU$120)+SUMIF($AR$125:$AR$130,"KMW-Mittel",$AU$125:$AU$130),2)</f>
        <v>0</v>
      </c>
      <c r="AU14" s="109">
        <f t="shared" si="10"/>
        <v>0</v>
      </c>
      <c r="AV14" s="111">
        <f t="shared" si="11"/>
        <v>0</v>
      </c>
      <c r="AY14" s="108" t="s">
        <v>204</v>
      </c>
      <c r="AZ14" s="109">
        <f>ROUND(SUMIF($AY$116:$AY$120,"KMW-Mittel",$BA$116:$BA$120)+SUMIF($AY$125:$AY$130,"KMW-Mittel",$BA$125:$BA$130),2)</f>
        <v>0</v>
      </c>
      <c r="BA14" s="110">
        <f>ROUND(SUMIF($AY$116:$AY$120,"KMW-Mittel",$BB$116:$BB$120)+SUMIF($AY$125:$AY$130,"KMW-Mittel",$BB$125:$BB$130),2)</f>
        <v>0</v>
      </c>
      <c r="BB14" s="109">
        <f t="shared" si="12"/>
        <v>0</v>
      </c>
      <c r="BC14" s="111">
        <f t="shared" si="13"/>
        <v>0</v>
      </c>
      <c r="BF14" s="108" t="s">
        <v>204</v>
      </c>
      <c r="BG14" s="109">
        <f>ROUND(SUMIF($BF$116:$BF$120,"KMW-Mittel",$BH$116:$BH$120)+SUMIF($BF$125:$BF$130,"KMW-Mittel",$BH$125:$BH$130),2)</f>
        <v>0</v>
      </c>
      <c r="BH14" s="110">
        <f>ROUND(SUMIF($BF$116:$BF$120,"KMW-Mittel",$BI$116:$BI$120)+SUMIF($BF$125:$BF$130,"KMW-Mittel",$BI$125:$BI$130),2)</f>
        <v>0</v>
      </c>
      <c r="BI14" s="109">
        <f t="shared" si="14"/>
        <v>0</v>
      </c>
      <c r="BJ14" s="111">
        <f t="shared" si="15"/>
        <v>0</v>
      </c>
      <c r="BM14" s="108" t="s">
        <v>204</v>
      </c>
      <c r="BN14" s="109">
        <f>ROUND(SUMIF($BM$116:$BM$120,"KMW-Mittel",$BO$116:$BO$120)+SUMIF($BM$125:$BM$130,"KMW-Mittel",$BO$125:$BO$130),2)</f>
        <v>0</v>
      </c>
      <c r="BO14" s="110">
        <f>ROUND(SUMIF($BM$116:$BM$120,"KMW-Mittel",$BP$116:$BP$120)+SUMIF($BM$125:$BM$130,"KMW-Mittel",$BP$125:$BP$130),2)</f>
        <v>0</v>
      </c>
      <c r="BP14" s="109">
        <f t="shared" si="16"/>
        <v>0</v>
      </c>
      <c r="BQ14" s="111">
        <f t="shared" si="17"/>
        <v>0</v>
      </c>
      <c r="BT14" s="108" t="s">
        <v>204</v>
      </c>
      <c r="BU14" s="109">
        <f>ROUND(SUMIF($BT$116:$BT$120,"KMW-Mittel",$BV$116:$BV$120)+SUMIF($BT$125:$BT$130,"KMW-Mittel",$BV$125:$BV$130),2)</f>
        <v>0</v>
      </c>
      <c r="BV14" s="110">
        <f>ROUND(SUMIF($BT$116:$BT$120,"KMW-Mittel",$BW$116:$BW$120)+SUMIF($BT$125:$BT$130,"KMW-Mittel",$BW$125:$BW$130),2)</f>
        <v>0</v>
      </c>
      <c r="BW14" s="109">
        <f t="shared" si="18"/>
        <v>0</v>
      </c>
      <c r="BX14" s="111">
        <f t="shared" si="19"/>
        <v>0</v>
      </c>
      <c r="CA14" s="108" t="s">
        <v>204</v>
      </c>
      <c r="CB14" s="109">
        <f>ROUND(SUMIF($CA$116:$CA$120,"KMW-Mittel",$CC$116:$CC$120)+SUMIF($CA$125:$CA$130,"KMW-Mittel",$CC$125:$CC$130),2)</f>
        <v>0</v>
      </c>
      <c r="CC14" s="110">
        <f>ROUND(SUMIF($CA$116:$CA$120,"KMW-Mittel",$CD$116:$CD$120)+SUMIF($CA$125:$CA$130,"KMW-Mittel",$CD$125:$CD$130),2)</f>
        <v>0</v>
      </c>
      <c r="CD14" s="109">
        <f t="shared" si="20"/>
        <v>0</v>
      </c>
      <c r="CE14" s="111">
        <f t="shared" si="21"/>
        <v>0</v>
      </c>
      <c r="CH14" s="108" t="s">
        <v>204</v>
      </c>
      <c r="CI14" s="109">
        <f>ROUND(SUMIF($CH$116:$CH$120,"KMW-Mittel",$CJ$116:$CJ$120)+SUMIF($CH$125:$CH$130,"KMW-Mittel",$CJ$125:$CJ$130),2)</f>
        <v>0</v>
      </c>
      <c r="CJ14" s="110">
        <f>ROUND(SUMIF($CH$116:$CH$120,"KMW-Mittel",$CK$116:$CK$120)+SUMIF($CH$125:$CH$130,"KMW-Mittel",$CK$125:$CK$130),2)</f>
        <v>0</v>
      </c>
      <c r="CK14" s="109">
        <f t="shared" si="22"/>
        <v>0</v>
      </c>
      <c r="CL14" s="111">
        <f t="shared" si="23"/>
        <v>0</v>
      </c>
      <c r="CO14" s="108" t="s">
        <v>204</v>
      </c>
      <c r="CP14" s="109">
        <f>ROUND(SUMIF($CO$116:$CO$120,"KMW-Mittel",$CQ$116:$CQ$120)+SUMIF($CO$125:$CO$130,"KMW-Mittel",$CQ$125:$CQ$130),2)</f>
        <v>0</v>
      </c>
      <c r="CQ14" s="110">
        <f>ROUND(SUMIF($CO$116:$CO$120,"KMW-Mittel",$CR$116:$CR$120)+SUMIF($CO$125:$CO$130,"KMW-Mittel",$CR$125:$CR$130),2)</f>
        <v>0</v>
      </c>
      <c r="CR14" s="109">
        <f t="shared" si="24"/>
        <v>0</v>
      </c>
      <c r="CS14" s="111">
        <f t="shared" si="25"/>
        <v>0</v>
      </c>
      <c r="CV14" s="108" t="s">
        <v>204</v>
      </c>
      <c r="CW14" s="109">
        <f>ROUND(SUMIF($CV$116:$CV$120,"KMW-Mittel",$CX$116:$CX$120)+SUMIF($CV$125:$CV$130,"KMW-Mittel",$CX$125:$CX$130),2)</f>
        <v>0</v>
      </c>
      <c r="CX14" s="110">
        <f>ROUND(SUMIF($CV$116:$CV$120,"KMW-Mittel",$CY$116:$CY$120)+SUMIF($CV$125:$CV$130,"KMW-Mittel",$CY$125:$CY$130),2)</f>
        <v>0</v>
      </c>
      <c r="CY14" s="109">
        <f t="shared" si="26"/>
        <v>0</v>
      </c>
      <c r="CZ14" s="111">
        <f t="shared" si="27"/>
        <v>0</v>
      </c>
      <c r="DC14" s="108" t="s">
        <v>204</v>
      </c>
      <c r="DD14" s="109">
        <f>ROUND(SUMIF($DC$116:$DC$120,"KMW-Mittel",$DE$116:$DE$120)+SUMIF($DC$125:$DC$130,"KMW-Mittel",$DE$125:$DE$130),2)</f>
        <v>0</v>
      </c>
      <c r="DE14" s="110">
        <f>ROUND(SUMIF($DC$116:$DC$120,"KMW-Mittel",$DF$116:$DF$120)+SUMIF($DC$125:$DC$130,"KMW-Mittel",$DF$125:$DF$130),2)</f>
        <v>0</v>
      </c>
      <c r="DF14" s="109">
        <f t="shared" si="28"/>
        <v>0</v>
      </c>
      <c r="DG14" s="111">
        <f t="shared" si="29"/>
        <v>0</v>
      </c>
      <c r="DJ14" s="108" t="s">
        <v>204</v>
      </c>
      <c r="DK14" s="109">
        <f>ROUND(SUMIF($DJ$116:$DJ$120,"KMW-Mittel",$DL$116:$DL$120)+SUMIF($DJ$125:$DJ$130,"KMW-Mittel",$DL$125:$DL$130),2)</f>
        <v>0</v>
      </c>
      <c r="DL14" s="110">
        <f>ROUND(SUMIF($DJ$116:$DJ$120,"KMW-Mittel",$DM$116:$DM$120)+SUMIF($DJ$125:$DJ$130,"KMW-Mittel",$DM$125:$DM$130),2)</f>
        <v>0</v>
      </c>
      <c r="DM14" s="109">
        <f t="shared" si="30"/>
        <v>0</v>
      </c>
      <c r="DN14" s="111">
        <f t="shared" si="31"/>
        <v>0</v>
      </c>
      <c r="DQ14" s="108" t="s">
        <v>204</v>
      </c>
      <c r="DR14" s="109">
        <f>ROUND(SUMIF($DQ$116:$DQ$120,"KMW-Mittel",$DS$116:$DS$120)+SUMIF($DQ$125:$DQ$130,"KMW-Mittel",$DS$125:$DS$130),2)</f>
        <v>0</v>
      </c>
      <c r="DS14" s="110">
        <f>ROUND(SUMIF($DQ$116:$DQ$120,"KMW-Mittel",$DT$116:$DT$120)+SUMIF($DQ$125:$DQ$130,"KMW-Mittel",$DT$125:$DT$130),2)</f>
        <v>0</v>
      </c>
      <c r="DT14" s="109">
        <f t="shared" si="32"/>
        <v>0</v>
      </c>
      <c r="DU14" s="111">
        <f t="shared" si="33"/>
        <v>0</v>
      </c>
    </row>
    <row r="15">
      <c r="B15" s="108" t="s">
        <v>388</v>
      </c>
      <c r="C15" s="109">
        <f>ROUND(SUMIF($B$116:$B$120,"Zinsertraege",$D$116:$D$120)+SUMIF($B$125:$B$130,"Zinsertraege",$D$125:$D$130),2)</f>
        <v>0</v>
      </c>
      <c r="D15" s="110">
        <f>ROUND(SUMIF($B$116:$B$120,"Zinsertraege",$E$116:$E$120)+SUMIF($B$125:$B$130,"Zinsertraege",$E$125:$E$130),2)</f>
        <v>0</v>
      </c>
      <c r="E15" s="109">
        <f>ROUND(SUMIF($B$116:$B$120,"Zinsertraege",$D$116:$D$120)+SUMIF($B$125:$B$130,"Zinsertraege",$D$125:$D$130),2)</f>
        <v>0</v>
      </c>
      <c r="F15" s="111">
        <f>ROUND(SUMIF($B$116:$B$120,"Zinsertraege",$E$116:$E$120)+SUMIF($B$125:$B$130,"Zinsertraege",$E$125:$E$130),2)</f>
        <v>0</v>
      </c>
      <c r="I15" s="108" t="s">
        <v>388</v>
      </c>
      <c r="J15" s="109">
        <f>ROUND(SUMIF($I$116:$I$120,"Zinsertraege",$K$116:$K$120)+SUMIF($I$125:$I$130,"Zinsertraege",$K$125:$K$130),2)</f>
        <v>0</v>
      </c>
      <c r="K15" s="110">
        <f>ROUND(SUMIF($I$116:$I$120,"Zinsertraege",$L$116:$L$120)+SUMIF($I$125:$I$130,"Zinsertraege",$L$125:$L$130),2)</f>
        <v>0</v>
      </c>
      <c r="L15" s="109">
        <f t="shared" si="0"/>
        <v>0</v>
      </c>
      <c r="M15" s="111">
        <f t="shared" si="1"/>
        <v>0</v>
      </c>
      <c r="P15" s="108" t="s">
        <v>388</v>
      </c>
      <c r="Q15" s="109">
        <f>ROUND(SUMIF($P$116:$P$120,"Zinsertraege",$R$116:$R$120)+SUMIF($P$125:$P$130,"Zinsertraege",$R$125:$R$130),2)</f>
        <v>0</v>
      </c>
      <c r="R15" s="110">
        <f>ROUND(SUMIF($P$116:$P$120,"Zinsertraege",$S$116:$S$120)+SUMIF($P$125:$P$130,"Zinsertraege",$S$125:$S$130),2)</f>
        <v>0</v>
      </c>
      <c r="S15" s="109">
        <f t="shared" si="2"/>
        <v>0</v>
      </c>
      <c r="T15" s="111">
        <f t="shared" si="3"/>
        <v>0</v>
      </c>
      <c r="W15" s="108" t="s">
        <v>388</v>
      </c>
      <c r="X15" s="109">
        <f>ROUND(SUMIF($W$116:$W$120,"Zinsertraege",$Y$116:$Y$120)+SUMIF($W$125:$W$130,"Zinsertraege",$Y$125:$Y$130),2)</f>
        <v>0</v>
      </c>
      <c r="Y15" s="110">
        <f>ROUND(SUMIF($W$116:$W$120,"Zinsertraege",$Z$116:$Z$120)+SUMIF($W$125:$W$130,"Zinsertraege",$Z$125:$Z$130),2)</f>
        <v>0</v>
      </c>
      <c r="Z15" s="109">
        <f t="shared" si="4"/>
        <v>0</v>
      </c>
      <c r="AA15" s="111">
        <f t="shared" si="5"/>
        <v>0</v>
      </c>
      <c r="AD15" s="108" t="s">
        <v>388</v>
      </c>
      <c r="AE15" s="109">
        <f>ROUND(SUMIF($AD$116:$AD$120,"Zinsertraege",$AF$116:$AF$120)+SUMIF($AD$125:$AD$130,"Zinsertraege",$AF$125:$AF$130),2)</f>
        <v>0</v>
      </c>
      <c r="AF15" s="110">
        <f>ROUND(SUMIF($AD$116:$AD$120,"Zinsertraege",$AG$116:$AG$120)+SUMIF($AD$125:$AD$130,"Zinsertraege",$AG$125:$AG$130),2)</f>
        <v>0</v>
      </c>
      <c r="AG15" s="109">
        <f t="shared" si="6"/>
        <v>0</v>
      </c>
      <c r="AH15" s="111">
        <f t="shared" si="7"/>
        <v>0</v>
      </c>
      <c r="AK15" s="108" t="s">
        <v>388</v>
      </c>
      <c r="AL15" s="109">
        <f>ROUND(SUMIF($AK$116:$AK$120,"Zinsertraege",$AM$116:$AM$120)+SUMIF($AK$125:$AK$130,"Zinsertraege",$AM$125:$AM$130),2)</f>
        <v>0</v>
      </c>
      <c r="AM15" s="110">
        <f>ROUND(SUMIF($AK$116:$AK$120,"Zinsertraege",$AN$116:$AN$120)+SUMIF($AK$125:$AK$130,"Zinsertraege",$AN$125:$AN$130),2)</f>
        <v>0</v>
      </c>
      <c r="AN15" s="109">
        <f t="shared" si="8"/>
        <v>0</v>
      </c>
      <c r="AO15" s="111">
        <f t="shared" si="9"/>
        <v>0</v>
      </c>
      <c r="AR15" s="108" t="s">
        <v>388</v>
      </c>
      <c r="AS15" s="109">
        <f>ROUND(SUMIF($AR$116:$AR$120,"Zinsertraege",$AT$116:$AT$120)+SUMIF($AR$125:$AR$130,"Zinsertraege",$AT$125:$AT$130),2)</f>
        <v>0</v>
      </c>
      <c r="AT15" s="110">
        <f>ROUND(SUMIF($AR$116:$AR$120,"Zinsertraege",$AU$116:$AU$120)+SUMIF($AR$125:$AR$130,"Zinsertraege",$AU$125:$AU$130),2)</f>
        <v>0</v>
      </c>
      <c r="AU15" s="109">
        <f t="shared" si="10"/>
        <v>0</v>
      </c>
      <c r="AV15" s="111">
        <f t="shared" si="11"/>
        <v>0</v>
      </c>
      <c r="AY15" s="108" t="s">
        <v>388</v>
      </c>
      <c r="AZ15" s="109">
        <f>ROUND(SUMIF($AY$116:$AY$120,"Zinsertraege",$BA$116:$BA$120)+SUMIF($AY$125:$AY$130,"Zinsertraege",$BA$125:$BA$130),2)</f>
        <v>0</v>
      </c>
      <c r="BA15" s="110">
        <f>ROUND(SUMIF($AY$116:$AY$120,"Zinsertraege",$BB$116:$BB$120)+SUMIF($AY$125:$AY$130,"Zinsertraege",$BB$125:$BB$130),2)</f>
        <v>0</v>
      </c>
      <c r="BB15" s="109">
        <f t="shared" si="12"/>
        <v>0</v>
      </c>
      <c r="BC15" s="111">
        <f t="shared" si="13"/>
        <v>0</v>
      </c>
      <c r="BF15" s="108" t="s">
        <v>388</v>
      </c>
      <c r="BG15" s="109">
        <f>ROUND(SUMIF($BF$116:$BF$120,"Zinsertraege",$BH$116:$BH$120)+SUMIF($BF$125:$BF$130,"Zinsertraege",$BH$125:$BH$130),2)</f>
        <v>0</v>
      </c>
      <c r="BH15" s="110">
        <f>ROUND(SUMIF($BF$116:$BF$120,"Zinsertraege",$BI$116:$BI$120)+SUMIF($BF$125:$BF$130,"Zinsertraege",$BI$125:$BI$130),2)</f>
        <v>0</v>
      </c>
      <c r="BI15" s="109">
        <f t="shared" si="14"/>
        <v>0</v>
      </c>
      <c r="BJ15" s="111">
        <f t="shared" si="15"/>
        <v>0</v>
      </c>
      <c r="BM15" s="108" t="s">
        <v>388</v>
      </c>
      <c r="BN15" s="109">
        <f>ROUND(SUMIF($BM$116:$BM$120,"Zinsertraege",$BO$116:$BO$120)+SUMIF($BM$125:$BM$130,"Zinsertraege",$BO$125:$BO$130),2)</f>
        <v>0</v>
      </c>
      <c r="BO15" s="110">
        <f>ROUND(SUMIF($BM$116:$BM$120,"Zinsertraege",$BP$116:$BP$120)+SUMIF($BM$125:$BM$130,"Zinsertraege",$BP$125:$BP$130),2)</f>
        <v>0</v>
      </c>
      <c r="BP15" s="109">
        <f t="shared" si="16"/>
        <v>0</v>
      </c>
      <c r="BQ15" s="111">
        <f t="shared" si="17"/>
        <v>0</v>
      </c>
      <c r="BT15" s="108" t="s">
        <v>388</v>
      </c>
      <c r="BU15" s="109">
        <f>ROUND(SUMIF($BT$116:$BT$120,"Zinsertraege",$BV$116:$BV$120)+SUMIF($BT$125:$BT$130,"Zinsertraege",$BV$125:$BV$130),2)</f>
        <v>0</v>
      </c>
      <c r="BV15" s="110">
        <f>ROUND(SUMIF($BT$116:$BT$120,"Zinsertraege",$BW$116:$BW$120)+SUMIF($BT$125:$BT$130,"Zinsertraege",$BW$125:$BW$130),2)</f>
        <v>0</v>
      </c>
      <c r="BW15" s="109">
        <f t="shared" si="18"/>
        <v>0</v>
      </c>
      <c r="BX15" s="111">
        <f t="shared" si="19"/>
        <v>0</v>
      </c>
      <c r="CA15" s="108" t="s">
        <v>388</v>
      </c>
      <c r="CB15" s="109">
        <f>ROUND(SUMIF($CA$116:$CA$120,"Zinsertraege",$CC$116:$CC$120)+SUMIF($CA$125:$CA$130,"Zinsertraege",$CC$125:$CC$130),2)</f>
        <v>0</v>
      </c>
      <c r="CC15" s="110">
        <f>ROUND(SUMIF($CA$116:$CA$120,"Zinsertraege",$CD$116:$CD$120)+SUMIF($CA$125:$CA$130,"Zinsertraege",$CD$125:$CD$130),2)</f>
        <v>0</v>
      </c>
      <c r="CD15" s="109">
        <f t="shared" si="20"/>
        <v>0</v>
      </c>
      <c r="CE15" s="111">
        <f t="shared" si="21"/>
        <v>0</v>
      </c>
      <c r="CH15" s="108" t="s">
        <v>388</v>
      </c>
      <c r="CI15" s="109">
        <f>ROUND(SUMIF($CH$116:$CH$120,"Zinsertraege",$CJ$116:$CJ$120)+SUMIF($CH$125:$CH$130,"Zinsertraege",$CJ$125:$CJ$130),2)</f>
        <v>0</v>
      </c>
      <c r="CJ15" s="110">
        <f>ROUND(SUMIF($CH$116:$CH$120,"Zinsertraege",$CK$116:$CK$120)+SUMIF($CH$125:$CH$130,"Zinsertraege",$CK$125:$CK$130),2)</f>
        <v>0</v>
      </c>
      <c r="CK15" s="109">
        <f t="shared" si="22"/>
        <v>0</v>
      </c>
      <c r="CL15" s="111">
        <f t="shared" si="23"/>
        <v>0</v>
      </c>
      <c r="CO15" s="108" t="s">
        <v>388</v>
      </c>
      <c r="CP15" s="109">
        <f>ROUND(SUMIF($CO$116:$CO$120,"Zinsertraege",$CQ$116:$CQ$120)+SUMIF($CO$125:$CO$130,"Zinsertraege",$CQ$125:$CQ$130),2)</f>
        <v>0</v>
      </c>
      <c r="CQ15" s="110">
        <f>ROUND(SUMIF($CO$116:$CO$120,"Zinsertraege",$CR$116:$CR$120)+SUMIF($CO$125:$CO$130,"Zinsertraege",$CR$125:$CR$130),2)</f>
        <v>0</v>
      </c>
      <c r="CR15" s="109">
        <f t="shared" si="24"/>
        <v>0</v>
      </c>
      <c r="CS15" s="111">
        <f t="shared" si="25"/>
        <v>0</v>
      </c>
      <c r="CV15" s="108" t="s">
        <v>388</v>
      </c>
      <c r="CW15" s="109">
        <f>ROUND(SUMIF($CV$116:$CV$120,"Zinsertraege",$CX$116:$CX$120)+SUMIF($CV$125:$CV$130,"Zinsertraege",$CX$125:$CX$130),2)</f>
        <v>0</v>
      </c>
      <c r="CX15" s="110">
        <f>ROUND(SUMIF($CV$116:$CV$120,"Zinsertraege",$CY$116:$CY$120)+SUMIF($CV$125:$CV$130,"Zinsertraege",$CY$125:$CY$130),2)</f>
        <v>0</v>
      </c>
      <c r="CY15" s="109">
        <f t="shared" si="26"/>
        <v>0</v>
      </c>
      <c r="CZ15" s="111">
        <f t="shared" si="27"/>
        <v>0</v>
      </c>
      <c r="DC15" s="108" t="s">
        <v>388</v>
      </c>
      <c r="DD15" s="109">
        <f>ROUND(SUMIF($DC$116:$DC$120,"Zinsertraege",$DE$116:$DE$120)+SUMIF($DC$125:$DC$130,"Zinsertraege",$DE$125:$DE$130),2)</f>
        <v>0</v>
      </c>
      <c r="DE15" s="110">
        <f>ROUND(SUMIF($DC$116:$DC$120,"Zinsertraege",$DF$116:$DF$120)+SUMIF($DC$125:$DC$130,"Zinsertraege",$DF$125:$DF$130),2)</f>
        <v>0</v>
      </c>
      <c r="DF15" s="109">
        <f t="shared" si="28"/>
        <v>0</v>
      </c>
      <c r="DG15" s="111">
        <f t="shared" si="29"/>
        <v>0</v>
      </c>
      <c r="DJ15" s="108" t="s">
        <v>388</v>
      </c>
      <c r="DK15" s="109">
        <f>ROUND(SUMIF($DJ$116:$DJ$120,"Zinsertraege",$DL$116:$DL$120)+SUMIF($DJ$125:$DJ$130,"Zinsertraege",$DL$125:$DL$130),2)</f>
        <v>0</v>
      </c>
      <c r="DL15" s="110">
        <f>ROUND(SUMIF($DJ$116:$DJ$120,"Zinsertraege",$DM$116:$DM$120)+SUMIF($DJ$125:$DJ$130,"Zinsertraege",$DM$125:$DM$130),2)</f>
        <v>0</v>
      </c>
      <c r="DM15" s="109">
        <f t="shared" si="30"/>
        <v>0</v>
      </c>
      <c r="DN15" s="111">
        <f t="shared" si="31"/>
        <v>0</v>
      </c>
      <c r="DQ15" s="108" t="s">
        <v>388</v>
      </c>
      <c r="DR15" s="109">
        <f>ROUND(SUMIF($DQ$116:$DQ$120,"Zinsertraege",$DS$116:$DS$120)+SUMIF($DQ$125:$DQ$130,"Zinsertraege",$DS$125:$DS$130),2)</f>
        <v>0</v>
      </c>
      <c r="DS15" s="110">
        <f>ROUND(SUMIF($DQ$116:$DQ$120,"Zinsertraege",$DT$116:$DT$120)+SUMIF($DQ$125:$DQ$130,"Zinsertraege",$DT$125:$DT$130),2)</f>
        <v>0</v>
      </c>
      <c r="DT15" s="109">
        <f t="shared" si="32"/>
        <v>0</v>
      </c>
      <c r="DU15" s="111">
        <f t="shared" si="33"/>
        <v>0</v>
      </c>
    </row>
    <row r="16">
      <c r="B16" s="112" t="s">
        <v>389</v>
      </c>
      <c r="C16" s="113">
        <f>ROUND(SUM(C11:C15),2)</f>
        <v>0</v>
      </c>
      <c r="D16" s="114">
        <f>ROUND(SUM(D11:D15),2)</f>
        <v>0</v>
      </c>
      <c r="E16" s="113">
        <f>ROUND(SUM(E11:E15),2)</f>
        <v>0</v>
      </c>
      <c r="F16" s="115">
        <f>ROUND(SUM(F11:F15),2)</f>
        <v>0</v>
      </c>
      <c r="I16" s="112" t="s">
        <v>389</v>
      </c>
      <c r="J16" s="113">
        <f>ROUND(SUM(J11:J15),2)</f>
        <v>0</v>
      </c>
      <c r="K16" s="114">
        <f>ROUND(SUM(K11:K15),2)</f>
        <v>0</v>
      </c>
      <c r="L16" s="113">
        <f>ROUND(SUM(L11:L15),2)</f>
        <v>0</v>
      </c>
      <c r="M16" s="115">
        <f>ROUND(SUM(M11:M15),2)</f>
        <v>0</v>
      </c>
      <c r="P16" s="112" t="s">
        <v>389</v>
      </c>
      <c r="Q16" s="113">
        <f>ROUND(SUM(Q11:Q15),2)</f>
        <v>0</v>
      </c>
      <c r="R16" s="114">
        <f>ROUND(SUM(R11:R15),2)</f>
        <v>0</v>
      </c>
      <c r="S16" s="113">
        <f>ROUND(SUM(S11:S15),2)</f>
        <v>0</v>
      </c>
      <c r="T16" s="115">
        <f>ROUND(SUM(T11:T15),2)</f>
        <v>0</v>
      </c>
      <c r="W16" s="112" t="s">
        <v>389</v>
      </c>
      <c r="X16" s="113">
        <f>ROUND(SUM(X11:X15),2)</f>
        <v>0</v>
      </c>
      <c r="Y16" s="114">
        <f>ROUND(SUM(Y11:Y15),2)</f>
        <v>0</v>
      </c>
      <c r="Z16" s="113">
        <f>ROUND(SUM(Z11:Z15),2)</f>
        <v>0</v>
      </c>
      <c r="AA16" s="115">
        <f>ROUND(SUM(AA11:AA15),2)</f>
        <v>0</v>
      </c>
      <c r="AD16" s="112" t="s">
        <v>389</v>
      </c>
      <c r="AE16" s="113">
        <f>ROUND(SUM(AE11:AE15),2)</f>
        <v>0</v>
      </c>
      <c r="AF16" s="114">
        <f>ROUND(SUM(AF11:AF15),2)</f>
        <v>0</v>
      </c>
      <c r="AG16" s="113">
        <f>ROUND(SUM(AG11:AG15),2)</f>
        <v>0</v>
      </c>
      <c r="AH16" s="115">
        <f>ROUND(SUM(AH11:AH15),2)</f>
        <v>0</v>
      </c>
      <c r="AK16" s="112" t="s">
        <v>389</v>
      </c>
      <c r="AL16" s="113">
        <f>ROUND(SUM(AL11:AL15),2)</f>
        <v>0</v>
      </c>
      <c r="AM16" s="114">
        <f>ROUND(SUM(AM11:AM15),2)</f>
        <v>0</v>
      </c>
      <c r="AN16" s="113">
        <f>ROUND(SUM(AN11:AN15),2)</f>
        <v>0</v>
      </c>
      <c r="AO16" s="115">
        <f>ROUND(SUM(AO11:AO15),2)</f>
        <v>0</v>
      </c>
      <c r="AR16" s="112" t="s">
        <v>389</v>
      </c>
      <c r="AS16" s="113">
        <f>ROUND(SUM(AS11:AS15),2)</f>
        <v>0</v>
      </c>
      <c r="AT16" s="114">
        <f>ROUND(SUM(AT11:AT15),2)</f>
        <v>0</v>
      </c>
      <c r="AU16" s="113">
        <f>ROUND(SUM(AU11:AU15),2)</f>
        <v>0</v>
      </c>
      <c r="AV16" s="115">
        <f>ROUND(SUM(AV11:AV15),2)</f>
        <v>0</v>
      </c>
      <c r="AY16" s="112" t="s">
        <v>389</v>
      </c>
      <c r="AZ16" s="113">
        <f>ROUND(SUM(AZ11:AZ15),2)</f>
        <v>0</v>
      </c>
      <c r="BA16" s="114">
        <f>ROUND(SUM(BA11:BA15),2)</f>
        <v>0</v>
      </c>
      <c r="BB16" s="113">
        <f>ROUND(SUM(BB11:BB15),2)</f>
        <v>0</v>
      </c>
      <c r="BC16" s="115">
        <f>ROUND(SUM(BC11:BC15),2)</f>
        <v>0</v>
      </c>
      <c r="BF16" s="112" t="s">
        <v>389</v>
      </c>
      <c r="BG16" s="113">
        <f>ROUND(SUM(BG11:BG15),2)</f>
        <v>0</v>
      </c>
      <c r="BH16" s="114">
        <f>ROUND(SUM(BH11:BH15),2)</f>
        <v>0</v>
      </c>
      <c r="BI16" s="113">
        <f>ROUND(SUM(BI11:BI15),2)</f>
        <v>0</v>
      </c>
      <c r="BJ16" s="115">
        <f>ROUND(SUM(BJ11:BJ15),2)</f>
        <v>0</v>
      </c>
      <c r="BM16" s="112" t="s">
        <v>389</v>
      </c>
      <c r="BN16" s="113">
        <f>ROUND(SUM(BN11:BN15),2)</f>
        <v>0</v>
      </c>
      <c r="BO16" s="114">
        <f>ROUND(SUM(BO11:BO15),2)</f>
        <v>0</v>
      </c>
      <c r="BP16" s="113">
        <f>ROUND(SUM(BP11:BP15),2)</f>
        <v>0</v>
      </c>
      <c r="BQ16" s="115">
        <f>ROUND(SUM(BQ11:BQ15),2)</f>
        <v>0</v>
      </c>
      <c r="BT16" s="112" t="s">
        <v>389</v>
      </c>
      <c r="BU16" s="113">
        <f>ROUND(SUM(BU11:BU15),2)</f>
        <v>0</v>
      </c>
      <c r="BV16" s="114">
        <f>ROUND(SUM(BV11:BV15),2)</f>
        <v>0</v>
      </c>
      <c r="BW16" s="113">
        <f>ROUND(SUM(BW11:BW15),2)</f>
        <v>0</v>
      </c>
      <c r="BX16" s="115">
        <f>ROUND(SUM(BX11:BX15),2)</f>
        <v>0</v>
      </c>
      <c r="CA16" s="112" t="s">
        <v>389</v>
      </c>
      <c r="CB16" s="113">
        <f>ROUND(SUM(CB11:CB15),2)</f>
        <v>0</v>
      </c>
      <c r="CC16" s="114">
        <f>ROUND(SUM(CC11:CC15),2)</f>
        <v>0</v>
      </c>
      <c r="CD16" s="113">
        <f>ROUND(SUM(CD11:CD15),2)</f>
        <v>0</v>
      </c>
      <c r="CE16" s="115">
        <f>ROUND(SUM(CE11:CE15),2)</f>
        <v>0</v>
      </c>
      <c r="CH16" s="112" t="s">
        <v>389</v>
      </c>
      <c r="CI16" s="113">
        <f>ROUND(SUM(CI11:CI15),2)</f>
        <v>0</v>
      </c>
      <c r="CJ16" s="114">
        <f>ROUND(SUM(CJ11:CJ15),2)</f>
        <v>0</v>
      </c>
      <c r="CK16" s="113">
        <f>ROUND(SUM(CK11:CK15),2)</f>
        <v>0</v>
      </c>
      <c r="CL16" s="115">
        <f>ROUND(SUM(CL11:CL15),2)</f>
        <v>0</v>
      </c>
      <c r="CO16" s="112" t="s">
        <v>389</v>
      </c>
      <c r="CP16" s="113">
        <f>ROUND(SUM(CP11:CP15),2)</f>
        <v>0</v>
      </c>
      <c r="CQ16" s="114">
        <f>ROUND(SUM(CQ11:CQ15),2)</f>
        <v>0</v>
      </c>
      <c r="CR16" s="113">
        <f>ROUND(SUM(CR11:CR15),2)</f>
        <v>0</v>
      </c>
      <c r="CS16" s="115">
        <f>ROUND(SUM(CS11:CS15),2)</f>
        <v>0</v>
      </c>
      <c r="CV16" s="112" t="s">
        <v>389</v>
      </c>
      <c r="CW16" s="113">
        <f>ROUND(SUM(CW11:CW15),2)</f>
        <v>0</v>
      </c>
      <c r="CX16" s="114">
        <f>ROUND(SUM(CX11:CX15),2)</f>
        <v>0</v>
      </c>
      <c r="CY16" s="113">
        <f>ROUND(SUM(CY11:CY15),2)</f>
        <v>0</v>
      </c>
      <c r="CZ16" s="115">
        <f>ROUND(SUM(CZ11:CZ15),2)</f>
        <v>0</v>
      </c>
      <c r="DC16" s="112" t="s">
        <v>389</v>
      </c>
      <c r="DD16" s="113">
        <f>ROUND(SUM(DD11:DD15),2)</f>
        <v>0</v>
      </c>
      <c r="DE16" s="114">
        <f>ROUND(SUM(DE11:DE15),2)</f>
        <v>0</v>
      </c>
      <c r="DF16" s="113">
        <f>ROUND(SUM(DF11:DF15),2)</f>
        <v>0</v>
      </c>
      <c r="DG16" s="115">
        <f>ROUND(SUM(DG11:DG15),2)</f>
        <v>0</v>
      </c>
      <c r="DJ16" s="112" t="s">
        <v>389</v>
      </c>
      <c r="DK16" s="113">
        <f>ROUND(SUM(DK11:DK15),2)</f>
        <v>0</v>
      </c>
      <c r="DL16" s="114">
        <f>ROUND(SUM(DL11:DL15),2)</f>
        <v>0</v>
      </c>
      <c r="DM16" s="113">
        <f>ROUND(SUM(DM11:DM15),2)</f>
        <v>0</v>
      </c>
      <c r="DN16" s="115">
        <f>ROUND(SUM(DN11:DN15),2)</f>
        <v>0</v>
      </c>
      <c r="DQ16" s="112" t="s">
        <v>389</v>
      </c>
      <c r="DR16" s="113">
        <f>ROUND(SUM(DR11:DR15),2)</f>
        <v>0</v>
      </c>
      <c r="DS16" s="114">
        <f>ROUND(SUM(DS11:DS15),2)</f>
        <v>0</v>
      </c>
      <c r="DT16" s="113">
        <f>ROUND(SUM(DT11:DT15),2)</f>
        <v>0</v>
      </c>
      <c r="DU16" s="115">
        <f>ROUND(SUM(DU11:DU15),2)</f>
        <v>0</v>
      </c>
    </row>
    <row r="17">
      <c r="B17" s="102" t="s">
        <v>390</v>
      </c>
      <c r="C17" s="103"/>
      <c r="D17" s="103"/>
      <c r="E17" s="103"/>
      <c r="F17" s="104"/>
      <c r="I17" s="102" t="s">
        <v>390</v>
      </c>
      <c r="J17" s="103"/>
      <c r="K17" s="103"/>
      <c r="L17" s="103"/>
      <c r="M17" s="104"/>
      <c r="P17" s="102" t="s">
        <v>390</v>
      </c>
      <c r="Q17" s="103"/>
      <c r="R17" s="103"/>
      <c r="S17" s="103"/>
      <c r="T17" s="104"/>
      <c r="W17" s="102" t="s">
        <v>390</v>
      </c>
      <c r="X17" s="103"/>
      <c r="Y17" s="103"/>
      <c r="Z17" s="103"/>
      <c r="AA17" s="104"/>
      <c r="AD17" s="102" t="s">
        <v>390</v>
      </c>
      <c r="AE17" s="103"/>
      <c r="AF17" s="103"/>
      <c r="AG17" s="103"/>
      <c r="AH17" s="104"/>
      <c r="AK17" s="102" t="s">
        <v>390</v>
      </c>
      <c r="AL17" s="103"/>
      <c r="AM17" s="103"/>
      <c r="AN17" s="103"/>
      <c r="AO17" s="104"/>
      <c r="AR17" s="102" t="s">
        <v>390</v>
      </c>
      <c r="AS17" s="103"/>
      <c r="AT17" s="103"/>
      <c r="AU17" s="103"/>
      <c r="AV17" s="104"/>
      <c r="AY17" s="102" t="s">
        <v>390</v>
      </c>
      <c r="AZ17" s="103"/>
      <c r="BA17" s="103"/>
      <c r="BB17" s="103"/>
      <c r="BC17" s="104"/>
      <c r="BF17" s="102" t="s">
        <v>390</v>
      </c>
      <c r="BG17" s="103"/>
      <c r="BH17" s="103"/>
      <c r="BI17" s="103"/>
      <c r="BJ17" s="104"/>
      <c r="BM17" s="102" t="s">
        <v>390</v>
      </c>
      <c r="BN17" s="103"/>
      <c r="BO17" s="103"/>
      <c r="BP17" s="103"/>
      <c r="BQ17" s="104"/>
      <c r="BT17" s="102" t="s">
        <v>390</v>
      </c>
      <c r="BU17" s="103"/>
      <c r="BV17" s="103"/>
      <c r="BW17" s="103"/>
      <c r="BX17" s="104"/>
      <c r="CA17" s="102" t="s">
        <v>390</v>
      </c>
      <c r="CB17" s="103"/>
      <c r="CC17" s="103"/>
      <c r="CD17" s="103"/>
      <c r="CE17" s="104"/>
      <c r="CH17" s="102" t="s">
        <v>390</v>
      </c>
      <c r="CI17" s="103"/>
      <c r="CJ17" s="103"/>
      <c r="CK17" s="103"/>
      <c r="CL17" s="104"/>
      <c r="CO17" s="102" t="s">
        <v>390</v>
      </c>
      <c r="CP17" s="103"/>
      <c r="CQ17" s="103"/>
      <c r="CR17" s="103"/>
      <c r="CS17" s="104"/>
      <c r="CV17" s="102" t="s">
        <v>390</v>
      </c>
      <c r="CW17" s="103"/>
      <c r="CX17" s="103"/>
      <c r="CY17" s="103"/>
      <c r="CZ17" s="104"/>
      <c r="DC17" s="102" t="s">
        <v>390</v>
      </c>
      <c r="DD17" s="103"/>
      <c r="DE17" s="103"/>
      <c r="DF17" s="103"/>
      <c r="DG17" s="104"/>
      <c r="DJ17" s="102" t="s">
        <v>390</v>
      </c>
      <c r="DK17" s="103"/>
      <c r="DL17" s="103"/>
      <c r="DM17" s="103"/>
      <c r="DN17" s="104"/>
      <c r="DQ17" s="102" t="s">
        <v>390</v>
      </c>
      <c r="DR17" s="103"/>
      <c r="DS17" s="103"/>
      <c r="DT17" s="103"/>
      <c r="DU17" s="104"/>
    </row>
    <row r="18">
      <c r="B18" s="116" t="s">
        <v>209</v>
      </c>
      <c r="C18" s="117" t="s">
        <v>391</v>
      </c>
      <c r="D18" s="117" t="s">
        <v>392</v>
      </c>
      <c r="E18" s="117" t="s">
        <v>393</v>
      </c>
      <c r="F18" s="118" t="s">
        <v>394</v>
      </c>
      <c r="I18" s="116" t="s">
        <v>209</v>
      </c>
      <c r="J18" s="117" t="s">
        <v>391</v>
      </c>
      <c r="K18" s="117" t="s">
        <v>392</v>
      </c>
      <c r="L18" s="117" t="s">
        <v>393</v>
      </c>
      <c r="M18" s="118" t="s">
        <v>394</v>
      </c>
      <c r="P18" s="116" t="s">
        <v>209</v>
      </c>
      <c r="Q18" s="117" t="s">
        <v>391</v>
      </c>
      <c r="R18" s="117" t="s">
        <v>392</v>
      </c>
      <c r="S18" s="117" t="s">
        <v>393</v>
      </c>
      <c r="T18" s="118" t="s">
        <v>394</v>
      </c>
      <c r="W18" s="116" t="s">
        <v>209</v>
      </c>
      <c r="X18" s="117" t="s">
        <v>391</v>
      </c>
      <c r="Y18" s="117" t="s">
        <v>392</v>
      </c>
      <c r="Z18" s="117" t="s">
        <v>393</v>
      </c>
      <c r="AA18" s="118" t="s">
        <v>394</v>
      </c>
      <c r="AD18" s="116" t="s">
        <v>209</v>
      </c>
      <c r="AE18" s="117" t="s">
        <v>391</v>
      </c>
      <c r="AF18" s="117" t="s">
        <v>392</v>
      </c>
      <c r="AG18" s="117" t="s">
        <v>393</v>
      </c>
      <c r="AH18" s="118" t="s">
        <v>394</v>
      </c>
      <c r="AK18" s="116" t="s">
        <v>209</v>
      </c>
      <c r="AL18" s="117" t="s">
        <v>391</v>
      </c>
      <c r="AM18" s="117" t="s">
        <v>392</v>
      </c>
      <c r="AN18" s="117" t="s">
        <v>393</v>
      </c>
      <c r="AO18" s="118" t="s">
        <v>394</v>
      </c>
      <c r="AR18" s="116" t="s">
        <v>209</v>
      </c>
      <c r="AS18" s="117" t="s">
        <v>391</v>
      </c>
      <c r="AT18" s="117" t="s">
        <v>392</v>
      </c>
      <c r="AU18" s="117" t="s">
        <v>393</v>
      </c>
      <c r="AV18" s="118" t="s">
        <v>394</v>
      </c>
      <c r="AY18" s="116" t="s">
        <v>209</v>
      </c>
      <c r="AZ18" s="117" t="s">
        <v>391</v>
      </c>
      <c r="BA18" s="117" t="s">
        <v>392</v>
      </c>
      <c r="BB18" s="117" t="s">
        <v>393</v>
      </c>
      <c r="BC18" s="118" t="s">
        <v>394</v>
      </c>
      <c r="BF18" s="116" t="s">
        <v>209</v>
      </c>
      <c r="BG18" s="117" t="s">
        <v>391</v>
      </c>
      <c r="BH18" s="117" t="s">
        <v>392</v>
      </c>
      <c r="BI18" s="117" t="s">
        <v>393</v>
      </c>
      <c r="BJ18" s="118" t="s">
        <v>394</v>
      </c>
      <c r="BM18" s="116" t="s">
        <v>209</v>
      </c>
      <c r="BN18" s="117" t="s">
        <v>391</v>
      </c>
      <c r="BO18" s="117" t="s">
        <v>392</v>
      </c>
      <c r="BP18" s="117" t="s">
        <v>393</v>
      </c>
      <c r="BQ18" s="118" t="s">
        <v>394</v>
      </c>
      <c r="BT18" s="116" t="s">
        <v>209</v>
      </c>
      <c r="BU18" s="117" t="s">
        <v>391</v>
      </c>
      <c r="BV18" s="117" t="s">
        <v>392</v>
      </c>
      <c r="BW18" s="117" t="s">
        <v>393</v>
      </c>
      <c r="BX18" s="118" t="s">
        <v>394</v>
      </c>
      <c r="CA18" s="116" t="s">
        <v>209</v>
      </c>
      <c r="CB18" s="117" t="s">
        <v>391</v>
      </c>
      <c r="CC18" s="117" t="s">
        <v>392</v>
      </c>
      <c r="CD18" s="117" t="s">
        <v>393</v>
      </c>
      <c r="CE18" s="118" t="s">
        <v>394</v>
      </c>
      <c r="CH18" s="116" t="s">
        <v>209</v>
      </c>
      <c r="CI18" s="117" t="s">
        <v>391</v>
      </c>
      <c r="CJ18" s="117" t="s">
        <v>392</v>
      </c>
      <c r="CK18" s="117" t="s">
        <v>393</v>
      </c>
      <c r="CL18" s="118" t="s">
        <v>394</v>
      </c>
      <c r="CO18" s="116" t="s">
        <v>209</v>
      </c>
      <c r="CP18" s="117" t="s">
        <v>391</v>
      </c>
      <c r="CQ18" s="117" t="s">
        <v>392</v>
      </c>
      <c r="CR18" s="117" t="s">
        <v>393</v>
      </c>
      <c r="CS18" s="118" t="s">
        <v>394</v>
      </c>
      <c r="CV18" s="116" t="s">
        <v>209</v>
      </c>
      <c r="CW18" s="117" t="s">
        <v>391</v>
      </c>
      <c r="CX18" s="117" t="s">
        <v>392</v>
      </c>
      <c r="CY18" s="117" t="s">
        <v>393</v>
      </c>
      <c r="CZ18" s="118" t="s">
        <v>394</v>
      </c>
      <c r="DC18" s="116" t="s">
        <v>209</v>
      </c>
      <c r="DD18" s="117" t="s">
        <v>391</v>
      </c>
      <c r="DE18" s="117" t="s">
        <v>392</v>
      </c>
      <c r="DF18" s="117" t="s">
        <v>393</v>
      </c>
      <c r="DG18" s="118" t="s">
        <v>394</v>
      </c>
      <c r="DJ18" s="116" t="s">
        <v>209</v>
      </c>
      <c r="DK18" s="117" t="s">
        <v>391</v>
      </c>
      <c r="DL18" s="117" t="s">
        <v>392</v>
      </c>
      <c r="DM18" s="117" t="s">
        <v>393</v>
      </c>
      <c r="DN18" s="118" t="s">
        <v>394</v>
      </c>
      <c r="DQ18" s="116" t="s">
        <v>209</v>
      </c>
      <c r="DR18" s="117" t="s">
        <v>391</v>
      </c>
      <c r="DS18" s="117" t="s">
        <v>392</v>
      </c>
      <c r="DT18" s="117" t="s">
        <v>393</v>
      </c>
      <c r="DU18" s="118" t="s">
        <v>394</v>
      </c>
    </row>
    <row r="19">
      <c r="B19" s="119" t="s">
        <v>213</v>
      </c>
      <c r="C19" s="40"/>
      <c r="D19" s="110">
        <f t="shared" ref="D19:D82" si="34">IFERROR(ROUND(C19/FB_Kurs_1,2),0)</f>
        <v>0</v>
      </c>
      <c r="E19" s="109">
        <f t="shared" ref="E19:E82" si="35">ROUND(C19,2)</f>
        <v>0</v>
      </c>
      <c r="F19" s="111">
        <f t="shared" ref="F19:F82" si="36">ROUND(D19,2)</f>
        <v>0</v>
      </c>
      <c r="I19" s="119" t="s">
        <v>213</v>
      </c>
      <c r="J19" s="40"/>
      <c r="K19" s="110">
        <f t="shared" ref="K19:K82" si="37">IFERROR(ROUND(J19/FB_Kurs_2,2),0)</f>
        <v>0</v>
      </c>
      <c r="L19" s="109">
        <f t="shared" ref="L19:L82" si="38">ROUND(J19+E19,2)</f>
        <v>0</v>
      </c>
      <c r="M19" s="111">
        <f t="shared" ref="M19:M82" si="39">ROUND(K19+F19,2)</f>
        <v>0</v>
      </c>
      <c r="P19" s="119" t="s">
        <v>213</v>
      </c>
      <c r="Q19" s="40"/>
      <c r="R19" s="110">
        <f t="shared" ref="R19:R82" si="40">IFERROR(ROUND(Q19/FB_Kurs_3,2),0)</f>
        <v>0</v>
      </c>
      <c r="S19" s="109">
        <f t="shared" ref="S19:S82" si="41">ROUND(Q19+L19,2)</f>
        <v>0</v>
      </c>
      <c r="T19" s="111">
        <f t="shared" ref="T19:T82" si="42">ROUND(R19+M19,2)</f>
        <v>0</v>
      </c>
      <c r="W19" s="119" t="s">
        <v>213</v>
      </c>
      <c r="X19" s="40"/>
      <c r="Y19" s="110">
        <f t="shared" ref="Y19:Y82" si="43">IFERROR(ROUND(X19/FB_Kurs_4,2),0)</f>
        <v>0</v>
      </c>
      <c r="Z19" s="109">
        <f t="shared" ref="Z19:Z82" si="44">ROUND(X19+S19,2)</f>
        <v>0</v>
      </c>
      <c r="AA19" s="111">
        <f t="shared" ref="AA19:AA82" si="45">ROUND(Y19+T19,2)</f>
        <v>0</v>
      </c>
      <c r="AD19" s="119" t="s">
        <v>213</v>
      </c>
      <c r="AE19" s="40"/>
      <c r="AF19" s="110">
        <f t="shared" ref="AF19:AF82" si="46">IFERROR(ROUND(AE19/FB_Kurs_5,2),0)</f>
        <v>0</v>
      </c>
      <c r="AG19" s="109">
        <f t="shared" ref="AG19:AG82" si="47">ROUND(AE19+Z19,2)</f>
        <v>0</v>
      </c>
      <c r="AH19" s="111">
        <f t="shared" ref="AH19:AH82" si="48">ROUND(AF19+AA19,2)</f>
        <v>0</v>
      </c>
      <c r="AK19" s="119" t="s">
        <v>213</v>
      </c>
      <c r="AL19" s="40"/>
      <c r="AM19" s="110">
        <f t="shared" ref="AM19:AM82" si="49">IFERROR(ROUND(AL19/FB_Kurs_6,2),0)</f>
        <v>0</v>
      </c>
      <c r="AN19" s="109">
        <f t="shared" ref="AN19:AN82" si="50">ROUND(AL19+AG19,2)</f>
        <v>0</v>
      </c>
      <c r="AO19" s="111">
        <f t="shared" ref="AO19:AO82" si="51">ROUND(AM19+AH19,2)</f>
        <v>0</v>
      </c>
      <c r="AR19" s="119" t="s">
        <v>213</v>
      </c>
      <c r="AS19" s="40"/>
      <c r="AT19" s="110">
        <f t="shared" ref="AT19:AT82" si="52">IFERROR(ROUND(AS19/FB_Kurs_7,2),0)</f>
        <v>0</v>
      </c>
      <c r="AU19" s="109">
        <f t="shared" ref="AU19:AU82" si="53">ROUND(AS19+AN19,2)</f>
        <v>0</v>
      </c>
      <c r="AV19" s="111">
        <f t="shared" ref="AV19:AV82" si="54">ROUND(AT19+AO19,2)</f>
        <v>0</v>
      </c>
      <c r="AY19" s="119" t="s">
        <v>213</v>
      </c>
      <c r="AZ19" s="40"/>
      <c r="BA19" s="110">
        <f t="shared" ref="BA19:BA82" si="55">IFERROR(ROUND(AZ19/FB_Kurs_8,2),0)</f>
        <v>0</v>
      </c>
      <c r="BB19" s="109">
        <f t="shared" ref="BB19:BB82" si="56">ROUND(AZ19+AU19,2)</f>
        <v>0</v>
      </c>
      <c r="BC19" s="111">
        <f t="shared" ref="BC19:BC82" si="57">ROUND(BA19+AV19,2)</f>
        <v>0</v>
      </c>
      <c r="BF19" s="119" t="s">
        <v>213</v>
      </c>
      <c r="BG19" s="40"/>
      <c r="BH19" s="110">
        <f t="shared" ref="BH19:BH82" si="58">IFERROR(ROUND(BG19/FB_Kurs_9,2),0)</f>
        <v>0</v>
      </c>
      <c r="BI19" s="109">
        <f t="shared" ref="BI19:BI82" si="59">ROUND(BG19+BB19,2)</f>
        <v>0</v>
      </c>
      <c r="BJ19" s="111">
        <f t="shared" ref="BJ19:BJ82" si="60">ROUND(BH19+BC19,2)</f>
        <v>0</v>
      </c>
      <c r="BM19" s="119" t="s">
        <v>213</v>
      </c>
      <c r="BN19" s="40"/>
      <c r="BO19" s="110">
        <f t="shared" ref="BO19:BO82" si="61">IFERROR(ROUND(BN19/FB_Kurs_10,2),0)</f>
        <v>0</v>
      </c>
      <c r="BP19" s="109">
        <f t="shared" ref="BP19:BP82" si="62">ROUND(BN19+BI19,2)</f>
        <v>0</v>
      </c>
      <c r="BQ19" s="111">
        <f t="shared" ref="BQ19:BQ82" si="63">ROUND(BO19+BJ19,2)</f>
        <v>0</v>
      </c>
      <c r="BT19" s="119" t="s">
        <v>213</v>
      </c>
      <c r="BU19" s="40"/>
      <c r="BV19" s="110">
        <f t="shared" ref="BV19:BV82" si="64">IFERROR(ROUND(BU19/FB_Kurs_11,2),0)</f>
        <v>0</v>
      </c>
      <c r="BW19" s="109">
        <f t="shared" ref="BW19:BW82" si="65">ROUND(BU19+BP19,2)</f>
        <v>0</v>
      </c>
      <c r="BX19" s="111">
        <f t="shared" ref="BX19:BX82" si="66">ROUND(BV19+BQ19,2)</f>
        <v>0</v>
      </c>
      <c r="CA19" s="119" t="s">
        <v>213</v>
      </c>
      <c r="CB19" s="40"/>
      <c r="CC19" s="110">
        <f t="shared" ref="CC19:CC82" si="67">IFERROR(ROUND(CB19/FB_Kurs_12,2),0)</f>
        <v>0</v>
      </c>
      <c r="CD19" s="109">
        <f t="shared" ref="CD19:CD82" si="68">ROUND(CB19+BW19,2)</f>
        <v>0</v>
      </c>
      <c r="CE19" s="111">
        <f t="shared" ref="CE19:CE82" si="69">ROUND(CC19+BX19,2)</f>
        <v>0</v>
      </c>
      <c r="CH19" s="119" t="s">
        <v>213</v>
      </c>
      <c r="CI19" s="40"/>
      <c r="CJ19" s="110">
        <f t="shared" ref="CJ19:CJ82" si="70">IFERROR(ROUND(CI19/FB_Kurs_13,2),0)</f>
        <v>0</v>
      </c>
      <c r="CK19" s="109">
        <f t="shared" ref="CK19:CK82" si="71">ROUND(CI19+CD19,2)</f>
        <v>0</v>
      </c>
      <c r="CL19" s="111">
        <f t="shared" ref="CL19:CL82" si="72">ROUND(CJ19+CE19,2)</f>
        <v>0</v>
      </c>
      <c r="CO19" s="119" t="s">
        <v>213</v>
      </c>
      <c r="CP19" s="40"/>
      <c r="CQ19" s="110">
        <f t="shared" ref="CQ19:CQ82" si="73">IFERROR(ROUND(CP19/FB_Kurs_14,2),0)</f>
        <v>0</v>
      </c>
      <c r="CR19" s="109">
        <f t="shared" ref="CR19:CR82" si="74">ROUND(CP19+CK19,2)</f>
        <v>0</v>
      </c>
      <c r="CS19" s="111">
        <f t="shared" ref="CS19:CS82" si="75">ROUND(CQ19+CL19,2)</f>
        <v>0</v>
      </c>
      <c r="CV19" s="119" t="s">
        <v>213</v>
      </c>
      <c r="CW19" s="40"/>
      <c r="CX19" s="110">
        <f t="shared" ref="CX19:CX82" si="76">IFERROR(ROUND(CW19/FB_Kurs_15,2),0)</f>
        <v>0</v>
      </c>
      <c r="CY19" s="109">
        <f t="shared" ref="CY19:CY82" si="77">ROUND(CW19+CR19,2)</f>
        <v>0</v>
      </c>
      <c r="CZ19" s="111">
        <f t="shared" ref="CZ19:CZ82" si="78">ROUND(CX19+CS19,2)</f>
        <v>0</v>
      </c>
      <c r="DC19" s="119" t="s">
        <v>213</v>
      </c>
      <c r="DD19" s="40"/>
      <c r="DE19" s="110">
        <f t="shared" ref="DE19:DE82" si="79">IFERROR(ROUND(DD19/FB_Kurs_16,2),0)</f>
        <v>0</v>
      </c>
      <c r="DF19" s="109">
        <f t="shared" ref="DF19:DF82" si="80">ROUND(DD19+CY19,2)</f>
        <v>0</v>
      </c>
      <c r="DG19" s="111">
        <f t="shared" ref="DG19:DG82" si="81">ROUND(DE19+CZ19,2)</f>
        <v>0</v>
      </c>
      <c r="DJ19" s="119" t="s">
        <v>213</v>
      </c>
      <c r="DK19" s="40"/>
      <c r="DL19" s="110">
        <f t="shared" ref="DL19:DL82" si="82">IFERROR(ROUND(DK19/FB_Kurs_17,2),0)</f>
        <v>0</v>
      </c>
      <c r="DM19" s="109">
        <f t="shared" ref="DM19:DM82" si="83">ROUND(DK19+DF19,2)</f>
        <v>0</v>
      </c>
      <c r="DN19" s="111">
        <f t="shared" ref="DN19:DN82" si="84">ROUND(DL19+DG19,2)</f>
        <v>0</v>
      </c>
      <c r="DQ19" s="119" t="s">
        <v>213</v>
      </c>
      <c r="DR19" s="40"/>
      <c r="DS19" s="110">
        <f t="shared" ref="DS19:DS82" si="85">IFERROR(ROUND(DR19/FB_Kurs_18,2),0)</f>
        <v>0</v>
      </c>
      <c r="DT19" s="109">
        <f t="shared" ref="DT19:DT82" si="86">ROUND(DR19+DM19,2)</f>
        <v>0</v>
      </c>
      <c r="DU19" s="111">
        <f t="shared" ref="DU19:DU82" si="87">ROUND(DS19+DN19,2)</f>
        <v>0</v>
      </c>
    </row>
    <row r="20">
      <c r="B20" s="119" t="s">
        <v>216</v>
      </c>
      <c r="C20" s="40"/>
      <c r="D20" s="110">
        <f t="shared" si="34"/>
        <v>0</v>
      </c>
      <c r="E20" s="109">
        <f t="shared" si="35"/>
        <v>0</v>
      </c>
      <c r="F20" s="111">
        <f t="shared" si="36"/>
        <v>0</v>
      </c>
      <c r="I20" s="119" t="s">
        <v>216</v>
      </c>
      <c r="J20" s="40"/>
      <c r="K20" s="110">
        <f t="shared" si="37"/>
        <v>0</v>
      </c>
      <c r="L20" s="109">
        <f t="shared" si="38"/>
        <v>0</v>
      </c>
      <c r="M20" s="111">
        <f t="shared" si="39"/>
        <v>0</v>
      </c>
      <c r="P20" s="119" t="s">
        <v>216</v>
      </c>
      <c r="Q20" s="40"/>
      <c r="R20" s="110">
        <f t="shared" si="40"/>
        <v>0</v>
      </c>
      <c r="S20" s="109">
        <f t="shared" si="41"/>
        <v>0</v>
      </c>
      <c r="T20" s="111">
        <f t="shared" si="42"/>
        <v>0</v>
      </c>
      <c r="W20" s="119" t="s">
        <v>216</v>
      </c>
      <c r="X20" s="40"/>
      <c r="Y20" s="110">
        <f t="shared" si="43"/>
        <v>0</v>
      </c>
      <c r="Z20" s="109">
        <f t="shared" si="44"/>
        <v>0</v>
      </c>
      <c r="AA20" s="111">
        <f t="shared" si="45"/>
        <v>0</v>
      </c>
      <c r="AD20" s="119" t="s">
        <v>216</v>
      </c>
      <c r="AE20" s="40"/>
      <c r="AF20" s="110">
        <f t="shared" si="46"/>
        <v>0</v>
      </c>
      <c r="AG20" s="109">
        <f t="shared" si="47"/>
        <v>0</v>
      </c>
      <c r="AH20" s="111">
        <f t="shared" si="48"/>
        <v>0</v>
      </c>
      <c r="AK20" s="119" t="s">
        <v>216</v>
      </c>
      <c r="AL20" s="40"/>
      <c r="AM20" s="110">
        <f t="shared" si="49"/>
        <v>0</v>
      </c>
      <c r="AN20" s="109">
        <f t="shared" si="50"/>
        <v>0</v>
      </c>
      <c r="AO20" s="111">
        <f t="shared" si="51"/>
        <v>0</v>
      </c>
      <c r="AR20" s="119" t="s">
        <v>216</v>
      </c>
      <c r="AS20" s="40"/>
      <c r="AT20" s="110">
        <f t="shared" si="52"/>
        <v>0</v>
      </c>
      <c r="AU20" s="109">
        <f t="shared" si="53"/>
        <v>0</v>
      </c>
      <c r="AV20" s="111">
        <f t="shared" si="54"/>
        <v>0</v>
      </c>
      <c r="AY20" s="119" t="s">
        <v>216</v>
      </c>
      <c r="AZ20" s="40"/>
      <c r="BA20" s="110">
        <f t="shared" si="55"/>
        <v>0</v>
      </c>
      <c r="BB20" s="109">
        <f t="shared" si="56"/>
        <v>0</v>
      </c>
      <c r="BC20" s="111">
        <f t="shared" si="57"/>
        <v>0</v>
      </c>
      <c r="BF20" s="119" t="s">
        <v>216</v>
      </c>
      <c r="BG20" s="40"/>
      <c r="BH20" s="110">
        <f t="shared" si="58"/>
        <v>0</v>
      </c>
      <c r="BI20" s="109">
        <f t="shared" si="59"/>
        <v>0</v>
      </c>
      <c r="BJ20" s="111">
        <f t="shared" si="60"/>
        <v>0</v>
      </c>
      <c r="BM20" s="119" t="s">
        <v>216</v>
      </c>
      <c r="BN20" s="40"/>
      <c r="BO20" s="110">
        <f t="shared" si="61"/>
        <v>0</v>
      </c>
      <c r="BP20" s="109">
        <f t="shared" si="62"/>
        <v>0</v>
      </c>
      <c r="BQ20" s="111">
        <f t="shared" si="63"/>
        <v>0</v>
      </c>
      <c r="BT20" s="119" t="s">
        <v>216</v>
      </c>
      <c r="BU20" s="40"/>
      <c r="BV20" s="110">
        <f t="shared" si="64"/>
        <v>0</v>
      </c>
      <c r="BW20" s="109">
        <f t="shared" si="65"/>
        <v>0</v>
      </c>
      <c r="BX20" s="111">
        <f t="shared" si="66"/>
        <v>0</v>
      </c>
      <c r="CA20" s="119" t="s">
        <v>216</v>
      </c>
      <c r="CB20" s="40"/>
      <c r="CC20" s="110">
        <f t="shared" si="67"/>
        <v>0</v>
      </c>
      <c r="CD20" s="109">
        <f t="shared" si="68"/>
        <v>0</v>
      </c>
      <c r="CE20" s="111">
        <f t="shared" si="69"/>
        <v>0</v>
      </c>
      <c r="CH20" s="119" t="s">
        <v>216</v>
      </c>
      <c r="CI20" s="40"/>
      <c r="CJ20" s="110">
        <f t="shared" si="70"/>
        <v>0</v>
      </c>
      <c r="CK20" s="109">
        <f t="shared" si="71"/>
        <v>0</v>
      </c>
      <c r="CL20" s="111">
        <f t="shared" si="72"/>
        <v>0</v>
      </c>
      <c r="CO20" s="119" t="s">
        <v>216</v>
      </c>
      <c r="CP20" s="40"/>
      <c r="CQ20" s="110">
        <f t="shared" si="73"/>
        <v>0</v>
      </c>
      <c r="CR20" s="109">
        <f t="shared" si="74"/>
        <v>0</v>
      </c>
      <c r="CS20" s="111">
        <f t="shared" si="75"/>
        <v>0</v>
      </c>
      <c r="CV20" s="119" t="s">
        <v>216</v>
      </c>
      <c r="CW20" s="40"/>
      <c r="CX20" s="110">
        <f t="shared" si="76"/>
        <v>0</v>
      </c>
      <c r="CY20" s="109">
        <f t="shared" si="77"/>
        <v>0</v>
      </c>
      <c r="CZ20" s="111">
        <f t="shared" si="78"/>
        <v>0</v>
      </c>
      <c r="DC20" s="119" t="s">
        <v>216</v>
      </c>
      <c r="DD20" s="40"/>
      <c r="DE20" s="110">
        <f t="shared" si="79"/>
        <v>0</v>
      </c>
      <c r="DF20" s="109">
        <f t="shared" si="80"/>
        <v>0</v>
      </c>
      <c r="DG20" s="111">
        <f t="shared" si="81"/>
        <v>0</v>
      </c>
      <c r="DJ20" s="119" t="s">
        <v>216</v>
      </c>
      <c r="DK20" s="40"/>
      <c r="DL20" s="110">
        <f t="shared" si="82"/>
        <v>0</v>
      </c>
      <c r="DM20" s="109">
        <f t="shared" si="83"/>
        <v>0</v>
      </c>
      <c r="DN20" s="111">
        <f t="shared" si="84"/>
        <v>0</v>
      </c>
      <c r="DQ20" s="119" t="s">
        <v>216</v>
      </c>
      <c r="DR20" s="40"/>
      <c r="DS20" s="110">
        <f t="shared" si="85"/>
        <v>0</v>
      </c>
      <c r="DT20" s="109">
        <f t="shared" si="86"/>
        <v>0</v>
      </c>
      <c r="DU20" s="111">
        <f t="shared" si="87"/>
        <v>0</v>
      </c>
    </row>
    <row r="21">
      <c r="B21" s="119" t="s">
        <v>218</v>
      </c>
      <c r="C21" s="40"/>
      <c r="D21" s="110">
        <f t="shared" si="34"/>
        <v>0</v>
      </c>
      <c r="E21" s="109">
        <f t="shared" si="35"/>
        <v>0</v>
      </c>
      <c r="F21" s="111">
        <f t="shared" si="36"/>
        <v>0</v>
      </c>
      <c r="I21" s="119" t="s">
        <v>218</v>
      </c>
      <c r="J21" s="40"/>
      <c r="K21" s="110">
        <f t="shared" si="37"/>
        <v>0</v>
      </c>
      <c r="L21" s="109">
        <f t="shared" si="38"/>
        <v>0</v>
      </c>
      <c r="M21" s="111">
        <f t="shared" si="39"/>
        <v>0</v>
      </c>
      <c r="P21" s="119" t="s">
        <v>218</v>
      </c>
      <c r="Q21" s="40"/>
      <c r="R21" s="110">
        <f t="shared" si="40"/>
        <v>0</v>
      </c>
      <c r="S21" s="109">
        <f t="shared" si="41"/>
        <v>0</v>
      </c>
      <c r="T21" s="111">
        <f t="shared" si="42"/>
        <v>0</v>
      </c>
      <c r="W21" s="119" t="s">
        <v>218</v>
      </c>
      <c r="X21" s="40"/>
      <c r="Y21" s="110">
        <f t="shared" si="43"/>
        <v>0</v>
      </c>
      <c r="Z21" s="109">
        <f t="shared" si="44"/>
        <v>0</v>
      </c>
      <c r="AA21" s="111">
        <f t="shared" si="45"/>
        <v>0</v>
      </c>
      <c r="AD21" s="119" t="s">
        <v>218</v>
      </c>
      <c r="AE21" s="40"/>
      <c r="AF21" s="110">
        <f t="shared" si="46"/>
        <v>0</v>
      </c>
      <c r="AG21" s="109">
        <f t="shared" si="47"/>
        <v>0</v>
      </c>
      <c r="AH21" s="111">
        <f t="shared" si="48"/>
        <v>0</v>
      </c>
      <c r="AK21" s="119" t="s">
        <v>218</v>
      </c>
      <c r="AL21" s="40"/>
      <c r="AM21" s="110">
        <f t="shared" si="49"/>
        <v>0</v>
      </c>
      <c r="AN21" s="109">
        <f t="shared" si="50"/>
        <v>0</v>
      </c>
      <c r="AO21" s="111">
        <f t="shared" si="51"/>
        <v>0</v>
      </c>
      <c r="AR21" s="119" t="s">
        <v>218</v>
      </c>
      <c r="AS21" s="40"/>
      <c r="AT21" s="110">
        <f t="shared" si="52"/>
        <v>0</v>
      </c>
      <c r="AU21" s="109">
        <f t="shared" si="53"/>
        <v>0</v>
      </c>
      <c r="AV21" s="111">
        <f t="shared" si="54"/>
        <v>0</v>
      </c>
      <c r="AY21" s="119" t="s">
        <v>218</v>
      </c>
      <c r="AZ21" s="40"/>
      <c r="BA21" s="110">
        <f t="shared" si="55"/>
        <v>0</v>
      </c>
      <c r="BB21" s="109">
        <f t="shared" si="56"/>
        <v>0</v>
      </c>
      <c r="BC21" s="111">
        <f t="shared" si="57"/>
        <v>0</v>
      </c>
      <c r="BF21" s="119" t="s">
        <v>218</v>
      </c>
      <c r="BG21" s="40"/>
      <c r="BH21" s="110">
        <f t="shared" si="58"/>
        <v>0</v>
      </c>
      <c r="BI21" s="109">
        <f t="shared" si="59"/>
        <v>0</v>
      </c>
      <c r="BJ21" s="111">
        <f t="shared" si="60"/>
        <v>0</v>
      </c>
      <c r="BM21" s="119" t="s">
        <v>218</v>
      </c>
      <c r="BN21" s="40"/>
      <c r="BO21" s="110">
        <f t="shared" si="61"/>
        <v>0</v>
      </c>
      <c r="BP21" s="109">
        <f t="shared" si="62"/>
        <v>0</v>
      </c>
      <c r="BQ21" s="111">
        <f t="shared" si="63"/>
        <v>0</v>
      </c>
      <c r="BT21" s="119" t="s">
        <v>218</v>
      </c>
      <c r="BU21" s="40"/>
      <c r="BV21" s="110">
        <f t="shared" si="64"/>
        <v>0</v>
      </c>
      <c r="BW21" s="109">
        <f t="shared" si="65"/>
        <v>0</v>
      </c>
      <c r="BX21" s="111">
        <f t="shared" si="66"/>
        <v>0</v>
      </c>
      <c r="CA21" s="119" t="s">
        <v>218</v>
      </c>
      <c r="CB21" s="40"/>
      <c r="CC21" s="110">
        <f t="shared" si="67"/>
        <v>0</v>
      </c>
      <c r="CD21" s="109">
        <f t="shared" si="68"/>
        <v>0</v>
      </c>
      <c r="CE21" s="111">
        <f t="shared" si="69"/>
        <v>0</v>
      </c>
      <c r="CH21" s="119" t="s">
        <v>218</v>
      </c>
      <c r="CI21" s="40"/>
      <c r="CJ21" s="110">
        <f t="shared" si="70"/>
        <v>0</v>
      </c>
      <c r="CK21" s="109">
        <f t="shared" si="71"/>
        <v>0</v>
      </c>
      <c r="CL21" s="111">
        <f t="shared" si="72"/>
        <v>0</v>
      </c>
      <c r="CO21" s="119" t="s">
        <v>218</v>
      </c>
      <c r="CP21" s="40"/>
      <c r="CQ21" s="110">
        <f t="shared" si="73"/>
        <v>0</v>
      </c>
      <c r="CR21" s="109">
        <f t="shared" si="74"/>
        <v>0</v>
      </c>
      <c r="CS21" s="111">
        <f t="shared" si="75"/>
        <v>0</v>
      </c>
      <c r="CV21" s="119" t="s">
        <v>218</v>
      </c>
      <c r="CW21" s="40"/>
      <c r="CX21" s="110">
        <f t="shared" si="76"/>
        <v>0</v>
      </c>
      <c r="CY21" s="109">
        <f t="shared" si="77"/>
        <v>0</v>
      </c>
      <c r="CZ21" s="111">
        <f t="shared" si="78"/>
        <v>0</v>
      </c>
      <c r="DC21" s="119" t="s">
        <v>218</v>
      </c>
      <c r="DD21" s="40"/>
      <c r="DE21" s="110">
        <f t="shared" si="79"/>
        <v>0</v>
      </c>
      <c r="DF21" s="109">
        <f t="shared" si="80"/>
        <v>0</v>
      </c>
      <c r="DG21" s="111">
        <f t="shared" si="81"/>
        <v>0</v>
      </c>
      <c r="DJ21" s="119" t="s">
        <v>218</v>
      </c>
      <c r="DK21" s="40"/>
      <c r="DL21" s="110">
        <f t="shared" si="82"/>
        <v>0</v>
      </c>
      <c r="DM21" s="109">
        <f t="shared" si="83"/>
        <v>0</v>
      </c>
      <c r="DN21" s="111">
        <f t="shared" si="84"/>
        <v>0</v>
      </c>
      <c r="DQ21" s="119" t="s">
        <v>218</v>
      </c>
      <c r="DR21" s="40"/>
      <c r="DS21" s="110">
        <f t="shared" si="85"/>
        <v>0</v>
      </c>
      <c r="DT21" s="109">
        <f t="shared" si="86"/>
        <v>0</v>
      </c>
      <c r="DU21" s="111">
        <f t="shared" si="87"/>
        <v>0</v>
      </c>
    </row>
    <row r="22">
      <c r="B22" s="119" t="s">
        <v>220</v>
      </c>
      <c r="C22" s="40"/>
      <c r="D22" s="110">
        <f t="shared" si="34"/>
        <v>0</v>
      </c>
      <c r="E22" s="109">
        <f t="shared" si="35"/>
        <v>0</v>
      </c>
      <c r="F22" s="111">
        <f t="shared" si="36"/>
        <v>0</v>
      </c>
      <c r="I22" s="119" t="s">
        <v>220</v>
      </c>
      <c r="J22" s="40"/>
      <c r="K22" s="110">
        <f t="shared" si="37"/>
        <v>0</v>
      </c>
      <c r="L22" s="109">
        <f t="shared" si="38"/>
        <v>0</v>
      </c>
      <c r="M22" s="111">
        <f t="shared" si="39"/>
        <v>0</v>
      </c>
      <c r="P22" s="119" t="s">
        <v>220</v>
      </c>
      <c r="Q22" s="40"/>
      <c r="R22" s="110">
        <f t="shared" si="40"/>
        <v>0</v>
      </c>
      <c r="S22" s="109">
        <f t="shared" si="41"/>
        <v>0</v>
      </c>
      <c r="T22" s="111">
        <f t="shared" si="42"/>
        <v>0</v>
      </c>
      <c r="W22" s="119" t="s">
        <v>220</v>
      </c>
      <c r="X22" s="40"/>
      <c r="Y22" s="110">
        <f t="shared" si="43"/>
        <v>0</v>
      </c>
      <c r="Z22" s="109">
        <f t="shared" si="44"/>
        <v>0</v>
      </c>
      <c r="AA22" s="111">
        <f t="shared" si="45"/>
        <v>0</v>
      </c>
      <c r="AD22" s="119" t="s">
        <v>220</v>
      </c>
      <c r="AE22" s="40"/>
      <c r="AF22" s="110">
        <f t="shared" si="46"/>
        <v>0</v>
      </c>
      <c r="AG22" s="109">
        <f t="shared" si="47"/>
        <v>0</v>
      </c>
      <c r="AH22" s="111">
        <f t="shared" si="48"/>
        <v>0</v>
      </c>
      <c r="AK22" s="119" t="s">
        <v>220</v>
      </c>
      <c r="AL22" s="40"/>
      <c r="AM22" s="110">
        <f t="shared" si="49"/>
        <v>0</v>
      </c>
      <c r="AN22" s="109">
        <f t="shared" si="50"/>
        <v>0</v>
      </c>
      <c r="AO22" s="111">
        <f t="shared" si="51"/>
        <v>0</v>
      </c>
      <c r="AR22" s="119" t="s">
        <v>220</v>
      </c>
      <c r="AS22" s="40"/>
      <c r="AT22" s="110">
        <f t="shared" si="52"/>
        <v>0</v>
      </c>
      <c r="AU22" s="109">
        <f t="shared" si="53"/>
        <v>0</v>
      </c>
      <c r="AV22" s="111">
        <f t="shared" si="54"/>
        <v>0</v>
      </c>
      <c r="AY22" s="119" t="s">
        <v>220</v>
      </c>
      <c r="AZ22" s="40"/>
      <c r="BA22" s="110">
        <f t="shared" si="55"/>
        <v>0</v>
      </c>
      <c r="BB22" s="109">
        <f t="shared" si="56"/>
        <v>0</v>
      </c>
      <c r="BC22" s="111">
        <f t="shared" si="57"/>
        <v>0</v>
      </c>
      <c r="BF22" s="119" t="s">
        <v>220</v>
      </c>
      <c r="BG22" s="40"/>
      <c r="BH22" s="110">
        <f t="shared" si="58"/>
        <v>0</v>
      </c>
      <c r="BI22" s="109">
        <f t="shared" si="59"/>
        <v>0</v>
      </c>
      <c r="BJ22" s="111">
        <f t="shared" si="60"/>
        <v>0</v>
      </c>
      <c r="BM22" s="119" t="s">
        <v>220</v>
      </c>
      <c r="BN22" s="40"/>
      <c r="BO22" s="110">
        <f t="shared" si="61"/>
        <v>0</v>
      </c>
      <c r="BP22" s="109">
        <f t="shared" si="62"/>
        <v>0</v>
      </c>
      <c r="BQ22" s="111">
        <f t="shared" si="63"/>
        <v>0</v>
      </c>
      <c r="BT22" s="119" t="s">
        <v>220</v>
      </c>
      <c r="BU22" s="40"/>
      <c r="BV22" s="110">
        <f t="shared" si="64"/>
        <v>0</v>
      </c>
      <c r="BW22" s="109">
        <f t="shared" si="65"/>
        <v>0</v>
      </c>
      <c r="BX22" s="111">
        <f t="shared" si="66"/>
        <v>0</v>
      </c>
      <c r="CA22" s="119" t="s">
        <v>220</v>
      </c>
      <c r="CB22" s="40"/>
      <c r="CC22" s="110">
        <f t="shared" si="67"/>
        <v>0</v>
      </c>
      <c r="CD22" s="109">
        <f t="shared" si="68"/>
        <v>0</v>
      </c>
      <c r="CE22" s="111">
        <f t="shared" si="69"/>
        <v>0</v>
      </c>
      <c r="CH22" s="119" t="s">
        <v>220</v>
      </c>
      <c r="CI22" s="40"/>
      <c r="CJ22" s="110">
        <f t="shared" si="70"/>
        <v>0</v>
      </c>
      <c r="CK22" s="109">
        <f t="shared" si="71"/>
        <v>0</v>
      </c>
      <c r="CL22" s="111">
        <f t="shared" si="72"/>
        <v>0</v>
      </c>
      <c r="CO22" s="119" t="s">
        <v>220</v>
      </c>
      <c r="CP22" s="40"/>
      <c r="CQ22" s="110">
        <f t="shared" si="73"/>
        <v>0</v>
      </c>
      <c r="CR22" s="109">
        <f t="shared" si="74"/>
        <v>0</v>
      </c>
      <c r="CS22" s="111">
        <f t="shared" si="75"/>
        <v>0</v>
      </c>
      <c r="CV22" s="119" t="s">
        <v>220</v>
      </c>
      <c r="CW22" s="40"/>
      <c r="CX22" s="110">
        <f t="shared" si="76"/>
        <v>0</v>
      </c>
      <c r="CY22" s="109">
        <f t="shared" si="77"/>
        <v>0</v>
      </c>
      <c r="CZ22" s="111">
        <f t="shared" si="78"/>
        <v>0</v>
      </c>
      <c r="DC22" s="119" t="s">
        <v>220</v>
      </c>
      <c r="DD22" s="40"/>
      <c r="DE22" s="110">
        <f t="shared" si="79"/>
        <v>0</v>
      </c>
      <c r="DF22" s="109">
        <f t="shared" si="80"/>
        <v>0</v>
      </c>
      <c r="DG22" s="111">
        <f t="shared" si="81"/>
        <v>0</v>
      </c>
      <c r="DJ22" s="119" t="s">
        <v>220</v>
      </c>
      <c r="DK22" s="40"/>
      <c r="DL22" s="110">
        <f t="shared" si="82"/>
        <v>0</v>
      </c>
      <c r="DM22" s="109">
        <f t="shared" si="83"/>
        <v>0</v>
      </c>
      <c r="DN22" s="111">
        <f t="shared" si="84"/>
        <v>0</v>
      </c>
      <c r="DQ22" s="119" t="s">
        <v>220</v>
      </c>
      <c r="DR22" s="40"/>
      <c r="DS22" s="110">
        <f t="shared" si="85"/>
        <v>0</v>
      </c>
      <c r="DT22" s="109">
        <f t="shared" si="86"/>
        <v>0</v>
      </c>
      <c r="DU22" s="111">
        <f t="shared" si="87"/>
        <v>0</v>
      </c>
    </row>
    <row r="23">
      <c r="B23" s="119" t="s">
        <v>222</v>
      </c>
      <c r="C23" s="40"/>
      <c r="D23" s="110">
        <f t="shared" si="34"/>
        <v>0</v>
      </c>
      <c r="E23" s="109">
        <f t="shared" si="35"/>
        <v>0</v>
      </c>
      <c r="F23" s="111">
        <f t="shared" si="36"/>
        <v>0</v>
      </c>
      <c r="I23" s="119" t="s">
        <v>222</v>
      </c>
      <c r="J23" s="40"/>
      <c r="K23" s="110">
        <f t="shared" si="37"/>
        <v>0</v>
      </c>
      <c r="L23" s="109">
        <f t="shared" si="38"/>
        <v>0</v>
      </c>
      <c r="M23" s="111">
        <f t="shared" si="39"/>
        <v>0</v>
      </c>
      <c r="P23" s="119" t="s">
        <v>222</v>
      </c>
      <c r="Q23" s="40"/>
      <c r="R23" s="110">
        <f t="shared" si="40"/>
        <v>0</v>
      </c>
      <c r="S23" s="109">
        <f t="shared" si="41"/>
        <v>0</v>
      </c>
      <c r="T23" s="111">
        <f t="shared" si="42"/>
        <v>0</v>
      </c>
      <c r="W23" s="119" t="s">
        <v>222</v>
      </c>
      <c r="X23" s="40"/>
      <c r="Y23" s="110">
        <f t="shared" si="43"/>
        <v>0</v>
      </c>
      <c r="Z23" s="109">
        <f t="shared" si="44"/>
        <v>0</v>
      </c>
      <c r="AA23" s="111">
        <f t="shared" si="45"/>
        <v>0</v>
      </c>
      <c r="AD23" s="119" t="s">
        <v>222</v>
      </c>
      <c r="AE23" s="40"/>
      <c r="AF23" s="110">
        <f t="shared" si="46"/>
        <v>0</v>
      </c>
      <c r="AG23" s="109">
        <f t="shared" si="47"/>
        <v>0</v>
      </c>
      <c r="AH23" s="111">
        <f t="shared" si="48"/>
        <v>0</v>
      </c>
      <c r="AK23" s="119" t="s">
        <v>222</v>
      </c>
      <c r="AL23" s="40"/>
      <c r="AM23" s="110">
        <f t="shared" si="49"/>
        <v>0</v>
      </c>
      <c r="AN23" s="109">
        <f t="shared" si="50"/>
        <v>0</v>
      </c>
      <c r="AO23" s="111">
        <f t="shared" si="51"/>
        <v>0</v>
      </c>
      <c r="AR23" s="119" t="s">
        <v>222</v>
      </c>
      <c r="AS23" s="40"/>
      <c r="AT23" s="110">
        <f t="shared" si="52"/>
        <v>0</v>
      </c>
      <c r="AU23" s="109">
        <f t="shared" si="53"/>
        <v>0</v>
      </c>
      <c r="AV23" s="111">
        <f t="shared" si="54"/>
        <v>0</v>
      </c>
      <c r="AY23" s="119" t="s">
        <v>222</v>
      </c>
      <c r="AZ23" s="40"/>
      <c r="BA23" s="110">
        <f t="shared" si="55"/>
        <v>0</v>
      </c>
      <c r="BB23" s="109">
        <f t="shared" si="56"/>
        <v>0</v>
      </c>
      <c r="BC23" s="111">
        <f t="shared" si="57"/>
        <v>0</v>
      </c>
      <c r="BF23" s="119" t="s">
        <v>222</v>
      </c>
      <c r="BG23" s="40"/>
      <c r="BH23" s="110">
        <f t="shared" si="58"/>
        <v>0</v>
      </c>
      <c r="BI23" s="109">
        <f t="shared" si="59"/>
        <v>0</v>
      </c>
      <c r="BJ23" s="111">
        <f t="shared" si="60"/>
        <v>0</v>
      </c>
      <c r="BM23" s="119" t="s">
        <v>222</v>
      </c>
      <c r="BN23" s="40"/>
      <c r="BO23" s="110">
        <f t="shared" si="61"/>
        <v>0</v>
      </c>
      <c r="BP23" s="109">
        <f t="shared" si="62"/>
        <v>0</v>
      </c>
      <c r="BQ23" s="111">
        <f t="shared" si="63"/>
        <v>0</v>
      </c>
      <c r="BT23" s="119" t="s">
        <v>222</v>
      </c>
      <c r="BU23" s="40"/>
      <c r="BV23" s="110">
        <f t="shared" si="64"/>
        <v>0</v>
      </c>
      <c r="BW23" s="109">
        <f t="shared" si="65"/>
        <v>0</v>
      </c>
      <c r="BX23" s="111">
        <f t="shared" si="66"/>
        <v>0</v>
      </c>
      <c r="CA23" s="119" t="s">
        <v>222</v>
      </c>
      <c r="CB23" s="40"/>
      <c r="CC23" s="110">
        <f t="shared" si="67"/>
        <v>0</v>
      </c>
      <c r="CD23" s="109">
        <f t="shared" si="68"/>
        <v>0</v>
      </c>
      <c r="CE23" s="111">
        <f t="shared" si="69"/>
        <v>0</v>
      </c>
      <c r="CH23" s="119" t="s">
        <v>222</v>
      </c>
      <c r="CI23" s="40"/>
      <c r="CJ23" s="110">
        <f t="shared" si="70"/>
        <v>0</v>
      </c>
      <c r="CK23" s="109">
        <f t="shared" si="71"/>
        <v>0</v>
      </c>
      <c r="CL23" s="111">
        <f t="shared" si="72"/>
        <v>0</v>
      </c>
      <c r="CO23" s="119" t="s">
        <v>222</v>
      </c>
      <c r="CP23" s="40"/>
      <c r="CQ23" s="110">
        <f t="shared" si="73"/>
        <v>0</v>
      </c>
      <c r="CR23" s="109">
        <f t="shared" si="74"/>
        <v>0</v>
      </c>
      <c r="CS23" s="111">
        <f t="shared" si="75"/>
        <v>0</v>
      </c>
      <c r="CV23" s="119" t="s">
        <v>222</v>
      </c>
      <c r="CW23" s="40"/>
      <c r="CX23" s="110">
        <f t="shared" si="76"/>
        <v>0</v>
      </c>
      <c r="CY23" s="109">
        <f t="shared" si="77"/>
        <v>0</v>
      </c>
      <c r="CZ23" s="111">
        <f t="shared" si="78"/>
        <v>0</v>
      </c>
      <c r="DC23" s="119" t="s">
        <v>222</v>
      </c>
      <c r="DD23" s="40"/>
      <c r="DE23" s="110">
        <f t="shared" si="79"/>
        <v>0</v>
      </c>
      <c r="DF23" s="109">
        <f t="shared" si="80"/>
        <v>0</v>
      </c>
      <c r="DG23" s="111">
        <f t="shared" si="81"/>
        <v>0</v>
      </c>
      <c r="DJ23" s="119" t="s">
        <v>222</v>
      </c>
      <c r="DK23" s="40"/>
      <c r="DL23" s="110">
        <f t="shared" si="82"/>
        <v>0</v>
      </c>
      <c r="DM23" s="109">
        <f t="shared" si="83"/>
        <v>0</v>
      </c>
      <c r="DN23" s="111">
        <f t="shared" si="84"/>
        <v>0</v>
      </c>
      <c r="DQ23" s="119" t="s">
        <v>222</v>
      </c>
      <c r="DR23" s="40"/>
      <c r="DS23" s="110">
        <f t="shared" si="85"/>
        <v>0</v>
      </c>
      <c r="DT23" s="109">
        <f t="shared" si="86"/>
        <v>0</v>
      </c>
      <c r="DU23" s="111">
        <f t="shared" si="87"/>
        <v>0</v>
      </c>
    </row>
    <row r="24">
      <c r="B24" s="119" t="s">
        <v>224</v>
      </c>
      <c r="C24" s="40"/>
      <c r="D24" s="110">
        <f t="shared" si="34"/>
        <v>0</v>
      </c>
      <c r="E24" s="109">
        <f t="shared" si="35"/>
        <v>0</v>
      </c>
      <c r="F24" s="111">
        <f t="shared" si="36"/>
        <v>0</v>
      </c>
      <c r="I24" s="119" t="s">
        <v>224</v>
      </c>
      <c r="J24" s="40"/>
      <c r="K24" s="110">
        <f t="shared" si="37"/>
        <v>0</v>
      </c>
      <c r="L24" s="109">
        <f t="shared" si="38"/>
        <v>0</v>
      </c>
      <c r="M24" s="111">
        <f t="shared" si="39"/>
        <v>0</v>
      </c>
      <c r="P24" s="119" t="s">
        <v>224</v>
      </c>
      <c r="Q24" s="40"/>
      <c r="R24" s="110">
        <f t="shared" si="40"/>
        <v>0</v>
      </c>
      <c r="S24" s="109">
        <f t="shared" si="41"/>
        <v>0</v>
      </c>
      <c r="T24" s="111">
        <f t="shared" si="42"/>
        <v>0</v>
      </c>
      <c r="W24" s="119" t="s">
        <v>224</v>
      </c>
      <c r="X24" s="40"/>
      <c r="Y24" s="110">
        <f t="shared" si="43"/>
        <v>0</v>
      </c>
      <c r="Z24" s="109">
        <f t="shared" si="44"/>
        <v>0</v>
      </c>
      <c r="AA24" s="111">
        <f t="shared" si="45"/>
        <v>0</v>
      </c>
      <c r="AD24" s="119" t="s">
        <v>224</v>
      </c>
      <c r="AE24" s="40"/>
      <c r="AF24" s="110">
        <f t="shared" si="46"/>
        <v>0</v>
      </c>
      <c r="AG24" s="109">
        <f t="shared" si="47"/>
        <v>0</v>
      </c>
      <c r="AH24" s="111">
        <f t="shared" si="48"/>
        <v>0</v>
      </c>
      <c r="AK24" s="119" t="s">
        <v>224</v>
      </c>
      <c r="AL24" s="40"/>
      <c r="AM24" s="110">
        <f t="shared" si="49"/>
        <v>0</v>
      </c>
      <c r="AN24" s="109">
        <f t="shared" si="50"/>
        <v>0</v>
      </c>
      <c r="AO24" s="111">
        <f t="shared" si="51"/>
        <v>0</v>
      </c>
      <c r="AR24" s="119" t="s">
        <v>224</v>
      </c>
      <c r="AS24" s="40"/>
      <c r="AT24" s="110">
        <f t="shared" si="52"/>
        <v>0</v>
      </c>
      <c r="AU24" s="109">
        <f t="shared" si="53"/>
        <v>0</v>
      </c>
      <c r="AV24" s="111">
        <f t="shared" si="54"/>
        <v>0</v>
      </c>
      <c r="AY24" s="119" t="s">
        <v>224</v>
      </c>
      <c r="AZ24" s="40"/>
      <c r="BA24" s="110">
        <f t="shared" si="55"/>
        <v>0</v>
      </c>
      <c r="BB24" s="109">
        <f t="shared" si="56"/>
        <v>0</v>
      </c>
      <c r="BC24" s="111">
        <f t="shared" si="57"/>
        <v>0</v>
      </c>
      <c r="BF24" s="119" t="s">
        <v>224</v>
      </c>
      <c r="BG24" s="40"/>
      <c r="BH24" s="110">
        <f t="shared" si="58"/>
        <v>0</v>
      </c>
      <c r="BI24" s="109">
        <f t="shared" si="59"/>
        <v>0</v>
      </c>
      <c r="BJ24" s="111">
        <f t="shared" si="60"/>
        <v>0</v>
      </c>
      <c r="BM24" s="119" t="s">
        <v>224</v>
      </c>
      <c r="BN24" s="40"/>
      <c r="BO24" s="110">
        <f t="shared" si="61"/>
        <v>0</v>
      </c>
      <c r="BP24" s="109">
        <f t="shared" si="62"/>
        <v>0</v>
      </c>
      <c r="BQ24" s="111">
        <f t="shared" si="63"/>
        <v>0</v>
      </c>
      <c r="BT24" s="119" t="s">
        <v>224</v>
      </c>
      <c r="BU24" s="40"/>
      <c r="BV24" s="110">
        <f t="shared" si="64"/>
        <v>0</v>
      </c>
      <c r="BW24" s="109">
        <f t="shared" si="65"/>
        <v>0</v>
      </c>
      <c r="BX24" s="111">
        <f t="shared" si="66"/>
        <v>0</v>
      </c>
      <c r="CA24" s="119" t="s">
        <v>224</v>
      </c>
      <c r="CB24" s="40"/>
      <c r="CC24" s="110">
        <f t="shared" si="67"/>
        <v>0</v>
      </c>
      <c r="CD24" s="109">
        <f t="shared" si="68"/>
        <v>0</v>
      </c>
      <c r="CE24" s="111">
        <f t="shared" si="69"/>
        <v>0</v>
      </c>
      <c r="CH24" s="119" t="s">
        <v>224</v>
      </c>
      <c r="CI24" s="40"/>
      <c r="CJ24" s="110">
        <f t="shared" si="70"/>
        <v>0</v>
      </c>
      <c r="CK24" s="109">
        <f t="shared" si="71"/>
        <v>0</v>
      </c>
      <c r="CL24" s="111">
        <f t="shared" si="72"/>
        <v>0</v>
      </c>
      <c r="CO24" s="119" t="s">
        <v>224</v>
      </c>
      <c r="CP24" s="40"/>
      <c r="CQ24" s="110">
        <f t="shared" si="73"/>
        <v>0</v>
      </c>
      <c r="CR24" s="109">
        <f t="shared" si="74"/>
        <v>0</v>
      </c>
      <c r="CS24" s="111">
        <f t="shared" si="75"/>
        <v>0</v>
      </c>
      <c r="CV24" s="119" t="s">
        <v>224</v>
      </c>
      <c r="CW24" s="40"/>
      <c r="CX24" s="110">
        <f t="shared" si="76"/>
        <v>0</v>
      </c>
      <c r="CY24" s="109">
        <f t="shared" si="77"/>
        <v>0</v>
      </c>
      <c r="CZ24" s="111">
        <f t="shared" si="78"/>
        <v>0</v>
      </c>
      <c r="DC24" s="119" t="s">
        <v>224</v>
      </c>
      <c r="DD24" s="40"/>
      <c r="DE24" s="110">
        <f t="shared" si="79"/>
        <v>0</v>
      </c>
      <c r="DF24" s="109">
        <f t="shared" si="80"/>
        <v>0</v>
      </c>
      <c r="DG24" s="111">
        <f t="shared" si="81"/>
        <v>0</v>
      </c>
      <c r="DJ24" s="119" t="s">
        <v>224</v>
      </c>
      <c r="DK24" s="40"/>
      <c r="DL24" s="110">
        <f t="shared" si="82"/>
        <v>0</v>
      </c>
      <c r="DM24" s="109">
        <f t="shared" si="83"/>
        <v>0</v>
      </c>
      <c r="DN24" s="111">
        <f t="shared" si="84"/>
        <v>0</v>
      </c>
      <c r="DQ24" s="119" t="s">
        <v>224</v>
      </c>
      <c r="DR24" s="40"/>
      <c r="DS24" s="110">
        <f t="shared" si="85"/>
        <v>0</v>
      </c>
      <c r="DT24" s="109">
        <f t="shared" si="86"/>
        <v>0</v>
      </c>
      <c r="DU24" s="111">
        <f t="shared" si="87"/>
        <v>0</v>
      </c>
    </row>
    <row r="25">
      <c r="B25" s="119" t="s">
        <v>226</v>
      </c>
      <c r="C25" s="40"/>
      <c r="D25" s="110">
        <f t="shared" si="34"/>
        <v>0</v>
      </c>
      <c r="E25" s="109">
        <f t="shared" si="35"/>
        <v>0</v>
      </c>
      <c r="F25" s="111">
        <f t="shared" si="36"/>
        <v>0</v>
      </c>
      <c r="I25" s="119" t="s">
        <v>226</v>
      </c>
      <c r="J25" s="40"/>
      <c r="K25" s="110">
        <f t="shared" si="37"/>
        <v>0</v>
      </c>
      <c r="L25" s="109">
        <f t="shared" si="38"/>
        <v>0</v>
      </c>
      <c r="M25" s="111">
        <f t="shared" si="39"/>
        <v>0</v>
      </c>
      <c r="P25" s="119" t="s">
        <v>226</v>
      </c>
      <c r="Q25" s="40"/>
      <c r="R25" s="110">
        <f t="shared" si="40"/>
        <v>0</v>
      </c>
      <c r="S25" s="109">
        <f t="shared" si="41"/>
        <v>0</v>
      </c>
      <c r="T25" s="111">
        <f t="shared" si="42"/>
        <v>0</v>
      </c>
      <c r="W25" s="119" t="s">
        <v>226</v>
      </c>
      <c r="X25" s="40"/>
      <c r="Y25" s="110">
        <f t="shared" si="43"/>
        <v>0</v>
      </c>
      <c r="Z25" s="109">
        <f t="shared" si="44"/>
        <v>0</v>
      </c>
      <c r="AA25" s="111">
        <f t="shared" si="45"/>
        <v>0</v>
      </c>
      <c r="AD25" s="119" t="s">
        <v>226</v>
      </c>
      <c r="AE25" s="40"/>
      <c r="AF25" s="110">
        <f t="shared" si="46"/>
        <v>0</v>
      </c>
      <c r="AG25" s="109">
        <f t="shared" si="47"/>
        <v>0</v>
      </c>
      <c r="AH25" s="111">
        <f t="shared" si="48"/>
        <v>0</v>
      </c>
      <c r="AK25" s="119" t="s">
        <v>226</v>
      </c>
      <c r="AL25" s="40"/>
      <c r="AM25" s="110">
        <f t="shared" si="49"/>
        <v>0</v>
      </c>
      <c r="AN25" s="109">
        <f t="shared" si="50"/>
        <v>0</v>
      </c>
      <c r="AO25" s="111">
        <f t="shared" si="51"/>
        <v>0</v>
      </c>
      <c r="AR25" s="119" t="s">
        <v>226</v>
      </c>
      <c r="AS25" s="40"/>
      <c r="AT25" s="110">
        <f t="shared" si="52"/>
        <v>0</v>
      </c>
      <c r="AU25" s="109">
        <f t="shared" si="53"/>
        <v>0</v>
      </c>
      <c r="AV25" s="111">
        <f t="shared" si="54"/>
        <v>0</v>
      </c>
      <c r="AY25" s="119" t="s">
        <v>226</v>
      </c>
      <c r="AZ25" s="40"/>
      <c r="BA25" s="110">
        <f t="shared" si="55"/>
        <v>0</v>
      </c>
      <c r="BB25" s="109">
        <f t="shared" si="56"/>
        <v>0</v>
      </c>
      <c r="BC25" s="111">
        <f t="shared" si="57"/>
        <v>0</v>
      </c>
      <c r="BF25" s="119" t="s">
        <v>226</v>
      </c>
      <c r="BG25" s="40"/>
      <c r="BH25" s="110">
        <f t="shared" si="58"/>
        <v>0</v>
      </c>
      <c r="BI25" s="109">
        <f t="shared" si="59"/>
        <v>0</v>
      </c>
      <c r="BJ25" s="111">
        <f t="shared" si="60"/>
        <v>0</v>
      </c>
      <c r="BM25" s="119" t="s">
        <v>226</v>
      </c>
      <c r="BN25" s="40"/>
      <c r="BO25" s="110">
        <f t="shared" si="61"/>
        <v>0</v>
      </c>
      <c r="BP25" s="109">
        <f t="shared" si="62"/>
        <v>0</v>
      </c>
      <c r="BQ25" s="111">
        <f t="shared" si="63"/>
        <v>0</v>
      </c>
      <c r="BT25" s="119" t="s">
        <v>226</v>
      </c>
      <c r="BU25" s="40"/>
      <c r="BV25" s="110">
        <f t="shared" si="64"/>
        <v>0</v>
      </c>
      <c r="BW25" s="109">
        <f t="shared" si="65"/>
        <v>0</v>
      </c>
      <c r="BX25" s="111">
        <f t="shared" si="66"/>
        <v>0</v>
      </c>
      <c r="CA25" s="119" t="s">
        <v>226</v>
      </c>
      <c r="CB25" s="40"/>
      <c r="CC25" s="110">
        <f t="shared" si="67"/>
        <v>0</v>
      </c>
      <c r="CD25" s="109">
        <f t="shared" si="68"/>
        <v>0</v>
      </c>
      <c r="CE25" s="111">
        <f t="shared" si="69"/>
        <v>0</v>
      </c>
      <c r="CH25" s="119" t="s">
        <v>226</v>
      </c>
      <c r="CI25" s="40"/>
      <c r="CJ25" s="110">
        <f t="shared" si="70"/>
        <v>0</v>
      </c>
      <c r="CK25" s="109">
        <f t="shared" si="71"/>
        <v>0</v>
      </c>
      <c r="CL25" s="111">
        <f t="shared" si="72"/>
        <v>0</v>
      </c>
      <c r="CO25" s="119" t="s">
        <v>226</v>
      </c>
      <c r="CP25" s="40"/>
      <c r="CQ25" s="110">
        <f t="shared" si="73"/>
        <v>0</v>
      </c>
      <c r="CR25" s="109">
        <f t="shared" si="74"/>
        <v>0</v>
      </c>
      <c r="CS25" s="111">
        <f t="shared" si="75"/>
        <v>0</v>
      </c>
      <c r="CV25" s="119" t="s">
        <v>226</v>
      </c>
      <c r="CW25" s="40"/>
      <c r="CX25" s="110">
        <f t="shared" si="76"/>
        <v>0</v>
      </c>
      <c r="CY25" s="109">
        <f t="shared" si="77"/>
        <v>0</v>
      </c>
      <c r="CZ25" s="111">
        <f t="shared" si="78"/>
        <v>0</v>
      </c>
      <c r="DC25" s="119" t="s">
        <v>226</v>
      </c>
      <c r="DD25" s="40"/>
      <c r="DE25" s="110">
        <f t="shared" si="79"/>
        <v>0</v>
      </c>
      <c r="DF25" s="109">
        <f t="shared" si="80"/>
        <v>0</v>
      </c>
      <c r="DG25" s="111">
        <f t="shared" si="81"/>
        <v>0</v>
      </c>
      <c r="DJ25" s="119" t="s">
        <v>226</v>
      </c>
      <c r="DK25" s="40"/>
      <c r="DL25" s="110">
        <f t="shared" si="82"/>
        <v>0</v>
      </c>
      <c r="DM25" s="109">
        <f t="shared" si="83"/>
        <v>0</v>
      </c>
      <c r="DN25" s="111">
        <f t="shared" si="84"/>
        <v>0</v>
      </c>
      <c r="DQ25" s="119" t="s">
        <v>226</v>
      </c>
      <c r="DR25" s="40"/>
      <c r="DS25" s="110">
        <f t="shared" si="85"/>
        <v>0</v>
      </c>
      <c r="DT25" s="109">
        <f t="shared" si="86"/>
        <v>0</v>
      </c>
      <c r="DU25" s="111">
        <f t="shared" si="87"/>
        <v>0</v>
      </c>
    </row>
    <row r="26">
      <c r="B26" s="119" t="s">
        <v>228</v>
      </c>
      <c r="C26" s="40"/>
      <c r="D26" s="110">
        <f t="shared" si="34"/>
        <v>0</v>
      </c>
      <c r="E26" s="109">
        <f t="shared" si="35"/>
        <v>0</v>
      </c>
      <c r="F26" s="111">
        <f t="shared" si="36"/>
        <v>0</v>
      </c>
      <c r="I26" s="119" t="s">
        <v>228</v>
      </c>
      <c r="J26" s="40"/>
      <c r="K26" s="110">
        <f t="shared" si="37"/>
        <v>0</v>
      </c>
      <c r="L26" s="109">
        <f t="shared" si="38"/>
        <v>0</v>
      </c>
      <c r="M26" s="111">
        <f t="shared" si="39"/>
        <v>0</v>
      </c>
      <c r="P26" s="119" t="s">
        <v>228</v>
      </c>
      <c r="Q26" s="40"/>
      <c r="R26" s="110">
        <f t="shared" si="40"/>
        <v>0</v>
      </c>
      <c r="S26" s="109">
        <f t="shared" si="41"/>
        <v>0</v>
      </c>
      <c r="T26" s="111">
        <f t="shared" si="42"/>
        <v>0</v>
      </c>
      <c r="W26" s="119" t="s">
        <v>228</v>
      </c>
      <c r="X26" s="40"/>
      <c r="Y26" s="110">
        <f t="shared" si="43"/>
        <v>0</v>
      </c>
      <c r="Z26" s="109">
        <f t="shared" si="44"/>
        <v>0</v>
      </c>
      <c r="AA26" s="111">
        <f t="shared" si="45"/>
        <v>0</v>
      </c>
      <c r="AD26" s="119" t="s">
        <v>228</v>
      </c>
      <c r="AE26" s="40"/>
      <c r="AF26" s="110">
        <f t="shared" si="46"/>
        <v>0</v>
      </c>
      <c r="AG26" s="109">
        <f t="shared" si="47"/>
        <v>0</v>
      </c>
      <c r="AH26" s="111">
        <f t="shared" si="48"/>
        <v>0</v>
      </c>
      <c r="AK26" s="119" t="s">
        <v>228</v>
      </c>
      <c r="AL26" s="40"/>
      <c r="AM26" s="110">
        <f t="shared" si="49"/>
        <v>0</v>
      </c>
      <c r="AN26" s="109">
        <f t="shared" si="50"/>
        <v>0</v>
      </c>
      <c r="AO26" s="111">
        <f t="shared" si="51"/>
        <v>0</v>
      </c>
      <c r="AR26" s="119" t="s">
        <v>228</v>
      </c>
      <c r="AS26" s="40"/>
      <c r="AT26" s="110">
        <f t="shared" si="52"/>
        <v>0</v>
      </c>
      <c r="AU26" s="109">
        <f t="shared" si="53"/>
        <v>0</v>
      </c>
      <c r="AV26" s="111">
        <f t="shared" si="54"/>
        <v>0</v>
      </c>
      <c r="AY26" s="119" t="s">
        <v>228</v>
      </c>
      <c r="AZ26" s="40"/>
      <c r="BA26" s="110">
        <f t="shared" si="55"/>
        <v>0</v>
      </c>
      <c r="BB26" s="109">
        <f t="shared" si="56"/>
        <v>0</v>
      </c>
      <c r="BC26" s="111">
        <f t="shared" si="57"/>
        <v>0</v>
      </c>
      <c r="BF26" s="119" t="s">
        <v>228</v>
      </c>
      <c r="BG26" s="40"/>
      <c r="BH26" s="110">
        <f t="shared" si="58"/>
        <v>0</v>
      </c>
      <c r="BI26" s="109">
        <f t="shared" si="59"/>
        <v>0</v>
      </c>
      <c r="BJ26" s="111">
        <f t="shared" si="60"/>
        <v>0</v>
      </c>
      <c r="BM26" s="119" t="s">
        <v>228</v>
      </c>
      <c r="BN26" s="40"/>
      <c r="BO26" s="110">
        <f t="shared" si="61"/>
        <v>0</v>
      </c>
      <c r="BP26" s="109">
        <f t="shared" si="62"/>
        <v>0</v>
      </c>
      <c r="BQ26" s="111">
        <f t="shared" si="63"/>
        <v>0</v>
      </c>
      <c r="BT26" s="119" t="s">
        <v>228</v>
      </c>
      <c r="BU26" s="40"/>
      <c r="BV26" s="110">
        <f t="shared" si="64"/>
        <v>0</v>
      </c>
      <c r="BW26" s="109">
        <f t="shared" si="65"/>
        <v>0</v>
      </c>
      <c r="BX26" s="111">
        <f t="shared" si="66"/>
        <v>0</v>
      </c>
      <c r="CA26" s="119" t="s">
        <v>228</v>
      </c>
      <c r="CB26" s="40"/>
      <c r="CC26" s="110">
        <f t="shared" si="67"/>
        <v>0</v>
      </c>
      <c r="CD26" s="109">
        <f t="shared" si="68"/>
        <v>0</v>
      </c>
      <c r="CE26" s="111">
        <f t="shared" si="69"/>
        <v>0</v>
      </c>
      <c r="CH26" s="119" t="s">
        <v>228</v>
      </c>
      <c r="CI26" s="40"/>
      <c r="CJ26" s="110">
        <f t="shared" si="70"/>
        <v>0</v>
      </c>
      <c r="CK26" s="109">
        <f t="shared" si="71"/>
        <v>0</v>
      </c>
      <c r="CL26" s="111">
        <f t="shared" si="72"/>
        <v>0</v>
      </c>
      <c r="CO26" s="119" t="s">
        <v>228</v>
      </c>
      <c r="CP26" s="40"/>
      <c r="CQ26" s="110">
        <f t="shared" si="73"/>
        <v>0</v>
      </c>
      <c r="CR26" s="109">
        <f t="shared" si="74"/>
        <v>0</v>
      </c>
      <c r="CS26" s="111">
        <f t="shared" si="75"/>
        <v>0</v>
      </c>
      <c r="CV26" s="119" t="s">
        <v>228</v>
      </c>
      <c r="CW26" s="40"/>
      <c r="CX26" s="110">
        <f t="shared" si="76"/>
        <v>0</v>
      </c>
      <c r="CY26" s="109">
        <f t="shared" si="77"/>
        <v>0</v>
      </c>
      <c r="CZ26" s="111">
        <f t="shared" si="78"/>
        <v>0</v>
      </c>
      <c r="DC26" s="119" t="s">
        <v>228</v>
      </c>
      <c r="DD26" s="40"/>
      <c r="DE26" s="110">
        <f t="shared" si="79"/>
        <v>0</v>
      </c>
      <c r="DF26" s="109">
        <f t="shared" si="80"/>
        <v>0</v>
      </c>
      <c r="DG26" s="111">
        <f t="shared" si="81"/>
        <v>0</v>
      </c>
      <c r="DJ26" s="119" t="s">
        <v>228</v>
      </c>
      <c r="DK26" s="40"/>
      <c r="DL26" s="110">
        <f t="shared" si="82"/>
        <v>0</v>
      </c>
      <c r="DM26" s="109">
        <f t="shared" si="83"/>
        <v>0</v>
      </c>
      <c r="DN26" s="111">
        <f t="shared" si="84"/>
        <v>0</v>
      </c>
      <c r="DQ26" s="119" t="s">
        <v>228</v>
      </c>
      <c r="DR26" s="40"/>
      <c r="DS26" s="110">
        <f t="shared" si="85"/>
        <v>0</v>
      </c>
      <c r="DT26" s="109">
        <f t="shared" si="86"/>
        <v>0</v>
      </c>
      <c r="DU26" s="111">
        <f t="shared" si="87"/>
        <v>0</v>
      </c>
    </row>
    <row r="27">
      <c r="B27" s="119" t="s">
        <v>230</v>
      </c>
      <c r="C27" s="40"/>
      <c r="D27" s="110">
        <f t="shared" si="34"/>
        <v>0</v>
      </c>
      <c r="E27" s="109">
        <f t="shared" si="35"/>
        <v>0</v>
      </c>
      <c r="F27" s="111">
        <f t="shared" si="36"/>
        <v>0</v>
      </c>
      <c r="I27" s="119" t="s">
        <v>230</v>
      </c>
      <c r="J27" s="40"/>
      <c r="K27" s="110">
        <f t="shared" si="37"/>
        <v>0</v>
      </c>
      <c r="L27" s="109">
        <f t="shared" si="38"/>
        <v>0</v>
      </c>
      <c r="M27" s="111">
        <f t="shared" si="39"/>
        <v>0</v>
      </c>
      <c r="P27" s="119" t="s">
        <v>230</v>
      </c>
      <c r="Q27" s="40"/>
      <c r="R27" s="110">
        <f t="shared" si="40"/>
        <v>0</v>
      </c>
      <c r="S27" s="109">
        <f t="shared" si="41"/>
        <v>0</v>
      </c>
      <c r="T27" s="111">
        <f t="shared" si="42"/>
        <v>0</v>
      </c>
      <c r="W27" s="119" t="s">
        <v>230</v>
      </c>
      <c r="X27" s="40"/>
      <c r="Y27" s="110">
        <f t="shared" si="43"/>
        <v>0</v>
      </c>
      <c r="Z27" s="109">
        <f t="shared" si="44"/>
        <v>0</v>
      </c>
      <c r="AA27" s="111">
        <f t="shared" si="45"/>
        <v>0</v>
      </c>
      <c r="AD27" s="119" t="s">
        <v>230</v>
      </c>
      <c r="AE27" s="40"/>
      <c r="AF27" s="110">
        <f t="shared" si="46"/>
        <v>0</v>
      </c>
      <c r="AG27" s="109">
        <f t="shared" si="47"/>
        <v>0</v>
      </c>
      <c r="AH27" s="111">
        <f t="shared" si="48"/>
        <v>0</v>
      </c>
      <c r="AK27" s="119" t="s">
        <v>230</v>
      </c>
      <c r="AL27" s="40"/>
      <c r="AM27" s="110">
        <f t="shared" si="49"/>
        <v>0</v>
      </c>
      <c r="AN27" s="109">
        <f t="shared" si="50"/>
        <v>0</v>
      </c>
      <c r="AO27" s="111">
        <f t="shared" si="51"/>
        <v>0</v>
      </c>
      <c r="AR27" s="119" t="s">
        <v>230</v>
      </c>
      <c r="AS27" s="40"/>
      <c r="AT27" s="110">
        <f t="shared" si="52"/>
        <v>0</v>
      </c>
      <c r="AU27" s="109">
        <f t="shared" si="53"/>
        <v>0</v>
      </c>
      <c r="AV27" s="111">
        <f t="shared" si="54"/>
        <v>0</v>
      </c>
      <c r="AY27" s="119" t="s">
        <v>230</v>
      </c>
      <c r="AZ27" s="40"/>
      <c r="BA27" s="110">
        <f t="shared" si="55"/>
        <v>0</v>
      </c>
      <c r="BB27" s="109">
        <f t="shared" si="56"/>
        <v>0</v>
      </c>
      <c r="BC27" s="111">
        <f t="shared" si="57"/>
        <v>0</v>
      </c>
      <c r="BF27" s="119" t="s">
        <v>230</v>
      </c>
      <c r="BG27" s="40"/>
      <c r="BH27" s="110">
        <f t="shared" si="58"/>
        <v>0</v>
      </c>
      <c r="BI27" s="109">
        <f t="shared" si="59"/>
        <v>0</v>
      </c>
      <c r="BJ27" s="111">
        <f t="shared" si="60"/>
        <v>0</v>
      </c>
      <c r="BM27" s="119" t="s">
        <v>230</v>
      </c>
      <c r="BN27" s="40"/>
      <c r="BO27" s="110">
        <f t="shared" si="61"/>
        <v>0</v>
      </c>
      <c r="BP27" s="109">
        <f t="shared" si="62"/>
        <v>0</v>
      </c>
      <c r="BQ27" s="111">
        <f t="shared" si="63"/>
        <v>0</v>
      </c>
      <c r="BT27" s="119" t="s">
        <v>230</v>
      </c>
      <c r="BU27" s="40"/>
      <c r="BV27" s="110">
        <f t="shared" si="64"/>
        <v>0</v>
      </c>
      <c r="BW27" s="109">
        <f t="shared" si="65"/>
        <v>0</v>
      </c>
      <c r="BX27" s="111">
        <f t="shared" si="66"/>
        <v>0</v>
      </c>
      <c r="CA27" s="119" t="s">
        <v>230</v>
      </c>
      <c r="CB27" s="40"/>
      <c r="CC27" s="110">
        <f t="shared" si="67"/>
        <v>0</v>
      </c>
      <c r="CD27" s="109">
        <f t="shared" si="68"/>
        <v>0</v>
      </c>
      <c r="CE27" s="111">
        <f t="shared" si="69"/>
        <v>0</v>
      </c>
      <c r="CH27" s="119" t="s">
        <v>230</v>
      </c>
      <c r="CI27" s="40"/>
      <c r="CJ27" s="110">
        <f t="shared" si="70"/>
        <v>0</v>
      </c>
      <c r="CK27" s="109">
        <f t="shared" si="71"/>
        <v>0</v>
      </c>
      <c r="CL27" s="111">
        <f t="shared" si="72"/>
        <v>0</v>
      </c>
      <c r="CO27" s="119" t="s">
        <v>230</v>
      </c>
      <c r="CP27" s="40"/>
      <c r="CQ27" s="110">
        <f t="shared" si="73"/>
        <v>0</v>
      </c>
      <c r="CR27" s="109">
        <f t="shared" si="74"/>
        <v>0</v>
      </c>
      <c r="CS27" s="111">
        <f t="shared" si="75"/>
        <v>0</v>
      </c>
      <c r="CV27" s="119" t="s">
        <v>230</v>
      </c>
      <c r="CW27" s="40"/>
      <c r="CX27" s="110">
        <f t="shared" si="76"/>
        <v>0</v>
      </c>
      <c r="CY27" s="109">
        <f t="shared" si="77"/>
        <v>0</v>
      </c>
      <c r="CZ27" s="111">
        <f t="shared" si="78"/>
        <v>0</v>
      </c>
      <c r="DC27" s="119" t="s">
        <v>230</v>
      </c>
      <c r="DD27" s="40"/>
      <c r="DE27" s="110">
        <f t="shared" si="79"/>
        <v>0</v>
      </c>
      <c r="DF27" s="109">
        <f t="shared" si="80"/>
        <v>0</v>
      </c>
      <c r="DG27" s="111">
        <f t="shared" si="81"/>
        <v>0</v>
      </c>
      <c r="DJ27" s="119" t="s">
        <v>230</v>
      </c>
      <c r="DK27" s="40"/>
      <c r="DL27" s="110">
        <f t="shared" si="82"/>
        <v>0</v>
      </c>
      <c r="DM27" s="109">
        <f t="shared" si="83"/>
        <v>0</v>
      </c>
      <c r="DN27" s="111">
        <f t="shared" si="84"/>
        <v>0</v>
      </c>
      <c r="DQ27" s="119" t="s">
        <v>230</v>
      </c>
      <c r="DR27" s="40"/>
      <c r="DS27" s="110">
        <f t="shared" si="85"/>
        <v>0</v>
      </c>
      <c r="DT27" s="109">
        <f t="shared" si="86"/>
        <v>0</v>
      </c>
      <c r="DU27" s="111">
        <f t="shared" si="87"/>
        <v>0</v>
      </c>
    </row>
    <row r="28">
      <c r="B28" s="119" t="s">
        <v>232</v>
      </c>
      <c r="C28" s="40"/>
      <c r="D28" s="110">
        <f t="shared" si="34"/>
        <v>0</v>
      </c>
      <c r="E28" s="109">
        <f t="shared" si="35"/>
        <v>0</v>
      </c>
      <c r="F28" s="111">
        <f t="shared" si="36"/>
        <v>0</v>
      </c>
      <c r="I28" s="119" t="s">
        <v>232</v>
      </c>
      <c r="J28" s="40"/>
      <c r="K28" s="110">
        <f t="shared" si="37"/>
        <v>0</v>
      </c>
      <c r="L28" s="109">
        <f t="shared" si="38"/>
        <v>0</v>
      </c>
      <c r="M28" s="111">
        <f t="shared" si="39"/>
        <v>0</v>
      </c>
      <c r="P28" s="119" t="s">
        <v>232</v>
      </c>
      <c r="Q28" s="40"/>
      <c r="R28" s="110">
        <f t="shared" si="40"/>
        <v>0</v>
      </c>
      <c r="S28" s="109">
        <f t="shared" si="41"/>
        <v>0</v>
      </c>
      <c r="T28" s="111">
        <f t="shared" si="42"/>
        <v>0</v>
      </c>
      <c r="W28" s="119" t="s">
        <v>232</v>
      </c>
      <c r="X28" s="40"/>
      <c r="Y28" s="110">
        <f t="shared" si="43"/>
        <v>0</v>
      </c>
      <c r="Z28" s="109">
        <f t="shared" si="44"/>
        <v>0</v>
      </c>
      <c r="AA28" s="111">
        <f t="shared" si="45"/>
        <v>0</v>
      </c>
      <c r="AD28" s="119" t="s">
        <v>232</v>
      </c>
      <c r="AE28" s="40"/>
      <c r="AF28" s="110">
        <f t="shared" si="46"/>
        <v>0</v>
      </c>
      <c r="AG28" s="109">
        <f t="shared" si="47"/>
        <v>0</v>
      </c>
      <c r="AH28" s="111">
        <f t="shared" si="48"/>
        <v>0</v>
      </c>
      <c r="AK28" s="119" t="s">
        <v>232</v>
      </c>
      <c r="AL28" s="40"/>
      <c r="AM28" s="110">
        <f t="shared" si="49"/>
        <v>0</v>
      </c>
      <c r="AN28" s="109">
        <f t="shared" si="50"/>
        <v>0</v>
      </c>
      <c r="AO28" s="111">
        <f t="shared" si="51"/>
        <v>0</v>
      </c>
      <c r="AR28" s="119" t="s">
        <v>232</v>
      </c>
      <c r="AS28" s="40"/>
      <c r="AT28" s="110">
        <f t="shared" si="52"/>
        <v>0</v>
      </c>
      <c r="AU28" s="109">
        <f t="shared" si="53"/>
        <v>0</v>
      </c>
      <c r="AV28" s="111">
        <f t="shared" si="54"/>
        <v>0</v>
      </c>
      <c r="AY28" s="119" t="s">
        <v>232</v>
      </c>
      <c r="AZ28" s="40"/>
      <c r="BA28" s="110">
        <f t="shared" si="55"/>
        <v>0</v>
      </c>
      <c r="BB28" s="109">
        <f t="shared" si="56"/>
        <v>0</v>
      </c>
      <c r="BC28" s="111">
        <f t="shared" si="57"/>
        <v>0</v>
      </c>
      <c r="BF28" s="119" t="s">
        <v>232</v>
      </c>
      <c r="BG28" s="40"/>
      <c r="BH28" s="110">
        <f t="shared" si="58"/>
        <v>0</v>
      </c>
      <c r="BI28" s="109">
        <f t="shared" si="59"/>
        <v>0</v>
      </c>
      <c r="BJ28" s="111">
        <f t="shared" si="60"/>
        <v>0</v>
      </c>
      <c r="BM28" s="119" t="s">
        <v>232</v>
      </c>
      <c r="BN28" s="40"/>
      <c r="BO28" s="110">
        <f t="shared" si="61"/>
        <v>0</v>
      </c>
      <c r="BP28" s="109">
        <f t="shared" si="62"/>
        <v>0</v>
      </c>
      <c r="BQ28" s="111">
        <f t="shared" si="63"/>
        <v>0</v>
      </c>
      <c r="BT28" s="119" t="s">
        <v>232</v>
      </c>
      <c r="BU28" s="40"/>
      <c r="BV28" s="110">
        <f t="shared" si="64"/>
        <v>0</v>
      </c>
      <c r="BW28" s="109">
        <f t="shared" si="65"/>
        <v>0</v>
      </c>
      <c r="BX28" s="111">
        <f t="shared" si="66"/>
        <v>0</v>
      </c>
      <c r="CA28" s="119" t="s">
        <v>232</v>
      </c>
      <c r="CB28" s="40"/>
      <c r="CC28" s="110">
        <f t="shared" si="67"/>
        <v>0</v>
      </c>
      <c r="CD28" s="109">
        <f t="shared" si="68"/>
        <v>0</v>
      </c>
      <c r="CE28" s="111">
        <f t="shared" si="69"/>
        <v>0</v>
      </c>
      <c r="CH28" s="119" t="s">
        <v>232</v>
      </c>
      <c r="CI28" s="40"/>
      <c r="CJ28" s="110">
        <f t="shared" si="70"/>
        <v>0</v>
      </c>
      <c r="CK28" s="109">
        <f t="shared" si="71"/>
        <v>0</v>
      </c>
      <c r="CL28" s="111">
        <f t="shared" si="72"/>
        <v>0</v>
      </c>
      <c r="CO28" s="119" t="s">
        <v>232</v>
      </c>
      <c r="CP28" s="40"/>
      <c r="CQ28" s="110">
        <f t="shared" si="73"/>
        <v>0</v>
      </c>
      <c r="CR28" s="109">
        <f t="shared" si="74"/>
        <v>0</v>
      </c>
      <c r="CS28" s="111">
        <f t="shared" si="75"/>
        <v>0</v>
      </c>
      <c r="CV28" s="119" t="s">
        <v>232</v>
      </c>
      <c r="CW28" s="40"/>
      <c r="CX28" s="110">
        <f t="shared" si="76"/>
        <v>0</v>
      </c>
      <c r="CY28" s="109">
        <f t="shared" si="77"/>
        <v>0</v>
      </c>
      <c r="CZ28" s="111">
        <f t="shared" si="78"/>
        <v>0</v>
      </c>
      <c r="DC28" s="119" t="s">
        <v>232</v>
      </c>
      <c r="DD28" s="40"/>
      <c r="DE28" s="110">
        <f t="shared" si="79"/>
        <v>0</v>
      </c>
      <c r="DF28" s="109">
        <f t="shared" si="80"/>
        <v>0</v>
      </c>
      <c r="DG28" s="111">
        <f t="shared" si="81"/>
        <v>0</v>
      </c>
      <c r="DJ28" s="119" t="s">
        <v>232</v>
      </c>
      <c r="DK28" s="40"/>
      <c r="DL28" s="110">
        <f t="shared" si="82"/>
        <v>0</v>
      </c>
      <c r="DM28" s="109">
        <f t="shared" si="83"/>
        <v>0</v>
      </c>
      <c r="DN28" s="111">
        <f t="shared" si="84"/>
        <v>0</v>
      </c>
      <c r="DQ28" s="119" t="s">
        <v>232</v>
      </c>
      <c r="DR28" s="40"/>
      <c r="DS28" s="110">
        <f t="shared" si="85"/>
        <v>0</v>
      </c>
      <c r="DT28" s="109">
        <f t="shared" si="86"/>
        <v>0</v>
      </c>
      <c r="DU28" s="111">
        <f t="shared" si="87"/>
        <v>0</v>
      </c>
    </row>
    <row r="29">
      <c r="B29" s="119" t="s">
        <v>234</v>
      </c>
      <c r="C29" s="40"/>
      <c r="D29" s="110">
        <f t="shared" si="34"/>
        <v>0</v>
      </c>
      <c r="E29" s="109">
        <f t="shared" si="35"/>
        <v>0</v>
      </c>
      <c r="F29" s="111">
        <f t="shared" si="36"/>
        <v>0</v>
      </c>
      <c r="I29" s="119" t="s">
        <v>234</v>
      </c>
      <c r="J29" s="40"/>
      <c r="K29" s="110">
        <f t="shared" si="37"/>
        <v>0</v>
      </c>
      <c r="L29" s="109">
        <f t="shared" si="38"/>
        <v>0</v>
      </c>
      <c r="M29" s="111">
        <f t="shared" si="39"/>
        <v>0</v>
      </c>
      <c r="P29" s="119" t="s">
        <v>234</v>
      </c>
      <c r="Q29" s="40"/>
      <c r="R29" s="110">
        <f t="shared" si="40"/>
        <v>0</v>
      </c>
      <c r="S29" s="109">
        <f t="shared" si="41"/>
        <v>0</v>
      </c>
      <c r="T29" s="111">
        <f t="shared" si="42"/>
        <v>0</v>
      </c>
      <c r="W29" s="119" t="s">
        <v>234</v>
      </c>
      <c r="X29" s="40"/>
      <c r="Y29" s="110">
        <f t="shared" si="43"/>
        <v>0</v>
      </c>
      <c r="Z29" s="109">
        <f t="shared" si="44"/>
        <v>0</v>
      </c>
      <c r="AA29" s="111">
        <f t="shared" si="45"/>
        <v>0</v>
      </c>
      <c r="AD29" s="119" t="s">
        <v>234</v>
      </c>
      <c r="AE29" s="40"/>
      <c r="AF29" s="110">
        <f t="shared" si="46"/>
        <v>0</v>
      </c>
      <c r="AG29" s="109">
        <f t="shared" si="47"/>
        <v>0</v>
      </c>
      <c r="AH29" s="111">
        <f t="shared" si="48"/>
        <v>0</v>
      </c>
      <c r="AK29" s="119" t="s">
        <v>234</v>
      </c>
      <c r="AL29" s="40"/>
      <c r="AM29" s="110">
        <f t="shared" si="49"/>
        <v>0</v>
      </c>
      <c r="AN29" s="109">
        <f t="shared" si="50"/>
        <v>0</v>
      </c>
      <c r="AO29" s="111">
        <f t="shared" si="51"/>
        <v>0</v>
      </c>
      <c r="AR29" s="119" t="s">
        <v>234</v>
      </c>
      <c r="AS29" s="40"/>
      <c r="AT29" s="110">
        <f t="shared" si="52"/>
        <v>0</v>
      </c>
      <c r="AU29" s="109">
        <f t="shared" si="53"/>
        <v>0</v>
      </c>
      <c r="AV29" s="111">
        <f t="shared" si="54"/>
        <v>0</v>
      </c>
      <c r="AY29" s="119" t="s">
        <v>234</v>
      </c>
      <c r="AZ29" s="40"/>
      <c r="BA29" s="110">
        <f t="shared" si="55"/>
        <v>0</v>
      </c>
      <c r="BB29" s="109">
        <f t="shared" si="56"/>
        <v>0</v>
      </c>
      <c r="BC29" s="111">
        <f t="shared" si="57"/>
        <v>0</v>
      </c>
      <c r="BF29" s="119" t="s">
        <v>234</v>
      </c>
      <c r="BG29" s="40"/>
      <c r="BH29" s="110">
        <f t="shared" si="58"/>
        <v>0</v>
      </c>
      <c r="BI29" s="109">
        <f t="shared" si="59"/>
        <v>0</v>
      </c>
      <c r="BJ29" s="111">
        <f t="shared" si="60"/>
        <v>0</v>
      </c>
      <c r="BM29" s="119" t="s">
        <v>234</v>
      </c>
      <c r="BN29" s="40"/>
      <c r="BO29" s="110">
        <f t="shared" si="61"/>
        <v>0</v>
      </c>
      <c r="BP29" s="109">
        <f t="shared" si="62"/>
        <v>0</v>
      </c>
      <c r="BQ29" s="111">
        <f t="shared" si="63"/>
        <v>0</v>
      </c>
      <c r="BT29" s="119" t="s">
        <v>234</v>
      </c>
      <c r="BU29" s="40"/>
      <c r="BV29" s="110">
        <f t="shared" si="64"/>
        <v>0</v>
      </c>
      <c r="BW29" s="109">
        <f t="shared" si="65"/>
        <v>0</v>
      </c>
      <c r="BX29" s="111">
        <f t="shared" si="66"/>
        <v>0</v>
      </c>
      <c r="CA29" s="119" t="s">
        <v>234</v>
      </c>
      <c r="CB29" s="40"/>
      <c r="CC29" s="110">
        <f t="shared" si="67"/>
        <v>0</v>
      </c>
      <c r="CD29" s="109">
        <f t="shared" si="68"/>
        <v>0</v>
      </c>
      <c r="CE29" s="111">
        <f t="shared" si="69"/>
        <v>0</v>
      </c>
      <c r="CH29" s="119" t="s">
        <v>234</v>
      </c>
      <c r="CI29" s="40"/>
      <c r="CJ29" s="110">
        <f t="shared" si="70"/>
        <v>0</v>
      </c>
      <c r="CK29" s="109">
        <f t="shared" si="71"/>
        <v>0</v>
      </c>
      <c r="CL29" s="111">
        <f t="shared" si="72"/>
        <v>0</v>
      </c>
      <c r="CO29" s="119" t="s">
        <v>234</v>
      </c>
      <c r="CP29" s="40"/>
      <c r="CQ29" s="110">
        <f t="shared" si="73"/>
        <v>0</v>
      </c>
      <c r="CR29" s="109">
        <f t="shared" si="74"/>
        <v>0</v>
      </c>
      <c r="CS29" s="111">
        <f t="shared" si="75"/>
        <v>0</v>
      </c>
      <c r="CV29" s="119" t="s">
        <v>234</v>
      </c>
      <c r="CW29" s="40"/>
      <c r="CX29" s="110">
        <f t="shared" si="76"/>
        <v>0</v>
      </c>
      <c r="CY29" s="109">
        <f t="shared" si="77"/>
        <v>0</v>
      </c>
      <c r="CZ29" s="111">
        <f t="shared" si="78"/>
        <v>0</v>
      </c>
      <c r="DC29" s="119" t="s">
        <v>234</v>
      </c>
      <c r="DD29" s="40"/>
      <c r="DE29" s="110">
        <f t="shared" si="79"/>
        <v>0</v>
      </c>
      <c r="DF29" s="109">
        <f t="shared" si="80"/>
        <v>0</v>
      </c>
      <c r="DG29" s="111">
        <f t="shared" si="81"/>
        <v>0</v>
      </c>
      <c r="DJ29" s="119" t="s">
        <v>234</v>
      </c>
      <c r="DK29" s="40"/>
      <c r="DL29" s="110">
        <f t="shared" si="82"/>
        <v>0</v>
      </c>
      <c r="DM29" s="109">
        <f t="shared" si="83"/>
        <v>0</v>
      </c>
      <c r="DN29" s="111">
        <f t="shared" si="84"/>
        <v>0</v>
      </c>
      <c r="DQ29" s="119" t="s">
        <v>234</v>
      </c>
      <c r="DR29" s="40"/>
      <c r="DS29" s="110">
        <f t="shared" si="85"/>
        <v>0</v>
      </c>
      <c r="DT29" s="109">
        <f t="shared" si="86"/>
        <v>0</v>
      </c>
      <c r="DU29" s="111">
        <f t="shared" si="87"/>
        <v>0</v>
      </c>
    </row>
    <row r="30">
      <c r="B30" s="119" t="s">
        <v>236</v>
      </c>
      <c r="C30" s="40"/>
      <c r="D30" s="110">
        <f t="shared" si="34"/>
        <v>0</v>
      </c>
      <c r="E30" s="109">
        <f t="shared" si="35"/>
        <v>0</v>
      </c>
      <c r="F30" s="111">
        <f t="shared" si="36"/>
        <v>0</v>
      </c>
      <c r="I30" s="119" t="s">
        <v>236</v>
      </c>
      <c r="J30" s="40"/>
      <c r="K30" s="110">
        <f t="shared" si="37"/>
        <v>0</v>
      </c>
      <c r="L30" s="109">
        <f t="shared" si="38"/>
        <v>0</v>
      </c>
      <c r="M30" s="111">
        <f t="shared" si="39"/>
        <v>0</v>
      </c>
      <c r="P30" s="119" t="s">
        <v>236</v>
      </c>
      <c r="Q30" s="40"/>
      <c r="R30" s="110">
        <f t="shared" si="40"/>
        <v>0</v>
      </c>
      <c r="S30" s="109">
        <f t="shared" si="41"/>
        <v>0</v>
      </c>
      <c r="T30" s="111">
        <f t="shared" si="42"/>
        <v>0</v>
      </c>
      <c r="W30" s="119" t="s">
        <v>236</v>
      </c>
      <c r="X30" s="40"/>
      <c r="Y30" s="110">
        <f t="shared" si="43"/>
        <v>0</v>
      </c>
      <c r="Z30" s="109">
        <f t="shared" si="44"/>
        <v>0</v>
      </c>
      <c r="AA30" s="111">
        <f t="shared" si="45"/>
        <v>0</v>
      </c>
      <c r="AD30" s="119" t="s">
        <v>236</v>
      </c>
      <c r="AE30" s="40"/>
      <c r="AF30" s="110">
        <f t="shared" si="46"/>
        <v>0</v>
      </c>
      <c r="AG30" s="109">
        <f t="shared" si="47"/>
        <v>0</v>
      </c>
      <c r="AH30" s="111">
        <f t="shared" si="48"/>
        <v>0</v>
      </c>
      <c r="AK30" s="119" t="s">
        <v>236</v>
      </c>
      <c r="AL30" s="40"/>
      <c r="AM30" s="110">
        <f t="shared" si="49"/>
        <v>0</v>
      </c>
      <c r="AN30" s="109">
        <f t="shared" si="50"/>
        <v>0</v>
      </c>
      <c r="AO30" s="111">
        <f t="shared" si="51"/>
        <v>0</v>
      </c>
      <c r="AR30" s="119" t="s">
        <v>236</v>
      </c>
      <c r="AS30" s="40"/>
      <c r="AT30" s="110">
        <f t="shared" si="52"/>
        <v>0</v>
      </c>
      <c r="AU30" s="109">
        <f t="shared" si="53"/>
        <v>0</v>
      </c>
      <c r="AV30" s="111">
        <f t="shared" si="54"/>
        <v>0</v>
      </c>
      <c r="AY30" s="119" t="s">
        <v>236</v>
      </c>
      <c r="AZ30" s="40"/>
      <c r="BA30" s="110">
        <f t="shared" si="55"/>
        <v>0</v>
      </c>
      <c r="BB30" s="109">
        <f t="shared" si="56"/>
        <v>0</v>
      </c>
      <c r="BC30" s="111">
        <f t="shared" si="57"/>
        <v>0</v>
      </c>
      <c r="BF30" s="119" t="s">
        <v>236</v>
      </c>
      <c r="BG30" s="40"/>
      <c r="BH30" s="110">
        <f t="shared" si="58"/>
        <v>0</v>
      </c>
      <c r="BI30" s="109">
        <f t="shared" si="59"/>
        <v>0</v>
      </c>
      <c r="BJ30" s="111">
        <f t="shared" si="60"/>
        <v>0</v>
      </c>
      <c r="BM30" s="119" t="s">
        <v>236</v>
      </c>
      <c r="BN30" s="40"/>
      <c r="BO30" s="110">
        <f t="shared" si="61"/>
        <v>0</v>
      </c>
      <c r="BP30" s="109">
        <f t="shared" si="62"/>
        <v>0</v>
      </c>
      <c r="BQ30" s="111">
        <f t="shared" si="63"/>
        <v>0</v>
      </c>
      <c r="BT30" s="119" t="s">
        <v>236</v>
      </c>
      <c r="BU30" s="40"/>
      <c r="BV30" s="110">
        <f t="shared" si="64"/>
        <v>0</v>
      </c>
      <c r="BW30" s="109">
        <f t="shared" si="65"/>
        <v>0</v>
      </c>
      <c r="BX30" s="111">
        <f t="shared" si="66"/>
        <v>0</v>
      </c>
      <c r="CA30" s="119" t="s">
        <v>236</v>
      </c>
      <c r="CB30" s="40"/>
      <c r="CC30" s="110">
        <f t="shared" si="67"/>
        <v>0</v>
      </c>
      <c r="CD30" s="109">
        <f t="shared" si="68"/>
        <v>0</v>
      </c>
      <c r="CE30" s="111">
        <f t="shared" si="69"/>
        <v>0</v>
      </c>
      <c r="CH30" s="119" t="s">
        <v>236</v>
      </c>
      <c r="CI30" s="40"/>
      <c r="CJ30" s="110">
        <f t="shared" si="70"/>
        <v>0</v>
      </c>
      <c r="CK30" s="109">
        <f t="shared" si="71"/>
        <v>0</v>
      </c>
      <c r="CL30" s="111">
        <f t="shared" si="72"/>
        <v>0</v>
      </c>
      <c r="CO30" s="119" t="s">
        <v>236</v>
      </c>
      <c r="CP30" s="40"/>
      <c r="CQ30" s="110">
        <f t="shared" si="73"/>
        <v>0</v>
      </c>
      <c r="CR30" s="109">
        <f t="shared" si="74"/>
        <v>0</v>
      </c>
      <c r="CS30" s="111">
        <f t="shared" si="75"/>
        <v>0</v>
      </c>
      <c r="CV30" s="119" t="s">
        <v>236</v>
      </c>
      <c r="CW30" s="40"/>
      <c r="CX30" s="110">
        <f t="shared" si="76"/>
        <v>0</v>
      </c>
      <c r="CY30" s="109">
        <f t="shared" si="77"/>
        <v>0</v>
      </c>
      <c r="CZ30" s="111">
        <f t="shared" si="78"/>
        <v>0</v>
      </c>
      <c r="DC30" s="119" t="s">
        <v>236</v>
      </c>
      <c r="DD30" s="40"/>
      <c r="DE30" s="110">
        <f t="shared" si="79"/>
        <v>0</v>
      </c>
      <c r="DF30" s="109">
        <f t="shared" si="80"/>
        <v>0</v>
      </c>
      <c r="DG30" s="111">
        <f t="shared" si="81"/>
        <v>0</v>
      </c>
      <c r="DJ30" s="119" t="s">
        <v>236</v>
      </c>
      <c r="DK30" s="40"/>
      <c r="DL30" s="110">
        <f t="shared" si="82"/>
        <v>0</v>
      </c>
      <c r="DM30" s="109">
        <f t="shared" si="83"/>
        <v>0</v>
      </c>
      <c r="DN30" s="111">
        <f t="shared" si="84"/>
        <v>0</v>
      </c>
      <c r="DQ30" s="119" t="s">
        <v>236</v>
      </c>
      <c r="DR30" s="40"/>
      <c r="DS30" s="110">
        <f t="shared" si="85"/>
        <v>0</v>
      </c>
      <c r="DT30" s="109">
        <f t="shared" si="86"/>
        <v>0</v>
      </c>
      <c r="DU30" s="111">
        <f t="shared" si="87"/>
        <v>0</v>
      </c>
    </row>
    <row r="31">
      <c r="B31" s="119" t="s">
        <v>238</v>
      </c>
      <c r="C31" s="40"/>
      <c r="D31" s="110">
        <f t="shared" si="34"/>
        <v>0</v>
      </c>
      <c r="E31" s="109">
        <f t="shared" si="35"/>
        <v>0</v>
      </c>
      <c r="F31" s="111">
        <f t="shared" si="36"/>
        <v>0</v>
      </c>
      <c r="I31" s="119" t="s">
        <v>238</v>
      </c>
      <c r="J31" s="40"/>
      <c r="K31" s="110">
        <f t="shared" si="37"/>
        <v>0</v>
      </c>
      <c r="L31" s="109">
        <f t="shared" si="38"/>
        <v>0</v>
      </c>
      <c r="M31" s="111">
        <f t="shared" si="39"/>
        <v>0</v>
      </c>
      <c r="P31" s="119" t="s">
        <v>238</v>
      </c>
      <c r="Q31" s="40"/>
      <c r="R31" s="110">
        <f t="shared" si="40"/>
        <v>0</v>
      </c>
      <c r="S31" s="109">
        <f t="shared" si="41"/>
        <v>0</v>
      </c>
      <c r="T31" s="111">
        <f t="shared" si="42"/>
        <v>0</v>
      </c>
      <c r="W31" s="119" t="s">
        <v>238</v>
      </c>
      <c r="X31" s="40"/>
      <c r="Y31" s="110">
        <f t="shared" si="43"/>
        <v>0</v>
      </c>
      <c r="Z31" s="109">
        <f t="shared" si="44"/>
        <v>0</v>
      </c>
      <c r="AA31" s="111">
        <f t="shared" si="45"/>
        <v>0</v>
      </c>
      <c r="AD31" s="119" t="s">
        <v>238</v>
      </c>
      <c r="AE31" s="40"/>
      <c r="AF31" s="110">
        <f t="shared" si="46"/>
        <v>0</v>
      </c>
      <c r="AG31" s="109">
        <f t="shared" si="47"/>
        <v>0</v>
      </c>
      <c r="AH31" s="111">
        <f t="shared" si="48"/>
        <v>0</v>
      </c>
      <c r="AK31" s="119" t="s">
        <v>238</v>
      </c>
      <c r="AL31" s="40"/>
      <c r="AM31" s="110">
        <f t="shared" si="49"/>
        <v>0</v>
      </c>
      <c r="AN31" s="109">
        <f t="shared" si="50"/>
        <v>0</v>
      </c>
      <c r="AO31" s="111">
        <f t="shared" si="51"/>
        <v>0</v>
      </c>
      <c r="AR31" s="119" t="s">
        <v>238</v>
      </c>
      <c r="AS31" s="40"/>
      <c r="AT31" s="110">
        <f t="shared" si="52"/>
        <v>0</v>
      </c>
      <c r="AU31" s="109">
        <f t="shared" si="53"/>
        <v>0</v>
      </c>
      <c r="AV31" s="111">
        <f t="shared" si="54"/>
        <v>0</v>
      </c>
      <c r="AY31" s="119" t="s">
        <v>238</v>
      </c>
      <c r="AZ31" s="40"/>
      <c r="BA31" s="110">
        <f t="shared" si="55"/>
        <v>0</v>
      </c>
      <c r="BB31" s="109">
        <f t="shared" si="56"/>
        <v>0</v>
      </c>
      <c r="BC31" s="111">
        <f t="shared" si="57"/>
        <v>0</v>
      </c>
      <c r="BF31" s="119" t="s">
        <v>238</v>
      </c>
      <c r="BG31" s="40"/>
      <c r="BH31" s="110">
        <f t="shared" si="58"/>
        <v>0</v>
      </c>
      <c r="BI31" s="109">
        <f t="shared" si="59"/>
        <v>0</v>
      </c>
      <c r="BJ31" s="111">
        <f t="shared" si="60"/>
        <v>0</v>
      </c>
      <c r="BM31" s="119" t="s">
        <v>238</v>
      </c>
      <c r="BN31" s="40"/>
      <c r="BO31" s="110">
        <f t="shared" si="61"/>
        <v>0</v>
      </c>
      <c r="BP31" s="109">
        <f t="shared" si="62"/>
        <v>0</v>
      </c>
      <c r="BQ31" s="111">
        <f t="shared" si="63"/>
        <v>0</v>
      </c>
      <c r="BT31" s="119" t="s">
        <v>238</v>
      </c>
      <c r="BU31" s="40"/>
      <c r="BV31" s="110">
        <f t="shared" si="64"/>
        <v>0</v>
      </c>
      <c r="BW31" s="109">
        <f t="shared" si="65"/>
        <v>0</v>
      </c>
      <c r="BX31" s="111">
        <f t="shared" si="66"/>
        <v>0</v>
      </c>
      <c r="CA31" s="119" t="s">
        <v>238</v>
      </c>
      <c r="CB31" s="40"/>
      <c r="CC31" s="110">
        <f t="shared" si="67"/>
        <v>0</v>
      </c>
      <c r="CD31" s="109">
        <f t="shared" si="68"/>
        <v>0</v>
      </c>
      <c r="CE31" s="111">
        <f t="shared" si="69"/>
        <v>0</v>
      </c>
      <c r="CH31" s="119" t="s">
        <v>238</v>
      </c>
      <c r="CI31" s="40"/>
      <c r="CJ31" s="110">
        <f t="shared" si="70"/>
        <v>0</v>
      </c>
      <c r="CK31" s="109">
        <f t="shared" si="71"/>
        <v>0</v>
      </c>
      <c r="CL31" s="111">
        <f t="shared" si="72"/>
        <v>0</v>
      </c>
      <c r="CO31" s="119" t="s">
        <v>238</v>
      </c>
      <c r="CP31" s="40"/>
      <c r="CQ31" s="110">
        <f t="shared" si="73"/>
        <v>0</v>
      </c>
      <c r="CR31" s="109">
        <f t="shared" si="74"/>
        <v>0</v>
      </c>
      <c r="CS31" s="111">
        <f t="shared" si="75"/>
        <v>0</v>
      </c>
      <c r="CV31" s="119" t="s">
        <v>238</v>
      </c>
      <c r="CW31" s="40"/>
      <c r="CX31" s="110">
        <f t="shared" si="76"/>
        <v>0</v>
      </c>
      <c r="CY31" s="109">
        <f t="shared" si="77"/>
        <v>0</v>
      </c>
      <c r="CZ31" s="111">
        <f t="shared" si="78"/>
        <v>0</v>
      </c>
      <c r="DC31" s="119" t="s">
        <v>238</v>
      </c>
      <c r="DD31" s="40"/>
      <c r="DE31" s="110">
        <f t="shared" si="79"/>
        <v>0</v>
      </c>
      <c r="DF31" s="109">
        <f t="shared" si="80"/>
        <v>0</v>
      </c>
      <c r="DG31" s="111">
        <f t="shared" si="81"/>
        <v>0</v>
      </c>
      <c r="DJ31" s="119" t="s">
        <v>238</v>
      </c>
      <c r="DK31" s="40"/>
      <c r="DL31" s="110">
        <f t="shared" si="82"/>
        <v>0</v>
      </c>
      <c r="DM31" s="109">
        <f t="shared" si="83"/>
        <v>0</v>
      </c>
      <c r="DN31" s="111">
        <f t="shared" si="84"/>
        <v>0</v>
      </c>
      <c r="DQ31" s="119" t="s">
        <v>238</v>
      </c>
      <c r="DR31" s="40"/>
      <c r="DS31" s="110">
        <f t="shared" si="85"/>
        <v>0</v>
      </c>
      <c r="DT31" s="109">
        <f t="shared" si="86"/>
        <v>0</v>
      </c>
      <c r="DU31" s="111">
        <f t="shared" si="87"/>
        <v>0</v>
      </c>
    </row>
    <row r="32">
      <c r="B32" s="119" t="s">
        <v>240</v>
      </c>
      <c r="C32" s="40"/>
      <c r="D32" s="110">
        <f t="shared" si="34"/>
        <v>0</v>
      </c>
      <c r="E32" s="109">
        <f t="shared" si="35"/>
        <v>0</v>
      </c>
      <c r="F32" s="111">
        <f t="shared" si="36"/>
        <v>0</v>
      </c>
      <c r="I32" s="119" t="s">
        <v>240</v>
      </c>
      <c r="J32" s="40"/>
      <c r="K32" s="110">
        <f t="shared" si="37"/>
        <v>0</v>
      </c>
      <c r="L32" s="109">
        <f t="shared" si="38"/>
        <v>0</v>
      </c>
      <c r="M32" s="111">
        <f t="shared" si="39"/>
        <v>0</v>
      </c>
      <c r="P32" s="119" t="s">
        <v>240</v>
      </c>
      <c r="Q32" s="40"/>
      <c r="R32" s="110">
        <f t="shared" si="40"/>
        <v>0</v>
      </c>
      <c r="S32" s="109">
        <f t="shared" si="41"/>
        <v>0</v>
      </c>
      <c r="T32" s="111">
        <f t="shared" si="42"/>
        <v>0</v>
      </c>
      <c r="W32" s="119" t="s">
        <v>240</v>
      </c>
      <c r="X32" s="40"/>
      <c r="Y32" s="110">
        <f t="shared" si="43"/>
        <v>0</v>
      </c>
      <c r="Z32" s="109">
        <f t="shared" si="44"/>
        <v>0</v>
      </c>
      <c r="AA32" s="111">
        <f t="shared" si="45"/>
        <v>0</v>
      </c>
      <c r="AD32" s="119" t="s">
        <v>240</v>
      </c>
      <c r="AE32" s="40"/>
      <c r="AF32" s="110">
        <f t="shared" si="46"/>
        <v>0</v>
      </c>
      <c r="AG32" s="109">
        <f t="shared" si="47"/>
        <v>0</v>
      </c>
      <c r="AH32" s="111">
        <f t="shared" si="48"/>
        <v>0</v>
      </c>
      <c r="AK32" s="119" t="s">
        <v>240</v>
      </c>
      <c r="AL32" s="40"/>
      <c r="AM32" s="110">
        <f t="shared" si="49"/>
        <v>0</v>
      </c>
      <c r="AN32" s="109">
        <f t="shared" si="50"/>
        <v>0</v>
      </c>
      <c r="AO32" s="111">
        <f t="shared" si="51"/>
        <v>0</v>
      </c>
      <c r="AR32" s="119" t="s">
        <v>240</v>
      </c>
      <c r="AS32" s="40"/>
      <c r="AT32" s="110">
        <f t="shared" si="52"/>
        <v>0</v>
      </c>
      <c r="AU32" s="109">
        <f t="shared" si="53"/>
        <v>0</v>
      </c>
      <c r="AV32" s="111">
        <f t="shared" si="54"/>
        <v>0</v>
      </c>
      <c r="AY32" s="119" t="s">
        <v>240</v>
      </c>
      <c r="AZ32" s="40"/>
      <c r="BA32" s="110">
        <f t="shared" si="55"/>
        <v>0</v>
      </c>
      <c r="BB32" s="109">
        <f t="shared" si="56"/>
        <v>0</v>
      </c>
      <c r="BC32" s="111">
        <f t="shared" si="57"/>
        <v>0</v>
      </c>
      <c r="BF32" s="119" t="s">
        <v>240</v>
      </c>
      <c r="BG32" s="40"/>
      <c r="BH32" s="110">
        <f t="shared" si="58"/>
        <v>0</v>
      </c>
      <c r="BI32" s="109">
        <f t="shared" si="59"/>
        <v>0</v>
      </c>
      <c r="BJ32" s="111">
        <f t="shared" si="60"/>
        <v>0</v>
      </c>
      <c r="BM32" s="119" t="s">
        <v>240</v>
      </c>
      <c r="BN32" s="40"/>
      <c r="BO32" s="110">
        <f t="shared" si="61"/>
        <v>0</v>
      </c>
      <c r="BP32" s="109">
        <f t="shared" si="62"/>
        <v>0</v>
      </c>
      <c r="BQ32" s="111">
        <f t="shared" si="63"/>
        <v>0</v>
      </c>
      <c r="BT32" s="119" t="s">
        <v>240</v>
      </c>
      <c r="BU32" s="40"/>
      <c r="BV32" s="110">
        <f t="shared" si="64"/>
        <v>0</v>
      </c>
      <c r="BW32" s="109">
        <f t="shared" si="65"/>
        <v>0</v>
      </c>
      <c r="BX32" s="111">
        <f t="shared" si="66"/>
        <v>0</v>
      </c>
      <c r="CA32" s="119" t="s">
        <v>240</v>
      </c>
      <c r="CB32" s="40"/>
      <c r="CC32" s="110">
        <f t="shared" si="67"/>
        <v>0</v>
      </c>
      <c r="CD32" s="109">
        <f t="shared" si="68"/>
        <v>0</v>
      </c>
      <c r="CE32" s="111">
        <f t="shared" si="69"/>
        <v>0</v>
      </c>
      <c r="CH32" s="119" t="s">
        <v>240</v>
      </c>
      <c r="CI32" s="40"/>
      <c r="CJ32" s="110">
        <f t="shared" si="70"/>
        <v>0</v>
      </c>
      <c r="CK32" s="109">
        <f t="shared" si="71"/>
        <v>0</v>
      </c>
      <c r="CL32" s="111">
        <f t="shared" si="72"/>
        <v>0</v>
      </c>
      <c r="CO32" s="119" t="s">
        <v>240</v>
      </c>
      <c r="CP32" s="40"/>
      <c r="CQ32" s="110">
        <f t="shared" si="73"/>
        <v>0</v>
      </c>
      <c r="CR32" s="109">
        <f t="shared" si="74"/>
        <v>0</v>
      </c>
      <c r="CS32" s="111">
        <f t="shared" si="75"/>
        <v>0</v>
      </c>
      <c r="CV32" s="119" t="s">
        <v>240</v>
      </c>
      <c r="CW32" s="40"/>
      <c r="CX32" s="110">
        <f t="shared" si="76"/>
        <v>0</v>
      </c>
      <c r="CY32" s="109">
        <f t="shared" si="77"/>
        <v>0</v>
      </c>
      <c r="CZ32" s="111">
        <f t="shared" si="78"/>
        <v>0</v>
      </c>
      <c r="DC32" s="119" t="s">
        <v>240</v>
      </c>
      <c r="DD32" s="40"/>
      <c r="DE32" s="110">
        <f t="shared" si="79"/>
        <v>0</v>
      </c>
      <c r="DF32" s="109">
        <f t="shared" si="80"/>
        <v>0</v>
      </c>
      <c r="DG32" s="111">
        <f t="shared" si="81"/>
        <v>0</v>
      </c>
      <c r="DJ32" s="119" t="s">
        <v>240</v>
      </c>
      <c r="DK32" s="40"/>
      <c r="DL32" s="110">
        <f t="shared" si="82"/>
        <v>0</v>
      </c>
      <c r="DM32" s="109">
        <f t="shared" si="83"/>
        <v>0</v>
      </c>
      <c r="DN32" s="111">
        <f t="shared" si="84"/>
        <v>0</v>
      </c>
      <c r="DQ32" s="119" t="s">
        <v>240</v>
      </c>
      <c r="DR32" s="40"/>
      <c r="DS32" s="110">
        <f t="shared" si="85"/>
        <v>0</v>
      </c>
      <c r="DT32" s="109">
        <f t="shared" si="86"/>
        <v>0</v>
      </c>
      <c r="DU32" s="111">
        <f t="shared" si="87"/>
        <v>0</v>
      </c>
    </row>
    <row r="33">
      <c r="B33" s="119" t="s">
        <v>242</v>
      </c>
      <c r="C33" s="40"/>
      <c r="D33" s="110">
        <f t="shared" si="34"/>
        <v>0</v>
      </c>
      <c r="E33" s="109">
        <f t="shared" si="35"/>
        <v>0</v>
      </c>
      <c r="F33" s="111">
        <f t="shared" si="36"/>
        <v>0</v>
      </c>
      <c r="I33" s="119" t="s">
        <v>242</v>
      </c>
      <c r="J33" s="40"/>
      <c r="K33" s="110">
        <f t="shared" si="37"/>
        <v>0</v>
      </c>
      <c r="L33" s="109">
        <f t="shared" si="38"/>
        <v>0</v>
      </c>
      <c r="M33" s="111">
        <f t="shared" si="39"/>
        <v>0</v>
      </c>
      <c r="P33" s="119" t="s">
        <v>242</v>
      </c>
      <c r="Q33" s="40"/>
      <c r="R33" s="110">
        <f t="shared" si="40"/>
        <v>0</v>
      </c>
      <c r="S33" s="109">
        <f t="shared" si="41"/>
        <v>0</v>
      </c>
      <c r="T33" s="111">
        <f t="shared" si="42"/>
        <v>0</v>
      </c>
      <c r="W33" s="119" t="s">
        <v>242</v>
      </c>
      <c r="X33" s="40"/>
      <c r="Y33" s="110">
        <f t="shared" si="43"/>
        <v>0</v>
      </c>
      <c r="Z33" s="109">
        <f t="shared" si="44"/>
        <v>0</v>
      </c>
      <c r="AA33" s="111">
        <f t="shared" si="45"/>
        <v>0</v>
      </c>
      <c r="AD33" s="119" t="s">
        <v>242</v>
      </c>
      <c r="AE33" s="40"/>
      <c r="AF33" s="110">
        <f t="shared" si="46"/>
        <v>0</v>
      </c>
      <c r="AG33" s="109">
        <f t="shared" si="47"/>
        <v>0</v>
      </c>
      <c r="AH33" s="111">
        <f t="shared" si="48"/>
        <v>0</v>
      </c>
      <c r="AK33" s="119" t="s">
        <v>242</v>
      </c>
      <c r="AL33" s="40"/>
      <c r="AM33" s="110">
        <f t="shared" si="49"/>
        <v>0</v>
      </c>
      <c r="AN33" s="109">
        <f t="shared" si="50"/>
        <v>0</v>
      </c>
      <c r="AO33" s="111">
        <f t="shared" si="51"/>
        <v>0</v>
      </c>
      <c r="AR33" s="119" t="s">
        <v>242</v>
      </c>
      <c r="AS33" s="40"/>
      <c r="AT33" s="110">
        <f t="shared" si="52"/>
        <v>0</v>
      </c>
      <c r="AU33" s="109">
        <f t="shared" si="53"/>
        <v>0</v>
      </c>
      <c r="AV33" s="111">
        <f t="shared" si="54"/>
        <v>0</v>
      </c>
      <c r="AY33" s="119" t="s">
        <v>242</v>
      </c>
      <c r="AZ33" s="40"/>
      <c r="BA33" s="110">
        <f t="shared" si="55"/>
        <v>0</v>
      </c>
      <c r="BB33" s="109">
        <f t="shared" si="56"/>
        <v>0</v>
      </c>
      <c r="BC33" s="111">
        <f t="shared" si="57"/>
        <v>0</v>
      </c>
      <c r="BF33" s="119" t="s">
        <v>242</v>
      </c>
      <c r="BG33" s="40"/>
      <c r="BH33" s="110">
        <f t="shared" si="58"/>
        <v>0</v>
      </c>
      <c r="BI33" s="109">
        <f t="shared" si="59"/>
        <v>0</v>
      </c>
      <c r="BJ33" s="111">
        <f t="shared" si="60"/>
        <v>0</v>
      </c>
      <c r="BM33" s="119" t="s">
        <v>242</v>
      </c>
      <c r="BN33" s="40"/>
      <c r="BO33" s="110">
        <f t="shared" si="61"/>
        <v>0</v>
      </c>
      <c r="BP33" s="109">
        <f t="shared" si="62"/>
        <v>0</v>
      </c>
      <c r="BQ33" s="111">
        <f t="shared" si="63"/>
        <v>0</v>
      </c>
      <c r="BT33" s="119" t="s">
        <v>242</v>
      </c>
      <c r="BU33" s="40"/>
      <c r="BV33" s="110">
        <f t="shared" si="64"/>
        <v>0</v>
      </c>
      <c r="BW33" s="109">
        <f t="shared" si="65"/>
        <v>0</v>
      </c>
      <c r="BX33" s="111">
        <f t="shared" si="66"/>
        <v>0</v>
      </c>
      <c r="CA33" s="119" t="s">
        <v>242</v>
      </c>
      <c r="CB33" s="40"/>
      <c r="CC33" s="110">
        <f t="shared" si="67"/>
        <v>0</v>
      </c>
      <c r="CD33" s="109">
        <f t="shared" si="68"/>
        <v>0</v>
      </c>
      <c r="CE33" s="111">
        <f t="shared" si="69"/>
        <v>0</v>
      </c>
      <c r="CH33" s="119" t="s">
        <v>242</v>
      </c>
      <c r="CI33" s="40"/>
      <c r="CJ33" s="110">
        <f t="shared" si="70"/>
        <v>0</v>
      </c>
      <c r="CK33" s="109">
        <f t="shared" si="71"/>
        <v>0</v>
      </c>
      <c r="CL33" s="111">
        <f t="shared" si="72"/>
        <v>0</v>
      </c>
      <c r="CO33" s="119" t="s">
        <v>242</v>
      </c>
      <c r="CP33" s="40"/>
      <c r="CQ33" s="110">
        <f t="shared" si="73"/>
        <v>0</v>
      </c>
      <c r="CR33" s="109">
        <f t="shared" si="74"/>
        <v>0</v>
      </c>
      <c r="CS33" s="111">
        <f t="shared" si="75"/>
        <v>0</v>
      </c>
      <c r="CV33" s="119" t="s">
        <v>242</v>
      </c>
      <c r="CW33" s="40"/>
      <c r="CX33" s="110">
        <f t="shared" si="76"/>
        <v>0</v>
      </c>
      <c r="CY33" s="109">
        <f t="shared" si="77"/>
        <v>0</v>
      </c>
      <c r="CZ33" s="111">
        <f t="shared" si="78"/>
        <v>0</v>
      </c>
      <c r="DC33" s="119" t="s">
        <v>242</v>
      </c>
      <c r="DD33" s="40"/>
      <c r="DE33" s="110">
        <f t="shared" si="79"/>
        <v>0</v>
      </c>
      <c r="DF33" s="109">
        <f t="shared" si="80"/>
        <v>0</v>
      </c>
      <c r="DG33" s="111">
        <f t="shared" si="81"/>
        <v>0</v>
      </c>
      <c r="DJ33" s="119" t="s">
        <v>242</v>
      </c>
      <c r="DK33" s="40"/>
      <c r="DL33" s="110">
        <f t="shared" si="82"/>
        <v>0</v>
      </c>
      <c r="DM33" s="109">
        <f t="shared" si="83"/>
        <v>0</v>
      </c>
      <c r="DN33" s="111">
        <f t="shared" si="84"/>
        <v>0</v>
      </c>
      <c r="DQ33" s="119" t="s">
        <v>242</v>
      </c>
      <c r="DR33" s="40"/>
      <c r="DS33" s="110">
        <f t="shared" si="85"/>
        <v>0</v>
      </c>
      <c r="DT33" s="109">
        <f t="shared" si="86"/>
        <v>0</v>
      </c>
      <c r="DU33" s="111">
        <f t="shared" si="87"/>
        <v>0</v>
      </c>
    </row>
    <row r="34">
      <c r="B34" s="119" t="s">
        <v>244</v>
      </c>
      <c r="C34" s="40"/>
      <c r="D34" s="110">
        <f t="shared" si="34"/>
        <v>0</v>
      </c>
      <c r="E34" s="109">
        <f t="shared" si="35"/>
        <v>0</v>
      </c>
      <c r="F34" s="111">
        <f t="shared" si="36"/>
        <v>0</v>
      </c>
      <c r="I34" s="119" t="s">
        <v>244</v>
      </c>
      <c r="J34" s="40"/>
      <c r="K34" s="110">
        <f t="shared" si="37"/>
        <v>0</v>
      </c>
      <c r="L34" s="109">
        <f t="shared" si="38"/>
        <v>0</v>
      </c>
      <c r="M34" s="111">
        <f t="shared" si="39"/>
        <v>0</v>
      </c>
      <c r="P34" s="119" t="s">
        <v>244</v>
      </c>
      <c r="Q34" s="40"/>
      <c r="R34" s="110">
        <f t="shared" si="40"/>
        <v>0</v>
      </c>
      <c r="S34" s="109">
        <f t="shared" si="41"/>
        <v>0</v>
      </c>
      <c r="T34" s="111">
        <f t="shared" si="42"/>
        <v>0</v>
      </c>
      <c r="W34" s="119" t="s">
        <v>244</v>
      </c>
      <c r="X34" s="40"/>
      <c r="Y34" s="110">
        <f t="shared" si="43"/>
        <v>0</v>
      </c>
      <c r="Z34" s="109">
        <f t="shared" si="44"/>
        <v>0</v>
      </c>
      <c r="AA34" s="111">
        <f t="shared" si="45"/>
        <v>0</v>
      </c>
      <c r="AD34" s="119" t="s">
        <v>244</v>
      </c>
      <c r="AE34" s="40"/>
      <c r="AF34" s="110">
        <f t="shared" si="46"/>
        <v>0</v>
      </c>
      <c r="AG34" s="109">
        <f t="shared" si="47"/>
        <v>0</v>
      </c>
      <c r="AH34" s="111">
        <f t="shared" si="48"/>
        <v>0</v>
      </c>
      <c r="AK34" s="119" t="s">
        <v>244</v>
      </c>
      <c r="AL34" s="40"/>
      <c r="AM34" s="110">
        <f t="shared" si="49"/>
        <v>0</v>
      </c>
      <c r="AN34" s="109">
        <f t="shared" si="50"/>
        <v>0</v>
      </c>
      <c r="AO34" s="111">
        <f t="shared" si="51"/>
        <v>0</v>
      </c>
      <c r="AR34" s="119" t="s">
        <v>244</v>
      </c>
      <c r="AS34" s="40"/>
      <c r="AT34" s="110">
        <f t="shared" si="52"/>
        <v>0</v>
      </c>
      <c r="AU34" s="109">
        <f t="shared" si="53"/>
        <v>0</v>
      </c>
      <c r="AV34" s="111">
        <f t="shared" si="54"/>
        <v>0</v>
      </c>
      <c r="AY34" s="119" t="s">
        <v>244</v>
      </c>
      <c r="AZ34" s="40"/>
      <c r="BA34" s="110">
        <f t="shared" si="55"/>
        <v>0</v>
      </c>
      <c r="BB34" s="109">
        <f t="shared" si="56"/>
        <v>0</v>
      </c>
      <c r="BC34" s="111">
        <f t="shared" si="57"/>
        <v>0</v>
      </c>
      <c r="BF34" s="119" t="s">
        <v>244</v>
      </c>
      <c r="BG34" s="40"/>
      <c r="BH34" s="110">
        <f t="shared" si="58"/>
        <v>0</v>
      </c>
      <c r="BI34" s="109">
        <f t="shared" si="59"/>
        <v>0</v>
      </c>
      <c r="BJ34" s="111">
        <f t="shared" si="60"/>
        <v>0</v>
      </c>
      <c r="BM34" s="119" t="s">
        <v>244</v>
      </c>
      <c r="BN34" s="40"/>
      <c r="BO34" s="110">
        <f t="shared" si="61"/>
        <v>0</v>
      </c>
      <c r="BP34" s="109">
        <f t="shared" si="62"/>
        <v>0</v>
      </c>
      <c r="BQ34" s="111">
        <f t="shared" si="63"/>
        <v>0</v>
      </c>
      <c r="BT34" s="119" t="s">
        <v>244</v>
      </c>
      <c r="BU34" s="40"/>
      <c r="BV34" s="110">
        <f t="shared" si="64"/>
        <v>0</v>
      </c>
      <c r="BW34" s="109">
        <f t="shared" si="65"/>
        <v>0</v>
      </c>
      <c r="BX34" s="111">
        <f t="shared" si="66"/>
        <v>0</v>
      </c>
      <c r="CA34" s="119" t="s">
        <v>244</v>
      </c>
      <c r="CB34" s="40"/>
      <c r="CC34" s="110">
        <f t="shared" si="67"/>
        <v>0</v>
      </c>
      <c r="CD34" s="109">
        <f t="shared" si="68"/>
        <v>0</v>
      </c>
      <c r="CE34" s="111">
        <f t="shared" si="69"/>
        <v>0</v>
      </c>
      <c r="CH34" s="119" t="s">
        <v>244</v>
      </c>
      <c r="CI34" s="40"/>
      <c r="CJ34" s="110">
        <f t="shared" si="70"/>
        <v>0</v>
      </c>
      <c r="CK34" s="109">
        <f t="shared" si="71"/>
        <v>0</v>
      </c>
      <c r="CL34" s="111">
        <f t="shared" si="72"/>
        <v>0</v>
      </c>
      <c r="CO34" s="119" t="s">
        <v>244</v>
      </c>
      <c r="CP34" s="40"/>
      <c r="CQ34" s="110">
        <f t="shared" si="73"/>
        <v>0</v>
      </c>
      <c r="CR34" s="109">
        <f t="shared" si="74"/>
        <v>0</v>
      </c>
      <c r="CS34" s="111">
        <f t="shared" si="75"/>
        <v>0</v>
      </c>
      <c r="CV34" s="119" t="s">
        <v>244</v>
      </c>
      <c r="CW34" s="40"/>
      <c r="CX34" s="110">
        <f t="shared" si="76"/>
        <v>0</v>
      </c>
      <c r="CY34" s="109">
        <f t="shared" si="77"/>
        <v>0</v>
      </c>
      <c r="CZ34" s="111">
        <f t="shared" si="78"/>
        <v>0</v>
      </c>
      <c r="DC34" s="119" t="s">
        <v>244</v>
      </c>
      <c r="DD34" s="40"/>
      <c r="DE34" s="110">
        <f t="shared" si="79"/>
        <v>0</v>
      </c>
      <c r="DF34" s="109">
        <f t="shared" si="80"/>
        <v>0</v>
      </c>
      <c r="DG34" s="111">
        <f t="shared" si="81"/>
        <v>0</v>
      </c>
      <c r="DJ34" s="119" t="s">
        <v>244</v>
      </c>
      <c r="DK34" s="40"/>
      <c r="DL34" s="110">
        <f t="shared" si="82"/>
        <v>0</v>
      </c>
      <c r="DM34" s="109">
        <f t="shared" si="83"/>
        <v>0</v>
      </c>
      <c r="DN34" s="111">
        <f t="shared" si="84"/>
        <v>0</v>
      </c>
      <c r="DQ34" s="119" t="s">
        <v>244</v>
      </c>
      <c r="DR34" s="40"/>
      <c r="DS34" s="110">
        <f t="shared" si="85"/>
        <v>0</v>
      </c>
      <c r="DT34" s="109">
        <f t="shared" si="86"/>
        <v>0</v>
      </c>
      <c r="DU34" s="111">
        <f t="shared" si="87"/>
        <v>0</v>
      </c>
    </row>
    <row r="35">
      <c r="B35" s="119" t="s">
        <v>246</v>
      </c>
      <c r="C35" s="40"/>
      <c r="D35" s="110">
        <f t="shared" si="34"/>
        <v>0</v>
      </c>
      <c r="E35" s="109">
        <f t="shared" si="35"/>
        <v>0</v>
      </c>
      <c r="F35" s="111">
        <f t="shared" si="36"/>
        <v>0</v>
      </c>
      <c r="I35" s="119" t="s">
        <v>246</v>
      </c>
      <c r="J35" s="40"/>
      <c r="K35" s="110">
        <f t="shared" si="37"/>
        <v>0</v>
      </c>
      <c r="L35" s="109">
        <f t="shared" si="38"/>
        <v>0</v>
      </c>
      <c r="M35" s="111">
        <f t="shared" si="39"/>
        <v>0</v>
      </c>
      <c r="P35" s="119" t="s">
        <v>246</v>
      </c>
      <c r="Q35" s="40"/>
      <c r="R35" s="110">
        <f t="shared" si="40"/>
        <v>0</v>
      </c>
      <c r="S35" s="109">
        <f t="shared" si="41"/>
        <v>0</v>
      </c>
      <c r="T35" s="111">
        <f t="shared" si="42"/>
        <v>0</v>
      </c>
      <c r="W35" s="119" t="s">
        <v>246</v>
      </c>
      <c r="X35" s="40"/>
      <c r="Y35" s="110">
        <f t="shared" si="43"/>
        <v>0</v>
      </c>
      <c r="Z35" s="109">
        <f t="shared" si="44"/>
        <v>0</v>
      </c>
      <c r="AA35" s="111">
        <f t="shared" si="45"/>
        <v>0</v>
      </c>
      <c r="AD35" s="119" t="s">
        <v>246</v>
      </c>
      <c r="AE35" s="40"/>
      <c r="AF35" s="110">
        <f t="shared" si="46"/>
        <v>0</v>
      </c>
      <c r="AG35" s="109">
        <f t="shared" si="47"/>
        <v>0</v>
      </c>
      <c r="AH35" s="111">
        <f t="shared" si="48"/>
        <v>0</v>
      </c>
      <c r="AK35" s="119" t="s">
        <v>246</v>
      </c>
      <c r="AL35" s="40"/>
      <c r="AM35" s="110">
        <f t="shared" si="49"/>
        <v>0</v>
      </c>
      <c r="AN35" s="109">
        <f t="shared" si="50"/>
        <v>0</v>
      </c>
      <c r="AO35" s="111">
        <f t="shared" si="51"/>
        <v>0</v>
      </c>
      <c r="AR35" s="119" t="s">
        <v>246</v>
      </c>
      <c r="AS35" s="40"/>
      <c r="AT35" s="110">
        <f t="shared" si="52"/>
        <v>0</v>
      </c>
      <c r="AU35" s="109">
        <f t="shared" si="53"/>
        <v>0</v>
      </c>
      <c r="AV35" s="111">
        <f t="shared" si="54"/>
        <v>0</v>
      </c>
      <c r="AY35" s="119" t="s">
        <v>246</v>
      </c>
      <c r="AZ35" s="40"/>
      <c r="BA35" s="110">
        <f t="shared" si="55"/>
        <v>0</v>
      </c>
      <c r="BB35" s="109">
        <f t="shared" si="56"/>
        <v>0</v>
      </c>
      <c r="BC35" s="111">
        <f t="shared" si="57"/>
        <v>0</v>
      </c>
      <c r="BF35" s="119" t="s">
        <v>246</v>
      </c>
      <c r="BG35" s="40"/>
      <c r="BH35" s="110">
        <f t="shared" si="58"/>
        <v>0</v>
      </c>
      <c r="BI35" s="109">
        <f t="shared" si="59"/>
        <v>0</v>
      </c>
      <c r="BJ35" s="111">
        <f t="shared" si="60"/>
        <v>0</v>
      </c>
      <c r="BM35" s="119" t="s">
        <v>246</v>
      </c>
      <c r="BN35" s="40"/>
      <c r="BO35" s="110">
        <f t="shared" si="61"/>
        <v>0</v>
      </c>
      <c r="BP35" s="109">
        <f t="shared" si="62"/>
        <v>0</v>
      </c>
      <c r="BQ35" s="111">
        <f t="shared" si="63"/>
        <v>0</v>
      </c>
      <c r="BT35" s="119" t="s">
        <v>246</v>
      </c>
      <c r="BU35" s="40"/>
      <c r="BV35" s="110">
        <f t="shared" si="64"/>
        <v>0</v>
      </c>
      <c r="BW35" s="109">
        <f t="shared" si="65"/>
        <v>0</v>
      </c>
      <c r="BX35" s="111">
        <f t="shared" si="66"/>
        <v>0</v>
      </c>
      <c r="CA35" s="119" t="s">
        <v>246</v>
      </c>
      <c r="CB35" s="40"/>
      <c r="CC35" s="110">
        <f t="shared" si="67"/>
        <v>0</v>
      </c>
      <c r="CD35" s="109">
        <f t="shared" si="68"/>
        <v>0</v>
      </c>
      <c r="CE35" s="111">
        <f t="shared" si="69"/>
        <v>0</v>
      </c>
      <c r="CH35" s="119" t="s">
        <v>246</v>
      </c>
      <c r="CI35" s="40"/>
      <c r="CJ35" s="110">
        <f t="shared" si="70"/>
        <v>0</v>
      </c>
      <c r="CK35" s="109">
        <f t="shared" si="71"/>
        <v>0</v>
      </c>
      <c r="CL35" s="111">
        <f t="shared" si="72"/>
        <v>0</v>
      </c>
      <c r="CO35" s="119" t="s">
        <v>246</v>
      </c>
      <c r="CP35" s="40"/>
      <c r="CQ35" s="110">
        <f t="shared" si="73"/>
        <v>0</v>
      </c>
      <c r="CR35" s="109">
        <f t="shared" si="74"/>
        <v>0</v>
      </c>
      <c r="CS35" s="111">
        <f t="shared" si="75"/>
        <v>0</v>
      </c>
      <c r="CV35" s="119" t="s">
        <v>246</v>
      </c>
      <c r="CW35" s="40"/>
      <c r="CX35" s="110">
        <f t="shared" si="76"/>
        <v>0</v>
      </c>
      <c r="CY35" s="109">
        <f t="shared" si="77"/>
        <v>0</v>
      </c>
      <c r="CZ35" s="111">
        <f t="shared" si="78"/>
        <v>0</v>
      </c>
      <c r="DC35" s="119" t="s">
        <v>246</v>
      </c>
      <c r="DD35" s="40"/>
      <c r="DE35" s="110">
        <f t="shared" si="79"/>
        <v>0</v>
      </c>
      <c r="DF35" s="109">
        <f t="shared" si="80"/>
        <v>0</v>
      </c>
      <c r="DG35" s="111">
        <f t="shared" si="81"/>
        <v>0</v>
      </c>
      <c r="DJ35" s="119" t="s">
        <v>246</v>
      </c>
      <c r="DK35" s="40"/>
      <c r="DL35" s="110">
        <f t="shared" si="82"/>
        <v>0</v>
      </c>
      <c r="DM35" s="109">
        <f t="shared" si="83"/>
        <v>0</v>
      </c>
      <c r="DN35" s="111">
        <f t="shared" si="84"/>
        <v>0</v>
      </c>
      <c r="DQ35" s="119" t="s">
        <v>246</v>
      </c>
      <c r="DR35" s="40"/>
      <c r="DS35" s="110">
        <f t="shared" si="85"/>
        <v>0</v>
      </c>
      <c r="DT35" s="109">
        <f t="shared" si="86"/>
        <v>0</v>
      </c>
      <c r="DU35" s="111">
        <f t="shared" si="87"/>
        <v>0</v>
      </c>
    </row>
    <row r="36">
      <c r="B36" s="119" t="s">
        <v>248</v>
      </c>
      <c r="C36" s="40"/>
      <c r="D36" s="110">
        <f t="shared" si="34"/>
        <v>0</v>
      </c>
      <c r="E36" s="109">
        <f t="shared" si="35"/>
        <v>0</v>
      </c>
      <c r="F36" s="111">
        <f t="shared" si="36"/>
        <v>0</v>
      </c>
      <c r="I36" s="119" t="s">
        <v>248</v>
      </c>
      <c r="J36" s="40"/>
      <c r="K36" s="110">
        <f t="shared" si="37"/>
        <v>0</v>
      </c>
      <c r="L36" s="109">
        <f t="shared" si="38"/>
        <v>0</v>
      </c>
      <c r="M36" s="111">
        <f t="shared" si="39"/>
        <v>0</v>
      </c>
      <c r="P36" s="119" t="s">
        <v>248</v>
      </c>
      <c r="Q36" s="40"/>
      <c r="R36" s="110">
        <f t="shared" si="40"/>
        <v>0</v>
      </c>
      <c r="S36" s="109">
        <f t="shared" si="41"/>
        <v>0</v>
      </c>
      <c r="T36" s="111">
        <f t="shared" si="42"/>
        <v>0</v>
      </c>
      <c r="W36" s="119" t="s">
        <v>248</v>
      </c>
      <c r="X36" s="40"/>
      <c r="Y36" s="110">
        <f t="shared" si="43"/>
        <v>0</v>
      </c>
      <c r="Z36" s="109">
        <f t="shared" si="44"/>
        <v>0</v>
      </c>
      <c r="AA36" s="111">
        <f t="shared" si="45"/>
        <v>0</v>
      </c>
      <c r="AD36" s="119" t="s">
        <v>248</v>
      </c>
      <c r="AE36" s="40"/>
      <c r="AF36" s="110">
        <f t="shared" si="46"/>
        <v>0</v>
      </c>
      <c r="AG36" s="109">
        <f t="shared" si="47"/>
        <v>0</v>
      </c>
      <c r="AH36" s="111">
        <f t="shared" si="48"/>
        <v>0</v>
      </c>
      <c r="AK36" s="119" t="s">
        <v>248</v>
      </c>
      <c r="AL36" s="40"/>
      <c r="AM36" s="110">
        <f t="shared" si="49"/>
        <v>0</v>
      </c>
      <c r="AN36" s="109">
        <f t="shared" si="50"/>
        <v>0</v>
      </c>
      <c r="AO36" s="111">
        <f t="shared" si="51"/>
        <v>0</v>
      </c>
      <c r="AR36" s="119" t="s">
        <v>248</v>
      </c>
      <c r="AS36" s="40"/>
      <c r="AT36" s="110">
        <f t="shared" si="52"/>
        <v>0</v>
      </c>
      <c r="AU36" s="109">
        <f t="shared" si="53"/>
        <v>0</v>
      </c>
      <c r="AV36" s="111">
        <f t="shared" si="54"/>
        <v>0</v>
      </c>
      <c r="AY36" s="119" t="s">
        <v>248</v>
      </c>
      <c r="AZ36" s="40"/>
      <c r="BA36" s="110">
        <f t="shared" si="55"/>
        <v>0</v>
      </c>
      <c r="BB36" s="109">
        <f t="shared" si="56"/>
        <v>0</v>
      </c>
      <c r="BC36" s="111">
        <f t="shared" si="57"/>
        <v>0</v>
      </c>
      <c r="BF36" s="119" t="s">
        <v>248</v>
      </c>
      <c r="BG36" s="40"/>
      <c r="BH36" s="110">
        <f t="shared" si="58"/>
        <v>0</v>
      </c>
      <c r="BI36" s="109">
        <f t="shared" si="59"/>
        <v>0</v>
      </c>
      <c r="BJ36" s="111">
        <f t="shared" si="60"/>
        <v>0</v>
      </c>
      <c r="BM36" s="119" t="s">
        <v>248</v>
      </c>
      <c r="BN36" s="40"/>
      <c r="BO36" s="110">
        <f t="shared" si="61"/>
        <v>0</v>
      </c>
      <c r="BP36" s="109">
        <f t="shared" si="62"/>
        <v>0</v>
      </c>
      <c r="BQ36" s="111">
        <f t="shared" si="63"/>
        <v>0</v>
      </c>
      <c r="BT36" s="119" t="s">
        <v>248</v>
      </c>
      <c r="BU36" s="40"/>
      <c r="BV36" s="110">
        <f t="shared" si="64"/>
        <v>0</v>
      </c>
      <c r="BW36" s="109">
        <f t="shared" si="65"/>
        <v>0</v>
      </c>
      <c r="BX36" s="111">
        <f t="shared" si="66"/>
        <v>0</v>
      </c>
      <c r="CA36" s="119" t="s">
        <v>248</v>
      </c>
      <c r="CB36" s="40"/>
      <c r="CC36" s="110">
        <f t="shared" si="67"/>
        <v>0</v>
      </c>
      <c r="CD36" s="109">
        <f t="shared" si="68"/>
        <v>0</v>
      </c>
      <c r="CE36" s="111">
        <f t="shared" si="69"/>
        <v>0</v>
      </c>
      <c r="CH36" s="119" t="s">
        <v>248</v>
      </c>
      <c r="CI36" s="40"/>
      <c r="CJ36" s="110">
        <f t="shared" si="70"/>
        <v>0</v>
      </c>
      <c r="CK36" s="109">
        <f t="shared" si="71"/>
        <v>0</v>
      </c>
      <c r="CL36" s="111">
        <f t="shared" si="72"/>
        <v>0</v>
      </c>
      <c r="CO36" s="119" t="s">
        <v>248</v>
      </c>
      <c r="CP36" s="40"/>
      <c r="CQ36" s="110">
        <f t="shared" si="73"/>
        <v>0</v>
      </c>
      <c r="CR36" s="109">
        <f t="shared" si="74"/>
        <v>0</v>
      </c>
      <c r="CS36" s="111">
        <f t="shared" si="75"/>
        <v>0</v>
      </c>
      <c r="CV36" s="119" t="s">
        <v>248</v>
      </c>
      <c r="CW36" s="40"/>
      <c r="CX36" s="110">
        <f t="shared" si="76"/>
        <v>0</v>
      </c>
      <c r="CY36" s="109">
        <f t="shared" si="77"/>
        <v>0</v>
      </c>
      <c r="CZ36" s="111">
        <f t="shared" si="78"/>
        <v>0</v>
      </c>
      <c r="DC36" s="119" t="s">
        <v>248</v>
      </c>
      <c r="DD36" s="40"/>
      <c r="DE36" s="110">
        <f t="shared" si="79"/>
        <v>0</v>
      </c>
      <c r="DF36" s="109">
        <f t="shared" si="80"/>
        <v>0</v>
      </c>
      <c r="DG36" s="111">
        <f t="shared" si="81"/>
        <v>0</v>
      </c>
      <c r="DJ36" s="119" t="s">
        <v>248</v>
      </c>
      <c r="DK36" s="40"/>
      <c r="DL36" s="110">
        <f t="shared" si="82"/>
        <v>0</v>
      </c>
      <c r="DM36" s="109">
        <f t="shared" si="83"/>
        <v>0</v>
      </c>
      <c r="DN36" s="111">
        <f t="shared" si="84"/>
        <v>0</v>
      </c>
      <c r="DQ36" s="119" t="s">
        <v>248</v>
      </c>
      <c r="DR36" s="40"/>
      <c r="DS36" s="110">
        <f t="shared" si="85"/>
        <v>0</v>
      </c>
      <c r="DT36" s="109">
        <f t="shared" si="86"/>
        <v>0</v>
      </c>
      <c r="DU36" s="111">
        <f t="shared" si="87"/>
        <v>0</v>
      </c>
    </row>
    <row r="37">
      <c r="B37" s="119" t="s">
        <v>250</v>
      </c>
      <c r="C37" s="40"/>
      <c r="D37" s="110">
        <f t="shared" si="34"/>
        <v>0</v>
      </c>
      <c r="E37" s="109">
        <f t="shared" si="35"/>
        <v>0</v>
      </c>
      <c r="F37" s="111">
        <f t="shared" si="36"/>
        <v>0</v>
      </c>
      <c r="I37" s="119" t="s">
        <v>250</v>
      </c>
      <c r="J37" s="40"/>
      <c r="K37" s="110">
        <f t="shared" si="37"/>
        <v>0</v>
      </c>
      <c r="L37" s="109">
        <f t="shared" si="38"/>
        <v>0</v>
      </c>
      <c r="M37" s="111">
        <f t="shared" si="39"/>
        <v>0</v>
      </c>
      <c r="P37" s="119" t="s">
        <v>250</v>
      </c>
      <c r="Q37" s="40"/>
      <c r="R37" s="110">
        <f t="shared" si="40"/>
        <v>0</v>
      </c>
      <c r="S37" s="109">
        <f t="shared" si="41"/>
        <v>0</v>
      </c>
      <c r="T37" s="111">
        <f t="shared" si="42"/>
        <v>0</v>
      </c>
      <c r="W37" s="119" t="s">
        <v>250</v>
      </c>
      <c r="X37" s="40"/>
      <c r="Y37" s="110">
        <f t="shared" si="43"/>
        <v>0</v>
      </c>
      <c r="Z37" s="109">
        <f t="shared" si="44"/>
        <v>0</v>
      </c>
      <c r="AA37" s="111">
        <f t="shared" si="45"/>
        <v>0</v>
      </c>
      <c r="AD37" s="119" t="s">
        <v>250</v>
      </c>
      <c r="AE37" s="40"/>
      <c r="AF37" s="110">
        <f t="shared" si="46"/>
        <v>0</v>
      </c>
      <c r="AG37" s="109">
        <f t="shared" si="47"/>
        <v>0</v>
      </c>
      <c r="AH37" s="111">
        <f t="shared" si="48"/>
        <v>0</v>
      </c>
      <c r="AK37" s="119" t="s">
        <v>250</v>
      </c>
      <c r="AL37" s="40"/>
      <c r="AM37" s="110">
        <f t="shared" si="49"/>
        <v>0</v>
      </c>
      <c r="AN37" s="109">
        <f t="shared" si="50"/>
        <v>0</v>
      </c>
      <c r="AO37" s="111">
        <f t="shared" si="51"/>
        <v>0</v>
      </c>
      <c r="AR37" s="119" t="s">
        <v>250</v>
      </c>
      <c r="AS37" s="40"/>
      <c r="AT37" s="110">
        <f t="shared" si="52"/>
        <v>0</v>
      </c>
      <c r="AU37" s="109">
        <f t="shared" si="53"/>
        <v>0</v>
      </c>
      <c r="AV37" s="111">
        <f t="shared" si="54"/>
        <v>0</v>
      </c>
      <c r="AY37" s="119" t="s">
        <v>250</v>
      </c>
      <c r="AZ37" s="40"/>
      <c r="BA37" s="110">
        <f t="shared" si="55"/>
        <v>0</v>
      </c>
      <c r="BB37" s="109">
        <f t="shared" si="56"/>
        <v>0</v>
      </c>
      <c r="BC37" s="111">
        <f t="shared" si="57"/>
        <v>0</v>
      </c>
      <c r="BF37" s="119" t="s">
        <v>250</v>
      </c>
      <c r="BG37" s="40"/>
      <c r="BH37" s="110">
        <f t="shared" si="58"/>
        <v>0</v>
      </c>
      <c r="BI37" s="109">
        <f t="shared" si="59"/>
        <v>0</v>
      </c>
      <c r="BJ37" s="111">
        <f t="shared" si="60"/>
        <v>0</v>
      </c>
      <c r="BM37" s="119" t="s">
        <v>250</v>
      </c>
      <c r="BN37" s="40"/>
      <c r="BO37" s="110">
        <f t="shared" si="61"/>
        <v>0</v>
      </c>
      <c r="BP37" s="109">
        <f t="shared" si="62"/>
        <v>0</v>
      </c>
      <c r="BQ37" s="111">
        <f t="shared" si="63"/>
        <v>0</v>
      </c>
      <c r="BT37" s="119" t="s">
        <v>250</v>
      </c>
      <c r="BU37" s="40"/>
      <c r="BV37" s="110">
        <f t="shared" si="64"/>
        <v>0</v>
      </c>
      <c r="BW37" s="109">
        <f t="shared" si="65"/>
        <v>0</v>
      </c>
      <c r="BX37" s="111">
        <f t="shared" si="66"/>
        <v>0</v>
      </c>
      <c r="CA37" s="119" t="s">
        <v>250</v>
      </c>
      <c r="CB37" s="40"/>
      <c r="CC37" s="110">
        <f t="shared" si="67"/>
        <v>0</v>
      </c>
      <c r="CD37" s="109">
        <f t="shared" si="68"/>
        <v>0</v>
      </c>
      <c r="CE37" s="111">
        <f t="shared" si="69"/>
        <v>0</v>
      </c>
      <c r="CH37" s="119" t="s">
        <v>250</v>
      </c>
      <c r="CI37" s="40"/>
      <c r="CJ37" s="110">
        <f t="shared" si="70"/>
        <v>0</v>
      </c>
      <c r="CK37" s="109">
        <f t="shared" si="71"/>
        <v>0</v>
      </c>
      <c r="CL37" s="111">
        <f t="shared" si="72"/>
        <v>0</v>
      </c>
      <c r="CO37" s="119" t="s">
        <v>250</v>
      </c>
      <c r="CP37" s="40"/>
      <c r="CQ37" s="110">
        <f t="shared" si="73"/>
        <v>0</v>
      </c>
      <c r="CR37" s="109">
        <f t="shared" si="74"/>
        <v>0</v>
      </c>
      <c r="CS37" s="111">
        <f t="shared" si="75"/>
        <v>0</v>
      </c>
      <c r="CV37" s="119" t="s">
        <v>250</v>
      </c>
      <c r="CW37" s="40"/>
      <c r="CX37" s="110">
        <f t="shared" si="76"/>
        <v>0</v>
      </c>
      <c r="CY37" s="109">
        <f t="shared" si="77"/>
        <v>0</v>
      </c>
      <c r="CZ37" s="111">
        <f t="shared" si="78"/>
        <v>0</v>
      </c>
      <c r="DC37" s="119" t="s">
        <v>250</v>
      </c>
      <c r="DD37" s="40"/>
      <c r="DE37" s="110">
        <f t="shared" si="79"/>
        <v>0</v>
      </c>
      <c r="DF37" s="109">
        <f t="shared" si="80"/>
        <v>0</v>
      </c>
      <c r="DG37" s="111">
        <f t="shared" si="81"/>
        <v>0</v>
      </c>
      <c r="DJ37" s="119" t="s">
        <v>250</v>
      </c>
      <c r="DK37" s="40"/>
      <c r="DL37" s="110">
        <f t="shared" si="82"/>
        <v>0</v>
      </c>
      <c r="DM37" s="109">
        <f t="shared" si="83"/>
        <v>0</v>
      </c>
      <c r="DN37" s="111">
        <f t="shared" si="84"/>
        <v>0</v>
      </c>
      <c r="DQ37" s="119" t="s">
        <v>250</v>
      </c>
      <c r="DR37" s="40"/>
      <c r="DS37" s="110">
        <f t="shared" si="85"/>
        <v>0</v>
      </c>
      <c r="DT37" s="109">
        <f t="shared" si="86"/>
        <v>0</v>
      </c>
      <c r="DU37" s="111">
        <f t="shared" si="87"/>
        <v>0</v>
      </c>
    </row>
    <row r="38">
      <c r="B38" s="119" t="s">
        <v>252</v>
      </c>
      <c r="C38" s="40"/>
      <c r="D38" s="110">
        <f t="shared" si="34"/>
        <v>0</v>
      </c>
      <c r="E38" s="109">
        <f t="shared" si="35"/>
        <v>0</v>
      </c>
      <c r="F38" s="111">
        <f t="shared" si="36"/>
        <v>0</v>
      </c>
      <c r="I38" s="119" t="s">
        <v>252</v>
      </c>
      <c r="J38" s="40"/>
      <c r="K38" s="110">
        <f t="shared" si="37"/>
        <v>0</v>
      </c>
      <c r="L38" s="109">
        <f t="shared" si="38"/>
        <v>0</v>
      </c>
      <c r="M38" s="111">
        <f t="shared" si="39"/>
        <v>0</v>
      </c>
      <c r="P38" s="119" t="s">
        <v>252</v>
      </c>
      <c r="Q38" s="40"/>
      <c r="R38" s="110">
        <f t="shared" si="40"/>
        <v>0</v>
      </c>
      <c r="S38" s="109">
        <f t="shared" si="41"/>
        <v>0</v>
      </c>
      <c r="T38" s="111">
        <f t="shared" si="42"/>
        <v>0</v>
      </c>
      <c r="W38" s="119" t="s">
        <v>252</v>
      </c>
      <c r="X38" s="40"/>
      <c r="Y38" s="110">
        <f t="shared" si="43"/>
        <v>0</v>
      </c>
      <c r="Z38" s="109">
        <f t="shared" si="44"/>
        <v>0</v>
      </c>
      <c r="AA38" s="111">
        <f t="shared" si="45"/>
        <v>0</v>
      </c>
      <c r="AD38" s="119" t="s">
        <v>252</v>
      </c>
      <c r="AE38" s="40"/>
      <c r="AF38" s="110">
        <f t="shared" si="46"/>
        <v>0</v>
      </c>
      <c r="AG38" s="109">
        <f t="shared" si="47"/>
        <v>0</v>
      </c>
      <c r="AH38" s="111">
        <f t="shared" si="48"/>
        <v>0</v>
      </c>
      <c r="AK38" s="119" t="s">
        <v>252</v>
      </c>
      <c r="AL38" s="40"/>
      <c r="AM38" s="110">
        <f t="shared" si="49"/>
        <v>0</v>
      </c>
      <c r="AN38" s="109">
        <f t="shared" si="50"/>
        <v>0</v>
      </c>
      <c r="AO38" s="111">
        <f t="shared" si="51"/>
        <v>0</v>
      </c>
      <c r="AR38" s="119" t="s">
        <v>252</v>
      </c>
      <c r="AS38" s="40"/>
      <c r="AT38" s="110">
        <f t="shared" si="52"/>
        <v>0</v>
      </c>
      <c r="AU38" s="109">
        <f t="shared" si="53"/>
        <v>0</v>
      </c>
      <c r="AV38" s="111">
        <f t="shared" si="54"/>
        <v>0</v>
      </c>
      <c r="AY38" s="119" t="s">
        <v>252</v>
      </c>
      <c r="AZ38" s="40"/>
      <c r="BA38" s="110">
        <f t="shared" si="55"/>
        <v>0</v>
      </c>
      <c r="BB38" s="109">
        <f t="shared" si="56"/>
        <v>0</v>
      </c>
      <c r="BC38" s="111">
        <f t="shared" si="57"/>
        <v>0</v>
      </c>
      <c r="BF38" s="119" t="s">
        <v>252</v>
      </c>
      <c r="BG38" s="40"/>
      <c r="BH38" s="110">
        <f t="shared" si="58"/>
        <v>0</v>
      </c>
      <c r="BI38" s="109">
        <f t="shared" si="59"/>
        <v>0</v>
      </c>
      <c r="BJ38" s="111">
        <f t="shared" si="60"/>
        <v>0</v>
      </c>
      <c r="BM38" s="119" t="s">
        <v>252</v>
      </c>
      <c r="BN38" s="40"/>
      <c r="BO38" s="110">
        <f t="shared" si="61"/>
        <v>0</v>
      </c>
      <c r="BP38" s="109">
        <f t="shared" si="62"/>
        <v>0</v>
      </c>
      <c r="BQ38" s="111">
        <f t="shared" si="63"/>
        <v>0</v>
      </c>
      <c r="BT38" s="119" t="s">
        <v>252</v>
      </c>
      <c r="BU38" s="40"/>
      <c r="BV38" s="110">
        <f t="shared" si="64"/>
        <v>0</v>
      </c>
      <c r="BW38" s="109">
        <f t="shared" si="65"/>
        <v>0</v>
      </c>
      <c r="BX38" s="111">
        <f t="shared" si="66"/>
        <v>0</v>
      </c>
      <c r="CA38" s="119" t="s">
        <v>252</v>
      </c>
      <c r="CB38" s="40"/>
      <c r="CC38" s="110">
        <f t="shared" si="67"/>
        <v>0</v>
      </c>
      <c r="CD38" s="109">
        <f t="shared" si="68"/>
        <v>0</v>
      </c>
      <c r="CE38" s="111">
        <f t="shared" si="69"/>
        <v>0</v>
      </c>
      <c r="CH38" s="119" t="s">
        <v>252</v>
      </c>
      <c r="CI38" s="40"/>
      <c r="CJ38" s="110">
        <f t="shared" si="70"/>
        <v>0</v>
      </c>
      <c r="CK38" s="109">
        <f t="shared" si="71"/>
        <v>0</v>
      </c>
      <c r="CL38" s="111">
        <f t="shared" si="72"/>
        <v>0</v>
      </c>
      <c r="CO38" s="119" t="s">
        <v>252</v>
      </c>
      <c r="CP38" s="40"/>
      <c r="CQ38" s="110">
        <f t="shared" si="73"/>
        <v>0</v>
      </c>
      <c r="CR38" s="109">
        <f t="shared" si="74"/>
        <v>0</v>
      </c>
      <c r="CS38" s="111">
        <f t="shared" si="75"/>
        <v>0</v>
      </c>
      <c r="CV38" s="119" t="s">
        <v>252</v>
      </c>
      <c r="CW38" s="40"/>
      <c r="CX38" s="110">
        <f t="shared" si="76"/>
        <v>0</v>
      </c>
      <c r="CY38" s="109">
        <f t="shared" si="77"/>
        <v>0</v>
      </c>
      <c r="CZ38" s="111">
        <f t="shared" si="78"/>
        <v>0</v>
      </c>
      <c r="DC38" s="119" t="s">
        <v>252</v>
      </c>
      <c r="DD38" s="40"/>
      <c r="DE38" s="110">
        <f t="shared" si="79"/>
        <v>0</v>
      </c>
      <c r="DF38" s="109">
        <f t="shared" si="80"/>
        <v>0</v>
      </c>
      <c r="DG38" s="111">
        <f t="shared" si="81"/>
        <v>0</v>
      </c>
      <c r="DJ38" s="119" t="s">
        <v>252</v>
      </c>
      <c r="DK38" s="40"/>
      <c r="DL38" s="110">
        <f t="shared" si="82"/>
        <v>0</v>
      </c>
      <c r="DM38" s="109">
        <f t="shared" si="83"/>
        <v>0</v>
      </c>
      <c r="DN38" s="111">
        <f t="shared" si="84"/>
        <v>0</v>
      </c>
      <c r="DQ38" s="119" t="s">
        <v>252</v>
      </c>
      <c r="DR38" s="40"/>
      <c r="DS38" s="110">
        <f t="shared" si="85"/>
        <v>0</v>
      </c>
      <c r="DT38" s="109">
        <f t="shared" si="86"/>
        <v>0</v>
      </c>
      <c r="DU38" s="111">
        <f t="shared" si="87"/>
        <v>0</v>
      </c>
    </row>
    <row r="39">
      <c r="B39" s="119" t="s">
        <v>255</v>
      </c>
      <c r="C39" s="40"/>
      <c r="D39" s="110">
        <f t="shared" si="34"/>
        <v>0</v>
      </c>
      <c r="E39" s="109">
        <f t="shared" si="35"/>
        <v>0</v>
      </c>
      <c r="F39" s="111">
        <f t="shared" si="36"/>
        <v>0</v>
      </c>
      <c r="I39" s="119" t="s">
        <v>255</v>
      </c>
      <c r="J39" s="40"/>
      <c r="K39" s="110">
        <f t="shared" si="37"/>
        <v>0</v>
      </c>
      <c r="L39" s="109">
        <f t="shared" si="38"/>
        <v>0</v>
      </c>
      <c r="M39" s="111">
        <f t="shared" si="39"/>
        <v>0</v>
      </c>
      <c r="P39" s="119" t="s">
        <v>255</v>
      </c>
      <c r="Q39" s="40"/>
      <c r="R39" s="110">
        <f t="shared" si="40"/>
        <v>0</v>
      </c>
      <c r="S39" s="109">
        <f t="shared" si="41"/>
        <v>0</v>
      </c>
      <c r="T39" s="111">
        <f t="shared" si="42"/>
        <v>0</v>
      </c>
      <c r="W39" s="119" t="s">
        <v>255</v>
      </c>
      <c r="X39" s="40"/>
      <c r="Y39" s="110">
        <f t="shared" si="43"/>
        <v>0</v>
      </c>
      <c r="Z39" s="109">
        <f t="shared" si="44"/>
        <v>0</v>
      </c>
      <c r="AA39" s="111">
        <f t="shared" si="45"/>
        <v>0</v>
      </c>
      <c r="AD39" s="119" t="s">
        <v>255</v>
      </c>
      <c r="AE39" s="40"/>
      <c r="AF39" s="110">
        <f t="shared" si="46"/>
        <v>0</v>
      </c>
      <c r="AG39" s="109">
        <f t="shared" si="47"/>
        <v>0</v>
      </c>
      <c r="AH39" s="111">
        <f t="shared" si="48"/>
        <v>0</v>
      </c>
      <c r="AK39" s="119" t="s">
        <v>255</v>
      </c>
      <c r="AL39" s="40"/>
      <c r="AM39" s="110">
        <f t="shared" si="49"/>
        <v>0</v>
      </c>
      <c r="AN39" s="109">
        <f t="shared" si="50"/>
        <v>0</v>
      </c>
      <c r="AO39" s="111">
        <f t="shared" si="51"/>
        <v>0</v>
      </c>
      <c r="AR39" s="119" t="s">
        <v>255</v>
      </c>
      <c r="AS39" s="40"/>
      <c r="AT39" s="110">
        <f t="shared" si="52"/>
        <v>0</v>
      </c>
      <c r="AU39" s="109">
        <f t="shared" si="53"/>
        <v>0</v>
      </c>
      <c r="AV39" s="111">
        <f t="shared" si="54"/>
        <v>0</v>
      </c>
      <c r="AY39" s="119" t="s">
        <v>255</v>
      </c>
      <c r="AZ39" s="40"/>
      <c r="BA39" s="110">
        <f t="shared" si="55"/>
        <v>0</v>
      </c>
      <c r="BB39" s="109">
        <f t="shared" si="56"/>
        <v>0</v>
      </c>
      <c r="BC39" s="111">
        <f t="shared" si="57"/>
        <v>0</v>
      </c>
      <c r="BF39" s="119" t="s">
        <v>255</v>
      </c>
      <c r="BG39" s="40"/>
      <c r="BH39" s="110">
        <f t="shared" si="58"/>
        <v>0</v>
      </c>
      <c r="BI39" s="109">
        <f t="shared" si="59"/>
        <v>0</v>
      </c>
      <c r="BJ39" s="111">
        <f t="shared" si="60"/>
        <v>0</v>
      </c>
      <c r="BM39" s="119" t="s">
        <v>255</v>
      </c>
      <c r="BN39" s="40"/>
      <c r="BO39" s="110">
        <f t="shared" si="61"/>
        <v>0</v>
      </c>
      <c r="BP39" s="109">
        <f t="shared" si="62"/>
        <v>0</v>
      </c>
      <c r="BQ39" s="111">
        <f t="shared" si="63"/>
        <v>0</v>
      </c>
      <c r="BT39" s="119" t="s">
        <v>255</v>
      </c>
      <c r="BU39" s="40"/>
      <c r="BV39" s="110">
        <f t="shared" si="64"/>
        <v>0</v>
      </c>
      <c r="BW39" s="109">
        <f t="shared" si="65"/>
        <v>0</v>
      </c>
      <c r="BX39" s="111">
        <f t="shared" si="66"/>
        <v>0</v>
      </c>
      <c r="CA39" s="119" t="s">
        <v>255</v>
      </c>
      <c r="CB39" s="40"/>
      <c r="CC39" s="110">
        <f t="shared" si="67"/>
        <v>0</v>
      </c>
      <c r="CD39" s="109">
        <f t="shared" si="68"/>
        <v>0</v>
      </c>
      <c r="CE39" s="111">
        <f t="shared" si="69"/>
        <v>0</v>
      </c>
      <c r="CH39" s="119" t="s">
        <v>255</v>
      </c>
      <c r="CI39" s="40"/>
      <c r="CJ39" s="110">
        <f t="shared" si="70"/>
        <v>0</v>
      </c>
      <c r="CK39" s="109">
        <f t="shared" si="71"/>
        <v>0</v>
      </c>
      <c r="CL39" s="111">
        <f t="shared" si="72"/>
        <v>0</v>
      </c>
      <c r="CO39" s="119" t="s">
        <v>255</v>
      </c>
      <c r="CP39" s="40"/>
      <c r="CQ39" s="110">
        <f t="shared" si="73"/>
        <v>0</v>
      </c>
      <c r="CR39" s="109">
        <f t="shared" si="74"/>
        <v>0</v>
      </c>
      <c r="CS39" s="111">
        <f t="shared" si="75"/>
        <v>0</v>
      </c>
      <c r="CV39" s="119" t="s">
        <v>255</v>
      </c>
      <c r="CW39" s="40"/>
      <c r="CX39" s="110">
        <f t="shared" si="76"/>
        <v>0</v>
      </c>
      <c r="CY39" s="109">
        <f t="shared" si="77"/>
        <v>0</v>
      </c>
      <c r="CZ39" s="111">
        <f t="shared" si="78"/>
        <v>0</v>
      </c>
      <c r="DC39" s="119" t="s">
        <v>255</v>
      </c>
      <c r="DD39" s="40"/>
      <c r="DE39" s="110">
        <f t="shared" si="79"/>
        <v>0</v>
      </c>
      <c r="DF39" s="109">
        <f t="shared" si="80"/>
        <v>0</v>
      </c>
      <c r="DG39" s="111">
        <f t="shared" si="81"/>
        <v>0</v>
      </c>
      <c r="DJ39" s="119" t="s">
        <v>255</v>
      </c>
      <c r="DK39" s="40"/>
      <c r="DL39" s="110">
        <f t="shared" si="82"/>
        <v>0</v>
      </c>
      <c r="DM39" s="109">
        <f t="shared" si="83"/>
        <v>0</v>
      </c>
      <c r="DN39" s="111">
        <f t="shared" si="84"/>
        <v>0</v>
      </c>
      <c r="DQ39" s="119" t="s">
        <v>255</v>
      </c>
      <c r="DR39" s="40"/>
      <c r="DS39" s="110">
        <f t="shared" si="85"/>
        <v>0</v>
      </c>
      <c r="DT39" s="109">
        <f t="shared" si="86"/>
        <v>0</v>
      </c>
      <c r="DU39" s="111">
        <f t="shared" si="87"/>
        <v>0</v>
      </c>
    </row>
    <row r="40">
      <c r="B40" s="119" t="s">
        <v>256</v>
      </c>
      <c r="C40" s="40"/>
      <c r="D40" s="110">
        <f t="shared" si="34"/>
        <v>0</v>
      </c>
      <c r="E40" s="109">
        <f t="shared" si="35"/>
        <v>0</v>
      </c>
      <c r="F40" s="111">
        <f t="shared" si="36"/>
        <v>0</v>
      </c>
      <c r="I40" s="119" t="s">
        <v>256</v>
      </c>
      <c r="J40" s="40"/>
      <c r="K40" s="110">
        <f t="shared" si="37"/>
        <v>0</v>
      </c>
      <c r="L40" s="109">
        <f t="shared" si="38"/>
        <v>0</v>
      </c>
      <c r="M40" s="111">
        <f t="shared" si="39"/>
        <v>0</v>
      </c>
      <c r="P40" s="119" t="s">
        <v>256</v>
      </c>
      <c r="Q40" s="40"/>
      <c r="R40" s="110">
        <f t="shared" si="40"/>
        <v>0</v>
      </c>
      <c r="S40" s="109">
        <f t="shared" si="41"/>
        <v>0</v>
      </c>
      <c r="T40" s="111">
        <f t="shared" si="42"/>
        <v>0</v>
      </c>
      <c r="W40" s="119" t="s">
        <v>256</v>
      </c>
      <c r="X40" s="40"/>
      <c r="Y40" s="110">
        <f t="shared" si="43"/>
        <v>0</v>
      </c>
      <c r="Z40" s="109">
        <f t="shared" si="44"/>
        <v>0</v>
      </c>
      <c r="AA40" s="111">
        <f t="shared" si="45"/>
        <v>0</v>
      </c>
      <c r="AD40" s="119" t="s">
        <v>256</v>
      </c>
      <c r="AE40" s="40"/>
      <c r="AF40" s="110">
        <f t="shared" si="46"/>
        <v>0</v>
      </c>
      <c r="AG40" s="109">
        <f t="shared" si="47"/>
        <v>0</v>
      </c>
      <c r="AH40" s="111">
        <f t="shared" si="48"/>
        <v>0</v>
      </c>
      <c r="AK40" s="119" t="s">
        <v>256</v>
      </c>
      <c r="AL40" s="40"/>
      <c r="AM40" s="110">
        <f t="shared" si="49"/>
        <v>0</v>
      </c>
      <c r="AN40" s="109">
        <f t="shared" si="50"/>
        <v>0</v>
      </c>
      <c r="AO40" s="111">
        <f t="shared" si="51"/>
        <v>0</v>
      </c>
      <c r="AR40" s="119" t="s">
        <v>256</v>
      </c>
      <c r="AS40" s="40"/>
      <c r="AT40" s="110">
        <f t="shared" si="52"/>
        <v>0</v>
      </c>
      <c r="AU40" s="109">
        <f t="shared" si="53"/>
        <v>0</v>
      </c>
      <c r="AV40" s="111">
        <f t="shared" si="54"/>
        <v>0</v>
      </c>
      <c r="AY40" s="119" t="s">
        <v>256</v>
      </c>
      <c r="AZ40" s="40"/>
      <c r="BA40" s="110">
        <f t="shared" si="55"/>
        <v>0</v>
      </c>
      <c r="BB40" s="109">
        <f t="shared" si="56"/>
        <v>0</v>
      </c>
      <c r="BC40" s="111">
        <f t="shared" si="57"/>
        <v>0</v>
      </c>
      <c r="BF40" s="119" t="s">
        <v>256</v>
      </c>
      <c r="BG40" s="40"/>
      <c r="BH40" s="110">
        <f t="shared" si="58"/>
        <v>0</v>
      </c>
      <c r="BI40" s="109">
        <f t="shared" si="59"/>
        <v>0</v>
      </c>
      <c r="BJ40" s="111">
        <f t="shared" si="60"/>
        <v>0</v>
      </c>
      <c r="BM40" s="119" t="s">
        <v>256</v>
      </c>
      <c r="BN40" s="40"/>
      <c r="BO40" s="110">
        <f t="shared" si="61"/>
        <v>0</v>
      </c>
      <c r="BP40" s="109">
        <f t="shared" si="62"/>
        <v>0</v>
      </c>
      <c r="BQ40" s="111">
        <f t="shared" si="63"/>
        <v>0</v>
      </c>
      <c r="BT40" s="119" t="s">
        <v>256</v>
      </c>
      <c r="BU40" s="40"/>
      <c r="BV40" s="110">
        <f t="shared" si="64"/>
        <v>0</v>
      </c>
      <c r="BW40" s="109">
        <f t="shared" si="65"/>
        <v>0</v>
      </c>
      <c r="BX40" s="111">
        <f t="shared" si="66"/>
        <v>0</v>
      </c>
      <c r="CA40" s="119" t="s">
        <v>256</v>
      </c>
      <c r="CB40" s="40"/>
      <c r="CC40" s="110">
        <f t="shared" si="67"/>
        <v>0</v>
      </c>
      <c r="CD40" s="109">
        <f t="shared" si="68"/>
        <v>0</v>
      </c>
      <c r="CE40" s="111">
        <f t="shared" si="69"/>
        <v>0</v>
      </c>
      <c r="CH40" s="119" t="s">
        <v>256</v>
      </c>
      <c r="CI40" s="40"/>
      <c r="CJ40" s="110">
        <f t="shared" si="70"/>
        <v>0</v>
      </c>
      <c r="CK40" s="109">
        <f t="shared" si="71"/>
        <v>0</v>
      </c>
      <c r="CL40" s="111">
        <f t="shared" si="72"/>
        <v>0</v>
      </c>
      <c r="CO40" s="119" t="s">
        <v>256</v>
      </c>
      <c r="CP40" s="40"/>
      <c r="CQ40" s="110">
        <f t="shared" si="73"/>
        <v>0</v>
      </c>
      <c r="CR40" s="109">
        <f t="shared" si="74"/>
        <v>0</v>
      </c>
      <c r="CS40" s="111">
        <f t="shared" si="75"/>
        <v>0</v>
      </c>
      <c r="CV40" s="119" t="s">
        <v>256</v>
      </c>
      <c r="CW40" s="40"/>
      <c r="CX40" s="110">
        <f t="shared" si="76"/>
        <v>0</v>
      </c>
      <c r="CY40" s="109">
        <f t="shared" si="77"/>
        <v>0</v>
      </c>
      <c r="CZ40" s="111">
        <f t="shared" si="78"/>
        <v>0</v>
      </c>
      <c r="DC40" s="119" t="s">
        <v>256</v>
      </c>
      <c r="DD40" s="40"/>
      <c r="DE40" s="110">
        <f t="shared" si="79"/>
        <v>0</v>
      </c>
      <c r="DF40" s="109">
        <f t="shared" si="80"/>
        <v>0</v>
      </c>
      <c r="DG40" s="111">
        <f t="shared" si="81"/>
        <v>0</v>
      </c>
      <c r="DJ40" s="119" t="s">
        <v>256</v>
      </c>
      <c r="DK40" s="40"/>
      <c r="DL40" s="110">
        <f t="shared" si="82"/>
        <v>0</v>
      </c>
      <c r="DM40" s="109">
        <f t="shared" si="83"/>
        <v>0</v>
      </c>
      <c r="DN40" s="111">
        <f t="shared" si="84"/>
        <v>0</v>
      </c>
      <c r="DQ40" s="119" t="s">
        <v>256</v>
      </c>
      <c r="DR40" s="40"/>
      <c r="DS40" s="110">
        <f t="shared" si="85"/>
        <v>0</v>
      </c>
      <c r="DT40" s="109">
        <f t="shared" si="86"/>
        <v>0</v>
      </c>
      <c r="DU40" s="111">
        <f t="shared" si="87"/>
        <v>0</v>
      </c>
    </row>
    <row r="41">
      <c r="B41" s="119" t="s">
        <v>257</v>
      </c>
      <c r="C41" s="40"/>
      <c r="D41" s="110">
        <f t="shared" si="34"/>
        <v>0</v>
      </c>
      <c r="E41" s="109">
        <f t="shared" si="35"/>
        <v>0</v>
      </c>
      <c r="F41" s="111">
        <f t="shared" si="36"/>
        <v>0</v>
      </c>
      <c r="I41" s="119" t="s">
        <v>257</v>
      </c>
      <c r="J41" s="40"/>
      <c r="K41" s="110">
        <f t="shared" si="37"/>
        <v>0</v>
      </c>
      <c r="L41" s="109">
        <f t="shared" si="38"/>
        <v>0</v>
      </c>
      <c r="M41" s="111">
        <f t="shared" si="39"/>
        <v>0</v>
      </c>
      <c r="P41" s="119" t="s">
        <v>257</v>
      </c>
      <c r="Q41" s="40"/>
      <c r="R41" s="110">
        <f t="shared" si="40"/>
        <v>0</v>
      </c>
      <c r="S41" s="109">
        <f t="shared" si="41"/>
        <v>0</v>
      </c>
      <c r="T41" s="111">
        <f t="shared" si="42"/>
        <v>0</v>
      </c>
      <c r="W41" s="119" t="s">
        <v>257</v>
      </c>
      <c r="X41" s="40"/>
      <c r="Y41" s="110">
        <f t="shared" si="43"/>
        <v>0</v>
      </c>
      <c r="Z41" s="109">
        <f t="shared" si="44"/>
        <v>0</v>
      </c>
      <c r="AA41" s="111">
        <f t="shared" si="45"/>
        <v>0</v>
      </c>
      <c r="AD41" s="119" t="s">
        <v>257</v>
      </c>
      <c r="AE41" s="40"/>
      <c r="AF41" s="110">
        <f t="shared" si="46"/>
        <v>0</v>
      </c>
      <c r="AG41" s="109">
        <f t="shared" si="47"/>
        <v>0</v>
      </c>
      <c r="AH41" s="111">
        <f t="shared" si="48"/>
        <v>0</v>
      </c>
      <c r="AK41" s="119" t="s">
        <v>257</v>
      </c>
      <c r="AL41" s="40"/>
      <c r="AM41" s="110">
        <f t="shared" si="49"/>
        <v>0</v>
      </c>
      <c r="AN41" s="109">
        <f t="shared" si="50"/>
        <v>0</v>
      </c>
      <c r="AO41" s="111">
        <f t="shared" si="51"/>
        <v>0</v>
      </c>
      <c r="AR41" s="119" t="s">
        <v>257</v>
      </c>
      <c r="AS41" s="40"/>
      <c r="AT41" s="110">
        <f t="shared" si="52"/>
        <v>0</v>
      </c>
      <c r="AU41" s="109">
        <f t="shared" si="53"/>
        <v>0</v>
      </c>
      <c r="AV41" s="111">
        <f t="shared" si="54"/>
        <v>0</v>
      </c>
      <c r="AY41" s="119" t="s">
        <v>257</v>
      </c>
      <c r="AZ41" s="40"/>
      <c r="BA41" s="110">
        <f t="shared" si="55"/>
        <v>0</v>
      </c>
      <c r="BB41" s="109">
        <f t="shared" si="56"/>
        <v>0</v>
      </c>
      <c r="BC41" s="111">
        <f t="shared" si="57"/>
        <v>0</v>
      </c>
      <c r="BF41" s="119" t="s">
        <v>257</v>
      </c>
      <c r="BG41" s="40"/>
      <c r="BH41" s="110">
        <f t="shared" si="58"/>
        <v>0</v>
      </c>
      <c r="BI41" s="109">
        <f t="shared" si="59"/>
        <v>0</v>
      </c>
      <c r="BJ41" s="111">
        <f t="shared" si="60"/>
        <v>0</v>
      </c>
      <c r="BM41" s="119" t="s">
        <v>257</v>
      </c>
      <c r="BN41" s="40"/>
      <c r="BO41" s="110">
        <f t="shared" si="61"/>
        <v>0</v>
      </c>
      <c r="BP41" s="109">
        <f t="shared" si="62"/>
        <v>0</v>
      </c>
      <c r="BQ41" s="111">
        <f t="shared" si="63"/>
        <v>0</v>
      </c>
      <c r="BT41" s="119" t="s">
        <v>257</v>
      </c>
      <c r="BU41" s="40"/>
      <c r="BV41" s="110">
        <f t="shared" si="64"/>
        <v>0</v>
      </c>
      <c r="BW41" s="109">
        <f t="shared" si="65"/>
        <v>0</v>
      </c>
      <c r="BX41" s="111">
        <f t="shared" si="66"/>
        <v>0</v>
      </c>
      <c r="CA41" s="119" t="s">
        <v>257</v>
      </c>
      <c r="CB41" s="40"/>
      <c r="CC41" s="110">
        <f t="shared" si="67"/>
        <v>0</v>
      </c>
      <c r="CD41" s="109">
        <f t="shared" si="68"/>
        <v>0</v>
      </c>
      <c r="CE41" s="111">
        <f t="shared" si="69"/>
        <v>0</v>
      </c>
      <c r="CH41" s="119" t="s">
        <v>257</v>
      </c>
      <c r="CI41" s="40"/>
      <c r="CJ41" s="110">
        <f t="shared" si="70"/>
        <v>0</v>
      </c>
      <c r="CK41" s="109">
        <f t="shared" si="71"/>
        <v>0</v>
      </c>
      <c r="CL41" s="111">
        <f t="shared" si="72"/>
        <v>0</v>
      </c>
      <c r="CO41" s="119" t="s">
        <v>257</v>
      </c>
      <c r="CP41" s="40"/>
      <c r="CQ41" s="110">
        <f t="shared" si="73"/>
        <v>0</v>
      </c>
      <c r="CR41" s="109">
        <f t="shared" si="74"/>
        <v>0</v>
      </c>
      <c r="CS41" s="111">
        <f t="shared" si="75"/>
        <v>0</v>
      </c>
      <c r="CV41" s="119" t="s">
        <v>257</v>
      </c>
      <c r="CW41" s="40"/>
      <c r="CX41" s="110">
        <f t="shared" si="76"/>
        <v>0</v>
      </c>
      <c r="CY41" s="109">
        <f t="shared" si="77"/>
        <v>0</v>
      </c>
      <c r="CZ41" s="111">
        <f t="shared" si="78"/>
        <v>0</v>
      </c>
      <c r="DC41" s="119" t="s">
        <v>257</v>
      </c>
      <c r="DD41" s="40"/>
      <c r="DE41" s="110">
        <f t="shared" si="79"/>
        <v>0</v>
      </c>
      <c r="DF41" s="109">
        <f t="shared" si="80"/>
        <v>0</v>
      </c>
      <c r="DG41" s="111">
        <f t="shared" si="81"/>
        <v>0</v>
      </c>
      <c r="DJ41" s="119" t="s">
        <v>257</v>
      </c>
      <c r="DK41" s="40"/>
      <c r="DL41" s="110">
        <f t="shared" si="82"/>
        <v>0</v>
      </c>
      <c r="DM41" s="109">
        <f t="shared" si="83"/>
        <v>0</v>
      </c>
      <c r="DN41" s="111">
        <f t="shared" si="84"/>
        <v>0</v>
      </c>
      <c r="DQ41" s="119" t="s">
        <v>257</v>
      </c>
      <c r="DR41" s="40"/>
      <c r="DS41" s="110">
        <f t="shared" si="85"/>
        <v>0</v>
      </c>
      <c r="DT41" s="109">
        <f t="shared" si="86"/>
        <v>0</v>
      </c>
      <c r="DU41" s="111">
        <f t="shared" si="87"/>
        <v>0</v>
      </c>
    </row>
    <row r="42">
      <c r="B42" s="119" t="s">
        <v>258</v>
      </c>
      <c r="C42" s="40"/>
      <c r="D42" s="110">
        <f t="shared" si="34"/>
        <v>0</v>
      </c>
      <c r="E42" s="109">
        <f t="shared" si="35"/>
        <v>0</v>
      </c>
      <c r="F42" s="111">
        <f t="shared" si="36"/>
        <v>0</v>
      </c>
      <c r="I42" s="119" t="s">
        <v>258</v>
      </c>
      <c r="J42" s="40"/>
      <c r="K42" s="110">
        <f t="shared" si="37"/>
        <v>0</v>
      </c>
      <c r="L42" s="109">
        <f t="shared" si="38"/>
        <v>0</v>
      </c>
      <c r="M42" s="111">
        <f t="shared" si="39"/>
        <v>0</v>
      </c>
      <c r="P42" s="119" t="s">
        <v>258</v>
      </c>
      <c r="Q42" s="40"/>
      <c r="R42" s="110">
        <f t="shared" si="40"/>
        <v>0</v>
      </c>
      <c r="S42" s="109">
        <f t="shared" si="41"/>
        <v>0</v>
      </c>
      <c r="T42" s="111">
        <f t="shared" si="42"/>
        <v>0</v>
      </c>
      <c r="W42" s="119" t="s">
        <v>258</v>
      </c>
      <c r="X42" s="40"/>
      <c r="Y42" s="110">
        <f t="shared" si="43"/>
        <v>0</v>
      </c>
      <c r="Z42" s="109">
        <f t="shared" si="44"/>
        <v>0</v>
      </c>
      <c r="AA42" s="111">
        <f t="shared" si="45"/>
        <v>0</v>
      </c>
      <c r="AD42" s="119" t="s">
        <v>258</v>
      </c>
      <c r="AE42" s="40"/>
      <c r="AF42" s="110">
        <f t="shared" si="46"/>
        <v>0</v>
      </c>
      <c r="AG42" s="109">
        <f t="shared" si="47"/>
        <v>0</v>
      </c>
      <c r="AH42" s="111">
        <f t="shared" si="48"/>
        <v>0</v>
      </c>
      <c r="AK42" s="119" t="s">
        <v>258</v>
      </c>
      <c r="AL42" s="40"/>
      <c r="AM42" s="110">
        <f t="shared" si="49"/>
        <v>0</v>
      </c>
      <c r="AN42" s="109">
        <f t="shared" si="50"/>
        <v>0</v>
      </c>
      <c r="AO42" s="111">
        <f t="shared" si="51"/>
        <v>0</v>
      </c>
      <c r="AR42" s="119" t="s">
        <v>258</v>
      </c>
      <c r="AS42" s="40"/>
      <c r="AT42" s="110">
        <f t="shared" si="52"/>
        <v>0</v>
      </c>
      <c r="AU42" s="109">
        <f t="shared" si="53"/>
        <v>0</v>
      </c>
      <c r="AV42" s="111">
        <f t="shared" si="54"/>
        <v>0</v>
      </c>
      <c r="AY42" s="119" t="s">
        <v>258</v>
      </c>
      <c r="AZ42" s="40"/>
      <c r="BA42" s="110">
        <f t="shared" si="55"/>
        <v>0</v>
      </c>
      <c r="BB42" s="109">
        <f t="shared" si="56"/>
        <v>0</v>
      </c>
      <c r="BC42" s="111">
        <f t="shared" si="57"/>
        <v>0</v>
      </c>
      <c r="BF42" s="119" t="s">
        <v>258</v>
      </c>
      <c r="BG42" s="40"/>
      <c r="BH42" s="110">
        <f t="shared" si="58"/>
        <v>0</v>
      </c>
      <c r="BI42" s="109">
        <f t="shared" si="59"/>
        <v>0</v>
      </c>
      <c r="BJ42" s="111">
        <f t="shared" si="60"/>
        <v>0</v>
      </c>
      <c r="BM42" s="119" t="s">
        <v>258</v>
      </c>
      <c r="BN42" s="40"/>
      <c r="BO42" s="110">
        <f t="shared" si="61"/>
        <v>0</v>
      </c>
      <c r="BP42" s="109">
        <f t="shared" si="62"/>
        <v>0</v>
      </c>
      <c r="BQ42" s="111">
        <f t="shared" si="63"/>
        <v>0</v>
      </c>
      <c r="BT42" s="119" t="s">
        <v>258</v>
      </c>
      <c r="BU42" s="40"/>
      <c r="BV42" s="110">
        <f t="shared" si="64"/>
        <v>0</v>
      </c>
      <c r="BW42" s="109">
        <f t="shared" si="65"/>
        <v>0</v>
      </c>
      <c r="BX42" s="111">
        <f t="shared" si="66"/>
        <v>0</v>
      </c>
      <c r="CA42" s="119" t="s">
        <v>258</v>
      </c>
      <c r="CB42" s="40"/>
      <c r="CC42" s="110">
        <f t="shared" si="67"/>
        <v>0</v>
      </c>
      <c r="CD42" s="109">
        <f t="shared" si="68"/>
        <v>0</v>
      </c>
      <c r="CE42" s="111">
        <f t="shared" si="69"/>
        <v>0</v>
      </c>
      <c r="CH42" s="119" t="s">
        <v>258</v>
      </c>
      <c r="CI42" s="40"/>
      <c r="CJ42" s="110">
        <f t="shared" si="70"/>
        <v>0</v>
      </c>
      <c r="CK42" s="109">
        <f t="shared" si="71"/>
        <v>0</v>
      </c>
      <c r="CL42" s="111">
        <f t="shared" si="72"/>
        <v>0</v>
      </c>
      <c r="CO42" s="119" t="s">
        <v>258</v>
      </c>
      <c r="CP42" s="40"/>
      <c r="CQ42" s="110">
        <f t="shared" si="73"/>
        <v>0</v>
      </c>
      <c r="CR42" s="109">
        <f t="shared" si="74"/>
        <v>0</v>
      </c>
      <c r="CS42" s="111">
        <f t="shared" si="75"/>
        <v>0</v>
      </c>
      <c r="CV42" s="119" t="s">
        <v>258</v>
      </c>
      <c r="CW42" s="40"/>
      <c r="CX42" s="110">
        <f t="shared" si="76"/>
        <v>0</v>
      </c>
      <c r="CY42" s="109">
        <f t="shared" si="77"/>
        <v>0</v>
      </c>
      <c r="CZ42" s="111">
        <f t="shared" si="78"/>
        <v>0</v>
      </c>
      <c r="DC42" s="119" t="s">
        <v>258</v>
      </c>
      <c r="DD42" s="40"/>
      <c r="DE42" s="110">
        <f t="shared" si="79"/>
        <v>0</v>
      </c>
      <c r="DF42" s="109">
        <f t="shared" si="80"/>
        <v>0</v>
      </c>
      <c r="DG42" s="111">
        <f t="shared" si="81"/>
        <v>0</v>
      </c>
      <c r="DJ42" s="119" t="s">
        <v>258</v>
      </c>
      <c r="DK42" s="40"/>
      <c r="DL42" s="110">
        <f t="shared" si="82"/>
        <v>0</v>
      </c>
      <c r="DM42" s="109">
        <f t="shared" si="83"/>
        <v>0</v>
      </c>
      <c r="DN42" s="111">
        <f t="shared" si="84"/>
        <v>0</v>
      </c>
      <c r="DQ42" s="119" t="s">
        <v>258</v>
      </c>
      <c r="DR42" s="40"/>
      <c r="DS42" s="110">
        <f t="shared" si="85"/>
        <v>0</v>
      </c>
      <c r="DT42" s="109">
        <f t="shared" si="86"/>
        <v>0</v>
      </c>
      <c r="DU42" s="111">
        <f t="shared" si="87"/>
        <v>0</v>
      </c>
    </row>
    <row r="43">
      <c r="B43" s="119" t="s">
        <v>259</v>
      </c>
      <c r="C43" s="40"/>
      <c r="D43" s="110">
        <f t="shared" si="34"/>
        <v>0</v>
      </c>
      <c r="E43" s="109">
        <f t="shared" si="35"/>
        <v>0</v>
      </c>
      <c r="F43" s="111">
        <f t="shared" si="36"/>
        <v>0</v>
      </c>
      <c r="I43" s="119" t="s">
        <v>259</v>
      </c>
      <c r="J43" s="40"/>
      <c r="K43" s="110">
        <f t="shared" si="37"/>
        <v>0</v>
      </c>
      <c r="L43" s="109">
        <f t="shared" si="38"/>
        <v>0</v>
      </c>
      <c r="M43" s="111">
        <f t="shared" si="39"/>
        <v>0</v>
      </c>
      <c r="P43" s="119" t="s">
        <v>259</v>
      </c>
      <c r="Q43" s="40"/>
      <c r="R43" s="110">
        <f t="shared" si="40"/>
        <v>0</v>
      </c>
      <c r="S43" s="109">
        <f t="shared" si="41"/>
        <v>0</v>
      </c>
      <c r="T43" s="111">
        <f t="shared" si="42"/>
        <v>0</v>
      </c>
      <c r="W43" s="119" t="s">
        <v>259</v>
      </c>
      <c r="X43" s="40"/>
      <c r="Y43" s="110">
        <f t="shared" si="43"/>
        <v>0</v>
      </c>
      <c r="Z43" s="109">
        <f t="shared" si="44"/>
        <v>0</v>
      </c>
      <c r="AA43" s="111">
        <f t="shared" si="45"/>
        <v>0</v>
      </c>
      <c r="AD43" s="119" t="s">
        <v>259</v>
      </c>
      <c r="AE43" s="40"/>
      <c r="AF43" s="110">
        <f t="shared" si="46"/>
        <v>0</v>
      </c>
      <c r="AG43" s="109">
        <f t="shared" si="47"/>
        <v>0</v>
      </c>
      <c r="AH43" s="111">
        <f t="shared" si="48"/>
        <v>0</v>
      </c>
      <c r="AK43" s="119" t="s">
        <v>259</v>
      </c>
      <c r="AL43" s="40"/>
      <c r="AM43" s="110">
        <f t="shared" si="49"/>
        <v>0</v>
      </c>
      <c r="AN43" s="109">
        <f t="shared" si="50"/>
        <v>0</v>
      </c>
      <c r="AO43" s="111">
        <f t="shared" si="51"/>
        <v>0</v>
      </c>
      <c r="AR43" s="119" t="s">
        <v>259</v>
      </c>
      <c r="AS43" s="40"/>
      <c r="AT43" s="110">
        <f t="shared" si="52"/>
        <v>0</v>
      </c>
      <c r="AU43" s="109">
        <f t="shared" si="53"/>
        <v>0</v>
      </c>
      <c r="AV43" s="111">
        <f t="shared" si="54"/>
        <v>0</v>
      </c>
      <c r="AY43" s="119" t="s">
        <v>259</v>
      </c>
      <c r="AZ43" s="40"/>
      <c r="BA43" s="110">
        <f t="shared" si="55"/>
        <v>0</v>
      </c>
      <c r="BB43" s="109">
        <f t="shared" si="56"/>
        <v>0</v>
      </c>
      <c r="BC43" s="111">
        <f t="shared" si="57"/>
        <v>0</v>
      </c>
      <c r="BF43" s="119" t="s">
        <v>259</v>
      </c>
      <c r="BG43" s="40"/>
      <c r="BH43" s="110">
        <f t="shared" si="58"/>
        <v>0</v>
      </c>
      <c r="BI43" s="109">
        <f t="shared" si="59"/>
        <v>0</v>
      </c>
      <c r="BJ43" s="111">
        <f t="shared" si="60"/>
        <v>0</v>
      </c>
      <c r="BM43" s="119" t="s">
        <v>259</v>
      </c>
      <c r="BN43" s="40"/>
      <c r="BO43" s="110">
        <f t="shared" si="61"/>
        <v>0</v>
      </c>
      <c r="BP43" s="109">
        <f t="shared" si="62"/>
        <v>0</v>
      </c>
      <c r="BQ43" s="111">
        <f t="shared" si="63"/>
        <v>0</v>
      </c>
      <c r="BT43" s="119" t="s">
        <v>259</v>
      </c>
      <c r="BU43" s="40"/>
      <c r="BV43" s="110">
        <f t="shared" si="64"/>
        <v>0</v>
      </c>
      <c r="BW43" s="109">
        <f t="shared" si="65"/>
        <v>0</v>
      </c>
      <c r="BX43" s="111">
        <f t="shared" si="66"/>
        <v>0</v>
      </c>
      <c r="CA43" s="119" t="s">
        <v>259</v>
      </c>
      <c r="CB43" s="40"/>
      <c r="CC43" s="110">
        <f t="shared" si="67"/>
        <v>0</v>
      </c>
      <c r="CD43" s="109">
        <f t="shared" si="68"/>
        <v>0</v>
      </c>
      <c r="CE43" s="111">
        <f t="shared" si="69"/>
        <v>0</v>
      </c>
      <c r="CH43" s="119" t="s">
        <v>259</v>
      </c>
      <c r="CI43" s="40"/>
      <c r="CJ43" s="110">
        <f t="shared" si="70"/>
        <v>0</v>
      </c>
      <c r="CK43" s="109">
        <f t="shared" si="71"/>
        <v>0</v>
      </c>
      <c r="CL43" s="111">
        <f t="shared" si="72"/>
        <v>0</v>
      </c>
      <c r="CO43" s="119" t="s">
        <v>259</v>
      </c>
      <c r="CP43" s="40"/>
      <c r="CQ43" s="110">
        <f t="shared" si="73"/>
        <v>0</v>
      </c>
      <c r="CR43" s="109">
        <f t="shared" si="74"/>
        <v>0</v>
      </c>
      <c r="CS43" s="111">
        <f t="shared" si="75"/>
        <v>0</v>
      </c>
      <c r="CV43" s="119" t="s">
        <v>259</v>
      </c>
      <c r="CW43" s="40"/>
      <c r="CX43" s="110">
        <f t="shared" si="76"/>
        <v>0</v>
      </c>
      <c r="CY43" s="109">
        <f t="shared" si="77"/>
        <v>0</v>
      </c>
      <c r="CZ43" s="111">
        <f t="shared" si="78"/>
        <v>0</v>
      </c>
      <c r="DC43" s="119" t="s">
        <v>259</v>
      </c>
      <c r="DD43" s="40"/>
      <c r="DE43" s="110">
        <f t="shared" si="79"/>
        <v>0</v>
      </c>
      <c r="DF43" s="109">
        <f t="shared" si="80"/>
        <v>0</v>
      </c>
      <c r="DG43" s="111">
        <f t="shared" si="81"/>
        <v>0</v>
      </c>
      <c r="DJ43" s="119" t="s">
        <v>259</v>
      </c>
      <c r="DK43" s="40"/>
      <c r="DL43" s="110">
        <f t="shared" si="82"/>
        <v>0</v>
      </c>
      <c r="DM43" s="109">
        <f t="shared" si="83"/>
        <v>0</v>
      </c>
      <c r="DN43" s="111">
        <f t="shared" si="84"/>
        <v>0</v>
      </c>
      <c r="DQ43" s="119" t="s">
        <v>259</v>
      </c>
      <c r="DR43" s="40"/>
      <c r="DS43" s="110">
        <f t="shared" si="85"/>
        <v>0</v>
      </c>
      <c r="DT43" s="109">
        <f t="shared" si="86"/>
        <v>0</v>
      </c>
      <c r="DU43" s="111">
        <f t="shared" si="87"/>
        <v>0</v>
      </c>
    </row>
    <row r="44">
      <c r="B44" s="119" t="s">
        <v>260</v>
      </c>
      <c r="C44" s="40"/>
      <c r="D44" s="110">
        <f t="shared" si="34"/>
        <v>0</v>
      </c>
      <c r="E44" s="109">
        <f t="shared" si="35"/>
        <v>0</v>
      </c>
      <c r="F44" s="111">
        <f t="shared" si="36"/>
        <v>0</v>
      </c>
      <c r="I44" s="119" t="s">
        <v>260</v>
      </c>
      <c r="J44" s="40"/>
      <c r="K44" s="110">
        <f t="shared" si="37"/>
        <v>0</v>
      </c>
      <c r="L44" s="109">
        <f t="shared" si="38"/>
        <v>0</v>
      </c>
      <c r="M44" s="111">
        <f t="shared" si="39"/>
        <v>0</v>
      </c>
      <c r="P44" s="119" t="s">
        <v>260</v>
      </c>
      <c r="Q44" s="40"/>
      <c r="R44" s="110">
        <f t="shared" si="40"/>
        <v>0</v>
      </c>
      <c r="S44" s="109">
        <f t="shared" si="41"/>
        <v>0</v>
      </c>
      <c r="T44" s="111">
        <f t="shared" si="42"/>
        <v>0</v>
      </c>
      <c r="W44" s="119" t="s">
        <v>260</v>
      </c>
      <c r="X44" s="40"/>
      <c r="Y44" s="110">
        <f t="shared" si="43"/>
        <v>0</v>
      </c>
      <c r="Z44" s="109">
        <f t="shared" si="44"/>
        <v>0</v>
      </c>
      <c r="AA44" s="111">
        <f t="shared" si="45"/>
        <v>0</v>
      </c>
      <c r="AD44" s="119" t="s">
        <v>260</v>
      </c>
      <c r="AE44" s="40"/>
      <c r="AF44" s="110">
        <f t="shared" si="46"/>
        <v>0</v>
      </c>
      <c r="AG44" s="109">
        <f t="shared" si="47"/>
        <v>0</v>
      </c>
      <c r="AH44" s="111">
        <f t="shared" si="48"/>
        <v>0</v>
      </c>
      <c r="AK44" s="119" t="s">
        <v>260</v>
      </c>
      <c r="AL44" s="40"/>
      <c r="AM44" s="110">
        <f t="shared" si="49"/>
        <v>0</v>
      </c>
      <c r="AN44" s="109">
        <f t="shared" si="50"/>
        <v>0</v>
      </c>
      <c r="AO44" s="111">
        <f t="shared" si="51"/>
        <v>0</v>
      </c>
      <c r="AR44" s="119" t="s">
        <v>260</v>
      </c>
      <c r="AS44" s="40"/>
      <c r="AT44" s="110">
        <f t="shared" si="52"/>
        <v>0</v>
      </c>
      <c r="AU44" s="109">
        <f t="shared" si="53"/>
        <v>0</v>
      </c>
      <c r="AV44" s="111">
        <f t="shared" si="54"/>
        <v>0</v>
      </c>
      <c r="AY44" s="119" t="s">
        <v>260</v>
      </c>
      <c r="AZ44" s="40"/>
      <c r="BA44" s="110">
        <f t="shared" si="55"/>
        <v>0</v>
      </c>
      <c r="BB44" s="109">
        <f t="shared" si="56"/>
        <v>0</v>
      </c>
      <c r="BC44" s="111">
        <f t="shared" si="57"/>
        <v>0</v>
      </c>
      <c r="BF44" s="119" t="s">
        <v>260</v>
      </c>
      <c r="BG44" s="40"/>
      <c r="BH44" s="110">
        <f t="shared" si="58"/>
        <v>0</v>
      </c>
      <c r="BI44" s="109">
        <f t="shared" si="59"/>
        <v>0</v>
      </c>
      <c r="BJ44" s="111">
        <f t="shared" si="60"/>
        <v>0</v>
      </c>
      <c r="BM44" s="119" t="s">
        <v>260</v>
      </c>
      <c r="BN44" s="40"/>
      <c r="BO44" s="110">
        <f t="shared" si="61"/>
        <v>0</v>
      </c>
      <c r="BP44" s="109">
        <f t="shared" si="62"/>
        <v>0</v>
      </c>
      <c r="BQ44" s="111">
        <f t="shared" si="63"/>
        <v>0</v>
      </c>
      <c r="BT44" s="119" t="s">
        <v>260</v>
      </c>
      <c r="BU44" s="40"/>
      <c r="BV44" s="110">
        <f t="shared" si="64"/>
        <v>0</v>
      </c>
      <c r="BW44" s="109">
        <f t="shared" si="65"/>
        <v>0</v>
      </c>
      <c r="BX44" s="111">
        <f t="shared" si="66"/>
        <v>0</v>
      </c>
      <c r="CA44" s="119" t="s">
        <v>260</v>
      </c>
      <c r="CB44" s="40"/>
      <c r="CC44" s="110">
        <f t="shared" si="67"/>
        <v>0</v>
      </c>
      <c r="CD44" s="109">
        <f t="shared" si="68"/>
        <v>0</v>
      </c>
      <c r="CE44" s="111">
        <f t="shared" si="69"/>
        <v>0</v>
      </c>
      <c r="CH44" s="119" t="s">
        <v>260</v>
      </c>
      <c r="CI44" s="40"/>
      <c r="CJ44" s="110">
        <f t="shared" si="70"/>
        <v>0</v>
      </c>
      <c r="CK44" s="109">
        <f t="shared" si="71"/>
        <v>0</v>
      </c>
      <c r="CL44" s="111">
        <f t="shared" si="72"/>
        <v>0</v>
      </c>
      <c r="CO44" s="119" t="s">
        <v>260</v>
      </c>
      <c r="CP44" s="40"/>
      <c r="CQ44" s="110">
        <f t="shared" si="73"/>
        <v>0</v>
      </c>
      <c r="CR44" s="109">
        <f t="shared" si="74"/>
        <v>0</v>
      </c>
      <c r="CS44" s="111">
        <f t="shared" si="75"/>
        <v>0</v>
      </c>
      <c r="CV44" s="119" t="s">
        <v>260</v>
      </c>
      <c r="CW44" s="40"/>
      <c r="CX44" s="110">
        <f t="shared" si="76"/>
        <v>0</v>
      </c>
      <c r="CY44" s="109">
        <f t="shared" si="77"/>
        <v>0</v>
      </c>
      <c r="CZ44" s="111">
        <f t="shared" si="78"/>
        <v>0</v>
      </c>
      <c r="DC44" s="119" t="s">
        <v>260</v>
      </c>
      <c r="DD44" s="40"/>
      <c r="DE44" s="110">
        <f t="shared" si="79"/>
        <v>0</v>
      </c>
      <c r="DF44" s="109">
        <f t="shared" si="80"/>
        <v>0</v>
      </c>
      <c r="DG44" s="111">
        <f t="shared" si="81"/>
        <v>0</v>
      </c>
      <c r="DJ44" s="119" t="s">
        <v>260</v>
      </c>
      <c r="DK44" s="40"/>
      <c r="DL44" s="110">
        <f t="shared" si="82"/>
        <v>0</v>
      </c>
      <c r="DM44" s="109">
        <f t="shared" si="83"/>
        <v>0</v>
      </c>
      <c r="DN44" s="111">
        <f t="shared" si="84"/>
        <v>0</v>
      </c>
      <c r="DQ44" s="119" t="s">
        <v>260</v>
      </c>
      <c r="DR44" s="40"/>
      <c r="DS44" s="110">
        <f t="shared" si="85"/>
        <v>0</v>
      </c>
      <c r="DT44" s="109">
        <f t="shared" si="86"/>
        <v>0</v>
      </c>
      <c r="DU44" s="111">
        <f t="shared" si="87"/>
        <v>0</v>
      </c>
    </row>
    <row r="45">
      <c r="B45" s="119" t="s">
        <v>261</v>
      </c>
      <c r="C45" s="40"/>
      <c r="D45" s="110">
        <f t="shared" si="34"/>
        <v>0</v>
      </c>
      <c r="E45" s="109">
        <f t="shared" si="35"/>
        <v>0</v>
      </c>
      <c r="F45" s="111">
        <f t="shared" si="36"/>
        <v>0</v>
      </c>
      <c r="I45" s="119" t="s">
        <v>261</v>
      </c>
      <c r="J45" s="40"/>
      <c r="K45" s="110">
        <f t="shared" si="37"/>
        <v>0</v>
      </c>
      <c r="L45" s="109">
        <f t="shared" si="38"/>
        <v>0</v>
      </c>
      <c r="M45" s="111">
        <f t="shared" si="39"/>
        <v>0</v>
      </c>
      <c r="P45" s="119" t="s">
        <v>261</v>
      </c>
      <c r="Q45" s="40"/>
      <c r="R45" s="110">
        <f t="shared" si="40"/>
        <v>0</v>
      </c>
      <c r="S45" s="109">
        <f t="shared" si="41"/>
        <v>0</v>
      </c>
      <c r="T45" s="111">
        <f t="shared" si="42"/>
        <v>0</v>
      </c>
      <c r="W45" s="119" t="s">
        <v>261</v>
      </c>
      <c r="X45" s="40"/>
      <c r="Y45" s="110">
        <f t="shared" si="43"/>
        <v>0</v>
      </c>
      <c r="Z45" s="109">
        <f t="shared" si="44"/>
        <v>0</v>
      </c>
      <c r="AA45" s="111">
        <f t="shared" si="45"/>
        <v>0</v>
      </c>
      <c r="AD45" s="119" t="s">
        <v>261</v>
      </c>
      <c r="AE45" s="40"/>
      <c r="AF45" s="110">
        <f t="shared" si="46"/>
        <v>0</v>
      </c>
      <c r="AG45" s="109">
        <f t="shared" si="47"/>
        <v>0</v>
      </c>
      <c r="AH45" s="111">
        <f t="shared" si="48"/>
        <v>0</v>
      </c>
      <c r="AK45" s="119" t="s">
        <v>261</v>
      </c>
      <c r="AL45" s="40"/>
      <c r="AM45" s="110">
        <f t="shared" si="49"/>
        <v>0</v>
      </c>
      <c r="AN45" s="109">
        <f t="shared" si="50"/>
        <v>0</v>
      </c>
      <c r="AO45" s="111">
        <f t="shared" si="51"/>
        <v>0</v>
      </c>
      <c r="AR45" s="119" t="s">
        <v>261</v>
      </c>
      <c r="AS45" s="40"/>
      <c r="AT45" s="110">
        <f t="shared" si="52"/>
        <v>0</v>
      </c>
      <c r="AU45" s="109">
        <f t="shared" si="53"/>
        <v>0</v>
      </c>
      <c r="AV45" s="111">
        <f t="shared" si="54"/>
        <v>0</v>
      </c>
      <c r="AY45" s="119" t="s">
        <v>261</v>
      </c>
      <c r="AZ45" s="40"/>
      <c r="BA45" s="110">
        <f t="shared" si="55"/>
        <v>0</v>
      </c>
      <c r="BB45" s="109">
        <f t="shared" si="56"/>
        <v>0</v>
      </c>
      <c r="BC45" s="111">
        <f t="shared" si="57"/>
        <v>0</v>
      </c>
      <c r="BF45" s="119" t="s">
        <v>261</v>
      </c>
      <c r="BG45" s="40"/>
      <c r="BH45" s="110">
        <f t="shared" si="58"/>
        <v>0</v>
      </c>
      <c r="BI45" s="109">
        <f t="shared" si="59"/>
        <v>0</v>
      </c>
      <c r="BJ45" s="111">
        <f t="shared" si="60"/>
        <v>0</v>
      </c>
      <c r="BM45" s="119" t="s">
        <v>261</v>
      </c>
      <c r="BN45" s="40"/>
      <c r="BO45" s="110">
        <f t="shared" si="61"/>
        <v>0</v>
      </c>
      <c r="BP45" s="109">
        <f t="shared" si="62"/>
        <v>0</v>
      </c>
      <c r="BQ45" s="111">
        <f t="shared" si="63"/>
        <v>0</v>
      </c>
      <c r="BT45" s="119" t="s">
        <v>261</v>
      </c>
      <c r="BU45" s="40"/>
      <c r="BV45" s="110">
        <f t="shared" si="64"/>
        <v>0</v>
      </c>
      <c r="BW45" s="109">
        <f t="shared" si="65"/>
        <v>0</v>
      </c>
      <c r="BX45" s="111">
        <f t="shared" si="66"/>
        <v>0</v>
      </c>
      <c r="CA45" s="119" t="s">
        <v>261</v>
      </c>
      <c r="CB45" s="40"/>
      <c r="CC45" s="110">
        <f t="shared" si="67"/>
        <v>0</v>
      </c>
      <c r="CD45" s="109">
        <f t="shared" si="68"/>
        <v>0</v>
      </c>
      <c r="CE45" s="111">
        <f t="shared" si="69"/>
        <v>0</v>
      </c>
      <c r="CH45" s="119" t="s">
        <v>261</v>
      </c>
      <c r="CI45" s="40"/>
      <c r="CJ45" s="110">
        <f t="shared" si="70"/>
        <v>0</v>
      </c>
      <c r="CK45" s="109">
        <f t="shared" si="71"/>
        <v>0</v>
      </c>
      <c r="CL45" s="111">
        <f t="shared" si="72"/>
        <v>0</v>
      </c>
      <c r="CO45" s="119" t="s">
        <v>261</v>
      </c>
      <c r="CP45" s="40"/>
      <c r="CQ45" s="110">
        <f t="shared" si="73"/>
        <v>0</v>
      </c>
      <c r="CR45" s="109">
        <f t="shared" si="74"/>
        <v>0</v>
      </c>
      <c r="CS45" s="111">
        <f t="shared" si="75"/>
        <v>0</v>
      </c>
      <c r="CV45" s="119" t="s">
        <v>261</v>
      </c>
      <c r="CW45" s="40"/>
      <c r="CX45" s="110">
        <f t="shared" si="76"/>
        <v>0</v>
      </c>
      <c r="CY45" s="109">
        <f t="shared" si="77"/>
        <v>0</v>
      </c>
      <c r="CZ45" s="111">
        <f t="shared" si="78"/>
        <v>0</v>
      </c>
      <c r="DC45" s="119" t="s">
        <v>261</v>
      </c>
      <c r="DD45" s="40"/>
      <c r="DE45" s="110">
        <f t="shared" si="79"/>
        <v>0</v>
      </c>
      <c r="DF45" s="109">
        <f t="shared" si="80"/>
        <v>0</v>
      </c>
      <c r="DG45" s="111">
        <f t="shared" si="81"/>
        <v>0</v>
      </c>
      <c r="DJ45" s="119" t="s">
        <v>261</v>
      </c>
      <c r="DK45" s="40"/>
      <c r="DL45" s="110">
        <f t="shared" si="82"/>
        <v>0</v>
      </c>
      <c r="DM45" s="109">
        <f t="shared" si="83"/>
        <v>0</v>
      </c>
      <c r="DN45" s="111">
        <f t="shared" si="84"/>
        <v>0</v>
      </c>
      <c r="DQ45" s="119" t="s">
        <v>261</v>
      </c>
      <c r="DR45" s="40"/>
      <c r="DS45" s="110">
        <f t="shared" si="85"/>
        <v>0</v>
      </c>
      <c r="DT45" s="109">
        <f t="shared" si="86"/>
        <v>0</v>
      </c>
      <c r="DU45" s="111">
        <f t="shared" si="87"/>
        <v>0</v>
      </c>
    </row>
    <row r="46">
      <c r="B46" s="119" t="s">
        <v>262</v>
      </c>
      <c r="C46" s="40"/>
      <c r="D46" s="110">
        <f t="shared" si="34"/>
        <v>0</v>
      </c>
      <c r="E46" s="109">
        <f t="shared" si="35"/>
        <v>0</v>
      </c>
      <c r="F46" s="111">
        <f t="shared" si="36"/>
        <v>0</v>
      </c>
      <c r="I46" s="119" t="s">
        <v>262</v>
      </c>
      <c r="J46" s="40"/>
      <c r="K46" s="110">
        <f t="shared" si="37"/>
        <v>0</v>
      </c>
      <c r="L46" s="109">
        <f t="shared" si="38"/>
        <v>0</v>
      </c>
      <c r="M46" s="111">
        <f t="shared" si="39"/>
        <v>0</v>
      </c>
      <c r="P46" s="119" t="s">
        <v>262</v>
      </c>
      <c r="Q46" s="40"/>
      <c r="R46" s="110">
        <f t="shared" si="40"/>
        <v>0</v>
      </c>
      <c r="S46" s="109">
        <f t="shared" si="41"/>
        <v>0</v>
      </c>
      <c r="T46" s="111">
        <f t="shared" si="42"/>
        <v>0</v>
      </c>
      <c r="W46" s="119" t="s">
        <v>262</v>
      </c>
      <c r="X46" s="40"/>
      <c r="Y46" s="110">
        <f t="shared" si="43"/>
        <v>0</v>
      </c>
      <c r="Z46" s="109">
        <f t="shared" si="44"/>
        <v>0</v>
      </c>
      <c r="AA46" s="111">
        <f t="shared" si="45"/>
        <v>0</v>
      </c>
      <c r="AD46" s="119" t="s">
        <v>262</v>
      </c>
      <c r="AE46" s="40"/>
      <c r="AF46" s="110">
        <f t="shared" si="46"/>
        <v>0</v>
      </c>
      <c r="AG46" s="109">
        <f t="shared" si="47"/>
        <v>0</v>
      </c>
      <c r="AH46" s="111">
        <f t="shared" si="48"/>
        <v>0</v>
      </c>
      <c r="AK46" s="119" t="s">
        <v>262</v>
      </c>
      <c r="AL46" s="40"/>
      <c r="AM46" s="110">
        <f t="shared" si="49"/>
        <v>0</v>
      </c>
      <c r="AN46" s="109">
        <f t="shared" si="50"/>
        <v>0</v>
      </c>
      <c r="AO46" s="111">
        <f t="shared" si="51"/>
        <v>0</v>
      </c>
      <c r="AR46" s="119" t="s">
        <v>262</v>
      </c>
      <c r="AS46" s="40"/>
      <c r="AT46" s="110">
        <f t="shared" si="52"/>
        <v>0</v>
      </c>
      <c r="AU46" s="109">
        <f t="shared" si="53"/>
        <v>0</v>
      </c>
      <c r="AV46" s="111">
        <f t="shared" si="54"/>
        <v>0</v>
      </c>
      <c r="AY46" s="119" t="s">
        <v>262</v>
      </c>
      <c r="AZ46" s="40"/>
      <c r="BA46" s="110">
        <f t="shared" si="55"/>
        <v>0</v>
      </c>
      <c r="BB46" s="109">
        <f t="shared" si="56"/>
        <v>0</v>
      </c>
      <c r="BC46" s="111">
        <f t="shared" si="57"/>
        <v>0</v>
      </c>
      <c r="BF46" s="119" t="s">
        <v>262</v>
      </c>
      <c r="BG46" s="40"/>
      <c r="BH46" s="110">
        <f t="shared" si="58"/>
        <v>0</v>
      </c>
      <c r="BI46" s="109">
        <f t="shared" si="59"/>
        <v>0</v>
      </c>
      <c r="BJ46" s="111">
        <f t="shared" si="60"/>
        <v>0</v>
      </c>
      <c r="BM46" s="119" t="s">
        <v>262</v>
      </c>
      <c r="BN46" s="40"/>
      <c r="BO46" s="110">
        <f t="shared" si="61"/>
        <v>0</v>
      </c>
      <c r="BP46" s="109">
        <f t="shared" si="62"/>
        <v>0</v>
      </c>
      <c r="BQ46" s="111">
        <f t="shared" si="63"/>
        <v>0</v>
      </c>
      <c r="BT46" s="119" t="s">
        <v>262</v>
      </c>
      <c r="BU46" s="40"/>
      <c r="BV46" s="110">
        <f t="shared" si="64"/>
        <v>0</v>
      </c>
      <c r="BW46" s="109">
        <f t="shared" si="65"/>
        <v>0</v>
      </c>
      <c r="BX46" s="111">
        <f t="shared" si="66"/>
        <v>0</v>
      </c>
      <c r="CA46" s="119" t="s">
        <v>262</v>
      </c>
      <c r="CB46" s="40"/>
      <c r="CC46" s="110">
        <f t="shared" si="67"/>
        <v>0</v>
      </c>
      <c r="CD46" s="109">
        <f t="shared" si="68"/>
        <v>0</v>
      </c>
      <c r="CE46" s="111">
        <f t="shared" si="69"/>
        <v>0</v>
      </c>
      <c r="CH46" s="119" t="s">
        <v>262</v>
      </c>
      <c r="CI46" s="40"/>
      <c r="CJ46" s="110">
        <f t="shared" si="70"/>
        <v>0</v>
      </c>
      <c r="CK46" s="109">
        <f t="shared" si="71"/>
        <v>0</v>
      </c>
      <c r="CL46" s="111">
        <f t="shared" si="72"/>
        <v>0</v>
      </c>
      <c r="CO46" s="119" t="s">
        <v>262</v>
      </c>
      <c r="CP46" s="40"/>
      <c r="CQ46" s="110">
        <f t="shared" si="73"/>
        <v>0</v>
      </c>
      <c r="CR46" s="109">
        <f t="shared" si="74"/>
        <v>0</v>
      </c>
      <c r="CS46" s="111">
        <f t="shared" si="75"/>
        <v>0</v>
      </c>
      <c r="CV46" s="119" t="s">
        <v>262</v>
      </c>
      <c r="CW46" s="40"/>
      <c r="CX46" s="110">
        <f t="shared" si="76"/>
        <v>0</v>
      </c>
      <c r="CY46" s="109">
        <f t="shared" si="77"/>
        <v>0</v>
      </c>
      <c r="CZ46" s="111">
        <f t="shared" si="78"/>
        <v>0</v>
      </c>
      <c r="DC46" s="119" t="s">
        <v>262</v>
      </c>
      <c r="DD46" s="40"/>
      <c r="DE46" s="110">
        <f t="shared" si="79"/>
        <v>0</v>
      </c>
      <c r="DF46" s="109">
        <f t="shared" si="80"/>
        <v>0</v>
      </c>
      <c r="DG46" s="111">
        <f t="shared" si="81"/>
        <v>0</v>
      </c>
      <c r="DJ46" s="119" t="s">
        <v>262</v>
      </c>
      <c r="DK46" s="40"/>
      <c r="DL46" s="110">
        <f t="shared" si="82"/>
        <v>0</v>
      </c>
      <c r="DM46" s="109">
        <f t="shared" si="83"/>
        <v>0</v>
      </c>
      <c r="DN46" s="111">
        <f t="shared" si="84"/>
        <v>0</v>
      </c>
      <c r="DQ46" s="119" t="s">
        <v>262</v>
      </c>
      <c r="DR46" s="40"/>
      <c r="DS46" s="110">
        <f t="shared" si="85"/>
        <v>0</v>
      </c>
      <c r="DT46" s="109">
        <f t="shared" si="86"/>
        <v>0</v>
      </c>
      <c r="DU46" s="111">
        <f t="shared" si="87"/>
        <v>0</v>
      </c>
    </row>
    <row r="47">
      <c r="B47" s="119" t="s">
        <v>263</v>
      </c>
      <c r="C47" s="40"/>
      <c r="D47" s="110">
        <f t="shared" si="34"/>
        <v>0</v>
      </c>
      <c r="E47" s="109">
        <f t="shared" si="35"/>
        <v>0</v>
      </c>
      <c r="F47" s="111">
        <f t="shared" si="36"/>
        <v>0</v>
      </c>
      <c r="I47" s="119" t="s">
        <v>263</v>
      </c>
      <c r="J47" s="40"/>
      <c r="K47" s="110">
        <f t="shared" si="37"/>
        <v>0</v>
      </c>
      <c r="L47" s="109">
        <f t="shared" si="38"/>
        <v>0</v>
      </c>
      <c r="M47" s="111">
        <f t="shared" si="39"/>
        <v>0</v>
      </c>
      <c r="P47" s="119" t="s">
        <v>263</v>
      </c>
      <c r="Q47" s="40"/>
      <c r="R47" s="110">
        <f t="shared" si="40"/>
        <v>0</v>
      </c>
      <c r="S47" s="109">
        <f t="shared" si="41"/>
        <v>0</v>
      </c>
      <c r="T47" s="111">
        <f t="shared" si="42"/>
        <v>0</v>
      </c>
      <c r="W47" s="119" t="s">
        <v>263</v>
      </c>
      <c r="X47" s="40"/>
      <c r="Y47" s="110">
        <f t="shared" si="43"/>
        <v>0</v>
      </c>
      <c r="Z47" s="109">
        <f t="shared" si="44"/>
        <v>0</v>
      </c>
      <c r="AA47" s="111">
        <f t="shared" si="45"/>
        <v>0</v>
      </c>
      <c r="AD47" s="119" t="s">
        <v>263</v>
      </c>
      <c r="AE47" s="40"/>
      <c r="AF47" s="110">
        <f t="shared" si="46"/>
        <v>0</v>
      </c>
      <c r="AG47" s="109">
        <f t="shared" si="47"/>
        <v>0</v>
      </c>
      <c r="AH47" s="111">
        <f t="shared" si="48"/>
        <v>0</v>
      </c>
      <c r="AK47" s="119" t="s">
        <v>263</v>
      </c>
      <c r="AL47" s="40"/>
      <c r="AM47" s="110">
        <f t="shared" si="49"/>
        <v>0</v>
      </c>
      <c r="AN47" s="109">
        <f t="shared" si="50"/>
        <v>0</v>
      </c>
      <c r="AO47" s="111">
        <f t="shared" si="51"/>
        <v>0</v>
      </c>
      <c r="AR47" s="119" t="s">
        <v>263</v>
      </c>
      <c r="AS47" s="40"/>
      <c r="AT47" s="110">
        <f t="shared" si="52"/>
        <v>0</v>
      </c>
      <c r="AU47" s="109">
        <f t="shared" si="53"/>
        <v>0</v>
      </c>
      <c r="AV47" s="111">
        <f t="shared" si="54"/>
        <v>0</v>
      </c>
      <c r="AY47" s="119" t="s">
        <v>263</v>
      </c>
      <c r="AZ47" s="40"/>
      <c r="BA47" s="110">
        <f t="shared" si="55"/>
        <v>0</v>
      </c>
      <c r="BB47" s="109">
        <f t="shared" si="56"/>
        <v>0</v>
      </c>
      <c r="BC47" s="111">
        <f t="shared" si="57"/>
        <v>0</v>
      </c>
      <c r="BF47" s="119" t="s">
        <v>263</v>
      </c>
      <c r="BG47" s="40"/>
      <c r="BH47" s="110">
        <f t="shared" si="58"/>
        <v>0</v>
      </c>
      <c r="BI47" s="109">
        <f t="shared" si="59"/>
        <v>0</v>
      </c>
      <c r="BJ47" s="111">
        <f t="shared" si="60"/>
        <v>0</v>
      </c>
      <c r="BM47" s="119" t="s">
        <v>263</v>
      </c>
      <c r="BN47" s="40"/>
      <c r="BO47" s="110">
        <f t="shared" si="61"/>
        <v>0</v>
      </c>
      <c r="BP47" s="109">
        <f t="shared" si="62"/>
        <v>0</v>
      </c>
      <c r="BQ47" s="111">
        <f t="shared" si="63"/>
        <v>0</v>
      </c>
      <c r="BT47" s="119" t="s">
        <v>263</v>
      </c>
      <c r="BU47" s="40"/>
      <c r="BV47" s="110">
        <f t="shared" si="64"/>
        <v>0</v>
      </c>
      <c r="BW47" s="109">
        <f t="shared" si="65"/>
        <v>0</v>
      </c>
      <c r="BX47" s="111">
        <f t="shared" si="66"/>
        <v>0</v>
      </c>
      <c r="CA47" s="119" t="s">
        <v>263</v>
      </c>
      <c r="CB47" s="40"/>
      <c r="CC47" s="110">
        <f t="shared" si="67"/>
        <v>0</v>
      </c>
      <c r="CD47" s="109">
        <f t="shared" si="68"/>
        <v>0</v>
      </c>
      <c r="CE47" s="111">
        <f t="shared" si="69"/>
        <v>0</v>
      </c>
      <c r="CH47" s="119" t="s">
        <v>263</v>
      </c>
      <c r="CI47" s="40"/>
      <c r="CJ47" s="110">
        <f t="shared" si="70"/>
        <v>0</v>
      </c>
      <c r="CK47" s="109">
        <f t="shared" si="71"/>
        <v>0</v>
      </c>
      <c r="CL47" s="111">
        <f t="shared" si="72"/>
        <v>0</v>
      </c>
      <c r="CO47" s="119" t="s">
        <v>263</v>
      </c>
      <c r="CP47" s="40"/>
      <c r="CQ47" s="110">
        <f t="shared" si="73"/>
        <v>0</v>
      </c>
      <c r="CR47" s="109">
        <f t="shared" si="74"/>
        <v>0</v>
      </c>
      <c r="CS47" s="111">
        <f t="shared" si="75"/>
        <v>0</v>
      </c>
      <c r="CV47" s="119" t="s">
        <v>263</v>
      </c>
      <c r="CW47" s="40"/>
      <c r="CX47" s="110">
        <f t="shared" si="76"/>
        <v>0</v>
      </c>
      <c r="CY47" s="109">
        <f t="shared" si="77"/>
        <v>0</v>
      </c>
      <c r="CZ47" s="111">
        <f t="shared" si="78"/>
        <v>0</v>
      </c>
      <c r="DC47" s="119" t="s">
        <v>263</v>
      </c>
      <c r="DD47" s="40"/>
      <c r="DE47" s="110">
        <f t="shared" si="79"/>
        <v>0</v>
      </c>
      <c r="DF47" s="109">
        <f t="shared" si="80"/>
        <v>0</v>
      </c>
      <c r="DG47" s="111">
        <f t="shared" si="81"/>
        <v>0</v>
      </c>
      <c r="DJ47" s="119" t="s">
        <v>263</v>
      </c>
      <c r="DK47" s="40"/>
      <c r="DL47" s="110">
        <f t="shared" si="82"/>
        <v>0</v>
      </c>
      <c r="DM47" s="109">
        <f t="shared" si="83"/>
        <v>0</v>
      </c>
      <c r="DN47" s="111">
        <f t="shared" si="84"/>
        <v>0</v>
      </c>
      <c r="DQ47" s="119" t="s">
        <v>263</v>
      </c>
      <c r="DR47" s="40"/>
      <c r="DS47" s="110">
        <f t="shared" si="85"/>
        <v>0</v>
      </c>
      <c r="DT47" s="109">
        <f t="shared" si="86"/>
        <v>0</v>
      </c>
      <c r="DU47" s="111">
        <f t="shared" si="87"/>
        <v>0</v>
      </c>
    </row>
    <row r="48">
      <c r="B48" s="119" t="s">
        <v>264</v>
      </c>
      <c r="C48" s="40"/>
      <c r="D48" s="110">
        <f t="shared" si="34"/>
        <v>0</v>
      </c>
      <c r="E48" s="109">
        <f t="shared" si="35"/>
        <v>0</v>
      </c>
      <c r="F48" s="111">
        <f t="shared" si="36"/>
        <v>0</v>
      </c>
      <c r="I48" s="119" t="s">
        <v>264</v>
      </c>
      <c r="J48" s="40"/>
      <c r="K48" s="110">
        <f t="shared" si="37"/>
        <v>0</v>
      </c>
      <c r="L48" s="109">
        <f t="shared" si="38"/>
        <v>0</v>
      </c>
      <c r="M48" s="111">
        <f t="shared" si="39"/>
        <v>0</v>
      </c>
      <c r="P48" s="119" t="s">
        <v>264</v>
      </c>
      <c r="Q48" s="40"/>
      <c r="R48" s="110">
        <f t="shared" si="40"/>
        <v>0</v>
      </c>
      <c r="S48" s="109">
        <f t="shared" si="41"/>
        <v>0</v>
      </c>
      <c r="T48" s="111">
        <f t="shared" si="42"/>
        <v>0</v>
      </c>
      <c r="W48" s="119" t="s">
        <v>264</v>
      </c>
      <c r="X48" s="40"/>
      <c r="Y48" s="110">
        <f t="shared" si="43"/>
        <v>0</v>
      </c>
      <c r="Z48" s="109">
        <f t="shared" si="44"/>
        <v>0</v>
      </c>
      <c r="AA48" s="111">
        <f t="shared" si="45"/>
        <v>0</v>
      </c>
      <c r="AD48" s="119" t="s">
        <v>264</v>
      </c>
      <c r="AE48" s="40"/>
      <c r="AF48" s="110">
        <f t="shared" si="46"/>
        <v>0</v>
      </c>
      <c r="AG48" s="109">
        <f t="shared" si="47"/>
        <v>0</v>
      </c>
      <c r="AH48" s="111">
        <f t="shared" si="48"/>
        <v>0</v>
      </c>
      <c r="AK48" s="119" t="s">
        <v>264</v>
      </c>
      <c r="AL48" s="40"/>
      <c r="AM48" s="110">
        <f t="shared" si="49"/>
        <v>0</v>
      </c>
      <c r="AN48" s="109">
        <f t="shared" si="50"/>
        <v>0</v>
      </c>
      <c r="AO48" s="111">
        <f t="shared" si="51"/>
        <v>0</v>
      </c>
      <c r="AR48" s="119" t="s">
        <v>264</v>
      </c>
      <c r="AS48" s="40"/>
      <c r="AT48" s="110">
        <f t="shared" si="52"/>
        <v>0</v>
      </c>
      <c r="AU48" s="109">
        <f t="shared" si="53"/>
        <v>0</v>
      </c>
      <c r="AV48" s="111">
        <f t="shared" si="54"/>
        <v>0</v>
      </c>
      <c r="AY48" s="119" t="s">
        <v>264</v>
      </c>
      <c r="AZ48" s="40"/>
      <c r="BA48" s="110">
        <f t="shared" si="55"/>
        <v>0</v>
      </c>
      <c r="BB48" s="109">
        <f t="shared" si="56"/>
        <v>0</v>
      </c>
      <c r="BC48" s="111">
        <f t="shared" si="57"/>
        <v>0</v>
      </c>
      <c r="BF48" s="119" t="s">
        <v>264</v>
      </c>
      <c r="BG48" s="40"/>
      <c r="BH48" s="110">
        <f t="shared" si="58"/>
        <v>0</v>
      </c>
      <c r="BI48" s="109">
        <f t="shared" si="59"/>
        <v>0</v>
      </c>
      <c r="BJ48" s="111">
        <f t="shared" si="60"/>
        <v>0</v>
      </c>
      <c r="BM48" s="119" t="s">
        <v>264</v>
      </c>
      <c r="BN48" s="40"/>
      <c r="BO48" s="110">
        <f t="shared" si="61"/>
        <v>0</v>
      </c>
      <c r="BP48" s="109">
        <f t="shared" si="62"/>
        <v>0</v>
      </c>
      <c r="BQ48" s="111">
        <f t="shared" si="63"/>
        <v>0</v>
      </c>
      <c r="BT48" s="119" t="s">
        <v>264</v>
      </c>
      <c r="BU48" s="40"/>
      <c r="BV48" s="110">
        <f t="shared" si="64"/>
        <v>0</v>
      </c>
      <c r="BW48" s="109">
        <f t="shared" si="65"/>
        <v>0</v>
      </c>
      <c r="BX48" s="111">
        <f t="shared" si="66"/>
        <v>0</v>
      </c>
      <c r="CA48" s="119" t="s">
        <v>264</v>
      </c>
      <c r="CB48" s="40"/>
      <c r="CC48" s="110">
        <f t="shared" si="67"/>
        <v>0</v>
      </c>
      <c r="CD48" s="109">
        <f t="shared" si="68"/>
        <v>0</v>
      </c>
      <c r="CE48" s="111">
        <f t="shared" si="69"/>
        <v>0</v>
      </c>
      <c r="CH48" s="119" t="s">
        <v>264</v>
      </c>
      <c r="CI48" s="40"/>
      <c r="CJ48" s="110">
        <f t="shared" si="70"/>
        <v>0</v>
      </c>
      <c r="CK48" s="109">
        <f t="shared" si="71"/>
        <v>0</v>
      </c>
      <c r="CL48" s="111">
        <f t="shared" si="72"/>
        <v>0</v>
      </c>
      <c r="CO48" s="119" t="s">
        <v>264</v>
      </c>
      <c r="CP48" s="40"/>
      <c r="CQ48" s="110">
        <f t="shared" si="73"/>
        <v>0</v>
      </c>
      <c r="CR48" s="109">
        <f t="shared" si="74"/>
        <v>0</v>
      </c>
      <c r="CS48" s="111">
        <f t="shared" si="75"/>
        <v>0</v>
      </c>
      <c r="CV48" s="119" t="s">
        <v>264</v>
      </c>
      <c r="CW48" s="40"/>
      <c r="CX48" s="110">
        <f t="shared" si="76"/>
        <v>0</v>
      </c>
      <c r="CY48" s="109">
        <f t="shared" si="77"/>
        <v>0</v>
      </c>
      <c r="CZ48" s="111">
        <f t="shared" si="78"/>
        <v>0</v>
      </c>
      <c r="DC48" s="119" t="s">
        <v>264</v>
      </c>
      <c r="DD48" s="40"/>
      <c r="DE48" s="110">
        <f t="shared" si="79"/>
        <v>0</v>
      </c>
      <c r="DF48" s="109">
        <f t="shared" si="80"/>
        <v>0</v>
      </c>
      <c r="DG48" s="111">
        <f t="shared" si="81"/>
        <v>0</v>
      </c>
      <c r="DJ48" s="119" t="s">
        <v>264</v>
      </c>
      <c r="DK48" s="40"/>
      <c r="DL48" s="110">
        <f t="shared" si="82"/>
        <v>0</v>
      </c>
      <c r="DM48" s="109">
        <f t="shared" si="83"/>
        <v>0</v>
      </c>
      <c r="DN48" s="111">
        <f t="shared" si="84"/>
        <v>0</v>
      </c>
      <c r="DQ48" s="119" t="s">
        <v>264</v>
      </c>
      <c r="DR48" s="40"/>
      <c r="DS48" s="110">
        <f t="shared" si="85"/>
        <v>0</v>
      </c>
      <c r="DT48" s="109">
        <f t="shared" si="86"/>
        <v>0</v>
      </c>
      <c r="DU48" s="111">
        <f t="shared" si="87"/>
        <v>0</v>
      </c>
    </row>
    <row r="49">
      <c r="B49" s="119" t="s">
        <v>265</v>
      </c>
      <c r="C49" s="40"/>
      <c r="D49" s="110">
        <f t="shared" si="34"/>
        <v>0</v>
      </c>
      <c r="E49" s="109">
        <f t="shared" si="35"/>
        <v>0</v>
      </c>
      <c r="F49" s="111">
        <f t="shared" si="36"/>
        <v>0</v>
      </c>
      <c r="I49" s="119" t="s">
        <v>265</v>
      </c>
      <c r="J49" s="40"/>
      <c r="K49" s="110">
        <f t="shared" si="37"/>
        <v>0</v>
      </c>
      <c r="L49" s="109">
        <f t="shared" si="38"/>
        <v>0</v>
      </c>
      <c r="M49" s="111">
        <f t="shared" si="39"/>
        <v>0</v>
      </c>
      <c r="P49" s="119" t="s">
        <v>265</v>
      </c>
      <c r="Q49" s="40"/>
      <c r="R49" s="110">
        <f t="shared" si="40"/>
        <v>0</v>
      </c>
      <c r="S49" s="109">
        <f t="shared" si="41"/>
        <v>0</v>
      </c>
      <c r="T49" s="111">
        <f t="shared" si="42"/>
        <v>0</v>
      </c>
      <c r="W49" s="119" t="s">
        <v>265</v>
      </c>
      <c r="X49" s="40"/>
      <c r="Y49" s="110">
        <f t="shared" si="43"/>
        <v>0</v>
      </c>
      <c r="Z49" s="109">
        <f t="shared" si="44"/>
        <v>0</v>
      </c>
      <c r="AA49" s="111">
        <f t="shared" si="45"/>
        <v>0</v>
      </c>
      <c r="AD49" s="119" t="s">
        <v>265</v>
      </c>
      <c r="AE49" s="40"/>
      <c r="AF49" s="110">
        <f t="shared" si="46"/>
        <v>0</v>
      </c>
      <c r="AG49" s="109">
        <f t="shared" si="47"/>
        <v>0</v>
      </c>
      <c r="AH49" s="111">
        <f t="shared" si="48"/>
        <v>0</v>
      </c>
      <c r="AK49" s="119" t="s">
        <v>265</v>
      </c>
      <c r="AL49" s="40"/>
      <c r="AM49" s="110">
        <f t="shared" si="49"/>
        <v>0</v>
      </c>
      <c r="AN49" s="109">
        <f t="shared" si="50"/>
        <v>0</v>
      </c>
      <c r="AO49" s="111">
        <f t="shared" si="51"/>
        <v>0</v>
      </c>
      <c r="AR49" s="119" t="s">
        <v>265</v>
      </c>
      <c r="AS49" s="40"/>
      <c r="AT49" s="110">
        <f t="shared" si="52"/>
        <v>0</v>
      </c>
      <c r="AU49" s="109">
        <f t="shared" si="53"/>
        <v>0</v>
      </c>
      <c r="AV49" s="111">
        <f t="shared" si="54"/>
        <v>0</v>
      </c>
      <c r="AY49" s="119" t="s">
        <v>265</v>
      </c>
      <c r="AZ49" s="40"/>
      <c r="BA49" s="110">
        <f t="shared" si="55"/>
        <v>0</v>
      </c>
      <c r="BB49" s="109">
        <f t="shared" si="56"/>
        <v>0</v>
      </c>
      <c r="BC49" s="111">
        <f t="shared" si="57"/>
        <v>0</v>
      </c>
      <c r="BF49" s="119" t="s">
        <v>265</v>
      </c>
      <c r="BG49" s="40"/>
      <c r="BH49" s="110">
        <f t="shared" si="58"/>
        <v>0</v>
      </c>
      <c r="BI49" s="109">
        <f t="shared" si="59"/>
        <v>0</v>
      </c>
      <c r="BJ49" s="111">
        <f t="shared" si="60"/>
        <v>0</v>
      </c>
      <c r="BM49" s="119" t="s">
        <v>265</v>
      </c>
      <c r="BN49" s="40"/>
      <c r="BO49" s="110">
        <f t="shared" si="61"/>
        <v>0</v>
      </c>
      <c r="BP49" s="109">
        <f t="shared" si="62"/>
        <v>0</v>
      </c>
      <c r="BQ49" s="111">
        <f t="shared" si="63"/>
        <v>0</v>
      </c>
      <c r="BT49" s="119" t="s">
        <v>265</v>
      </c>
      <c r="BU49" s="40"/>
      <c r="BV49" s="110">
        <f t="shared" si="64"/>
        <v>0</v>
      </c>
      <c r="BW49" s="109">
        <f t="shared" si="65"/>
        <v>0</v>
      </c>
      <c r="BX49" s="111">
        <f t="shared" si="66"/>
        <v>0</v>
      </c>
      <c r="CA49" s="119" t="s">
        <v>265</v>
      </c>
      <c r="CB49" s="40"/>
      <c r="CC49" s="110">
        <f t="shared" si="67"/>
        <v>0</v>
      </c>
      <c r="CD49" s="109">
        <f t="shared" si="68"/>
        <v>0</v>
      </c>
      <c r="CE49" s="111">
        <f t="shared" si="69"/>
        <v>0</v>
      </c>
      <c r="CH49" s="119" t="s">
        <v>265</v>
      </c>
      <c r="CI49" s="40"/>
      <c r="CJ49" s="110">
        <f t="shared" si="70"/>
        <v>0</v>
      </c>
      <c r="CK49" s="109">
        <f t="shared" si="71"/>
        <v>0</v>
      </c>
      <c r="CL49" s="111">
        <f t="shared" si="72"/>
        <v>0</v>
      </c>
      <c r="CO49" s="119" t="s">
        <v>265</v>
      </c>
      <c r="CP49" s="40"/>
      <c r="CQ49" s="110">
        <f t="shared" si="73"/>
        <v>0</v>
      </c>
      <c r="CR49" s="109">
        <f t="shared" si="74"/>
        <v>0</v>
      </c>
      <c r="CS49" s="111">
        <f t="shared" si="75"/>
        <v>0</v>
      </c>
      <c r="CV49" s="119" t="s">
        <v>265</v>
      </c>
      <c r="CW49" s="40"/>
      <c r="CX49" s="110">
        <f t="shared" si="76"/>
        <v>0</v>
      </c>
      <c r="CY49" s="109">
        <f t="shared" si="77"/>
        <v>0</v>
      </c>
      <c r="CZ49" s="111">
        <f t="shared" si="78"/>
        <v>0</v>
      </c>
      <c r="DC49" s="119" t="s">
        <v>265</v>
      </c>
      <c r="DD49" s="40"/>
      <c r="DE49" s="110">
        <f t="shared" si="79"/>
        <v>0</v>
      </c>
      <c r="DF49" s="109">
        <f t="shared" si="80"/>
        <v>0</v>
      </c>
      <c r="DG49" s="111">
        <f t="shared" si="81"/>
        <v>0</v>
      </c>
      <c r="DJ49" s="119" t="s">
        <v>265</v>
      </c>
      <c r="DK49" s="40"/>
      <c r="DL49" s="110">
        <f t="shared" si="82"/>
        <v>0</v>
      </c>
      <c r="DM49" s="109">
        <f t="shared" si="83"/>
        <v>0</v>
      </c>
      <c r="DN49" s="111">
        <f t="shared" si="84"/>
        <v>0</v>
      </c>
      <c r="DQ49" s="119" t="s">
        <v>265</v>
      </c>
      <c r="DR49" s="40"/>
      <c r="DS49" s="110">
        <f t="shared" si="85"/>
        <v>0</v>
      </c>
      <c r="DT49" s="109">
        <f t="shared" si="86"/>
        <v>0</v>
      </c>
      <c r="DU49" s="111">
        <f t="shared" si="87"/>
        <v>0</v>
      </c>
    </row>
    <row r="50">
      <c r="B50" s="119" t="s">
        <v>266</v>
      </c>
      <c r="C50" s="40"/>
      <c r="D50" s="110">
        <f t="shared" si="34"/>
        <v>0</v>
      </c>
      <c r="E50" s="109">
        <f t="shared" si="35"/>
        <v>0</v>
      </c>
      <c r="F50" s="111">
        <f t="shared" si="36"/>
        <v>0</v>
      </c>
      <c r="I50" s="119" t="s">
        <v>266</v>
      </c>
      <c r="J50" s="40"/>
      <c r="K50" s="110">
        <f t="shared" si="37"/>
        <v>0</v>
      </c>
      <c r="L50" s="109">
        <f t="shared" si="38"/>
        <v>0</v>
      </c>
      <c r="M50" s="111">
        <f t="shared" si="39"/>
        <v>0</v>
      </c>
      <c r="P50" s="119" t="s">
        <v>266</v>
      </c>
      <c r="Q50" s="40"/>
      <c r="R50" s="110">
        <f t="shared" si="40"/>
        <v>0</v>
      </c>
      <c r="S50" s="109">
        <f t="shared" si="41"/>
        <v>0</v>
      </c>
      <c r="T50" s="111">
        <f t="shared" si="42"/>
        <v>0</v>
      </c>
      <c r="W50" s="119" t="s">
        <v>266</v>
      </c>
      <c r="X50" s="40"/>
      <c r="Y50" s="110">
        <f t="shared" si="43"/>
        <v>0</v>
      </c>
      <c r="Z50" s="109">
        <f t="shared" si="44"/>
        <v>0</v>
      </c>
      <c r="AA50" s="111">
        <f t="shared" si="45"/>
        <v>0</v>
      </c>
      <c r="AD50" s="119" t="s">
        <v>266</v>
      </c>
      <c r="AE50" s="40"/>
      <c r="AF50" s="110">
        <f t="shared" si="46"/>
        <v>0</v>
      </c>
      <c r="AG50" s="109">
        <f t="shared" si="47"/>
        <v>0</v>
      </c>
      <c r="AH50" s="111">
        <f t="shared" si="48"/>
        <v>0</v>
      </c>
      <c r="AK50" s="119" t="s">
        <v>266</v>
      </c>
      <c r="AL50" s="40"/>
      <c r="AM50" s="110">
        <f t="shared" si="49"/>
        <v>0</v>
      </c>
      <c r="AN50" s="109">
        <f t="shared" si="50"/>
        <v>0</v>
      </c>
      <c r="AO50" s="111">
        <f t="shared" si="51"/>
        <v>0</v>
      </c>
      <c r="AR50" s="119" t="s">
        <v>266</v>
      </c>
      <c r="AS50" s="40"/>
      <c r="AT50" s="110">
        <f t="shared" si="52"/>
        <v>0</v>
      </c>
      <c r="AU50" s="109">
        <f t="shared" si="53"/>
        <v>0</v>
      </c>
      <c r="AV50" s="111">
        <f t="shared" si="54"/>
        <v>0</v>
      </c>
      <c r="AY50" s="119" t="s">
        <v>266</v>
      </c>
      <c r="AZ50" s="40"/>
      <c r="BA50" s="110">
        <f t="shared" si="55"/>
        <v>0</v>
      </c>
      <c r="BB50" s="109">
        <f t="shared" si="56"/>
        <v>0</v>
      </c>
      <c r="BC50" s="111">
        <f t="shared" si="57"/>
        <v>0</v>
      </c>
      <c r="BF50" s="119" t="s">
        <v>266</v>
      </c>
      <c r="BG50" s="40"/>
      <c r="BH50" s="110">
        <f t="shared" si="58"/>
        <v>0</v>
      </c>
      <c r="BI50" s="109">
        <f t="shared" si="59"/>
        <v>0</v>
      </c>
      <c r="BJ50" s="111">
        <f t="shared" si="60"/>
        <v>0</v>
      </c>
      <c r="BM50" s="119" t="s">
        <v>266</v>
      </c>
      <c r="BN50" s="40"/>
      <c r="BO50" s="110">
        <f t="shared" si="61"/>
        <v>0</v>
      </c>
      <c r="BP50" s="109">
        <f t="shared" si="62"/>
        <v>0</v>
      </c>
      <c r="BQ50" s="111">
        <f t="shared" si="63"/>
        <v>0</v>
      </c>
      <c r="BT50" s="119" t="s">
        <v>266</v>
      </c>
      <c r="BU50" s="40"/>
      <c r="BV50" s="110">
        <f t="shared" si="64"/>
        <v>0</v>
      </c>
      <c r="BW50" s="109">
        <f t="shared" si="65"/>
        <v>0</v>
      </c>
      <c r="BX50" s="111">
        <f t="shared" si="66"/>
        <v>0</v>
      </c>
      <c r="CA50" s="119" t="s">
        <v>266</v>
      </c>
      <c r="CB50" s="40"/>
      <c r="CC50" s="110">
        <f t="shared" si="67"/>
        <v>0</v>
      </c>
      <c r="CD50" s="109">
        <f t="shared" si="68"/>
        <v>0</v>
      </c>
      <c r="CE50" s="111">
        <f t="shared" si="69"/>
        <v>0</v>
      </c>
      <c r="CH50" s="119" t="s">
        <v>266</v>
      </c>
      <c r="CI50" s="40"/>
      <c r="CJ50" s="110">
        <f t="shared" si="70"/>
        <v>0</v>
      </c>
      <c r="CK50" s="109">
        <f t="shared" si="71"/>
        <v>0</v>
      </c>
      <c r="CL50" s="111">
        <f t="shared" si="72"/>
        <v>0</v>
      </c>
      <c r="CO50" s="119" t="s">
        <v>266</v>
      </c>
      <c r="CP50" s="40"/>
      <c r="CQ50" s="110">
        <f t="shared" si="73"/>
        <v>0</v>
      </c>
      <c r="CR50" s="109">
        <f t="shared" si="74"/>
        <v>0</v>
      </c>
      <c r="CS50" s="111">
        <f t="shared" si="75"/>
        <v>0</v>
      </c>
      <c r="CV50" s="119" t="s">
        <v>266</v>
      </c>
      <c r="CW50" s="40"/>
      <c r="CX50" s="110">
        <f t="shared" si="76"/>
        <v>0</v>
      </c>
      <c r="CY50" s="109">
        <f t="shared" si="77"/>
        <v>0</v>
      </c>
      <c r="CZ50" s="111">
        <f t="shared" si="78"/>
        <v>0</v>
      </c>
      <c r="DC50" s="119" t="s">
        <v>266</v>
      </c>
      <c r="DD50" s="40"/>
      <c r="DE50" s="110">
        <f t="shared" si="79"/>
        <v>0</v>
      </c>
      <c r="DF50" s="109">
        <f t="shared" si="80"/>
        <v>0</v>
      </c>
      <c r="DG50" s="111">
        <f t="shared" si="81"/>
        <v>0</v>
      </c>
      <c r="DJ50" s="119" t="s">
        <v>266</v>
      </c>
      <c r="DK50" s="40"/>
      <c r="DL50" s="110">
        <f t="shared" si="82"/>
        <v>0</v>
      </c>
      <c r="DM50" s="109">
        <f t="shared" si="83"/>
        <v>0</v>
      </c>
      <c r="DN50" s="111">
        <f t="shared" si="84"/>
        <v>0</v>
      </c>
      <c r="DQ50" s="119" t="s">
        <v>266</v>
      </c>
      <c r="DR50" s="40"/>
      <c r="DS50" s="110">
        <f t="shared" si="85"/>
        <v>0</v>
      </c>
      <c r="DT50" s="109">
        <f t="shared" si="86"/>
        <v>0</v>
      </c>
      <c r="DU50" s="111">
        <f t="shared" si="87"/>
        <v>0</v>
      </c>
    </row>
    <row r="51">
      <c r="B51" s="119" t="s">
        <v>267</v>
      </c>
      <c r="C51" s="40"/>
      <c r="D51" s="110">
        <f t="shared" si="34"/>
        <v>0</v>
      </c>
      <c r="E51" s="109">
        <f t="shared" si="35"/>
        <v>0</v>
      </c>
      <c r="F51" s="111">
        <f t="shared" si="36"/>
        <v>0</v>
      </c>
      <c r="I51" s="119" t="s">
        <v>267</v>
      </c>
      <c r="J51" s="40"/>
      <c r="K51" s="110">
        <f t="shared" si="37"/>
        <v>0</v>
      </c>
      <c r="L51" s="109">
        <f t="shared" si="38"/>
        <v>0</v>
      </c>
      <c r="M51" s="111">
        <f t="shared" si="39"/>
        <v>0</v>
      </c>
      <c r="P51" s="119" t="s">
        <v>267</v>
      </c>
      <c r="Q51" s="40"/>
      <c r="R51" s="110">
        <f t="shared" si="40"/>
        <v>0</v>
      </c>
      <c r="S51" s="109">
        <f t="shared" si="41"/>
        <v>0</v>
      </c>
      <c r="T51" s="111">
        <f t="shared" si="42"/>
        <v>0</v>
      </c>
      <c r="W51" s="119" t="s">
        <v>267</v>
      </c>
      <c r="X51" s="40"/>
      <c r="Y51" s="110">
        <f t="shared" si="43"/>
        <v>0</v>
      </c>
      <c r="Z51" s="109">
        <f t="shared" si="44"/>
        <v>0</v>
      </c>
      <c r="AA51" s="111">
        <f t="shared" si="45"/>
        <v>0</v>
      </c>
      <c r="AD51" s="119" t="s">
        <v>267</v>
      </c>
      <c r="AE51" s="40"/>
      <c r="AF51" s="110">
        <f t="shared" si="46"/>
        <v>0</v>
      </c>
      <c r="AG51" s="109">
        <f t="shared" si="47"/>
        <v>0</v>
      </c>
      <c r="AH51" s="111">
        <f t="shared" si="48"/>
        <v>0</v>
      </c>
      <c r="AK51" s="119" t="s">
        <v>267</v>
      </c>
      <c r="AL51" s="40"/>
      <c r="AM51" s="110">
        <f t="shared" si="49"/>
        <v>0</v>
      </c>
      <c r="AN51" s="109">
        <f t="shared" si="50"/>
        <v>0</v>
      </c>
      <c r="AO51" s="111">
        <f t="shared" si="51"/>
        <v>0</v>
      </c>
      <c r="AR51" s="119" t="s">
        <v>267</v>
      </c>
      <c r="AS51" s="40"/>
      <c r="AT51" s="110">
        <f t="shared" si="52"/>
        <v>0</v>
      </c>
      <c r="AU51" s="109">
        <f t="shared" si="53"/>
        <v>0</v>
      </c>
      <c r="AV51" s="111">
        <f t="shared" si="54"/>
        <v>0</v>
      </c>
      <c r="AY51" s="119" t="s">
        <v>267</v>
      </c>
      <c r="AZ51" s="40"/>
      <c r="BA51" s="110">
        <f t="shared" si="55"/>
        <v>0</v>
      </c>
      <c r="BB51" s="109">
        <f t="shared" si="56"/>
        <v>0</v>
      </c>
      <c r="BC51" s="111">
        <f t="shared" si="57"/>
        <v>0</v>
      </c>
      <c r="BF51" s="119" t="s">
        <v>267</v>
      </c>
      <c r="BG51" s="40"/>
      <c r="BH51" s="110">
        <f t="shared" si="58"/>
        <v>0</v>
      </c>
      <c r="BI51" s="109">
        <f t="shared" si="59"/>
        <v>0</v>
      </c>
      <c r="BJ51" s="111">
        <f t="shared" si="60"/>
        <v>0</v>
      </c>
      <c r="BM51" s="119" t="s">
        <v>267</v>
      </c>
      <c r="BN51" s="40"/>
      <c r="BO51" s="110">
        <f t="shared" si="61"/>
        <v>0</v>
      </c>
      <c r="BP51" s="109">
        <f t="shared" si="62"/>
        <v>0</v>
      </c>
      <c r="BQ51" s="111">
        <f t="shared" si="63"/>
        <v>0</v>
      </c>
      <c r="BT51" s="119" t="s">
        <v>267</v>
      </c>
      <c r="BU51" s="40"/>
      <c r="BV51" s="110">
        <f t="shared" si="64"/>
        <v>0</v>
      </c>
      <c r="BW51" s="109">
        <f t="shared" si="65"/>
        <v>0</v>
      </c>
      <c r="BX51" s="111">
        <f t="shared" si="66"/>
        <v>0</v>
      </c>
      <c r="CA51" s="119" t="s">
        <v>267</v>
      </c>
      <c r="CB51" s="40"/>
      <c r="CC51" s="110">
        <f t="shared" si="67"/>
        <v>0</v>
      </c>
      <c r="CD51" s="109">
        <f t="shared" si="68"/>
        <v>0</v>
      </c>
      <c r="CE51" s="111">
        <f t="shared" si="69"/>
        <v>0</v>
      </c>
      <c r="CH51" s="119" t="s">
        <v>267</v>
      </c>
      <c r="CI51" s="40"/>
      <c r="CJ51" s="110">
        <f t="shared" si="70"/>
        <v>0</v>
      </c>
      <c r="CK51" s="109">
        <f t="shared" si="71"/>
        <v>0</v>
      </c>
      <c r="CL51" s="111">
        <f t="shared" si="72"/>
        <v>0</v>
      </c>
      <c r="CO51" s="119" t="s">
        <v>267</v>
      </c>
      <c r="CP51" s="40"/>
      <c r="CQ51" s="110">
        <f t="shared" si="73"/>
        <v>0</v>
      </c>
      <c r="CR51" s="109">
        <f t="shared" si="74"/>
        <v>0</v>
      </c>
      <c r="CS51" s="111">
        <f t="shared" si="75"/>
        <v>0</v>
      </c>
      <c r="CV51" s="119" t="s">
        <v>267</v>
      </c>
      <c r="CW51" s="40"/>
      <c r="CX51" s="110">
        <f t="shared" si="76"/>
        <v>0</v>
      </c>
      <c r="CY51" s="109">
        <f t="shared" si="77"/>
        <v>0</v>
      </c>
      <c r="CZ51" s="111">
        <f t="shared" si="78"/>
        <v>0</v>
      </c>
      <c r="DC51" s="119" t="s">
        <v>267</v>
      </c>
      <c r="DD51" s="40"/>
      <c r="DE51" s="110">
        <f t="shared" si="79"/>
        <v>0</v>
      </c>
      <c r="DF51" s="109">
        <f t="shared" si="80"/>
        <v>0</v>
      </c>
      <c r="DG51" s="111">
        <f t="shared" si="81"/>
        <v>0</v>
      </c>
      <c r="DJ51" s="119" t="s">
        <v>267</v>
      </c>
      <c r="DK51" s="40"/>
      <c r="DL51" s="110">
        <f t="shared" si="82"/>
        <v>0</v>
      </c>
      <c r="DM51" s="109">
        <f t="shared" si="83"/>
        <v>0</v>
      </c>
      <c r="DN51" s="111">
        <f t="shared" si="84"/>
        <v>0</v>
      </c>
      <c r="DQ51" s="119" t="s">
        <v>267</v>
      </c>
      <c r="DR51" s="40"/>
      <c r="DS51" s="110">
        <f t="shared" si="85"/>
        <v>0</v>
      </c>
      <c r="DT51" s="109">
        <f t="shared" si="86"/>
        <v>0</v>
      </c>
      <c r="DU51" s="111">
        <f t="shared" si="87"/>
        <v>0</v>
      </c>
    </row>
    <row r="52">
      <c r="B52" s="119" t="s">
        <v>268</v>
      </c>
      <c r="C52" s="40"/>
      <c r="D52" s="110">
        <f t="shared" si="34"/>
        <v>0</v>
      </c>
      <c r="E52" s="109">
        <f t="shared" si="35"/>
        <v>0</v>
      </c>
      <c r="F52" s="111">
        <f t="shared" si="36"/>
        <v>0</v>
      </c>
      <c r="I52" s="119" t="s">
        <v>268</v>
      </c>
      <c r="J52" s="40"/>
      <c r="K52" s="110">
        <f t="shared" si="37"/>
        <v>0</v>
      </c>
      <c r="L52" s="109">
        <f t="shared" si="38"/>
        <v>0</v>
      </c>
      <c r="M52" s="111">
        <f t="shared" si="39"/>
        <v>0</v>
      </c>
      <c r="P52" s="119" t="s">
        <v>268</v>
      </c>
      <c r="Q52" s="40"/>
      <c r="R52" s="110">
        <f t="shared" si="40"/>
        <v>0</v>
      </c>
      <c r="S52" s="109">
        <f t="shared" si="41"/>
        <v>0</v>
      </c>
      <c r="T52" s="111">
        <f t="shared" si="42"/>
        <v>0</v>
      </c>
      <c r="W52" s="119" t="s">
        <v>268</v>
      </c>
      <c r="X52" s="40"/>
      <c r="Y52" s="110">
        <f t="shared" si="43"/>
        <v>0</v>
      </c>
      <c r="Z52" s="109">
        <f t="shared" si="44"/>
        <v>0</v>
      </c>
      <c r="AA52" s="111">
        <f t="shared" si="45"/>
        <v>0</v>
      </c>
      <c r="AD52" s="119" t="s">
        <v>268</v>
      </c>
      <c r="AE52" s="40"/>
      <c r="AF52" s="110">
        <f t="shared" si="46"/>
        <v>0</v>
      </c>
      <c r="AG52" s="109">
        <f t="shared" si="47"/>
        <v>0</v>
      </c>
      <c r="AH52" s="111">
        <f t="shared" si="48"/>
        <v>0</v>
      </c>
      <c r="AK52" s="119" t="s">
        <v>268</v>
      </c>
      <c r="AL52" s="40"/>
      <c r="AM52" s="110">
        <f t="shared" si="49"/>
        <v>0</v>
      </c>
      <c r="AN52" s="109">
        <f t="shared" si="50"/>
        <v>0</v>
      </c>
      <c r="AO52" s="111">
        <f t="shared" si="51"/>
        <v>0</v>
      </c>
      <c r="AR52" s="119" t="s">
        <v>268</v>
      </c>
      <c r="AS52" s="40"/>
      <c r="AT52" s="110">
        <f t="shared" si="52"/>
        <v>0</v>
      </c>
      <c r="AU52" s="109">
        <f t="shared" si="53"/>
        <v>0</v>
      </c>
      <c r="AV52" s="111">
        <f t="shared" si="54"/>
        <v>0</v>
      </c>
      <c r="AY52" s="119" t="s">
        <v>268</v>
      </c>
      <c r="AZ52" s="40"/>
      <c r="BA52" s="110">
        <f t="shared" si="55"/>
        <v>0</v>
      </c>
      <c r="BB52" s="109">
        <f t="shared" si="56"/>
        <v>0</v>
      </c>
      <c r="BC52" s="111">
        <f t="shared" si="57"/>
        <v>0</v>
      </c>
      <c r="BF52" s="119" t="s">
        <v>268</v>
      </c>
      <c r="BG52" s="40"/>
      <c r="BH52" s="110">
        <f t="shared" si="58"/>
        <v>0</v>
      </c>
      <c r="BI52" s="109">
        <f t="shared" si="59"/>
        <v>0</v>
      </c>
      <c r="BJ52" s="111">
        <f t="shared" si="60"/>
        <v>0</v>
      </c>
      <c r="BM52" s="119" t="s">
        <v>268</v>
      </c>
      <c r="BN52" s="40"/>
      <c r="BO52" s="110">
        <f t="shared" si="61"/>
        <v>0</v>
      </c>
      <c r="BP52" s="109">
        <f t="shared" si="62"/>
        <v>0</v>
      </c>
      <c r="BQ52" s="111">
        <f t="shared" si="63"/>
        <v>0</v>
      </c>
      <c r="BT52" s="119" t="s">
        <v>268</v>
      </c>
      <c r="BU52" s="40"/>
      <c r="BV52" s="110">
        <f t="shared" si="64"/>
        <v>0</v>
      </c>
      <c r="BW52" s="109">
        <f t="shared" si="65"/>
        <v>0</v>
      </c>
      <c r="BX52" s="111">
        <f t="shared" si="66"/>
        <v>0</v>
      </c>
      <c r="CA52" s="119" t="s">
        <v>268</v>
      </c>
      <c r="CB52" s="40"/>
      <c r="CC52" s="110">
        <f t="shared" si="67"/>
        <v>0</v>
      </c>
      <c r="CD52" s="109">
        <f t="shared" si="68"/>
        <v>0</v>
      </c>
      <c r="CE52" s="111">
        <f t="shared" si="69"/>
        <v>0</v>
      </c>
      <c r="CH52" s="119" t="s">
        <v>268</v>
      </c>
      <c r="CI52" s="40"/>
      <c r="CJ52" s="110">
        <f t="shared" si="70"/>
        <v>0</v>
      </c>
      <c r="CK52" s="109">
        <f t="shared" si="71"/>
        <v>0</v>
      </c>
      <c r="CL52" s="111">
        <f t="shared" si="72"/>
        <v>0</v>
      </c>
      <c r="CO52" s="119" t="s">
        <v>268</v>
      </c>
      <c r="CP52" s="40"/>
      <c r="CQ52" s="110">
        <f t="shared" si="73"/>
        <v>0</v>
      </c>
      <c r="CR52" s="109">
        <f t="shared" si="74"/>
        <v>0</v>
      </c>
      <c r="CS52" s="111">
        <f t="shared" si="75"/>
        <v>0</v>
      </c>
      <c r="CV52" s="119" t="s">
        <v>268</v>
      </c>
      <c r="CW52" s="40"/>
      <c r="CX52" s="110">
        <f t="shared" si="76"/>
        <v>0</v>
      </c>
      <c r="CY52" s="109">
        <f t="shared" si="77"/>
        <v>0</v>
      </c>
      <c r="CZ52" s="111">
        <f t="shared" si="78"/>
        <v>0</v>
      </c>
      <c r="DC52" s="119" t="s">
        <v>268</v>
      </c>
      <c r="DD52" s="40"/>
      <c r="DE52" s="110">
        <f t="shared" si="79"/>
        <v>0</v>
      </c>
      <c r="DF52" s="109">
        <f t="shared" si="80"/>
        <v>0</v>
      </c>
      <c r="DG52" s="111">
        <f t="shared" si="81"/>
        <v>0</v>
      </c>
      <c r="DJ52" s="119" t="s">
        <v>268</v>
      </c>
      <c r="DK52" s="40"/>
      <c r="DL52" s="110">
        <f t="shared" si="82"/>
        <v>0</v>
      </c>
      <c r="DM52" s="109">
        <f t="shared" si="83"/>
        <v>0</v>
      </c>
      <c r="DN52" s="111">
        <f t="shared" si="84"/>
        <v>0</v>
      </c>
      <c r="DQ52" s="119" t="s">
        <v>268</v>
      </c>
      <c r="DR52" s="40"/>
      <c r="DS52" s="110">
        <f t="shared" si="85"/>
        <v>0</v>
      </c>
      <c r="DT52" s="109">
        <f t="shared" si="86"/>
        <v>0</v>
      </c>
      <c r="DU52" s="111">
        <f t="shared" si="87"/>
        <v>0</v>
      </c>
    </row>
    <row r="53">
      <c r="B53" s="119" t="s">
        <v>269</v>
      </c>
      <c r="C53" s="40"/>
      <c r="D53" s="110">
        <f t="shared" si="34"/>
        <v>0</v>
      </c>
      <c r="E53" s="109">
        <f t="shared" si="35"/>
        <v>0</v>
      </c>
      <c r="F53" s="111">
        <f t="shared" si="36"/>
        <v>0</v>
      </c>
      <c r="I53" s="119" t="s">
        <v>269</v>
      </c>
      <c r="J53" s="40"/>
      <c r="K53" s="110">
        <f t="shared" si="37"/>
        <v>0</v>
      </c>
      <c r="L53" s="109">
        <f t="shared" si="38"/>
        <v>0</v>
      </c>
      <c r="M53" s="111">
        <f t="shared" si="39"/>
        <v>0</v>
      </c>
      <c r="P53" s="119" t="s">
        <v>269</v>
      </c>
      <c r="Q53" s="40"/>
      <c r="R53" s="110">
        <f t="shared" si="40"/>
        <v>0</v>
      </c>
      <c r="S53" s="109">
        <f t="shared" si="41"/>
        <v>0</v>
      </c>
      <c r="T53" s="111">
        <f t="shared" si="42"/>
        <v>0</v>
      </c>
      <c r="W53" s="119" t="s">
        <v>269</v>
      </c>
      <c r="X53" s="40"/>
      <c r="Y53" s="110">
        <f t="shared" si="43"/>
        <v>0</v>
      </c>
      <c r="Z53" s="109">
        <f t="shared" si="44"/>
        <v>0</v>
      </c>
      <c r="AA53" s="111">
        <f t="shared" si="45"/>
        <v>0</v>
      </c>
      <c r="AD53" s="119" t="s">
        <v>269</v>
      </c>
      <c r="AE53" s="40"/>
      <c r="AF53" s="110">
        <f t="shared" si="46"/>
        <v>0</v>
      </c>
      <c r="AG53" s="109">
        <f t="shared" si="47"/>
        <v>0</v>
      </c>
      <c r="AH53" s="111">
        <f t="shared" si="48"/>
        <v>0</v>
      </c>
      <c r="AK53" s="119" t="s">
        <v>269</v>
      </c>
      <c r="AL53" s="40"/>
      <c r="AM53" s="110">
        <f t="shared" si="49"/>
        <v>0</v>
      </c>
      <c r="AN53" s="109">
        <f t="shared" si="50"/>
        <v>0</v>
      </c>
      <c r="AO53" s="111">
        <f t="shared" si="51"/>
        <v>0</v>
      </c>
      <c r="AR53" s="119" t="s">
        <v>269</v>
      </c>
      <c r="AS53" s="40"/>
      <c r="AT53" s="110">
        <f t="shared" si="52"/>
        <v>0</v>
      </c>
      <c r="AU53" s="109">
        <f t="shared" si="53"/>
        <v>0</v>
      </c>
      <c r="AV53" s="111">
        <f t="shared" si="54"/>
        <v>0</v>
      </c>
      <c r="AY53" s="119" t="s">
        <v>269</v>
      </c>
      <c r="AZ53" s="40"/>
      <c r="BA53" s="110">
        <f t="shared" si="55"/>
        <v>0</v>
      </c>
      <c r="BB53" s="109">
        <f t="shared" si="56"/>
        <v>0</v>
      </c>
      <c r="BC53" s="111">
        <f t="shared" si="57"/>
        <v>0</v>
      </c>
      <c r="BF53" s="119" t="s">
        <v>269</v>
      </c>
      <c r="BG53" s="40"/>
      <c r="BH53" s="110">
        <f t="shared" si="58"/>
        <v>0</v>
      </c>
      <c r="BI53" s="109">
        <f t="shared" si="59"/>
        <v>0</v>
      </c>
      <c r="BJ53" s="111">
        <f t="shared" si="60"/>
        <v>0</v>
      </c>
      <c r="BM53" s="119" t="s">
        <v>269</v>
      </c>
      <c r="BN53" s="40"/>
      <c r="BO53" s="110">
        <f t="shared" si="61"/>
        <v>0</v>
      </c>
      <c r="BP53" s="109">
        <f t="shared" si="62"/>
        <v>0</v>
      </c>
      <c r="BQ53" s="111">
        <f t="shared" si="63"/>
        <v>0</v>
      </c>
      <c r="BT53" s="119" t="s">
        <v>269</v>
      </c>
      <c r="BU53" s="40"/>
      <c r="BV53" s="110">
        <f t="shared" si="64"/>
        <v>0</v>
      </c>
      <c r="BW53" s="109">
        <f t="shared" si="65"/>
        <v>0</v>
      </c>
      <c r="BX53" s="111">
        <f t="shared" si="66"/>
        <v>0</v>
      </c>
      <c r="CA53" s="119" t="s">
        <v>269</v>
      </c>
      <c r="CB53" s="40"/>
      <c r="CC53" s="110">
        <f t="shared" si="67"/>
        <v>0</v>
      </c>
      <c r="CD53" s="109">
        <f t="shared" si="68"/>
        <v>0</v>
      </c>
      <c r="CE53" s="111">
        <f t="shared" si="69"/>
        <v>0</v>
      </c>
      <c r="CH53" s="119" t="s">
        <v>269</v>
      </c>
      <c r="CI53" s="40"/>
      <c r="CJ53" s="110">
        <f t="shared" si="70"/>
        <v>0</v>
      </c>
      <c r="CK53" s="109">
        <f t="shared" si="71"/>
        <v>0</v>
      </c>
      <c r="CL53" s="111">
        <f t="shared" si="72"/>
        <v>0</v>
      </c>
      <c r="CO53" s="119" t="s">
        <v>269</v>
      </c>
      <c r="CP53" s="40"/>
      <c r="CQ53" s="110">
        <f t="shared" si="73"/>
        <v>0</v>
      </c>
      <c r="CR53" s="109">
        <f t="shared" si="74"/>
        <v>0</v>
      </c>
      <c r="CS53" s="111">
        <f t="shared" si="75"/>
        <v>0</v>
      </c>
      <c r="CV53" s="119" t="s">
        <v>269</v>
      </c>
      <c r="CW53" s="40"/>
      <c r="CX53" s="110">
        <f t="shared" si="76"/>
        <v>0</v>
      </c>
      <c r="CY53" s="109">
        <f t="shared" si="77"/>
        <v>0</v>
      </c>
      <c r="CZ53" s="111">
        <f t="shared" si="78"/>
        <v>0</v>
      </c>
      <c r="DC53" s="119" t="s">
        <v>269</v>
      </c>
      <c r="DD53" s="40"/>
      <c r="DE53" s="110">
        <f t="shared" si="79"/>
        <v>0</v>
      </c>
      <c r="DF53" s="109">
        <f t="shared" si="80"/>
        <v>0</v>
      </c>
      <c r="DG53" s="111">
        <f t="shared" si="81"/>
        <v>0</v>
      </c>
      <c r="DJ53" s="119" t="s">
        <v>269</v>
      </c>
      <c r="DK53" s="40"/>
      <c r="DL53" s="110">
        <f t="shared" si="82"/>
        <v>0</v>
      </c>
      <c r="DM53" s="109">
        <f t="shared" si="83"/>
        <v>0</v>
      </c>
      <c r="DN53" s="111">
        <f t="shared" si="84"/>
        <v>0</v>
      </c>
      <c r="DQ53" s="119" t="s">
        <v>269</v>
      </c>
      <c r="DR53" s="40"/>
      <c r="DS53" s="110">
        <f t="shared" si="85"/>
        <v>0</v>
      </c>
      <c r="DT53" s="109">
        <f t="shared" si="86"/>
        <v>0</v>
      </c>
      <c r="DU53" s="111">
        <f t="shared" si="87"/>
        <v>0</v>
      </c>
    </row>
    <row r="54">
      <c r="B54" s="119" t="s">
        <v>270</v>
      </c>
      <c r="C54" s="40"/>
      <c r="D54" s="110">
        <f t="shared" si="34"/>
        <v>0</v>
      </c>
      <c r="E54" s="109">
        <f t="shared" si="35"/>
        <v>0</v>
      </c>
      <c r="F54" s="111">
        <f t="shared" si="36"/>
        <v>0</v>
      </c>
      <c r="I54" s="119" t="s">
        <v>270</v>
      </c>
      <c r="J54" s="40"/>
      <c r="K54" s="110">
        <f t="shared" si="37"/>
        <v>0</v>
      </c>
      <c r="L54" s="109">
        <f t="shared" si="38"/>
        <v>0</v>
      </c>
      <c r="M54" s="111">
        <f t="shared" si="39"/>
        <v>0</v>
      </c>
      <c r="P54" s="119" t="s">
        <v>270</v>
      </c>
      <c r="Q54" s="40"/>
      <c r="R54" s="110">
        <f t="shared" si="40"/>
        <v>0</v>
      </c>
      <c r="S54" s="109">
        <f t="shared" si="41"/>
        <v>0</v>
      </c>
      <c r="T54" s="111">
        <f t="shared" si="42"/>
        <v>0</v>
      </c>
      <c r="W54" s="119" t="s">
        <v>270</v>
      </c>
      <c r="X54" s="40"/>
      <c r="Y54" s="110">
        <f t="shared" si="43"/>
        <v>0</v>
      </c>
      <c r="Z54" s="109">
        <f t="shared" si="44"/>
        <v>0</v>
      </c>
      <c r="AA54" s="111">
        <f t="shared" si="45"/>
        <v>0</v>
      </c>
      <c r="AD54" s="119" t="s">
        <v>270</v>
      </c>
      <c r="AE54" s="40"/>
      <c r="AF54" s="110">
        <f t="shared" si="46"/>
        <v>0</v>
      </c>
      <c r="AG54" s="109">
        <f t="shared" si="47"/>
        <v>0</v>
      </c>
      <c r="AH54" s="111">
        <f t="shared" si="48"/>
        <v>0</v>
      </c>
      <c r="AK54" s="119" t="s">
        <v>270</v>
      </c>
      <c r="AL54" s="40"/>
      <c r="AM54" s="110">
        <f t="shared" si="49"/>
        <v>0</v>
      </c>
      <c r="AN54" s="109">
        <f t="shared" si="50"/>
        <v>0</v>
      </c>
      <c r="AO54" s="111">
        <f t="shared" si="51"/>
        <v>0</v>
      </c>
      <c r="AR54" s="119" t="s">
        <v>270</v>
      </c>
      <c r="AS54" s="40"/>
      <c r="AT54" s="110">
        <f t="shared" si="52"/>
        <v>0</v>
      </c>
      <c r="AU54" s="109">
        <f t="shared" si="53"/>
        <v>0</v>
      </c>
      <c r="AV54" s="111">
        <f t="shared" si="54"/>
        <v>0</v>
      </c>
      <c r="AY54" s="119" t="s">
        <v>270</v>
      </c>
      <c r="AZ54" s="40"/>
      <c r="BA54" s="110">
        <f t="shared" si="55"/>
        <v>0</v>
      </c>
      <c r="BB54" s="109">
        <f t="shared" si="56"/>
        <v>0</v>
      </c>
      <c r="BC54" s="111">
        <f t="shared" si="57"/>
        <v>0</v>
      </c>
      <c r="BF54" s="119" t="s">
        <v>270</v>
      </c>
      <c r="BG54" s="40"/>
      <c r="BH54" s="110">
        <f t="shared" si="58"/>
        <v>0</v>
      </c>
      <c r="BI54" s="109">
        <f t="shared" si="59"/>
        <v>0</v>
      </c>
      <c r="BJ54" s="111">
        <f t="shared" si="60"/>
        <v>0</v>
      </c>
      <c r="BM54" s="119" t="s">
        <v>270</v>
      </c>
      <c r="BN54" s="40"/>
      <c r="BO54" s="110">
        <f t="shared" si="61"/>
        <v>0</v>
      </c>
      <c r="BP54" s="109">
        <f t="shared" si="62"/>
        <v>0</v>
      </c>
      <c r="BQ54" s="111">
        <f t="shared" si="63"/>
        <v>0</v>
      </c>
      <c r="BT54" s="119" t="s">
        <v>270</v>
      </c>
      <c r="BU54" s="40"/>
      <c r="BV54" s="110">
        <f t="shared" si="64"/>
        <v>0</v>
      </c>
      <c r="BW54" s="109">
        <f t="shared" si="65"/>
        <v>0</v>
      </c>
      <c r="BX54" s="111">
        <f t="shared" si="66"/>
        <v>0</v>
      </c>
      <c r="CA54" s="119" t="s">
        <v>270</v>
      </c>
      <c r="CB54" s="40"/>
      <c r="CC54" s="110">
        <f t="shared" si="67"/>
        <v>0</v>
      </c>
      <c r="CD54" s="109">
        <f t="shared" si="68"/>
        <v>0</v>
      </c>
      <c r="CE54" s="111">
        <f t="shared" si="69"/>
        <v>0</v>
      </c>
      <c r="CH54" s="119" t="s">
        <v>270</v>
      </c>
      <c r="CI54" s="40"/>
      <c r="CJ54" s="110">
        <f t="shared" si="70"/>
        <v>0</v>
      </c>
      <c r="CK54" s="109">
        <f t="shared" si="71"/>
        <v>0</v>
      </c>
      <c r="CL54" s="111">
        <f t="shared" si="72"/>
        <v>0</v>
      </c>
      <c r="CO54" s="119" t="s">
        <v>270</v>
      </c>
      <c r="CP54" s="40"/>
      <c r="CQ54" s="110">
        <f t="shared" si="73"/>
        <v>0</v>
      </c>
      <c r="CR54" s="109">
        <f t="shared" si="74"/>
        <v>0</v>
      </c>
      <c r="CS54" s="111">
        <f t="shared" si="75"/>
        <v>0</v>
      </c>
      <c r="CV54" s="119" t="s">
        <v>270</v>
      </c>
      <c r="CW54" s="40"/>
      <c r="CX54" s="110">
        <f t="shared" si="76"/>
        <v>0</v>
      </c>
      <c r="CY54" s="109">
        <f t="shared" si="77"/>
        <v>0</v>
      </c>
      <c r="CZ54" s="111">
        <f t="shared" si="78"/>
        <v>0</v>
      </c>
      <c r="DC54" s="119" t="s">
        <v>270</v>
      </c>
      <c r="DD54" s="40"/>
      <c r="DE54" s="110">
        <f t="shared" si="79"/>
        <v>0</v>
      </c>
      <c r="DF54" s="109">
        <f t="shared" si="80"/>
        <v>0</v>
      </c>
      <c r="DG54" s="111">
        <f t="shared" si="81"/>
        <v>0</v>
      </c>
      <c r="DJ54" s="119" t="s">
        <v>270</v>
      </c>
      <c r="DK54" s="40"/>
      <c r="DL54" s="110">
        <f t="shared" si="82"/>
        <v>0</v>
      </c>
      <c r="DM54" s="109">
        <f t="shared" si="83"/>
        <v>0</v>
      </c>
      <c r="DN54" s="111">
        <f t="shared" si="84"/>
        <v>0</v>
      </c>
      <c r="DQ54" s="119" t="s">
        <v>270</v>
      </c>
      <c r="DR54" s="40"/>
      <c r="DS54" s="110">
        <f t="shared" si="85"/>
        <v>0</v>
      </c>
      <c r="DT54" s="109">
        <f t="shared" si="86"/>
        <v>0</v>
      </c>
      <c r="DU54" s="111">
        <f t="shared" si="87"/>
        <v>0</v>
      </c>
    </row>
    <row r="55">
      <c r="B55" s="119" t="s">
        <v>271</v>
      </c>
      <c r="C55" s="40"/>
      <c r="D55" s="110">
        <f t="shared" si="34"/>
        <v>0</v>
      </c>
      <c r="E55" s="109">
        <f t="shared" si="35"/>
        <v>0</v>
      </c>
      <c r="F55" s="111">
        <f t="shared" si="36"/>
        <v>0</v>
      </c>
      <c r="I55" s="119" t="s">
        <v>271</v>
      </c>
      <c r="J55" s="40"/>
      <c r="K55" s="110">
        <f t="shared" si="37"/>
        <v>0</v>
      </c>
      <c r="L55" s="109">
        <f t="shared" si="38"/>
        <v>0</v>
      </c>
      <c r="M55" s="111">
        <f t="shared" si="39"/>
        <v>0</v>
      </c>
      <c r="P55" s="119" t="s">
        <v>271</v>
      </c>
      <c r="Q55" s="40"/>
      <c r="R55" s="110">
        <f t="shared" si="40"/>
        <v>0</v>
      </c>
      <c r="S55" s="109">
        <f t="shared" si="41"/>
        <v>0</v>
      </c>
      <c r="T55" s="111">
        <f t="shared" si="42"/>
        <v>0</v>
      </c>
      <c r="W55" s="119" t="s">
        <v>271</v>
      </c>
      <c r="X55" s="40"/>
      <c r="Y55" s="110">
        <f t="shared" si="43"/>
        <v>0</v>
      </c>
      <c r="Z55" s="109">
        <f t="shared" si="44"/>
        <v>0</v>
      </c>
      <c r="AA55" s="111">
        <f t="shared" si="45"/>
        <v>0</v>
      </c>
      <c r="AD55" s="119" t="s">
        <v>271</v>
      </c>
      <c r="AE55" s="40"/>
      <c r="AF55" s="110">
        <f t="shared" si="46"/>
        <v>0</v>
      </c>
      <c r="AG55" s="109">
        <f t="shared" si="47"/>
        <v>0</v>
      </c>
      <c r="AH55" s="111">
        <f t="shared" si="48"/>
        <v>0</v>
      </c>
      <c r="AK55" s="119" t="s">
        <v>271</v>
      </c>
      <c r="AL55" s="40"/>
      <c r="AM55" s="110">
        <f t="shared" si="49"/>
        <v>0</v>
      </c>
      <c r="AN55" s="109">
        <f t="shared" si="50"/>
        <v>0</v>
      </c>
      <c r="AO55" s="111">
        <f t="shared" si="51"/>
        <v>0</v>
      </c>
      <c r="AR55" s="119" t="s">
        <v>271</v>
      </c>
      <c r="AS55" s="40"/>
      <c r="AT55" s="110">
        <f t="shared" si="52"/>
        <v>0</v>
      </c>
      <c r="AU55" s="109">
        <f t="shared" si="53"/>
        <v>0</v>
      </c>
      <c r="AV55" s="111">
        <f t="shared" si="54"/>
        <v>0</v>
      </c>
      <c r="AY55" s="119" t="s">
        <v>271</v>
      </c>
      <c r="AZ55" s="40"/>
      <c r="BA55" s="110">
        <f t="shared" si="55"/>
        <v>0</v>
      </c>
      <c r="BB55" s="109">
        <f t="shared" si="56"/>
        <v>0</v>
      </c>
      <c r="BC55" s="111">
        <f t="shared" si="57"/>
        <v>0</v>
      </c>
      <c r="BF55" s="119" t="s">
        <v>271</v>
      </c>
      <c r="BG55" s="40"/>
      <c r="BH55" s="110">
        <f t="shared" si="58"/>
        <v>0</v>
      </c>
      <c r="BI55" s="109">
        <f t="shared" si="59"/>
        <v>0</v>
      </c>
      <c r="BJ55" s="111">
        <f t="shared" si="60"/>
        <v>0</v>
      </c>
      <c r="BM55" s="119" t="s">
        <v>271</v>
      </c>
      <c r="BN55" s="40"/>
      <c r="BO55" s="110">
        <f t="shared" si="61"/>
        <v>0</v>
      </c>
      <c r="BP55" s="109">
        <f t="shared" si="62"/>
        <v>0</v>
      </c>
      <c r="BQ55" s="111">
        <f t="shared" si="63"/>
        <v>0</v>
      </c>
      <c r="BT55" s="119" t="s">
        <v>271</v>
      </c>
      <c r="BU55" s="40"/>
      <c r="BV55" s="110">
        <f t="shared" si="64"/>
        <v>0</v>
      </c>
      <c r="BW55" s="109">
        <f t="shared" si="65"/>
        <v>0</v>
      </c>
      <c r="BX55" s="111">
        <f t="shared" si="66"/>
        <v>0</v>
      </c>
      <c r="CA55" s="119" t="s">
        <v>271</v>
      </c>
      <c r="CB55" s="40"/>
      <c r="CC55" s="110">
        <f t="shared" si="67"/>
        <v>0</v>
      </c>
      <c r="CD55" s="109">
        <f t="shared" si="68"/>
        <v>0</v>
      </c>
      <c r="CE55" s="111">
        <f t="shared" si="69"/>
        <v>0</v>
      </c>
      <c r="CH55" s="119" t="s">
        <v>271</v>
      </c>
      <c r="CI55" s="40"/>
      <c r="CJ55" s="110">
        <f t="shared" si="70"/>
        <v>0</v>
      </c>
      <c r="CK55" s="109">
        <f t="shared" si="71"/>
        <v>0</v>
      </c>
      <c r="CL55" s="111">
        <f t="shared" si="72"/>
        <v>0</v>
      </c>
      <c r="CO55" s="119" t="s">
        <v>271</v>
      </c>
      <c r="CP55" s="40"/>
      <c r="CQ55" s="110">
        <f t="shared" si="73"/>
        <v>0</v>
      </c>
      <c r="CR55" s="109">
        <f t="shared" si="74"/>
        <v>0</v>
      </c>
      <c r="CS55" s="111">
        <f t="shared" si="75"/>
        <v>0</v>
      </c>
      <c r="CV55" s="119" t="s">
        <v>271</v>
      </c>
      <c r="CW55" s="40"/>
      <c r="CX55" s="110">
        <f t="shared" si="76"/>
        <v>0</v>
      </c>
      <c r="CY55" s="109">
        <f t="shared" si="77"/>
        <v>0</v>
      </c>
      <c r="CZ55" s="111">
        <f t="shared" si="78"/>
        <v>0</v>
      </c>
      <c r="DC55" s="119" t="s">
        <v>271</v>
      </c>
      <c r="DD55" s="40"/>
      <c r="DE55" s="110">
        <f t="shared" si="79"/>
        <v>0</v>
      </c>
      <c r="DF55" s="109">
        <f t="shared" si="80"/>
        <v>0</v>
      </c>
      <c r="DG55" s="111">
        <f t="shared" si="81"/>
        <v>0</v>
      </c>
      <c r="DJ55" s="119" t="s">
        <v>271</v>
      </c>
      <c r="DK55" s="40"/>
      <c r="DL55" s="110">
        <f t="shared" si="82"/>
        <v>0</v>
      </c>
      <c r="DM55" s="109">
        <f t="shared" si="83"/>
        <v>0</v>
      </c>
      <c r="DN55" s="111">
        <f t="shared" si="84"/>
        <v>0</v>
      </c>
      <c r="DQ55" s="119" t="s">
        <v>271</v>
      </c>
      <c r="DR55" s="40"/>
      <c r="DS55" s="110">
        <f t="shared" si="85"/>
        <v>0</v>
      </c>
      <c r="DT55" s="109">
        <f t="shared" si="86"/>
        <v>0</v>
      </c>
      <c r="DU55" s="111">
        <f t="shared" si="87"/>
        <v>0</v>
      </c>
    </row>
    <row r="56">
      <c r="B56" s="119" t="s">
        <v>272</v>
      </c>
      <c r="C56" s="40"/>
      <c r="D56" s="110">
        <f t="shared" si="34"/>
        <v>0</v>
      </c>
      <c r="E56" s="109">
        <f t="shared" si="35"/>
        <v>0</v>
      </c>
      <c r="F56" s="111">
        <f t="shared" si="36"/>
        <v>0</v>
      </c>
      <c r="I56" s="119" t="s">
        <v>272</v>
      </c>
      <c r="J56" s="40"/>
      <c r="K56" s="110">
        <f t="shared" si="37"/>
        <v>0</v>
      </c>
      <c r="L56" s="109">
        <f t="shared" si="38"/>
        <v>0</v>
      </c>
      <c r="M56" s="111">
        <f t="shared" si="39"/>
        <v>0</v>
      </c>
      <c r="P56" s="119" t="s">
        <v>272</v>
      </c>
      <c r="Q56" s="40"/>
      <c r="R56" s="110">
        <f t="shared" si="40"/>
        <v>0</v>
      </c>
      <c r="S56" s="109">
        <f t="shared" si="41"/>
        <v>0</v>
      </c>
      <c r="T56" s="111">
        <f t="shared" si="42"/>
        <v>0</v>
      </c>
      <c r="W56" s="119" t="s">
        <v>272</v>
      </c>
      <c r="X56" s="40"/>
      <c r="Y56" s="110">
        <f t="shared" si="43"/>
        <v>0</v>
      </c>
      <c r="Z56" s="109">
        <f t="shared" si="44"/>
        <v>0</v>
      </c>
      <c r="AA56" s="111">
        <f t="shared" si="45"/>
        <v>0</v>
      </c>
      <c r="AD56" s="119" t="s">
        <v>272</v>
      </c>
      <c r="AE56" s="40"/>
      <c r="AF56" s="110">
        <f t="shared" si="46"/>
        <v>0</v>
      </c>
      <c r="AG56" s="109">
        <f t="shared" si="47"/>
        <v>0</v>
      </c>
      <c r="AH56" s="111">
        <f t="shared" si="48"/>
        <v>0</v>
      </c>
      <c r="AK56" s="119" t="s">
        <v>272</v>
      </c>
      <c r="AL56" s="40"/>
      <c r="AM56" s="110">
        <f t="shared" si="49"/>
        <v>0</v>
      </c>
      <c r="AN56" s="109">
        <f t="shared" si="50"/>
        <v>0</v>
      </c>
      <c r="AO56" s="111">
        <f t="shared" si="51"/>
        <v>0</v>
      </c>
      <c r="AR56" s="119" t="s">
        <v>272</v>
      </c>
      <c r="AS56" s="40"/>
      <c r="AT56" s="110">
        <f t="shared" si="52"/>
        <v>0</v>
      </c>
      <c r="AU56" s="109">
        <f t="shared" si="53"/>
        <v>0</v>
      </c>
      <c r="AV56" s="111">
        <f t="shared" si="54"/>
        <v>0</v>
      </c>
      <c r="AY56" s="119" t="s">
        <v>272</v>
      </c>
      <c r="AZ56" s="40"/>
      <c r="BA56" s="110">
        <f t="shared" si="55"/>
        <v>0</v>
      </c>
      <c r="BB56" s="109">
        <f t="shared" si="56"/>
        <v>0</v>
      </c>
      <c r="BC56" s="111">
        <f t="shared" si="57"/>
        <v>0</v>
      </c>
      <c r="BF56" s="119" t="s">
        <v>272</v>
      </c>
      <c r="BG56" s="40"/>
      <c r="BH56" s="110">
        <f t="shared" si="58"/>
        <v>0</v>
      </c>
      <c r="BI56" s="109">
        <f t="shared" si="59"/>
        <v>0</v>
      </c>
      <c r="BJ56" s="111">
        <f t="shared" si="60"/>
        <v>0</v>
      </c>
      <c r="BM56" s="119" t="s">
        <v>272</v>
      </c>
      <c r="BN56" s="40"/>
      <c r="BO56" s="110">
        <f t="shared" si="61"/>
        <v>0</v>
      </c>
      <c r="BP56" s="109">
        <f t="shared" si="62"/>
        <v>0</v>
      </c>
      <c r="BQ56" s="111">
        <f t="shared" si="63"/>
        <v>0</v>
      </c>
      <c r="BT56" s="119" t="s">
        <v>272</v>
      </c>
      <c r="BU56" s="40"/>
      <c r="BV56" s="110">
        <f t="shared" si="64"/>
        <v>0</v>
      </c>
      <c r="BW56" s="109">
        <f t="shared" si="65"/>
        <v>0</v>
      </c>
      <c r="BX56" s="111">
        <f t="shared" si="66"/>
        <v>0</v>
      </c>
      <c r="CA56" s="119" t="s">
        <v>272</v>
      </c>
      <c r="CB56" s="40"/>
      <c r="CC56" s="110">
        <f t="shared" si="67"/>
        <v>0</v>
      </c>
      <c r="CD56" s="109">
        <f t="shared" si="68"/>
        <v>0</v>
      </c>
      <c r="CE56" s="111">
        <f t="shared" si="69"/>
        <v>0</v>
      </c>
      <c r="CH56" s="119" t="s">
        <v>272</v>
      </c>
      <c r="CI56" s="40"/>
      <c r="CJ56" s="110">
        <f t="shared" si="70"/>
        <v>0</v>
      </c>
      <c r="CK56" s="109">
        <f t="shared" si="71"/>
        <v>0</v>
      </c>
      <c r="CL56" s="111">
        <f t="shared" si="72"/>
        <v>0</v>
      </c>
      <c r="CO56" s="119" t="s">
        <v>272</v>
      </c>
      <c r="CP56" s="40"/>
      <c r="CQ56" s="110">
        <f t="shared" si="73"/>
        <v>0</v>
      </c>
      <c r="CR56" s="109">
        <f t="shared" si="74"/>
        <v>0</v>
      </c>
      <c r="CS56" s="111">
        <f t="shared" si="75"/>
        <v>0</v>
      </c>
      <c r="CV56" s="119" t="s">
        <v>272</v>
      </c>
      <c r="CW56" s="40"/>
      <c r="CX56" s="110">
        <f t="shared" si="76"/>
        <v>0</v>
      </c>
      <c r="CY56" s="109">
        <f t="shared" si="77"/>
        <v>0</v>
      </c>
      <c r="CZ56" s="111">
        <f t="shared" si="78"/>
        <v>0</v>
      </c>
      <c r="DC56" s="119" t="s">
        <v>272</v>
      </c>
      <c r="DD56" s="40"/>
      <c r="DE56" s="110">
        <f t="shared" si="79"/>
        <v>0</v>
      </c>
      <c r="DF56" s="109">
        <f t="shared" si="80"/>
        <v>0</v>
      </c>
      <c r="DG56" s="111">
        <f t="shared" si="81"/>
        <v>0</v>
      </c>
      <c r="DJ56" s="119" t="s">
        <v>272</v>
      </c>
      <c r="DK56" s="40"/>
      <c r="DL56" s="110">
        <f t="shared" si="82"/>
        <v>0</v>
      </c>
      <c r="DM56" s="109">
        <f t="shared" si="83"/>
        <v>0</v>
      </c>
      <c r="DN56" s="111">
        <f t="shared" si="84"/>
        <v>0</v>
      </c>
      <c r="DQ56" s="119" t="s">
        <v>272</v>
      </c>
      <c r="DR56" s="40"/>
      <c r="DS56" s="110">
        <f t="shared" si="85"/>
        <v>0</v>
      </c>
      <c r="DT56" s="109">
        <f t="shared" si="86"/>
        <v>0</v>
      </c>
      <c r="DU56" s="111">
        <f t="shared" si="87"/>
        <v>0</v>
      </c>
    </row>
    <row r="57">
      <c r="B57" s="119" t="s">
        <v>273</v>
      </c>
      <c r="C57" s="40"/>
      <c r="D57" s="110">
        <f t="shared" si="34"/>
        <v>0</v>
      </c>
      <c r="E57" s="109">
        <f t="shared" si="35"/>
        <v>0</v>
      </c>
      <c r="F57" s="111">
        <f t="shared" si="36"/>
        <v>0</v>
      </c>
      <c r="I57" s="119" t="s">
        <v>273</v>
      </c>
      <c r="J57" s="40"/>
      <c r="K57" s="110">
        <f t="shared" si="37"/>
        <v>0</v>
      </c>
      <c r="L57" s="109">
        <f t="shared" si="38"/>
        <v>0</v>
      </c>
      <c r="M57" s="111">
        <f t="shared" si="39"/>
        <v>0</v>
      </c>
      <c r="P57" s="119" t="s">
        <v>273</v>
      </c>
      <c r="Q57" s="40"/>
      <c r="R57" s="110">
        <f t="shared" si="40"/>
        <v>0</v>
      </c>
      <c r="S57" s="109">
        <f t="shared" si="41"/>
        <v>0</v>
      </c>
      <c r="T57" s="111">
        <f t="shared" si="42"/>
        <v>0</v>
      </c>
      <c r="W57" s="119" t="s">
        <v>273</v>
      </c>
      <c r="X57" s="40"/>
      <c r="Y57" s="110">
        <f t="shared" si="43"/>
        <v>0</v>
      </c>
      <c r="Z57" s="109">
        <f t="shared" si="44"/>
        <v>0</v>
      </c>
      <c r="AA57" s="111">
        <f t="shared" si="45"/>
        <v>0</v>
      </c>
      <c r="AD57" s="119" t="s">
        <v>273</v>
      </c>
      <c r="AE57" s="40"/>
      <c r="AF57" s="110">
        <f t="shared" si="46"/>
        <v>0</v>
      </c>
      <c r="AG57" s="109">
        <f t="shared" si="47"/>
        <v>0</v>
      </c>
      <c r="AH57" s="111">
        <f t="shared" si="48"/>
        <v>0</v>
      </c>
      <c r="AK57" s="119" t="s">
        <v>273</v>
      </c>
      <c r="AL57" s="40"/>
      <c r="AM57" s="110">
        <f t="shared" si="49"/>
        <v>0</v>
      </c>
      <c r="AN57" s="109">
        <f t="shared" si="50"/>
        <v>0</v>
      </c>
      <c r="AO57" s="111">
        <f t="shared" si="51"/>
        <v>0</v>
      </c>
      <c r="AR57" s="119" t="s">
        <v>273</v>
      </c>
      <c r="AS57" s="40"/>
      <c r="AT57" s="110">
        <f t="shared" si="52"/>
        <v>0</v>
      </c>
      <c r="AU57" s="109">
        <f t="shared" si="53"/>
        <v>0</v>
      </c>
      <c r="AV57" s="111">
        <f t="shared" si="54"/>
        <v>0</v>
      </c>
      <c r="AY57" s="119" t="s">
        <v>273</v>
      </c>
      <c r="AZ57" s="40"/>
      <c r="BA57" s="110">
        <f t="shared" si="55"/>
        <v>0</v>
      </c>
      <c r="BB57" s="109">
        <f t="shared" si="56"/>
        <v>0</v>
      </c>
      <c r="BC57" s="111">
        <f t="shared" si="57"/>
        <v>0</v>
      </c>
      <c r="BF57" s="119" t="s">
        <v>273</v>
      </c>
      <c r="BG57" s="40"/>
      <c r="BH57" s="110">
        <f t="shared" si="58"/>
        <v>0</v>
      </c>
      <c r="BI57" s="109">
        <f t="shared" si="59"/>
        <v>0</v>
      </c>
      <c r="BJ57" s="111">
        <f t="shared" si="60"/>
        <v>0</v>
      </c>
      <c r="BM57" s="119" t="s">
        <v>273</v>
      </c>
      <c r="BN57" s="40"/>
      <c r="BO57" s="110">
        <f t="shared" si="61"/>
        <v>0</v>
      </c>
      <c r="BP57" s="109">
        <f t="shared" si="62"/>
        <v>0</v>
      </c>
      <c r="BQ57" s="111">
        <f t="shared" si="63"/>
        <v>0</v>
      </c>
      <c r="BT57" s="119" t="s">
        <v>273</v>
      </c>
      <c r="BU57" s="40"/>
      <c r="BV57" s="110">
        <f t="shared" si="64"/>
        <v>0</v>
      </c>
      <c r="BW57" s="109">
        <f t="shared" si="65"/>
        <v>0</v>
      </c>
      <c r="BX57" s="111">
        <f t="shared" si="66"/>
        <v>0</v>
      </c>
      <c r="CA57" s="119" t="s">
        <v>273</v>
      </c>
      <c r="CB57" s="40"/>
      <c r="CC57" s="110">
        <f t="shared" si="67"/>
        <v>0</v>
      </c>
      <c r="CD57" s="109">
        <f t="shared" si="68"/>
        <v>0</v>
      </c>
      <c r="CE57" s="111">
        <f t="shared" si="69"/>
        <v>0</v>
      </c>
      <c r="CH57" s="119" t="s">
        <v>273</v>
      </c>
      <c r="CI57" s="40"/>
      <c r="CJ57" s="110">
        <f t="shared" si="70"/>
        <v>0</v>
      </c>
      <c r="CK57" s="109">
        <f t="shared" si="71"/>
        <v>0</v>
      </c>
      <c r="CL57" s="111">
        <f t="shared" si="72"/>
        <v>0</v>
      </c>
      <c r="CO57" s="119" t="s">
        <v>273</v>
      </c>
      <c r="CP57" s="40"/>
      <c r="CQ57" s="110">
        <f t="shared" si="73"/>
        <v>0</v>
      </c>
      <c r="CR57" s="109">
        <f t="shared" si="74"/>
        <v>0</v>
      </c>
      <c r="CS57" s="111">
        <f t="shared" si="75"/>
        <v>0</v>
      </c>
      <c r="CV57" s="119" t="s">
        <v>273</v>
      </c>
      <c r="CW57" s="40"/>
      <c r="CX57" s="110">
        <f t="shared" si="76"/>
        <v>0</v>
      </c>
      <c r="CY57" s="109">
        <f t="shared" si="77"/>
        <v>0</v>
      </c>
      <c r="CZ57" s="111">
        <f t="shared" si="78"/>
        <v>0</v>
      </c>
      <c r="DC57" s="119" t="s">
        <v>273</v>
      </c>
      <c r="DD57" s="40"/>
      <c r="DE57" s="110">
        <f t="shared" si="79"/>
        <v>0</v>
      </c>
      <c r="DF57" s="109">
        <f t="shared" si="80"/>
        <v>0</v>
      </c>
      <c r="DG57" s="111">
        <f t="shared" si="81"/>
        <v>0</v>
      </c>
      <c r="DJ57" s="119" t="s">
        <v>273</v>
      </c>
      <c r="DK57" s="40"/>
      <c r="DL57" s="110">
        <f t="shared" si="82"/>
        <v>0</v>
      </c>
      <c r="DM57" s="109">
        <f t="shared" si="83"/>
        <v>0</v>
      </c>
      <c r="DN57" s="111">
        <f t="shared" si="84"/>
        <v>0</v>
      </c>
      <c r="DQ57" s="119" t="s">
        <v>273</v>
      </c>
      <c r="DR57" s="40"/>
      <c r="DS57" s="110">
        <f t="shared" si="85"/>
        <v>0</v>
      </c>
      <c r="DT57" s="109">
        <f t="shared" si="86"/>
        <v>0</v>
      </c>
      <c r="DU57" s="111">
        <f t="shared" si="87"/>
        <v>0</v>
      </c>
    </row>
    <row r="58">
      <c r="B58" s="119" t="s">
        <v>274</v>
      </c>
      <c r="C58" s="40"/>
      <c r="D58" s="110">
        <f t="shared" si="34"/>
        <v>0</v>
      </c>
      <c r="E58" s="109">
        <f t="shared" si="35"/>
        <v>0</v>
      </c>
      <c r="F58" s="111">
        <f t="shared" si="36"/>
        <v>0</v>
      </c>
      <c r="I58" s="119" t="s">
        <v>274</v>
      </c>
      <c r="J58" s="40"/>
      <c r="K58" s="110">
        <f t="shared" si="37"/>
        <v>0</v>
      </c>
      <c r="L58" s="109">
        <f t="shared" si="38"/>
        <v>0</v>
      </c>
      <c r="M58" s="111">
        <f t="shared" si="39"/>
        <v>0</v>
      </c>
      <c r="P58" s="119" t="s">
        <v>274</v>
      </c>
      <c r="Q58" s="40"/>
      <c r="R58" s="110">
        <f t="shared" si="40"/>
        <v>0</v>
      </c>
      <c r="S58" s="109">
        <f t="shared" si="41"/>
        <v>0</v>
      </c>
      <c r="T58" s="111">
        <f t="shared" si="42"/>
        <v>0</v>
      </c>
      <c r="W58" s="119" t="s">
        <v>274</v>
      </c>
      <c r="X58" s="40"/>
      <c r="Y58" s="110">
        <f t="shared" si="43"/>
        <v>0</v>
      </c>
      <c r="Z58" s="109">
        <f t="shared" si="44"/>
        <v>0</v>
      </c>
      <c r="AA58" s="111">
        <f t="shared" si="45"/>
        <v>0</v>
      </c>
      <c r="AD58" s="119" t="s">
        <v>274</v>
      </c>
      <c r="AE58" s="40"/>
      <c r="AF58" s="110">
        <f t="shared" si="46"/>
        <v>0</v>
      </c>
      <c r="AG58" s="109">
        <f t="shared" si="47"/>
        <v>0</v>
      </c>
      <c r="AH58" s="111">
        <f t="shared" si="48"/>
        <v>0</v>
      </c>
      <c r="AK58" s="119" t="s">
        <v>274</v>
      </c>
      <c r="AL58" s="40"/>
      <c r="AM58" s="110">
        <f t="shared" si="49"/>
        <v>0</v>
      </c>
      <c r="AN58" s="109">
        <f t="shared" si="50"/>
        <v>0</v>
      </c>
      <c r="AO58" s="111">
        <f t="shared" si="51"/>
        <v>0</v>
      </c>
      <c r="AR58" s="119" t="s">
        <v>274</v>
      </c>
      <c r="AS58" s="40"/>
      <c r="AT58" s="110">
        <f t="shared" si="52"/>
        <v>0</v>
      </c>
      <c r="AU58" s="109">
        <f t="shared" si="53"/>
        <v>0</v>
      </c>
      <c r="AV58" s="111">
        <f t="shared" si="54"/>
        <v>0</v>
      </c>
      <c r="AY58" s="119" t="s">
        <v>274</v>
      </c>
      <c r="AZ58" s="40"/>
      <c r="BA58" s="110">
        <f t="shared" si="55"/>
        <v>0</v>
      </c>
      <c r="BB58" s="109">
        <f t="shared" si="56"/>
        <v>0</v>
      </c>
      <c r="BC58" s="111">
        <f t="shared" si="57"/>
        <v>0</v>
      </c>
      <c r="BF58" s="119" t="s">
        <v>274</v>
      </c>
      <c r="BG58" s="40"/>
      <c r="BH58" s="110">
        <f t="shared" si="58"/>
        <v>0</v>
      </c>
      <c r="BI58" s="109">
        <f t="shared" si="59"/>
        <v>0</v>
      </c>
      <c r="BJ58" s="111">
        <f t="shared" si="60"/>
        <v>0</v>
      </c>
      <c r="BM58" s="119" t="s">
        <v>274</v>
      </c>
      <c r="BN58" s="40"/>
      <c r="BO58" s="110">
        <f t="shared" si="61"/>
        <v>0</v>
      </c>
      <c r="BP58" s="109">
        <f t="shared" si="62"/>
        <v>0</v>
      </c>
      <c r="BQ58" s="111">
        <f t="shared" si="63"/>
        <v>0</v>
      </c>
      <c r="BT58" s="119" t="s">
        <v>274</v>
      </c>
      <c r="BU58" s="40"/>
      <c r="BV58" s="110">
        <f t="shared" si="64"/>
        <v>0</v>
      </c>
      <c r="BW58" s="109">
        <f t="shared" si="65"/>
        <v>0</v>
      </c>
      <c r="BX58" s="111">
        <f t="shared" si="66"/>
        <v>0</v>
      </c>
      <c r="CA58" s="119" t="s">
        <v>274</v>
      </c>
      <c r="CB58" s="40"/>
      <c r="CC58" s="110">
        <f t="shared" si="67"/>
        <v>0</v>
      </c>
      <c r="CD58" s="109">
        <f t="shared" si="68"/>
        <v>0</v>
      </c>
      <c r="CE58" s="111">
        <f t="shared" si="69"/>
        <v>0</v>
      </c>
      <c r="CH58" s="119" t="s">
        <v>274</v>
      </c>
      <c r="CI58" s="40"/>
      <c r="CJ58" s="110">
        <f t="shared" si="70"/>
        <v>0</v>
      </c>
      <c r="CK58" s="109">
        <f t="shared" si="71"/>
        <v>0</v>
      </c>
      <c r="CL58" s="111">
        <f t="shared" si="72"/>
        <v>0</v>
      </c>
      <c r="CO58" s="119" t="s">
        <v>274</v>
      </c>
      <c r="CP58" s="40"/>
      <c r="CQ58" s="110">
        <f t="shared" si="73"/>
        <v>0</v>
      </c>
      <c r="CR58" s="109">
        <f t="shared" si="74"/>
        <v>0</v>
      </c>
      <c r="CS58" s="111">
        <f t="shared" si="75"/>
        <v>0</v>
      </c>
      <c r="CV58" s="119" t="s">
        <v>274</v>
      </c>
      <c r="CW58" s="40"/>
      <c r="CX58" s="110">
        <f t="shared" si="76"/>
        <v>0</v>
      </c>
      <c r="CY58" s="109">
        <f t="shared" si="77"/>
        <v>0</v>
      </c>
      <c r="CZ58" s="111">
        <f t="shared" si="78"/>
        <v>0</v>
      </c>
      <c r="DC58" s="119" t="s">
        <v>274</v>
      </c>
      <c r="DD58" s="40"/>
      <c r="DE58" s="110">
        <f t="shared" si="79"/>
        <v>0</v>
      </c>
      <c r="DF58" s="109">
        <f t="shared" si="80"/>
        <v>0</v>
      </c>
      <c r="DG58" s="111">
        <f t="shared" si="81"/>
        <v>0</v>
      </c>
      <c r="DJ58" s="119" t="s">
        <v>274</v>
      </c>
      <c r="DK58" s="40"/>
      <c r="DL58" s="110">
        <f t="shared" si="82"/>
        <v>0</v>
      </c>
      <c r="DM58" s="109">
        <f t="shared" si="83"/>
        <v>0</v>
      </c>
      <c r="DN58" s="111">
        <f t="shared" si="84"/>
        <v>0</v>
      </c>
      <c r="DQ58" s="119" t="s">
        <v>274</v>
      </c>
      <c r="DR58" s="40"/>
      <c r="DS58" s="110">
        <f t="shared" si="85"/>
        <v>0</v>
      </c>
      <c r="DT58" s="109">
        <f t="shared" si="86"/>
        <v>0</v>
      </c>
      <c r="DU58" s="111">
        <f t="shared" si="87"/>
        <v>0</v>
      </c>
    </row>
    <row r="59">
      <c r="B59" s="119" t="s">
        <v>276</v>
      </c>
      <c r="C59" s="40"/>
      <c r="D59" s="110">
        <f t="shared" si="34"/>
        <v>0</v>
      </c>
      <c r="E59" s="109">
        <f t="shared" si="35"/>
        <v>0</v>
      </c>
      <c r="F59" s="111">
        <f t="shared" si="36"/>
        <v>0</v>
      </c>
      <c r="I59" s="119" t="s">
        <v>276</v>
      </c>
      <c r="J59" s="40"/>
      <c r="K59" s="110">
        <f t="shared" si="37"/>
        <v>0</v>
      </c>
      <c r="L59" s="109">
        <f t="shared" si="38"/>
        <v>0</v>
      </c>
      <c r="M59" s="111">
        <f t="shared" si="39"/>
        <v>0</v>
      </c>
      <c r="P59" s="119" t="s">
        <v>276</v>
      </c>
      <c r="Q59" s="40"/>
      <c r="R59" s="110">
        <f t="shared" si="40"/>
        <v>0</v>
      </c>
      <c r="S59" s="109">
        <f t="shared" si="41"/>
        <v>0</v>
      </c>
      <c r="T59" s="111">
        <f t="shared" si="42"/>
        <v>0</v>
      </c>
      <c r="W59" s="119" t="s">
        <v>276</v>
      </c>
      <c r="X59" s="40"/>
      <c r="Y59" s="110">
        <f t="shared" si="43"/>
        <v>0</v>
      </c>
      <c r="Z59" s="109">
        <f t="shared" si="44"/>
        <v>0</v>
      </c>
      <c r="AA59" s="111">
        <f t="shared" si="45"/>
        <v>0</v>
      </c>
      <c r="AD59" s="119" t="s">
        <v>276</v>
      </c>
      <c r="AE59" s="40"/>
      <c r="AF59" s="110">
        <f t="shared" si="46"/>
        <v>0</v>
      </c>
      <c r="AG59" s="109">
        <f t="shared" si="47"/>
        <v>0</v>
      </c>
      <c r="AH59" s="111">
        <f t="shared" si="48"/>
        <v>0</v>
      </c>
      <c r="AK59" s="119" t="s">
        <v>276</v>
      </c>
      <c r="AL59" s="40"/>
      <c r="AM59" s="110">
        <f t="shared" si="49"/>
        <v>0</v>
      </c>
      <c r="AN59" s="109">
        <f t="shared" si="50"/>
        <v>0</v>
      </c>
      <c r="AO59" s="111">
        <f t="shared" si="51"/>
        <v>0</v>
      </c>
      <c r="AR59" s="119" t="s">
        <v>276</v>
      </c>
      <c r="AS59" s="40"/>
      <c r="AT59" s="110">
        <f t="shared" si="52"/>
        <v>0</v>
      </c>
      <c r="AU59" s="109">
        <f t="shared" si="53"/>
        <v>0</v>
      </c>
      <c r="AV59" s="111">
        <f t="shared" si="54"/>
        <v>0</v>
      </c>
      <c r="AY59" s="119" t="s">
        <v>276</v>
      </c>
      <c r="AZ59" s="40"/>
      <c r="BA59" s="110">
        <f t="shared" si="55"/>
        <v>0</v>
      </c>
      <c r="BB59" s="109">
        <f t="shared" si="56"/>
        <v>0</v>
      </c>
      <c r="BC59" s="111">
        <f t="shared" si="57"/>
        <v>0</v>
      </c>
      <c r="BF59" s="119" t="s">
        <v>276</v>
      </c>
      <c r="BG59" s="40"/>
      <c r="BH59" s="110">
        <f t="shared" si="58"/>
        <v>0</v>
      </c>
      <c r="BI59" s="109">
        <f t="shared" si="59"/>
        <v>0</v>
      </c>
      <c r="BJ59" s="111">
        <f t="shared" si="60"/>
        <v>0</v>
      </c>
      <c r="BM59" s="119" t="s">
        <v>276</v>
      </c>
      <c r="BN59" s="40"/>
      <c r="BO59" s="110">
        <f t="shared" si="61"/>
        <v>0</v>
      </c>
      <c r="BP59" s="109">
        <f t="shared" si="62"/>
        <v>0</v>
      </c>
      <c r="BQ59" s="111">
        <f t="shared" si="63"/>
        <v>0</v>
      </c>
      <c r="BT59" s="119" t="s">
        <v>276</v>
      </c>
      <c r="BU59" s="40"/>
      <c r="BV59" s="110">
        <f t="shared" si="64"/>
        <v>0</v>
      </c>
      <c r="BW59" s="109">
        <f t="shared" si="65"/>
        <v>0</v>
      </c>
      <c r="BX59" s="111">
        <f t="shared" si="66"/>
        <v>0</v>
      </c>
      <c r="CA59" s="119" t="s">
        <v>276</v>
      </c>
      <c r="CB59" s="40"/>
      <c r="CC59" s="110">
        <f t="shared" si="67"/>
        <v>0</v>
      </c>
      <c r="CD59" s="109">
        <f t="shared" si="68"/>
        <v>0</v>
      </c>
      <c r="CE59" s="111">
        <f t="shared" si="69"/>
        <v>0</v>
      </c>
      <c r="CH59" s="119" t="s">
        <v>276</v>
      </c>
      <c r="CI59" s="40"/>
      <c r="CJ59" s="110">
        <f t="shared" si="70"/>
        <v>0</v>
      </c>
      <c r="CK59" s="109">
        <f t="shared" si="71"/>
        <v>0</v>
      </c>
      <c r="CL59" s="111">
        <f t="shared" si="72"/>
        <v>0</v>
      </c>
      <c r="CO59" s="119" t="s">
        <v>276</v>
      </c>
      <c r="CP59" s="40"/>
      <c r="CQ59" s="110">
        <f t="shared" si="73"/>
        <v>0</v>
      </c>
      <c r="CR59" s="109">
        <f t="shared" si="74"/>
        <v>0</v>
      </c>
      <c r="CS59" s="111">
        <f t="shared" si="75"/>
        <v>0</v>
      </c>
      <c r="CV59" s="119" t="s">
        <v>276</v>
      </c>
      <c r="CW59" s="40"/>
      <c r="CX59" s="110">
        <f t="shared" si="76"/>
        <v>0</v>
      </c>
      <c r="CY59" s="109">
        <f t="shared" si="77"/>
        <v>0</v>
      </c>
      <c r="CZ59" s="111">
        <f t="shared" si="78"/>
        <v>0</v>
      </c>
      <c r="DC59" s="119" t="s">
        <v>276</v>
      </c>
      <c r="DD59" s="40"/>
      <c r="DE59" s="110">
        <f t="shared" si="79"/>
        <v>0</v>
      </c>
      <c r="DF59" s="109">
        <f t="shared" si="80"/>
        <v>0</v>
      </c>
      <c r="DG59" s="111">
        <f t="shared" si="81"/>
        <v>0</v>
      </c>
      <c r="DJ59" s="119" t="s">
        <v>276</v>
      </c>
      <c r="DK59" s="40"/>
      <c r="DL59" s="110">
        <f t="shared" si="82"/>
        <v>0</v>
      </c>
      <c r="DM59" s="109">
        <f t="shared" si="83"/>
        <v>0</v>
      </c>
      <c r="DN59" s="111">
        <f t="shared" si="84"/>
        <v>0</v>
      </c>
      <c r="DQ59" s="119" t="s">
        <v>276</v>
      </c>
      <c r="DR59" s="40"/>
      <c r="DS59" s="110">
        <f t="shared" si="85"/>
        <v>0</v>
      </c>
      <c r="DT59" s="109">
        <f t="shared" si="86"/>
        <v>0</v>
      </c>
      <c r="DU59" s="111">
        <f t="shared" si="87"/>
        <v>0</v>
      </c>
    </row>
    <row r="60">
      <c r="B60" s="119" t="s">
        <v>277</v>
      </c>
      <c r="C60" s="40"/>
      <c r="D60" s="110">
        <f t="shared" si="34"/>
        <v>0</v>
      </c>
      <c r="E60" s="109">
        <f t="shared" si="35"/>
        <v>0</v>
      </c>
      <c r="F60" s="111">
        <f t="shared" si="36"/>
        <v>0</v>
      </c>
      <c r="I60" s="119" t="s">
        <v>277</v>
      </c>
      <c r="J60" s="40"/>
      <c r="K60" s="110">
        <f t="shared" si="37"/>
        <v>0</v>
      </c>
      <c r="L60" s="109">
        <f t="shared" si="38"/>
        <v>0</v>
      </c>
      <c r="M60" s="111">
        <f t="shared" si="39"/>
        <v>0</v>
      </c>
      <c r="P60" s="119" t="s">
        <v>277</v>
      </c>
      <c r="Q60" s="40"/>
      <c r="R60" s="110">
        <f t="shared" si="40"/>
        <v>0</v>
      </c>
      <c r="S60" s="109">
        <f t="shared" si="41"/>
        <v>0</v>
      </c>
      <c r="T60" s="111">
        <f t="shared" si="42"/>
        <v>0</v>
      </c>
      <c r="W60" s="119" t="s">
        <v>277</v>
      </c>
      <c r="X60" s="40"/>
      <c r="Y60" s="110">
        <f t="shared" si="43"/>
        <v>0</v>
      </c>
      <c r="Z60" s="109">
        <f t="shared" si="44"/>
        <v>0</v>
      </c>
      <c r="AA60" s="111">
        <f t="shared" si="45"/>
        <v>0</v>
      </c>
      <c r="AD60" s="119" t="s">
        <v>277</v>
      </c>
      <c r="AE60" s="40"/>
      <c r="AF60" s="110">
        <f t="shared" si="46"/>
        <v>0</v>
      </c>
      <c r="AG60" s="109">
        <f t="shared" si="47"/>
        <v>0</v>
      </c>
      <c r="AH60" s="111">
        <f t="shared" si="48"/>
        <v>0</v>
      </c>
      <c r="AK60" s="119" t="s">
        <v>277</v>
      </c>
      <c r="AL60" s="40"/>
      <c r="AM60" s="110">
        <f t="shared" si="49"/>
        <v>0</v>
      </c>
      <c r="AN60" s="109">
        <f t="shared" si="50"/>
        <v>0</v>
      </c>
      <c r="AO60" s="111">
        <f t="shared" si="51"/>
        <v>0</v>
      </c>
      <c r="AR60" s="119" t="s">
        <v>277</v>
      </c>
      <c r="AS60" s="40"/>
      <c r="AT60" s="110">
        <f t="shared" si="52"/>
        <v>0</v>
      </c>
      <c r="AU60" s="109">
        <f t="shared" si="53"/>
        <v>0</v>
      </c>
      <c r="AV60" s="111">
        <f t="shared" si="54"/>
        <v>0</v>
      </c>
      <c r="AY60" s="119" t="s">
        <v>277</v>
      </c>
      <c r="AZ60" s="40"/>
      <c r="BA60" s="110">
        <f t="shared" si="55"/>
        <v>0</v>
      </c>
      <c r="BB60" s="109">
        <f t="shared" si="56"/>
        <v>0</v>
      </c>
      <c r="BC60" s="111">
        <f t="shared" si="57"/>
        <v>0</v>
      </c>
      <c r="BF60" s="119" t="s">
        <v>277</v>
      </c>
      <c r="BG60" s="40"/>
      <c r="BH60" s="110">
        <f t="shared" si="58"/>
        <v>0</v>
      </c>
      <c r="BI60" s="109">
        <f t="shared" si="59"/>
        <v>0</v>
      </c>
      <c r="BJ60" s="111">
        <f t="shared" si="60"/>
        <v>0</v>
      </c>
      <c r="BM60" s="119" t="s">
        <v>277</v>
      </c>
      <c r="BN60" s="40"/>
      <c r="BO60" s="110">
        <f t="shared" si="61"/>
        <v>0</v>
      </c>
      <c r="BP60" s="109">
        <f t="shared" si="62"/>
        <v>0</v>
      </c>
      <c r="BQ60" s="111">
        <f t="shared" si="63"/>
        <v>0</v>
      </c>
      <c r="BT60" s="119" t="s">
        <v>277</v>
      </c>
      <c r="BU60" s="40"/>
      <c r="BV60" s="110">
        <f t="shared" si="64"/>
        <v>0</v>
      </c>
      <c r="BW60" s="109">
        <f t="shared" si="65"/>
        <v>0</v>
      </c>
      <c r="BX60" s="111">
        <f t="shared" si="66"/>
        <v>0</v>
      </c>
      <c r="CA60" s="119" t="s">
        <v>277</v>
      </c>
      <c r="CB60" s="40"/>
      <c r="CC60" s="110">
        <f t="shared" si="67"/>
        <v>0</v>
      </c>
      <c r="CD60" s="109">
        <f t="shared" si="68"/>
        <v>0</v>
      </c>
      <c r="CE60" s="111">
        <f t="shared" si="69"/>
        <v>0</v>
      </c>
      <c r="CH60" s="119" t="s">
        <v>277</v>
      </c>
      <c r="CI60" s="40"/>
      <c r="CJ60" s="110">
        <f t="shared" si="70"/>
        <v>0</v>
      </c>
      <c r="CK60" s="109">
        <f t="shared" si="71"/>
        <v>0</v>
      </c>
      <c r="CL60" s="111">
        <f t="shared" si="72"/>
        <v>0</v>
      </c>
      <c r="CO60" s="119" t="s">
        <v>277</v>
      </c>
      <c r="CP60" s="40"/>
      <c r="CQ60" s="110">
        <f t="shared" si="73"/>
        <v>0</v>
      </c>
      <c r="CR60" s="109">
        <f t="shared" si="74"/>
        <v>0</v>
      </c>
      <c r="CS60" s="111">
        <f t="shared" si="75"/>
        <v>0</v>
      </c>
      <c r="CV60" s="119" t="s">
        <v>277</v>
      </c>
      <c r="CW60" s="40"/>
      <c r="CX60" s="110">
        <f t="shared" si="76"/>
        <v>0</v>
      </c>
      <c r="CY60" s="109">
        <f t="shared" si="77"/>
        <v>0</v>
      </c>
      <c r="CZ60" s="111">
        <f t="shared" si="78"/>
        <v>0</v>
      </c>
      <c r="DC60" s="119" t="s">
        <v>277</v>
      </c>
      <c r="DD60" s="40"/>
      <c r="DE60" s="110">
        <f t="shared" si="79"/>
        <v>0</v>
      </c>
      <c r="DF60" s="109">
        <f t="shared" si="80"/>
        <v>0</v>
      </c>
      <c r="DG60" s="111">
        <f t="shared" si="81"/>
        <v>0</v>
      </c>
      <c r="DJ60" s="119" t="s">
        <v>277</v>
      </c>
      <c r="DK60" s="40"/>
      <c r="DL60" s="110">
        <f t="shared" si="82"/>
        <v>0</v>
      </c>
      <c r="DM60" s="109">
        <f t="shared" si="83"/>
        <v>0</v>
      </c>
      <c r="DN60" s="111">
        <f t="shared" si="84"/>
        <v>0</v>
      </c>
      <c r="DQ60" s="119" t="s">
        <v>277</v>
      </c>
      <c r="DR60" s="40"/>
      <c r="DS60" s="110">
        <f t="shared" si="85"/>
        <v>0</v>
      </c>
      <c r="DT60" s="109">
        <f t="shared" si="86"/>
        <v>0</v>
      </c>
      <c r="DU60" s="111">
        <f t="shared" si="87"/>
        <v>0</v>
      </c>
    </row>
    <row r="61">
      <c r="B61" s="119" t="s">
        <v>278</v>
      </c>
      <c r="C61" s="40"/>
      <c r="D61" s="110">
        <f t="shared" si="34"/>
        <v>0</v>
      </c>
      <c r="E61" s="109">
        <f t="shared" si="35"/>
        <v>0</v>
      </c>
      <c r="F61" s="111">
        <f t="shared" si="36"/>
        <v>0</v>
      </c>
      <c r="I61" s="119" t="s">
        <v>278</v>
      </c>
      <c r="J61" s="40"/>
      <c r="K61" s="110">
        <f t="shared" si="37"/>
        <v>0</v>
      </c>
      <c r="L61" s="109">
        <f t="shared" si="38"/>
        <v>0</v>
      </c>
      <c r="M61" s="111">
        <f t="shared" si="39"/>
        <v>0</v>
      </c>
      <c r="P61" s="119" t="s">
        <v>278</v>
      </c>
      <c r="Q61" s="40"/>
      <c r="R61" s="110">
        <f t="shared" si="40"/>
        <v>0</v>
      </c>
      <c r="S61" s="109">
        <f t="shared" si="41"/>
        <v>0</v>
      </c>
      <c r="T61" s="111">
        <f t="shared" si="42"/>
        <v>0</v>
      </c>
      <c r="W61" s="119" t="s">
        <v>278</v>
      </c>
      <c r="X61" s="40"/>
      <c r="Y61" s="110">
        <f t="shared" si="43"/>
        <v>0</v>
      </c>
      <c r="Z61" s="109">
        <f t="shared" si="44"/>
        <v>0</v>
      </c>
      <c r="AA61" s="111">
        <f t="shared" si="45"/>
        <v>0</v>
      </c>
      <c r="AD61" s="119" t="s">
        <v>278</v>
      </c>
      <c r="AE61" s="40"/>
      <c r="AF61" s="110">
        <f t="shared" si="46"/>
        <v>0</v>
      </c>
      <c r="AG61" s="109">
        <f t="shared" si="47"/>
        <v>0</v>
      </c>
      <c r="AH61" s="111">
        <f t="shared" si="48"/>
        <v>0</v>
      </c>
      <c r="AK61" s="119" t="s">
        <v>278</v>
      </c>
      <c r="AL61" s="40"/>
      <c r="AM61" s="110">
        <f t="shared" si="49"/>
        <v>0</v>
      </c>
      <c r="AN61" s="109">
        <f t="shared" si="50"/>
        <v>0</v>
      </c>
      <c r="AO61" s="111">
        <f t="shared" si="51"/>
        <v>0</v>
      </c>
      <c r="AR61" s="119" t="s">
        <v>278</v>
      </c>
      <c r="AS61" s="40"/>
      <c r="AT61" s="110">
        <f t="shared" si="52"/>
        <v>0</v>
      </c>
      <c r="AU61" s="109">
        <f t="shared" si="53"/>
        <v>0</v>
      </c>
      <c r="AV61" s="111">
        <f t="shared" si="54"/>
        <v>0</v>
      </c>
      <c r="AY61" s="119" t="s">
        <v>278</v>
      </c>
      <c r="AZ61" s="40"/>
      <c r="BA61" s="110">
        <f t="shared" si="55"/>
        <v>0</v>
      </c>
      <c r="BB61" s="109">
        <f t="shared" si="56"/>
        <v>0</v>
      </c>
      <c r="BC61" s="111">
        <f t="shared" si="57"/>
        <v>0</v>
      </c>
      <c r="BF61" s="119" t="s">
        <v>278</v>
      </c>
      <c r="BG61" s="40"/>
      <c r="BH61" s="110">
        <f t="shared" si="58"/>
        <v>0</v>
      </c>
      <c r="BI61" s="109">
        <f t="shared" si="59"/>
        <v>0</v>
      </c>
      <c r="BJ61" s="111">
        <f t="shared" si="60"/>
        <v>0</v>
      </c>
      <c r="BM61" s="119" t="s">
        <v>278</v>
      </c>
      <c r="BN61" s="40"/>
      <c r="BO61" s="110">
        <f t="shared" si="61"/>
        <v>0</v>
      </c>
      <c r="BP61" s="109">
        <f t="shared" si="62"/>
        <v>0</v>
      </c>
      <c r="BQ61" s="111">
        <f t="shared" si="63"/>
        <v>0</v>
      </c>
      <c r="BT61" s="119" t="s">
        <v>278</v>
      </c>
      <c r="BU61" s="40"/>
      <c r="BV61" s="110">
        <f t="shared" si="64"/>
        <v>0</v>
      </c>
      <c r="BW61" s="109">
        <f t="shared" si="65"/>
        <v>0</v>
      </c>
      <c r="BX61" s="111">
        <f t="shared" si="66"/>
        <v>0</v>
      </c>
      <c r="CA61" s="119" t="s">
        <v>278</v>
      </c>
      <c r="CB61" s="40"/>
      <c r="CC61" s="110">
        <f t="shared" si="67"/>
        <v>0</v>
      </c>
      <c r="CD61" s="109">
        <f t="shared" si="68"/>
        <v>0</v>
      </c>
      <c r="CE61" s="111">
        <f t="shared" si="69"/>
        <v>0</v>
      </c>
      <c r="CH61" s="119" t="s">
        <v>278</v>
      </c>
      <c r="CI61" s="40"/>
      <c r="CJ61" s="110">
        <f t="shared" si="70"/>
        <v>0</v>
      </c>
      <c r="CK61" s="109">
        <f t="shared" si="71"/>
        <v>0</v>
      </c>
      <c r="CL61" s="111">
        <f t="shared" si="72"/>
        <v>0</v>
      </c>
      <c r="CO61" s="119" t="s">
        <v>278</v>
      </c>
      <c r="CP61" s="40"/>
      <c r="CQ61" s="110">
        <f t="shared" si="73"/>
        <v>0</v>
      </c>
      <c r="CR61" s="109">
        <f t="shared" si="74"/>
        <v>0</v>
      </c>
      <c r="CS61" s="111">
        <f t="shared" si="75"/>
        <v>0</v>
      </c>
      <c r="CV61" s="119" t="s">
        <v>278</v>
      </c>
      <c r="CW61" s="40"/>
      <c r="CX61" s="110">
        <f t="shared" si="76"/>
        <v>0</v>
      </c>
      <c r="CY61" s="109">
        <f t="shared" si="77"/>
        <v>0</v>
      </c>
      <c r="CZ61" s="111">
        <f t="shared" si="78"/>
        <v>0</v>
      </c>
      <c r="DC61" s="119" t="s">
        <v>278</v>
      </c>
      <c r="DD61" s="40"/>
      <c r="DE61" s="110">
        <f t="shared" si="79"/>
        <v>0</v>
      </c>
      <c r="DF61" s="109">
        <f t="shared" si="80"/>
        <v>0</v>
      </c>
      <c r="DG61" s="111">
        <f t="shared" si="81"/>
        <v>0</v>
      </c>
      <c r="DJ61" s="119" t="s">
        <v>278</v>
      </c>
      <c r="DK61" s="40"/>
      <c r="DL61" s="110">
        <f t="shared" si="82"/>
        <v>0</v>
      </c>
      <c r="DM61" s="109">
        <f t="shared" si="83"/>
        <v>0</v>
      </c>
      <c r="DN61" s="111">
        <f t="shared" si="84"/>
        <v>0</v>
      </c>
      <c r="DQ61" s="119" t="s">
        <v>278</v>
      </c>
      <c r="DR61" s="40"/>
      <c r="DS61" s="110">
        <f t="shared" si="85"/>
        <v>0</v>
      </c>
      <c r="DT61" s="109">
        <f t="shared" si="86"/>
        <v>0</v>
      </c>
      <c r="DU61" s="111">
        <f t="shared" si="87"/>
        <v>0</v>
      </c>
    </row>
    <row r="62">
      <c r="B62" s="119" t="s">
        <v>279</v>
      </c>
      <c r="C62" s="40"/>
      <c r="D62" s="110">
        <f t="shared" si="34"/>
        <v>0</v>
      </c>
      <c r="E62" s="109">
        <f t="shared" si="35"/>
        <v>0</v>
      </c>
      <c r="F62" s="111">
        <f t="shared" si="36"/>
        <v>0</v>
      </c>
      <c r="I62" s="119" t="s">
        <v>279</v>
      </c>
      <c r="J62" s="40"/>
      <c r="K62" s="110">
        <f t="shared" si="37"/>
        <v>0</v>
      </c>
      <c r="L62" s="109">
        <f t="shared" si="38"/>
        <v>0</v>
      </c>
      <c r="M62" s="111">
        <f t="shared" si="39"/>
        <v>0</v>
      </c>
      <c r="P62" s="119" t="s">
        <v>279</v>
      </c>
      <c r="Q62" s="40"/>
      <c r="R62" s="110">
        <f t="shared" si="40"/>
        <v>0</v>
      </c>
      <c r="S62" s="109">
        <f t="shared" si="41"/>
        <v>0</v>
      </c>
      <c r="T62" s="111">
        <f t="shared" si="42"/>
        <v>0</v>
      </c>
      <c r="W62" s="119" t="s">
        <v>279</v>
      </c>
      <c r="X62" s="40"/>
      <c r="Y62" s="110">
        <f t="shared" si="43"/>
        <v>0</v>
      </c>
      <c r="Z62" s="109">
        <f t="shared" si="44"/>
        <v>0</v>
      </c>
      <c r="AA62" s="111">
        <f t="shared" si="45"/>
        <v>0</v>
      </c>
      <c r="AD62" s="119" t="s">
        <v>279</v>
      </c>
      <c r="AE62" s="40"/>
      <c r="AF62" s="110">
        <f t="shared" si="46"/>
        <v>0</v>
      </c>
      <c r="AG62" s="109">
        <f t="shared" si="47"/>
        <v>0</v>
      </c>
      <c r="AH62" s="111">
        <f t="shared" si="48"/>
        <v>0</v>
      </c>
      <c r="AK62" s="119" t="s">
        <v>279</v>
      </c>
      <c r="AL62" s="40"/>
      <c r="AM62" s="110">
        <f t="shared" si="49"/>
        <v>0</v>
      </c>
      <c r="AN62" s="109">
        <f t="shared" si="50"/>
        <v>0</v>
      </c>
      <c r="AO62" s="111">
        <f t="shared" si="51"/>
        <v>0</v>
      </c>
      <c r="AR62" s="119" t="s">
        <v>279</v>
      </c>
      <c r="AS62" s="40"/>
      <c r="AT62" s="110">
        <f t="shared" si="52"/>
        <v>0</v>
      </c>
      <c r="AU62" s="109">
        <f t="shared" si="53"/>
        <v>0</v>
      </c>
      <c r="AV62" s="111">
        <f t="shared" si="54"/>
        <v>0</v>
      </c>
      <c r="AY62" s="119" t="s">
        <v>279</v>
      </c>
      <c r="AZ62" s="40"/>
      <c r="BA62" s="110">
        <f t="shared" si="55"/>
        <v>0</v>
      </c>
      <c r="BB62" s="109">
        <f t="shared" si="56"/>
        <v>0</v>
      </c>
      <c r="BC62" s="111">
        <f t="shared" si="57"/>
        <v>0</v>
      </c>
      <c r="BF62" s="119" t="s">
        <v>279</v>
      </c>
      <c r="BG62" s="40"/>
      <c r="BH62" s="110">
        <f t="shared" si="58"/>
        <v>0</v>
      </c>
      <c r="BI62" s="109">
        <f t="shared" si="59"/>
        <v>0</v>
      </c>
      <c r="BJ62" s="111">
        <f t="shared" si="60"/>
        <v>0</v>
      </c>
      <c r="BM62" s="119" t="s">
        <v>279</v>
      </c>
      <c r="BN62" s="40"/>
      <c r="BO62" s="110">
        <f t="shared" si="61"/>
        <v>0</v>
      </c>
      <c r="BP62" s="109">
        <f t="shared" si="62"/>
        <v>0</v>
      </c>
      <c r="BQ62" s="111">
        <f t="shared" si="63"/>
        <v>0</v>
      </c>
      <c r="BT62" s="119" t="s">
        <v>279</v>
      </c>
      <c r="BU62" s="40"/>
      <c r="BV62" s="110">
        <f t="shared" si="64"/>
        <v>0</v>
      </c>
      <c r="BW62" s="109">
        <f t="shared" si="65"/>
        <v>0</v>
      </c>
      <c r="BX62" s="111">
        <f t="shared" si="66"/>
        <v>0</v>
      </c>
      <c r="CA62" s="119" t="s">
        <v>279</v>
      </c>
      <c r="CB62" s="40"/>
      <c r="CC62" s="110">
        <f t="shared" si="67"/>
        <v>0</v>
      </c>
      <c r="CD62" s="109">
        <f t="shared" si="68"/>
        <v>0</v>
      </c>
      <c r="CE62" s="111">
        <f t="shared" si="69"/>
        <v>0</v>
      </c>
      <c r="CH62" s="119" t="s">
        <v>279</v>
      </c>
      <c r="CI62" s="40"/>
      <c r="CJ62" s="110">
        <f t="shared" si="70"/>
        <v>0</v>
      </c>
      <c r="CK62" s="109">
        <f t="shared" si="71"/>
        <v>0</v>
      </c>
      <c r="CL62" s="111">
        <f t="shared" si="72"/>
        <v>0</v>
      </c>
      <c r="CO62" s="119" t="s">
        <v>279</v>
      </c>
      <c r="CP62" s="40"/>
      <c r="CQ62" s="110">
        <f t="shared" si="73"/>
        <v>0</v>
      </c>
      <c r="CR62" s="109">
        <f t="shared" si="74"/>
        <v>0</v>
      </c>
      <c r="CS62" s="111">
        <f t="shared" si="75"/>
        <v>0</v>
      </c>
      <c r="CV62" s="119" t="s">
        <v>279</v>
      </c>
      <c r="CW62" s="40"/>
      <c r="CX62" s="110">
        <f t="shared" si="76"/>
        <v>0</v>
      </c>
      <c r="CY62" s="109">
        <f t="shared" si="77"/>
        <v>0</v>
      </c>
      <c r="CZ62" s="111">
        <f t="shared" si="78"/>
        <v>0</v>
      </c>
      <c r="DC62" s="119" t="s">
        <v>279</v>
      </c>
      <c r="DD62" s="40"/>
      <c r="DE62" s="110">
        <f t="shared" si="79"/>
        <v>0</v>
      </c>
      <c r="DF62" s="109">
        <f t="shared" si="80"/>
        <v>0</v>
      </c>
      <c r="DG62" s="111">
        <f t="shared" si="81"/>
        <v>0</v>
      </c>
      <c r="DJ62" s="119" t="s">
        <v>279</v>
      </c>
      <c r="DK62" s="40"/>
      <c r="DL62" s="110">
        <f t="shared" si="82"/>
        <v>0</v>
      </c>
      <c r="DM62" s="109">
        <f t="shared" si="83"/>
        <v>0</v>
      </c>
      <c r="DN62" s="111">
        <f t="shared" si="84"/>
        <v>0</v>
      </c>
      <c r="DQ62" s="119" t="s">
        <v>279</v>
      </c>
      <c r="DR62" s="40"/>
      <c r="DS62" s="110">
        <f t="shared" si="85"/>
        <v>0</v>
      </c>
      <c r="DT62" s="109">
        <f t="shared" si="86"/>
        <v>0</v>
      </c>
      <c r="DU62" s="111">
        <f t="shared" si="87"/>
        <v>0</v>
      </c>
    </row>
    <row r="63">
      <c r="B63" s="119" t="s">
        <v>280</v>
      </c>
      <c r="C63" s="40"/>
      <c r="D63" s="110">
        <f t="shared" si="34"/>
        <v>0</v>
      </c>
      <c r="E63" s="109">
        <f t="shared" si="35"/>
        <v>0</v>
      </c>
      <c r="F63" s="111">
        <f t="shared" si="36"/>
        <v>0</v>
      </c>
      <c r="I63" s="119" t="s">
        <v>280</v>
      </c>
      <c r="J63" s="40"/>
      <c r="K63" s="110">
        <f t="shared" si="37"/>
        <v>0</v>
      </c>
      <c r="L63" s="109">
        <f t="shared" si="38"/>
        <v>0</v>
      </c>
      <c r="M63" s="111">
        <f t="shared" si="39"/>
        <v>0</v>
      </c>
      <c r="P63" s="119" t="s">
        <v>280</v>
      </c>
      <c r="Q63" s="40"/>
      <c r="R63" s="110">
        <f t="shared" si="40"/>
        <v>0</v>
      </c>
      <c r="S63" s="109">
        <f t="shared" si="41"/>
        <v>0</v>
      </c>
      <c r="T63" s="111">
        <f t="shared" si="42"/>
        <v>0</v>
      </c>
      <c r="W63" s="119" t="s">
        <v>280</v>
      </c>
      <c r="X63" s="40"/>
      <c r="Y63" s="110">
        <f t="shared" si="43"/>
        <v>0</v>
      </c>
      <c r="Z63" s="109">
        <f t="shared" si="44"/>
        <v>0</v>
      </c>
      <c r="AA63" s="111">
        <f t="shared" si="45"/>
        <v>0</v>
      </c>
      <c r="AD63" s="119" t="s">
        <v>280</v>
      </c>
      <c r="AE63" s="40"/>
      <c r="AF63" s="110">
        <f t="shared" si="46"/>
        <v>0</v>
      </c>
      <c r="AG63" s="109">
        <f t="shared" si="47"/>
        <v>0</v>
      </c>
      <c r="AH63" s="111">
        <f t="shared" si="48"/>
        <v>0</v>
      </c>
      <c r="AK63" s="119" t="s">
        <v>280</v>
      </c>
      <c r="AL63" s="40"/>
      <c r="AM63" s="110">
        <f t="shared" si="49"/>
        <v>0</v>
      </c>
      <c r="AN63" s="109">
        <f t="shared" si="50"/>
        <v>0</v>
      </c>
      <c r="AO63" s="111">
        <f t="shared" si="51"/>
        <v>0</v>
      </c>
      <c r="AR63" s="119" t="s">
        <v>280</v>
      </c>
      <c r="AS63" s="40"/>
      <c r="AT63" s="110">
        <f t="shared" si="52"/>
        <v>0</v>
      </c>
      <c r="AU63" s="109">
        <f t="shared" si="53"/>
        <v>0</v>
      </c>
      <c r="AV63" s="111">
        <f t="shared" si="54"/>
        <v>0</v>
      </c>
      <c r="AY63" s="119" t="s">
        <v>280</v>
      </c>
      <c r="AZ63" s="40"/>
      <c r="BA63" s="110">
        <f t="shared" si="55"/>
        <v>0</v>
      </c>
      <c r="BB63" s="109">
        <f t="shared" si="56"/>
        <v>0</v>
      </c>
      <c r="BC63" s="111">
        <f t="shared" si="57"/>
        <v>0</v>
      </c>
      <c r="BF63" s="119" t="s">
        <v>280</v>
      </c>
      <c r="BG63" s="40"/>
      <c r="BH63" s="110">
        <f t="shared" si="58"/>
        <v>0</v>
      </c>
      <c r="BI63" s="109">
        <f t="shared" si="59"/>
        <v>0</v>
      </c>
      <c r="BJ63" s="111">
        <f t="shared" si="60"/>
        <v>0</v>
      </c>
      <c r="BM63" s="119" t="s">
        <v>280</v>
      </c>
      <c r="BN63" s="40"/>
      <c r="BO63" s="110">
        <f t="shared" si="61"/>
        <v>0</v>
      </c>
      <c r="BP63" s="109">
        <f t="shared" si="62"/>
        <v>0</v>
      </c>
      <c r="BQ63" s="111">
        <f t="shared" si="63"/>
        <v>0</v>
      </c>
      <c r="BT63" s="119" t="s">
        <v>280</v>
      </c>
      <c r="BU63" s="40"/>
      <c r="BV63" s="110">
        <f t="shared" si="64"/>
        <v>0</v>
      </c>
      <c r="BW63" s="109">
        <f t="shared" si="65"/>
        <v>0</v>
      </c>
      <c r="BX63" s="111">
        <f t="shared" si="66"/>
        <v>0</v>
      </c>
      <c r="CA63" s="119" t="s">
        <v>280</v>
      </c>
      <c r="CB63" s="40"/>
      <c r="CC63" s="110">
        <f t="shared" si="67"/>
        <v>0</v>
      </c>
      <c r="CD63" s="109">
        <f t="shared" si="68"/>
        <v>0</v>
      </c>
      <c r="CE63" s="111">
        <f t="shared" si="69"/>
        <v>0</v>
      </c>
      <c r="CH63" s="119" t="s">
        <v>280</v>
      </c>
      <c r="CI63" s="40"/>
      <c r="CJ63" s="110">
        <f t="shared" si="70"/>
        <v>0</v>
      </c>
      <c r="CK63" s="109">
        <f t="shared" si="71"/>
        <v>0</v>
      </c>
      <c r="CL63" s="111">
        <f t="shared" si="72"/>
        <v>0</v>
      </c>
      <c r="CO63" s="119" t="s">
        <v>280</v>
      </c>
      <c r="CP63" s="40"/>
      <c r="CQ63" s="110">
        <f t="shared" si="73"/>
        <v>0</v>
      </c>
      <c r="CR63" s="109">
        <f t="shared" si="74"/>
        <v>0</v>
      </c>
      <c r="CS63" s="111">
        <f t="shared" si="75"/>
        <v>0</v>
      </c>
      <c r="CV63" s="119" t="s">
        <v>280</v>
      </c>
      <c r="CW63" s="40"/>
      <c r="CX63" s="110">
        <f t="shared" si="76"/>
        <v>0</v>
      </c>
      <c r="CY63" s="109">
        <f t="shared" si="77"/>
        <v>0</v>
      </c>
      <c r="CZ63" s="111">
        <f t="shared" si="78"/>
        <v>0</v>
      </c>
      <c r="DC63" s="119" t="s">
        <v>280</v>
      </c>
      <c r="DD63" s="40"/>
      <c r="DE63" s="110">
        <f t="shared" si="79"/>
        <v>0</v>
      </c>
      <c r="DF63" s="109">
        <f t="shared" si="80"/>
        <v>0</v>
      </c>
      <c r="DG63" s="111">
        <f t="shared" si="81"/>
        <v>0</v>
      </c>
      <c r="DJ63" s="119" t="s">
        <v>280</v>
      </c>
      <c r="DK63" s="40"/>
      <c r="DL63" s="110">
        <f t="shared" si="82"/>
        <v>0</v>
      </c>
      <c r="DM63" s="109">
        <f t="shared" si="83"/>
        <v>0</v>
      </c>
      <c r="DN63" s="111">
        <f t="shared" si="84"/>
        <v>0</v>
      </c>
      <c r="DQ63" s="119" t="s">
        <v>280</v>
      </c>
      <c r="DR63" s="40"/>
      <c r="DS63" s="110">
        <f t="shared" si="85"/>
        <v>0</v>
      </c>
      <c r="DT63" s="109">
        <f t="shared" si="86"/>
        <v>0</v>
      </c>
      <c r="DU63" s="111">
        <f t="shared" si="87"/>
        <v>0</v>
      </c>
    </row>
    <row r="64">
      <c r="B64" s="119" t="s">
        <v>281</v>
      </c>
      <c r="C64" s="40"/>
      <c r="D64" s="110">
        <f t="shared" si="34"/>
        <v>0</v>
      </c>
      <c r="E64" s="109">
        <f t="shared" si="35"/>
        <v>0</v>
      </c>
      <c r="F64" s="111">
        <f t="shared" si="36"/>
        <v>0</v>
      </c>
      <c r="I64" s="119" t="s">
        <v>281</v>
      </c>
      <c r="J64" s="40"/>
      <c r="K64" s="110">
        <f t="shared" si="37"/>
        <v>0</v>
      </c>
      <c r="L64" s="109">
        <f t="shared" si="38"/>
        <v>0</v>
      </c>
      <c r="M64" s="111">
        <f t="shared" si="39"/>
        <v>0</v>
      </c>
      <c r="P64" s="119" t="s">
        <v>281</v>
      </c>
      <c r="Q64" s="40"/>
      <c r="R64" s="110">
        <f t="shared" si="40"/>
        <v>0</v>
      </c>
      <c r="S64" s="109">
        <f t="shared" si="41"/>
        <v>0</v>
      </c>
      <c r="T64" s="111">
        <f t="shared" si="42"/>
        <v>0</v>
      </c>
      <c r="W64" s="119" t="s">
        <v>281</v>
      </c>
      <c r="X64" s="40"/>
      <c r="Y64" s="110">
        <f t="shared" si="43"/>
        <v>0</v>
      </c>
      <c r="Z64" s="109">
        <f t="shared" si="44"/>
        <v>0</v>
      </c>
      <c r="AA64" s="111">
        <f t="shared" si="45"/>
        <v>0</v>
      </c>
      <c r="AD64" s="119" t="s">
        <v>281</v>
      </c>
      <c r="AE64" s="40"/>
      <c r="AF64" s="110">
        <f t="shared" si="46"/>
        <v>0</v>
      </c>
      <c r="AG64" s="109">
        <f t="shared" si="47"/>
        <v>0</v>
      </c>
      <c r="AH64" s="111">
        <f t="shared" si="48"/>
        <v>0</v>
      </c>
      <c r="AK64" s="119" t="s">
        <v>281</v>
      </c>
      <c r="AL64" s="40"/>
      <c r="AM64" s="110">
        <f t="shared" si="49"/>
        <v>0</v>
      </c>
      <c r="AN64" s="109">
        <f t="shared" si="50"/>
        <v>0</v>
      </c>
      <c r="AO64" s="111">
        <f t="shared" si="51"/>
        <v>0</v>
      </c>
      <c r="AR64" s="119" t="s">
        <v>281</v>
      </c>
      <c r="AS64" s="40"/>
      <c r="AT64" s="110">
        <f t="shared" si="52"/>
        <v>0</v>
      </c>
      <c r="AU64" s="109">
        <f t="shared" si="53"/>
        <v>0</v>
      </c>
      <c r="AV64" s="111">
        <f t="shared" si="54"/>
        <v>0</v>
      </c>
      <c r="AY64" s="119" t="s">
        <v>281</v>
      </c>
      <c r="AZ64" s="40"/>
      <c r="BA64" s="110">
        <f t="shared" si="55"/>
        <v>0</v>
      </c>
      <c r="BB64" s="109">
        <f t="shared" si="56"/>
        <v>0</v>
      </c>
      <c r="BC64" s="111">
        <f t="shared" si="57"/>
        <v>0</v>
      </c>
      <c r="BF64" s="119" t="s">
        <v>281</v>
      </c>
      <c r="BG64" s="40"/>
      <c r="BH64" s="110">
        <f t="shared" si="58"/>
        <v>0</v>
      </c>
      <c r="BI64" s="109">
        <f t="shared" si="59"/>
        <v>0</v>
      </c>
      <c r="BJ64" s="111">
        <f t="shared" si="60"/>
        <v>0</v>
      </c>
      <c r="BM64" s="119" t="s">
        <v>281</v>
      </c>
      <c r="BN64" s="40"/>
      <c r="BO64" s="110">
        <f t="shared" si="61"/>
        <v>0</v>
      </c>
      <c r="BP64" s="109">
        <f t="shared" si="62"/>
        <v>0</v>
      </c>
      <c r="BQ64" s="111">
        <f t="shared" si="63"/>
        <v>0</v>
      </c>
      <c r="BT64" s="119" t="s">
        <v>281</v>
      </c>
      <c r="BU64" s="40"/>
      <c r="BV64" s="110">
        <f t="shared" si="64"/>
        <v>0</v>
      </c>
      <c r="BW64" s="109">
        <f t="shared" si="65"/>
        <v>0</v>
      </c>
      <c r="BX64" s="111">
        <f t="shared" si="66"/>
        <v>0</v>
      </c>
      <c r="CA64" s="119" t="s">
        <v>281</v>
      </c>
      <c r="CB64" s="40"/>
      <c r="CC64" s="110">
        <f t="shared" si="67"/>
        <v>0</v>
      </c>
      <c r="CD64" s="109">
        <f t="shared" si="68"/>
        <v>0</v>
      </c>
      <c r="CE64" s="111">
        <f t="shared" si="69"/>
        <v>0</v>
      </c>
      <c r="CH64" s="119" t="s">
        <v>281</v>
      </c>
      <c r="CI64" s="40"/>
      <c r="CJ64" s="110">
        <f t="shared" si="70"/>
        <v>0</v>
      </c>
      <c r="CK64" s="109">
        <f t="shared" si="71"/>
        <v>0</v>
      </c>
      <c r="CL64" s="111">
        <f t="shared" si="72"/>
        <v>0</v>
      </c>
      <c r="CO64" s="119" t="s">
        <v>281</v>
      </c>
      <c r="CP64" s="40"/>
      <c r="CQ64" s="110">
        <f t="shared" si="73"/>
        <v>0</v>
      </c>
      <c r="CR64" s="109">
        <f t="shared" si="74"/>
        <v>0</v>
      </c>
      <c r="CS64" s="111">
        <f t="shared" si="75"/>
        <v>0</v>
      </c>
      <c r="CV64" s="119" t="s">
        <v>281</v>
      </c>
      <c r="CW64" s="40"/>
      <c r="CX64" s="110">
        <f t="shared" si="76"/>
        <v>0</v>
      </c>
      <c r="CY64" s="109">
        <f t="shared" si="77"/>
        <v>0</v>
      </c>
      <c r="CZ64" s="111">
        <f t="shared" si="78"/>
        <v>0</v>
      </c>
      <c r="DC64" s="119" t="s">
        <v>281</v>
      </c>
      <c r="DD64" s="40"/>
      <c r="DE64" s="110">
        <f t="shared" si="79"/>
        <v>0</v>
      </c>
      <c r="DF64" s="109">
        <f t="shared" si="80"/>
        <v>0</v>
      </c>
      <c r="DG64" s="111">
        <f t="shared" si="81"/>
        <v>0</v>
      </c>
      <c r="DJ64" s="119" t="s">
        <v>281</v>
      </c>
      <c r="DK64" s="40"/>
      <c r="DL64" s="110">
        <f t="shared" si="82"/>
        <v>0</v>
      </c>
      <c r="DM64" s="109">
        <f t="shared" si="83"/>
        <v>0</v>
      </c>
      <c r="DN64" s="111">
        <f t="shared" si="84"/>
        <v>0</v>
      </c>
      <c r="DQ64" s="119" t="s">
        <v>281</v>
      </c>
      <c r="DR64" s="40"/>
      <c r="DS64" s="110">
        <f t="shared" si="85"/>
        <v>0</v>
      </c>
      <c r="DT64" s="109">
        <f t="shared" si="86"/>
        <v>0</v>
      </c>
      <c r="DU64" s="111">
        <f t="shared" si="87"/>
        <v>0</v>
      </c>
    </row>
    <row r="65">
      <c r="B65" s="119" t="s">
        <v>282</v>
      </c>
      <c r="C65" s="40"/>
      <c r="D65" s="110">
        <f t="shared" si="34"/>
        <v>0</v>
      </c>
      <c r="E65" s="109">
        <f t="shared" si="35"/>
        <v>0</v>
      </c>
      <c r="F65" s="111">
        <f t="shared" si="36"/>
        <v>0</v>
      </c>
      <c r="I65" s="119" t="s">
        <v>282</v>
      </c>
      <c r="J65" s="40"/>
      <c r="K65" s="110">
        <f t="shared" si="37"/>
        <v>0</v>
      </c>
      <c r="L65" s="109">
        <f t="shared" si="38"/>
        <v>0</v>
      </c>
      <c r="M65" s="111">
        <f t="shared" si="39"/>
        <v>0</v>
      </c>
      <c r="P65" s="119" t="s">
        <v>282</v>
      </c>
      <c r="Q65" s="40"/>
      <c r="R65" s="110">
        <f t="shared" si="40"/>
        <v>0</v>
      </c>
      <c r="S65" s="109">
        <f t="shared" si="41"/>
        <v>0</v>
      </c>
      <c r="T65" s="111">
        <f t="shared" si="42"/>
        <v>0</v>
      </c>
      <c r="W65" s="119" t="s">
        <v>282</v>
      </c>
      <c r="X65" s="40"/>
      <c r="Y65" s="110">
        <f t="shared" si="43"/>
        <v>0</v>
      </c>
      <c r="Z65" s="109">
        <f t="shared" si="44"/>
        <v>0</v>
      </c>
      <c r="AA65" s="111">
        <f t="shared" si="45"/>
        <v>0</v>
      </c>
      <c r="AD65" s="119" t="s">
        <v>282</v>
      </c>
      <c r="AE65" s="40"/>
      <c r="AF65" s="110">
        <f t="shared" si="46"/>
        <v>0</v>
      </c>
      <c r="AG65" s="109">
        <f t="shared" si="47"/>
        <v>0</v>
      </c>
      <c r="AH65" s="111">
        <f t="shared" si="48"/>
        <v>0</v>
      </c>
      <c r="AK65" s="119" t="s">
        <v>282</v>
      </c>
      <c r="AL65" s="40"/>
      <c r="AM65" s="110">
        <f t="shared" si="49"/>
        <v>0</v>
      </c>
      <c r="AN65" s="109">
        <f t="shared" si="50"/>
        <v>0</v>
      </c>
      <c r="AO65" s="111">
        <f t="shared" si="51"/>
        <v>0</v>
      </c>
      <c r="AR65" s="119" t="s">
        <v>282</v>
      </c>
      <c r="AS65" s="40"/>
      <c r="AT65" s="110">
        <f t="shared" si="52"/>
        <v>0</v>
      </c>
      <c r="AU65" s="109">
        <f t="shared" si="53"/>
        <v>0</v>
      </c>
      <c r="AV65" s="111">
        <f t="shared" si="54"/>
        <v>0</v>
      </c>
      <c r="AY65" s="119" t="s">
        <v>282</v>
      </c>
      <c r="AZ65" s="40"/>
      <c r="BA65" s="110">
        <f t="shared" si="55"/>
        <v>0</v>
      </c>
      <c r="BB65" s="109">
        <f t="shared" si="56"/>
        <v>0</v>
      </c>
      <c r="BC65" s="111">
        <f t="shared" si="57"/>
        <v>0</v>
      </c>
      <c r="BF65" s="119" t="s">
        <v>282</v>
      </c>
      <c r="BG65" s="40"/>
      <c r="BH65" s="110">
        <f t="shared" si="58"/>
        <v>0</v>
      </c>
      <c r="BI65" s="109">
        <f t="shared" si="59"/>
        <v>0</v>
      </c>
      <c r="BJ65" s="111">
        <f t="shared" si="60"/>
        <v>0</v>
      </c>
      <c r="BM65" s="119" t="s">
        <v>282</v>
      </c>
      <c r="BN65" s="40"/>
      <c r="BO65" s="110">
        <f t="shared" si="61"/>
        <v>0</v>
      </c>
      <c r="BP65" s="109">
        <f t="shared" si="62"/>
        <v>0</v>
      </c>
      <c r="BQ65" s="111">
        <f t="shared" si="63"/>
        <v>0</v>
      </c>
      <c r="BT65" s="119" t="s">
        <v>282</v>
      </c>
      <c r="BU65" s="40"/>
      <c r="BV65" s="110">
        <f t="shared" si="64"/>
        <v>0</v>
      </c>
      <c r="BW65" s="109">
        <f t="shared" si="65"/>
        <v>0</v>
      </c>
      <c r="BX65" s="111">
        <f t="shared" si="66"/>
        <v>0</v>
      </c>
      <c r="CA65" s="119" t="s">
        <v>282</v>
      </c>
      <c r="CB65" s="40"/>
      <c r="CC65" s="110">
        <f t="shared" si="67"/>
        <v>0</v>
      </c>
      <c r="CD65" s="109">
        <f t="shared" si="68"/>
        <v>0</v>
      </c>
      <c r="CE65" s="111">
        <f t="shared" si="69"/>
        <v>0</v>
      </c>
      <c r="CH65" s="119" t="s">
        <v>282</v>
      </c>
      <c r="CI65" s="40"/>
      <c r="CJ65" s="110">
        <f t="shared" si="70"/>
        <v>0</v>
      </c>
      <c r="CK65" s="109">
        <f t="shared" si="71"/>
        <v>0</v>
      </c>
      <c r="CL65" s="111">
        <f t="shared" si="72"/>
        <v>0</v>
      </c>
      <c r="CO65" s="119" t="s">
        <v>282</v>
      </c>
      <c r="CP65" s="40"/>
      <c r="CQ65" s="110">
        <f t="shared" si="73"/>
        <v>0</v>
      </c>
      <c r="CR65" s="109">
        <f t="shared" si="74"/>
        <v>0</v>
      </c>
      <c r="CS65" s="111">
        <f t="shared" si="75"/>
        <v>0</v>
      </c>
      <c r="CV65" s="119" t="s">
        <v>282</v>
      </c>
      <c r="CW65" s="40"/>
      <c r="CX65" s="110">
        <f t="shared" si="76"/>
        <v>0</v>
      </c>
      <c r="CY65" s="109">
        <f t="shared" si="77"/>
        <v>0</v>
      </c>
      <c r="CZ65" s="111">
        <f t="shared" si="78"/>
        <v>0</v>
      </c>
      <c r="DC65" s="119" t="s">
        <v>282</v>
      </c>
      <c r="DD65" s="40"/>
      <c r="DE65" s="110">
        <f t="shared" si="79"/>
        <v>0</v>
      </c>
      <c r="DF65" s="109">
        <f t="shared" si="80"/>
        <v>0</v>
      </c>
      <c r="DG65" s="111">
        <f t="shared" si="81"/>
        <v>0</v>
      </c>
      <c r="DJ65" s="119" t="s">
        <v>282</v>
      </c>
      <c r="DK65" s="40"/>
      <c r="DL65" s="110">
        <f t="shared" si="82"/>
        <v>0</v>
      </c>
      <c r="DM65" s="109">
        <f t="shared" si="83"/>
        <v>0</v>
      </c>
      <c r="DN65" s="111">
        <f t="shared" si="84"/>
        <v>0</v>
      </c>
      <c r="DQ65" s="119" t="s">
        <v>282</v>
      </c>
      <c r="DR65" s="40"/>
      <c r="DS65" s="110">
        <f t="shared" si="85"/>
        <v>0</v>
      </c>
      <c r="DT65" s="109">
        <f t="shared" si="86"/>
        <v>0</v>
      </c>
      <c r="DU65" s="111">
        <f t="shared" si="87"/>
        <v>0</v>
      </c>
    </row>
    <row r="66">
      <c r="B66" s="119" t="s">
        <v>283</v>
      </c>
      <c r="C66" s="40"/>
      <c r="D66" s="110">
        <f t="shared" si="34"/>
        <v>0</v>
      </c>
      <c r="E66" s="109">
        <f t="shared" si="35"/>
        <v>0</v>
      </c>
      <c r="F66" s="111">
        <f t="shared" si="36"/>
        <v>0</v>
      </c>
      <c r="I66" s="119" t="s">
        <v>283</v>
      </c>
      <c r="J66" s="40"/>
      <c r="K66" s="110">
        <f t="shared" si="37"/>
        <v>0</v>
      </c>
      <c r="L66" s="109">
        <f t="shared" si="38"/>
        <v>0</v>
      </c>
      <c r="M66" s="111">
        <f t="shared" si="39"/>
        <v>0</v>
      </c>
      <c r="P66" s="119" t="s">
        <v>283</v>
      </c>
      <c r="Q66" s="40"/>
      <c r="R66" s="110">
        <f t="shared" si="40"/>
        <v>0</v>
      </c>
      <c r="S66" s="109">
        <f t="shared" si="41"/>
        <v>0</v>
      </c>
      <c r="T66" s="111">
        <f t="shared" si="42"/>
        <v>0</v>
      </c>
      <c r="W66" s="119" t="s">
        <v>283</v>
      </c>
      <c r="X66" s="40"/>
      <c r="Y66" s="110">
        <f t="shared" si="43"/>
        <v>0</v>
      </c>
      <c r="Z66" s="109">
        <f t="shared" si="44"/>
        <v>0</v>
      </c>
      <c r="AA66" s="111">
        <f t="shared" si="45"/>
        <v>0</v>
      </c>
      <c r="AD66" s="119" t="s">
        <v>283</v>
      </c>
      <c r="AE66" s="40"/>
      <c r="AF66" s="110">
        <f t="shared" si="46"/>
        <v>0</v>
      </c>
      <c r="AG66" s="109">
        <f t="shared" si="47"/>
        <v>0</v>
      </c>
      <c r="AH66" s="111">
        <f t="shared" si="48"/>
        <v>0</v>
      </c>
      <c r="AK66" s="119" t="s">
        <v>283</v>
      </c>
      <c r="AL66" s="40"/>
      <c r="AM66" s="110">
        <f t="shared" si="49"/>
        <v>0</v>
      </c>
      <c r="AN66" s="109">
        <f t="shared" si="50"/>
        <v>0</v>
      </c>
      <c r="AO66" s="111">
        <f t="shared" si="51"/>
        <v>0</v>
      </c>
      <c r="AR66" s="119" t="s">
        <v>283</v>
      </c>
      <c r="AS66" s="40"/>
      <c r="AT66" s="110">
        <f t="shared" si="52"/>
        <v>0</v>
      </c>
      <c r="AU66" s="109">
        <f t="shared" si="53"/>
        <v>0</v>
      </c>
      <c r="AV66" s="111">
        <f t="shared" si="54"/>
        <v>0</v>
      </c>
      <c r="AY66" s="119" t="s">
        <v>283</v>
      </c>
      <c r="AZ66" s="40"/>
      <c r="BA66" s="110">
        <f t="shared" si="55"/>
        <v>0</v>
      </c>
      <c r="BB66" s="109">
        <f t="shared" si="56"/>
        <v>0</v>
      </c>
      <c r="BC66" s="111">
        <f t="shared" si="57"/>
        <v>0</v>
      </c>
      <c r="BF66" s="119" t="s">
        <v>283</v>
      </c>
      <c r="BG66" s="40"/>
      <c r="BH66" s="110">
        <f t="shared" si="58"/>
        <v>0</v>
      </c>
      <c r="BI66" s="109">
        <f t="shared" si="59"/>
        <v>0</v>
      </c>
      <c r="BJ66" s="111">
        <f t="shared" si="60"/>
        <v>0</v>
      </c>
      <c r="BM66" s="119" t="s">
        <v>283</v>
      </c>
      <c r="BN66" s="40"/>
      <c r="BO66" s="110">
        <f t="shared" si="61"/>
        <v>0</v>
      </c>
      <c r="BP66" s="109">
        <f t="shared" si="62"/>
        <v>0</v>
      </c>
      <c r="BQ66" s="111">
        <f t="shared" si="63"/>
        <v>0</v>
      </c>
      <c r="BT66" s="119" t="s">
        <v>283</v>
      </c>
      <c r="BU66" s="40"/>
      <c r="BV66" s="110">
        <f t="shared" si="64"/>
        <v>0</v>
      </c>
      <c r="BW66" s="109">
        <f t="shared" si="65"/>
        <v>0</v>
      </c>
      <c r="BX66" s="111">
        <f t="shared" si="66"/>
        <v>0</v>
      </c>
      <c r="CA66" s="119" t="s">
        <v>283</v>
      </c>
      <c r="CB66" s="40"/>
      <c r="CC66" s="110">
        <f t="shared" si="67"/>
        <v>0</v>
      </c>
      <c r="CD66" s="109">
        <f t="shared" si="68"/>
        <v>0</v>
      </c>
      <c r="CE66" s="111">
        <f t="shared" si="69"/>
        <v>0</v>
      </c>
      <c r="CH66" s="119" t="s">
        <v>283</v>
      </c>
      <c r="CI66" s="40"/>
      <c r="CJ66" s="110">
        <f t="shared" si="70"/>
        <v>0</v>
      </c>
      <c r="CK66" s="109">
        <f t="shared" si="71"/>
        <v>0</v>
      </c>
      <c r="CL66" s="111">
        <f t="shared" si="72"/>
        <v>0</v>
      </c>
      <c r="CO66" s="119" t="s">
        <v>283</v>
      </c>
      <c r="CP66" s="40"/>
      <c r="CQ66" s="110">
        <f t="shared" si="73"/>
        <v>0</v>
      </c>
      <c r="CR66" s="109">
        <f t="shared" si="74"/>
        <v>0</v>
      </c>
      <c r="CS66" s="111">
        <f t="shared" si="75"/>
        <v>0</v>
      </c>
      <c r="CV66" s="119" t="s">
        <v>283</v>
      </c>
      <c r="CW66" s="40"/>
      <c r="CX66" s="110">
        <f t="shared" si="76"/>
        <v>0</v>
      </c>
      <c r="CY66" s="109">
        <f t="shared" si="77"/>
        <v>0</v>
      </c>
      <c r="CZ66" s="111">
        <f t="shared" si="78"/>
        <v>0</v>
      </c>
      <c r="DC66" s="119" t="s">
        <v>283</v>
      </c>
      <c r="DD66" s="40"/>
      <c r="DE66" s="110">
        <f t="shared" si="79"/>
        <v>0</v>
      </c>
      <c r="DF66" s="109">
        <f t="shared" si="80"/>
        <v>0</v>
      </c>
      <c r="DG66" s="111">
        <f t="shared" si="81"/>
        <v>0</v>
      </c>
      <c r="DJ66" s="119" t="s">
        <v>283</v>
      </c>
      <c r="DK66" s="40"/>
      <c r="DL66" s="110">
        <f t="shared" si="82"/>
        <v>0</v>
      </c>
      <c r="DM66" s="109">
        <f t="shared" si="83"/>
        <v>0</v>
      </c>
      <c r="DN66" s="111">
        <f t="shared" si="84"/>
        <v>0</v>
      </c>
      <c r="DQ66" s="119" t="s">
        <v>283</v>
      </c>
      <c r="DR66" s="40"/>
      <c r="DS66" s="110">
        <f t="shared" si="85"/>
        <v>0</v>
      </c>
      <c r="DT66" s="109">
        <f t="shared" si="86"/>
        <v>0</v>
      </c>
      <c r="DU66" s="111">
        <f t="shared" si="87"/>
        <v>0</v>
      </c>
    </row>
    <row r="67">
      <c r="B67" s="119" t="s">
        <v>284</v>
      </c>
      <c r="C67" s="40"/>
      <c r="D67" s="110">
        <f t="shared" si="34"/>
        <v>0</v>
      </c>
      <c r="E67" s="109">
        <f t="shared" si="35"/>
        <v>0</v>
      </c>
      <c r="F67" s="111">
        <f t="shared" si="36"/>
        <v>0</v>
      </c>
      <c r="I67" s="119" t="s">
        <v>284</v>
      </c>
      <c r="J67" s="40"/>
      <c r="K67" s="110">
        <f t="shared" si="37"/>
        <v>0</v>
      </c>
      <c r="L67" s="109">
        <f t="shared" si="38"/>
        <v>0</v>
      </c>
      <c r="M67" s="111">
        <f t="shared" si="39"/>
        <v>0</v>
      </c>
      <c r="P67" s="119" t="s">
        <v>284</v>
      </c>
      <c r="Q67" s="40"/>
      <c r="R67" s="110">
        <f t="shared" si="40"/>
        <v>0</v>
      </c>
      <c r="S67" s="109">
        <f t="shared" si="41"/>
        <v>0</v>
      </c>
      <c r="T67" s="111">
        <f t="shared" si="42"/>
        <v>0</v>
      </c>
      <c r="W67" s="119" t="s">
        <v>284</v>
      </c>
      <c r="X67" s="40"/>
      <c r="Y67" s="110">
        <f t="shared" si="43"/>
        <v>0</v>
      </c>
      <c r="Z67" s="109">
        <f t="shared" si="44"/>
        <v>0</v>
      </c>
      <c r="AA67" s="111">
        <f t="shared" si="45"/>
        <v>0</v>
      </c>
      <c r="AD67" s="119" t="s">
        <v>284</v>
      </c>
      <c r="AE67" s="40"/>
      <c r="AF67" s="110">
        <f t="shared" si="46"/>
        <v>0</v>
      </c>
      <c r="AG67" s="109">
        <f t="shared" si="47"/>
        <v>0</v>
      </c>
      <c r="AH67" s="111">
        <f t="shared" si="48"/>
        <v>0</v>
      </c>
      <c r="AK67" s="119" t="s">
        <v>284</v>
      </c>
      <c r="AL67" s="40"/>
      <c r="AM67" s="110">
        <f t="shared" si="49"/>
        <v>0</v>
      </c>
      <c r="AN67" s="109">
        <f t="shared" si="50"/>
        <v>0</v>
      </c>
      <c r="AO67" s="111">
        <f t="shared" si="51"/>
        <v>0</v>
      </c>
      <c r="AR67" s="119" t="s">
        <v>284</v>
      </c>
      <c r="AS67" s="40"/>
      <c r="AT67" s="110">
        <f t="shared" si="52"/>
        <v>0</v>
      </c>
      <c r="AU67" s="109">
        <f t="shared" si="53"/>
        <v>0</v>
      </c>
      <c r="AV67" s="111">
        <f t="shared" si="54"/>
        <v>0</v>
      </c>
      <c r="AY67" s="119" t="s">
        <v>284</v>
      </c>
      <c r="AZ67" s="40"/>
      <c r="BA67" s="110">
        <f t="shared" si="55"/>
        <v>0</v>
      </c>
      <c r="BB67" s="109">
        <f t="shared" si="56"/>
        <v>0</v>
      </c>
      <c r="BC67" s="111">
        <f t="shared" si="57"/>
        <v>0</v>
      </c>
      <c r="BF67" s="119" t="s">
        <v>284</v>
      </c>
      <c r="BG67" s="40"/>
      <c r="BH67" s="110">
        <f t="shared" si="58"/>
        <v>0</v>
      </c>
      <c r="BI67" s="109">
        <f t="shared" si="59"/>
        <v>0</v>
      </c>
      <c r="BJ67" s="111">
        <f t="shared" si="60"/>
        <v>0</v>
      </c>
      <c r="BM67" s="119" t="s">
        <v>284</v>
      </c>
      <c r="BN67" s="40"/>
      <c r="BO67" s="110">
        <f t="shared" si="61"/>
        <v>0</v>
      </c>
      <c r="BP67" s="109">
        <f t="shared" si="62"/>
        <v>0</v>
      </c>
      <c r="BQ67" s="111">
        <f t="shared" si="63"/>
        <v>0</v>
      </c>
      <c r="BT67" s="119" t="s">
        <v>284</v>
      </c>
      <c r="BU67" s="40"/>
      <c r="BV67" s="110">
        <f t="shared" si="64"/>
        <v>0</v>
      </c>
      <c r="BW67" s="109">
        <f t="shared" si="65"/>
        <v>0</v>
      </c>
      <c r="BX67" s="111">
        <f t="shared" si="66"/>
        <v>0</v>
      </c>
      <c r="CA67" s="119" t="s">
        <v>284</v>
      </c>
      <c r="CB67" s="40"/>
      <c r="CC67" s="110">
        <f t="shared" si="67"/>
        <v>0</v>
      </c>
      <c r="CD67" s="109">
        <f t="shared" si="68"/>
        <v>0</v>
      </c>
      <c r="CE67" s="111">
        <f t="shared" si="69"/>
        <v>0</v>
      </c>
      <c r="CH67" s="119" t="s">
        <v>284</v>
      </c>
      <c r="CI67" s="40"/>
      <c r="CJ67" s="110">
        <f t="shared" si="70"/>
        <v>0</v>
      </c>
      <c r="CK67" s="109">
        <f t="shared" si="71"/>
        <v>0</v>
      </c>
      <c r="CL67" s="111">
        <f t="shared" si="72"/>
        <v>0</v>
      </c>
      <c r="CO67" s="119" t="s">
        <v>284</v>
      </c>
      <c r="CP67" s="40"/>
      <c r="CQ67" s="110">
        <f t="shared" si="73"/>
        <v>0</v>
      </c>
      <c r="CR67" s="109">
        <f t="shared" si="74"/>
        <v>0</v>
      </c>
      <c r="CS67" s="111">
        <f t="shared" si="75"/>
        <v>0</v>
      </c>
      <c r="CV67" s="119" t="s">
        <v>284</v>
      </c>
      <c r="CW67" s="40"/>
      <c r="CX67" s="110">
        <f t="shared" si="76"/>
        <v>0</v>
      </c>
      <c r="CY67" s="109">
        <f t="shared" si="77"/>
        <v>0</v>
      </c>
      <c r="CZ67" s="111">
        <f t="shared" si="78"/>
        <v>0</v>
      </c>
      <c r="DC67" s="119" t="s">
        <v>284</v>
      </c>
      <c r="DD67" s="40"/>
      <c r="DE67" s="110">
        <f t="shared" si="79"/>
        <v>0</v>
      </c>
      <c r="DF67" s="109">
        <f t="shared" si="80"/>
        <v>0</v>
      </c>
      <c r="DG67" s="111">
        <f t="shared" si="81"/>
        <v>0</v>
      </c>
      <c r="DJ67" s="119" t="s">
        <v>284</v>
      </c>
      <c r="DK67" s="40"/>
      <c r="DL67" s="110">
        <f t="shared" si="82"/>
        <v>0</v>
      </c>
      <c r="DM67" s="109">
        <f t="shared" si="83"/>
        <v>0</v>
      </c>
      <c r="DN67" s="111">
        <f t="shared" si="84"/>
        <v>0</v>
      </c>
      <c r="DQ67" s="119" t="s">
        <v>284</v>
      </c>
      <c r="DR67" s="40"/>
      <c r="DS67" s="110">
        <f t="shared" si="85"/>
        <v>0</v>
      </c>
      <c r="DT67" s="109">
        <f t="shared" si="86"/>
        <v>0</v>
      </c>
      <c r="DU67" s="111">
        <f t="shared" si="87"/>
        <v>0</v>
      </c>
    </row>
    <row r="68">
      <c r="B68" s="119" t="s">
        <v>285</v>
      </c>
      <c r="C68" s="40"/>
      <c r="D68" s="110">
        <f t="shared" si="34"/>
        <v>0</v>
      </c>
      <c r="E68" s="109">
        <f t="shared" si="35"/>
        <v>0</v>
      </c>
      <c r="F68" s="111">
        <f t="shared" si="36"/>
        <v>0</v>
      </c>
      <c r="I68" s="119" t="s">
        <v>285</v>
      </c>
      <c r="J68" s="40"/>
      <c r="K68" s="110">
        <f t="shared" si="37"/>
        <v>0</v>
      </c>
      <c r="L68" s="109">
        <f t="shared" si="38"/>
        <v>0</v>
      </c>
      <c r="M68" s="111">
        <f t="shared" si="39"/>
        <v>0</v>
      </c>
      <c r="P68" s="119" t="s">
        <v>285</v>
      </c>
      <c r="Q68" s="40"/>
      <c r="R68" s="110">
        <f t="shared" si="40"/>
        <v>0</v>
      </c>
      <c r="S68" s="109">
        <f t="shared" si="41"/>
        <v>0</v>
      </c>
      <c r="T68" s="111">
        <f t="shared" si="42"/>
        <v>0</v>
      </c>
      <c r="W68" s="119" t="s">
        <v>285</v>
      </c>
      <c r="X68" s="40"/>
      <c r="Y68" s="110">
        <f t="shared" si="43"/>
        <v>0</v>
      </c>
      <c r="Z68" s="109">
        <f t="shared" si="44"/>
        <v>0</v>
      </c>
      <c r="AA68" s="111">
        <f t="shared" si="45"/>
        <v>0</v>
      </c>
      <c r="AD68" s="119" t="s">
        <v>285</v>
      </c>
      <c r="AE68" s="40"/>
      <c r="AF68" s="110">
        <f t="shared" si="46"/>
        <v>0</v>
      </c>
      <c r="AG68" s="109">
        <f t="shared" si="47"/>
        <v>0</v>
      </c>
      <c r="AH68" s="111">
        <f t="shared" si="48"/>
        <v>0</v>
      </c>
      <c r="AK68" s="119" t="s">
        <v>285</v>
      </c>
      <c r="AL68" s="40"/>
      <c r="AM68" s="110">
        <f t="shared" si="49"/>
        <v>0</v>
      </c>
      <c r="AN68" s="109">
        <f t="shared" si="50"/>
        <v>0</v>
      </c>
      <c r="AO68" s="111">
        <f t="shared" si="51"/>
        <v>0</v>
      </c>
      <c r="AR68" s="119" t="s">
        <v>285</v>
      </c>
      <c r="AS68" s="40"/>
      <c r="AT68" s="110">
        <f t="shared" si="52"/>
        <v>0</v>
      </c>
      <c r="AU68" s="109">
        <f t="shared" si="53"/>
        <v>0</v>
      </c>
      <c r="AV68" s="111">
        <f t="shared" si="54"/>
        <v>0</v>
      </c>
      <c r="AY68" s="119" t="s">
        <v>285</v>
      </c>
      <c r="AZ68" s="40"/>
      <c r="BA68" s="110">
        <f t="shared" si="55"/>
        <v>0</v>
      </c>
      <c r="BB68" s="109">
        <f t="shared" si="56"/>
        <v>0</v>
      </c>
      <c r="BC68" s="111">
        <f t="shared" si="57"/>
        <v>0</v>
      </c>
      <c r="BF68" s="119" t="s">
        <v>285</v>
      </c>
      <c r="BG68" s="40"/>
      <c r="BH68" s="110">
        <f t="shared" si="58"/>
        <v>0</v>
      </c>
      <c r="BI68" s="109">
        <f t="shared" si="59"/>
        <v>0</v>
      </c>
      <c r="BJ68" s="111">
        <f t="shared" si="60"/>
        <v>0</v>
      </c>
      <c r="BM68" s="119" t="s">
        <v>285</v>
      </c>
      <c r="BN68" s="40"/>
      <c r="BO68" s="110">
        <f t="shared" si="61"/>
        <v>0</v>
      </c>
      <c r="BP68" s="109">
        <f t="shared" si="62"/>
        <v>0</v>
      </c>
      <c r="BQ68" s="111">
        <f t="shared" si="63"/>
        <v>0</v>
      </c>
      <c r="BT68" s="119" t="s">
        <v>285</v>
      </c>
      <c r="BU68" s="40"/>
      <c r="BV68" s="110">
        <f t="shared" si="64"/>
        <v>0</v>
      </c>
      <c r="BW68" s="109">
        <f t="shared" si="65"/>
        <v>0</v>
      </c>
      <c r="BX68" s="111">
        <f t="shared" si="66"/>
        <v>0</v>
      </c>
      <c r="CA68" s="119" t="s">
        <v>285</v>
      </c>
      <c r="CB68" s="40"/>
      <c r="CC68" s="110">
        <f t="shared" si="67"/>
        <v>0</v>
      </c>
      <c r="CD68" s="109">
        <f t="shared" si="68"/>
        <v>0</v>
      </c>
      <c r="CE68" s="111">
        <f t="shared" si="69"/>
        <v>0</v>
      </c>
      <c r="CH68" s="119" t="s">
        <v>285</v>
      </c>
      <c r="CI68" s="40"/>
      <c r="CJ68" s="110">
        <f t="shared" si="70"/>
        <v>0</v>
      </c>
      <c r="CK68" s="109">
        <f t="shared" si="71"/>
        <v>0</v>
      </c>
      <c r="CL68" s="111">
        <f t="shared" si="72"/>
        <v>0</v>
      </c>
      <c r="CO68" s="119" t="s">
        <v>285</v>
      </c>
      <c r="CP68" s="40"/>
      <c r="CQ68" s="110">
        <f t="shared" si="73"/>
        <v>0</v>
      </c>
      <c r="CR68" s="109">
        <f t="shared" si="74"/>
        <v>0</v>
      </c>
      <c r="CS68" s="111">
        <f t="shared" si="75"/>
        <v>0</v>
      </c>
      <c r="CV68" s="119" t="s">
        <v>285</v>
      </c>
      <c r="CW68" s="40"/>
      <c r="CX68" s="110">
        <f t="shared" si="76"/>
        <v>0</v>
      </c>
      <c r="CY68" s="109">
        <f t="shared" si="77"/>
        <v>0</v>
      </c>
      <c r="CZ68" s="111">
        <f t="shared" si="78"/>
        <v>0</v>
      </c>
      <c r="DC68" s="119" t="s">
        <v>285</v>
      </c>
      <c r="DD68" s="40"/>
      <c r="DE68" s="110">
        <f t="shared" si="79"/>
        <v>0</v>
      </c>
      <c r="DF68" s="109">
        <f t="shared" si="80"/>
        <v>0</v>
      </c>
      <c r="DG68" s="111">
        <f t="shared" si="81"/>
        <v>0</v>
      </c>
      <c r="DJ68" s="119" t="s">
        <v>285</v>
      </c>
      <c r="DK68" s="40"/>
      <c r="DL68" s="110">
        <f t="shared" si="82"/>
        <v>0</v>
      </c>
      <c r="DM68" s="109">
        <f t="shared" si="83"/>
        <v>0</v>
      </c>
      <c r="DN68" s="111">
        <f t="shared" si="84"/>
        <v>0</v>
      </c>
      <c r="DQ68" s="119" t="s">
        <v>285</v>
      </c>
      <c r="DR68" s="40"/>
      <c r="DS68" s="110">
        <f t="shared" si="85"/>
        <v>0</v>
      </c>
      <c r="DT68" s="109">
        <f t="shared" si="86"/>
        <v>0</v>
      </c>
      <c r="DU68" s="111">
        <f t="shared" si="87"/>
        <v>0</v>
      </c>
    </row>
    <row r="69">
      <c r="B69" s="119" t="s">
        <v>286</v>
      </c>
      <c r="C69" s="40"/>
      <c r="D69" s="110">
        <f t="shared" si="34"/>
        <v>0</v>
      </c>
      <c r="E69" s="109">
        <f t="shared" si="35"/>
        <v>0</v>
      </c>
      <c r="F69" s="111">
        <f t="shared" si="36"/>
        <v>0</v>
      </c>
      <c r="I69" s="119" t="s">
        <v>286</v>
      </c>
      <c r="J69" s="40"/>
      <c r="K69" s="110">
        <f t="shared" si="37"/>
        <v>0</v>
      </c>
      <c r="L69" s="109">
        <f t="shared" si="38"/>
        <v>0</v>
      </c>
      <c r="M69" s="111">
        <f t="shared" si="39"/>
        <v>0</v>
      </c>
      <c r="P69" s="119" t="s">
        <v>286</v>
      </c>
      <c r="Q69" s="40"/>
      <c r="R69" s="110">
        <f t="shared" si="40"/>
        <v>0</v>
      </c>
      <c r="S69" s="109">
        <f t="shared" si="41"/>
        <v>0</v>
      </c>
      <c r="T69" s="111">
        <f t="shared" si="42"/>
        <v>0</v>
      </c>
      <c r="W69" s="119" t="s">
        <v>286</v>
      </c>
      <c r="X69" s="40"/>
      <c r="Y69" s="110">
        <f t="shared" si="43"/>
        <v>0</v>
      </c>
      <c r="Z69" s="109">
        <f t="shared" si="44"/>
        <v>0</v>
      </c>
      <c r="AA69" s="111">
        <f t="shared" si="45"/>
        <v>0</v>
      </c>
      <c r="AD69" s="119" t="s">
        <v>286</v>
      </c>
      <c r="AE69" s="40"/>
      <c r="AF69" s="110">
        <f t="shared" si="46"/>
        <v>0</v>
      </c>
      <c r="AG69" s="109">
        <f t="shared" si="47"/>
        <v>0</v>
      </c>
      <c r="AH69" s="111">
        <f t="shared" si="48"/>
        <v>0</v>
      </c>
      <c r="AK69" s="119" t="s">
        <v>286</v>
      </c>
      <c r="AL69" s="40"/>
      <c r="AM69" s="110">
        <f t="shared" si="49"/>
        <v>0</v>
      </c>
      <c r="AN69" s="109">
        <f t="shared" si="50"/>
        <v>0</v>
      </c>
      <c r="AO69" s="111">
        <f t="shared" si="51"/>
        <v>0</v>
      </c>
      <c r="AR69" s="119" t="s">
        <v>286</v>
      </c>
      <c r="AS69" s="40"/>
      <c r="AT69" s="110">
        <f t="shared" si="52"/>
        <v>0</v>
      </c>
      <c r="AU69" s="109">
        <f t="shared" si="53"/>
        <v>0</v>
      </c>
      <c r="AV69" s="111">
        <f t="shared" si="54"/>
        <v>0</v>
      </c>
      <c r="AY69" s="119" t="s">
        <v>286</v>
      </c>
      <c r="AZ69" s="40"/>
      <c r="BA69" s="110">
        <f t="shared" si="55"/>
        <v>0</v>
      </c>
      <c r="BB69" s="109">
        <f t="shared" si="56"/>
        <v>0</v>
      </c>
      <c r="BC69" s="111">
        <f t="shared" si="57"/>
        <v>0</v>
      </c>
      <c r="BF69" s="119" t="s">
        <v>286</v>
      </c>
      <c r="BG69" s="40"/>
      <c r="BH69" s="110">
        <f t="shared" si="58"/>
        <v>0</v>
      </c>
      <c r="BI69" s="109">
        <f t="shared" si="59"/>
        <v>0</v>
      </c>
      <c r="BJ69" s="111">
        <f t="shared" si="60"/>
        <v>0</v>
      </c>
      <c r="BM69" s="119" t="s">
        <v>286</v>
      </c>
      <c r="BN69" s="40"/>
      <c r="BO69" s="110">
        <f t="shared" si="61"/>
        <v>0</v>
      </c>
      <c r="BP69" s="109">
        <f t="shared" si="62"/>
        <v>0</v>
      </c>
      <c r="BQ69" s="111">
        <f t="shared" si="63"/>
        <v>0</v>
      </c>
      <c r="BT69" s="119" t="s">
        <v>286</v>
      </c>
      <c r="BU69" s="40"/>
      <c r="BV69" s="110">
        <f t="shared" si="64"/>
        <v>0</v>
      </c>
      <c r="BW69" s="109">
        <f t="shared" si="65"/>
        <v>0</v>
      </c>
      <c r="BX69" s="111">
        <f t="shared" si="66"/>
        <v>0</v>
      </c>
      <c r="CA69" s="119" t="s">
        <v>286</v>
      </c>
      <c r="CB69" s="40"/>
      <c r="CC69" s="110">
        <f t="shared" si="67"/>
        <v>0</v>
      </c>
      <c r="CD69" s="109">
        <f t="shared" si="68"/>
        <v>0</v>
      </c>
      <c r="CE69" s="111">
        <f t="shared" si="69"/>
        <v>0</v>
      </c>
      <c r="CH69" s="119" t="s">
        <v>286</v>
      </c>
      <c r="CI69" s="40"/>
      <c r="CJ69" s="110">
        <f t="shared" si="70"/>
        <v>0</v>
      </c>
      <c r="CK69" s="109">
        <f t="shared" si="71"/>
        <v>0</v>
      </c>
      <c r="CL69" s="111">
        <f t="shared" si="72"/>
        <v>0</v>
      </c>
      <c r="CO69" s="119" t="s">
        <v>286</v>
      </c>
      <c r="CP69" s="40"/>
      <c r="CQ69" s="110">
        <f t="shared" si="73"/>
        <v>0</v>
      </c>
      <c r="CR69" s="109">
        <f t="shared" si="74"/>
        <v>0</v>
      </c>
      <c r="CS69" s="111">
        <f t="shared" si="75"/>
        <v>0</v>
      </c>
      <c r="CV69" s="119" t="s">
        <v>286</v>
      </c>
      <c r="CW69" s="40"/>
      <c r="CX69" s="110">
        <f t="shared" si="76"/>
        <v>0</v>
      </c>
      <c r="CY69" s="109">
        <f t="shared" si="77"/>
        <v>0</v>
      </c>
      <c r="CZ69" s="111">
        <f t="shared" si="78"/>
        <v>0</v>
      </c>
      <c r="DC69" s="119" t="s">
        <v>286</v>
      </c>
      <c r="DD69" s="40"/>
      <c r="DE69" s="110">
        <f t="shared" si="79"/>
        <v>0</v>
      </c>
      <c r="DF69" s="109">
        <f t="shared" si="80"/>
        <v>0</v>
      </c>
      <c r="DG69" s="111">
        <f t="shared" si="81"/>
        <v>0</v>
      </c>
      <c r="DJ69" s="119" t="s">
        <v>286</v>
      </c>
      <c r="DK69" s="40"/>
      <c r="DL69" s="110">
        <f t="shared" si="82"/>
        <v>0</v>
      </c>
      <c r="DM69" s="109">
        <f t="shared" si="83"/>
        <v>0</v>
      </c>
      <c r="DN69" s="111">
        <f t="shared" si="84"/>
        <v>0</v>
      </c>
      <c r="DQ69" s="119" t="s">
        <v>286</v>
      </c>
      <c r="DR69" s="40"/>
      <c r="DS69" s="110">
        <f t="shared" si="85"/>
        <v>0</v>
      </c>
      <c r="DT69" s="109">
        <f t="shared" si="86"/>
        <v>0</v>
      </c>
      <c r="DU69" s="111">
        <f t="shared" si="87"/>
        <v>0</v>
      </c>
    </row>
    <row r="70">
      <c r="B70" s="119" t="s">
        <v>287</v>
      </c>
      <c r="C70" s="40"/>
      <c r="D70" s="110">
        <f t="shared" si="34"/>
        <v>0</v>
      </c>
      <c r="E70" s="109">
        <f t="shared" si="35"/>
        <v>0</v>
      </c>
      <c r="F70" s="111">
        <f t="shared" si="36"/>
        <v>0</v>
      </c>
      <c r="I70" s="119" t="s">
        <v>287</v>
      </c>
      <c r="J70" s="40"/>
      <c r="K70" s="110">
        <f t="shared" si="37"/>
        <v>0</v>
      </c>
      <c r="L70" s="109">
        <f t="shared" si="38"/>
        <v>0</v>
      </c>
      <c r="M70" s="111">
        <f t="shared" si="39"/>
        <v>0</v>
      </c>
      <c r="P70" s="119" t="s">
        <v>287</v>
      </c>
      <c r="Q70" s="40"/>
      <c r="R70" s="110">
        <f t="shared" si="40"/>
        <v>0</v>
      </c>
      <c r="S70" s="109">
        <f t="shared" si="41"/>
        <v>0</v>
      </c>
      <c r="T70" s="111">
        <f t="shared" si="42"/>
        <v>0</v>
      </c>
      <c r="W70" s="119" t="s">
        <v>287</v>
      </c>
      <c r="X70" s="40"/>
      <c r="Y70" s="110">
        <f t="shared" si="43"/>
        <v>0</v>
      </c>
      <c r="Z70" s="109">
        <f t="shared" si="44"/>
        <v>0</v>
      </c>
      <c r="AA70" s="111">
        <f t="shared" si="45"/>
        <v>0</v>
      </c>
      <c r="AD70" s="119" t="s">
        <v>287</v>
      </c>
      <c r="AE70" s="40"/>
      <c r="AF70" s="110">
        <f t="shared" si="46"/>
        <v>0</v>
      </c>
      <c r="AG70" s="109">
        <f t="shared" si="47"/>
        <v>0</v>
      </c>
      <c r="AH70" s="111">
        <f t="shared" si="48"/>
        <v>0</v>
      </c>
      <c r="AK70" s="119" t="s">
        <v>287</v>
      </c>
      <c r="AL70" s="40"/>
      <c r="AM70" s="110">
        <f t="shared" si="49"/>
        <v>0</v>
      </c>
      <c r="AN70" s="109">
        <f t="shared" si="50"/>
        <v>0</v>
      </c>
      <c r="AO70" s="111">
        <f t="shared" si="51"/>
        <v>0</v>
      </c>
      <c r="AR70" s="119" t="s">
        <v>287</v>
      </c>
      <c r="AS70" s="40"/>
      <c r="AT70" s="110">
        <f t="shared" si="52"/>
        <v>0</v>
      </c>
      <c r="AU70" s="109">
        <f t="shared" si="53"/>
        <v>0</v>
      </c>
      <c r="AV70" s="111">
        <f t="shared" si="54"/>
        <v>0</v>
      </c>
      <c r="AY70" s="119" t="s">
        <v>287</v>
      </c>
      <c r="AZ70" s="40"/>
      <c r="BA70" s="110">
        <f t="shared" si="55"/>
        <v>0</v>
      </c>
      <c r="BB70" s="109">
        <f t="shared" si="56"/>
        <v>0</v>
      </c>
      <c r="BC70" s="111">
        <f t="shared" si="57"/>
        <v>0</v>
      </c>
      <c r="BF70" s="119" t="s">
        <v>287</v>
      </c>
      <c r="BG70" s="40"/>
      <c r="BH70" s="110">
        <f t="shared" si="58"/>
        <v>0</v>
      </c>
      <c r="BI70" s="109">
        <f t="shared" si="59"/>
        <v>0</v>
      </c>
      <c r="BJ70" s="111">
        <f t="shared" si="60"/>
        <v>0</v>
      </c>
      <c r="BM70" s="119" t="s">
        <v>287</v>
      </c>
      <c r="BN70" s="40"/>
      <c r="BO70" s="110">
        <f t="shared" si="61"/>
        <v>0</v>
      </c>
      <c r="BP70" s="109">
        <f t="shared" si="62"/>
        <v>0</v>
      </c>
      <c r="BQ70" s="111">
        <f t="shared" si="63"/>
        <v>0</v>
      </c>
      <c r="BT70" s="119" t="s">
        <v>287</v>
      </c>
      <c r="BU70" s="40"/>
      <c r="BV70" s="110">
        <f t="shared" si="64"/>
        <v>0</v>
      </c>
      <c r="BW70" s="109">
        <f t="shared" si="65"/>
        <v>0</v>
      </c>
      <c r="BX70" s="111">
        <f t="shared" si="66"/>
        <v>0</v>
      </c>
      <c r="CA70" s="119" t="s">
        <v>287</v>
      </c>
      <c r="CB70" s="40"/>
      <c r="CC70" s="110">
        <f t="shared" si="67"/>
        <v>0</v>
      </c>
      <c r="CD70" s="109">
        <f t="shared" si="68"/>
        <v>0</v>
      </c>
      <c r="CE70" s="111">
        <f t="shared" si="69"/>
        <v>0</v>
      </c>
      <c r="CH70" s="119" t="s">
        <v>287</v>
      </c>
      <c r="CI70" s="40"/>
      <c r="CJ70" s="110">
        <f t="shared" si="70"/>
        <v>0</v>
      </c>
      <c r="CK70" s="109">
        <f t="shared" si="71"/>
        <v>0</v>
      </c>
      <c r="CL70" s="111">
        <f t="shared" si="72"/>
        <v>0</v>
      </c>
      <c r="CO70" s="119" t="s">
        <v>287</v>
      </c>
      <c r="CP70" s="40"/>
      <c r="CQ70" s="110">
        <f t="shared" si="73"/>
        <v>0</v>
      </c>
      <c r="CR70" s="109">
        <f t="shared" si="74"/>
        <v>0</v>
      </c>
      <c r="CS70" s="111">
        <f t="shared" si="75"/>
        <v>0</v>
      </c>
      <c r="CV70" s="119" t="s">
        <v>287</v>
      </c>
      <c r="CW70" s="40"/>
      <c r="CX70" s="110">
        <f t="shared" si="76"/>
        <v>0</v>
      </c>
      <c r="CY70" s="109">
        <f t="shared" si="77"/>
        <v>0</v>
      </c>
      <c r="CZ70" s="111">
        <f t="shared" si="78"/>
        <v>0</v>
      </c>
      <c r="DC70" s="119" t="s">
        <v>287</v>
      </c>
      <c r="DD70" s="40"/>
      <c r="DE70" s="110">
        <f t="shared" si="79"/>
        <v>0</v>
      </c>
      <c r="DF70" s="109">
        <f t="shared" si="80"/>
        <v>0</v>
      </c>
      <c r="DG70" s="111">
        <f t="shared" si="81"/>
        <v>0</v>
      </c>
      <c r="DJ70" s="119" t="s">
        <v>287</v>
      </c>
      <c r="DK70" s="40"/>
      <c r="DL70" s="110">
        <f t="shared" si="82"/>
        <v>0</v>
      </c>
      <c r="DM70" s="109">
        <f t="shared" si="83"/>
        <v>0</v>
      </c>
      <c r="DN70" s="111">
        <f t="shared" si="84"/>
        <v>0</v>
      </c>
      <c r="DQ70" s="119" t="s">
        <v>287</v>
      </c>
      <c r="DR70" s="40"/>
      <c r="DS70" s="110">
        <f t="shared" si="85"/>
        <v>0</v>
      </c>
      <c r="DT70" s="109">
        <f t="shared" si="86"/>
        <v>0</v>
      </c>
      <c r="DU70" s="111">
        <f t="shared" si="87"/>
        <v>0</v>
      </c>
    </row>
    <row r="71">
      <c r="B71" s="119" t="s">
        <v>288</v>
      </c>
      <c r="C71" s="40"/>
      <c r="D71" s="110">
        <f t="shared" si="34"/>
        <v>0</v>
      </c>
      <c r="E71" s="109">
        <f t="shared" si="35"/>
        <v>0</v>
      </c>
      <c r="F71" s="111">
        <f t="shared" si="36"/>
        <v>0</v>
      </c>
      <c r="I71" s="119" t="s">
        <v>288</v>
      </c>
      <c r="J71" s="40"/>
      <c r="K71" s="110">
        <f t="shared" si="37"/>
        <v>0</v>
      </c>
      <c r="L71" s="109">
        <f t="shared" si="38"/>
        <v>0</v>
      </c>
      <c r="M71" s="111">
        <f t="shared" si="39"/>
        <v>0</v>
      </c>
      <c r="P71" s="119" t="s">
        <v>288</v>
      </c>
      <c r="Q71" s="40"/>
      <c r="R71" s="110">
        <f t="shared" si="40"/>
        <v>0</v>
      </c>
      <c r="S71" s="109">
        <f t="shared" si="41"/>
        <v>0</v>
      </c>
      <c r="T71" s="111">
        <f t="shared" si="42"/>
        <v>0</v>
      </c>
      <c r="W71" s="119" t="s">
        <v>288</v>
      </c>
      <c r="X71" s="40"/>
      <c r="Y71" s="110">
        <f t="shared" si="43"/>
        <v>0</v>
      </c>
      <c r="Z71" s="109">
        <f t="shared" si="44"/>
        <v>0</v>
      </c>
      <c r="AA71" s="111">
        <f t="shared" si="45"/>
        <v>0</v>
      </c>
      <c r="AD71" s="119" t="s">
        <v>288</v>
      </c>
      <c r="AE71" s="40"/>
      <c r="AF71" s="110">
        <f t="shared" si="46"/>
        <v>0</v>
      </c>
      <c r="AG71" s="109">
        <f t="shared" si="47"/>
        <v>0</v>
      </c>
      <c r="AH71" s="111">
        <f t="shared" si="48"/>
        <v>0</v>
      </c>
      <c r="AK71" s="119" t="s">
        <v>288</v>
      </c>
      <c r="AL71" s="40"/>
      <c r="AM71" s="110">
        <f t="shared" si="49"/>
        <v>0</v>
      </c>
      <c r="AN71" s="109">
        <f t="shared" si="50"/>
        <v>0</v>
      </c>
      <c r="AO71" s="111">
        <f t="shared" si="51"/>
        <v>0</v>
      </c>
      <c r="AR71" s="119" t="s">
        <v>288</v>
      </c>
      <c r="AS71" s="40"/>
      <c r="AT71" s="110">
        <f t="shared" si="52"/>
        <v>0</v>
      </c>
      <c r="AU71" s="109">
        <f t="shared" si="53"/>
        <v>0</v>
      </c>
      <c r="AV71" s="111">
        <f t="shared" si="54"/>
        <v>0</v>
      </c>
      <c r="AY71" s="119" t="s">
        <v>288</v>
      </c>
      <c r="AZ71" s="40"/>
      <c r="BA71" s="110">
        <f t="shared" si="55"/>
        <v>0</v>
      </c>
      <c r="BB71" s="109">
        <f t="shared" si="56"/>
        <v>0</v>
      </c>
      <c r="BC71" s="111">
        <f t="shared" si="57"/>
        <v>0</v>
      </c>
      <c r="BF71" s="119" t="s">
        <v>288</v>
      </c>
      <c r="BG71" s="40"/>
      <c r="BH71" s="110">
        <f t="shared" si="58"/>
        <v>0</v>
      </c>
      <c r="BI71" s="109">
        <f t="shared" si="59"/>
        <v>0</v>
      </c>
      <c r="BJ71" s="111">
        <f t="shared" si="60"/>
        <v>0</v>
      </c>
      <c r="BM71" s="119" t="s">
        <v>288</v>
      </c>
      <c r="BN71" s="40"/>
      <c r="BO71" s="110">
        <f t="shared" si="61"/>
        <v>0</v>
      </c>
      <c r="BP71" s="109">
        <f t="shared" si="62"/>
        <v>0</v>
      </c>
      <c r="BQ71" s="111">
        <f t="shared" si="63"/>
        <v>0</v>
      </c>
      <c r="BT71" s="119" t="s">
        <v>288</v>
      </c>
      <c r="BU71" s="40"/>
      <c r="BV71" s="110">
        <f t="shared" si="64"/>
        <v>0</v>
      </c>
      <c r="BW71" s="109">
        <f t="shared" si="65"/>
        <v>0</v>
      </c>
      <c r="BX71" s="111">
        <f t="shared" si="66"/>
        <v>0</v>
      </c>
      <c r="CA71" s="119" t="s">
        <v>288</v>
      </c>
      <c r="CB71" s="40"/>
      <c r="CC71" s="110">
        <f t="shared" si="67"/>
        <v>0</v>
      </c>
      <c r="CD71" s="109">
        <f t="shared" si="68"/>
        <v>0</v>
      </c>
      <c r="CE71" s="111">
        <f t="shared" si="69"/>
        <v>0</v>
      </c>
      <c r="CH71" s="119" t="s">
        <v>288</v>
      </c>
      <c r="CI71" s="40"/>
      <c r="CJ71" s="110">
        <f t="shared" si="70"/>
        <v>0</v>
      </c>
      <c r="CK71" s="109">
        <f t="shared" si="71"/>
        <v>0</v>
      </c>
      <c r="CL71" s="111">
        <f t="shared" si="72"/>
        <v>0</v>
      </c>
      <c r="CO71" s="119" t="s">
        <v>288</v>
      </c>
      <c r="CP71" s="40"/>
      <c r="CQ71" s="110">
        <f t="shared" si="73"/>
        <v>0</v>
      </c>
      <c r="CR71" s="109">
        <f t="shared" si="74"/>
        <v>0</v>
      </c>
      <c r="CS71" s="111">
        <f t="shared" si="75"/>
        <v>0</v>
      </c>
      <c r="CV71" s="119" t="s">
        <v>288</v>
      </c>
      <c r="CW71" s="40"/>
      <c r="CX71" s="110">
        <f t="shared" si="76"/>
        <v>0</v>
      </c>
      <c r="CY71" s="109">
        <f t="shared" si="77"/>
        <v>0</v>
      </c>
      <c r="CZ71" s="111">
        <f t="shared" si="78"/>
        <v>0</v>
      </c>
      <c r="DC71" s="119" t="s">
        <v>288</v>
      </c>
      <c r="DD71" s="40"/>
      <c r="DE71" s="110">
        <f t="shared" si="79"/>
        <v>0</v>
      </c>
      <c r="DF71" s="109">
        <f t="shared" si="80"/>
        <v>0</v>
      </c>
      <c r="DG71" s="111">
        <f t="shared" si="81"/>
        <v>0</v>
      </c>
      <c r="DJ71" s="119" t="s">
        <v>288</v>
      </c>
      <c r="DK71" s="40"/>
      <c r="DL71" s="110">
        <f t="shared" si="82"/>
        <v>0</v>
      </c>
      <c r="DM71" s="109">
        <f t="shared" si="83"/>
        <v>0</v>
      </c>
      <c r="DN71" s="111">
        <f t="shared" si="84"/>
        <v>0</v>
      </c>
      <c r="DQ71" s="119" t="s">
        <v>288</v>
      </c>
      <c r="DR71" s="40"/>
      <c r="DS71" s="110">
        <f t="shared" si="85"/>
        <v>0</v>
      </c>
      <c r="DT71" s="109">
        <f t="shared" si="86"/>
        <v>0</v>
      </c>
      <c r="DU71" s="111">
        <f t="shared" si="87"/>
        <v>0</v>
      </c>
    </row>
    <row r="72">
      <c r="B72" s="119" t="s">
        <v>289</v>
      </c>
      <c r="C72" s="40"/>
      <c r="D72" s="110">
        <f t="shared" si="34"/>
        <v>0</v>
      </c>
      <c r="E72" s="109">
        <f t="shared" si="35"/>
        <v>0</v>
      </c>
      <c r="F72" s="111">
        <f t="shared" si="36"/>
        <v>0</v>
      </c>
      <c r="I72" s="119" t="s">
        <v>289</v>
      </c>
      <c r="J72" s="40"/>
      <c r="K72" s="110">
        <f t="shared" si="37"/>
        <v>0</v>
      </c>
      <c r="L72" s="109">
        <f t="shared" si="38"/>
        <v>0</v>
      </c>
      <c r="M72" s="111">
        <f t="shared" si="39"/>
        <v>0</v>
      </c>
      <c r="P72" s="119" t="s">
        <v>289</v>
      </c>
      <c r="Q72" s="40"/>
      <c r="R72" s="110">
        <f t="shared" si="40"/>
        <v>0</v>
      </c>
      <c r="S72" s="109">
        <f t="shared" si="41"/>
        <v>0</v>
      </c>
      <c r="T72" s="111">
        <f t="shared" si="42"/>
        <v>0</v>
      </c>
      <c r="W72" s="119" t="s">
        <v>289</v>
      </c>
      <c r="X72" s="40"/>
      <c r="Y72" s="110">
        <f t="shared" si="43"/>
        <v>0</v>
      </c>
      <c r="Z72" s="109">
        <f t="shared" si="44"/>
        <v>0</v>
      </c>
      <c r="AA72" s="111">
        <f t="shared" si="45"/>
        <v>0</v>
      </c>
      <c r="AD72" s="119" t="s">
        <v>289</v>
      </c>
      <c r="AE72" s="40"/>
      <c r="AF72" s="110">
        <f t="shared" si="46"/>
        <v>0</v>
      </c>
      <c r="AG72" s="109">
        <f t="shared" si="47"/>
        <v>0</v>
      </c>
      <c r="AH72" s="111">
        <f t="shared" si="48"/>
        <v>0</v>
      </c>
      <c r="AK72" s="119" t="s">
        <v>289</v>
      </c>
      <c r="AL72" s="40"/>
      <c r="AM72" s="110">
        <f t="shared" si="49"/>
        <v>0</v>
      </c>
      <c r="AN72" s="109">
        <f t="shared" si="50"/>
        <v>0</v>
      </c>
      <c r="AO72" s="111">
        <f t="shared" si="51"/>
        <v>0</v>
      </c>
      <c r="AR72" s="119" t="s">
        <v>289</v>
      </c>
      <c r="AS72" s="40"/>
      <c r="AT72" s="110">
        <f t="shared" si="52"/>
        <v>0</v>
      </c>
      <c r="AU72" s="109">
        <f t="shared" si="53"/>
        <v>0</v>
      </c>
      <c r="AV72" s="111">
        <f t="shared" si="54"/>
        <v>0</v>
      </c>
      <c r="AY72" s="119" t="s">
        <v>289</v>
      </c>
      <c r="AZ72" s="40"/>
      <c r="BA72" s="110">
        <f t="shared" si="55"/>
        <v>0</v>
      </c>
      <c r="BB72" s="109">
        <f t="shared" si="56"/>
        <v>0</v>
      </c>
      <c r="BC72" s="111">
        <f t="shared" si="57"/>
        <v>0</v>
      </c>
      <c r="BF72" s="119" t="s">
        <v>289</v>
      </c>
      <c r="BG72" s="40"/>
      <c r="BH72" s="110">
        <f t="shared" si="58"/>
        <v>0</v>
      </c>
      <c r="BI72" s="109">
        <f t="shared" si="59"/>
        <v>0</v>
      </c>
      <c r="BJ72" s="111">
        <f t="shared" si="60"/>
        <v>0</v>
      </c>
      <c r="BM72" s="119" t="s">
        <v>289</v>
      </c>
      <c r="BN72" s="40"/>
      <c r="BO72" s="110">
        <f t="shared" si="61"/>
        <v>0</v>
      </c>
      <c r="BP72" s="109">
        <f t="shared" si="62"/>
        <v>0</v>
      </c>
      <c r="BQ72" s="111">
        <f t="shared" si="63"/>
        <v>0</v>
      </c>
      <c r="BT72" s="119" t="s">
        <v>289</v>
      </c>
      <c r="BU72" s="40"/>
      <c r="BV72" s="110">
        <f t="shared" si="64"/>
        <v>0</v>
      </c>
      <c r="BW72" s="109">
        <f t="shared" si="65"/>
        <v>0</v>
      </c>
      <c r="BX72" s="111">
        <f t="shared" si="66"/>
        <v>0</v>
      </c>
      <c r="CA72" s="119" t="s">
        <v>289</v>
      </c>
      <c r="CB72" s="40"/>
      <c r="CC72" s="110">
        <f t="shared" si="67"/>
        <v>0</v>
      </c>
      <c r="CD72" s="109">
        <f t="shared" si="68"/>
        <v>0</v>
      </c>
      <c r="CE72" s="111">
        <f t="shared" si="69"/>
        <v>0</v>
      </c>
      <c r="CH72" s="119" t="s">
        <v>289</v>
      </c>
      <c r="CI72" s="40"/>
      <c r="CJ72" s="110">
        <f t="shared" si="70"/>
        <v>0</v>
      </c>
      <c r="CK72" s="109">
        <f t="shared" si="71"/>
        <v>0</v>
      </c>
      <c r="CL72" s="111">
        <f t="shared" si="72"/>
        <v>0</v>
      </c>
      <c r="CO72" s="119" t="s">
        <v>289</v>
      </c>
      <c r="CP72" s="40"/>
      <c r="CQ72" s="110">
        <f t="shared" si="73"/>
        <v>0</v>
      </c>
      <c r="CR72" s="109">
        <f t="shared" si="74"/>
        <v>0</v>
      </c>
      <c r="CS72" s="111">
        <f t="shared" si="75"/>
        <v>0</v>
      </c>
      <c r="CV72" s="119" t="s">
        <v>289</v>
      </c>
      <c r="CW72" s="40"/>
      <c r="CX72" s="110">
        <f t="shared" si="76"/>
        <v>0</v>
      </c>
      <c r="CY72" s="109">
        <f t="shared" si="77"/>
        <v>0</v>
      </c>
      <c r="CZ72" s="111">
        <f t="shared" si="78"/>
        <v>0</v>
      </c>
      <c r="DC72" s="119" t="s">
        <v>289</v>
      </c>
      <c r="DD72" s="40"/>
      <c r="DE72" s="110">
        <f t="shared" si="79"/>
        <v>0</v>
      </c>
      <c r="DF72" s="109">
        <f t="shared" si="80"/>
        <v>0</v>
      </c>
      <c r="DG72" s="111">
        <f t="shared" si="81"/>
        <v>0</v>
      </c>
      <c r="DJ72" s="119" t="s">
        <v>289</v>
      </c>
      <c r="DK72" s="40"/>
      <c r="DL72" s="110">
        <f t="shared" si="82"/>
        <v>0</v>
      </c>
      <c r="DM72" s="109">
        <f t="shared" si="83"/>
        <v>0</v>
      </c>
      <c r="DN72" s="111">
        <f t="shared" si="84"/>
        <v>0</v>
      </c>
      <c r="DQ72" s="119" t="s">
        <v>289</v>
      </c>
      <c r="DR72" s="40"/>
      <c r="DS72" s="110">
        <f t="shared" si="85"/>
        <v>0</v>
      </c>
      <c r="DT72" s="109">
        <f t="shared" si="86"/>
        <v>0</v>
      </c>
      <c r="DU72" s="111">
        <f t="shared" si="87"/>
        <v>0</v>
      </c>
    </row>
    <row r="73">
      <c r="B73" s="119" t="s">
        <v>290</v>
      </c>
      <c r="C73" s="40"/>
      <c r="D73" s="110">
        <f t="shared" si="34"/>
        <v>0</v>
      </c>
      <c r="E73" s="109">
        <f t="shared" si="35"/>
        <v>0</v>
      </c>
      <c r="F73" s="111">
        <f t="shared" si="36"/>
        <v>0</v>
      </c>
      <c r="I73" s="119" t="s">
        <v>290</v>
      </c>
      <c r="J73" s="40"/>
      <c r="K73" s="110">
        <f t="shared" si="37"/>
        <v>0</v>
      </c>
      <c r="L73" s="109">
        <f t="shared" si="38"/>
        <v>0</v>
      </c>
      <c r="M73" s="111">
        <f t="shared" si="39"/>
        <v>0</v>
      </c>
      <c r="P73" s="119" t="s">
        <v>290</v>
      </c>
      <c r="Q73" s="40"/>
      <c r="R73" s="110">
        <f t="shared" si="40"/>
        <v>0</v>
      </c>
      <c r="S73" s="109">
        <f t="shared" si="41"/>
        <v>0</v>
      </c>
      <c r="T73" s="111">
        <f t="shared" si="42"/>
        <v>0</v>
      </c>
      <c r="W73" s="119" t="s">
        <v>290</v>
      </c>
      <c r="X73" s="40"/>
      <c r="Y73" s="110">
        <f t="shared" si="43"/>
        <v>0</v>
      </c>
      <c r="Z73" s="109">
        <f t="shared" si="44"/>
        <v>0</v>
      </c>
      <c r="AA73" s="111">
        <f t="shared" si="45"/>
        <v>0</v>
      </c>
      <c r="AD73" s="119" t="s">
        <v>290</v>
      </c>
      <c r="AE73" s="40"/>
      <c r="AF73" s="110">
        <f t="shared" si="46"/>
        <v>0</v>
      </c>
      <c r="AG73" s="109">
        <f t="shared" si="47"/>
        <v>0</v>
      </c>
      <c r="AH73" s="111">
        <f t="shared" si="48"/>
        <v>0</v>
      </c>
      <c r="AK73" s="119" t="s">
        <v>290</v>
      </c>
      <c r="AL73" s="40"/>
      <c r="AM73" s="110">
        <f t="shared" si="49"/>
        <v>0</v>
      </c>
      <c r="AN73" s="109">
        <f t="shared" si="50"/>
        <v>0</v>
      </c>
      <c r="AO73" s="111">
        <f t="shared" si="51"/>
        <v>0</v>
      </c>
      <c r="AR73" s="119" t="s">
        <v>290</v>
      </c>
      <c r="AS73" s="40"/>
      <c r="AT73" s="110">
        <f t="shared" si="52"/>
        <v>0</v>
      </c>
      <c r="AU73" s="109">
        <f t="shared" si="53"/>
        <v>0</v>
      </c>
      <c r="AV73" s="111">
        <f t="shared" si="54"/>
        <v>0</v>
      </c>
      <c r="AY73" s="119" t="s">
        <v>290</v>
      </c>
      <c r="AZ73" s="40"/>
      <c r="BA73" s="110">
        <f t="shared" si="55"/>
        <v>0</v>
      </c>
      <c r="BB73" s="109">
        <f t="shared" si="56"/>
        <v>0</v>
      </c>
      <c r="BC73" s="111">
        <f t="shared" si="57"/>
        <v>0</v>
      </c>
      <c r="BF73" s="119" t="s">
        <v>290</v>
      </c>
      <c r="BG73" s="40"/>
      <c r="BH73" s="110">
        <f t="shared" si="58"/>
        <v>0</v>
      </c>
      <c r="BI73" s="109">
        <f t="shared" si="59"/>
        <v>0</v>
      </c>
      <c r="BJ73" s="111">
        <f t="shared" si="60"/>
        <v>0</v>
      </c>
      <c r="BM73" s="119" t="s">
        <v>290</v>
      </c>
      <c r="BN73" s="40"/>
      <c r="BO73" s="110">
        <f t="shared" si="61"/>
        <v>0</v>
      </c>
      <c r="BP73" s="109">
        <f t="shared" si="62"/>
        <v>0</v>
      </c>
      <c r="BQ73" s="111">
        <f t="shared" si="63"/>
        <v>0</v>
      </c>
      <c r="BT73" s="119" t="s">
        <v>290</v>
      </c>
      <c r="BU73" s="40"/>
      <c r="BV73" s="110">
        <f t="shared" si="64"/>
        <v>0</v>
      </c>
      <c r="BW73" s="109">
        <f t="shared" si="65"/>
        <v>0</v>
      </c>
      <c r="BX73" s="111">
        <f t="shared" si="66"/>
        <v>0</v>
      </c>
      <c r="CA73" s="119" t="s">
        <v>290</v>
      </c>
      <c r="CB73" s="40"/>
      <c r="CC73" s="110">
        <f t="shared" si="67"/>
        <v>0</v>
      </c>
      <c r="CD73" s="109">
        <f t="shared" si="68"/>
        <v>0</v>
      </c>
      <c r="CE73" s="111">
        <f t="shared" si="69"/>
        <v>0</v>
      </c>
      <c r="CH73" s="119" t="s">
        <v>290</v>
      </c>
      <c r="CI73" s="40"/>
      <c r="CJ73" s="110">
        <f t="shared" si="70"/>
        <v>0</v>
      </c>
      <c r="CK73" s="109">
        <f t="shared" si="71"/>
        <v>0</v>
      </c>
      <c r="CL73" s="111">
        <f t="shared" si="72"/>
        <v>0</v>
      </c>
      <c r="CO73" s="119" t="s">
        <v>290</v>
      </c>
      <c r="CP73" s="40"/>
      <c r="CQ73" s="110">
        <f t="shared" si="73"/>
        <v>0</v>
      </c>
      <c r="CR73" s="109">
        <f t="shared" si="74"/>
        <v>0</v>
      </c>
      <c r="CS73" s="111">
        <f t="shared" si="75"/>
        <v>0</v>
      </c>
      <c r="CV73" s="119" t="s">
        <v>290</v>
      </c>
      <c r="CW73" s="40"/>
      <c r="CX73" s="110">
        <f t="shared" si="76"/>
        <v>0</v>
      </c>
      <c r="CY73" s="109">
        <f t="shared" si="77"/>
        <v>0</v>
      </c>
      <c r="CZ73" s="111">
        <f t="shared" si="78"/>
        <v>0</v>
      </c>
      <c r="DC73" s="119" t="s">
        <v>290</v>
      </c>
      <c r="DD73" s="40"/>
      <c r="DE73" s="110">
        <f t="shared" si="79"/>
        <v>0</v>
      </c>
      <c r="DF73" s="109">
        <f t="shared" si="80"/>
        <v>0</v>
      </c>
      <c r="DG73" s="111">
        <f t="shared" si="81"/>
        <v>0</v>
      </c>
      <c r="DJ73" s="119" t="s">
        <v>290</v>
      </c>
      <c r="DK73" s="40"/>
      <c r="DL73" s="110">
        <f t="shared" si="82"/>
        <v>0</v>
      </c>
      <c r="DM73" s="109">
        <f t="shared" si="83"/>
        <v>0</v>
      </c>
      <c r="DN73" s="111">
        <f t="shared" si="84"/>
        <v>0</v>
      </c>
      <c r="DQ73" s="119" t="s">
        <v>290</v>
      </c>
      <c r="DR73" s="40"/>
      <c r="DS73" s="110">
        <f t="shared" si="85"/>
        <v>0</v>
      </c>
      <c r="DT73" s="109">
        <f t="shared" si="86"/>
        <v>0</v>
      </c>
      <c r="DU73" s="111">
        <f t="shared" si="87"/>
        <v>0</v>
      </c>
    </row>
    <row r="74">
      <c r="B74" s="119" t="s">
        <v>291</v>
      </c>
      <c r="C74" s="40"/>
      <c r="D74" s="110">
        <f t="shared" si="34"/>
        <v>0</v>
      </c>
      <c r="E74" s="109">
        <f t="shared" si="35"/>
        <v>0</v>
      </c>
      <c r="F74" s="111">
        <f t="shared" si="36"/>
        <v>0</v>
      </c>
      <c r="I74" s="119" t="s">
        <v>291</v>
      </c>
      <c r="J74" s="40"/>
      <c r="K74" s="110">
        <f t="shared" si="37"/>
        <v>0</v>
      </c>
      <c r="L74" s="109">
        <f t="shared" si="38"/>
        <v>0</v>
      </c>
      <c r="M74" s="111">
        <f t="shared" si="39"/>
        <v>0</v>
      </c>
      <c r="P74" s="119" t="s">
        <v>291</v>
      </c>
      <c r="Q74" s="40"/>
      <c r="R74" s="110">
        <f t="shared" si="40"/>
        <v>0</v>
      </c>
      <c r="S74" s="109">
        <f t="shared" si="41"/>
        <v>0</v>
      </c>
      <c r="T74" s="111">
        <f t="shared" si="42"/>
        <v>0</v>
      </c>
      <c r="W74" s="119" t="s">
        <v>291</v>
      </c>
      <c r="X74" s="40"/>
      <c r="Y74" s="110">
        <f t="shared" si="43"/>
        <v>0</v>
      </c>
      <c r="Z74" s="109">
        <f t="shared" si="44"/>
        <v>0</v>
      </c>
      <c r="AA74" s="111">
        <f t="shared" si="45"/>
        <v>0</v>
      </c>
      <c r="AD74" s="119" t="s">
        <v>291</v>
      </c>
      <c r="AE74" s="40"/>
      <c r="AF74" s="110">
        <f t="shared" si="46"/>
        <v>0</v>
      </c>
      <c r="AG74" s="109">
        <f t="shared" si="47"/>
        <v>0</v>
      </c>
      <c r="AH74" s="111">
        <f t="shared" si="48"/>
        <v>0</v>
      </c>
      <c r="AK74" s="119" t="s">
        <v>291</v>
      </c>
      <c r="AL74" s="40"/>
      <c r="AM74" s="110">
        <f t="shared" si="49"/>
        <v>0</v>
      </c>
      <c r="AN74" s="109">
        <f t="shared" si="50"/>
        <v>0</v>
      </c>
      <c r="AO74" s="111">
        <f t="shared" si="51"/>
        <v>0</v>
      </c>
      <c r="AR74" s="119" t="s">
        <v>291</v>
      </c>
      <c r="AS74" s="40"/>
      <c r="AT74" s="110">
        <f t="shared" si="52"/>
        <v>0</v>
      </c>
      <c r="AU74" s="109">
        <f t="shared" si="53"/>
        <v>0</v>
      </c>
      <c r="AV74" s="111">
        <f t="shared" si="54"/>
        <v>0</v>
      </c>
      <c r="AY74" s="119" t="s">
        <v>291</v>
      </c>
      <c r="AZ74" s="40"/>
      <c r="BA74" s="110">
        <f t="shared" si="55"/>
        <v>0</v>
      </c>
      <c r="BB74" s="109">
        <f t="shared" si="56"/>
        <v>0</v>
      </c>
      <c r="BC74" s="111">
        <f t="shared" si="57"/>
        <v>0</v>
      </c>
      <c r="BF74" s="119" t="s">
        <v>291</v>
      </c>
      <c r="BG74" s="40"/>
      <c r="BH74" s="110">
        <f t="shared" si="58"/>
        <v>0</v>
      </c>
      <c r="BI74" s="109">
        <f t="shared" si="59"/>
        <v>0</v>
      </c>
      <c r="BJ74" s="111">
        <f t="shared" si="60"/>
        <v>0</v>
      </c>
      <c r="BM74" s="119" t="s">
        <v>291</v>
      </c>
      <c r="BN74" s="40"/>
      <c r="BO74" s="110">
        <f t="shared" si="61"/>
        <v>0</v>
      </c>
      <c r="BP74" s="109">
        <f t="shared" si="62"/>
        <v>0</v>
      </c>
      <c r="BQ74" s="111">
        <f t="shared" si="63"/>
        <v>0</v>
      </c>
      <c r="BT74" s="119" t="s">
        <v>291</v>
      </c>
      <c r="BU74" s="40"/>
      <c r="BV74" s="110">
        <f t="shared" si="64"/>
        <v>0</v>
      </c>
      <c r="BW74" s="109">
        <f t="shared" si="65"/>
        <v>0</v>
      </c>
      <c r="BX74" s="111">
        <f t="shared" si="66"/>
        <v>0</v>
      </c>
      <c r="CA74" s="119" t="s">
        <v>291</v>
      </c>
      <c r="CB74" s="40"/>
      <c r="CC74" s="110">
        <f t="shared" si="67"/>
        <v>0</v>
      </c>
      <c r="CD74" s="109">
        <f t="shared" si="68"/>
        <v>0</v>
      </c>
      <c r="CE74" s="111">
        <f t="shared" si="69"/>
        <v>0</v>
      </c>
      <c r="CH74" s="119" t="s">
        <v>291</v>
      </c>
      <c r="CI74" s="40"/>
      <c r="CJ74" s="110">
        <f t="shared" si="70"/>
        <v>0</v>
      </c>
      <c r="CK74" s="109">
        <f t="shared" si="71"/>
        <v>0</v>
      </c>
      <c r="CL74" s="111">
        <f t="shared" si="72"/>
        <v>0</v>
      </c>
      <c r="CO74" s="119" t="s">
        <v>291</v>
      </c>
      <c r="CP74" s="40"/>
      <c r="CQ74" s="110">
        <f t="shared" si="73"/>
        <v>0</v>
      </c>
      <c r="CR74" s="109">
        <f t="shared" si="74"/>
        <v>0</v>
      </c>
      <c r="CS74" s="111">
        <f t="shared" si="75"/>
        <v>0</v>
      </c>
      <c r="CV74" s="119" t="s">
        <v>291</v>
      </c>
      <c r="CW74" s="40"/>
      <c r="CX74" s="110">
        <f t="shared" si="76"/>
        <v>0</v>
      </c>
      <c r="CY74" s="109">
        <f t="shared" si="77"/>
        <v>0</v>
      </c>
      <c r="CZ74" s="111">
        <f t="shared" si="78"/>
        <v>0</v>
      </c>
      <c r="DC74" s="119" t="s">
        <v>291</v>
      </c>
      <c r="DD74" s="40"/>
      <c r="DE74" s="110">
        <f t="shared" si="79"/>
        <v>0</v>
      </c>
      <c r="DF74" s="109">
        <f t="shared" si="80"/>
        <v>0</v>
      </c>
      <c r="DG74" s="111">
        <f t="shared" si="81"/>
        <v>0</v>
      </c>
      <c r="DJ74" s="119" t="s">
        <v>291</v>
      </c>
      <c r="DK74" s="40"/>
      <c r="DL74" s="110">
        <f t="shared" si="82"/>
        <v>0</v>
      </c>
      <c r="DM74" s="109">
        <f t="shared" si="83"/>
        <v>0</v>
      </c>
      <c r="DN74" s="111">
        <f t="shared" si="84"/>
        <v>0</v>
      </c>
      <c r="DQ74" s="119" t="s">
        <v>291</v>
      </c>
      <c r="DR74" s="40"/>
      <c r="DS74" s="110">
        <f t="shared" si="85"/>
        <v>0</v>
      </c>
      <c r="DT74" s="109">
        <f t="shared" si="86"/>
        <v>0</v>
      </c>
      <c r="DU74" s="111">
        <f t="shared" si="87"/>
        <v>0</v>
      </c>
    </row>
    <row r="75">
      <c r="B75" s="119" t="s">
        <v>292</v>
      </c>
      <c r="C75" s="40"/>
      <c r="D75" s="110">
        <f t="shared" si="34"/>
        <v>0</v>
      </c>
      <c r="E75" s="109">
        <f t="shared" si="35"/>
        <v>0</v>
      </c>
      <c r="F75" s="111">
        <f t="shared" si="36"/>
        <v>0</v>
      </c>
      <c r="I75" s="119" t="s">
        <v>292</v>
      </c>
      <c r="J75" s="40"/>
      <c r="K75" s="110">
        <f t="shared" si="37"/>
        <v>0</v>
      </c>
      <c r="L75" s="109">
        <f t="shared" si="38"/>
        <v>0</v>
      </c>
      <c r="M75" s="111">
        <f t="shared" si="39"/>
        <v>0</v>
      </c>
      <c r="P75" s="119" t="s">
        <v>292</v>
      </c>
      <c r="Q75" s="40"/>
      <c r="R75" s="110">
        <f t="shared" si="40"/>
        <v>0</v>
      </c>
      <c r="S75" s="109">
        <f t="shared" si="41"/>
        <v>0</v>
      </c>
      <c r="T75" s="111">
        <f t="shared" si="42"/>
        <v>0</v>
      </c>
      <c r="W75" s="119" t="s">
        <v>292</v>
      </c>
      <c r="X75" s="40"/>
      <c r="Y75" s="110">
        <f t="shared" si="43"/>
        <v>0</v>
      </c>
      <c r="Z75" s="109">
        <f t="shared" si="44"/>
        <v>0</v>
      </c>
      <c r="AA75" s="111">
        <f t="shared" si="45"/>
        <v>0</v>
      </c>
      <c r="AD75" s="119" t="s">
        <v>292</v>
      </c>
      <c r="AE75" s="40"/>
      <c r="AF75" s="110">
        <f t="shared" si="46"/>
        <v>0</v>
      </c>
      <c r="AG75" s="109">
        <f t="shared" si="47"/>
        <v>0</v>
      </c>
      <c r="AH75" s="111">
        <f t="shared" si="48"/>
        <v>0</v>
      </c>
      <c r="AK75" s="119" t="s">
        <v>292</v>
      </c>
      <c r="AL75" s="40"/>
      <c r="AM75" s="110">
        <f t="shared" si="49"/>
        <v>0</v>
      </c>
      <c r="AN75" s="109">
        <f t="shared" si="50"/>
        <v>0</v>
      </c>
      <c r="AO75" s="111">
        <f t="shared" si="51"/>
        <v>0</v>
      </c>
      <c r="AR75" s="119" t="s">
        <v>292</v>
      </c>
      <c r="AS75" s="40"/>
      <c r="AT75" s="110">
        <f t="shared" si="52"/>
        <v>0</v>
      </c>
      <c r="AU75" s="109">
        <f t="shared" si="53"/>
        <v>0</v>
      </c>
      <c r="AV75" s="111">
        <f t="shared" si="54"/>
        <v>0</v>
      </c>
      <c r="AY75" s="119" t="s">
        <v>292</v>
      </c>
      <c r="AZ75" s="40"/>
      <c r="BA75" s="110">
        <f t="shared" si="55"/>
        <v>0</v>
      </c>
      <c r="BB75" s="109">
        <f t="shared" si="56"/>
        <v>0</v>
      </c>
      <c r="BC75" s="111">
        <f t="shared" si="57"/>
        <v>0</v>
      </c>
      <c r="BF75" s="119" t="s">
        <v>292</v>
      </c>
      <c r="BG75" s="40"/>
      <c r="BH75" s="110">
        <f t="shared" si="58"/>
        <v>0</v>
      </c>
      <c r="BI75" s="109">
        <f t="shared" si="59"/>
        <v>0</v>
      </c>
      <c r="BJ75" s="111">
        <f t="shared" si="60"/>
        <v>0</v>
      </c>
      <c r="BM75" s="119" t="s">
        <v>292</v>
      </c>
      <c r="BN75" s="40"/>
      <c r="BO75" s="110">
        <f t="shared" si="61"/>
        <v>0</v>
      </c>
      <c r="BP75" s="109">
        <f t="shared" si="62"/>
        <v>0</v>
      </c>
      <c r="BQ75" s="111">
        <f t="shared" si="63"/>
        <v>0</v>
      </c>
      <c r="BT75" s="119" t="s">
        <v>292</v>
      </c>
      <c r="BU75" s="40"/>
      <c r="BV75" s="110">
        <f t="shared" si="64"/>
        <v>0</v>
      </c>
      <c r="BW75" s="109">
        <f t="shared" si="65"/>
        <v>0</v>
      </c>
      <c r="BX75" s="111">
        <f t="shared" si="66"/>
        <v>0</v>
      </c>
      <c r="CA75" s="119" t="s">
        <v>292</v>
      </c>
      <c r="CB75" s="40"/>
      <c r="CC75" s="110">
        <f t="shared" si="67"/>
        <v>0</v>
      </c>
      <c r="CD75" s="109">
        <f t="shared" si="68"/>
        <v>0</v>
      </c>
      <c r="CE75" s="111">
        <f t="shared" si="69"/>
        <v>0</v>
      </c>
      <c r="CH75" s="119" t="s">
        <v>292</v>
      </c>
      <c r="CI75" s="40"/>
      <c r="CJ75" s="110">
        <f t="shared" si="70"/>
        <v>0</v>
      </c>
      <c r="CK75" s="109">
        <f t="shared" si="71"/>
        <v>0</v>
      </c>
      <c r="CL75" s="111">
        <f t="shared" si="72"/>
        <v>0</v>
      </c>
      <c r="CO75" s="119" t="s">
        <v>292</v>
      </c>
      <c r="CP75" s="40"/>
      <c r="CQ75" s="110">
        <f t="shared" si="73"/>
        <v>0</v>
      </c>
      <c r="CR75" s="109">
        <f t="shared" si="74"/>
        <v>0</v>
      </c>
      <c r="CS75" s="111">
        <f t="shared" si="75"/>
        <v>0</v>
      </c>
      <c r="CV75" s="119" t="s">
        <v>292</v>
      </c>
      <c r="CW75" s="40"/>
      <c r="CX75" s="110">
        <f t="shared" si="76"/>
        <v>0</v>
      </c>
      <c r="CY75" s="109">
        <f t="shared" si="77"/>
        <v>0</v>
      </c>
      <c r="CZ75" s="111">
        <f t="shared" si="78"/>
        <v>0</v>
      </c>
      <c r="DC75" s="119" t="s">
        <v>292</v>
      </c>
      <c r="DD75" s="40"/>
      <c r="DE75" s="110">
        <f t="shared" si="79"/>
        <v>0</v>
      </c>
      <c r="DF75" s="109">
        <f t="shared" si="80"/>
        <v>0</v>
      </c>
      <c r="DG75" s="111">
        <f t="shared" si="81"/>
        <v>0</v>
      </c>
      <c r="DJ75" s="119" t="s">
        <v>292</v>
      </c>
      <c r="DK75" s="40"/>
      <c r="DL75" s="110">
        <f t="shared" si="82"/>
        <v>0</v>
      </c>
      <c r="DM75" s="109">
        <f t="shared" si="83"/>
        <v>0</v>
      </c>
      <c r="DN75" s="111">
        <f t="shared" si="84"/>
        <v>0</v>
      </c>
      <c r="DQ75" s="119" t="s">
        <v>292</v>
      </c>
      <c r="DR75" s="40"/>
      <c r="DS75" s="110">
        <f t="shared" si="85"/>
        <v>0</v>
      </c>
      <c r="DT75" s="109">
        <f t="shared" si="86"/>
        <v>0</v>
      </c>
      <c r="DU75" s="111">
        <f t="shared" si="87"/>
        <v>0</v>
      </c>
    </row>
    <row r="76">
      <c r="B76" s="119" t="s">
        <v>293</v>
      </c>
      <c r="C76" s="40"/>
      <c r="D76" s="110">
        <f t="shared" si="34"/>
        <v>0</v>
      </c>
      <c r="E76" s="109">
        <f t="shared" si="35"/>
        <v>0</v>
      </c>
      <c r="F76" s="111">
        <f t="shared" si="36"/>
        <v>0</v>
      </c>
      <c r="I76" s="119" t="s">
        <v>293</v>
      </c>
      <c r="J76" s="40"/>
      <c r="K76" s="110">
        <f t="shared" si="37"/>
        <v>0</v>
      </c>
      <c r="L76" s="109">
        <f t="shared" si="38"/>
        <v>0</v>
      </c>
      <c r="M76" s="111">
        <f t="shared" si="39"/>
        <v>0</v>
      </c>
      <c r="P76" s="119" t="s">
        <v>293</v>
      </c>
      <c r="Q76" s="40"/>
      <c r="R76" s="110">
        <f t="shared" si="40"/>
        <v>0</v>
      </c>
      <c r="S76" s="109">
        <f t="shared" si="41"/>
        <v>0</v>
      </c>
      <c r="T76" s="111">
        <f t="shared" si="42"/>
        <v>0</v>
      </c>
      <c r="W76" s="119" t="s">
        <v>293</v>
      </c>
      <c r="X76" s="40"/>
      <c r="Y76" s="110">
        <f t="shared" si="43"/>
        <v>0</v>
      </c>
      <c r="Z76" s="109">
        <f t="shared" si="44"/>
        <v>0</v>
      </c>
      <c r="AA76" s="111">
        <f t="shared" si="45"/>
        <v>0</v>
      </c>
      <c r="AD76" s="119" t="s">
        <v>293</v>
      </c>
      <c r="AE76" s="40"/>
      <c r="AF76" s="110">
        <f t="shared" si="46"/>
        <v>0</v>
      </c>
      <c r="AG76" s="109">
        <f t="shared" si="47"/>
        <v>0</v>
      </c>
      <c r="AH76" s="111">
        <f t="shared" si="48"/>
        <v>0</v>
      </c>
      <c r="AK76" s="119" t="s">
        <v>293</v>
      </c>
      <c r="AL76" s="40"/>
      <c r="AM76" s="110">
        <f t="shared" si="49"/>
        <v>0</v>
      </c>
      <c r="AN76" s="109">
        <f t="shared" si="50"/>
        <v>0</v>
      </c>
      <c r="AO76" s="111">
        <f t="shared" si="51"/>
        <v>0</v>
      </c>
      <c r="AR76" s="119" t="s">
        <v>293</v>
      </c>
      <c r="AS76" s="40"/>
      <c r="AT76" s="110">
        <f t="shared" si="52"/>
        <v>0</v>
      </c>
      <c r="AU76" s="109">
        <f t="shared" si="53"/>
        <v>0</v>
      </c>
      <c r="AV76" s="111">
        <f t="shared" si="54"/>
        <v>0</v>
      </c>
      <c r="AY76" s="119" t="s">
        <v>293</v>
      </c>
      <c r="AZ76" s="40"/>
      <c r="BA76" s="110">
        <f t="shared" si="55"/>
        <v>0</v>
      </c>
      <c r="BB76" s="109">
        <f t="shared" si="56"/>
        <v>0</v>
      </c>
      <c r="BC76" s="111">
        <f t="shared" si="57"/>
        <v>0</v>
      </c>
      <c r="BF76" s="119" t="s">
        <v>293</v>
      </c>
      <c r="BG76" s="40"/>
      <c r="BH76" s="110">
        <f t="shared" si="58"/>
        <v>0</v>
      </c>
      <c r="BI76" s="109">
        <f t="shared" si="59"/>
        <v>0</v>
      </c>
      <c r="BJ76" s="111">
        <f t="shared" si="60"/>
        <v>0</v>
      </c>
      <c r="BM76" s="119" t="s">
        <v>293</v>
      </c>
      <c r="BN76" s="40"/>
      <c r="BO76" s="110">
        <f t="shared" si="61"/>
        <v>0</v>
      </c>
      <c r="BP76" s="109">
        <f t="shared" si="62"/>
        <v>0</v>
      </c>
      <c r="BQ76" s="111">
        <f t="shared" si="63"/>
        <v>0</v>
      </c>
      <c r="BT76" s="119" t="s">
        <v>293</v>
      </c>
      <c r="BU76" s="40"/>
      <c r="BV76" s="110">
        <f t="shared" si="64"/>
        <v>0</v>
      </c>
      <c r="BW76" s="109">
        <f t="shared" si="65"/>
        <v>0</v>
      </c>
      <c r="BX76" s="111">
        <f t="shared" si="66"/>
        <v>0</v>
      </c>
      <c r="CA76" s="119" t="s">
        <v>293</v>
      </c>
      <c r="CB76" s="40"/>
      <c r="CC76" s="110">
        <f t="shared" si="67"/>
        <v>0</v>
      </c>
      <c r="CD76" s="109">
        <f t="shared" si="68"/>
        <v>0</v>
      </c>
      <c r="CE76" s="111">
        <f t="shared" si="69"/>
        <v>0</v>
      </c>
      <c r="CH76" s="119" t="s">
        <v>293</v>
      </c>
      <c r="CI76" s="40"/>
      <c r="CJ76" s="110">
        <f t="shared" si="70"/>
        <v>0</v>
      </c>
      <c r="CK76" s="109">
        <f t="shared" si="71"/>
        <v>0</v>
      </c>
      <c r="CL76" s="111">
        <f t="shared" si="72"/>
        <v>0</v>
      </c>
      <c r="CO76" s="119" t="s">
        <v>293</v>
      </c>
      <c r="CP76" s="40"/>
      <c r="CQ76" s="110">
        <f t="shared" si="73"/>
        <v>0</v>
      </c>
      <c r="CR76" s="109">
        <f t="shared" si="74"/>
        <v>0</v>
      </c>
      <c r="CS76" s="111">
        <f t="shared" si="75"/>
        <v>0</v>
      </c>
      <c r="CV76" s="119" t="s">
        <v>293</v>
      </c>
      <c r="CW76" s="40"/>
      <c r="CX76" s="110">
        <f t="shared" si="76"/>
        <v>0</v>
      </c>
      <c r="CY76" s="109">
        <f t="shared" si="77"/>
        <v>0</v>
      </c>
      <c r="CZ76" s="111">
        <f t="shared" si="78"/>
        <v>0</v>
      </c>
      <c r="DC76" s="119" t="s">
        <v>293</v>
      </c>
      <c r="DD76" s="40"/>
      <c r="DE76" s="110">
        <f t="shared" si="79"/>
        <v>0</v>
      </c>
      <c r="DF76" s="109">
        <f t="shared" si="80"/>
        <v>0</v>
      </c>
      <c r="DG76" s="111">
        <f t="shared" si="81"/>
        <v>0</v>
      </c>
      <c r="DJ76" s="119" t="s">
        <v>293</v>
      </c>
      <c r="DK76" s="40"/>
      <c r="DL76" s="110">
        <f t="shared" si="82"/>
        <v>0</v>
      </c>
      <c r="DM76" s="109">
        <f t="shared" si="83"/>
        <v>0</v>
      </c>
      <c r="DN76" s="111">
        <f t="shared" si="84"/>
        <v>0</v>
      </c>
      <c r="DQ76" s="119" t="s">
        <v>293</v>
      </c>
      <c r="DR76" s="40"/>
      <c r="DS76" s="110">
        <f t="shared" si="85"/>
        <v>0</v>
      </c>
      <c r="DT76" s="109">
        <f t="shared" si="86"/>
        <v>0</v>
      </c>
      <c r="DU76" s="111">
        <f t="shared" si="87"/>
        <v>0</v>
      </c>
    </row>
    <row r="77">
      <c r="B77" s="119" t="s">
        <v>294</v>
      </c>
      <c r="C77" s="40"/>
      <c r="D77" s="110">
        <f t="shared" si="34"/>
        <v>0</v>
      </c>
      <c r="E77" s="109">
        <f t="shared" si="35"/>
        <v>0</v>
      </c>
      <c r="F77" s="111">
        <f t="shared" si="36"/>
        <v>0</v>
      </c>
      <c r="I77" s="119" t="s">
        <v>294</v>
      </c>
      <c r="J77" s="40"/>
      <c r="K77" s="110">
        <f t="shared" si="37"/>
        <v>0</v>
      </c>
      <c r="L77" s="109">
        <f t="shared" si="38"/>
        <v>0</v>
      </c>
      <c r="M77" s="111">
        <f t="shared" si="39"/>
        <v>0</v>
      </c>
      <c r="P77" s="119" t="s">
        <v>294</v>
      </c>
      <c r="Q77" s="40"/>
      <c r="R77" s="110">
        <f t="shared" si="40"/>
        <v>0</v>
      </c>
      <c r="S77" s="109">
        <f t="shared" si="41"/>
        <v>0</v>
      </c>
      <c r="T77" s="111">
        <f t="shared" si="42"/>
        <v>0</v>
      </c>
      <c r="W77" s="119" t="s">
        <v>294</v>
      </c>
      <c r="X77" s="40"/>
      <c r="Y77" s="110">
        <f t="shared" si="43"/>
        <v>0</v>
      </c>
      <c r="Z77" s="109">
        <f t="shared" si="44"/>
        <v>0</v>
      </c>
      <c r="AA77" s="111">
        <f t="shared" si="45"/>
        <v>0</v>
      </c>
      <c r="AD77" s="119" t="s">
        <v>294</v>
      </c>
      <c r="AE77" s="40"/>
      <c r="AF77" s="110">
        <f t="shared" si="46"/>
        <v>0</v>
      </c>
      <c r="AG77" s="109">
        <f t="shared" si="47"/>
        <v>0</v>
      </c>
      <c r="AH77" s="111">
        <f t="shared" si="48"/>
        <v>0</v>
      </c>
      <c r="AK77" s="119" t="s">
        <v>294</v>
      </c>
      <c r="AL77" s="40"/>
      <c r="AM77" s="110">
        <f t="shared" si="49"/>
        <v>0</v>
      </c>
      <c r="AN77" s="109">
        <f t="shared" si="50"/>
        <v>0</v>
      </c>
      <c r="AO77" s="111">
        <f t="shared" si="51"/>
        <v>0</v>
      </c>
      <c r="AR77" s="119" t="s">
        <v>294</v>
      </c>
      <c r="AS77" s="40"/>
      <c r="AT77" s="110">
        <f t="shared" si="52"/>
        <v>0</v>
      </c>
      <c r="AU77" s="109">
        <f t="shared" si="53"/>
        <v>0</v>
      </c>
      <c r="AV77" s="111">
        <f t="shared" si="54"/>
        <v>0</v>
      </c>
      <c r="AY77" s="119" t="s">
        <v>294</v>
      </c>
      <c r="AZ77" s="40"/>
      <c r="BA77" s="110">
        <f t="shared" si="55"/>
        <v>0</v>
      </c>
      <c r="BB77" s="109">
        <f t="shared" si="56"/>
        <v>0</v>
      </c>
      <c r="BC77" s="111">
        <f t="shared" si="57"/>
        <v>0</v>
      </c>
      <c r="BF77" s="119" t="s">
        <v>294</v>
      </c>
      <c r="BG77" s="40"/>
      <c r="BH77" s="110">
        <f t="shared" si="58"/>
        <v>0</v>
      </c>
      <c r="BI77" s="109">
        <f t="shared" si="59"/>
        <v>0</v>
      </c>
      <c r="BJ77" s="111">
        <f t="shared" si="60"/>
        <v>0</v>
      </c>
      <c r="BM77" s="119" t="s">
        <v>294</v>
      </c>
      <c r="BN77" s="40"/>
      <c r="BO77" s="110">
        <f t="shared" si="61"/>
        <v>0</v>
      </c>
      <c r="BP77" s="109">
        <f t="shared" si="62"/>
        <v>0</v>
      </c>
      <c r="BQ77" s="111">
        <f t="shared" si="63"/>
        <v>0</v>
      </c>
      <c r="BT77" s="119" t="s">
        <v>294</v>
      </c>
      <c r="BU77" s="40"/>
      <c r="BV77" s="110">
        <f t="shared" si="64"/>
        <v>0</v>
      </c>
      <c r="BW77" s="109">
        <f t="shared" si="65"/>
        <v>0</v>
      </c>
      <c r="BX77" s="111">
        <f t="shared" si="66"/>
        <v>0</v>
      </c>
      <c r="CA77" s="119" t="s">
        <v>294</v>
      </c>
      <c r="CB77" s="40"/>
      <c r="CC77" s="110">
        <f t="shared" si="67"/>
        <v>0</v>
      </c>
      <c r="CD77" s="109">
        <f t="shared" si="68"/>
        <v>0</v>
      </c>
      <c r="CE77" s="111">
        <f t="shared" si="69"/>
        <v>0</v>
      </c>
      <c r="CH77" s="119" t="s">
        <v>294</v>
      </c>
      <c r="CI77" s="40"/>
      <c r="CJ77" s="110">
        <f t="shared" si="70"/>
        <v>0</v>
      </c>
      <c r="CK77" s="109">
        <f t="shared" si="71"/>
        <v>0</v>
      </c>
      <c r="CL77" s="111">
        <f t="shared" si="72"/>
        <v>0</v>
      </c>
      <c r="CO77" s="119" t="s">
        <v>294</v>
      </c>
      <c r="CP77" s="40"/>
      <c r="CQ77" s="110">
        <f t="shared" si="73"/>
        <v>0</v>
      </c>
      <c r="CR77" s="109">
        <f t="shared" si="74"/>
        <v>0</v>
      </c>
      <c r="CS77" s="111">
        <f t="shared" si="75"/>
        <v>0</v>
      </c>
      <c r="CV77" s="119" t="s">
        <v>294</v>
      </c>
      <c r="CW77" s="40"/>
      <c r="CX77" s="110">
        <f t="shared" si="76"/>
        <v>0</v>
      </c>
      <c r="CY77" s="109">
        <f t="shared" si="77"/>
        <v>0</v>
      </c>
      <c r="CZ77" s="111">
        <f t="shared" si="78"/>
        <v>0</v>
      </c>
      <c r="DC77" s="119" t="s">
        <v>294</v>
      </c>
      <c r="DD77" s="40"/>
      <c r="DE77" s="110">
        <f t="shared" si="79"/>
        <v>0</v>
      </c>
      <c r="DF77" s="109">
        <f t="shared" si="80"/>
        <v>0</v>
      </c>
      <c r="DG77" s="111">
        <f t="shared" si="81"/>
        <v>0</v>
      </c>
      <c r="DJ77" s="119" t="s">
        <v>294</v>
      </c>
      <c r="DK77" s="40"/>
      <c r="DL77" s="110">
        <f t="shared" si="82"/>
        <v>0</v>
      </c>
      <c r="DM77" s="109">
        <f t="shared" si="83"/>
        <v>0</v>
      </c>
      <c r="DN77" s="111">
        <f t="shared" si="84"/>
        <v>0</v>
      </c>
      <c r="DQ77" s="119" t="s">
        <v>294</v>
      </c>
      <c r="DR77" s="40"/>
      <c r="DS77" s="110">
        <f t="shared" si="85"/>
        <v>0</v>
      </c>
      <c r="DT77" s="109">
        <f t="shared" si="86"/>
        <v>0</v>
      </c>
      <c r="DU77" s="111">
        <f t="shared" si="87"/>
        <v>0</v>
      </c>
    </row>
    <row r="78">
      <c r="B78" s="119" t="s">
        <v>295</v>
      </c>
      <c r="C78" s="40"/>
      <c r="D78" s="110">
        <f t="shared" si="34"/>
        <v>0</v>
      </c>
      <c r="E78" s="109">
        <f t="shared" si="35"/>
        <v>0</v>
      </c>
      <c r="F78" s="111">
        <f t="shared" si="36"/>
        <v>0</v>
      </c>
      <c r="I78" s="119" t="s">
        <v>295</v>
      </c>
      <c r="J78" s="40"/>
      <c r="K78" s="110">
        <f t="shared" si="37"/>
        <v>0</v>
      </c>
      <c r="L78" s="109">
        <f t="shared" si="38"/>
        <v>0</v>
      </c>
      <c r="M78" s="111">
        <f t="shared" si="39"/>
        <v>0</v>
      </c>
      <c r="P78" s="119" t="s">
        <v>295</v>
      </c>
      <c r="Q78" s="40"/>
      <c r="R78" s="110">
        <f t="shared" si="40"/>
        <v>0</v>
      </c>
      <c r="S78" s="109">
        <f t="shared" si="41"/>
        <v>0</v>
      </c>
      <c r="T78" s="111">
        <f t="shared" si="42"/>
        <v>0</v>
      </c>
      <c r="W78" s="119" t="s">
        <v>295</v>
      </c>
      <c r="X78" s="40"/>
      <c r="Y78" s="110">
        <f t="shared" si="43"/>
        <v>0</v>
      </c>
      <c r="Z78" s="109">
        <f t="shared" si="44"/>
        <v>0</v>
      </c>
      <c r="AA78" s="111">
        <f t="shared" si="45"/>
        <v>0</v>
      </c>
      <c r="AD78" s="119" t="s">
        <v>295</v>
      </c>
      <c r="AE78" s="40"/>
      <c r="AF78" s="110">
        <f t="shared" si="46"/>
        <v>0</v>
      </c>
      <c r="AG78" s="109">
        <f t="shared" si="47"/>
        <v>0</v>
      </c>
      <c r="AH78" s="111">
        <f t="shared" si="48"/>
        <v>0</v>
      </c>
      <c r="AK78" s="119" t="s">
        <v>295</v>
      </c>
      <c r="AL78" s="40"/>
      <c r="AM78" s="110">
        <f t="shared" si="49"/>
        <v>0</v>
      </c>
      <c r="AN78" s="109">
        <f t="shared" si="50"/>
        <v>0</v>
      </c>
      <c r="AO78" s="111">
        <f t="shared" si="51"/>
        <v>0</v>
      </c>
      <c r="AR78" s="119" t="s">
        <v>295</v>
      </c>
      <c r="AS78" s="40"/>
      <c r="AT78" s="110">
        <f t="shared" si="52"/>
        <v>0</v>
      </c>
      <c r="AU78" s="109">
        <f t="shared" si="53"/>
        <v>0</v>
      </c>
      <c r="AV78" s="111">
        <f t="shared" si="54"/>
        <v>0</v>
      </c>
      <c r="AY78" s="119" t="s">
        <v>295</v>
      </c>
      <c r="AZ78" s="40"/>
      <c r="BA78" s="110">
        <f t="shared" si="55"/>
        <v>0</v>
      </c>
      <c r="BB78" s="109">
        <f t="shared" si="56"/>
        <v>0</v>
      </c>
      <c r="BC78" s="111">
        <f t="shared" si="57"/>
        <v>0</v>
      </c>
      <c r="BF78" s="119" t="s">
        <v>295</v>
      </c>
      <c r="BG78" s="40"/>
      <c r="BH78" s="110">
        <f t="shared" si="58"/>
        <v>0</v>
      </c>
      <c r="BI78" s="109">
        <f t="shared" si="59"/>
        <v>0</v>
      </c>
      <c r="BJ78" s="111">
        <f t="shared" si="60"/>
        <v>0</v>
      </c>
      <c r="BM78" s="119" t="s">
        <v>295</v>
      </c>
      <c r="BN78" s="40"/>
      <c r="BO78" s="110">
        <f t="shared" si="61"/>
        <v>0</v>
      </c>
      <c r="BP78" s="109">
        <f t="shared" si="62"/>
        <v>0</v>
      </c>
      <c r="BQ78" s="111">
        <f t="shared" si="63"/>
        <v>0</v>
      </c>
      <c r="BT78" s="119" t="s">
        <v>295</v>
      </c>
      <c r="BU78" s="40"/>
      <c r="BV78" s="110">
        <f t="shared" si="64"/>
        <v>0</v>
      </c>
      <c r="BW78" s="109">
        <f t="shared" si="65"/>
        <v>0</v>
      </c>
      <c r="BX78" s="111">
        <f t="shared" si="66"/>
        <v>0</v>
      </c>
      <c r="CA78" s="119" t="s">
        <v>295</v>
      </c>
      <c r="CB78" s="40"/>
      <c r="CC78" s="110">
        <f t="shared" si="67"/>
        <v>0</v>
      </c>
      <c r="CD78" s="109">
        <f t="shared" si="68"/>
        <v>0</v>
      </c>
      <c r="CE78" s="111">
        <f t="shared" si="69"/>
        <v>0</v>
      </c>
      <c r="CH78" s="119" t="s">
        <v>295</v>
      </c>
      <c r="CI78" s="40"/>
      <c r="CJ78" s="110">
        <f t="shared" si="70"/>
        <v>0</v>
      </c>
      <c r="CK78" s="109">
        <f t="shared" si="71"/>
        <v>0</v>
      </c>
      <c r="CL78" s="111">
        <f t="shared" si="72"/>
        <v>0</v>
      </c>
      <c r="CO78" s="119" t="s">
        <v>295</v>
      </c>
      <c r="CP78" s="40"/>
      <c r="CQ78" s="110">
        <f t="shared" si="73"/>
        <v>0</v>
      </c>
      <c r="CR78" s="109">
        <f t="shared" si="74"/>
        <v>0</v>
      </c>
      <c r="CS78" s="111">
        <f t="shared" si="75"/>
        <v>0</v>
      </c>
      <c r="CV78" s="119" t="s">
        <v>295</v>
      </c>
      <c r="CW78" s="40"/>
      <c r="CX78" s="110">
        <f t="shared" si="76"/>
        <v>0</v>
      </c>
      <c r="CY78" s="109">
        <f t="shared" si="77"/>
        <v>0</v>
      </c>
      <c r="CZ78" s="111">
        <f t="shared" si="78"/>
        <v>0</v>
      </c>
      <c r="DC78" s="119" t="s">
        <v>295</v>
      </c>
      <c r="DD78" s="40"/>
      <c r="DE78" s="110">
        <f t="shared" si="79"/>
        <v>0</v>
      </c>
      <c r="DF78" s="109">
        <f t="shared" si="80"/>
        <v>0</v>
      </c>
      <c r="DG78" s="111">
        <f t="shared" si="81"/>
        <v>0</v>
      </c>
      <c r="DJ78" s="119" t="s">
        <v>295</v>
      </c>
      <c r="DK78" s="40"/>
      <c r="DL78" s="110">
        <f t="shared" si="82"/>
        <v>0</v>
      </c>
      <c r="DM78" s="109">
        <f t="shared" si="83"/>
        <v>0</v>
      </c>
      <c r="DN78" s="111">
        <f t="shared" si="84"/>
        <v>0</v>
      </c>
      <c r="DQ78" s="119" t="s">
        <v>295</v>
      </c>
      <c r="DR78" s="40"/>
      <c r="DS78" s="110">
        <f t="shared" si="85"/>
        <v>0</v>
      </c>
      <c r="DT78" s="109">
        <f t="shared" si="86"/>
        <v>0</v>
      </c>
      <c r="DU78" s="111">
        <f t="shared" si="87"/>
        <v>0</v>
      </c>
    </row>
    <row r="79">
      <c r="B79" s="119" t="s">
        <v>297</v>
      </c>
      <c r="C79" s="40"/>
      <c r="D79" s="110">
        <f t="shared" si="34"/>
        <v>0</v>
      </c>
      <c r="E79" s="109">
        <f t="shared" si="35"/>
        <v>0</v>
      </c>
      <c r="F79" s="111">
        <f t="shared" si="36"/>
        <v>0</v>
      </c>
      <c r="I79" s="119" t="s">
        <v>297</v>
      </c>
      <c r="J79" s="40"/>
      <c r="K79" s="110">
        <f t="shared" si="37"/>
        <v>0</v>
      </c>
      <c r="L79" s="109">
        <f t="shared" si="38"/>
        <v>0</v>
      </c>
      <c r="M79" s="111">
        <f t="shared" si="39"/>
        <v>0</v>
      </c>
      <c r="P79" s="119" t="s">
        <v>297</v>
      </c>
      <c r="Q79" s="40"/>
      <c r="R79" s="110">
        <f t="shared" si="40"/>
        <v>0</v>
      </c>
      <c r="S79" s="109">
        <f t="shared" si="41"/>
        <v>0</v>
      </c>
      <c r="T79" s="111">
        <f t="shared" si="42"/>
        <v>0</v>
      </c>
      <c r="W79" s="119" t="s">
        <v>297</v>
      </c>
      <c r="X79" s="40"/>
      <c r="Y79" s="110">
        <f t="shared" si="43"/>
        <v>0</v>
      </c>
      <c r="Z79" s="109">
        <f t="shared" si="44"/>
        <v>0</v>
      </c>
      <c r="AA79" s="111">
        <f t="shared" si="45"/>
        <v>0</v>
      </c>
      <c r="AD79" s="119" t="s">
        <v>297</v>
      </c>
      <c r="AE79" s="40"/>
      <c r="AF79" s="110">
        <f t="shared" si="46"/>
        <v>0</v>
      </c>
      <c r="AG79" s="109">
        <f t="shared" si="47"/>
        <v>0</v>
      </c>
      <c r="AH79" s="111">
        <f t="shared" si="48"/>
        <v>0</v>
      </c>
      <c r="AK79" s="119" t="s">
        <v>297</v>
      </c>
      <c r="AL79" s="40"/>
      <c r="AM79" s="110">
        <f t="shared" si="49"/>
        <v>0</v>
      </c>
      <c r="AN79" s="109">
        <f t="shared" si="50"/>
        <v>0</v>
      </c>
      <c r="AO79" s="111">
        <f t="shared" si="51"/>
        <v>0</v>
      </c>
      <c r="AR79" s="119" t="s">
        <v>297</v>
      </c>
      <c r="AS79" s="40"/>
      <c r="AT79" s="110">
        <f t="shared" si="52"/>
        <v>0</v>
      </c>
      <c r="AU79" s="109">
        <f t="shared" si="53"/>
        <v>0</v>
      </c>
      <c r="AV79" s="111">
        <f t="shared" si="54"/>
        <v>0</v>
      </c>
      <c r="AY79" s="119" t="s">
        <v>297</v>
      </c>
      <c r="AZ79" s="40"/>
      <c r="BA79" s="110">
        <f t="shared" si="55"/>
        <v>0</v>
      </c>
      <c r="BB79" s="109">
        <f t="shared" si="56"/>
        <v>0</v>
      </c>
      <c r="BC79" s="111">
        <f t="shared" si="57"/>
        <v>0</v>
      </c>
      <c r="BF79" s="119" t="s">
        <v>297</v>
      </c>
      <c r="BG79" s="40"/>
      <c r="BH79" s="110">
        <f t="shared" si="58"/>
        <v>0</v>
      </c>
      <c r="BI79" s="109">
        <f t="shared" si="59"/>
        <v>0</v>
      </c>
      <c r="BJ79" s="111">
        <f t="shared" si="60"/>
        <v>0</v>
      </c>
      <c r="BM79" s="119" t="s">
        <v>297</v>
      </c>
      <c r="BN79" s="40"/>
      <c r="BO79" s="110">
        <f t="shared" si="61"/>
        <v>0</v>
      </c>
      <c r="BP79" s="109">
        <f t="shared" si="62"/>
        <v>0</v>
      </c>
      <c r="BQ79" s="111">
        <f t="shared" si="63"/>
        <v>0</v>
      </c>
      <c r="BT79" s="119" t="s">
        <v>297</v>
      </c>
      <c r="BU79" s="40"/>
      <c r="BV79" s="110">
        <f t="shared" si="64"/>
        <v>0</v>
      </c>
      <c r="BW79" s="109">
        <f t="shared" si="65"/>
        <v>0</v>
      </c>
      <c r="BX79" s="111">
        <f t="shared" si="66"/>
        <v>0</v>
      </c>
      <c r="CA79" s="119" t="s">
        <v>297</v>
      </c>
      <c r="CB79" s="40"/>
      <c r="CC79" s="110">
        <f t="shared" si="67"/>
        <v>0</v>
      </c>
      <c r="CD79" s="109">
        <f t="shared" si="68"/>
        <v>0</v>
      </c>
      <c r="CE79" s="111">
        <f t="shared" si="69"/>
        <v>0</v>
      </c>
      <c r="CH79" s="119" t="s">
        <v>297</v>
      </c>
      <c r="CI79" s="40"/>
      <c r="CJ79" s="110">
        <f t="shared" si="70"/>
        <v>0</v>
      </c>
      <c r="CK79" s="109">
        <f t="shared" si="71"/>
        <v>0</v>
      </c>
      <c r="CL79" s="111">
        <f t="shared" si="72"/>
        <v>0</v>
      </c>
      <c r="CO79" s="119" t="s">
        <v>297</v>
      </c>
      <c r="CP79" s="40"/>
      <c r="CQ79" s="110">
        <f t="shared" si="73"/>
        <v>0</v>
      </c>
      <c r="CR79" s="109">
        <f t="shared" si="74"/>
        <v>0</v>
      </c>
      <c r="CS79" s="111">
        <f t="shared" si="75"/>
        <v>0</v>
      </c>
      <c r="CV79" s="119" t="s">
        <v>297</v>
      </c>
      <c r="CW79" s="40"/>
      <c r="CX79" s="110">
        <f t="shared" si="76"/>
        <v>0</v>
      </c>
      <c r="CY79" s="109">
        <f t="shared" si="77"/>
        <v>0</v>
      </c>
      <c r="CZ79" s="111">
        <f t="shared" si="78"/>
        <v>0</v>
      </c>
      <c r="DC79" s="119" t="s">
        <v>297</v>
      </c>
      <c r="DD79" s="40"/>
      <c r="DE79" s="110">
        <f t="shared" si="79"/>
        <v>0</v>
      </c>
      <c r="DF79" s="109">
        <f t="shared" si="80"/>
        <v>0</v>
      </c>
      <c r="DG79" s="111">
        <f t="shared" si="81"/>
        <v>0</v>
      </c>
      <c r="DJ79" s="119" t="s">
        <v>297</v>
      </c>
      <c r="DK79" s="40"/>
      <c r="DL79" s="110">
        <f t="shared" si="82"/>
        <v>0</v>
      </c>
      <c r="DM79" s="109">
        <f t="shared" si="83"/>
        <v>0</v>
      </c>
      <c r="DN79" s="111">
        <f t="shared" si="84"/>
        <v>0</v>
      </c>
      <c r="DQ79" s="119" t="s">
        <v>297</v>
      </c>
      <c r="DR79" s="40"/>
      <c r="DS79" s="110">
        <f t="shared" si="85"/>
        <v>0</v>
      </c>
      <c r="DT79" s="109">
        <f t="shared" si="86"/>
        <v>0</v>
      </c>
      <c r="DU79" s="111">
        <f t="shared" si="87"/>
        <v>0</v>
      </c>
    </row>
    <row r="80">
      <c r="B80" s="119" t="s">
        <v>298</v>
      </c>
      <c r="C80" s="40"/>
      <c r="D80" s="110">
        <f t="shared" si="34"/>
        <v>0</v>
      </c>
      <c r="E80" s="109">
        <f t="shared" si="35"/>
        <v>0</v>
      </c>
      <c r="F80" s="111">
        <f t="shared" si="36"/>
        <v>0</v>
      </c>
      <c r="I80" s="119" t="s">
        <v>298</v>
      </c>
      <c r="J80" s="40"/>
      <c r="K80" s="110">
        <f t="shared" si="37"/>
        <v>0</v>
      </c>
      <c r="L80" s="109">
        <f t="shared" si="38"/>
        <v>0</v>
      </c>
      <c r="M80" s="111">
        <f t="shared" si="39"/>
        <v>0</v>
      </c>
      <c r="P80" s="119" t="s">
        <v>298</v>
      </c>
      <c r="Q80" s="40"/>
      <c r="R80" s="110">
        <f t="shared" si="40"/>
        <v>0</v>
      </c>
      <c r="S80" s="109">
        <f t="shared" si="41"/>
        <v>0</v>
      </c>
      <c r="T80" s="111">
        <f t="shared" si="42"/>
        <v>0</v>
      </c>
      <c r="W80" s="119" t="s">
        <v>298</v>
      </c>
      <c r="X80" s="40"/>
      <c r="Y80" s="110">
        <f t="shared" si="43"/>
        <v>0</v>
      </c>
      <c r="Z80" s="109">
        <f t="shared" si="44"/>
        <v>0</v>
      </c>
      <c r="AA80" s="111">
        <f t="shared" si="45"/>
        <v>0</v>
      </c>
      <c r="AD80" s="119" t="s">
        <v>298</v>
      </c>
      <c r="AE80" s="40"/>
      <c r="AF80" s="110">
        <f t="shared" si="46"/>
        <v>0</v>
      </c>
      <c r="AG80" s="109">
        <f t="shared" si="47"/>
        <v>0</v>
      </c>
      <c r="AH80" s="111">
        <f t="shared" si="48"/>
        <v>0</v>
      </c>
      <c r="AK80" s="119" t="s">
        <v>298</v>
      </c>
      <c r="AL80" s="40"/>
      <c r="AM80" s="110">
        <f t="shared" si="49"/>
        <v>0</v>
      </c>
      <c r="AN80" s="109">
        <f t="shared" si="50"/>
        <v>0</v>
      </c>
      <c r="AO80" s="111">
        <f t="shared" si="51"/>
        <v>0</v>
      </c>
      <c r="AR80" s="119" t="s">
        <v>298</v>
      </c>
      <c r="AS80" s="40"/>
      <c r="AT80" s="110">
        <f t="shared" si="52"/>
        <v>0</v>
      </c>
      <c r="AU80" s="109">
        <f t="shared" si="53"/>
        <v>0</v>
      </c>
      <c r="AV80" s="111">
        <f t="shared" si="54"/>
        <v>0</v>
      </c>
      <c r="AY80" s="119" t="s">
        <v>298</v>
      </c>
      <c r="AZ80" s="40"/>
      <c r="BA80" s="110">
        <f t="shared" si="55"/>
        <v>0</v>
      </c>
      <c r="BB80" s="109">
        <f t="shared" si="56"/>
        <v>0</v>
      </c>
      <c r="BC80" s="111">
        <f t="shared" si="57"/>
        <v>0</v>
      </c>
      <c r="BF80" s="119" t="s">
        <v>298</v>
      </c>
      <c r="BG80" s="40"/>
      <c r="BH80" s="110">
        <f t="shared" si="58"/>
        <v>0</v>
      </c>
      <c r="BI80" s="109">
        <f t="shared" si="59"/>
        <v>0</v>
      </c>
      <c r="BJ80" s="111">
        <f t="shared" si="60"/>
        <v>0</v>
      </c>
      <c r="BM80" s="119" t="s">
        <v>298</v>
      </c>
      <c r="BN80" s="40"/>
      <c r="BO80" s="110">
        <f t="shared" si="61"/>
        <v>0</v>
      </c>
      <c r="BP80" s="109">
        <f t="shared" si="62"/>
        <v>0</v>
      </c>
      <c r="BQ80" s="111">
        <f t="shared" si="63"/>
        <v>0</v>
      </c>
      <c r="BT80" s="119" t="s">
        <v>298</v>
      </c>
      <c r="BU80" s="40"/>
      <c r="BV80" s="110">
        <f t="shared" si="64"/>
        <v>0</v>
      </c>
      <c r="BW80" s="109">
        <f t="shared" si="65"/>
        <v>0</v>
      </c>
      <c r="BX80" s="111">
        <f t="shared" si="66"/>
        <v>0</v>
      </c>
      <c r="CA80" s="119" t="s">
        <v>298</v>
      </c>
      <c r="CB80" s="40"/>
      <c r="CC80" s="110">
        <f t="shared" si="67"/>
        <v>0</v>
      </c>
      <c r="CD80" s="109">
        <f t="shared" si="68"/>
        <v>0</v>
      </c>
      <c r="CE80" s="111">
        <f t="shared" si="69"/>
        <v>0</v>
      </c>
      <c r="CH80" s="119" t="s">
        <v>298</v>
      </c>
      <c r="CI80" s="40"/>
      <c r="CJ80" s="110">
        <f t="shared" si="70"/>
        <v>0</v>
      </c>
      <c r="CK80" s="109">
        <f t="shared" si="71"/>
        <v>0</v>
      </c>
      <c r="CL80" s="111">
        <f t="shared" si="72"/>
        <v>0</v>
      </c>
      <c r="CO80" s="119" t="s">
        <v>298</v>
      </c>
      <c r="CP80" s="40"/>
      <c r="CQ80" s="110">
        <f t="shared" si="73"/>
        <v>0</v>
      </c>
      <c r="CR80" s="109">
        <f t="shared" si="74"/>
        <v>0</v>
      </c>
      <c r="CS80" s="111">
        <f t="shared" si="75"/>
        <v>0</v>
      </c>
      <c r="CV80" s="119" t="s">
        <v>298</v>
      </c>
      <c r="CW80" s="40"/>
      <c r="CX80" s="110">
        <f t="shared" si="76"/>
        <v>0</v>
      </c>
      <c r="CY80" s="109">
        <f t="shared" si="77"/>
        <v>0</v>
      </c>
      <c r="CZ80" s="111">
        <f t="shared" si="78"/>
        <v>0</v>
      </c>
      <c r="DC80" s="119" t="s">
        <v>298</v>
      </c>
      <c r="DD80" s="40"/>
      <c r="DE80" s="110">
        <f t="shared" si="79"/>
        <v>0</v>
      </c>
      <c r="DF80" s="109">
        <f t="shared" si="80"/>
        <v>0</v>
      </c>
      <c r="DG80" s="111">
        <f t="shared" si="81"/>
        <v>0</v>
      </c>
      <c r="DJ80" s="119" t="s">
        <v>298</v>
      </c>
      <c r="DK80" s="40"/>
      <c r="DL80" s="110">
        <f t="shared" si="82"/>
        <v>0</v>
      </c>
      <c r="DM80" s="109">
        <f t="shared" si="83"/>
        <v>0</v>
      </c>
      <c r="DN80" s="111">
        <f t="shared" si="84"/>
        <v>0</v>
      </c>
      <c r="DQ80" s="119" t="s">
        <v>298</v>
      </c>
      <c r="DR80" s="40"/>
      <c r="DS80" s="110">
        <f t="shared" si="85"/>
        <v>0</v>
      </c>
      <c r="DT80" s="109">
        <f t="shared" si="86"/>
        <v>0</v>
      </c>
      <c r="DU80" s="111">
        <f t="shared" si="87"/>
        <v>0</v>
      </c>
    </row>
    <row r="81">
      <c r="B81" s="119" t="s">
        <v>299</v>
      </c>
      <c r="C81" s="40"/>
      <c r="D81" s="110">
        <f t="shared" si="34"/>
        <v>0</v>
      </c>
      <c r="E81" s="109">
        <f t="shared" si="35"/>
        <v>0</v>
      </c>
      <c r="F81" s="111">
        <f t="shared" si="36"/>
        <v>0</v>
      </c>
      <c r="I81" s="119" t="s">
        <v>299</v>
      </c>
      <c r="J81" s="40"/>
      <c r="K81" s="110">
        <f t="shared" si="37"/>
        <v>0</v>
      </c>
      <c r="L81" s="109">
        <f t="shared" si="38"/>
        <v>0</v>
      </c>
      <c r="M81" s="111">
        <f t="shared" si="39"/>
        <v>0</v>
      </c>
      <c r="P81" s="119" t="s">
        <v>299</v>
      </c>
      <c r="Q81" s="40"/>
      <c r="R81" s="110">
        <f t="shared" si="40"/>
        <v>0</v>
      </c>
      <c r="S81" s="109">
        <f t="shared" si="41"/>
        <v>0</v>
      </c>
      <c r="T81" s="111">
        <f t="shared" si="42"/>
        <v>0</v>
      </c>
      <c r="W81" s="119" t="s">
        <v>299</v>
      </c>
      <c r="X81" s="40"/>
      <c r="Y81" s="110">
        <f t="shared" si="43"/>
        <v>0</v>
      </c>
      <c r="Z81" s="109">
        <f t="shared" si="44"/>
        <v>0</v>
      </c>
      <c r="AA81" s="111">
        <f t="shared" si="45"/>
        <v>0</v>
      </c>
      <c r="AD81" s="119" t="s">
        <v>299</v>
      </c>
      <c r="AE81" s="40"/>
      <c r="AF81" s="110">
        <f t="shared" si="46"/>
        <v>0</v>
      </c>
      <c r="AG81" s="109">
        <f t="shared" si="47"/>
        <v>0</v>
      </c>
      <c r="AH81" s="111">
        <f t="shared" si="48"/>
        <v>0</v>
      </c>
      <c r="AK81" s="119" t="s">
        <v>299</v>
      </c>
      <c r="AL81" s="40"/>
      <c r="AM81" s="110">
        <f t="shared" si="49"/>
        <v>0</v>
      </c>
      <c r="AN81" s="109">
        <f t="shared" si="50"/>
        <v>0</v>
      </c>
      <c r="AO81" s="111">
        <f t="shared" si="51"/>
        <v>0</v>
      </c>
      <c r="AR81" s="119" t="s">
        <v>299</v>
      </c>
      <c r="AS81" s="40"/>
      <c r="AT81" s="110">
        <f t="shared" si="52"/>
        <v>0</v>
      </c>
      <c r="AU81" s="109">
        <f t="shared" si="53"/>
        <v>0</v>
      </c>
      <c r="AV81" s="111">
        <f t="shared" si="54"/>
        <v>0</v>
      </c>
      <c r="AY81" s="119" t="s">
        <v>299</v>
      </c>
      <c r="AZ81" s="40"/>
      <c r="BA81" s="110">
        <f t="shared" si="55"/>
        <v>0</v>
      </c>
      <c r="BB81" s="109">
        <f t="shared" si="56"/>
        <v>0</v>
      </c>
      <c r="BC81" s="111">
        <f t="shared" si="57"/>
        <v>0</v>
      </c>
      <c r="BF81" s="119" t="s">
        <v>299</v>
      </c>
      <c r="BG81" s="40"/>
      <c r="BH81" s="110">
        <f t="shared" si="58"/>
        <v>0</v>
      </c>
      <c r="BI81" s="109">
        <f t="shared" si="59"/>
        <v>0</v>
      </c>
      <c r="BJ81" s="111">
        <f t="shared" si="60"/>
        <v>0</v>
      </c>
      <c r="BM81" s="119" t="s">
        <v>299</v>
      </c>
      <c r="BN81" s="40"/>
      <c r="BO81" s="110">
        <f t="shared" si="61"/>
        <v>0</v>
      </c>
      <c r="BP81" s="109">
        <f t="shared" si="62"/>
        <v>0</v>
      </c>
      <c r="BQ81" s="111">
        <f t="shared" si="63"/>
        <v>0</v>
      </c>
      <c r="BT81" s="119" t="s">
        <v>299</v>
      </c>
      <c r="BU81" s="40"/>
      <c r="BV81" s="110">
        <f t="shared" si="64"/>
        <v>0</v>
      </c>
      <c r="BW81" s="109">
        <f t="shared" si="65"/>
        <v>0</v>
      </c>
      <c r="BX81" s="111">
        <f t="shared" si="66"/>
        <v>0</v>
      </c>
      <c r="CA81" s="119" t="s">
        <v>299</v>
      </c>
      <c r="CB81" s="40"/>
      <c r="CC81" s="110">
        <f t="shared" si="67"/>
        <v>0</v>
      </c>
      <c r="CD81" s="109">
        <f t="shared" si="68"/>
        <v>0</v>
      </c>
      <c r="CE81" s="111">
        <f t="shared" si="69"/>
        <v>0</v>
      </c>
      <c r="CH81" s="119" t="s">
        <v>299</v>
      </c>
      <c r="CI81" s="40"/>
      <c r="CJ81" s="110">
        <f t="shared" si="70"/>
        <v>0</v>
      </c>
      <c r="CK81" s="109">
        <f t="shared" si="71"/>
        <v>0</v>
      </c>
      <c r="CL81" s="111">
        <f t="shared" si="72"/>
        <v>0</v>
      </c>
      <c r="CO81" s="119" t="s">
        <v>299</v>
      </c>
      <c r="CP81" s="40"/>
      <c r="CQ81" s="110">
        <f t="shared" si="73"/>
        <v>0</v>
      </c>
      <c r="CR81" s="109">
        <f t="shared" si="74"/>
        <v>0</v>
      </c>
      <c r="CS81" s="111">
        <f t="shared" si="75"/>
        <v>0</v>
      </c>
      <c r="CV81" s="119" t="s">
        <v>299</v>
      </c>
      <c r="CW81" s="40"/>
      <c r="CX81" s="110">
        <f t="shared" si="76"/>
        <v>0</v>
      </c>
      <c r="CY81" s="109">
        <f t="shared" si="77"/>
        <v>0</v>
      </c>
      <c r="CZ81" s="111">
        <f t="shared" si="78"/>
        <v>0</v>
      </c>
      <c r="DC81" s="119" t="s">
        <v>299</v>
      </c>
      <c r="DD81" s="40"/>
      <c r="DE81" s="110">
        <f t="shared" si="79"/>
        <v>0</v>
      </c>
      <c r="DF81" s="109">
        <f t="shared" si="80"/>
        <v>0</v>
      </c>
      <c r="DG81" s="111">
        <f t="shared" si="81"/>
        <v>0</v>
      </c>
      <c r="DJ81" s="119" t="s">
        <v>299</v>
      </c>
      <c r="DK81" s="40"/>
      <c r="DL81" s="110">
        <f t="shared" si="82"/>
        <v>0</v>
      </c>
      <c r="DM81" s="109">
        <f t="shared" si="83"/>
        <v>0</v>
      </c>
      <c r="DN81" s="111">
        <f t="shared" si="84"/>
        <v>0</v>
      </c>
      <c r="DQ81" s="119" t="s">
        <v>299</v>
      </c>
      <c r="DR81" s="40"/>
      <c r="DS81" s="110">
        <f t="shared" si="85"/>
        <v>0</v>
      </c>
      <c r="DT81" s="109">
        <f t="shared" si="86"/>
        <v>0</v>
      </c>
      <c r="DU81" s="111">
        <f t="shared" si="87"/>
        <v>0</v>
      </c>
    </row>
    <row r="82">
      <c r="B82" s="119" t="s">
        <v>300</v>
      </c>
      <c r="C82" s="40"/>
      <c r="D82" s="110">
        <f t="shared" si="34"/>
        <v>0</v>
      </c>
      <c r="E82" s="109">
        <f t="shared" si="35"/>
        <v>0</v>
      </c>
      <c r="F82" s="111">
        <f t="shared" si="36"/>
        <v>0</v>
      </c>
      <c r="I82" s="119" t="s">
        <v>300</v>
      </c>
      <c r="J82" s="40"/>
      <c r="K82" s="110">
        <f t="shared" si="37"/>
        <v>0</v>
      </c>
      <c r="L82" s="109">
        <f t="shared" si="38"/>
        <v>0</v>
      </c>
      <c r="M82" s="111">
        <f t="shared" si="39"/>
        <v>0</v>
      </c>
      <c r="P82" s="119" t="s">
        <v>300</v>
      </c>
      <c r="Q82" s="40"/>
      <c r="R82" s="110">
        <f t="shared" si="40"/>
        <v>0</v>
      </c>
      <c r="S82" s="109">
        <f t="shared" si="41"/>
        <v>0</v>
      </c>
      <c r="T82" s="111">
        <f t="shared" si="42"/>
        <v>0</v>
      </c>
      <c r="W82" s="119" t="s">
        <v>300</v>
      </c>
      <c r="X82" s="40"/>
      <c r="Y82" s="110">
        <f t="shared" si="43"/>
        <v>0</v>
      </c>
      <c r="Z82" s="109">
        <f t="shared" si="44"/>
        <v>0</v>
      </c>
      <c r="AA82" s="111">
        <f t="shared" si="45"/>
        <v>0</v>
      </c>
      <c r="AD82" s="119" t="s">
        <v>300</v>
      </c>
      <c r="AE82" s="40"/>
      <c r="AF82" s="110">
        <f t="shared" si="46"/>
        <v>0</v>
      </c>
      <c r="AG82" s="109">
        <f t="shared" si="47"/>
        <v>0</v>
      </c>
      <c r="AH82" s="111">
        <f t="shared" si="48"/>
        <v>0</v>
      </c>
      <c r="AK82" s="119" t="s">
        <v>300</v>
      </c>
      <c r="AL82" s="40"/>
      <c r="AM82" s="110">
        <f t="shared" si="49"/>
        <v>0</v>
      </c>
      <c r="AN82" s="109">
        <f t="shared" si="50"/>
        <v>0</v>
      </c>
      <c r="AO82" s="111">
        <f t="shared" si="51"/>
        <v>0</v>
      </c>
      <c r="AR82" s="119" t="s">
        <v>300</v>
      </c>
      <c r="AS82" s="40"/>
      <c r="AT82" s="110">
        <f t="shared" si="52"/>
        <v>0</v>
      </c>
      <c r="AU82" s="109">
        <f t="shared" si="53"/>
        <v>0</v>
      </c>
      <c r="AV82" s="111">
        <f t="shared" si="54"/>
        <v>0</v>
      </c>
      <c r="AY82" s="119" t="s">
        <v>300</v>
      </c>
      <c r="AZ82" s="40"/>
      <c r="BA82" s="110">
        <f t="shared" si="55"/>
        <v>0</v>
      </c>
      <c r="BB82" s="109">
        <f t="shared" si="56"/>
        <v>0</v>
      </c>
      <c r="BC82" s="111">
        <f t="shared" si="57"/>
        <v>0</v>
      </c>
      <c r="BF82" s="119" t="s">
        <v>300</v>
      </c>
      <c r="BG82" s="40"/>
      <c r="BH82" s="110">
        <f t="shared" si="58"/>
        <v>0</v>
      </c>
      <c r="BI82" s="109">
        <f t="shared" si="59"/>
        <v>0</v>
      </c>
      <c r="BJ82" s="111">
        <f t="shared" si="60"/>
        <v>0</v>
      </c>
      <c r="BM82" s="119" t="s">
        <v>300</v>
      </c>
      <c r="BN82" s="40"/>
      <c r="BO82" s="110">
        <f t="shared" si="61"/>
        <v>0</v>
      </c>
      <c r="BP82" s="109">
        <f t="shared" si="62"/>
        <v>0</v>
      </c>
      <c r="BQ82" s="111">
        <f t="shared" si="63"/>
        <v>0</v>
      </c>
      <c r="BT82" s="119" t="s">
        <v>300</v>
      </c>
      <c r="BU82" s="40"/>
      <c r="BV82" s="110">
        <f t="shared" si="64"/>
        <v>0</v>
      </c>
      <c r="BW82" s="109">
        <f t="shared" si="65"/>
        <v>0</v>
      </c>
      <c r="BX82" s="111">
        <f t="shared" si="66"/>
        <v>0</v>
      </c>
      <c r="CA82" s="119" t="s">
        <v>300</v>
      </c>
      <c r="CB82" s="40"/>
      <c r="CC82" s="110">
        <f t="shared" si="67"/>
        <v>0</v>
      </c>
      <c r="CD82" s="109">
        <f t="shared" si="68"/>
        <v>0</v>
      </c>
      <c r="CE82" s="111">
        <f t="shared" si="69"/>
        <v>0</v>
      </c>
      <c r="CH82" s="119" t="s">
        <v>300</v>
      </c>
      <c r="CI82" s="40"/>
      <c r="CJ82" s="110">
        <f t="shared" si="70"/>
        <v>0</v>
      </c>
      <c r="CK82" s="109">
        <f t="shared" si="71"/>
        <v>0</v>
      </c>
      <c r="CL82" s="111">
        <f t="shared" si="72"/>
        <v>0</v>
      </c>
      <c r="CO82" s="119" t="s">
        <v>300</v>
      </c>
      <c r="CP82" s="40"/>
      <c r="CQ82" s="110">
        <f t="shared" si="73"/>
        <v>0</v>
      </c>
      <c r="CR82" s="109">
        <f t="shared" si="74"/>
        <v>0</v>
      </c>
      <c r="CS82" s="111">
        <f t="shared" si="75"/>
        <v>0</v>
      </c>
      <c r="CV82" s="119" t="s">
        <v>300</v>
      </c>
      <c r="CW82" s="40"/>
      <c r="CX82" s="110">
        <f t="shared" si="76"/>
        <v>0</v>
      </c>
      <c r="CY82" s="109">
        <f t="shared" si="77"/>
        <v>0</v>
      </c>
      <c r="CZ82" s="111">
        <f t="shared" si="78"/>
        <v>0</v>
      </c>
      <c r="DC82" s="119" t="s">
        <v>300</v>
      </c>
      <c r="DD82" s="40"/>
      <c r="DE82" s="110">
        <f t="shared" si="79"/>
        <v>0</v>
      </c>
      <c r="DF82" s="109">
        <f t="shared" si="80"/>
        <v>0</v>
      </c>
      <c r="DG82" s="111">
        <f t="shared" si="81"/>
        <v>0</v>
      </c>
      <c r="DJ82" s="119" t="s">
        <v>300</v>
      </c>
      <c r="DK82" s="40"/>
      <c r="DL82" s="110">
        <f t="shared" si="82"/>
        <v>0</v>
      </c>
      <c r="DM82" s="109">
        <f t="shared" si="83"/>
        <v>0</v>
      </c>
      <c r="DN82" s="111">
        <f t="shared" si="84"/>
        <v>0</v>
      </c>
      <c r="DQ82" s="119" t="s">
        <v>300</v>
      </c>
      <c r="DR82" s="40"/>
      <c r="DS82" s="110">
        <f t="shared" si="85"/>
        <v>0</v>
      </c>
      <c r="DT82" s="109">
        <f t="shared" si="86"/>
        <v>0</v>
      </c>
      <c r="DU82" s="111">
        <f t="shared" si="87"/>
        <v>0</v>
      </c>
    </row>
    <row r="83">
      <c r="B83" s="119" t="s">
        <v>301</v>
      </c>
      <c r="C83" s="40"/>
      <c r="D83" s="110">
        <f t="shared" ref="D83:D99" si="88">IFERROR(ROUND(C83/FB_Kurs_1,2),0)</f>
        <v>0</v>
      </c>
      <c r="E83" s="109">
        <f t="shared" ref="E83:E99" si="89">ROUND(C83,2)</f>
        <v>0</v>
      </c>
      <c r="F83" s="111">
        <f t="shared" ref="F83:F99" si="90">ROUND(D83,2)</f>
        <v>0</v>
      </c>
      <c r="I83" s="119" t="s">
        <v>301</v>
      </c>
      <c r="J83" s="40"/>
      <c r="K83" s="110">
        <f t="shared" ref="K83:K99" si="91">IFERROR(ROUND(J83/FB_Kurs_2,2),0)</f>
        <v>0</v>
      </c>
      <c r="L83" s="109">
        <f t="shared" ref="L83:L99" si="92">ROUND(J83+E83,2)</f>
        <v>0</v>
      </c>
      <c r="M83" s="111">
        <f t="shared" ref="M83:M99" si="93">ROUND(K83+F83,2)</f>
        <v>0</v>
      </c>
      <c r="P83" s="119" t="s">
        <v>301</v>
      </c>
      <c r="Q83" s="40"/>
      <c r="R83" s="110">
        <f t="shared" ref="R83:R99" si="94">IFERROR(ROUND(Q83/FB_Kurs_3,2),0)</f>
        <v>0</v>
      </c>
      <c r="S83" s="109">
        <f t="shared" ref="S83:S99" si="95">ROUND(Q83+L83,2)</f>
        <v>0</v>
      </c>
      <c r="T83" s="111">
        <f t="shared" ref="T83:T99" si="96">ROUND(R83+M83,2)</f>
        <v>0</v>
      </c>
      <c r="W83" s="119" t="s">
        <v>301</v>
      </c>
      <c r="X83" s="40"/>
      <c r="Y83" s="110">
        <f t="shared" ref="Y83:Y99" si="97">IFERROR(ROUND(X83/FB_Kurs_4,2),0)</f>
        <v>0</v>
      </c>
      <c r="Z83" s="109">
        <f t="shared" ref="Z83:Z99" si="98">ROUND(X83+S83,2)</f>
        <v>0</v>
      </c>
      <c r="AA83" s="111">
        <f t="shared" ref="AA83:AA99" si="99">ROUND(Y83+T83,2)</f>
        <v>0</v>
      </c>
      <c r="AD83" s="119" t="s">
        <v>301</v>
      </c>
      <c r="AE83" s="40"/>
      <c r="AF83" s="110">
        <f t="shared" ref="AF83:AF99" si="100">IFERROR(ROUND(AE83/FB_Kurs_5,2),0)</f>
        <v>0</v>
      </c>
      <c r="AG83" s="109">
        <f t="shared" ref="AG83:AG99" si="101">ROUND(AE83+Z83,2)</f>
        <v>0</v>
      </c>
      <c r="AH83" s="111">
        <f t="shared" ref="AH83:AH99" si="102">ROUND(AF83+AA83,2)</f>
        <v>0</v>
      </c>
      <c r="AK83" s="119" t="s">
        <v>301</v>
      </c>
      <c r="AL83" s="40"/>
      <c r="AM83" s="110">
        <f t="shared" ref="AM83:AM99" si="103">IFERROR(ROUND(AL83/FB_Kurs_6,2),0)</f>
        <v>0</v>
      </c>
      <c r="AN83" s="109">
        <f t="shared" ref="AN83:AN99" si="104">ROUND(AL83+AG83,2)</f>
        <v>0</v>
      </c>
      <c r="AO83" s="111">
        <f t="shared" ref="AO83:AO99" si="105">ROUND(AM83+AH83,2)</f>
        <v>0</v>
      </c>
      <c r="AR83" s="119" t="s">
        <v>301</v>
      </c>
      <c r="AS83" s="40"/>
      <c r="AT83" s="110">
        <f t="shared" ref="AT83:AT99" si="106">IFERROR(ROUND(AS83/FB_Kurs_7,2),0)</f>
        <v>0</v>
      </c>
      <c r="AU83" s="109">
        <f t="shared" ref="AU83:AU99" si="107">ROUND(AS83+AN83,2)</f>
        <v>0</v>
      </c>
      <c r="AV83" s="111">
        <f t="shared" ref="AV83:AV99" si="108">ROUND(AT83+AO83,2)</f>
        <v>0</v>
      </c>
      <c r="AY83" s="119" t="s">
        <v>301</v>
      </c>
      <c r="AZ83" s="40"/>
      <c r="BA83" s="110">
        <f t="shared" ref="BA83:BA99" si="109">IFERROR(ROUND(AZ83/FB_Kurs_8,2),0)</f>
        <v>0</v>
      </c>
      <c r="BB83" s="109">
        <f t="shared" ref="BB83:BB99" si="110">ROUND(AZ83+AU83,2)</f>
        <v>0</v>
      </c>
      <c r="BC83" s="111">
        <f t="shared" ref="BC83:BC99" si="111">ROUND(BA83+AV83,2)</f>
        <v>0</v>
      </c>
      <c r="BF83" s="119" t="s">
        <v>301</v>
      </c>
      <c r="BG83" s="40"/>
      <c r="BH83" s="110">
        <f t="shared" ref="BH83:BH99" si="112">IFERROR(ROUND(BG83/FB_Kurs_9,2),0)</f>
        <v>0</v>
      </c>
      <c r="BI83" s="109">
        <f t="shared" ref="BI83:BI99" si="113">ROUND(BG83+BB83,2)</f>
        <v>0</v>
      </c>
      <c r="BJ83" s="111">
        <f t="shared" ref="BJ83:BJ99" si="114">ROUND(BH83+BC83,2)</f>
        <v>0</v>
      </c>
      <c r="BM83" s="119" t="s">
        <v>301</v>
      </c>
      <c r="BN83" s="40"/>
      <c r="BO83" s="110">
        <f t="shared" ref="BO83:BO99" si="115">IFERROR(ROUND(BN83/FB_Kurs_10,2),0)</f>
        <v>0</v>
      </c>
      <c r="BP83" s="109">
        <f t="shared" ref="BP83:BP99" si="116">ROUND(BN83+BI83,2)</f>
        <v>0</v>
      </c>
      <c r="BQ83" s="111">
        <f t="shared" ref="BQ83:BQ99" si="117">ROUND(BO83+BJ83,2)</f>
        <v>0</v>
      </c>
      <c r="BT83" s="119" t="s">
        <v>301</v>
      </c>
      <c r="BU83" s="40"/>
      <c r="BV83" s="110">
        <f t="shared" ref="BV83:BV99" si="118">IFERROR(ROUND(BU83/FB_Kurs_11,2),0)</f>
        <v>0</v>
      </c>
      <c r="BW83" s="109">
        <f t="shared" ref="BW83:BW99" si="119">ROUND(BU83+BP83,2)</f>
        <v>0</v>
      </c>
      <c r="BX83" s="111">
        <f t="shared" ref="BX83:BX99" si="120">ROUND(BV83+BQ83,2)</f>
        <v>0</v>
      </c>
      <c r="CA83" s="119" t="s">
        <v>301</v>
      </c>
      <c r="CB83" s="40"/>
      <c r="CC83" s="110">
        <f t="shared" ref="CC83:CC99" si="121">IFERROR(ROUND(CB83/FB_Kurs_12,2),0)</f>
        <v>0</v>
      </c>
      <c r="CD83" s="109">
        <f t="shared" ref="CD83:CD99" si="122">ROUND(CB83+BW83,2)</f>
        <v>0</v>
      </c>
      <c r="CE83" s="111">
        <f t="shared" ref="CE83:CE99" si="123">ROUND(CC83+BX83,2)</f>
        <v>0</v>
      </c>
      <c r="CH83" s="119" t="s">
        <v>301</v>
      </c>
      <c r="CI83" s="40"/>
      <c r="CJ83" s="110">
        <f t="shared" ref="CJ83:CJ99" si="124">IFERROR(ROUND(CI83/FB_Kurs_13,2),0)</f>
        <v>0</v>
      </c>
      <c r="CK83" s="109">
        <f t="shared" ref="CK83:CK99" si="125">ROUND(CI83+CD83,2)</f>
        <v>0</v>
      </c>
      <c r="CL83" s="111">
        <f t="shared" ref="CL83:CL99" si="126">ROUND(CJ83+CE83,2)</f>
        <v>0</v>
      </c>
      <c r="CO83" s="119" t="s">
        <v>301</v>
      </c>
      <c r="CP83" s="40"/>
      <c r="CQ83" s="110">
        <f t="shared" ref="CQ83:CQ99" si="127">IFERROR(ROUND(CP83/FB_Kurs_14,2),0)</f>
        <v>0</v>
      </c>
      <c r="CR83" s="109">
        <f t="shared" ref="CR83:CR99" si="128">ROUND(CP83+CK83,2)</f>
        <v>0</v>
      </c>
      <c r="CS83" s="111">
        <f t="shared" ref="CS83:CS99" si="129">ROUND(CQ83+CL83,2)</f>
        <v>0</v>
      </c>
      <c r="CV83" s="119" t="s">
        <v>301</v>
      </c>
      <c r="CW83" s="40"/>
      <c r="CX83" s="110">
        <f t="shared" ref="CX83:CX99" si="130">IFERROR(ROUND(CW83/FB_Kurs_15,2),0)</f>
        <v>0</v>
      </c>
      <c r="CY83" s="109">
        <f t="shared" ref="CY83:CY99" si="131">ROUND(CW83+CR83,2)</f>
        <v>0</v>
      </c>
      <c r="CZ83" s="111">
        <f t="shared" ref="CZ83:CZ99" si="132">ROUND(CX83+CS83,2)</f>
        <v>0</v>
      </c>
      <c r="DC83" s="119" t="s">
        <v>301</v>
      </c>
      <c r="DD83" s="40"/>
      <c r="DE83" s="110">
        <f t="shared" ref="DE83:DE99" si="133">IFERROR(ROUND(DD83/FB_Kurs_16,2),0)</f>
        <v>0</v>
      </c>
      <c r="DF83" s="109">
        <f t="shared" ref="DF83:DF99" si="134">ROUND(DD83+CY83,2)</f>
        <v>0</v>
      </c>
      <c r="DG83" s="111">
        <f t="shared" ref="DG83:DG99" si="135">ROUND(DE83+CZ83,2)</f>
        <v>0</v>
      </c>
      <c r="DJ83" s="119" t="s">
        <v>301</v>
      </c>
      <c r="DK83" s="40"/>
      <c r="DL83" s="110">
        <f t="shared" ref="DL83:DL99" si="136">IFERROR(ROUND(DK83/FB_Kurs_17,2),0)</f>
        <v>0</v>
      </c>
      <c r="DM83" s="109">
        <f t="shared" ref="DM83:DM99" si="137">ROUND(DK83+DF83,2)</f>
        <v>0</v>
      </c>
      <c r="DN83" s="111">
        <f t="shared" ref="DN83:DN99" si="138">ROUND(DL83+DG83,2)</f>
        <v>0</v>
      </c>
      <c r="DQ83" s="119" t="s">
        <v>301</v>
      </c>
      <c r="DR83" s="40"/>
      <c r="DS83" s="110">
        <f t="shared" ref="DS83:DS99" si="139">IFERROR(ROUND(DR83/FB_Kurs_18,2),0)</f>
        <v>0</v>
      </c>
      <c r="DT83" s="109">
        <f t="shared" ref="DT83:DT99" si="140">ROUND(DR83+DM83,2)</f>
        <v>0</v>
      </c>
      <c r="DU83" s="111">
        <f t="shared" ref="DU83:DU99" si="141">ROUND(DS83+DN83,2)</f>
        <v>0</v>
      </c>
    </row>
    <row r="84">
      <c r="B84" s="119" t="s">
        <v>302</v>
      </c>
      <c r="C84" s="40"/>
      <c r="D84" s="110">
        <f t="shared" si="88"/>
        <v>0</v>
      </c>
      <c r="E84" s="109">
        <f t="shared" si="89"/>
        <v>0</v>
      </c>
      <c r="F84" s="111">
        <f t="shared" si="90"/>
        <v>0</v>
      </c>
      <c r="I84" s="119" t="s">
        <v>302</v>
      </c>
      <c r="J84" s="40"/>
      <c r="K84" s="110">
        <f t="shared" si="91"/>
        <v>0</v>
      </c>
      <c r="L84" s="109">
        <f t="shared" si="92"/>
        <v>0</v>
      </c>
      <c r="M84" s="111">
        <f t="shared" si="93"/>
        <v>0</v>
      </c>
      <c r="P84" s="119" t="s">
        <v>302</v>
      </c>
      <c r="Q84" s="40"/>
      <c r="R84" s="110">
        <f t="shared" si="94"/>
        <v>0</v>
      </c>
      <c r="S84" s="109">
        <f t="shared" si="95"/>
        <v>0</v>
      </c>
      <c r="T84" s="111">
        <f t="shared" si="96"/>
        <v>0</v>
      </c>
      <c r="W84" s="119" t="s">
        <v>302</v>
      </c>
      <c r="X84" s="40"/>
      <c r="Y84" s="110">
        <f t="shared" si="97"/>
        <v>0</v>
      </c>
      <c r="Z84" s="109">
        <f t="shared" si="98"/>
        <v>0</v>
      </c>
      <c r="AA84" s="111">
        <f t="shared" si="99"/>
        <v>0</v>
      </c>
      <c r="AD84" s="119" t="s">
        <v>302</v>
      </c>
      <c r="AE84" s="40"/>
      <c r="AF84" s="110">
        <f t="shared" si="100"/>
        <v>0</v>
      </c>
      <c r="AG84" s="109">
        <f t="shared" si="101"/>
        <v>0</v>
      </c>
      <c r="AH84" s="111">
        <f t="shared" si="102"/>
        <v>0</v>
      </c>
      <c r="AK84" s="119" t="s">
        <v>302</v>
      </c>
      <c r="AL84" s="40"/>
      <c r="AM84" s="110">
        <f t="shared" si="103"/>
        <v>0</v>
      </c>
      <c r="AN84" s="109">
        <f t="shared" si="104"/>
        <v>0</v>
      </c>
      <c r="AO84" s="111">
        <f t="shared" si="105"/>
        <v>0</v>
      </c>
      <c r="AR84" s="119" t="s">
        <v>302</v>
      </c>
      <c r="AS84" s="40"/>
      <c r="AT84" s="110">
        <f t="shared" si="106"/>
        <v>0</v>
      </c>
      <c r="AU84" s="109">
        <f t="shared" si="107"/>
        <v>0</v>
      </c>
      <c r="AV84" s="111">
        <f t="shared" si="108"/>
        <v>0</v>
      </c>
      <c r="AY84" s="119" t="s">
        <v>302</v>
      </c>
      <c r="AZ84" s="40"/>
      <c r="BA84" s="110">
        <f t="shared" si="109"/>
        <v>0</v>
      </c>
      <c r="BB84" s="109">
        <f t="shared" si="110"/>
        <v>0</v>
      </c>
      <c r="BC84" s="111">
        <f t="shared" si="111"/>
        <v>0</v>
      </c>
      <c r="BF84" s="119" t="s">
        <v>302</v>
      </c>
      <c r="BG84" s="40"/>
      <c r="BH84" s="110">
        <f t="shared" si="112"/>
        <v>0</v>
      </c>
      <c r="BI84" s="109">
        <f t="shared" si="113"/>
        <v>0</v>
      </c>
      <c r="BJ84" s="111">
        <f t="shared" si="114"/>
        <v>0</v>
      </c>
      <c r="BM84" s="119" t="s">
        <v>302</v>
      </c>
      <c r="BN84" s="40"/>
      <c r="BO84" s="110">
        <f t="shared" si="115"/>
        <v>0</v>
      </c>
      <c r="BP84" s="109">
        <f t="shared" si="116"/>
        <v>0</v>
      </c>
      <c r="BQ84" s="111">
        <f t="shared" si="117"/>
        <v>0</v>
      </c>
      <c r="BT84" s="119" t="s">
        <v>302</v>
      </c>
      <c r="BU84" s="40"/>
      <c r="BV84" s="110">
        <f t="shared" si="118"/>
        <v>0</v>
      </c>
      <c r="BW84" s="109">
        <f t="shared" si="119"/>
        <v>0</v>
      </c>
      <c r="BX84" s="111">
        <f t="shared" si="120"/>
        <v>0</v>
      </c>
      <c r="CA84" s="119" t="s">
        <v>302</v>
      </c>
      <c r="CB84" s="40"/>
      <c r="CC84" s="110">
        <f t="shared" si="121"/>
        <v>0</v>
      </c>
      <c r="CD84" s="109">
        <f t="shared" si="122"/>
        <v>0</v>
      </c>
      <c r="CE84" s="111">
        <f t="shared" si="123"/>
        <v>0</v>
      </c>
      <c r="CH84" s="119" t="s">
        <v>302</v>
      </c>
      <c r="CI84" s="40"/>
      <c r="CJ84" s="110">
        <f t="shared" si="124"/>
        <v>0</v>
      </c>
      <c r="CK84" s="109">
        <f t="shared" si="125"/>
        <v>0</v>
      </c>
      <c r="CL84" s="111">
        <f t="shared" si="126"/>
        <v>0</v>
      </c>
      <c r="CO84" s="119" t="s">
        <v>302</v>
      </c>
      <c r="CP84" s="40"/>
      <c r="CQ84" s="110">
        <f t="shared" si="127"/>
        <v>0</v>
      </c>
      <c r="CR84" s="109">
        <f t="shared" si="128"/>
        <v>0</v>
      </c>
      <c r="CS84" s="111">
        <f t="shared" si="129"/>
        <v>0</v>
      </c>
      <c r="CV84" s="119" t="s">
        <v>302</v>
      </c>
      <c r="CW84" s="40"/>
      <c r="CX84" s="110">
        <f t="shared" si="130"/>
        <v>0</v>
      </c>
      <c r="CY84" s="109">
        <f t="shared" si="131"/>
        <v>0</v>
      </c>
      <c r="CZ84" s="111">
        <f t="shared" si="132"/>
        <v>0</v>
      </c>
      <c r="DC84" s="119" t="s">
        <v>302</v>
      </c>
      <c r="DD84" s="40"/>
      <c r="DE84" s="110">
        <f t="shared" si="133"/>
        <v>0</v>
      </c>
      <c r="DF84" s="109">
        <f t="shared" si="134"/>
        <v>0</v>
      </c>
      <c r="DG84" s="111">
        <f t="shared" si="135"/>
        <v>0</v>
      </c>
      <c r="DJ84" s="119" t="s">
        <v>302</v>
      </c>
      <c r="DK84" s="40"/>
      <c r="DL84" s="110">
        <f t="shared" si="136"/>
        <v>0</v>
      </c>
      <c r="DM84" s="109">
        <f t="shared" si="137"/>
        <v>0</v>
      </c>
      <c r="DN84" s="111">
        <f t="shared" si="138"/>
        <v>0</v>
      </c>
      <c r="DQ84" s="119" t="s">
        <v>302</v>
      </c>
      <c r="DR84" s="40"/>
      <c r="DS84" s="110">
        <f t="shared" si="139"/>
        <v>0</v>
      </c>
      <c r="DT84" s="109">
        <f t="shared" si="140"/>
        <v>0</v>
      </c>
      <c r="DU84" s="111">
        <f t="shared" si="141"/>
        <v>0</v>
      </c>
    </row>
    <row r="85">
      <c r="B85" s="119" t="s">
        <v>303</v>
      </c>
      <c r="C85" s="40"/>
      <c r="D85" s="110">
        <f t="shared" si="88"/>
        <v>0</v>
      </c>
      <c r="E85" s="109">
        <f t="shared" si="89"/>
        <v>0</v>
      </c>
      <c r="F85" s="111">
        <f t="shared" si="90"/>
        <v>0</v>
      </c>
      <c r="I85" s="119" t="s">
        <v>303</v>
      </c>
      <c r="J85" s="40"/>
      <c r="K85" s="110">
        <f t="shared" si="91"/>
        <v>0</v>
      </c>
      <c r="L85" s="109">
        <f t="shared" si="92"/>
        <v>0</v>
      </c>
      <c r="M85" s="111">
        <f t="shared" si="93"/>
        <v>0</v>
      </c>
      <c r="P85" s="119" t="s">
        <v>303</v>
      </c>
      <c r="Q85" s="40"/>
      <c r="R85" s="110">
        <f t="shared" si="94"/>
        <v>0</v>
      </c>
      <c r="S85" s="109">
        <f t="shared" si="95"/>
        <v>0</v>
      </c>
      <c r="T85" s="111">
        <f t="shared" si="96"/>
        <v>0</v>
      </c>
      <c r="W85" s="119" t="s">
        <v>303</v>
      </c>
      <c r="X85" s="40"/>
      <c r="Y85" s="110">
        <f t="shared" si="97"/>
        <v>0</v>
      </c>
      <c r="Z85" s="109">
        <f t="shared" si="98"/>
        <v>0</v>
      </c>
      <c r="AA85" s="111">
        <f t="shared" si="99"/>
        <v>0</v>
      </c>
      <c r="AD85" s="119" t="s">
        <v>303</v>
      </c>
      <c r="AE85" s="40"/>
      <c r="AF85" s="110">
        <f t="shared" si="100"/>
        <v>0</v>
      </c>
      <c r="AG85" s="109">
        <f t="shared" si="101"/>
        <v>0</v>
      </c>
      <c r="AH85" s="111">
        <f t="shared" si="102"/>
        <v>0</v>
      </c>
      <c r="AK85" s="119" t="s">
        <v>303</v>
      </c>
      <c r="AL85" s="40"/>
      <c r="AM85" s="110">
        <f t="shared" si="103"/>
        <v>0</v>
      </c>
      <c r="AN85" s="109">
        <f t="shared" si="104"/>
        <v>0</v>
      </c>
      <c r="AO85" s="111">
        <f t="shared" si="105"/>
        <v>0</v>
      </c>
      <c r="AR85" s="119" t="s">
        <v>303</v>
      </c>
      <c r="AS85" s="40"/>
      <c r="AT85" s="110">
        <f t="shared" si="106"/>
        <v>0</v>
      </c>
      <c r="AU85" s="109">
        <f t="shared" si="107"/>
        <v>0</v>
      </c>
      <c r="AV85" s="111">
        <f t="shared" si="108"/>
        <v>0</v>
      </c>
      <c r="AY85" s="119" t="s">
        <v>303</v>
      </c>
      <c r="AZ85" s="40"/>
      <c r="BA85" s="110">
        <f t="shared" si="109"/>
        <v>0</v>
      </c>
      <c r="BB85" s="109">
        <f t="shared" si="110"/>
        <v>0</v>
      </c>
      <c r="BC85" s="111">
        <f t="shared" si="111"/>
        <v>0</v>
      </c>
      <c r="BF85" s="119" t="s">
        <v>303</v>
      </c>
      <c r="BG85" s="40"/>
      <c r="BH85" s="110">
        <f t="shared" si="112"/>
        <v>0</v>
      </c>
      <c r="BI85" s="109">
        <f t="shared" si="113"/>
        <v>0</v>
      </c>
      <c r="BJ85" s="111">
        <f t="shared" si="114"/>
        <v>0</v>
      </c>
      <c r="BM85" s="119" t="s">
        <v>303</v>
      </c>
      <c r="BN85" s="40"/>
      <c r="BO85" s="110">
        <f t="shared" si="115"/>
        <v>0</v>
      </c>
      <c r="BP85" s="109">
        <f t="shared" si="116"/>
        <v>0</v>
      </c>
      <c r="BQ85" s="111">
        <f t="shared" si="117"/>
        <v>0</v>
      </c>
      <c r="BT85" s="119" t="s">
        <v>303</v>
      </c>
      <c r="BU85" s="40"/>
      <c r="BV85" s="110">
        <f t="shared" si="118"/>
        <v>0</v>
      </c>
      <c r="BW85" s="109">
        <f t="shared" si="119"/>
        <v>0</v>
      </c>
      <c r="BX85" s="111">
        <f t="shared" si="120"/>
        <v>0</v>
      </c>
      <c r="CA85" s="119" t="s">
        <v>303</v>
      </c>
      <c r="CB85" s="40"/>
      <c r="CC85" s="110">
        <f t="shared" si="121"/>
        <v>0</v>
      </c>
      <c r="CD85" s="109">
        <f t="shared" si="122"/>
        <v>0</v>
      </c>
      <c r="CE85" s="111">
        <f t="shared" si="123"/>
        <v>0</v>
      </c>
      <c r="CH85" s="119" t="s">
        <v>303</v>
      </c>
      <c r="CI85" s="40"/>
      <c r="CJ85" s="110">
        <f t="shared" si="124"/>
        <v>0</v>
      </c>
      <c r="CK85" s="109">
        <f t="shared" si="125"/>
        <v>0</v>
      </c>
      <c r="CL85" s="111">
        <f t="shared" si="126"/>
        <v>0</v>
      </c>
      <c r="CO85" s="119" t="s">
        <v>303</v>
      </c>
      <c r="CP85" s="40"/>
      <c r="CQ85" s="110">
        <f t="shared" si="127"/>
        <v>0</v>
      </c>
      <c r="CR85" s="109">
        <f t="shared" si="128"/>
        <v>0</v>
      </c>
      <c r="CS85" s="111">
        <f t="shared" si="129"/>
        <v>0</v>
      </c>
      <c r="CV85" s="119" t="s">
        <v>303</v>
      </c>
      <c r="CW85" s="40"/>
      <c r="CX85" s="110">
        <f t="shared" si="130"/>
        <v>0</v>
      </c>
      <c r="CY85" s="109">
        <f t="shared" si="131"/>
        <v>0</v>
      </c>
      <c r="CZ85" s="111">
        <f t="shared" si="132"/>
        <v>0</v>
      </c>
      <c r="DC85" s="119" t="s">
        <v>303</v>
      </c>
      <c r="DD85" s="40"/>
      <c r="DE85" s="110">
        <f t="shared" si="133"/>
        <v>0</v>
      </c>
      <c r="DF85" s="109">
        <f t="shared" si="134"/>
        <v>0</v>
      </c>
      <c r="DG85" s="111">
        <f t="shared" si="135"/>
        <v>0</v>
      </c>
      <c r="DJ85" s="119" t="s">
        <v>303</v>
      </c>
      <c r="DK85" s="40"/>
      <c r="DL85" s="110">
        <f t="shared" si="136"/>
        <v>0</v>
      </c>
      <c r="DM85" s="109">
        <f t="shared" si="137"/>
        <v>0</v>
      </c>
      <c r="DN85" s="111">
        <f t="shared" si="138"/>
        <v>0</v>
      </c>
      <c r="DQ85" s="119" t="s">
        <v>303</v>
      </c>
      <c r="DR85" s="40"/>
      <c r="DS85" s="110">
        <f t="shared" si="139"/>
        <v>0</v>
      </c>
      <c r="DT85" s="109">
        <f t="shared" si="140"/>
        <v>0</v>
      </c>
      <c r="DU85" s="111">
        <f t="shared" si="141"/>
        <v>0</v>
      </c>
    </row>
    <row r="86">
      <c r="B86" s="119" t="s">
        <v>304</v>
      </c>
      <c r="C86" s="40"/>
      <c r="D86" s="110">
        <f t="shared" si="88"/>
        <v>0</v>
      </c>
      <c r="E86" s="109">
        <f t="shared" si="89"/>
        <v>0</v>
      </c>
      <c r="F86" s="111">
        <f t="shared" si="90"/>
        <v>0</v>
      </c>
      <c r="I86" s="119" t="s">
        <v>304</v>
      </c>
      <c r="J86" s="40"/>
      <c r="K86" s="110">
        <f t="shared" si="91"/>
        <v>0</v>
      </c>
      <c r="L86" s="109">
        <f t="shared" si="92"/>
        <v>0</v>
      </c>
      <c r="M86" s="111">
        <f t="shared" si="93"/>
        <v>0</v>
      </c>
      <c r="P86" s="119" t="s">
        <v>304</v>
      </c>
      <c r="Q86" s="40"/>
      <c r="R86" s="110">
        <f t="shared" si="94"/>
        <v>0</v>
      </c>
      <c r="S86" s="109">
        <f t="shared" si="95"/>
        <v>0</v>
      </c>
      <c r="T86" s="111">
        <f t="shared" si="96"/>
        <v>0</v>
      </c>
      <c r="W86" s="119" t="s">
        <v>304</v>
      </c>
      <c r="X86" s="40"/>
      <c r="Y86" s="110">
        <f t="shared" si="97"/>
        <v>0</v>
      </c>
      <c r="Z86" s="109">
        <f t="shared" si="98"/>
        <v>0</v>
      </c>
      <c r="AA86" s="111">
        <f t="shared" si="99"/>
        <v>0</v>
      </c>
      <c r="AD86" s="119" t="s">
        <v>304</v>
      </c>
      <c r="AE86" s="40"/>
      <c r="AF86" s="110">
        <f t="shared" si="100"/>
        <v>0</v>
      </c>
      <c r="AG86" s="109">
        <f t="shared" si="101"/>
        <v>0</v>
      </c>
      <c r="AH86" s="111">
        <f t="shared" si="102"/>
        <v>0</v>
      </c>
      <c r="AK86" s="119" t="s">
        <v>304</v>
      </c>
      <c r="AL86" s="40"/>
      <c r="AM86" s="110">
        <f t="shared" si="103"/>
        <v>0</v>
      </c>
      <c r="AN86" s="109">
        <f t="shared" si="104"/>
        <v>0</v>
      </c>
      <c r="AO86" s="111">
        <f t="shared" si="105"/>
        <v>0</v>
      </c>
      <c r="AR86" s="119" t="s">
        <v>304</v>
      </c>
      <c r="AS86" s="40"/>
      <c r="AT86" s="110">
        <f t="shared" si="106"/>
        <v>0</v>
      </c>
      <c r="AU86" s="109">
        <f t="shared" si="107"/>
        <v>0</v>
      </c>
      <c r="AV86" s="111">
        <f t="shared" si="108"/>
        <v>0</v>
      </c>
      <c r="AY86" s="119" t="s">
        <v>304</v>
      </c>
      <c r="AZ86" s="40"/>
      <c r="BA86" s="110">
        <f t="shared" si="109"/>
        <v>0</v>
      </c>
      <c r="BB86" s="109">
        <f t="shared" si="110"/>
        <v>0</v>
      </c>
      <c r="BC86" s="111">
        <f t="shared" si="111"/>
        <v>0</v>
      </c>
      <c r="BF86" s="119" t="s">
        <v>304</v>
      </c>
      <c r="BG86" s="40"/>
      <c r="BH86" s="110">
        <f t="shared" si="112"/>
        <v>0</v>
      </c>
      <c r="BI86" s="109">
        <f t="shared" si="113"/>
        <v>0</v>
      </c>
      <c r="BJ86" s="111">
        <f t="shared" si="114"/>
        <v>0</v>
      </c>
      <c r="BM86" s="119" t="s">
        <v>304</v>
      </c>
      <c r="BN86" s="40"/>
      <c r="BO86" s="110">
        <f t="shared" si="115"/>
        <v>0</v>
      </c>
      <c r="BP86" s="109">
        <f t="shared" si="116"/>
        <v>0</v>
      </c>
      <c r="BQ86" s="111">
        <f t="shared" si="117"/>
        <v>0</v>
      </c>
      <c r="BT86" s="119" t="s">
        <v>304</v>
      </c>
      <c r="BU86" s="40"/>
      <c r="BV86" s="110">
        <f t="shared" si="118"/>
        <v>0</v>
      </c>
      <c r="BW86" s="109">
        <f t="shared" si="119"/>
        <v>0</v>
      </c>
      <c r="BX86" s="111">
        <f t="shared" si="120"/>
        <v>0</v>
      </c>
      <c r="CA86" s="119" t="s">
        <v>304</v>
      </c>
      <c r="CB86" s="40"/>
      <c r="CC86" s="110">
        <f t="shared" si="121"/>
        <v>0</v>
      </c>
      <c r="CD86" s="109">
        <f t="shared" si="122"/>
        <v>0</v>
      </c>
      <c r="CE86" s="111">
        <f t="shared" si="123"/>
        <v>0</v>
      </c>
      <c r="CH86" s="119" t="s">
        <v>304</v>
      </c>
      <c r="CI86" s="40"/>
      <c r="CJ86" s="110">
        <f t="shared" si="124"/>
        <v>0</v>
      </c>
      <c r="CK86" s="109">
        <f t="shared" si="125"/>
        <v>0</v>
      </c>
      <c r="CL86" s="111">
        <f t="shared" si="126"/>
        <v>0</v>
      </c>
      <c r="CO86" s="119" t="s">
        <v>304</v>
      </c>
      <c r="CP86" s="40"/>
      <c r="CQ86" s="110">
        <f t="shared" si="127"/>
        <v>0</v>
      </c>
      <c r="CR86" s="109">
        <f t="shared" si="128"/>
        <v>0</v>
      </c>
      <c r="CS86" s="111">
        <f t="shared" si="129"/>
        <v>0</v>
      </c>
      <c r="CV86" s="119" t="s">
        <v>304</v>
      </c>
      <c r="CW86" s="40"/>
      <c r="CX86" s="110">
        <f t="shared" si="130"/>
        <v>0</v>
      </c>
      <c r="CY86" s="109">
        <f t="shared" si="131"/>
        <v>0</v>
      </c>
      <c r="CZ86" s="111">
        <f t="shared" si="132"/>
        <v>0</v>
      </c>
      <c r="DC86" s="119" t="s">
        <v>304</v>
      </c>
      <c r="DD86" s="40"/>
      <c r="DE86" s="110">
        <f t="shared" si="133"/>
        <v>0</v>
      </c>
      <c r="DF86" s="109">
        <f t="shared" si="134"/>
        <v>0</v>
      </c>
      <c r="DG86" s="111">
        <f t="shared" si="135"/>
        <v>0</v>
      </c>
      <c r="DJ86" s="119" t="s">
        <v>304</v>
      </c>
      <c r="DK86" s="40"/>
      <c r="DL86" s="110">
        <f t="shared" si="136"/>
        <v>0</v>
      </c>
      <c r="DM86" s="109">
        <f t="shared" si="137"/>
        <v>0</v>
      </c>
      <c r="DN86" s="111">
        <f t="shared" si="138"/>
        <v>0</v>
      </c>
      <c r="DQ86" s="119" t="s">
        <v>304</v>
      </c>
      <c r="DR86" s="40"/>
      <c r="DS86" s="110">
        <f t="shared" si="139"/>
        <v>0</v>
      </c>
      <c r="DT86" s="109">
        <f t="shared" si="140"/>
        <v>0</v>
      </c>
      <c r="DU86" s="111">
        <f t="shared" si="141"/>
        <v>0</v>
      </c>
    </row>
    <row r="87">
      <c r="B87" s="119" t="s">
        <v>305</v>
      </c>
      <c r="C87" s="40"/>
      <c r="D87" s="110">
        <f t="shared" si="88"/>
        <v>0</v>
      </c>
      <c r="E87" s="109">
        <f t="shared" si="89"/>
        <v>0</v>
      </c>
      <c r="F87" s="111">
        <f t="shared" si="90"/>
        <v>0</v>
      </c>
      <c r="I87" s="119" t="s">
        <v>305</v>
      </c>
      <c r="J87" s="40"/>
      <c r="K87" s="110">
        <f t="shared" si="91"/>
        <v>0</v>
      </c>
      <c r="L87" s="109">
        <f t="shared" si="92"/>
        <v>0</v>
      </c>
      <c r="M87" s="111">
        <f t="shared" si="93"/>
        <v>0</v>
      </c>
      <c r="P87" s="119" t="s">
        <v>305</v>
      </c>
      <c r="Q87" s="40"/>
      <c r="R87" s="110">
        <f t="shared" si="94"/>
        <v>0</v>
      </c>
      <c r="S87" s="109">
        <f t="shared" si="95"/>
        <v>0</v>
      </c>
      <c r="T87" s="111">
        <f t="shared" si="96"/>
        <v>0</v>
      </c>
      <c r="W87" s="119" t="s">
        <v>305</v>
      </c>
      <c r="X87" s="40"/>
      <c r="Y87" s="110">
        <f t="shared" si="97"/>
        <v>0</v>
      </c>
      <c r="Z87" s="109">
        <f t="shared" si="98"/>
        <v>0</v>
      </c>
      <c r="AA87" s="111">
        <f t="shared" si="99"/>
        <v>0</v>
      </c>
      <c r="AD87" s="119" t="s">
        <v>305</v>
      </c>
      <c r="AE87" s="40"/>
      <c r="AF87" s="110">
        <f t="shared" si="100"/>
        <v>0</v>
      </c>
      <c r="AG87" s="109">
        <f t="shared" si="101"/>
        <v>0</v>
      </c>
      <c r="AH87" s="111">
        <f t="shared" si="102"/>
        <v>0</v>
      </c>
      <c r="AK87" s="119" t="s">
        <v>305</v>
      </c>
      <c r="AL87" s="40"/>
      <c r="AM87" s="110">
        <f t="shared" si="103"/>
        <v>0</v>
      </c>
      <c r="AN87" s="109">
        <f t="shared" si="104"/>
        <v>0</v>
      </c>
      <c r="AO87" s="111">
        <f t="shared" si="105"/>
        <v>0</v>
      </c>
      <c r="AR87" s="119" t="s">
        <v>305</v>
      </c>
      <c r="AS87" s="40"/>
      <c r="AT87" s="110">
        <f t="shared" si="106"/>
        <v>0</v>
      </c>
      <c r="AU87" s="109">
        <f t="shared" si="107"/>
        <v>0</v>
      </c>
      <c r="AV87" s="111">
        <f t="shared" si="108"/>
        <v>0</v>
      </c>
      <c r="AY87" s="119" t="s">
        <v>305</v>
      </c>
      <c r="AZ87" s="40"/>
      <c r="BA87" s="110">
        <f t="shared" si="109"/>
        <v>0</v>
      </c>
      <c r="BB87" s="109">
        <f t="shared" si="110"/>
        <v>0</v>
      </c>
      <c r="BC87" s="111">
        <f t="shared" si="111"/>
        <v>0</v>
      </c>
      <c r="BF87" s="119" t="s">
        <v>305</v>
      </c>
      <c r="BG87" s="40"/>
      <c r="BH87" s="110">
        <f t="shared" si="112"/>
        <v>0</v>
      </c>
      <c r="BI87" s="109">
        <f t="shared" si="113"/>
        <v>0</v>
      </c>
      <c r="BJ87" s="111">
        <f t="shared" si="114"/>
        <v>0</v>
      </c>
      <c r="BM87" s="119" t="s">
        <v>305</v>
      </c>
      <c r="BN87" s="40"/>
      <c r="BO87" s="110">
        <f t="shared" si="115"/>
        <v>0</v>
      </c>
      <c r="BP87" s="109">
        <f t="shared" si="116"/>
        <v>0</v>
      </c>
      <c r="BQ87" s="111">
        <f t="shared" si="117"/>
        <v>0</v>
      </c>
      <c r="BT87" s="119" t="s">
        <v>305</v>
      </c>
      <c r="BU87" s="40"/>
      <c r="BV87" s="110">
        <f t="shared" si="118"/>
        <v>0</v>
      </c>
      <c r="BW87" s="109">
        <f t="shared" si="119"/>
        <v>0</v>
      </c>
      <c r="BX87" s="111">
        <f t="shared" si="120"/>
        <v>0</v>
      </c>
      <c r="CA87" s="119" t="s">
        <v>305</v>
      </c>
      <c r="CB87" s="40"/>
      <c r="CC87" s="110">
        <f t="shared" si="121"/>
        <v>0</v>
      </c>
      <c r="CD87" s="109">
        <f t="shared" si="122"/>
        <v>0</v>
      </c>
      <c r="CE87" s="111">
        <f t="shared" si="123"/>
        <v>0</v>
      </c>
      <c r="CH87" s="119" t="s">
        <v>305</v>
      </c>
      <c r="CI87" s="40"/>
      <c r="CJ87" s="110">
        <f t="shared" si="124"/>
        <v>0</v>
      </c>
      <c r="CK87" s="109">
        <f t="shared" si="125"/>
        <v>0</v>
      </c>
      <c r="CL87" s="111">
        <f t="shared" si="126"/>
        <v>0</v>
      </c>
      <c r="CO87" s="119" t="s">
        <v>305</v>
      </c>
      <c r="CP87" s="40"/>
      <c r="CQ87" s="110">
        <f t="shared" si="127"/>
        <v>0</v>
      </c>
      <c r="CR87" s="109">
        <f t="shared" si="128"/>
        <v>0</v>
      </c>
      <c r="CS87" s="111">
        <f t="shared" si="129"/>
        <v>0</v>
      </c>
      <c r="CV87" s="119" t="s">
        <v>305</v>
      </c>
      <c r="CW87" s="40"/>
      <c r="CX87" s="110">
        <f t="shared" si="130"/>
        <v>0</v>
      </c>
      <c r="CY87" s="109">
        <f t="shared" si="131"/>
        <v>0</v>
      </c>
      <c r="CZ87" s="111">
        <f t="shared" si="132"/>
        <v>0</v>
      </c>
      <c r="DC87" s="119" t="s">
        <v>305</v>
      </c>
      <c r="DD87" s="40"/>
      <c r="DE87" s="110">
        <f t="shared" si="133"/>
        <v>0</v>
      </c>
      <c r="DF87" s="109">
        <f t="shared" si="134"/>
        <v>0</v>
      </c>
      <c r="DG87" s="111">
        <f t="shared" si="135"/>
        <v>0</v>
      </c>
      <c r="DJ87" s="119" t="s">
        <v>305</v>
      </c>
      <c r="DK87" s="40"/>
      <c r="DL87" s="110">
        <f t="shared" si="136"/>
        <v>0</v>
      </c>
      <c r="DM87" s="109">
        <f t="shared" si="137"/>
        <v>0</v>
      </c>
      <c r="DN87" s="111">
        <f t="shared" si="138"/>
        <v>0</v>
      </c>
      <c r="DQ87" s="119" t="s">
        <v>305</v>
      </c>
      <c r="DR87" s="40"/>
      <c r="DS87" s="110">
        <f t="shared" si="139"/>
        <v>0</v>
      </c>
      <c r="DT87" s="109">
        <f t="shared" si="140"/>
        <v>0</v>
      </c>
      <c r="DU87" s="111">
        <f t="shared" si="141"/>
        <v>0</v>
      </c>
    </row>
    <row r="88">
      <c r="B88" s="119" t="s">
        <v>306</v>
      </c>
      <c r="C88" s="40"/>
      <c r="D88" s="110">
        <f t="shared" si="88"/>
        <v>0</v>
      </c>
      <c r="E88" s="109">
        <f t="shared" si="89"/>
        <v>0</v>
      </c>
      <c r="F88" s="111">
        <f t="shared" si="90"/>
        <v>0</v>
      </c>
      <c r="I88" s="119" t="s">
        <v>306</v>
      </c>
      <c r="J88" s="40"/>
      <c r="K88" s="110">
        <f t="shared" si="91"/>
        <v>0</v>
      </c>
      <c r="L88" s="109">
        <f t="shared" si="92"/>
        <v>0</v>
      </c>
      <c r="M88" s="111">
        <f t="shared" si="93"/>
        <v>0</v>
      </c>
      <c r="P88" s="119" t="s">
        <v>306</v>
      </c>
      <c r="Q88" s="40"/>
      <c r="R88" s="110">
        <f t="shared" si="94"/>
        <v>0</v>
      </c>
      <c r="S88" s="109">
        <f t="shared" si="95"/>
        <v>0</v>
      </c>
      <c r="T88" s="111">
        <f t="shared" si="96"/>
        <v>0</v>
      </c>
      <c r="W88" s="119" t="s">
        <v>306</v>
      </c>
      <c r="X88" s="40"/>
      <c r="Y88" s="110">
        <f t="shared" si="97"/>
        <v>0</v>
      </c>
      <c r="Z88" s="109">
        <f t="shared" si="98"/>
        <v>0</v>
      </c>
      <c r="AA88" s="111">
        <f t="shared" si="99"/>
        <v>0</v>
      </c>
      <c r="AD88" s="119" t="s">
        <v>306</v>
      </c>
      <c r="AE88" s="40"/>
      <c r="AF88" s="110">
        <f t="shared" si="100"/>
        <v>0</v>
      </c>
      <c r="AG88" s="109">
        <f t="shared" si="101"/>
        <v>0</v>
      </c>
      <c r="AH88" s="111">
        <f t="shared" si="102"/>
        <v>0</v>
      </c>
      <c r="AK88" s="119" t="s">
        <v>306</v>
      </c>
      <c r="AL88" s="40"/>
      <c r="AM88" s="110">
        <f t="shared" si="103"/>
        <v>0</v>
      </c>
      <c r="AN88" s="109">
        <f t="shared" si="104"/>
        <v>0</v>
      </c>
      <c r="AO88" s="111">
        <f t="shared" si="105"/>
        <v>0</v>
      </c>
      <c r="AR88" s="119" t="s">
        <v>306</v>
      </c>
      <c r="AS88" s="40"/>
      <c r="AT88" s="110">
        <f t="shared" si="106"/>
        <v>0</v>
      </c>
      <c r="AU88" s="109">
        <f t="shared" si="107"/>
        <v>0</v>
      </c>
      <c r="AV88" s="111">
        <f t="shared" si="108"/>
        <v>0</v>
      </c>
      <c r="AY88" s="119" t="s">
        <v>306</v>
      </c>
      <c r="AZ88" s="40"/>
      <c r="BA88" s="110">
        <f t="shared" si="109"/>
        <v>0</v>
      </c>
      <c r="BB88" s="109">
        <f t="shared" si="110"/>
        <v>0</v>
      </c>
      <c r="BC88" s="111">
        <f t="shared" si="111"/>
        <v>0</v>
      </c>
      <c r="BF88" s="119" t="s">
        <v>306</v>
      </c>
      <c r="BG88" s="40"/>
      <c r="BH88" s="110">
        <f t="shared" si="112"/>
        <v>0</v>
      </c>
      <c r="BI88" s="109">
        <f t="shared" si="113"/>
        <v>0</v>
      </c>
      <c r="BJ88" s="111">
        <f t="shared" si="114"/>
        <v>0</v>
      </c>
      <c r="BM88" s="119" t="s">
        <v>306</v>
      </c>
      <c r="BN88" s="40"/>
      <c r="BO88" s="110">
        <f t="shared" si="115"/>
        <v>0</v>
      </c>
      <c r="BP88" s="109">
        <f t="shared" si="116"/>
        <v>0</v>
      </c>
      <c r="BQ88" s="111">
        <f t="shared" si="117"/>
        <v>0</v>
      </c>
      <c r="BT88" s="119" t="s">
        <v>306</v>
      </c>
      <c r="BU88" s="40"/>
      <c r="BV88" s="110">
        <f t="shared" si="118"/>
        <v>0</v>
      </c>
      <c r="BW88" s="109">
        <f t="shared" si="119"/>
        <v>0</v>
      </c>
      <c r="BX88" s="111">
        <f t="shared" si="120"/>
        <v>0</v>
      </c>
      <c r="CA88" s="119" t="s">
        <v>306</v>
      </c>
      <c r="CB88" s="40"/>
      <c r="CC88" s="110">
        <f t="shared" si="121"/>
        <v>0</v>
      </c>
      <c r="CD88" s="109">
        <f t="shared" si="122"/>
        <v>0</v>
      </c>
      <c r="CE88" s="111">
        <f t="shared" si="123"/>
        <v>0</v>
      </c>
      <c r="CH88" s="119" t="s">
        <v>306</v>
      </c>
      <c r="CI88" s="40"/>
      <c r="CJ88" s="110">
        <f t="shared" si="124"/>
        <v>0</v>
      </c>
      <c r="CK88" s="109">
        <f t="shared" si="125"/>
        <v>0</v>
      </c>
      <c r="CL88" s="111">
        <f t="shared" si="126"/>
        <v>0</v>
      </c>
      <c r="CO88" s="119" t="s">
        <v>306</v>
      </c>
      <c r="CP88" s="40"/>
      <c r="CQ88" s="110">
        <f t="shared" si="127"/>
        <v>0</v>
      </c>
      <c r="CR88" s="109">
        <f t="shared" si="128"/>
        <v>0</v>
      </c>
      <c r="CS88" s="111">
        <f t="shared" si="129"/>
        <v>0</v>
      </c>
      <c r="CV88" s="119" t="s">
        <v>306</v>
      </c>
      <c r="CW88" s="40"/>
      <c r="CX88" s="110">
        <f t="shared" si="130"/>
        <v>0</v>
      </c>
      <c r="CY88" s="109">
        <f t="shared" si="131"/>
        <v>0</v>
      </c>
      <c r="CZ88" s="111">
        <f t="shared" si="132"/>
        <v>0</v>
      </c>
      <c r="DC88" s="119" t="s">
        <v>306</v>
      </c>
      <c r="DD88" s="40"/>
      <c r="DE88" s="110">
        <f t="shared" si="133"/>
        <v>0</v>
      </c>
      <c r="DF88" s="109">
        <f t="shared" si="134"/>
        <v>0</v>
      </c>
      <c r="DG88" s="111">
        <f t="shared" si="135"/>
        <v>0</v>
      </c>
      <c r="DJ88" s="119" t="s">
        <v>306</v>
      </c>
      <c r="DK88" s="40"/>
      <c r="DL88" s="110">
        <f t="shared" si="136"/>
        <v>0</v>
      </c>
      <c r="DM88" s="109">
        <f t="shared" si="137"/>
        <v>0</v>
      </c>
      <c r="DN88" s="111">
        <f t="shared" si="138"/>
        <v>0</v>
      </c>
      <c r="DQ88" s="119" t="s">
        <v>306</v>
      </c>
      <c r="DR88" s="40"/>
      <c r="DS88" s="110">
        <f t="shared" si="139"/>
        <v>0</v>
      </c>
      <c r="DT88" s="109">
        <f t="shared" si="140"/>
        <v>0</v>
      </c>
      <c r="DU88" s="111">
        <f t="shared" si="141"/>
        <v>0</v>
      </c>
    </row>
    <row r="89">
      <c r="B89" s="119" t="s">
        <v>307</v>
      </c>
      <c r="C89" s="40"/>
      <c r="D89" s="110">
        <f t="shared" si="88"/>
        <v>0</v>
      </c>
      <c r="E89" s="109">
        <f t="shared" si="89"/>
        <v>0</v>
      </c>
      <c r="F89" s="111">
        <f t="shared" si="90"/>
        <v>0</v>
      </c>
      <c r="I89" s="119" t="s">
        <v>307</v>
      </c>
      <c r="J89" s="40"/>
      <c r="K89" s="110">
        <f t="shared" si="91"/>
        <v>0</v>
      </c>
      <c r="L89" s="109">
        <f t="shared" si="92"/>
        <v>0</v>
      </c>
      <c r="M89" s="111">
        <f t="shared" si="93"/>
        <v>0</v>
      </c>
      <c r="P89" s="119" t="s">
        <v>307</v>
      </c>
      <c r="Q89" s="40"/>
      <c r="R89" s="110">
        <f t="shared" si="94"/>
        <v>0</v>
      </c>
      <c r="S89" s="109">
        <f t="shared" si="95"/>
        <v>0</v>
      </c>
      <c r="T89" s="111">
        <f t="shared" si="96"/>
        <v>0</v>
      </c>
      <c r="W89" s="119" t="s">
        <v>307</v>
      </c>
      <c r="X89" s="40"/>
      <c r="Y89" s="110">
        <f t="shared" si="97"/>
        <v>0</v>
      </c>
      <c r="Z89" s="109">
        <f t="shared" si="98"/>
        <v>0</v>
      </c>
      <c r="AA89" s="111">
        <f t="shared" si="99"/>
        <v>0</v>
      </c>
      <c r="AD89" s="119" t="s">
        <v>307</v>
      </c>
      <c r="AE89" s="40"/>
      <c r="AF89" s="110">
        <f t="shared" si="100"/>
        <v>0</v>
      </c>
      <c r="AG89" s="109">
        <f t="shared" si="101"/>
        <v>0</v>
      </c>
      <c r="AH89" s="111">
        <f t="shared" si="102"/>
        <v>0</v>
      </c>
      <c r="AK89" s="119" t="s">
        <v>307</v>
      </c>
      <c r="AL89" s="40"/>
      <c r="AM89" s="110">
        <f t="shared" si="103"/>
        <v>0</v>
      </c>
      <c r="AN89" s="109">
        <f t="shared" si="104"/>
        <v>0</v>
      </c>
      <c r="AO89" s="111">
        <f t="shared" si="105"/>
        <v>0</v>
      </c>
      <c r="AR89" s="119" t="s">
        <v>307</v>
      </c>
      <c r="AS89" s="40"/>
      <c r="AT89" s="110">
        <f t="shared" si="106"/>
        <v>0</v>
      </c>
      <c r="AU89" s="109">
        <f t="shared" si="107"/>
        <v>0</v>
      </c>
      <c r="AV89" s="111">
        <f t="shared" si="108"/>
        <v>0</v>
      </c>
      <c r="AY89" s="119" t="s">
        <v>307</v>
      </c>
      <c r="AZ89" s="40"/>
      <c r="BA89" s="110">
        <f t="shared" si="109"/>
        <v>0</v>
      </c>
      <c r="BB89" s="109">
        <f t="shared" si="110"/>
        <v>0</v>
      </c>
      <c r="BC89" s="111">
        <f t="shared" si="111"/>
        <v>0</v>
      </c>
      <c r="BF89" s="119" t="s">
        <v>307</v>
      </c>
      <c r="BG89" s="40"/>
      <c r="BH89" s="110">
        <f t="shared" si="112"/>
        <v>0</v>
      </c>
      <c r="BI89" s="109">
        <f t="shared" si="113"/>
        <v>0</v>
      </c>
      <c r="BJ89" s="111">
        <f t="shared" si="114"/>
        <v>0</v>
      </c>
      <c r="BM89" s="119" t="s">
        <v>307</v>
      </c>
      <c r="BN89" s="40"/>
      <c r="BO89" s="110">
        <f t="shared" si="115"/>
        <v>0</v>
      </c>
      <c r="BP89" s="109">
        <f t="shared" si="116"/>
        <v>0</v>
      </c>
      <c r="BQ89" s="111">
        <f t="shared" si="117"/>
        <v>0</v>
      </c>
      <c r="BT89" s="119" t="s">
        <v>307</v>
      </c>
      <c r="BU89" s="40"/>
      <c r="BV89" s="110">
        <f t="shared" si="118"/>
        <v>0</v>
      </c>
      <c r="BW89" s="109">
        <f t="shared" si="119"/>
        <v>0</v>
      </c>
      <c r="BX89" s="111">
        <f t="shared" si="120"/>
        <v>0</v>
      </c>
      <c r="CA89" s="119" t="s">
        <v>307</v>
      </c>
      <c r="CB89" s="40"/>
      <c r="CC89" s="110">
        <f t="shared" si="121"/>
        <v>0</v>
      </c>
      <c r="CD89" s="109">
        <f t="shared" si="122"/>
        <v>0</v>
      </c>
      <c r="CE89" s="111">
        <f t="shared" si="123"/>
        <v>0</v>
      </c>
      <c r="CH89" s="119" t="s">
        <v>307</v>
      </c>
      <c r="CI89" s="40"/>
      <c r="CJ89" s="110">
        <f t="shared" si="124"/>
        <v>0</v>
      </c>
      <c r="CK89" s="109">
        <f t="shared" si="125"/>
        <v>0</v>
      </c>
      <c r="CL89" s="111">
        <f t="shared" si="126"/>
        <v>0</v>
      </c>
      <c r="CO89" s="119" t="s">
        <v>307</v>
      </c>
      <c r="CP89" s="40"/>
      <c r="CQ89" s="110">
        <f t="shared" si="127"/>
        <v>0</v>
      </c>
      <c r="CR89" s="109">
        <f t="shared" si="128"/>
        <v>0</v>
      </c>
      <c r="CS89" s="111">
        <f t="shared" si="129"/>
        <v>0</v>
      </c>
      <c r="CV89" s="119" t="s">
        <v>307</v>
      </c>
      <c r="CW89" s="40"/>
      <c r="CX89" s="110">
        <f t="shared" si="130"/>
        <v>0</v>
      </c>
      <c r="CY89" s="109">
        <f t="shared" si="131"/>
        <v>0</v>
      </c>
      <c r="CZ89" s="111">
        <f t="shared" si="132"/>
        <v>0</v>
      </c>
      <c r="DC89" s="119" t="s">
        <v>307</v>
      </c>
      <c r="DD89" s="40"/>
      <c r="DE89" s="110">
        <f t="shared" si="133"/>
        <v>0</v>
      </c>
      <c r="DF89" s="109">
        <f t="shared" si="134"/>
        <v>0</v>
      </c>
      <c r="DG89" s="111">
        <f t="shared" si="135"/>
        <v>0</v>
      </c>
      <c r="DJ89" s="119" t="s">
        <v>307</v>
      </c>
      <c r="DK89" s="40"/>
      <c r="DL89" s="110">
        <f t="shared" si="136"/>
        <v>0</v>
      </c>
      <c r="DM89" s="109">
        <f t="shared" si="137"/>
        <v>0</v>
      </c>
      <c r="DN89" s="111">
        <f t="shared" si="138"/>
        <v>0</v>
      </c>
      <c r="DQ89" s="119" t="s">
        <v>307</v>
      </c>
      <c r="DR89" s="40"/>
      <c r="DS89" s="110">
        <f t="shared" si="139"/>
        <v>0</v>
      </c>
      <c r="DT89" s="109">
        <f t="shared" si="140"/>
        <v>0</v>
      </c>
      <c r="DU89" s="111">
        <f t="shared" si="141"/>
        <v>0</v>
      </c>
    </row>
    <row r="90">
      <c r="B90" s="119" t="s">
        <v>308</v>
      </c>
      <c r="C90" s="40"/>
      <c r="D90" s="110">
        <f t="shared" si="88"/>
        <v>0</v>
      </c>
      <c r="E90" s="109">
        <f t="shared" si="89"/>
        <v>0</v>
      </c>
      <c r="F90" s="111">
        <f t="shared" si="90"/>
        <v>0</v>
      </c>
      <c r="I90" s="119" t="s">
        <v>308</v>
      </c>
      <c r="J90" s="40"/>
      <c r="K90" s="110">
        <f t="shared" si="91"/>
        <v>0</v>
      </c>
      <c r="L90" s="109">
        <f t="shared" si="92"/>
        <v>0</v>
      </c>
      <c r="M90" s="111">
        <f t="shared" si="93"/>
        <v>0</v>
      </c>
      <c r="P90" s="119" t="s">
        <v>308</v>
      </c>
      <c r="Q90" s="40"/>
      <c r="R90" s="110">
        <f t="shared" si="94"/>
        <v>0</v>
      </c>
      <c r="S90" s="109">
        <f t="shared" si="95"/>
        <v>0</v>
      </c>
      <c r="T90" s="111">
        <f t="shared" si="96"/>
        <v>0</v>
      </c>
      <c r="W90" s="119" t="s">
        <v>308</v>
      </c>
      <c r="X90" s="40"/>
      <c r="Y90" s="110">
        <f t="shared" si="97"/>
        <v>0</v>
      </c>
      <c r="Z90" s="109">
        <f t="shared" si="98"/>
        <v>0</v>
      </c>
      <c r="AA90" s="111">
        <f t="shared" si="99"/>
        <v>0</v>
      </c>
      <c r="AD90" s="119" t="s">
        <v>308</v>
      </c>
      <c r="AE90" s="40"/>
      <c r="AF90" s="110">
        <f t="shared" si="100"/>
        <v>0</v>
      </c>
      <c r="AG90" s="109">
        <f t="shared" si="101"/>
        <v>0</v>
      </c>
      <c r="AH90" s="111">
        <f t="shared" si="102"/>
        <v>0</v>
      </c>
      <c r="AK90" s="119" t="s">
        <v>308</v>
      </c>
      <c r="AL90" s="40"/>
      <c r="AM90" s="110">
        <f t="shared" si="103"/>
        <v>0</v>
      </c>
      <c r="AN90" s="109">
        <f t="shared" si="104"/>
        <v>0</v>
      </c>
      <c r="AO90" s="111">
        <f t="shared" si="105"/>
        <v>0</v>
      </c>
      <c r="AR90" s="119" t="s">
        <v>308</v>
      </c>
      <c r="AS90" s="40"/>
      <c r="AT90" s="110">
        <f t="shared" si="106"/>
        <v>0</v>
      </c>
      <c r="AU90" s="109">
        <f t="shared" si="107"/>
        <v>0</v>
      </c>
      <c r="AV90" s="111">
        <f t="shared" si="108"/>
        <v>0</v>
      </c>
      <c r="AY90" s="119" t="s">
        <v>308</v>
      </c>
      <c r="AZ90" s="40"/>
      <c r="BA90" s="110">
        <f t="shared" si="109"/>
        <v>0</v>
      </c>
      <c r="BB90" s="109">
        <f t="shared" si="110"/>
        <v>0</v>
      </c>
      <c r="BC90" s="111">
        <f t="shared" si="111"/>
        <v>0</v>
      </c>
      <c r="BF90" s="119" t="s">
        <v>308</v>
      </c>
      <c r="BG90" s="40"/>
      <c r="BH90" s="110">
        <f t="shared" si="112"/>
        <v>0</v>
      </c>
      <c r="BI90" s="109">
        <f t="shared" si="113"/>
        <v>0</v>
      </c>
      <c r="BJ90" s="111">
        <f t="shared" si="114"/>
        <v>0</v>
      </c>
      <c r="BM90" s="119" t="s">
        <v>308</v>
      </c>
      <c r="BN90" s="40"/>
      <c r="BO90" s="110">
        <f t="shared" si="115"/>
        <v>0</v>
      </c>
      <c r="BP90" s="109">
        <f t="shared" si="116"/>
        <v>0</v>
      </c>
      <c r="BQ90" s="111">
        <f t="shared" si="117"/>
        <v>0</v>
      </c>
      <c r="BT90" s="119" t="s">
        <v>308</v>
      </c>
      <c r="BU90" s="40"/>
      <c r="BV90" s="110">
        <f t="shared" si="118"/>
        <v>0</v>
      </c>
      <c r="BW90" s="109">
        <f t="shared" si="119"/>
        <v>0</v>
      </c>
      <c r="BX90" s="111">
        <f t="shared" si="120"/>
        <v>0</v>
      </c>
      <c r="CA90" s="119" t="s">
        <v>308</v>
      </c>
      <c r="CB90" s="40"/>
      <c r="CC90" s="110">
        <f t="shared" si="121"/>
        <v>0</v>
      </c>
      <c r="CD90" s="109">
        <f t="shared" si="122"/>
        <v>0</v>
      </c>
      <c r="CE90" s="111">
        <f t="shared" si="123"/>
        <v>0</v>
      </c>
      <c r="CH90" s="119" t="s">
        <v>308</v>
      </c>
      <c r="CI90" s="40"/>
      <c r="CJ90" s="110">
        <f t="shared" si="124"/>
        <v>0</v>
      </c>
      <c r="CK90" s="109">
        <f t="shared" si="125"/>
        <v>0</v>
      </c>
      <c r="CL90" s="111">
        <f t="shared" si="126"/>
        <v>0</v>
      </c>
      <c r="CO90" s="119" t="s">
        <v>308</v>
      </c>
      <c r="CP90" s="40"/>
      <c r="CQ90" s="110">
        <f t="shared" si="127"/>
        <v>0</v>
      </c>
      <c r="CR90" s="109">
        <f t="shared" si="128"/>
        <v>0</v>
      </c>
      <c r="CS90" s="111">
        <f t="shared" si="129"/>
        <v>0</v>
      </c>
      <c r="CV90" s="119" t="s">
        <v>308</v>
      </c>
      <c r="CW90" s="40"/>
      <c r="CX90" s="110">
        <f t="shared" si="130"/>
        <v>0</v>
      </c>
      <c r="CY90" s="109">
        <f t="shared" si="131"/>
        <v>0</v>
      </c>
      <c r="CZ90" s="111">
        <f t="shared" si="132"/>
        <v>0</v>
      </c>
      <c r="DC90" s="119" t="s">
        <v>308</v>
      </c>
      <c r="DD90" s="40"/>
      <c r="DE90" s="110">
        <f t="shared" si="133"/>
        <v>0</v>
      </c>
      <c r="DF90" s="109">
        <f t="shared" si="134"/>
        <v>0</v>
      </c>
      <c r="DG90" s="111">
        <f t="shared" si="135"/>
        <v>0</v>
      </c>
      <c r="DJ90" s="119" t="s">
        <v>308</v>
      </c>
      <c r="DK90" s="40"/>
      <c r="DL90" s="110">
        <f t="shared" si="136"/>
        <v>0</v>
      </c>
      <c r="DM90" s="109">
        <f t="shared" si="137"/>
        <v>0</v>
      </c>
      <c r="DN90" s="111">
        <f t="shared" si="138"/>
        <v>0</v>
      </c>
      <c r="DQ90" s="119" t="s">
        <v>308</v>
      </c>
      <c r="DR90" s="40"/>
      <c r="DS90" s="110">
        <f t="shared" si="139"/>
        <v>0</v>
      </c>
      <c r="DT90" s="109">
        <f t="shared" si="140"/>
        <v>0</v>
      </c>
      <c r="DU90" s="111">
        <f t="shared" si="141"/>
        <v>0</v>
      </c>
    </row>
    <row r="91">
      <c r="B91" s="119" t="s">
        <v>309</v>
      </c>
      <c r="C91" s="40"/>
      <c r="D91" s="110">
        <f t="shared" si="88"/>
        <v>0</v>
      </c>
      <c r="E91" s="109">
        <f t="shared" si="89"/>
        <v>0</v>
      </c>
      <c r="F91" s="111">
        <f t="shared" si="90"/>
        <v>0</v>
      </c>
      <c r="I91" s="119" t="s">
        <v>309</v>
      </c>
      <c r="J91" s="40"/>
      <c r="K91" s="110">
        <f t="shared" si="91"/>
        <v>0</v>
      </c>
      <c r="L91" s="109">
        <f t="shared" si="92"/>
        <v>0</v>
      </c>
      <c r="M91" s="111">
        <f t="shared" si="93"/>
        <v>0</v>
      </c>
      <c r="P91" s="119" t="s">
        <v>309</v>
      </c>
      <c r="Q91" s="40"/>
      <c r="R91" s="110">
        <f t="shared" si="94"/>
        <v>0</v>
      </c>
      <c r="S91" s="109">
        <f t="shared" si="95"/>
        <v>0</v>
      </c>
      <c r="T91" s="111">
        <f t="shared" si="96"/>
        <v>0</v>
      </c>
      <c r="W91" s="119" t="s">
        <v>309</v>
      </c>
      <c r="X91" s="40"/>
      <c r="Y91" s="110">
        <f t="shared" si="97"/>
        <v>0</v>
      </c>
      <c r="Z91" s="109">
        <f t="shared" si="98"/>
        <v>0</v>
      </c>
      <c r="AA91" s="111">
        <f t="shared" si="99"/>
        <v>0</v>
      </c>
      <c r="AD91" s="119" t="s">
        <v>309</v>
      </c>
      <c r="AE91" s="40"/>
      <c r="AF91" s="110">
        <f t="shared" si="100"/>
        <v>0</v>
      </c>
      <c r="AG91" s="109">
        <f t="shared" si="101"/>
        <v>0</v>
      </c>
      <c r="AH91" s="111">
        <f t="shared" si="102"/>
        <v>0</v>
      </c>
      <c r="AK91" s="119" t="s">
        <v>309</v>
      </c>
      <c r="AL91" s="40"/>
      <c r="AM91" s="110">
        <f t="shared" si="103"/>
        <v>0</v>
      </c>
      <c r="AN91" s="109">
        <f t="shared" si="104"/>
        <v>0</v>
      </c>
      <c r="AO91" s="111">
        <f t="shared" si="105"/>
        <v>0</v>
      </c>
      <c r="AR91" s="119" t="s">
        <v>309</v>
      </c>
      <c r="AS91" s="40"/>
      <c r="AT91" s="110">
        <f t="shared" si="106"/>
        <v>0</v>
      </c>
      <c r="AU91" s="109">
        <f t="shared" si="107"/>
        <v>0</v>
      </c>
      <c r="AV91" s="111">
        <f t="shared" si="108"/>
        <v>0</v>
      </c>
      <c r="AY91" s="119" t="s">
        <v>309</v>
      </c>
      <c r="AZ91" s="40"/>
      <c r="BA91" s="110">
        <f t="shared" si="109"/>
        <v>0</v>
      </c>
      <c r="BB91" s="109">
        <f t="shared" si="110"/>
        <v>0</v>
      </c>
      <c r="BC91" s="111">
        <f t="shared" si="111"/>
        <v>0</v>
      </c>
      <c r="BF91" s="119" t="s">
        <v>309</v>
      </c>
      <c r="BG91" s="40"/>
      <c r="BH91" s="110">
        <f t="shared" si="112"/>
        <v>0</v>
      </c>
      <c r="BI91" s="109">
        <f t="shared" si="113"/>
        <v>0</v>
      </c>
      <c r="BJ91" s="111">
        <f t="shared" si="114"/>
        <v>0</v>
      </c>
      <c r="BM91" s="119" t="s">
        <v>309</v>
      </c>
      <c r="BN91" s="40"/>
      <c r="BO91" s="110">
        <f t="shared" si="115"/>
        <v>0</v>
      </c>
      <c r="BP91" s="109">
        <f t="shared" si="116"/>
        <v>0</v>
      </c>
      <c r="BQ91" s="111">
        <f t="shared" si="117"/>
        <v>0</v>
      </c>
      <c r="BT91" s="119" t="s">
        <v>309</v>
      </c>
      <c r="BU91" s="40"/>
      <c r="BV91" s="110">
        <f t="shared" si="118"/>
        <v>0</v>
      </c>
      <c r="BW91" s="109">
        <f t="shared" si="119"/>
        <v>0</v>
      </c>
      <c r="BX91" s="111">
        <f t="shared" si="120"/>
        <v>0</v>
      </c>
      <c r="CA91" s="119" t="s">
        <v>309</v>
      </c>
      <c r="CB91" s="40"/>
      <c r="CC91" s="110">
        <f t="shared" si="121"/>
        <v>0</v>
      </c>
      <c r="CD91" s="109">
        <f t="shared" si="122"/>
        <v>0</v>
      </c>
      <c r="CE91" s="111">
        <f t="shared" si="123"/>
        <v>0</v>
      </c>
      <c r="CH91" s="119" t="s">
        <v>309</v>
      </c>
      <c r="CI91" s="40"/>
      <c r="CJ91" s="110">
        <f t="shared" si="124"/>
        <v>0</v>
      </c>
      <c r="CK91" s="109">
        <f t="shared" si="125"/>
        <v>0</v>
      </c>
      <c r="CL91" s="111">
        <f t="shared" si="126"/>
        <v>0</v>
      </c>
      <c r="CO91" s="119" t="s">
        <v>309</v>
      </c>
      <c r="CP91" s="40"/>
      <c r="CQ91" s="110">
        <f t="shared" si="127"/>
        <v>0</v>
      </c>
      <c r="CR91" s="109">
        <f t="shared" si="128"/>
        <v>0</v>
      </c>
      <c r="CS91" s="111">
        <f t="shared" si="129"/>
        <v>0</v>
      </c>
      <c r="CV91" s="119" t="s">
        <v>309</v>
      </c>
      <c r="CW91" s="40"/>
      <c r="CX91" s="110">
        <f t="shared" si="130"/>
        <v>0</v>
      </c>
      <c r="CY91" s="109">
        <f t="shared" si="131"/>
        <v>0</v>
      </c>
      <c r="CZ91" s="111">
        <f t="shared" si="132"/>
        <v>0</v>
      </c>
      <c r="DC91" s="119" t="s">
        <v>309</v>
      </c>
      <c r="DD91" s="40"/>
      <c r="DE91" s="110">
        <f t="shared" si="133"/>
        <v>0</v>
      </c>
      <c r="DF91" s="109">
        <f t="shared" si="134"/>
        <v>0</v>
      </c>
      <c r="DG91" s="111">
        <f t="shared" si="135"/>
        <v>0</v>
      </c>
      <c r="DJ91" s="119" t="s">
        <v>309</v>
      </c>
      <c r="DK91" s="40"/>
      <c r="DL91" s="110">
        <f t="shared" si="136"/>
        <v>0</v>
      </c>
      <c r="DM91" s="109">
        <f t="shared" si="137"/>
        <v>0</v>
      </c>
      <c r="DN91" s="111">
        <f t="shared" si="138"/>
        <v>0</v>
      </c>
      <c r="DQ91" s="119" t="s">
        <v>309</v>
      </c>
      <c r="DR91" s="40"/>
      <c r="DS91" s="110">
        <f t="shared" si="139"/>
        <v>0</v>
      </c>
      <c r="DT91" s="109">
        <f t="shared" si="140"/>
        <v>0</v>
      </c>
      <c r="DU91" s="111">
        <f t="shared" si="141"/>
        <v>0</v>
      </c>
    </row>
    <row r="92">
      <c r="B92" s="119" t="s">
        <v>310</v>
      </c>
      <c r="C92" s="40"/>
      <c r="D92" s="110">
        <f t="shared" si="88"/>
        <v>0</v>
      </c>
      <c r="E92" s="109">
        <f t="shared" si="89"/>
        <v>0</v>
      </c>
      <c r="F92" s="111">
        <f t="shared" si="90"/>
        <v>0</v>
      </c>
      <c r="I92" s="119" t="s">
        <v>310</v>
      </c>
      <c r="J92" s="40"/>
      <c r="K92" s="110">
        <f t="shared" si="91"/>
        <v>0</v>
      </c>
      <c r="L92" s="109">
        <f t="shared" si="92"/>
        <v>0</v>
      </c>
      <c r="M92" s="111">
        <f t="shared" si="93"/>
        <v>0</v>
      </c>
      <c r="P92" s="119" t="s">
        <v>310</v>
      </c>
      <c r="Q92" s="40"/>
      <c r="R92" s="110">
        <f t="shared" si="94"/>
        <v>0</v>
      </c>
      <c r="S92" s="109">
        <f t="shared" si="95"/>
        <v>0</v>
      </c>
      <c r="T92" s="111">
        <f t="shared" si="96"/>
        <v>0</v>
      </c>
      <c r="W92" s="119" t="s">
        <v>310</v>
      </c>
      <c r="X92" s="40"/>
      <c r="Y92" s="110">
        <f t="shared" si="97"/>
        <v>0</v>
      </c>
      <c r="Z92" s="109">
        <f t="shared" si="98"/>
        <v>0</v>
      </c>
      <c r="AA92" s="111">
        <f t="shared" si="99"/>
        <v>0</v>
      </c>
      <c r="AD92" s="119" t="s">
        <v>310</v>
      </c>
      <c r="AE92" s="40"/>
      <c r="AF92" s="110">
        <f t="shared" si="100"/>
        <v>0</v>
      </c>
      <c r="AG92" s="109">
        <f t="shared" si="101"/>
        <v>0</v>
      </c>
      <c r="AH92" s="111">
        <f t="shared" si="102"/>
        <v>0</v>
      </c>
      <c r="AK92" s="119" t="s">
        <v>310</v>
      </c>
      <c r="AL92" s="40"/>
      <c r="AM92" s="110">
        <f t="shared" si="103"/>
        <v>0</v>
      </c>
      <c r="AN92" s="109">
        <f t="shared" si="104"/>
        <v>0</v>
      </c>
      <c r="AO92" s="111">
        <f t="shared" si="105"/>
        <v>0</v>
      </c>
      <c r="AR92" s="119" t="s">
        <v>310</v>
      </c>
      <c r="AS92" s="40"/>
      <c r="AT92" s="110">
        <f t="shared" si="106"/>
        <v>0</v>
      </c>
      <c r="AU92" s="109">
        <f t="shared" si="107"/>
        <v>0</v>
      </c>
      <c r="AV92" s="111">
        <f t="shared" si="108"/>
        <v>0</v>
      </c>
      <c r="AY92" s="119" t="s">
        <v>310</v>
      </c>
      <c r="AZ92" s="40"/>
      <c r="BA92" s="110">
        <f t="shared" si="109"/>
        <v>0</v>
      </c>
      <c r="BB92" s="109">
        <f t="shared" si="110"/>
        <v>0</v>
      </c>
      <c r="BC92" s="111">
        <f t="shared" si="111"/>
        <v>0</v>
      </c>
      <c r="BF92" s="119" t="s">
        <v>310</v>
      </c>
      <c r="BG92" s="40"/>
      <c r="BH92" s="110">
        <f t="shared" si="112"/>
        <v>0</v>
      </c>
      <c r="BI92" s="109">
        <f t="shared" si="113"/>
        <v>0</v>
      </c>
      <c r="BJ92" s="111">
        <f t="shared" si="114"/>
        <v>0</v>
      </c>
      <c r="BM92" s="119" t="s">
        <v>310</v>
      </c>
      <c r="BN92" s="40"/>
      <c r="BO92" s="110">
        <f t="shared" si="115"/>
        <v>0</v>
      </c>
      <c r="BP92" s="109">
        <f t="shared" si="116"/>
        <v>0</v>
      </c>
      <c r="BQ92" s="111">
        <f t="shared" si="117"/>
        <v>0</v>
      </c>
      <c r="BT92" s="119" t="s">
        <v>310</v>
      </c>
      <c r="BU92" s="40"/>
      <c r="BV92" s="110">
        <f t="shared" si="118"/>
        <v>0</v>
      </c>
      <c r="BW92" s="109">
        <f t="shared" si="119"/>
        <v>0</v>
      </c>
      <c r="BX92" s="111">
        <f t="shared" si="120"/>
        <v>0</v>
      </c>
      <c r="CA92" s="119" t="s">
        <v>310</v>
      </c>
      <c r="CB92" s="40"/>
      <c r="CC92" s="110">
        <f t="shared" si="121"/>
        <v>0</v>
      </c>
      <c r="CD92" s="109">
        <f t="shared" si="122"/>
        <v>0</v>
      </c>
      <c r="CE92" s="111">
        <f t="shared" si="123"/>
        <v>0</v>
      </c>
      <c r="CH92" s="119" t="s">
        <v>310</v>
      </c>
      <c r="CI92" s="40"/>
      <c r="CJ92" s="110">
        <f t="shared" si="124"/>
        <v>0</v>
      </c>
      <c r="CK92" s="109">
        <f t="shared" si="125"/>
        <v>0</v>
      </c>
      <c r="CL92" s="111">
        <f t="shared" si="126"/>
        <v>0</v>
      </c>
      <c r="CO92" s="119" t="s">
        <v>310</v>
      </c>
      <c r="CP92" s="40"/>
      <c r="CQ92" s="110">
        <f t="shared" si="127"/>
        <v>0</v>
      </c>
      <c r="CR92" s="109">
        <f t="shared" si="128"/>
        <v>0</v>
      </c>
      <c r="CS92" s="111">
        <f t="shared" si="129"/>
        <v>0</v>
      </c>
      <c r="CV92" s="119" t="s">
        <v>310</v>
      </c>
      <c r="CW92" s="40"/>
      <c r="CX92" s="110">
        <f t="shared" si="130"/>
        <v>0</v>
      </c>
      <c r="CY92" s="109">
        <f t="shared" si="131"/>
        <v>0</v>
      </c>
      <c r="CZ92" s="111">
        <f t="shared" si="132"/>
        <v>0</v>
      </c>
      <c r="DC92" s="119" t="s">
        <v>310</v>
      </c>
      <c r="DD92" s="40"/>
      <c r="DE92" s="110">
        <f t="shared" si="133"/>
        <v>0</v>
      </c>
      <c r="DF92" s="109">
        <f t="shared" si="134"/>
        <v>0</v>
      </c>
      <c r="DG92" s="111">
        <f t="shared" si="135"/>
        <v>0</v>
      </c>
      <c r="DJ92" s="119" t="s">
        <v>310</v>
      </c>
      <c r="DK92" s="40"/>
      <c r="DL92" s="110">
        <f t="shared" si="136"/>
        <v>0</v>
      </c>
      <c r="DM92" s="109">
        <f t="shared" si="137"/>
        <v>0</v>
      </c>
      <c r="DN92" s="111">
        <f t="shared" si="138"/>
        <v>0</v>
      </c>
      <c r="DQ92" s="119" t="s">
        <v>310</v>
      </c>
      <c r="DR92" s="40"/>
      <c r="DS92" s="110">
        <f t="shared" si="139"/>
        <v>0</v>
      </c>
      <c r="DT92" s="109">
        <f t="shared" si="140"/>
        <v>0</v>
      </c>
      <c r="DU92" s="111">
        <f t="shared" si="141"/>
        <v>0</v>
      </c>
    </row>
    <row r="93">
      <c r="B93" s="119" t="s">
        <v>311</v>
      </c>
      <c r="C93" s="40"/>
      <c r="D93" s="110">
        <f t="shared" si="88"/>
        <v>0</v>
      </c>
      <c r="E93" s="109">
        <f t="shared" si="89"/>
        <v>0</v>
      </c>
      <c r="F93" s="111">
        <f t="shared" si="90"/>
        <v>0</v>
      </c>
      <c r="I93" s="119" t="s">
        <v>311</v>
      </c>
      <c r="J93" s="40"/>
      <c r="K93" s="110">
        <f t="shared" si="91"/>
        <v>0</v>
      </c>
      <c r="L93" s="109">
        <f t="shared" si="92"/>
        <v>0</v>
      </c>
      <c r="M93" s="111">
        <f t="shared" si="93"/>
        <v>0</v>
      </c>
      <c r="P93" s="119" t="s">
        <v>311</v>
      </c>
      <c r="Q93" s="40"/>
      <c r="R93" s="110">
        <f t="shared" si="94"/>
        <v>0</v>
      </c>
      <c r="S93" s="109">
        <f t="shared" si="95"/>
        <v>0</v>
      </c>
      <c r="T93" s="111">
        <f t="shared" si="96"/>
        <v>0</v>
      </c>
      <c r="W93" s="119" t="s">
        <v>311</v>
      </c>
      <c r="X93" s="40"/>
      <c r="Y93" s="110">
        <f t="shared" si="97"/>
        <v>0</v>
      </c>
      <c r="Z93" s="109">
        <f t="shared" si="98"/>
        <v>0</v>
      </c>
      <c r="AA93" s="111">
        <f t="shared" si="99"/>
        <v>0</v>
      </c>
      <c r="AD93" s="119" t="s">
        <v>311</v>
      </c>
      <c r="AE93" s="40"/>
      <c r="AF93" s="110">
        <f t="shared" si="100"/>
        <v>0</v>
      </c>
      <c r="AG93" s="109">
        <f t="shared" si="101"/>
        <v>0</v>
      </c>
      <c r="AH93" s="111">
        <f t="shared" si="102"/>
        <v>0</v>
      </c>
      <c r="AK93" s="119" t="s">
        <v>311</v>
      </c>
      <c r="AL93" s="40"/>
      <c r="AM93" s="110">
        <f t="shared" si="103"/>
        <v>0</v>
      </c>
      <c r="AN93" s="109">
        <f t="shared" si="104"/>
        <v>0</v>
      </c>
      <c r="AO93" s="111">
        <f t="shared" si="105"/>
        <v>0</v>
      </c>
      <c r="AR93" s="119" t="s">
        <v>311</v>
      </c>
      <c r="AS93" s="40"/>
      <c r="AT93" s="110">
        <f t="shared" si="106"/>
        <v>0</v>
      </c>
      <c r="AU93" s="109">
        <f t="shared" si="107"/>
        <v>0</v>
      </c>
      <c r="AV93" s="111">
        <f t="shared" si="108"/>
        <v>0</v>
      </c>
      <c r="AY93" s="119" t="s">
        <v>311</v>
      </c>
      <c r="AZ93" s="40"/>
      <c r="BA93" s="110">
        <f t="shared" si="109"/>
        <v>0</v>
      </c>
      <c r="BB93" s="109">
        <f t="shared" si="110"/>
        <v>0</v>
      </c>
      <c r="BC93" s="111">
        <f t="shared" si="111"/>
        <v>0</v>
      </c>
      <c r="BF93" s="119" t="s">
        <v>311</v>
      </c>
      <c r="BG93" s="40"/>
      <c r="BH93" s="110">
        <f t="shared" si="112"/>
        <v>0</v>
      </c>
      <c r="BI93" s="109">
        <f t="shared" si="113"/>
        <v>0</v>
      </c>
      <c r="BJ93" s="111">
        <f t="shared" si="114"/>
        <v>0</v>
      </c>
      <c r="BM93" s="119" t="s">
        <v>311</v>
      </c>
      <c r="BN93" s="40"/>
      <c r="BO93" s="110">
        <f t="shared" si="115"/>
        <v>0</v>
      </c>
      <c r="BP93" s="109">
        <f t="shared" si="116"/>
        <v>0</v>
      </c>
      <c r="BQ93" s="111">
        <f t="shared" si="117"/>
        <v>0</v>
      </c>
      <c r="BT93" s="119" t="s">
        <v>311</v>
      </c>
      <c r="BU93" s="40"/>
      <c r="BV93" s="110">
        <f t="shared" si="118"/>
        <v>0</v>
      </c>
      <c r="BW93" s="109">
        <f t="shared" si="119"/>
        <v>0</v>
      </c>
      <c r="BX93" s="111">
        <f t="shared" si="120"/>
        <v>0</v>
      </c>
      <c r="CA93" s="119" t="s">
        <v>311</v>
      </c>
      <c r="CB93" s="40"/>
      <c r="CC93" s="110">
        <f t="shared" si="121"/>
        <v>0</v>
      </c>
      <c r="CD93" s="109">
        <f t="shared" si="122"/>
        <v>0</v>
      </c>
      <c r="CE93" s="111">
        <f t="shared" si="123"/>
        <v>0</v>
      </c>
      <c r="CH93" s="119" t="s">
        <v>311</v>
      </c>
      <c r="CI93" s="40"/>
      <c r="CJ93" s="110">
        <f t="shared" si="124"/>
        <v>0</v>
      </c>
      <c r="CK93" s="109">
        <f t="shared" si="125"/>
        <v>0</v>
      </c>
      <c r="CL93" s="111">
        <f t="shared" si="126"/>
        <v>0</v>
      </c>
      <c r="CO93" s="119" t="s">
        <v>311</v>
      </c>
      <c r="CP93" s="40"/>
      <c r="CQ93" s="110">
        <f t="shared" si="127"/>
        <v>0</v>
      </c>
      <c r="CR93" s="109">
        <f t="shared" si="128"/>
        <v>0</v>
      </c>
      <c r="CS93" s="111">
        <f t="shared" si="129"/>
        <v>0</v>
      </c>
      <c r="CV93" s="119" t="s">
        <v>311</v>
      </c>
      <c r="CW93" s="40"/>
      <c r="CX93" s="110">
        <f t="shared" si="130"/>
        <v>0</v>
      </c>
      <c r="CY93" s="109">
        <f t="shared" si="131"/>
        <v>0</v>
      </c>
      <c r="CZ93" s="111">
        <f t="shared" si="132"/>
        <v>0</v>
      </c>
      <c r="DC93" s="119" t="s">
        <v>311</v>
      </c>
      <c r="DD93" s="40"/>
      <c r="DE93" s="110">
        <f t="shared" si="133"/>
        <v>0</v>
      </c>
      <c r="DF93" s="109">
        <f t="shared" si="134"/>
        <v>0</v>
      </c>
      <c r="DG93" s="111">
        <f t="shared" si="135"/>
        <v>0</v>
      </c>
      <c r="DJ93" s="119" t="s">
        <v>311</v>
      </c>
      <c r="DK93" s="40"/>
      <c r="DL93" s="110">
        <f t="shared" si="136"/>
        <v>0</v>
      </c>
      <c r="DM93" s="109">
        <f t="shared" si="137"/>
        <v>0</v>
      </c>
      <c r="DN93" s="111">
        <f t="shared" si="138"/>
        <v>0</v>
      </c>
      <c r="DQ93" s="119" t="s">
        <v>311</v>
      </c>
      <c r="DR93" s="40"/>
      <c r="DS93" s="110">
        <f t="shared" si="139"/>
        <v>0</v>
      </c>
      <c r="DT93" s="109">
        <f t="shared" si="140"/>
        <v>0</v>
      </c>
      <c r="DU93" s="111">
        <f t="shared" si="141"/>
        <v>0</v>
      </c>
    </row>
    <row r="94">
      <c r="B94" s="119" t="s">
        <v>312</v>
      </c>
      <c r="C94" s="40"/>
      <c r="D94" s="110">
        <f t="shared" si="88"/>
        <v>0</v>
      </c>
      <c r="E94" s="109">
        <f t="shared" si="89"/>
        <v>0</v>
      </c>
      <c r="F94" s="111">
        <f t="shared" si="90"/>
        <v>0</v>
      </c>
      <c r="I94" s="119" t="s">
        <v>312</v>
      </c>
      <c r="J94" s="40"/>
      <c r="K94" s="110">
        <f t="shared" si="91"/>
        <v>0</v>
      </c>
      <c r="L94" s="109">
        <f t="shared" si="92"/>
        <v>0</v>
      </c>
      <c r="M94" s="111">
        <f t="shared" si="93"/>
        <v>0</v>
      </c>
      <c r="P94" s="119" t="s">
        <v>312</v>
      </c>
      <c r="Q94" s="40"/>
      <c r="R94" s="110">
        <f t="shared" si="94"/>
        <v>0</v>
      </c>
      <c r="S94" s="109">
        <f t="shared" si="95"/>
        <v>0</v>
      </c>
      <c r="T94" s="111">
        <f t="shared" si="96"/>
        <v>0</v>
      </c>
      <c r="W94" s="119" t="s">
        <v>312</v>
      </c>
      <c r="X94" s="40"/>
      <c r="Y94" s="110">
        <f t="shared" si="97"/>
        <v>0</v>
      </c>
      <c r="Z94" s="109">
        <f t="shared" si="98"/>
        <v>0</v>
      </c>
      <c r="AA94" s="111">
        <f t="shared" si="99"/>
        <v>0</v>
      </c>
      <c r="AD94" s="119" t="s">
        <v>312</v>
      </c>
      <c r="AE94" s="40"/>
      <c r="AF94" s="110">
        <f t="shared" si="100"/>
        <v>0</v>
      </c>
      <c r="AG94" s="109">
        <f t="shared" si="101"/>
        <v>0</v>
      </c>
      <c r="AH94" s="111">
        <f t="shared" si="102"/>
        <v>0</v>
      </c>
      <c r="AK94" s="119" t="s">
        <v>312</v>
      </c>
      <c r="AL94" s="40"/>
      <c r="AM94" s="110">
        <f t="shared" si="103"/>
        <v>0</v>
      </c>
      <c r="AN94" s="109">
        <f t="shared" si="104"/>
        <v>0</v>
      </c>
      <c r="AO94" s="111">
        <f t="shared" si="105"/>
        <v>0</v>
      </c>
      <c r="AR94" s="119" t="s">
        <v>312</v>
      </c>
      <c r="AS94" s="40"/>
      <c r="AT94" s="110">
        <f t="shared" si="106"/>
        <v>0</v>
      </c>
      <c r="AU94" s="109">
        <f t="shared" si="107"/>
        <v>0</v>
      </c>
      <c r="AV94" s="111">
        <f t="shared" si="108"/>
        <v>0</v>
      </c>
      <c r="AY94" s="119" t="s">
        <v>312</v>
      </c>
      <c r="AZ94" s="40"/>
      <c r="BA94" s="110">
        <f t="shared" si="109"/>
        <v>0</v>
      </c>
      <c r="BB94" s="109">
        <f t="shared" si="110"/>
        <v>0</v>
      </c>
      <c r="BC94" s="111">
        <f t="shared" si="111"/>
        <v>0</v>
      </c>
      <c r="BF94" s="119" t="s">
        <v>312</v>
      </c>
      <c r="BG94" s="40"/>
      <c r="BH94" s="110">
        <f t="shared" si="112"/>
        <v>0</v>
      </c>
      <c r="BI94" s="109">
        <f t="shared" si="113"/>
        <v>0</v>
      </c>
      <c r="BJ94" s="111">
        <f t="shared" si="114"/>
        <v>0</v>
      </c>
      <c r="BM94" s="119" t="s">
        <v>312</v>
      </c>
      <c r="BN94" s="40"/>
      <c r="BO94" s="110">
        <f t="shared" si="115"/>
        <v>0</v>
      </c>
      <c r="BP94" s="109">
        <f t="shared" si="116"/>
        <v>0</v>
      </c>
      <c r="BQ94" s="111">
        <f t="shared" si="117"/>
        <v>0</v>
      </c>
      <c r="BT94" s="119" t="s">
        <v>312</v>
      </c>
      <c r="BU94" s="40"/>
      <c r="BV94" s="110">
        <f t="shared" si="118"/>
        <v>0</v>
      </c>
      <c r="BW94" s="109">
        <f t="shared" si="119"/>
        <v>0</v>
      </c>
      <c r="BX94" s="111">
        <f t="shared" si="120"/>
        <v>0</v>
      </c>
      <c r="CA94" s="119" t="s">
        <v>312</v>
      </c>
      <c r="CB94" s="40"/>
      <c r="CC94" s="110">
        <f t="shared" si="121"/>
        <v>0</v>
      </c>
      <c r="CD94" s="109">
        <f t="shared" si="122"/>
        <v>0</v>
      </c>
      <c r="CE94" s="111">
        <f t="shared" si="123"/>
        <v>0</v>
      </c>
      <c r="CH94" s="119" t="s">
        <v>312</v>
      </c>
      <c r="CI94" s="40"/>
      <c r="CJ94" s="110">
        <f t="shared" si="124"/>
        <v>0</v>
      </c>
      <c r="CK94" s="109">
        <f t="shared" si="125"/>
        <v>0</v>
      </c>
      <c r="CL94" s="111">
        <f t="shared" si="126"/>
        <v>0</v>
      </c>
      <c r="CO94" s="119" t="s">
        <v>312</v>
      </c>
      <c r="CP94" s="40"/>
      <c r="CQ94" s="110">
        <f t="shared" si="127"/>
        <v>0</v>
      </c>
      <c r="CR94" s="109">
        <f t="shared" si="128"/>
        <v>0</v>
      </c>
      <c r="CS94" s="111">
        <f t="shared" si="129"/>
        <v>0</v>
      </c>
      <c r="CV94" s="119" t="s">
        <v>312</v>
      </c>
      <c r="CW94" s="40"/>
      <c r="CX94" s="110">
        <f t="shared" si="130"/>
        <v>0</v>
      </c>
      <c r="CY94" s="109">
        <f t="shared" si="131"/>
        <v>0</v>
      </c>
      <c r="CZ94" s="111">
        <f t="shared" si="132"/>
        <v>0</v>
      </c>
      <c r="DC94" s="119" t="s">
        <v>312</v>
      </c>
      <c r="DD94" s="40"/>
      <c r="DE94" s="110">
        <f t="shared" si="133"/>
        <v>0</v>
      </c>
      <c r="DF94" s="109">
        <f t="shared" si="134"/>
        <v>0</v>
      </c>
      <c r="DG94" s="111">
        <f t="shared" si="135"/>
        <v>0</v>
      </c>
      <c r="DJ94" s="119" t="s">
        <v>312</v>
      </c>
      <c r="DK94" s="40"/>
      <c r="DL94" s="110">
        <f t="shared" si="136"/>
        <v>0</v>
      </c>
      <c r="DM94" s="109">
        <f t="shared" si="137"/>
        <v>0</v>
      </c>
      <c r="DN94" s="111">
        <f t="shared" si="138"/>
        <v>0</v>
      </c>
      <c r="DQ94" s="119" t="s">
        <v>312</v>
      </c>
      <c r="DR94" s="40"/>
      <c r="DS94" s="110">
        <f t="shared" si="139"/>
        <v>0</v>
      </c>
      <c r="DT94" s="109">
        <f t="shared" si="140"/>
        <v>0</v>
      </c>
      <c r="DU94" s="111">
        <f t="shared" si="141"/>
        <v>0</v>
      </c>
    </row>
    <row r="95">
      <c r="B95" s="119" t="s">
        <v>313</v>
      </c>
      <c r="C95" s="40"/>
      <c r="D95" s="110">
        <f t="shared" si="88"/>
        <v>0</v>
      </c>
      <c r="E95" s="109">
        <f t="shared" si="89"/>
        <v>0</v>
      </c>
      <c r="F95" s="111">
        <f t="shared" si="90"/>
        <v>0</v>
      </c>
      <c r="I95" s="119" t="s">
        <v>313</v>
      </c>
      <c r="J95" s="40"/>
      <c r="K95" s="110">
        <f t="shared" si="91"/>
        <v>0</v>
      </c>
      <c r="L95" s="109">
        <f t="shared" si="92"/>
        <v>0</v>
      </c>
      <c r="M95" s="111">
        <f t="shared" si="93"/>
        <v>0</v>
      </c>
      <c r="P95" s="119" t="s">
        <v>313</v>
      </c>
      <c r="Q95" s="40"/>
      <c r="R95" s="110">
        <f t="shared" si="94"/>
        <v>0</v>
      </c>
      <c r="S95" s="109">
        <f t="shared" si="95"/>
        <v>0</v>
      </c>
      <c r="T95" s="111">
        <f t="shared" si="96"/>
        <v>0</v>
      </c>
      <c r="W95" s="119" t="s">
        <v>313</v>
      </c>
      <c r="X95" s="40"/>
      <c r="Y95" s="110">
        <f t="shared" si="97"/>
        <v>0</v>
      </c>
      <c r="Z95" s="109">
        <f t="shared" si="98"/>
        <v>0</v>
      </c>
      <c r="AA95" s="111">
        <f t="shared" si="99"/>
        <v>0</v>
      </c>
      <c r="AD95" s="119" t="s">
        <v>313</v>
      </c>
      <c r="AE95" s="40"/>
      <c r="AF95" s="110">
        <f t="shared" si="100"/>
        <v>0</v>
      </c>
      <c r="AG95" s="109">
        <f t="shared" si="101"/>
        <v>0</v>
      </c>
      <c r="AH95" s="111">
        <f t="shared" si="102"/>
        <v>0</v>
      </c>
      <c r="AK95" s="119" t="s">
        <v>313</v>
      </c>
      <c r="AL95" s="40"/>
      <c r="AM95" s="110">
        <f t="shared" si="103"/>
        <v>0</v>
      </c>
      <c r="AN95" s="109">
        <f t="shared" si="104"/>
        <v>0</v>
      </c>
      <c r="AO95" s="111">
        <f t="shared" si="105"/>
        <v>0</v>
      </c>
      <c r="AR95" s="119" t="s">
        <v>313</v>
      </c>
      <c r="AS95" s="40"/>
      <c r="AT95" s="110">
        <f t="shared" si="106"/>
        <v>0</v>
      </c>
      <c r="AU95" s="109">
        <f t="shared" si="107"/>
        <v>0</v>
      </c>
      <c r="AV95" s="111">
        <f t="shared" si="108"/>
        <v>0</v>
      </c>
      <c r="AY95" s="119" t="s">
        <v>313</v>
      </c>
      <c r="AZ95" s="40"/>
      <c r="BA95" s="110">
        <f t="shared" si="109"/>
        <v>0</v>
      </c>
      <c r="BB95" s="109">
        <f t="shared" si="110"/>
        <v>0</v>
      </c>
      <c r="BC95" s="111">
        <f t="shared" si="111"/>
        <v>0</v>
      </c>
      <c r="BF95" s="119" t="s">
        <v>313</v>
      </c>
      <c r="BG95" s="40"/>
      <c r="BH95" s="110">
        <f t="shared" si="112"/>
        <v>0</v>
      </c>
      <c r="BI95" s="109">
        <f t="shared" si="113"/>
        <v>0</v>
      </c>
      <c r="BJ95" s="111">
        <f t="shared" si="114"/>
        <v>0</v>
      </c>
      <c r="BM95" s="119" t="s">
        <v>313</v>
      </c>
      <c r="BN95" s="40"/>
      <c r="BO95" s="110">
        <f t="shared" si="115"/>
        <v>0</v>
      </c>
      <c r="BP95" s="109">
        <f t="shared" si="116"/>
        <v>0</v>
      </c>
      <c r="BQ95" s="111">
        <f t="shared" si="117"/>
        <v>0</v>
      </c>
      <c r="BT95" s="119" t="s">
        <v>313</v>
      </c>
      <c r="BU95" s="40"/>
      <c r="BV95" s="110">
        <f t="shared" si="118"/>
        <v>0</v>
      </c>
      <c r="BW95" s="109">
        <f t="shared" si="119"/>
        <v>0</v>
      </c>
      <c r="BX95" s="111">
        <f t="shared" si="120"/>
        <v>0</v>
      </c>
      <c r="CA95" s="119" t="s">
        <v>313</v>
      </c>
      <c r="CB95" s="40"/>
      <c r="CC95" s="110">
        <f t="shared" si="121"/>
        <v>0</v>
      </c>
      <c r="CD95" s="109">
        <f t="shared" si="122"/>
        <v>0</v>
      </c>
      <c r="CE95" s="111">
        <f t="shared" si="123"/>
        <v>0</v>
      </c>
      <c r="CH95" s="119" t="s">
        <v>313</v>
      </c>
      <c r="CI95" s="40"/>
      <c r="CJ95" s="110">
        <f t="shared" si="124"/>
        <v>0</v>
      </c>
      <c r="CK95" s="109">
        <f t="shared" si="125"/>
        <v>0</v>
      </c>
      <c r="CL95" s="111">
        <f t="shared" si="126"/>
        <v>0</v>
      </c>
      <c r="CO95" s="119" t="s">
        <v>313</v>
      </c>
      <c r="CP95" s="40"/>
      <c r="CQ95" s="110">
        <f t="shared" si="127"/>
        <v>0</v>
      </c>
      <c r="CR95" s="109">
        <f t="shared" si="128"/>
        <v>0</v>
      </c>
      <c r="CS95" s="111">
        <f t="shared" si="129"/>
        <v>0</v>
      </c>
      <c r="CV95" s="119" t="s">
        <v>313</v>
      </c>
      <c r="CW95" s="40"/>
      <c r="CX95" s="110">
        <f t="shared" si="130"/>
        <v>0</v>
      </c>
      <c r="CY95" s="109">
        <f t="shared" si="131"/>
        <v>0</v>
      </c>
      <c r="CZ95" s="111">
        <f t="shared" si="132"/>
        <v>0</v>
      </c>
      <c r="DC95" s="119" t="s">
        <v>313</v>
      </c>
      <c r="DD95" s="40"/>
      <c r="DE95" s="110">
        <f t="shared" si="133"/>
        <v>0</v>
      </c>
      <c r="DF95" s="109">
        <f t="shared" si="134"/>
        <v>0</v>
      </c>
      <c r="DG95" s="111">
        <f t="shared" si="135"/>
        <v>0</v>
      </c>
      <c r="DJ95" s="119" t="s">
        <v>313</v>
      </c>
      <c r="DK95" s="40"/>
      <c r="DL95" s="110">
        <f t="shared" si="136"/>
        <v>0</v>
      </c>
      <c r="DM95" s="109">
        <f t="shared" si="137"/>
        <v>0</v>
      </c>
      <c r="DN95" s="111">
        <f t="shared" si="138"/>
        <v>0</v>
      </c>
      <c r="DQ95" s="119" t="s">
        <v>313</v>
      </c>
      <c r="DR95" s="40"/>
      <c r="DS95" s="110">
        <f t="shared" si="139"/>
        <v>0</v>
      </c>
      <c r="DT95" s="109">
        <f t="shared" si="140"/>
        <v>0</v>
      </c>
      <c r="DU95" s="111">
        <f t="shared" si="141"/>
        <v>0</v>
      </c>
    </row>
    <row r="96">
      <c r="B96" s="119" t="s">
        <v>314</v>
      </c>
      <c r="C96" s="40"/>
      <c r="D96" s="110">
        <f t="shared" si="88"/>
        <v>0</v>
      </c>
      <c r="E96" s="109">
        <f t="shared" si="89"/>
        <v>0</v>
      </c>
      <c r="F96" s="111">
        <f t="shared" si="90"/>
        <v>0</v>
      </c>
      <c r="I96" s="119" t="s">
        <v>314</v>
      </c>
      <c r="J96" s="40"/>
      <c r="K96" s="110">
        <f t="shared" si="91"/>
        <v>0</v>
      </c>
      <c r="L96" s="109">
        <f t="shared" si="92"/>
        <v>0</v>
      </c>
      <c r="M96" s="111">
        <f t="shared" si="93"/>
        <v>0</v>
      </c>
      <c r="P96" s="119" t="s">
        <v>314</v>
      </c>
      <c r="Q96" s="40"/>
      <c r="R96" s="110">
        <f t="shared" si="94"/>
        <v>0</v>
      </c>
      <c r="S96" s="109">
        <f t="shared" si="95"/>
        <v>0</v>
      </c>
      <c r="T96" s="111">
        <f t="shared" si="96"/>
        <v>0</v>
      </c>
      <c r="W96" s="119" t="s">
        <v>314</v>
      </c>
      <c r="X96" s="40"/>
      <c r="Y96" s="110">
        <f t="shared" si="97"/>
        <v>0</v>
      </c>
      <c r="Z96" s="109">
        <f t="shared" si="98"/>
        <v>0</v>
      </c>
      <c r="AA96" s="111">
        <f t="shared" si="99"/>
        <v>0</v>
      </c>
      <c r="AD96" s="119" t="s">
        <v>314</v>
      </c>
      <c r="AE96" s="40"/>
      <c r="AF96" s="110">
        <f t="shared" si="100"/>
        <v>0</v>
      </c>
      <c r="AG96" s="109">
        <f t="shared" si="101"/>
        <v>0</v>
      </c>
      <c r="AH96" s="111">
        <f t="shared" si="102"/>
        <v>0</v>
      </c>
      <c r="AK96" s="119" t="s">
        <v>314</v>
      </c>
      <c r="AL96" s="40"/>
      <c r="AM96" s="110">
        <f t="shared" si="103"/>
        <v>0</v>
      </c>
      <c r="AN96" s="109">
        <f t="shared" si="104"/>
        <v>0</v>
      </c>
      <c r="AO96" s="111">
        <f t="shared" si="105"/>
        <v>0</v>
      </c>
      <c r="AR96" s="119" t="s">
        <v>314</v>
      </c>
      <c r="AS96" s="40"/>
      <c r="AT96" s="110">
        <f t="shared" si="106"/>
        <v>0</v>
      </c>
      <c r="AU96" s="109">
        <f t="shared" si="107"/>
        <v>0</v>
      </c>
      <c r="AV96" s="111">
        <f t="shared" si="108"/>
        <v>0</v>
      </c>
      <c r="AY96" s="119" t="s">
        <v>314</v>
      </c>
      <c r="AZ96" s="40"/>
      <c r="BA96" s="110">
        <f t="shared" si="109"/>
        <v>0</v>
      </c>
      <c r="BB96" s="109">
        <f t="shared" si="110"/>
        <v>0</v>
      </c>
      <c r="BC96" s="111">
        <f t="shared" si="111"/>
        <v>0</v>
      </c>
      <c r="BF96" s="119" t="s">
        <v>314</v>
      </c>
      <c r="BG96" s="40"/>
      <c r="BH96" s="110">
        <f t="shared" si="112"/>
        <v>0</v>
      </c>
      <c r="BI96" s="109">
        <f t="shared" si="113"/>
        <v>0</v>
      </c>
      <c r="BJ96" s="111">
        <f t="shared" si="114"/>
        <v>0</v>
      </c>
      <c r="BM96" s="119" t="s">
        <v>314</v>
      </c>
      <c r="BN96" s="40"/>
      <c r="BO96" s="110">
        <f t="shared" si="115"/>
        <v>0</v>
      </c>
      <c r="BP96" s="109">
        <f t="shared" si="116"/>
        <v>0</v>
      </c>
      <c r="BQ96" s="111">
        <f t="shared" si="117"/>
        <v>0</v>
      </c>
      <c r="BT96" s="119" t="s">
        <v>314</v>
      </c>
      <c r="BU96" s="40"/>
      <c r="BV96" s="110">
        <f t="shared" si="118"/>
        <v>0</v>
      </c>
      <c r="BW96" s="109">
        <f t="shared" si="119"/>
        <v>0</v>
      </c>
      <c r="BX96" s="111">
        <f t="shared" si="120"/>
        <v>0</v>
      </c>
      <c r="CA96" s="119" t="s">
        <v>314</v>
      </c>
      <c r="CB96" s="40"/>
      <c r="CC96" s="110">
        <f t="shared" si="121"/>
        <v>0</v>
      </c>
      <c r="CD96" s="109">
        <f t="shared" si="122"/>
        <v>0</v>
      </c>
      <c r="CE96" s="111">
        <f t="shared" si="123"/>
        <v>0</v>
      </c>
      <c r="CH96" s="119" t="s">
        <v>314</v>
      </c>
      <c r="CI96" s="40"/>
      <c r="CJ96" s="110">
        <f t="shared" si="124"/>
        <v>0</v>
      </c>
      <c r="CK96" s="109">
        <f t="shared" si="125"/>
        <v>0</v>
      </c>
      <c r="CL96" s="111">
        <f t="shared" si="126"/>
        <v>0</v>
      </c>
      <c r="CO96" s="119" t="s">
        <v>314</v>
      </c>
      <c r="CP96" s="40"/>
      <c r="CQ96" s="110">
        <f t="shared" si="127"/>
        <v>0</v>
      </c>
      <c r="CR96" s="109">
        <f t="shared" si="128"/>
        <v>0</v>
      </c>
      <c r="CS96" s="111">
        <f t="shared" si="129"/>
        <v>0</v>
      </c>
      <c r="CV96" s="119" t="s">
        <v>314</v>
      </c>
      <c r="CW96" s="40"/>
      <c r="CX96" s="110">
        <f t="shared" si="130"/>
        <v>0</v>
      </c>
      <c r="CY96" s="109">
        <f t="shared" si="131"/>
        <v>0</v>
      </c>
      <c r="CZ96" s="111">
        <f t="shared" si="132"/>
        <v>0</v>
      </c>
      <c r="DC96" s="119" t="s">
        <v>314</v>
      </c>
      <c r="DD96" s="40"/>
      <c r="DE96" s="110">
        <f t="shared" si="133"/>
        <v>0</v>
      </c>
      <c r="DF96" s="109">
        <f t="shared" si="134"/>
        <v>0</v>
      </c>
      <c r="DG96" s="111">
        <f t="shared" si="135"/>
        <v>0</v>
      </c>
      <c r="DJ96" s="119" t="s">
        <v>314</v>
      </c>
      <c r="DK96" s="40"/>
      <c r="DL96" s="110">
        <f t="shared" si="136"/>
        <v>0</v>
      </c>
      <c r="DM96" s="109">
        <f t="shared" si="137"/>
        <v>0</v>
      </c>
      <c r="DN96" s="111">
        <f t="shared" si="138"/>
        <v>0</v>
      </c>
      <c r="DQ96" s="119" t="s">
        <v>314</v>
      </c>
      <c r="DR96" s="40"/>
      <c r="DS96" s="110">
        <f t="shared" si="139"/>
        <v>0</v>
      </c>
      <c r="DT96" s="109">
        <f t="shared" si="140"/>
        <v>0</v>
      </c>
      <c r="DU96" s="111">
        <f t="shared" si="141"/>
        <v>0</v>
      </c>
    </row>
    <row r="97">
      <c r="B97" s="119" t="s">
        <v>315</v>
      </c>
      <c r="C97" s="40"/>
      <c r="D97" s="110">
        <f t="shared" si="88"/>
        <v>0</v>
      </c>
      <c r="E97" s="109">
        <f t="shared" si="89"/>
        <v>0</v>
      </c>
      <c r="F97" s="111">
        <f t="shared" si="90"/>
        <v>0</v>
      </c>
      <c r="I97" s="119" t="s">
        <v>315</v>
      </c>
      <c r="J97" s="40"/>
      <c r="K97" s="110">
        <f t="shared" si="91"/>
        <v>0</v>
      </c>
      <c r="L97" s="109">
        <f t="shared" si="92"/>
        <v>0</v>
      </c>
      <c r="M97" s="111">
        <f t="shared" si="93"/>
        <v>0</v>
      </c>
      <c r="P97" s="119" t="s">
        <v>315</v>
      </c>
      <c r="Q97" s="40"/>
      <c r="R97" s="110">
        <f t="shared" si="94"/>
        <v>0</v>
      </c>
      <c r="S97" s="109">
        <f t="shared" si="95"/>
        <v>0</v>
      </c>
      <c r="T97" s="111">
        <f t="shared" si="96"/>
        <v>0</v>
      </c>
      <c r="W97" s="119" t="s">
        <v>315</v>
      </c>
      <c r="X97" s="40"/>
      <c r="Y97" s="110">
        <f t="shared" si="97"/>
        <v>0</v>
      </c>
      <c r="Z97" s="109">
        <f t="shared" si="98"/>
        <v>0</v>
      </c>
      <c r="AA97" s="111">
        <f t="shared" si="99"/>
        <v>0</v>
      </c>
      <c r="AD97" s="119" t="s">
        <v>315</v>
      </c>
      <c r="AE97" s="40"/>
      <c r="AF97" s="110">
        <f t="shared" si="100"/>
        <v>0</v>
      </c>
      <c r="AG97" s="109">
        <f t="shared" si="101"/>
        <v>0</v>
      </c>
      <c r="AH97" s="111">
        <f t="shared" si="102"/>
        <v>0</v>
      </c>
      <c r="AK97" s="119" t="s">
        <v>315</v>
      </c>
      <c r="AL97" s="40"/>
      <c r="AM97" s="110">
        <f t="shared" si="103"/>
        <v>0</v>
      </c>
      <c r="AN97" s="109">
        <f t="shared" si="104"/>
        <v>0</v>
      </c>
      <c r="AO97" s="111">
        <f t="shared" si="105"/>
        <v>0</v>
      </c>
      <c r="AR97" s="119" t="s">
        <v>315</v>
      </c>
      <c r="AS97" s="40"/>
      <c r="AT97" s="110">
        <f t="shared" si="106"/>
        <v>0</v>
      </c>
      <c r="AU97" s="109">
        <f t="shared" si="107"/>
        <v>0</v>
      </c>
      <c r="AV97" s="111">
        <f t="shared" si="108"/>
        <v>0</v>
      </c>
      <c r="AY97" s="119" t="s">
        <v>315</v>
      </c>
      <c r="AZ97" s="40"/>
      <c r="BA97" s="110">
        <f t="shared" si="109"/>
        <v>0</v>
      </c>
      <c r="BB97" s="109">
        <f t="shared" si="110"/>
        <v>0</v>
      </c>
      <c r="BC97" s="111">
        <f t="shared" si="111"/>
        <v>0</v>
      </c>
      <c r="BF97" s="119" t="s">
        <v>315</v>
      </c>
      <c r="BG97" s="40"/>
      <c r="BH97" s="110">
        <f t="shared" si="112"/>
        <v>0</v>
      </c>
      <c r="BI97" s="109">
        <f t="shared" si="113"/>
        <v>0</v>
      </c>
      <c r="BJ97" s="111">
        <f t="shared" si="114"/>
        <v>0</v>
      </c>
      <c r="BM97" s="119" t="s">
        <v>315</v>
      </c>
      <c r="BN97" s="40"/>
      <c r="BO97" s="110">
        <f t="shared" si="115"/>
        <v>0</v>
      </c>
      <c r="BP97" s="109">
        <f t="shared" si="116"/>
        <v>0</v>
      </c>
      <c r="BQ97" s="111">
        <f t="shared" si="117"/>
        <v>0</v>
      </c>
      <c r="BT97" s="119" t="s">
        <v>315</v>
      </c>
      <c r="BU97" s="40"/>
      <c r="BV97" s="110">
        <f t="shared" si="118"/>
        <v>0</v>
      </c>
      <c r="BW97" s="109">
        <f t="shared" si="119"/>
        <v>0</v>
      </c>
      <c r="BX97" s="111">
        <f t="shared" si="120"/>
        <v>0</v>
      </c>
      <c r="CA97" s="119" t="s">
        <v>315</v>
      </c>
      <c r="CB97" s="40"/>
      <c r="CC97" s="110">
        <f t="shared" si="121"/>
        <v>0</v>
      </c>
      <c r="CD97" s="109">
        <f t="shared" si="122"/>
        <v>0</v>
      </c>
      <c r="CE97" s="111">
        <f t="shared" si="123"/>
        <v>0</v>
      </c>
      <c r="CH97" s="119" t="s">
        <v>315</v>
      </c>
      <c r="CI97" s="40"/>
      <c r="CJ97" s="110">
        <f t="shared" si="124"/>
        <v>0</v>
      </c>
      <c r="CK97" s="109">
        <f t="shared" si="125"/>
        <v>0</v>
      </c>
      <c r="CL97" s="111">
        <f t="shared" si="126"/>
        <v>0</v>
      </c>
      <c r="CO97" s="119" t="s">
        <v>315</v>
      </c>
      <c r="CP97" s="40"/>
      <c r="CQ97" s="110">
        <f t="shared" si="127"/>
        <v>0</v>
      </c>
      <c r="CR97" s="109">
        <f t="shared" si="128"/>
        <v>0</v>
      </c>
      <c r="CS97" s="111">
        <f t="shared" si="129"/>
        <v>0</v>
      </c>
      <c r="CV97" s="119" t="s">
        <v>315</v>
      </c>
      <c r="CW97" s="40"/>
      <c r="CX97" s="110">
        <f t="shared" si="130"/>
        <v>0</v>
      </c>
      <c r="CY97" s="109">
        <f t="shared" si="131"/>
        <v>0</v>
      </c>
      <c r="CZ97" s="111">
        <f t="shared" si="132"/>
        <v>0</v>
      </c>
      <c r="DC97" s="119" t="s">
        <v>315</v>
      </c>
      <c r="DD97" s="40"/>
      <c r="DE97" s="110">
        <f t="shared" si="133"/>
        <v>0</v>
      </c>
      <c r="DF97" s="109">
        <f t="shared" si="134"/>
        <v>0</v>
      </c>
      <c r="DG97" s="111">
        <f t="shared" si="135"/>
        <v>0</v>
      </c>
      <c r="DJ97" s="119" t="s">
        <v>315</v>
      </c>
      <c r="DK97" s="40"/>
      <c r="DL97" s="110">
        <f t="shared" si="136"/>
        <v>0</v>
      </c>
      <c r="DM97" s="109">
        <f t="shared" si="137"/>
        <v>0</v>
      </c>
      <c r="DN97" s="111">
        <f t="shared" si="138"/>
        <v>0</v>
      </c>
      <c r="DQ97" s="119" t="s">
        <v>315</v>
      </c>
      <c r="DR97" s="40"/>
      <c r="DS97" s="110">
        <f t="shared" si="139"/>
        <v>0</v>
      </c>
      <c r="DT97" s="109">
        <f t="shared" si="140"/>
        <v>0</v>
      </c>
      <c r="DU97" s="111">
        <f t="shared" si="141"/>
        <v>0</v>
      </c>
    </row>
    <row r="98">
      <c r="B98" s="119" t="s">
        <v>316</v>
      </c>
      <c r="C98" s="40"/>
      <c r="D98" s="110">
        <f t="shared" si="88"/>
        <v>0</v>
      </c>
      <c r="E98" s="109">
        <f t="shared" si="89"/>
        <v>0</v>
      </c>
      <c r="F98" s="111">
        <f t="shared" si="90"/>
        <v>0</v>
      </c>
      <c r="I98" s="119" t="s">
        <v>316</v>
      </c>
      <c r="J98" s="40"/>
      <c r="K98" s="110">
        <f t="shared" si="91"/>
        <v>0</v>
      </c>
      <c r="L98" s="109">
        <f t="shared" si="92"/>
        <v>0</v>
      </c>
      <c r="M98" s="111">
        <f t="shared" si="93"/>
        <v>0</v>
      </c>
      <c r="P98" s="119" t="s">
        <v>316</v>
      </c>
      <c r="Q98" s="40"/>
      <c r="R98" s="110">
        <f t="shared" si="94"/>
        <v>0</v>
      </c>
      <c r="S98" s="109">
        <f t="shared" si="95"/>
        <v>0</v>
      </c>
      <c r="T98" s="111">
        <f t="shared" si="96"/>
        <v>0</v>
      </c>
      <c r="W98" s="119" t="s">
        <v>316</v>
      </c>
      <c r="X98" s="40"/>
      <c r="Y98" s="110">
        <f t="shared" si="97"/>
        <v>0</v>
      </c>
      <c r="Z98" s="109">
        <f t="shared" si="98"/>
        <v>0</v>
      </c>
      <c r="AA98" s="111">
        <f t="shared" si="99"/>
        <v>0</v>
      </c>
      <c r="AD98" s="119" t="s">
        <v>316</v>
      </c>
      <c r="AE98" s="40"/>
      <c r="AF98" s="110">
        <f t="shared" si="100"/>
        <v>0</v>
      </c>
      <c r="AG98" s="109">
        <f t="shared" si="101"/>
        <v>0</v>
      </c>
      <c r="AH98" s="111">
        <f t="shared" si="102"/>
        <v>0</v>
      </c>
      <c r="AK98" s="119" t="s">
        <v>316</v>
      </c>
      <c r="AL98" s="40"/>
      <c r="AM98" s="110">
        <f t="shared" si="103"/>
        <v>0</v>
      </c>
      <c r="AN98" s="109">
        <f t="shared" si="104"/>
        <v>0</v>
      </c>
      <c r="AO98" s="111">
        <f t="shared" si="105"/>
        <v>0</v>
      </c>
      <c r="AR98" s="119" t="s">
        <v>316</v>
      </c>
      <c r="AS98" s="40"/>
      <c r="AT98" s="110">
        <f t="shared" si="106"/>
        <v>0</v>
      </c>
      <c r="AU98" s="109">
        <f t="shared" si="107"/>
        <v>0</v>
      </c>
      <c r="AV98" s="111">
        <f t="shared" si="108"/>
        <v>0</v>
      </c>
      <c r="AY98" s="119" t="s">
        <v>316</v>
      </c>
      <c r="AZ98" s="40"/>
      <c r="BA98" s="110">
        <f t="shared" si="109"/>
        <v>0</v>
      </c>
      <c r="BB98" s="109">
        <f t="shared" si="110"/>
        <v>0</v>
      </c>
      <c r="BC98" s="111">
        <f t="shared" si="111"/>
        <v>0</v>
      </c>
      <c r="BF98" s="119" t="s">
        <v>316</v>
      </c>
      <c r="BG98" s="40"/>
      <c r="BH98" s="110">
        <f t="shared" si="112"/>
        <v>0</v>
      </c>
      <c r="BI98" s="109">
        <f t="shared" si="113"/>
        <v>0</v>
      </c>
      <c r="BJ98" s="111">
        <f t="shared" si="114"/>
        <v>0</v>
      </c>
      <c r="BM98" s="119" t="s">
        <v>316</v>
      </c>
      <c r="BN98" s="40"/>
      <c r="BO98" s="110">
        <f t="shared" si="115"/>
        <v>0</v>
      </c>
      <c r="BP98" s="109">
        <f t="shared" si="116"/>
        <v>0</v>
      </c>
      <c r="BQ98" s="111">
        <f t="shared" si="117"/>
        <v>0</v>
      </c>
      <c r="BT98" s="119" t="s">
        <v>316</v>
      </c>
      <c r="BU98" s="40"/>
      <c r="BV98" s="110">
        <f t="shared" si="118"/>
        <v>0</v>
      </c>
      <c r="BW98" s="109">
        <f t="shared" si="119"/>
        <v>0</v>
      </c>
      <c r="BX98" s="111">
        <f t="shared" si="120"/>
        <v>0</v>
      </c>
      <c r="CA98" s="119" t="s">
        <v>316</v>
      </c>
      <c r="CB98" s="40"/>
      <c r="CC98" s="110">
        <f t="shared" si="121"/>
        <v>0</v>
      </c>
      <c r="CD98" s="109">
        <f t="shared" si="122"/>
        <v>0</v>
      </c>
      <c r="CE98" s="111">
        <f t="shared" si="123"/>
        <v>0</v>
      </c>
      <c r="CH98" s="119" t="s">
        <v>316</v>
      </c>
      <c r="CI98" s="40"/>
      <c r="CJ98" s="110">
        <f t="shared" si="124"/>
        <v>0</v>
      </c>
      <c r="CK98" s="109">
        <f t="shared" si="125"/>
        <v>0</v>
      </c>
      <c r="CL98" s="111">
        <f t="shared" si="126"/>
        <v>0</v>
      </c>
      <c r="CO98" s="119" t="s">
        <v>316</v>
      </c>
      <c r="CP98" s="40"/>
      <c r="CQ98" s="110">
        <f t="shared" si="127"/>
        <v>0</v>
      </c>
      <c r="CR98" s="109">
        <f t="shared" si="128"/>
        <v>0</v>
      </c>
      <c r="CS98" s="111">
        <f t="shared" si="129"/>
        <v>0</v>
      </c>
      <c r="CV98" s="119" t="s">
        <v>316</v>
      </c>
      <c r="CW98" s="40"/>
      <c r="CX98" s="110">
        <f t="shared" si="130"/>
        <v>0</v>
      </c>
      <c r="CY98" s="109">
        <f t="shared" si="131"/>
        <v>0</v>
      </c>
      <c r="CZ98" s="111">
        <f t="shared" si="132"/>
        <v>0</v>
      </c>
      <c r="DC98" s="119" t="s">
        <v>316</v>
      </c>
      <c r="DD98" s="40"/>
      <c r="DE98" s="110">
        <f t="shared" si="133"/>
        <v>0</v>
      </c>
      <c r="DF98" s="109">
        <f t="shared" si="134"/>
        <v>0</v>
      </c>
      <c r="DG98" s="111">
        <f t="shared" si="135"/>
        <v>0</v>
      </c>
      <c r="DJ98" s="119" t="s">
        <v>316</v>
      </c>
      <c r="DK98" s="40"/>
      <c r="DL98" s="110">
        <f t="shared" si="136"/>
        <v>0</v>
      </c>
      <c r="DM98" s="109">
        <f t="shared" si="137"/>
        <v>0</v>
      </c>
      <c r="DN98" s="111">
        <f t="shared" si="138"/>
        <v>0</v>
      </c>
      <c r="DQ98" s="119" t="s">
        <v>316</v>
      </c>
      <c r="DR98" s="40"/>
      <c r="DS98" s="110">
        <f t="shared" si="139"/>
        <v>0</v>
      </c>
      <c r="DT98" s="109">
        <f t="shared" si="140"/>
        <v>0</v>
      </c>
      <c r="DU98" s="111">
        <f t="shared" si="141"/>
        <v>0</v>
      </c>
    </row>
    <row r="99">
      <c r="B99" s="119" t="s">
        <v>318</v>
      </c>
      <c r="C99" s="40"/>
      <c r="D99" s="110">
        <f t="shared" si="88"/>
        <v>0</v>
      </c>
      <c r="E99" s="109">
        <f t="shared" si="89"/>
        <v>0</v>
      </c>
      <c r="F99" s="111">
        <f t="shared" si="90"/>
        <v>0</v>
      </c>
      <c r="I99" s="119" t="s">
        <v>318</v>
      </c>
      <c r="J99" s="40"/>
      <c r="K99" s="110">
        <f t="shared" si="91"/>
        <v>0</v>
      </c>
      <c r="L99" s="109">
        <f t="shared" si="92"/>
        <v>0</v>
      </c>
      <c r="M99" s="111">
        <f t="shared" si="93"/>
        <v>0</v>
      </c>
      <c r="P99" s="119" t="s">
        <v>318</v>
      </c>
      <c r="Q99" s="40"/>
      <c r="R99" s="110">
        <f t="shared" si="94"/>
        <v>0</v>
      </c>
      <c r="S99" s="109">
        <f t="shared" si="95"/>
        <v>0</v>
      </c>
      <c r="T99" s="111">
        <f t="shared" si="96"/>
        <v>0</v>
      </c>
      <c r="W99" s="119" t="s">
        <v>318</v>
      </c>
      <c r="X99" s="40"/>
      <c r="Y99" s="110">
        <f t="shared" si="97"/>
        <v>0</v>
      </c>
      <c r="Z99" s="109">
        <f t="shared" si="98"/>
        <v>0</v>
      </c>
      <c r="AA99" s="111">
        <f t="shared" si="99"/>
        <v>0</v>
      </c>
      <c r="AD99" s="119" t="s">
        <v>318</v>
      </c>
      <c r="AE99" s="40"/>
      <c r="AF99" s="110">
        <f t="shared" si="100"/>
        <v>0</v>
      </c>
      <c r="AG99" s="109">
        <f t="shared" si="101"/>
        <v>0</v>
      </c>
      <c r="AH99" s="111">
        <f t="shared" si="102"/>
        <v>0</v>
      </c>
      <c r="AK99" s="119" t="s">
        <v>318</v>
      </c>
      <c r="AL99" s="40"/>
      <c r="AM99" s="110">
        <f t="shared" si="103"/>
        <v>0</v>
      </c>
      <c r="AN99" s="109">
        <f t="shared" si="104"/>
        <v>0</v>
      </c>
      <c r="AO99" s="111">
        <f t="shared" si="105"/>
        <v>0</v>
      </c>
      <c r="AR99" s="119" t="s">
        <v>318</v>
      </c>
      <c r="AS99" s="40"/>
      <c r="AT99" s="110">
        <f t="shared" si="106"/>
        <v>0</v>
      </c>
      <c r="AU99" s="109">
        <f t="shared" si="107"/>
        <v>0</v>
      </c>
      <c r="AV99" s="111">
        <f t="shared" si="108"/>
        <v>0</v>
      </c>
      <c r="AY99" s="119" t="s">
        <v>318</v>
      </c>
      <c r="AZ99" s="40"/>
      <c r="BA99" s="110">
        <f t="shared" si="109"/>
        <v>0</v>
      </c>
      <c r="BB99" s="109">
        <f t="shared" si="110"/>
        <v>0</v>
      </c>
      <c r="BC99" s="111">
        <f t="shared" si="111"/>
        <v>0</v>
      </c>
      <c r="BF99" s="119" t="s">
        <v>318</v>
      </c>
      <c r="BG99" s="40"/>
      <c r="BH99" s="110">
        <f t="shared" si="112"/>
        <v>0</v>
      </c>
      <c r="BI99" s="109">
        <f t="shared" si="113"/>
        <v>0</v>
      </c>
      <c r="BJ99" s="111">
        <f t="shared" si="114"/>
        <v>0</v>
      </c>
      <c r="BM99" s="119" t="s">
        <v>318</v>
      </c>
      <c r="BN99" s="40"/>
      <c r="BO99" s="110">
        <f t="shared" si="115"/>
        <v>0</v>
      </c>
      <c r="BP99" s="109">
        <f t="shared" si="116"/>
        <v>0</v>
      </c>
      <c r="BQ99" s="111">
        <f t="shared" si="117"/>
        <v>0</v>
      </c>
      <c r="BT99" s="119" t="s">
        <v>318</v>
      </c>
      <c r="BU99" s="40"/>
      <c r="BV99" s="110">
        <f t="shared" si="118"/>
        <v>0</v>
      </c>
      <c r="BW99" s="109">
        <f t="shared" si="119"/>
        <v>0</v>
      </c>
      <c r="BX99" s="111">
        <f t="shared" si="120"/>
        <v>0</v>
      </c>
      <c r="CA99" s="119" t="s">
        <v>318</v>
      </c>
      <c r="CB99" s="40"/>
      <c r="CC99" s="110">
        <f t="shared" si="121"/>
        <v>0</v>
      </c>
      <c r="CD99" s="109">
        <f t="shared" si="122"/>
        <v>0</v>
      </c>
      <c r="CE99" s="111">
        <f t="shared" si="123"/>
        <v>0</v>
      </c>
      <c r="CH99" s="119" t="s">
        <v>318</v>
      </c>
      <c r="CI99" s="40"/>
      <c r="CJ99" s="110">
        <f t="shared" si="124"/>
        <v>0</v>
      </c>
      <c r="CK99" s="109">
        <f t="shared" si="125"/>
        <v>0</v>
      </c>
      <c r="CL99" s="111">
        <f t="shared" si="126"/>
        <v>0</v>
      </c>
      <c r="CO99" s="119" t="s">
        <v>318</v>
      </c>
      <c r="CP99" s="40"/>
      <c r="CQ99" s="110">
        <f t="shared" si="127"/>
        <v>0</v>
      </c>
      <c r="CR99" s="109">
        <f t="shared" si="128"/>
        <v>0</v>
      </c>
      <c r="CS99" s="111">
        <f t="shared" si="129"/>
        <v>0</v>
      </c>
      <c r="CV99" s="119" t="s">
        <v>318</v>
      </c>
      <c r="CW99" s="40"/>
      <c r="CX99" s="110">
        <f t="shared" si="130"/>
        <v>0</v>
      </c>
      <c r="CY99" s="109">
        <f t="shared" si="131"/>
        <v>0</v>
      </c>
      <c r="CZ99" s="111">
        <f t="shared" si="132"/>
        <v>0</v>
      </c>
      <c r="DC99" s="119" t="s">
        <v>318</v>
      </c>
      <c r="DD99" s="40"/>
      <c r="DE99" s="110">
        <f t="shared" si="133"/>
        <v>0</v>
      </c>
      <c r="DF99" s="109">
        <f t="shared" si="134"/>
        <v>0</v>
      </c>
      <c r="DG99" s="111">
        <f t="shared" si="135"/>
        <v>0</v>
      </c>
      <c r="DJ99" s="119" t="s">
        <v>318</v>
      </c>
      <c r="DK99" s="40"/>
      <c r="DL99" s="110">
        <f t="shared" si="136"/>
        <v>0</v>
      </c>
      <c r="DM99" s="109">
        <f t="shared" si="137"/>
        <v>0</v>
      </c>
      <c r="DN99" s="111">
        <f t="shared" si="138"/>
        <v>0</v>
      </c>
      <c r="DQ99" s="119" t="s">
        <v>318</v>
      </c>
      <c r="DR99" s="40"/>
      <c r="DS99" s="110">
        <f t="shared" si="139"/>
        <v>0</v>
      </c>
      <c r="DT99" s="109">
        <f t="shared" si="140"/>
        <v>0</v>
      </c>
      <c r="DU99" s="111">
        <f t="shared" si="141"/>
        <v>0</v>
      </c>
    </row>
    <row r="100">
      <c r="B100" s="119" t="s">
        <v>320</v>
      </c>
      <c r="C100" s="40"/>
      <c r="D100" s="110">
        <f t="shared" ref="D100:D101" si="142">IFERROR(ROUND(C100/FB_Kurs_1,2),0)</f>
        <v>0</v>
      </c>
      <c r="E100" s="109">
        <f t="shared" ref="E100:E101" si="143">ROUND(C100,2)</f>
        <v>0</v>
      </c>
      <c r="F100" s="111">
        <f t="shared" ref="F100:F101" si="144">ROUND(D100,2)</f>
        <v>0</v>
      </c>
      <c r="I100" s="119" t="s">
        <v>320</v>
      </c>
      <c r="J100" s="40"/>
      <c r="K100" s="110">
        <f t="shared" ref="K100:K101" si="145">IFERROR(ROUND(J100/FB_Kurs_2,2),0)</f>
        <v>0</v>
      </c>
      <c r="L100" s="109">
        <f t="shared" ref="L100:L101" si="146">ROUND(J100+E100,2)</f>
        <v>0</v>
      </c>
      <c r="M100" s="111">
        <f t="shared" ref="M100:M101" si="147">ROUND(K100+F100,2)</f>
        <v>0</v>
      </c>
      <c r="P100" s="119" t="s">
        <v>320</v>
      </c>
      <c r="Q100" s="40"/>
      <c r="R100" s="110">
        <f t="shared" ref="R100:R101" si="148">IFERROR(ROUND(Q100/FB_Kurs_3,2),0)</f>
        <v>0</v>
      </c>
      <c r="S100" s="109">
        <f t="shared" ref="S100:S101" si="149">ROUND(Q100+L100,2)</f>
        <v>0</v>
      </c>
      <c r="T100" s="111">
        <f t="shared" ref="T100:T101" si="150">ROUND(R100+M100,2)</f>
        <v>0</v>
      </c>
      <c r="W100" s="119" t="s">
        <v>320</v>
      </c>
      <c r="X100" s="40"/>
      <c r="Y100" s="110">
        <f t="shared" ref="Y100:Y101" si="151">IFERROR(ROUND(X100/FB_Kurs_4,2),0)</f>
        <v>0</v>
      </c>
      <c r="Z100" s="109">
        <f t="shared" ref="Z100:Z101" si="152">ROUND(X100+S100,2)</f>
        <v>0</v>
      </c>
      <c r="AA100" s="111">
        <f t="shared" ref="AA100:AA101" si="153">ROUND(Y100+T100,2)</f>
        <v>0</v>
      </c>
      <c r="AD100" s="119" t="s">
        <v>320</v>
      </c>
      <c r="AE100" s="40"/>
      <c r="AF100" s="110">
        <f t="shared" ref="AF100:AF101" si="154">IFERROR(ROUND(AE100/FB_Kurs_5,2),0)</f>
        <v>0</v>
      </c>
      <c r="AG100" s="109">
        <f t="shared" ref="AG100:AG101" si="155">ROUND(AE100+Z100,2)</f>
        <v>0</v>
      </c>
      <c r="AH100" s="111">
        <f t="shared" ref="AH100:AH101" si="156">ROUND(AF100+AA100,2)</f>
        <v>0</v>
      </c>
      <c r="AK100" s="119" t="s">
        <v>320</v>
      </c>
      <c r="AL100" s="40"/>
      <c r="AM100" s="110">
        <f t="shared" ref="AM100:AM101" si="157">IFERROR(ROUND(AL100/FB_Kurs_6,2),0)</f>
        <v>0</v>
      </c>
      <c r="AN100" s="109">
        <f t="shared" ref="AN100:AN101" si="158">ROUND(AL100+AG100,2)</f>
        <v>0</v>
      </c>
      <c r="AO100" s="111">
        <f t="shared" ref="AO100:AO101" si="159">ROUND(AM100+AH100,2)</f>
        <v>0</v>
      </c>
      <c r="AR100" s="119" t="s">
        <v>320</v>
      </c>
      <c r="AS100" s="40"/>
      <c r="AT100" s="110">
        <f t="shared" ref="AT100:AT101" si="160">IFERROR(ROUND(AS100/FB_Kurs_7,2),0)</f>
        <v>0</v>
      </c>
      <c r="AU100" s="109">
        <f t="shared" ref="AU100:AU101" si="161">ROUND(AS100+AN100,2)</f>
        <v>0</v>
      </c>
      <c r="AV100" s="111">
        <f t="shared" ref="AV100:AV101" si="162">ROUND(AT100+AO100,2)</f>
        <v>0</v>
      </c>
      <c r="AY100" s="119" t="s">
        <v>320</v>
      </c>
      <c r="AZ100" s="40"/>
      <c r="BA100" s="110">
        <f t="shared" ref="BA100:BA101" si="163">IFERROR(ROUND(AZ100/FB_Kurs_8,2),0)</f>
        <v>0</v>
      </c>
      <c r="BB100" s="109">
        <f t="shared" ref="BB100:BB101" si="164">ROUND(AZ100+AU100,2)</f>
        <v>0</v>
      </c>
      <c r="BC100" s="111">
        <f t="shared" ref="BC100:BC101" si="165">ROUND(BA100+AV100,2)</f>
        <v>0</v>
      </c>
      <c r="BF100" s="119" t="s">
        <v>320</v>
      </c>
      <c r="BG100" s="40"/>
      <c r="BH100" s="110">
        <f t="shared" ref="BH100:BH101" si="166">IFERROR(ROUND(BG100/FB_Kurs_9,2),0)</f>
        <v>0</v>
      </c>
      <c r="BI100" s="109">
        <f t="shared" ref="BI100:BI101" si="167">ROUND(BG100+BB100,2)</f>
        <v>0</v>
      </c>
      <c r="BJ100" s="111">
        <f t="shared" ref="BJ100:BJ101" si="168">ROUND(BH100+BC100,2)</f>
        <v>0</v>
      </c>
      <c r="BM100" s="119" t="s">
        <v>320</v>
      </c>
      <c r="BN100" s="40"/>
      <c r="BO100" s="110">
        <f t="shared" ref="BO100:BO101" si="169">IFERROR(ROUND(BN100/FB_Kurs_10,2),0)</f>
        <v>0</v>
      </c>
      <c r="BP100" s="109">
        <f t="shared" ref="BP100:BP101" si="170">ROUND(BN100+BI100,2)</f>
        <v>0</v>
      </c>
      <c r="BQ100" s="111">
        <f t="shared" ref="BQ100:BQ101" si="171">ROUND(BO100+BJ100,2)</f>
        <v>0</v>
      </c>
      <c r="BT100" s="119" t="s">
        <v>320</v>
      </c>
      <c r="BU100" s="40"/>
      <c r="BV100" s="110">
        <f t="shared" ref="BV100:BV101" si="172">IFERROR(ROUND(BU100/FB_Kurs_11,2),0)</f>
        <v>0</v>
      </c>
      <c r="BW100" s="109">
        <f t="shared" ref="BW100:BW101" si="173">ROUND(BU100+BP100,2)</f>
        <v>0</v>
      </c>
      <c r="BX100" s="111">
        <f t="shared" ref="BX100:BX101" si="174">ROUND(BV100+BQ100,2)</f>
        <v>0</v>
      </c>
      <c r="CA100" s="119" t="s">
        <v>320</v>
      </c>
      <c r="CB100" s="40"/>
      <c r="CC100" s="110">
        <f t="shared" ref="CC100:CC101" si="175">IFERROR(ROUND(CB100/FB_Kurs_12,2),0)</f>
        <v>0</v>
      </c>
      <c r="CD100" s="109">
        <f t="shared" ref="CD100:CD101" si="176">ROUND(CB100+BW100,2)</f>
        <v>0</v>
      </c>
      <c r="CE100" s="111">
        <f t="shared" ref="CE100:CE101" si="177">ROUND(CC100+BX100,2)</f>
        <v>0</v>
      </c>
      <c r="CH100" s="119" t="s">
        <v>320</v>
      </c>
      <c r="CI100" s="40"/>
      <c r="CJ100" s="110">
        <f t="shared" ref="CJ100:CJ101" si="178">IFERROR(ROUND(CI100/FB_Kurs_13,2),0)</f>
        <v>0</v>
      </c>
      <c r="CK100" s="109">
        <f t="shared" ref="CK100:CK101" si="179">ROUND(CI100+CD100,2)</f>
        <v>0</v>
      </c>
      <c r="CL100" s="111">
        <f t="shared" ref="CL100:CL101" si="180">ROUND(CJ100+CE100,2)</f>
        <v>0</v>
      </c>
      <c r="CO100" s="119" t="s">
        <v>320</v>
      </c>
      <c r="CP100" s="40"/>
      <c r="CQ100" s="110">
        <f t="shared" ref="CQ100:CQ101" si="181">IFERROR(ROUND(CP100/FB_Kurs_14,2),0)</f>
        <v>0</v>
      </c>
      <c r="CR100" s="109">
        <f t="shared" ref="CR100:CR101" si="182">ROUND(CP100+CK100,2)</f>
        <v>0</v>
      </c>
      <c r="CS100" s="111">
        <f t="shared" ref="CS100:CS101" si="183">ROUND(CQ100+CL100,2)</f>
        <v>0</v>
      </c>
      <c r="CV100" s="119" t="s">
        <v>320</v>
      </c>
      <c r="CW100" s="40"/>
      <c r="CX100" s="110">
        <f t="shared" ref="CX100:CX101" si="184">IFERROR(ROUND(CW100/FB_Kurs_15,2),0)</f>
        <v>0</v>
      </c>
      <c r="CY100" s="109">
        <f t="shared" ref="CY100:CY101" si="185">ROUND(CW100+CR100,2)</f>
        <v>0</v>
      </c>
      <c r="CZ100" s="111">
        <f t="shared" ref="CZ100:CZ101" si="186">ROUND(CX100+CS100,2)</f>
        <v>0</v>
      </c>
      <c r="DC100" s="119" t="s">
        <v>320</v>
      </c>
      <c r="DD100" s="40"/>
      <c r="DE100" s="110">
        <f t="shared" ref="DE100:DE101" si="187">IFERROR(ROUND(DD100/FB_Kurs_16,2),0)</f>
        <v>0</v>
      </c>
      <c r="DF100" s="109">
        <f t="shared" ref="DF100:DF101" si="188">ROUND(DD100+CY100,2)</f>
        <v>0</v>
      </c>
      <c r="DG100" s="111">
        <f t="shared" ref="DG100:DG101" si="189">ROUND(DE100+CZ100,2)</f>
        <v>0</v>
      </c>
      <c r="DJ100" s="119" t="s">
        <v>320</v>
      </c>
      <c r="DK100" s="40"/>
      <c r="DL100" s="110">
        <f t="shared" ref="DL100:DL101" si="190">IFERROR(ROUND(DK100/FB_Kurs_17,2),0)</f>
        <v>0</v>
      </c>
      <c r="DM100" s="109">
        <f t="shared" ref="DM100:DM101" si="191">ROUND(DK100+DF100,2)</f>
        <v>0</v>
      </c>
      <c r="DN100" s="111">
        <f t="shared" ref="DN100:DN101" si="192">ROUND(DL100+DG100,2)</f>
        <v>0</v>
      </c>
      <c r="DQ100" s="119" t="s">
        <v>320</v>
      </c>
      <c r="DR100" s="40"/>
      <c r="DS100" s="110">
        <f t="shared" ref="DS100:DS101" si="193">IFERROR(ROUND(DR100/FB_Kurs_18,2),0)</f>
        <v>0</v>
      </c>
      <c r="DT100" s="109">
        <f t="shared" ref="DT100:DT101" si="194">ROUND(DR100+DM100,2)</f>
        <v>0</v>
      </c>
      <c r="DU100" s="111">
        <f t="shared" ref="DU100:DU101" si="195">ROUND(DS100+DN100,2)</f>
        <v>0</v>
      </c>
    </row>
    <row r="101">
      <c r="B101" s="119" t="s">
        <v>322</v>
      </c>
      <c r="C101" s="40"/>
      <c r="D101" s="110">
        <f t="shared" si="142"/>
        <v>0</v>
      </c>
      <c r="E101" s="109">
        <f t="shared" si="143"/>
        <v>0</v>
      </c>
      <c r="F101" s="111">
        <f t="shared" si="144"/>
        <v>0</v>
      </c>
      <c r="I101" s="119" t="s">
        <v>322</v>
      </c>
      <c r="J101" s="40"/>
      <c r="K101" s="110">
        <f t="shared" si="145"/>
        <v>0</v>
      </c>
      <c r="L101" s="109">
        <f t="shared" si="146"/>
        <v>0</v>
      </c>
      <c r="M101" s="111">
        <f t="shared" si="147"/>
        <v>0</v>
      </c>
      <c r="P101" s="119" t="s">
        <v>322</v>
      </c>
      <c r="Q101" s="40"/>
      <c r="R101" s="110">
        <f t="shared" si="148"/>
        <v>0</v>
      </c>
      <c r="S101" s="109">
        <f t="shared" si="149"/>
        <v>0</v>
      </c>
      <c r="T101" s="111">
        <f t="shared" si="150"/>
        <v>0</v>
      </c>
      <c r="W101" s="119" t="s">
        <v>322</v>
      </c>
      <c r="X101" s="40"/>
      <c r="Y101" s="110">
        <f t="shared" si="151"/>
        <v>0</v>
      </c>
      <c r="Z101" s="109">
        <f t="shared" si="152"/>
        <v>0</v>
      </c>
      <c r="AA101" s="111">
        <f t="shared" si="153"/>
        <v>0</v>
      </c>
      <c r="AD101" s="119" t="s">
        <v>322</v>
      </c>
      <c r="AE101" s="40"/>
      <c r="AF101" s="110">
        <f t="shared" si="154"/>
        <v>0</v>
      </c>
      <c r="AG101" s="109">
        <f t="shared" si="155"/>
        <v>0</v>
      </c>
      <c r="AH101" s="111">
        <f t="shared" si="156"/>
        <v>0</v>
      </c>
      <c r="AK101" s="119" t="s">
        <v>322</v>
      </c>
      <c r="AL101" s="40"/>
      <c r="AM101" s="110">
        <f t="shared" si="157"/>
        <v>0</v>
      </c>
      <c r="AN101" s="109">
        <f t="shared" si="158"/>
        <v>0</v>
      </c>
      <c r="AO101" s="111">
        <f t="shared" si="159"/>
        <v>0</v>
      </c>
      <c r="AR101" s="119" t="s">
        <v>322</v>
      </c>
      <c r="AS101" s="40"/>
      <c r="AT101" s="110">
        <f t="shared" si="160"/>
        <v>0</v>
      </c>
      <c r="AU101" s="109">
        <f t="shared" si="161"/>
        <v>0</v>
      </c>
      <c r="AV101" s="111">
        <f t="shared" si="162"/>
        <v>0</v>
      </c>
      <c r="AY101" s="119" t="s">
        <v>322</v>
      </c>
      <c r="AZ101" s="40"/>
      <c r="BA101" s="110">
        <f t="shared" si="163"/>
        <v>0</v>
      </c>
      <c r="BB101" s="109">
        <f t="shared" si="164"/>
        <v>0</v>
      </c>
      <c r="BC101" s="111">
        <f t="shared" si="165"/>
        <v>0</v>
      </c>
      <c r="BF101" s="119" t="s">
        <v>322</v>
      </c>
      <c r="BG101" s="40"/>
      <c r="BH101" s="110">
        <f t="shared" si="166"/>
        <v>0</v>
      </c>
      <c r="BI101" s="109">
        <f t="shared" si="167"/>
        <v>0</v>
      </c>
      <c r="BJ101" s="111">
        <f t="shared" si="168"/>
        <v>0</v>
      </c>
      <c r="BM101" s="119" t="s">
        <v>322</v>
      </c>
      <c r="BN101" s="40"/>
      <c r="BO101" s="110">
        <f t="shared" si="169"/>
        <v>0</v>
      </c>
      <c r="BP101" s="109">
        <f t="shared" si="170"/>
        <v>0</v>
      </c>
      <c r="BQ101" s="111">
        <f t="shared" si="171"/>
        <v>0</v>
      </c>
      <c r="BT101" s="119" t="s">
        <v>322</v>
      </c>
      <c r="BU101" s="40"/>
      <c r="BV101" s="110">
        <f t="shared" si="172"/>
        <v>0</v>
      </c>
      <c r="BW101" s="109">
        <f t="shared" si="173"/>
        <v>0</v>
      </c>
      <c r="BX101" s="111">
        <f t="shared" si="174"/>
        <v>0</v>
      </c>
      <c r="CA101" s="119" t="s">
        <v>322</v>
      </c>
      <c r="CB101" s="40"/>
      <c r="CC101" s="110">
        <f t="shared" si="175"/>
        <v>0</v>
      </c>
      <c r="CD101" s="109">
        <f t="shared" si="176"/>
        <v>0</v>
      </c>
      <c r="CE101" s="111">
        <f t="shared" si="177"/>
        <v>0</v>
      </c>
      <c r="CH101" s="119" t="s">
        <v>322</v>
      </c>
      <c r="CI101" s="40"/>
      <c r="CJ101" s="110">
        <f t="shared" si="178"/>
        <v>0</v>
      </c>
      <c r="CK101" s="109">
        <f t="shared" si="179"/>
        <v>0</v>
      </c>
      <c r="CL101" s="111">
        <f t="shared" si="180"/>
        <v>0</v>
      </c>
      <c r="CO101" s="119" t="s">
        <v>322</v>
      </c>
      <c r="CP101" s="40"/>
      <c r="CQ101" s="110">
        <f t="shared" si="181"/>
        <v>0</v>
      </c>
      <c r="CR101" s="109">
        <f t="shared" si="182"/>
        <v>0</v>
      </c>
      <c r="CS101" s="111">
        <f t="shared" si="183"/>
        <v>0</v>
      </c>
      <c r="CV101" s="119" t="s">
        <v>322</v>
      </c>
      <c r="CW101" s="40"/>
      <c r="CX101" s="110">
        <f t="shared" si="184"/>
        <v>0</v>
      </c>
      <c r="CY101" s="109">
        <f t="shared" si="185"/>
        <v>0</v>
      </c>
      <c r="CZ101" s="111">
        <f t="shared" si="186"/>
        <v>0</v>
      </c>
      <c r="DC101" s="119" t="s">
        <v>322</v>
      </c>
      <c r="DD101" s="40"/>
      <c r="DE101" s="110">
        <f t="shared" si="187"/>
        <v>0</v>
      </c>
      <c r="DF101" s="109">
        <f t="shared" si="188"/>
        <v>0</v>
      </c>
      <c r="DG101" s="111">
        <f t="shared" si="189"/>
        <v>0</v>
      </c>
      <c r="DJ101" s="119" t="s">
        <v>322</v>
      </c>
      <c r="DK101" s="40"/>
      <c r="DL101" s="110">
        <f t="shared" si="190"/>
        <v>0</v>
      </c>
      <c r="DM101" s="109">
        <f t="shared" si="191"/>
        <v>0</v>
      </c>
      <c r="DN101" s="111">
        <f t="shared" si="192"/>
        <v>0</v>
      </c>
      <c r="DQ101" s="119" t="s">
        <v>322</v>
      </c>
      <c r="DR101" s="40"/>
      <c r="DS101" s="110">
        <f t="shared" si="193"/>
        <v>0</v>
      </c>
      <c r="DT101" s="109">
        <f t="shared" si="194"/>
        <v>0</v>
      </c>
      <c r="DU101" s="111">
        <f t="shared" si="195"/>
        <v>0</v>
      </c>
    </row>
    <row r="102">
      <c r="B102" s="120" t="s">
        <v>395</v>
      </c>
      <c r="C102" s="121">
        <f>ROUND(SUBTOTAL(109,$C$19:$C$101),2)</f>
        <v>0</v>
      </c>
      <c r="D102" s="122">
        <f>ROUND(SUBTOTAL(109,$D$19:$D$101),2)</f>
        <v>0</v>
      </c>
      <c r="E102" s="121">
        <f>ROUND(SUBTOTAL(109,$E$19:$E$101),2)</f>
        <v>0</v>
      </c>
      <c r="F102" s="123">
        <f>ROUND(SUBTOTAL(109,$F$19:$F$101),2)</f>
        <v>0</v>
      </c>
      <c r="I102" s="120" t="s">
        <v>395</v>
      </c>
      <c r="J102" s="121">
        <f>ROUND(SUBTOTAL(109,$J$19:$J$101),2)</f>
        <v>0</v>
      </c>
      <c r="K102" s="122">
        <f>ROUND(SUBTOTAL(109,$K$19:$K$101),2)</f>
        <v>0</v>
      </c>
      <c r="L102" s="121">
        <f>ROUND(SUBTOTAL(109,$L$19:$L$101),2)</f>
        <v>0</v>
      </c>
      <c r="M102" s="123">
        <f>ROUND(SUBTOTAL(109,$M$19:$M$101),2)</f>
        <v>0</v>
      </c>
      <c r="P102" s="120" t="s">
        <v>395</v>
      </c>
      <c r="Q102" s="121">
        <f>ROUND(SUBTOTAL(109,$Q$19:$Q$101),2)</f>
        <v>0</v>
      </c>
      <c r="R102" s="122">
        <f>ROUND(SUBTOTAL(109,$R$19:$R$101),2)</f>
        <v>0</v>
      </c>
      <c r="S102" s="121">
        <f>ROUND(SUBTOTAL(109,$S$19:$S$101),2)</f>
        <v>0</v>
      </c>
      <c r="T102" s="123">
        <f>ROUND(SUBTOTAL(109,$T$19:$T$101),2)</f>
        <v>0</v>
      </c>
      <c r="W102" s="120" t="s">
        <v>395</v>
      </c>
      <c r="X102" s="121">
        <f>ROUND(SUBTOTAL(109,$X$19:$X$101),2)</f>
        <v>0</v>
      </c>
      <c r="Y102" s="122">
        <f>ROUND(SUBTOTAL(109,$Y$19:$Y$101),2)</f>
        <v>0</v>
      </c>
      <c r="Z102" s="121">
        <f>ROUND(SUBTOTAL(109,$Z$19:$Z$101),2)</f>
        <v>0</v>
      </c>
      <c r="AA102" s="123">
        <f>ROUND(SUBTOTAL(109,$AA$19:$AA$101),2)</f>
        <v>0</v>
      </c>
      <c r="AD102" s="120" t="s">
        <v>395</v>
      </c>
      <c r="AE102" s="121">
        <f>ROUND(SUBTOTAL(109,$AE$19:$AE$101),2)</f>
        <v>0</v>
      </c>
      <c r="AF102" s="122">
        <f>ROUND(SUBTOTAL(109,$AF$19:$AF$101),2)</f>
        <v>0</v>
      </c>
      <c r="AG102" s="121">
        <f>ROUND(SUBTOTAL(109,$AG$19:$AG$101),2)</f>
        <v>0</v>
      </c>
      <c r="AH102" s="123">
        <f>ROUND(SUBTOTAL(109,$AH$19:$AH$101),2)</f>
        <v>0</v>
      </c>
      <c r="AK102" s="120" t="s">
        <v>395</v>
      </c>
      <c r="AL102" s="121">
        <f>ROUND(SUBTOTAL(109,$AL$19:$AL$101),2)</f>
        <v>0</v>
      </c>
      <c r="AM102" s="122">
        <f>ROUND(SUBTOTAL(109,$AM$19:$AM$101),2)</f>
        <v>0</v>
      </c>
      <c r="AN102" s="121">
        <f>ROUND(SUBTOTAL(109,$AN$19:$AN$101),2)</f>
        <v>0</v>
      </c>
      <c r="AO102" s="123">
        <f>ROUND(SUBTOTAL(109,$AO$19:$AO$101),2)</f>
        <v>0</v>
      </c>
      <c r="AR102" s="120" t="s">
        <v>395</v>
      </c>
      <c r="AS102" s="121">
        <f>ROUND(SUBTOTAL(109,$AS$19:$AS$101),2)</f>
        <v>0</v>
      </c>
      <c r="AT102" s="122">
        <f>ROUND(SUBTOTAL(109,$AT$19:$AT$101),2)</f>
        <v>0</v>
      </c>
      <c r="AU102" s="121">
        <f>ROUND(SUBTOTAL(109,$AU$19:$AU$101),2)</f>
        <v>0</v>
      </c>
      <c r="AV102" s="123">
        <f>ROUND(SUBTOTAL(109,$AV$19:$AV$101),2)</f>
        <v>0</v>
      </c>
      <c r="AY102" s="120" t="s">
        <v>395</v>
      </c>
      <c r="AZ102" s="121">
        <f>ROUND(SUBTOTAL(109,$AZ$19:$AZ$101),2)</f>
        <v>0</v>
      </c>
      <c r="BA102" s="122">
        <f>ROUND(SUBTOTAL(109,$BA$19:$BA$101),2)</f>
        <v>0</v>
      </c>
      <c r="BB102" s="121">
        <f>ROUND(SUBTOTAL(109,$BB$19:$BB$101),2)</f>
        <v>0</v>
      </c>
      <c r="BC102" s="123">
        <f>ROUND(SUBTOTAL(109,$BC$19:$BC$101),2)</f>
        <v>0</v>
      </c>
      <c r="BF102" s="120" t="s">
        <v>395</v>
      </c>
      <c r="BG102" s="121">
        <f>ROUND(SUBTOTAL(109,$BG$19:$BG$101),2)</f>
        <v>0</v>
      </c>
      <c r="BH102" s="122">
        <f>ROUND(SUBTOTAL(109,$BH$19:$BH$101),2)</f>
        <v>0</v>
      </c>
      <c r="BI102" s="121">
        <f>ROUND(SUBTOTAL(109,$BI$19:$BI$101),2)</f>
        <v>0</v>
      </c>
      <c r="BJ102" s="123">
        <f>ROUND(SUBTOTAL(109,$BJ$19:$BJ$101),2)</f>
        <v>0</v>
      </c>
      <c r="BM102" s="120" t="s">
        <v>395</v>
      </c>
      <c r="BN102" s="121">
        <f>ROUND(SUBTOTAL(109,$BN$19:$BN$101),2)</f>
        <v>0</v>
      </c>
      <c r="BO102" s="122">
        <f>ROUND(SUBTOTAL(109,$BO$19:$BO$101),2)</f>
        <v>0</v>
      </c>
      <c r="BP102" s="121">
        <f>ROUND(SUBTOTAL(109,$BP$19:$BP$101),2)</f>
        <v>0</v>
      </c>
      <c r="BQ102" s="123">
        <f>ROUND(SUBTOTAL(109,$BQ$19:$BQ$101),2)</f>
        <v>0</v>
      </c>
      <c r="BT102" s="120" t="s">
        <v>395</v>
      </c>
      <c r="BU102" s="121">
        <f>ROUND(SUBTOTAL(109,$BU$19:$BU$101),2)</f>
        <v>0</v>
      </c>
      <c r="BV102" s="122">
        <f>ROUND(SUBTOTAL(109,$BV$19:$BV$101),2)</f>
        <v>0</v>
      </c>
      <c r="BW102" s="121">
        <f>ROUND(SUBTOTAL(109,$BW$19:$BW$101),2)</f>
        <v>0</v>
      </c>
      <c r="BX102" s="123">
        <f>ROUND(SUBTOTAL(109,$BX$19:$BX$101),2)</f>
        <v>0</v>
      </c>
      <c r="CA102" s="120" t="s">
        <v>395</v>
      </c>
      <c r="CB102" s="121">
        <f>ROUND(SUBTOTAL(109,$CB$19:$CB$101),2)</f>
        <v>0</v>
      </c>
      <c r="CC102" s="122">
        <f>ROUND(SUBTOTAL(109,$CC$19:$CC$101),2)</f>
        <v>0</v>
      </c>
      <c r="CD102" s="121">
        <f>ROUND(SUBTOTAL(109,$CD$19:$CD$101),2)</f>
        <v>0</v>
      </c>
      <c r="CE102" s="123">
        <f>ROUND(SUBTOTAL(109,$CE$19:$CE$101),2)</f>
        <v>0</v>
      </c>
      <c r="CH102" s="120" t="s">
        <v>395</v>
      </c>
      <c r="CI102" s="121">
        <f>ROUND(SUBTOTAL(109,$CI$19:$CI$101),2)</f>
        <v>0</v>
      </c>
      <c r="CJ102" s="122">
        <f>ROUND(SUBTOTAL(109,$CJ$19:$CJ$101),2)</f>
        <v>0</v>
      </c>
      <c r="CK102" s="121">
        <f>ROUND(SUBTOTAL(109,$CK$19:$CK$101),2)</f>
        <v>0</v>
      </c>
      <c r="CL102" s="123">
        <f>ROUND(SUBTOTAL(109,$CL$19:$CL$101),2)</f>
        <v>0</v>
      </c>
      <c r="CO102" s="120" t="s">
        <v>395</v>
      </c>
      <c r="CP102" s="121">
        <f>ROUND(SUBTOTAL(109,$CP$19:$CP$101),2)</f>
        <v>0</v>
      </c>
      <c r="CQ102" s="122">
        <f>ROUND(SUBTOTAL(109,$CQ$19:$CQ$101),2)</f>
        <v>0</v>
      </c>
      <c r="CR102" s="121">
        <f>ROUND(SUBTOTAL(109,$CR$19:$CR$101),2)</f>
        <v>0</v>
      </c>
      <c r="CS102" s="123">
        <f>ROUND(SUBTOTAL(109,$CS$19:$CS$101),2)</f>
        <v>0</v>
      </c>
      <c r="CV102" s="120" t="s">
        <v>395</v>
      </c>
      <c r="CW102" s="121">
        <f>ROUND(SUBTOTAL(109,$CW$19:$CW$101),2)</f>
        <v>0</v>
      </c>
      <c r="CX102" s="122">
        <f>ROUND(SUBTOTAL(109,$CX$19:$CX$101),2)</f>
        <v>0</v>
      </c>
      <c r="CY102" s="121">
        <f>ROUND(SUBTOTAL(109,$CY$19:$CY$101),2)</f>
        <v>0</v>
      </c>
      <c r="CZ102" s="123">
        <f>ROUND(SUBTOTAL(109,$CZ$19:$CZ$101),2)</f>
        <v>0</v>
      </c>
      <c r="DC102" s="120" t="s">
        <v>395</v>
      </c>
      <c r="DD102" s="121">
        <f>ROUND(SUBTOTAL(109,$DD$19:$DD$101),2)</f>
        <v>0</v>
      </c>
      <c r="DE102" s="122">
        <f>ROUND(SUBTOTAL(109,$DE$19:$DE$101),2)</f>
        <v>0</v>
      </c>
      <c r="DF102" s="121">
        <f>ROUND(SUBTOTAL(109,$DF$19:$DF$101),2)</f>
        <v>0</v>
      </c>
      <c r="DG102" s="123">
        <f>ROUND(SUBTOTAL(109,$DG$19:$DG$101),2)</f>
        <v>0</v>
      </c>
      <c r="DJ102" s="120" t="s">
        <v>395</v>
      </c>
      <c r="DK102" s="121">
        <f>ROUND(SUBTOTAL(109,$DK$19:$DK$101),2)</f>
        <v>0</v>
      </c>
      <c r="DL102" s="122">
        <f>ROUND(SUBTOTAL(109,$DL$19:$DL$101),2)</f>
        <v>0</v>
      </c>
      <c r="DM102" s="121">
        <f>ROUND(SUBTOTAL(109,$DM$19:$DM$101),2)</f>
        <v>0</v>
      </c>
      <c r="DN102" s="123">
        <f>ROUND(SUBTOTAL(109,$DN$19:$DN$101),2)</f>
        <v>0</v>
      </c>
      <c r="DQ102" s="120" t="s">
        <v>395</v>
      </c>
      <c r="DR102" s="121">
        <f>ROUND(SUBTOTAL(109,$DR$19:$DR$101),2)</f>
        <v>0</v>
      </c>
      <c r="DS102" s="122">
        <f>ROUND(SUBTOTAL(109,$DS$19:$DS$101),2)</f>
        <v>0</v>
      </c>
      <c r="DT102" s="121">
        <f>ROUND(SUBTOTAL(109,$DT$19:$DT$101),2)</f>
        <v>0</v>
      </c>
      <c r="DU102" s="123">
        <f>ROUND(SUBTOTAL(109,$DU$19:$DU$101),2)</f>
        <v>0</v>
      </c>
    </row>
    <row r="103">
      <c r="B103" s="22"/>
      <c r="F103" s="23"/>
      <c r="I103" s="22"/>
      <c r="M103" s="23"/>
      <c r="P103" s="22"/>
      <c r="T103" s="23"/>
      <c r="W103" s="22"/>
      <c r="AA103" s="23"/>
      <c r="AD103" s="22"/>
      <c r="AH103" s="23"/>
      <c r="AK103" s="22"/>
      <c r="AO103" s="23"/>
      <c r="AR103" s="22"/>
      <c r="AV103" s="23"/>
      <c r="AY103" s="22"/>
      <c r="BC103" s="23"/>
      <c r="BF103" s="22"/>
      <c r="BJ103" s="23"/>
      <c r="BM103" s="22"/>
      <c r="BQ103" s="23"/>
      <c r="BT103" s="22"/>
      <c r="BX103" s="23"/>
      <c r="CA103" s="22"/>
      <c r="CE103" s="23"/>
      <c r="CH103" s="22"/>
      <c r="CL103" s="23"/>
      <c r="CO103" s="22"/>
      <c r="CS103" s="23"/>
      <c r="CV103" s="22"/>
      <c r="CZ103" s="23"/>
      <c r="DC103" s="22"/>
      <c r="DG103" s="23"/>
      <c r="DJ103" s="22"/>
      <c r="DN103" s="23"/>
      <c r="DQ103" s="22"/>
      <c r="DU103" s="23"/>
    </row>
    <row r="104">
      <c r="B104" s="98" t="s">
        <v>396</v>
      </c>
      <c r="C104" s="124">
        <f>ROUND(IFERROR(C16-$C$102,""),2)</f>
        <v>0</v>
      </c>
      <c r="D104" s="125">
        <f>ROUND(IFERROR(D16-$D$102,""),2)</f>
        <v>0</v>
      </c>
      <c r="E104" s="124">
        <f>ROUND(IFERROR(E16-E102,""),2)</f>
        <v>0</v>
      </c>
      <c r="F104" s="126">
        <f>ROUND(IFERROR(F16-F102,""),2)</f>
        <v>0</v>
      </c>
      <c r="I104" s="98" t="s">
        <v>396</v>
      </c>
      <c r="J104" s="124">
        <f>ROUND(IFERROR(J16-$J$102,""),2)</f>
        <v>0</v>
      </c>
      <c r="K104" s="125">
        <f>ROUND(IFERROR(K16-$K$102,""),2)</f>
        <v>0</v>
      </c>
      <c r="L104" s="124">
        <f>ROUND(IFERROR(L16-L102,""),2)</f>
        <v>0</v>
      </c>
      <c r="M104" s="126">
        <f>ROUND(IFERROR(M16-M102,""),2)</f>
        <v>0</v>
      </c>
      <c r="P104" s="98" t="s">
        <v>396</v>
      </c>
      <c r="Q104" s="124">
        <f>ROUND(IFERROR(Q16-$Q$102,""),2)</f>
        <v>0</v>
      </c>
      <c r="R104" s="125">
        <f>ROUND(IFERROR(R16-$R$102,""),2)</f>
        <v>0</v>
      </c>
      <c r="S104" s="124">
        <f>ROUND(IFERROR(S16-S102,""),2)</f>
        <v>0</v>
      </c>
      <c r="T104" s="126">
        <f>ROUND(IFERROR(T16-T102,""),2)</f>
        <v>0</v>
      </c>
      <c r="W104" s="98" t="s">
        <v>396</v>
      </c>
      <c r="X104" s="124">
        <f>ROUND(IFERROR(X16-$X$102,""),2)</f>
        <v>0</v>
      </c>
      <c r="Y104" s="125">
        <f>ROUND(IFERROR(Y16-$Y$102,""),2)</f>
        <v>0</v>
      </c>
      <c r="Z104" s="124">
        <f>ROUND(IFERROR(Z16-Z102,""),2)</f>
        <v>0</v>
      </c>
      <c r="AA104" s="126">
        <f>ROUND(IFERROR(AA16-AA102,""),2)</f>
        <v>0</v>
      </c>
      <c r="AD104" s="98" t="s">
        <v>396</v>
      </c>
      <c r="AE104" s="124">
        <f>ROUND(IFERROR(AE16-$AE$102,""),2)</f>
        <v>0</v>
      </c>
      <c r="AF104" s="125">
        <f>ROUND(IFERROR(AF16-$AF$102,""),2)</f>
        <v>0</v>
      </c>
      <c r="AG104" s="124">
        <f>ROUND(IFERROR(AG16-AG102,""),2)</f>
        <v>0</v>
      </c>
      <c r="AH104" s="126">
        <f>ROUND(IFERROR(AH16-AH102,""),2)</f>
        <v>0</v>
      </c>
      <c r="AK104" s="98" t="s">
        <v>396</v>
      </c>
      <c r="AL104" s="124">
        <f>ROUND(IFERROR(AL16-$AL$102,""),2)</f>
        <v>0</v>
      </c>
      <c r="AM104" s="125">
        <f>ROUND(IFERROR(AM16-$AM$102,""),2)</f>
        <v>0</v>
      </c>
      <c r="AN104" s="124">
        <f>ROUND(IFERROR(AN16-AN102,""),2)</f>
        <v>0</v>
      </c>
      <c r="AO104" s="126">
        <f>ROUND(IFERROR(AO16-AO102,""),2)</f>
        <v>0</v>
      </c>
      <c r="AR104" s="98" t="s">
        <v>396</v>
      </c>
      <c r="AS104" s="124">
        <f>ROUND(IFERROR(AS16-$AS$102,""),2)</f>
        <v>0</v>
      </c>
      <c r="AT104" s="125">
        <f>ROUND(IFERROR(AT16-$AT$102,""),2)</f>
        <v>0</v>
      </c>
      <c r="AU104" s="124">
        <f>ROUND(IFERROR(AU16-AU102,""),2)</f>
        <v>0</v>
      </c>
      <c r="AV104" s="126">
        <f>ROUND(IFERROR(AV16-AV102,""),2)</f>
        <v>0</v>
      </c>
      <c r="AY104" s="98" t="s">
        <v>396</v>
      </c>
      <c r="AZ104" s="124">
        <f>ROUND(IFERROR(AZ16-$AZ$102,""),2)</f>
        <v>0</v>
      </c>
      <c r="BA104" s="125">
        <f>ROUND(IFERROR(BA16-$BA$102,""),2)</f>
        <v>0</v>
      </c>
      <c r="BB104" s="124">
        <f>ROUND(IFERROR(BB16-BB102,""),2)</f>
        <v>0</v>
      </c>
      <c r="BC104" s="126">
        <f>ROUND(IFERROR(BC16-BC102,""),2)</f>
        <v>0</v>
      </c>
      <c r="BF104" s="98" t="s">
        <v>396</v>
      </c>
      <c r="BG104" s="124">
        <f>ROUND(IFERROR(BG16-$BG$102,""),2)</f>
        <v>0</v>
      </c>
      <c r="BH104" s="125">
        <f>ROUND(IFERROR(BH16-$BH$102,""),2)</f>
        <v>0</v>
      </c>
      <c r="BI104" s="124">
        <f>ROUND(IFERROR(BI16-BI102,""),2)</f>
        <v>0</v>
      </c>
      <c r="BJ104" s="126">
        <f>ROUND(IFERROR(BJ16-BJ102,""),2)</f>
        <v>0</v>
      </c>
      <c r="BM104" s="98" t="s">
        <v>396</v>
      </c>
      <c r="BN104" s="124">
        <f>ROUND(IFERROR(BN16-$BN$102,""),2)</f>
        <v>0</v>
      </c>
      <c r="BO104" s="125">
        <f>ROUND(IFERROR(BO16-$BO$102,""),2)</f>
        <v>0</v>
      </c>
      <c r="BP104" s="124">
        <f>ROUND(IFERROR(BP16-BP102,""),2)</f>
        <v>0</v>
      </c>
      <c r="BQ104" s="126">
        <f>ROUND(IFERROR(BQ16-BQ102,""),2)</f>
        <v>0</v>
      </c>
      <c r="BT104" s="98" t="s">
        <v>396</v>
      </c>
      <c r="BU104" s="124">
        <f>ROUND(IFERROR(BU16-$BU$102,""),2)</f>
        <v>0</v>
      </c>
      <c r="BV104" s="125">
        <f>ROUND(IFERROR(BV16-$BV$102,""),2)</f>
        <v>0</v>
      </c>
      <c r="BW104" s="124">
        <f>ROUND(IFERROR(BW16-BW102,""),2)</f>
        <v>0</v>
      </c>
      <c r="BX104" s="126">
        <f>ROUND(IFERROR(BX16-BX102,""),2)</f>
        <v>0</v>
      </c>
      <c r="CA104" s="98" t="s">
        <v>396</v>
      </c>
      <c r="CB104" s="124">
        <f>ROUND(IFERROR(CB16-$CB$102,""),2)</f>
        <v>0</v>
      </c>
      <c r="CC104" s="125">
        <f>ROUND(IFERROR(CC16-$CC$102,""),2)</f>
        <v>0</v>
      </c>
      <c r="CD104" s="124">
        <f>ROUND(IFERROR(CD16-CD102,""),2)</f>
        <v>0</v>
      </c>
      <c r="CE104" s="126">
        <f>ROUND(IFERROR(CE16-CE102,""),2)</f>
        <v>0</v>
      </c>
      <c r="CH104" s="98" t="s">
        <v>396</v>
      </c>
      <c r="CI104" s="124">
        <f>ROUND(IFERROR(CI16-$CI$102,""),2)</f>
        <v>0</v>
      </c>
      <c r="CJ104" s="125">
        <f>ROUND(IFERROR(CJ16-$CJ$102,""),2)</f>
        <v>0</v>
      </c>
      <c r="CK104" s="124">
        <f>ROUND(IFERROR(CK16-CK102,""),2)</f>
        <v>0</v>
      </c>
      <c r="CL104" s="126">
        <f>ROUND(IFERROR(CL16-CL102,""),2)</f>
        <v>0</v>
      </c>
      <c r="CO104" s="98" t="s">
        <v>396</v>
      </c>
      <c r="CP104" s="124">
        <f>ROUND(IFERROR(CP16-$CP$102,""),2)</f>
        <v>0</v>
      </c>
      <c r="CQ104" s="125">
        <f>ROUND(IFERROR(CQ16-$CQ$102,""),2)</f>
        <v>0</v>
      </c>
      <c r="CR104" s="124">
        <f>ROUND(IFERROR(CR16-CR102,""),2)</f>
        <v>0</v>
      </c>
      <c r="CS104" s="126">
        <f>ROUND(IFERROR(CS16-CS102,""),2)</f>
        <v>0</v>
      </c>
      <c r="CV104" s="98" t="s">
        <v>396</v>
      </c>
      <c r="CW104" s="124">
        <f>ROUND(IFERROR(CW16-$CW$102,""),2)</f>
        <v>0</v>
      </c>
      <c r="CX104" s="125">
        <f>ROUND(IFERROR(CX16-$CX$102,""),2)</f>
        <v>0</v>
      </c>
      <c r="CY104" s="124">
        <f>ROUND(IFERROR(CY16-CY102,""),2)</f>
        <v>0</v>
      </c>
      <c r="CZ104" s="126">
        <f>ROUND(IFERROR(CZ16-CZ102,""),2)</f>
        <v>0</v>
      </c>
      <c r="DC104" s="98" t="s">
        <v>396</v>
      </c>
      <c r="DD104" s="124">
        <f>ROUND(IFERROR(DD16-$DD$102,""),2)</f>
        <v>0</v>
      </c>
      <c r="DE104" s="125">
        <f>ROUND(IFERROR(DE16-$DE$102,""),2)</f>
        <v>0</v>
      </c>
      <c r="DF104" s="124">
        <f>ROUND(IFERROR(DF16-DF102,""),2)</f>
        <v>0</v>
      </c>
      <c r="DG104" s="126">
        <f>ROUND(IFERROR(DG16-DG102,""),2)</f>
        <v>0</v>
      </c>
      <c r="DJ104" s="98" t="s">
        <v>396</v>
      </c>
      <c r="DK104" s="124">
        <f>ROUND(IFERROR(DK16-$DK$102,""),2)</f>
        <v>0</v>
      </c>
      <c r="DL104" s="125">
        <f>ROUND(IFERROR(DL16-$DL$102,""),2)</f>
        <v>0</v>
      </c>
      <c r="DM104" s="124">
        <f>ROUND(IFERROR(DM16-DM102,""),2)</f>
        <v>0</v>
      </c>
      <c r="DN104" s="126">
        <f>ROUND(IFERROR(DN16-DN102,""),2)</f>
        <v>0</v>
      </c>
      <c r="DQ104" s="98" t="s">
        <v>396</v>
      </c>
      <c r="DR104" s="124">
        <f>ROUND(IFERROR(DR16-$DR$102,""),2)</f>
        <v>0</v>
      </c>
      <c r="DS104" s="125">
        <f>ROUND(IFERROR(DS16-$DS$102,""),2)</f>
        <v>0</v>
      </c>
      <c r="DT104" s="124">
        <f>ROUND(IFERROR(DT16-DT102,""),2)</f>
        <v>0</v>
      </c>
      <c r="DU104" s="126">
        <f>ROUND(IFERROR(DU16-DU102,""),2)</f>
        <v>0</v>
      </c>
    </row>
    <row r="105">
      <c r="B105" s="22"/>
      <c r="F105" s="23"/>
      <c r="I105" s="22"/>
      <c r="M105" s="23"/>
      <c r="P105" s="22"/>
      <c r="T105" s="23"/>
      <c r="W105" s="22"/>
      <c r="AA105" s="23"/>
      <c r="AD105" s="22"/>
      <c r="AH105" s="23"/>
      <c r="AK105" s="22"/>
      <c r="AO105" s="23"/>
      <c r="AR105" s="22"/>
      <c r="AV105" s="23"/>
      <c r="AY105" s="22"/>
      <c r="BC105" s="23"/>
      <c r="BF105" s="22"/>
      <c r="BJ105" s="23"/>
      <c r="BM105" s="22"/>
      <c r="BQ105" s="23"/>
      <c r="BT105" s="22"/>
      <c r="BX105" s="23"/>
      <c r="CA105" s="22"/>
      <c r="CE105" s="23"/>
      <c r="CH105" s="22"/>
      <c r="CL105" s="23"/>
      <c r="CO105" s="22"/>
      <c r="CS105" s="23"/>
      <c r="CV105" s="22"/>
      <c r="CZ105" s="23"/>
      <c r="DC105" s="22"/>
      <c r="DG105" s="23"/>
      <c r="DJ105" s="22"/>
      <c r="DN105" s="23"/>
      <c r="DQ105" s="22"/>
      <c r="DU105" s="23"/>
    </row>
    <row r="106">
      <c r="B106" s="127" t="s">
        <v>397</v>
      </c>
      <c r="F106" s="23"/>
      <c r="I106" s="127" t="s">
        <v>397</v>
      </c>
      <c r="M106" s="23"/>
      <c r="P106" s="127" t="s">
        <v>397</v>
      </c>
      <c r="T106" s="23"/>
      <c r="W106" s="127" t="s">
        <v>397</v>
      </c>
      <c r="AA106" s="23"/>
      <c r="AD106" s="127" t="s">
        <v>397</v>
      </c>
      <c r="AH106" s="23"/>
      <c r="AK106" s="127" t="s">
        <v>397</v>
      </c>
      <c r="AO106" s="23"/>
      <c r="AR106" s="127" t="s">
        <v>397</v>
      </c>
      <c r="AV106" s="23"/>
      <c r="AY106" s="127" t="s">
        <v>397</v>
      </c>
      <c r="BC106" s="23"/>
      <c r="BF106" s="127" t="s">
        <v>397</v>
      </c>
      <c r="BJ106" s="23"/>
      <c r="BM106" s="127" t="s">
        <v>397</v>
      </c>
      <c r="BQ106" s="23"/>
      <c r="BT106" s="127" t="s">
        <v>397</v>
      </c>
      <c r="BX106" s="23"/>
      <c r="CA106" s="127" t="s">
        <v>397</v>
      </c>
      <c r="CE106" s="23"/>
      <c r="CH106" s="127" t="s">
        <v>397</v>
      </c>
      <c r="CL106" s="23"/>
      <c r="CO106" s="127" t="s">
        <v>397</v>
      </c>
      <c r="CS106" s="23"/>
      <c r="CV106" s="127" t="s">
        <v>397</v>
      </c>
      <c r="CZ106" s="23"/>
      <c r="DC106" s="127" t="s">
        <v>397</v>
      </c>
      <c r="DG106" s="23"/>
      <c r="DJ106" s="127" t="s">
        <v>397</v>
      </c>
      <c r="DN106" s="23"/>
      <c r="DQ106" s="127" t="s">
        <v>397</v>
      </c>
      <c r="DU106" s="23"/>
    </row>
    <row r="107">
      <c r="B107" s="128" t="s">
        <v>398</v>
      </c>
      <c r="C107" s="129"/>
      <c r="D107" s="130">
        <f>IF(C107=0, 0, IF(ROUND(SUM(C108:C109), 2)=0, ROUND(D104 - 0, 2), ROUND(C107 / ROUND(SUM(C107:C109), 2) * D104, 2)))</f>
        <v>0</v>
      </c>
      <c r="F107" s="23"/>
      <c r="I107" s="128" t="s">
        <v>398</v>
      </c>
      <c r="J107" s="129"/>
      <c r="K107" s="130">
        <f>IF(J107=0, 0, IF(ROUND(SUM(J108:J109), 2)=0, ROUND(K104 - 0, 2), ROUND(J107 / ROUND(SUM(J107:J109), 2) * K104, 2)))</f>
        <v>0</v>
      </c>
      <c r="M107" s="23"/>
      <c r="P107" s="128" t="s">
        <v>398</v>
      </c>
      <c r="Q107" s="129"/>
      <c r="R107" s="130">
        <f>IF(Q107=0, 0, IF(ROUND(SUM(Q108:Q109), 2)=0, ROUND(R104 - 0, 2), ROUND(Q107 / ROUND(SUM(Q107:Q109), 2) * R104, 2)))</f>
        <v>0</v>
      </c>
      <c r="T107" s="23"/>
      <c r="W107" s="128" t="s">
        <v>398</v>
      </c>
      <c r="X107" s="129"/>
      <c r="Y107" s="130">
        <f>IF(X107=0, 0, IF(ROUND(SUM(X108:X109), 2)=0, ROUND(Y104 - 0, 2), ROUND(X107 / ROUND(SUM(X107:X109), 2) * Y104, 2)))</f>
        <v>0</v>
      </c>
      <c r="AA107" s="23"/>
      <c r="AD107" s="128" t="s">
        <v>398</v>
      </c>
      <c r="AE107" s="129"/>
      <c r="AF107" s="130">
        <f>IF(AE107=0, 0, IF(ROUND(SUM(AE108:AE109), 2)=0, ROUND(AF104 - 0, 2), ROUND(AE107 / ROUND(SUM(AE107:AE109), 2) * AF104, 2)))</f>
        <v>0</v>
      </c>
      <c r="AH107" s="23"/>
      <c r="AK107" s="128" t="s">
        <v>398</v>
      </c>
      <c r="AL107" s="129"/>
      <c r="AM107" s="130">
        <f>IF(AL107=0, 0, IF(ROUND(SUM(AL108:AL109), 2)=0, ROUND(AM104 - 0, 2), ROUND(AL107 / ROUND(SUM(AL107:AL109), 2) * AM104, 2)))</f>
        <v>0</v>
      </c>
      <c r="AO107" s="23"/>
      <c r="AR107" s="128" t="s">
        <v>398</v>
      </c>
      <c r="AS107" s="129"/>
      <c r="AT107" s="130">
        <f>IF(AS107=0, 0, IF(ROUND(SUM(AS108:AS109), 2)=0, ROUND(AT104 - 0, 2), ROUND(AS107 / ROUND(SUM(AS107:AS109), 2) * AT104, 2)))</f>
        <v>0</v>
      </c>
      <c r="AV107" s="23"/>
      <c r="AY107" s="128" t="s">
        <v>398</v>
      </c>
      <c r="AZ107" s="129"/>
      <c r="BA107" s="130">
        <f>IF(AZ107=0, 0, IF(ROUND(SUM(AZ108:AZ109), 2)=0, ROUND(BA104 - 0, 2), ROUND(AZ107 / ROUND(SUM(AZ107:AZ109), 2) * BA104, 2)))</f>
        <v>0</v>
      </c>
      <c r="BC107" s="23"/>
      <c r="BF107" s="128" t="s">
        <v>398</v>
      </c>
      <c r="BG107" s="129"/>
      <c r="BH107" s="130">
        <f>IF(BG107=0, 0, IF(ROUND(SUM(BG108:BG109), 2)=0, ROUND(BH104 - 0, 2), ROUND(BG107 / ROUND(SUM(BG107:BG109), 2) * BH104, 2)))</f>
        <v>0</v>
      </c>
      <c r="BJ107" s="23"/>
      <c r="BM107" s="128" t="s">
        <v>398</v>
      </c>
      <c r="BN107" s="129"/>
      <c r="BO107" s="130">
        <f>IF(BN107=0, 0, IF(ROUND(SUM(BN108:BN109), 2)=0, ROUND(BO104 - 0, 2), ROUND(BN107 / ROUND(SUM(BN107:BN109), 2) * BO104, 2)))</f>
        <v>0</v>
      </c>
      <c r="BQ107" s="23"/>
      <c r="BT107" s="128" t="s">
        <v>398</v>
      </c>
      <c r="BU107" s="129"/>
      <c r="BV107" s="130">
        <f>IF(BU107=0, 0, IF(ROUND(SUM(BU108:BU109), 2)=0, ROUND(BV104 - 0, 2), ROUND(BU107 / ROUND(SUM(BU107:BU109), 2) * BV104, 2)))</f>
        <v>0</v>
      </c>
      <c r="BX107" s="23"/>
      <c r="CA107" s="128" t="s">
        <v>398</v>
      </c>
      <c r="CB107" s="129"/>
      <c r="CC107" s="130">
        <f>IF(CB107=0, 0, IF(ROUND(SUM(CB108:CB109), 2)=0, ROUND(CC104 - 0, 2), ROUND(CB107 / ROUND(SUM(CB107:CB109), 2) * CC104, 2)))</f>
        <v>0</v>
      </c>
      <c r="CE107" s="23"/>
      <c r="CH107" s="128" t="s">
        <v>398</v>
      </c>
      <c r="CI107" s="129"/>
      <c r="CJ107" s="130">
        <f>IF(CI107=0, 0, IF(ROUND(SUM(CI108:CI109), 2)=0, ROUND(CJ104 - 0, 2), ROUND(CI107 / ROUND(SUM(CI107:CI109), 2) * CJ104, 2)))</f>
        <v>0</v>
      </c>
      <c r="CL107" s="23"/>
      <c r="CO107" s="128" t="s">
        <v>398</v>
      </c>
      <c r="CP107" s="129"/>
      <c r="CQ107" s="130">
        <f>IF(CP107=0, 0, IF(ROUND(SUM(CP108:CP109), 2)=0, ROUND(CQ104 - 0, 2), ROUND(CP107 / ROUND(SUM(CP107:CP109), 2) * CQ104, 2)))</f>
        <v>0</v>
      </c>
      <c r="CS107" s="23"/>
      <c r="CV107" s="128" t="s">
        <v>398</v>
      </c>
      <c r="CW107" s="129"/>
      <c r="CX107" s="130">
        <f>IF(CW107=0, 0, IF(ROUND(SUM(CW108:CW109), 2)=0, ROUND(CX104 - 0, 2), ROUND(CW107 / ROUND(SUM(CW107:CW109), 2) * CX104, 2)))</f>
        <v>0</v>
      </c>
      <c r="CZ107" s="23"/>
      <c r="DC107" s="128" t="s">
        <v>398</v>
      </c>
      <c r="DD107" s="129"/>
      <c r="DE107" s="130">
        <f>IF(DD107=0, 0, IF(ROUND(SUM(DD108:DD109), 2)=0, ROUND(DE104 - 0, 2), ROUND(DD107 / ROUND(SUM(DD107:DD109), 2) * DE104, 2)))</f>
        <v>0</v>
      </c>
      <c r="DG107" s="23"/>
      <c r="DJ107" s="128" t="s">
        <v>398</v>
      </c>
      <c r="DK107" s="129"/>
      <c r="DL107" s="130">
        <f>IF(DK107=0, 0, IF(ROUND(SUM(DK108:DK109), 2)=0, ROUND(DL104 - 0, 2), ROUND(DK107 / ROUND(SUM(DK107:DK109), 2) * DL104, 2)))</f>
        <v>0</v>
      </c>
      <c r="DN107" s="23"/>
      <c r="DQ107" s="128" t="s">
        <v>398</v>
      </c>
      <c r="DR107" s="129"/>
      <c r="DS107" s="130">
        <f>IF(DR107=0, 0, IF(ROUND(SUM(DR108:DR109), 2)=0, ROUND(DS104 - 0, 2), ROUND(DR107 / ROUND(SUM(DR107:DR109), 2) * DS104, 2)))</f>
        <v>0</v>
      </c>
      <c r="DU107" s="23"/>
    </row>
    <row r="108">
      <c r="B108" s="128" t="s">
        <v>399</v>
      </c>
      <c r="C108" s="129"/>
      <c r="D108" s="130">
        <f>IF(C108=0, 0, IF(ROUND(SUM(C109:C109), 2)=0, ROUND(D104 - SUM(D107:D107), 2), ROUND(C108 / ROUND(SUM(C107:C109), 2) * D104, 2)))</f>
        <v>0</v>
      </c>
      <c r="F108" s="23"/>
      <c r="I108" s="128" t="s">
        <v>399</v>
      </c>
      <c r="J108" s="129"/>
      <c r="K108" s="130">
        <f>IF(J108=0, 0, IF(ROUND(SUM(J109:J109), 2)=0, ROUND(K104 - SUM(K107:K107), 2), ROUND(J108 / ROUND(SUM(J107:J109), 2) * K104, 2)))</f>
        <v>0</v>
      </c>
      <c r="M108" s="23"/>
      <c r="P108" s="128" t="s">
        <v>399</v>
      </c>
      <c r="Q108" s="129"/>
      <c r="R108" s="130">
        <f>IF(Q108=0, 0, IF(ROUND(SUM(Q109:Q109), 2)=0, ROUND(R104 - SUM(R107:R107), 2), ROUND(Q108 / ROUND(SUM(Q107:Q109), 2) * R104, 2)))</f>
        <v>0</v>
      </c>
      <c r="T108" s="23"/>
      <c r="W108" s="128" t="s">
        <v>399</v>
      </c>
      <c r="X108" s="129"/>
      <c r="Y108" s="130">
        <f>IF(X108=0, 0, IF(ROUND(SUM(X109:X109), 2)=0, ROUND(Y104 - SUM(Y107:Y107), 2), ROUND(X108 / ROUND(SUM(X107:X109), 2) * Y104, 2)))</f>
        <v>0</v>
      </c>
      <c r="AA108" s="23"/>
      <c r="AD108" s="128" t="s">
        <v>399</v>
      </c>
      <c r="AE108" s="129"/>
      <c r="AF108" s="130">
        <f>IF(AE108=0, 0, IF(ROUND(SUM(AE109:AE109), 2)=0, ROUND(AF104 - SUM(AF107:AF107), 2), ROUND(AE108 / ROUND(SUM(AE107:AE109), 2) * AF104, 2)))</f>
        <v>0</v>
      </c>
      <c r="AH108" s="23"/>
      <c r="AK108" s="128" t="s">
        <v>399</v>
      </c>
      <c r="AL108" s="129"/>
      <c r="AM108" s="130">
        <f>IF(AL108=0, 0, IF(ROUND(SUM(AL109:AL109), 2)=0, ROUND(AM104 - SUM(AM107:AM107), 2), ROUND(AL108 / ROUND(SUM(AL107:AL109), 2) * AM104, 2)))</f>
        <v>0</v>
      </c>
      <c r="AO108" s="23"/>
      <c r="AR108" s="128" t="s">
        <v>399</v>
      </c>
      <c r="AS108" s="129"/>
      <c r="AT108" s="130">
        <f>IF(AS108=0, 0, IF(ROUND(SUM(AS109:AS109), 2)=0, ROUND(AT104 - SUM(AT107:AT107), 2), ROUND(AS108 / ROUND(SUM(AS107:AS109), 2) * AT104, 2)))</f>
        <v>0</v>
      </c>
      <c r="AV108" s="23"/>
      <c r="AY108" s="128" t="s">
        <v>399</v>
      </c>
      <c r="AZ108" s="129"/>
      <c r="BA108" s="130">
        <f>IF(AZ108=0, 0, IF(ROUND(SUM(AZ109:AZ109), 2)=0, ROUND(BA104 - SUM(BA107:BA107), 2), ROUND(AZ108 / ROUND(SUM(AZ107:AZ109), 2) * BA104, 2)))</f>
        <v>0</v>
      </c>
      <c r="BC108" s="23"/>
      <c r="BF108" s="128" t="s">
        <v>399</v>
      </c>
      <c r="BG108" s="129"/>
      <c r="BH108" s="130">
        <f>IF(BG108=0, 0, IF(ROUND(SUM(BG109:BG109), 2)=0, ROUND(BH104 - SUM(BH107:BH107), 2), ROUND(BG108 / ROUND(SUM(BG107:BG109), 2) * BH104, 2)))</f>
        <v>0</v>
      </c>
      <c r="BJ108" s="23"/>
      <c r="BM108" s="128" t="s">
        <v>399</v>
      </c>
      <c r="BN108" s="129"/>
      <c r="BO108" s="130">
        <f>IF(BN108=0, 0, IF(ROUND(SUM(BN109:BN109), 2)=0, ROUND(BO104 - SUM(BO107:BO107), 2), ROUND(BN108 / ROUND(SUM(BN107:BN109), 2) * BO104, 2)))</f>
        <v>0</v>
      </c>
      <c r="BQ108" s="23"/>
      <c r="BT108" s="128" t="s">
        <v>399</v>
      </c>
      <c r="BU108" s="129"/>
      <c r="BV108" s="130">
        <f>IF(BU108=0, 0, IF(ROUND(SUM(BU109:BU109), 2)=0, ROUND(BV104 - SUM(BV107:BV107), 2), ROUND(BU108 / ROUND(SUM(BU107:BU109), 2) * BV104, 2)))</f>
        <v>0</v>
      </c>
      <c r="BX108" s="23"/>
      <c r="CA108" s="128" t="s">
        <v>399</v>
      </c>
      <c r="CB108" s="129"/>
      <c r="CC108" s="130">
        <f>IF(CB108=0, 0, IF(ROUND(SUM(CB109:CB109), 2)=0, ROUND(CC104 - SUM(CC107:CC107), 2), ROUND(CB108 / ROUND(SUM(CB107:CB109), 2) * CC104, 2)))</f>
        <v>0</v>
      </c>
      <c r="CE108" s="23"/>
      <c r="CH108" s="128" t="s">
        <v>399</v>
      </c>
      <c r="CI108" s="129"/>
      <c r="CJ108" s="130">
        <f>IF(CI108=0, 0, IF(ROUND(SUM(CI109:CI109), 2)=0, ROUND(CJ104 - SUM(CJ107:CJ107), 2), ROUND(CI108 / ROUND(SUM(CI107:CI109), 2) * CJ104, 2)))</f>
        <v>0</v>
      </c>
      <c r="CL108" s="23"/>
      <c r="CO108" s="128" t="s">
        <v>399</v>
      </c>
      <c r="CP108" s="129"/>
      <c r="CQ108" s="130">
        <f>IF(CP108=0, 0, IF(ROUND(SUM(CP109:CP109), 2)=0, ROUND(CQ104 - SUM(CQ107:CQ107), 2), ROUND(CP108 / ROUND(SUM(CP107:CP109), 2) * CQ104, 2)))</f>
        <v>0</v>
      </c>
      <c r="CS108" s="23"/>
      <c r="CV108" s="128" t="s">
        <v>399</v>
      </c>
      <c r="CW108" s="129"/>
      <c r="CX108" s="130">
        <f>IF(CW108=0, 0, IF(ROUND(SUM(CW109:CW109), 2)=0, ROUND(CX104 - SUM(CX107:CX107), 2), ROUND(CW108 / ROUND(SUM(CW107:CW109), 2) * CX104, 2)))</f>
        <v>0</v>
      </c>
      <c r="CZ108" s="23"/>
      <c r="DC108" s="128" t="s">
        <v>399</v>
      </c>
      <c r="DD108" s="129"/>
      <c r="DE108" s="130">
        <f>IF(DD108=0, 0, IF(ROUND(SUM(DD109:DD109), 2)=0, ROUND(DE104 - SUM(DE107:DE107), 2), ROUND(DD108 / ROUND(SUM(DD107:DD109), 2) * DE104, 2)))</f>
        <v>0</v>
      </c>
      <c r="DG108" s="23"/>
      <c r="DJ108" s="128" t="s">
        <v>399</v>
      </c>
      <c r="DK108" s="129"/>
      <c r="DL108" s="130">
        <f>IF(DK108=0, 0, IF(ROUND(SUM(DK109:DK109), 2)=0, ROUND(DL104 - SUM(DL107:DL107), 2), ROUND(DK108 / ROUND(SUM(DK107:DK109), 2) * DL104, 2)))</f>
        <v>0</v>
      </c>
      <c r="DN108" s="23"/>
      <c r="DQ108" s="128" t="s">
        <v>399</v>
      </c>
      <c r="DR108" s="129"/>
      <c r="DS108" s="130">
        <f>IF(DR108=0, 0, IF(ROUND(SUM(DR109:DR109), 2)=0, ROUND(DS104 - SUM(DS107:DS107), 2), ROUND(DR108 / ROUND(SUM(DR107:DR109), 2) * DS104, 2)))</f>
        <v>0</v>
      </c>
      <c r="DU108" s="23"/>
    </row>
    <row r="109">
      <c r="B109" s="128" t="s">
        <v>400</v>
      </c>
      <c r="C109" s="129"/>
      <c r="D109" s="130">
        <f>IF(C109=0, 0, ROUND(D104 - SUM(D107:D108), 2))</f>
        <v>0</v>
      </c>
      <c r="F109" s="23"/>
      <c r="I109" s="128" t="s">
        <v>400</v>
      </c>
      <c r="J109" s="129"/>
      <c r="K109" s="130">
        <f>IF(J109=0, 0, ROUND(K104 - SUM(K107:K108), 2))</f>
        <v>0</v>
      </c>
      <c r="M109" s="23"/>
      <c r="P109" s="128" t="s">
        <v>400</v>
      </c>
      <c r="Q109" s="129"/>
      <c r="R109" s="130">
        <f>IF(Q109=0, 0, ROUND(R104 - SUM(R107:R108), 2))</f>
        <v>0</v>
      </c>
      <c r="T109" s="23"/>
      <c r="W109" s="128" t="s">
        <v>400</v>
      </c>
      <c r="X109" s="129"/>
      <c r="Y109" s="130">
        <f>IF(X109=0, 0, ROUND(Y104 - SUM(Y107:Y108), 2))</f>
        <v>0</v>
      </c>
      <c r="AA109" s="23"/>
      <c r="AD109" s="128" t="s">
        <v>400</v>
      </c>
      <c r="AE109" s="129"/>
      <c r="AF109" s="130">
        <f>IF(AE109=0, 0, ROUND(AF104 - SUM(AF107:AF108), 2))</f>
        <v>0</v>
      </c>
      <c r="AH109" s="23"/>
      <c r="AK109" s="128" t="s">
        <v>400</v>
      </c>
      <c r="AL109" s="129"/>
      <c r="AM109" s="130">
        <f>IF(AL109=0, 0, ROUND(AM104 - SUM(AM107:AM108), 2))</f>
        <v>0</v>
      </c>
      <c r="AO109" s="23"/>
      <c r="AR109" s="128" t="s">
        <v>400</v>
      </c>
      <c r="AS109" s="129"/>
      <c r="AT109" s="130">
        <f>IF(AS109=0, 0, ROUND(AT104 - SUM(AT107:AT108), 2))</f>
        <v>0</v>
      </c>
      <c r="AV109" s="23"/>
      <c r="AY109" s="128" t="s">
        <v>400</v>
      </c>
      <c r="AZ109" s="129"/>
      <c r="BA109" s="130">
        <f>IF(AZ109=0, 0, ROUND(BA104 - SUM(BA107:BA108), 2))</f>
        <v>0</v>
      </c>
      <c r="BC109" s="23"/>
      <c r="BF109" s="128" t="s">
        <v>400</v>
      </c>
      <c r="BG109" s="129"/>
      <c r="BH109" s="130">
        <f>IF(BG109=0, 0, ROUND(BH104 - SUM(BH107:BH108), 2))</f>
        <v>0</v>
      </c>
      <c r="BJ109" s="23"/>
      <c r="BM109" s="128" t="s">
        <v>400</v>
      </c>
      <c r="BN109" s="129"/>
      <c r="BO109" s="130">
        <f>IF(BN109=0, 0, ROUND(BO104 - SUM(BO107:BO108), 2))</f>
        <v>0</v>
      </c>
      <c r="BQ109" s="23"/>
      <c r="BT109" s="128" t="s">
        <v>400</v>
      </c>
      <c r="BU109" s="129"/>
      <c r="BV109" s="130">
        <f>IF(BU109=0, 0, ROUND(BV104 - SUM(BV107:BV108), 2))</f>
        <v>0</v>
      </c>
      <c r="BX109" s="23"/>
      <c r="CA109" s="128" t="s">
        <v>400</v>
      </c>
      <c r="CB109" s="129"/>
      <c r="CC109" s="130">
        <f>IF(CB109=0, 0, ROUND(CC104 - SUM(CC107:CC108), 2))</f>
        <v>0</v>
      </c>
      <c r="CE109" s="23"/>
      <c r="CH109" s="128" t="s">
        <v>400</v>
      </c>
      <c r="CI109" s="129"/>
      <c r="CJ109" s="130">
        <f>IF(CI109=0, 0, ROUND(CJ104 - SUM(CJ107:CJ108), 2))</f>
        <v>0</v>
      </c>
      <c r="CL109" s="23"/>
      <c r="CO109" s="128" t="s">
        <v>400</v>
      </c>
      <c r="CP109" s="129"/>
      <c r="CQ109" s="130">
        <f>IF(CP109=0, 0, ROUND(CQ104 - SUM(CQ107:CQ108), 2))</f>
        <v>0</v>
      </c>
      <c r="CS109" s="23"/>
      <c r="CV109" s="128" t="s">
        <v>400</v>
      </c>
      <c r="CW109" s="129"/>
      <c r="CX109" s="130">
        <f>IF(CW109=0, 0, ROUND(CX104 - SUM(CX107:CX108), 2))</f>
        <v>0</v>
      </c>
      <c r="CZ109" s="23"/>
      <c r="DC109" s="128" t="s">
        <v>400</v>
      </c>
      <c r="DD109" s="129"/>
      <c r="DE109" s="130">
        <f>IF(DD109=0, 0, ROUND(DE104 - SUM(DE107:DE108), 2))</f>
        <v>0</v>
      </c>
      <c r="DG109" s="23"/>
      <c r="DJ109" s="128" t="s">
        <v>400</v>
      </c>
      <c r="DK109" s="129"/>
      <c r="DL109" s="130">
        <f>IF(DK109=0, 0, ROUND(DL104 - SUM(DL107:DL108), 2))</f>
        <v>0</v>
      </c>
      <c r="DN109" s="23"/>
      <c r="DQ109" s="128" t="s">
        <v>400</v>
      </c>
      <c r="DR109" s="129"/>
      <c r="DS109" s="130">
        <f>IF(DR109=0, 0, ROUND(DS104 - SUM(DS107:DS108), 2))</f>
        <v>0</v>
      </c>
      <c r="DU109" s="23"/>
    </row>
    <row r="110">
      <c r="B110" s="22"/>
      <c r="F110" s="23"/>
      <c r="I110" s="22"/>
      <c r="M110" s="23"/>
      <c r="P110" s="22"/>
      <c r="T110" s="23"/>
      <c r="W110" s="22"/>
      <c r="AA110" s="23"/>
      <c r="AD110" s="22"/>
      <c r="AH110" s="23"/>
      <c r="AK110" s="22"/>
      <c r="AO110" s="23"/>
      <c r="AR110" s="22"/>
      <c r="AV110" s="23"/>
      <c r="AY110" s="22"/>
      <c r="BC110" s="23"/>
      <c r="BF110" s="22"/>
      <c r="BJ110" s="23"/>
      <c r="BM110" s="22"/>
      <c r="BQ110" s="23"/>
      <c r="BT110" s="22"/>
      <c r="BX110" s="23"/>
      <c r="CA110" s="22"/>
      <c r="CE110" s="23"/>
      <c r="CH110" s="22"/>
      <c r="CL110" s="23"/>
      <c r="CO110" s="22"/>
      <c r="CS110" s="23"/>
      <c r="CV110" s="22"/>
      <c r="CZ110" s="23"/>
      <c r="DC110" s="22"/>
      <c r="DG110" s="23"/>
      <c r="DJ110" s="22"/>
      <c r="DN110" s="23"/>
      <c r="DQ110" s="22"/>
      <c r="DU110" s="23"/>
    </row>
    <row r="111">
      <c r="B111" s="131" t="s">
        <v>401</v>
      </c>
      <c r="C111" s="132">
        <f>ROUND(IFERROR(C104-SUM(C107:C109),""),2)</f>
        <v>0</v>
      </c>
      <c r="D111" s="133">
        <f>ROUND(IFERROR(D104-SUM(D107:D109),""),2)</f>
        <v>0</v>
      </c>
      <c r="E111" s="134"/>
      <c r="F111" s="135"/>
      <c r="I111" s="131" t="s">
        <v>401</v>
      </c>
      <c r="J111" s="132">
        <f>ROUND(IFERROR(J104-SUM(J107:J109),""),2)</f>
        <v>0</v>
      </c>
      <c r="K111" s="133">
        <f>ROUND(IFERROR(K104-SUM(K107:K109),""),2)</f>
        <v>0</v>
      </c>
      <c r="L111" s="134"/>
      <c r="M111" s="135"/>
      <c r="P111" s="131" t="s">
        <v>401</v>
      </c>
      <c r="Q111" s="132">
        <f>ROUND(IFERROR(Q104-SUM(Q107:Q109),""),2)</f>
        <v>0</v>
      </c>
      <c r="R111" s="133">
        <f>ROUND(IFERROR(R104-SUM(R107:R109),""),2)</f>
        <v>0</v>
      </c>
      <c r="S111" s="134"/>
      <c r="T111" s="135"/>
      <c r="W111" s="131" t="s">
        <v>401</v>
      </c>
      <c r="X111" s="132">
        <f>ROUND(IFERROR(X104-SUM(X107:X109),""),2)</f>
        <v>0</v>
      </c>
      <c r="Y111" s="133">
        <f>ROUND(IFERROR(Y104-SUM(Y107:Y109),""),2)</f>
        <v>0</v>
      </c>
      <c r="Z111" s="134"/>
      <c r="AA111" s="135"/>
      <c r="AD111" s="131" t="s">
        <v>401</v>
      </c>
      <c r="AE111" s="132">
        <f>ROUND(IFERROR(AE104-SUM(AE107:AE109),""),2)</f>
        <v>0</v>
      </c>
      <c r="AF111" s="133">
        <f>ROUND(IFERROR(AF104-SUM(AF107:AF109),""),2)</f>
        <v>0</v>
      </c>
      <c r="AG111" s="134"/>
      <c r="AH111" s="135"/>
      <c r="AK111" s="131" t="s">
        <v>401</v>
      </c>
      <c r="AL111" s="132">
        <f>ROUND(IFERROR(AL104-SUM(AL107:AL109),""),2)</f>
        <v>0</v>
      </c>
      <c r="AM111" s="133">
        <f>ROUND(IFERROR(AM104-SUM(AM107:AM109),""),2)</f>
        <v>0</v>
      </c>
      <c r="AN111" s="134"/>
      <c r="AO111" s="135"/>
      <c r="AR111" s="131" t="s">
        <v>401</v>
      </c>
      <c r="AS111" s="132">
        <f>ROUND(IFERROR(AS104-SUM(AS107:AS109),""),2)</f>
        <v>0</v>
      </c>
      <c r="AT111" s="133">
        <f>ROUND(IFERROR(AT104-SUM(AT107:AT109),""),2)</f>
        <v>0</v>
      </c>
      <c r="AU111" s="134"/>
      <c r="AV111" s="135"/>
      <c r="AY111" s="131" t="s">
        <v>401</v>
      </c>
      <c r="AZ111" s="132">
        <f>ROUND(IFERROR(AZ104-SUM(AZ107:AZ109),""),2)</f>
        <v>0</v>
      </c>
      <c r="BA111" s="133">
        <f>ROUND(IFERROR(BA104-SUM(BA107:BA109),""),2)</f>
        <v>0</v>
      </c>
      <c r="BB111" s="134"/>
      <c r="BC111" s="135"/>
      <c r="BF111" s="131" t="s">
        <v>401</v>
      </c>
      <c r="BG111" s="132">
        <f>ROUND(IFERROR(BG104-SUM(BG107:BG109),""),2)</f>
        <v>0</v>
      </c>
      <c r="BH111" s="133">
        <f>ROUND(IFERROR(BH104-SUM(BH107:BH109),""),2)</f>
        <v>0</v>
      </c>
      <c r="BI111" s="134"/>
      <c r="BJ111" s="135"/>
      <c r="BM111" s="131" t="s">
        <v>401</v>
      </c>
      <c r="BN111" s="132">
        <f>ROUND(IFERROR(BN104-SUM(BN107:BN109),""),2)</f>
        <v>0</v>
      </c>
      <c r="BO111" s="133">
        <f>ROUND(IFERROR(BO104-SUM(BO107:BO109),""),2)</f>
        <v>0</v>
      </c>
      <c r="BP111" s="134"/>
      <c r="BQ111" s="135"/>
      <c r="BT111" s="131" t="s">
        <v>401</v>
      </c>
      <c r="BU111" s="132">
        <f>ROUND(IFERROR(BU104-SUM(BU107:BU109),""),2)</f>
        <v>0</v>
      </c>
      <c r="BV111" s="133">
        <f>ROUND(IFERROR(BV104-SUM(BV107:BV109),""),2)</f>
        <v>0</v>
      </c>
      <c r="BW111" s="134"/>
      <c r="BX111" s="135"/>
      <c r="CA111" s="131" t="s">
        <v>401</v>
      </c>
      <c r="CB111" s="132">
        <f>ROUND(IFERROR(CB104-SUM(CB107:CB109),""),2)</f>
        <v>0</v>
      </c>
      <c r="CC111" s="133">
        <f>ROUND(IFERROR(CC104-SUM(CC107:CC109),""),2)</f>
        <v>0</v>
      </c>
      <c r="CD111" s="134"/>
      <c r="CE111" s="135"/>
      <c r="CH111" s="131" t="s">
        <v>401</v>
      </c>
      <c r="CI111" s="132">
        <f>ROUND(IFERROR(CI104-SUM(CI107:CI109),""),2)</f>
        <v>0</v>
      </c>
      <c r="CJ111" s="133">
        <f>ROUND(IFERROR(CJ104-SUM(CJ107:CJ109),""),2)</f>
        <v>0</v>
      </c>
      <c r="CK111" s="134"/>
      <c r="CL111" s="135"/>
      <c r="CO111" s="131" t="s">
        <v>401</v>
      </c>
      <c r="CP111" s="132">
        <f>ROUND(IFERROR(CP104-SUM(CP107:CP109),""),2)</f>
        <v>0</v>
      </c>
      <c r="CQ111" s="133">
        <f>ROUND(IFERROR(CQ104-SUM(CQ107:CQ109),""),2)</f>
        <v>0</v>
      </c>
      <c r="CR111" s="134"/>
      <c r="CS111" s="135"/>
      <c r="CV111" s="131" t="s">
        <v>401</v>
      </c>
      <c r="CW111" s="132">
        <f>ROUND(IFERROR(CW104-SUM(CW107:CW109),""),2)</f>
        <v>0</v>
      </c>
      <c r="CX111" s="133">
        <f>ROUND(IFERROR(CX104-SUM(CX107:CX109),""),2)</f>
        <v>0</v>
      </c>
      <c r="CY111" s="134"/>
      <c r="CZ111" s="135"/>
      <c r="DC111" s="131" t="s">
        <v>401</v>
      </c>
      <c r="DD111" s="132">
        <f>ROUND(IFERROR(DD104-SUM(DD107:DD109),""),2)</f>
        <v>0</v>
      </c>
      <c r="DE111" s="133">
        <f>ROUND(IFERROR(DE104-SUM(DE107:DE109),""),2)</f>
        <v>0</v>
      </c>
      <c r="DF111" s="134"/>
      <c r="DG111" s="135"/>
      <c r="DJ111" s="131" t="s">
        <v>401</v>
      </c>
      <c r="DK111" s="132">
        <f>ROUND(IFERROR(DK104-SUM(DK107:DK109),""),2)</f>
        <v>0</v>
      </c>
      <c r="DL111" s="133">
        <f>ROUND(IFERROR(DL104-SUM(DL107:DL109),""),2)</f>
        <v>0</v>
      </c>
      <c r="DM111" s="134"/>
      <c r="DN111" s="135"/>
      <c r="DQ111" s="131" t="s">
        <v>401</v>
      </c>
      <c r="DR111" s="132">
        <f>ROUND(IFERROR(DR104-SUM(DR107:DR109),""),2)</f>
        <v>0</v>
      </c>
      <c r="DS111" s="133">
        <f>ROUND(IFERROR(DS104-SUM(DS107:DS109),""),2)</f>
        <v>0</v>
      </c>
      <c r="DT111" s="134"/>
      <c r="DU111" s="135"/>
    </row>
    <row r="114">
      <c r="B114" s="136" t="s">
        <v>402</v>
      </c>
      <c r="I114" s="136" t="s">
        <v>402</v>
      </c>
      <c r="P114" s="136" t="s">
        <v>402</v>
      </c>
      <c r="W114" s="136" t="s">
        <v>402</v>
      </c>
      <c r="AD114" s="136" t="s">
        <v>402</v>
      </c>
      <c r="AK114" s="136" t="s">
        <v>402</v>
      </c>
      <c r="AR114" s="136" t="s">
        <v>402</v>
      </c>
      <c r="AY114" s="136" t="s">
        <v>402</v>
      </c>
      <c r="BF114" s="136" t="s">
        <v>402</v>
      </c>
      <c r="BM114" s="136" t="s">
        <v>402</v>
      </c>
      <c r="BT114" s="136" t="s">
        <v>402</v>
      </c>
      <c r="CA114" s="136" t="s">
        <v>402</v>
      </c>
      <c r="CH114" s="136" t="s">
        <v>402</v>
      </c>
      <c r="CO114" s="136" t="s">
        <v>402</v>
      </c>
      <c r="CV114" s="136" t="s">
        <v>402</v>
      </c>
      <c r="DC114" s="136" t="s">
        <v>402</v>
      </c>
      <c r="DJ114" s="136" t="s">
        <v>402</v>
      </c>
      <c r="DQ114" s="136" t="s">
        <v>402</v>
      </c>
    </row>
    <row r="115">
      <c r="B115" s="117" t="s">
        <v>403</v>
      </c>
      <c r="C115" s="117" t="s">
        <v>404</v>
      </c>
      <c r="D115" s="117" t="s">
        <v>381</v>
      </c>
      <c r="E115" s="117" t="s">
        <v>382</v>
      </c>
      <c r="F115" s="117" t="s">
        <v>405</v>
      </c>
      <c r="I115" s="117" t="s">
        <v>403</v>
      </c>
      <c r="J115" s="117" t="s">
        <v>404</v>
      </c>
      <c r="K115" s="117" t="s">
        <v>381</v>
      </c>
      <c r="L115" s="117" t="s">
        <v>382</v>
      </c>
      <c r="M115" s="117" t="s">
        <v>405</v>
      </c>
      <c r="P115" s="117" t="s">
        <v>403</v>
      </c>
      <c r="Q115" s="117" t="s">
        <v>404</v>
      </c>
      <c r="R115" s="117" t="s">
        <v>381</v>
      </c>
      <c r="S115" s="117" t="s">
        <v>382</v>
      </c>
      <c r="T115" s="117" t="s">
        <v>405</v>
      </c>
      <c r="W115" s="117" t="s">
        <v>403</v>
      </c>
      <c r="X115" s="117" t="s">
        <v>404</v>
      </c>
      <c r="Y115" s="117" t="s">
        <v>381</v>
      </c>
      <c r="Z115" s="117" t="s">
        <v>382</v>
      </c>
      <c r="AA115" s="117" t="s">
        <v>405</v>
      </c>
      <c r="AD115" s="117" t="s">
        <v>403</v>
      </c>
      <c r="AE115" s="117" t="s">
        <v>404</v>
      </c>
      <c r="AF115" s="117" t="s">
        <v>381</v>
      </c>
      <c r="AG115" s="117" t="s">
        <v>382</v>
      </c>
      <c r="AH115" s="117" t="s">
        <v>405</v>
      </c>
      <c r="AK115" s="117" t="s">
        <v>403</v>
      </c>
      <c r="AL115" s="117" t="s">
        <v>404</v>
      </c>
      <c r="AM115" s="117" t="s">
        <v>381</v>
      </c>
      <c r="AN115" s="117" t="s">
        <v>382</v>
      </c>
      <c r="AO115" s="117" t="s">
        <v>405</v>
      </c>
      <c r="AR115" s="117" t="s">
        <v>403</v>
      </c>
      <c r="AS115" s="117" t="s">
        <v>404</v>
      </c>
      <c r="AT115" s="117" t="s">
        <v>381</v>
      </c>
      <c r="AU115" s="117" t="s">
        <v>382</v>
      </c>
      <c r="AV115" s="117" t="s">
        <v>405</v>
      </c>
      <c r="AY115" s="117" t="s">
        <v>403</v>
      </c>
      <c r="AZ115" s="117" t="s">
        <v>404</v>
      </c>
      <c r="BA115" s="117" t="s">
        <v>381</v>
      </c>
      <c r="BB115" s="117" t="s">
        <v>382</v>
      </c>
      <c r="BC115" s="117" t="s">
        <v>405</v>
      </c>
      <c r="BF115" s="117" t="s">
        <v>403</v>
      </c>
      <c r="BG115" s="117" t="s">
        <v>404</v>
      </c>
      <c r="BH115" s="117" t="s">
        <v>381</v>
      </c>
      <c r="BI115" s="117" t="s">
        <v>382</v>
      </c>
      <c r="BJ115" s="117" t="s">
        <v>405</v>
      </c>
      <c r="BM115" s="117" t="s">
        <v>403</v>
      </c>
      <c r="BN115" s="117" t="s">
        <v>404</v>
      </c>
      <c r="BO115" s="117" t="s">
        <v>381</v>
      </c>
      <c r="BP115" s="117" t="s">
        <v>382</v>
      </c>
      <c r="BQ115" s="117" t="s">
        <v>405</v>
      </c>
      <c r="BT115" s="117" t="s">
        <v>403</v>
      </c>
      <c r="BU115" s="117" t="s">
        <v>404</v>
      </c>
      <c r="BV115" s="117" t="s">
        <v>381</v>
      </c>
      <c r="BW115" s="117" t="s">
        <v>382</v>
      </c>
      <c r="BX115" s="117" t="s">
        <v>405</v>
      </c>
      <c r="CA115" s="117" t="s">
        <v>403</v>
      </c>
      <c r="CB115" s="117" t="s">
        <v>404</v>
      </c>
      <c r="CC115" s="117" t="s">
        <v>381</v>
      </c>
      <c r="CD115" s="117" t="s">
        <v>382</v>
      </c>
      <c r="CE115" s="117" t="s">
        <v>405</v>
      </c>
      <c r="CH115" s="117" t="s">
        <v>403</v>
      </c>
      <c r="CI115" s="117" t="s">
        <v>404</v>
      </c>
      <c r="CJ115" s="117" t="s">
        <v>381</v>
      </c>
      <c r="CK115" s="117" t="s">
        <v>382</v>
      </c>
      <c r="CL115" s="117" t="s">
        <v>405</v>
      </c>
      <c r="CO115" s="117" t="s">
        <v>403</v>
      </c>
      <c r="CP115" s="117" t="s">
        <v>404</v>
      </c>
      <c r="CQ115" s="117" t="s">
        <v>381</v>
      </c>
      <c r="CR115" s="117" t="s">
        <v>382</v>
      </c>
      <c r="CS115" s="117" t="s">
        <v>405</v>
      </c>
      <c r="CV115" s="117" t="s">
        <v>403</v>
      </c>
      <c r="CW115" s="117" t="s">
        <v>404</v>
      </c>
      <c r="CX115" s="117" t="s">
        <v>381</v>
      </c>
      <c r="CY115" s="117" t="s">
        <v>382</v>
      </c>
      <c r="CZ115" s="117" t="s">
        <v>405</v>
      </c>
      <c r="DC115" s="117" t="s">
        <v>403</v>
      </c>
      <c r="DD115" s="117" t="s">
        <v>404</v>
      </c>
      <c r="DE115" s="117" t="s">
        <v>381</v>
      </c>
      <c r="DF115" s="117" t="s">
        <v>382</v>
      </c>
      <c r="DG115" s="117" t="s">
        <v>405</v>
      </c>
      <c r="DJ115" s="117" t="s">
        <v>403</v>
      </c>
      <c r="DK115" s="117" t="s">
        <v>404</v>
      </c>
      <c r="DL115" s="117" t="s">
        <v>381</v>
      </c>
      <c r="DM115" s="117" t="s">
        <v>382</v>
      </c>
      <c r="DN115" s="117" t="s">
        <v>405</v>
      </c>
      <c r="DQ115" s="117" t="s">
        <v>403</v>
      </c>
      <c r="DR115" s="117" t="s">
        <v>404</v>
      </c>
      <c r="DS115" s="117" t="s">
        <v>381</v>
      </c>
      <c r="DT115" s="117" t="s">
        <v>382</v>
      </c>
      <c r="DU115" s="117" t="s">
        <v>405</v>
      </c>
    </row>
    <row r="116">
      <c r="B116" s="137" t="s">
        <v>406</v>
      </c>
      <c r="C116" s="138" t="s">
        <v>7</v>
      </c>
      <c r="D116" s="139">
        <f>ROUND(C11,2)</f>
        <v>0</v>
      </c>
      <c r="E116" s="140">
        <f>ROUND(D11,2)</f>
        <v>0</v>
      </c>
      <c r="F116" s="141">
        <f t="shared" ref="F116:F131" si="196">ROUND(IFERROR(D116/E116,0),6)</f>
        <v>0</v>
      </c>
      <c r="I116" s="137" t="s">
        <v>407</v>
      </c>
      <c r="J116" s="138" t="s">
        <v>7</v>
      </c>
      <c r="K116" s="139">
        <f>ROUND(J11,2)</f>
        <v>0</v>
      </c>
      <c r="L116" s="140">
        <f>ROUND(K11,2)</f>
        <v>0</v>
      </c>
      <c r="M116" s="141">
        <f t="shared" ref="M116:M131" si="197">ROUND(IFERROR(K116/L116,0),6)</f>
        <v>0</v>
      </c>
      <c r="P116" s="137" t="s">
        <v>407</v>
      </c>
      <c r="Q116" s="138" t="s">
        <v>7</v>
      </c>
      <c r="R116" s="139">
        <f>ROUND(Q11,2)</f>
        <v>0</v>
      </c>
      <c r="S116" s="140">
        <f>ROUND(R11,2)</f>
        <v>0</v>
      </c>
      <c r="T116" s="141">
        <f t="shared" ref="T116:T131" si="198">ROUND(IFERROR(R116/S116,0),6)</f>
        <v>0</v>
      </c>
      <c r="W116" s="137" t="s">
        <v>407</v>
      </c>
      <c r="X116" s="138" t="s">
        <v>7</v>
      </c>
      <c r="Y116" s="139">
        <f>ROUND(X11,2)</f>
        <v>0</v>
      </c>
      <c r="Z116" s="140">
        <f>ROUND(Y11,2)</f>
        <v>0</v>
      </c>
      <c r="AA116" s="141">
        <f t="shared" ref="AA116:AA131" si="199">ROUND(IFERROR(Y116/Z116,0),6)</f>
        <v>0</v>
      </c>
      <c r="AD116" s="137" t="s">
        <v>407</v>
      </c>
      <c r="AE116" s="138" t="s">
        <v>7</v>
      </c>
      <c r="AF116" s="139">
        <f>ROUND(AE11,2)</f>
        <v>0</v>
      </c>
      <c r="AG116" s="140">
        <f>ROUND(AF11,2)</f>
        <v>0</v>
      </c>
      <c r="AH116" s="141">
        <f t="shared" ref="AH116:AH131" si="200">ROUND(IFERROR(AF116/AG116,0),6)</f>
        <v>0</v>
      </c>
      <c r="AK116" s="137" t="s">
        <v>407</v>
      </c>
      <c r="AL116" s="138" t="s">
        <v>7</v>
      </c>
      <c r="AM116" s="139">
        <f>ROUND(AL11,2)</f>
        <v>0</v>
      </c>
      <c r="AN116" s="140">
        <f>ROUND(AM11,2)</f>
        <v>0</v>
      </c>
      <c r="AO116" s="141">
        <f t="shared" ref="AO116:AO131" si="201">ROUND(IFERROR(AM116/AN116,0),6)</f>
        <v>0</v>
      </c>
      <c r="AR116" s="137" t="s">
        <v>407</v>
      </c>
      <c r="AS116" s="138" t="s">
        <v>7</v>
      </c>
      <c r="AT116" s="139">
        <f>ROUND(AS11,2)</f>
        <v>0</v>
      </c>
      <c r="AU116" s="140">
        <f>ROUND(AT11,2)</f>
        <v>0</v>
      </c>
      <c r="AV116" s="141">
        <f t="shared" ref="AV116:AV131" si="202">ROUND(IFERROR(AT116/AU116,0),6)</f>
        <v>0</v>
      </c>
      <c r="AY116" s="137" t="s">
        <v>407</v>
      </c>
      <c r="AZ116" s="138" t="s">
        <v>7</v>
      </c>
      <c r="BA116" s="139">
        <f>ROUND(AZ11,2)</f>
        <v>0</v>
      </c>
      <c r="BB116" s="140">
        <f>ROUND(BA11,2)</f>
        <v>0</v>
      </c>
      <c r="BC116" s="141">
        <f t="shared" ref="BC116:BC131" si="203">ROUND(IFERROR(BA116/BB116,0),6)</f>
        <v>0</v>
      </c>
      <c r="BF116" s="137" t="s">
        <v>407</v>
      </c>
      <c r="BG116" s="138" t="s">
        <v>7</v>
      </c>
      <c r="BH116" s="139">
        <f>ROUND(BG11,2)</f>
        <v>0</v>
      </c>
      <c r="BI116" s="140">
        <f>ROUND(BH11,2)</f>
        <v>0</v>
      </c>
      <c r="BJ116" s="141">
        <f t="shared" ref="BJ116:BJ131" si="204">ROUND(IFERROR(BH116/BI116,0),6)</f>
        <v>0</v>
      </c>
      <c r="BM116" s="137" t="s">
        <v>407</v>
      </c>
      <c r="BN116" s="138" t="s">
        <v>7</v>
      </c>
      <c r="BO116" s="139">
        <f>ROUND(BN11,2)</f>
        <v>0</v>
      </c>
      <c r="BP116" s="140">
        <f>ROUND(BO11,2)</f>
        <v>0</v>
      </c>
      <c r="BQ116" s="141">
        <f t="shared" ref="BQ116:BQ131" si="205">ROUND(IFERROR(BO116/BP116,0),6)</f>
        <v>0</v>
      </c>
      <c r="BT116" s="137" t="s">
        <v>407</v>
      </c>
      <c r="BU116" s="138" t="s">
        <v>7</v>
      </c>
      <c r="BV116" s="139">
        <f>ROUND(BU11,2)</f>
        <v>0</v>
      </c>
      <c r="BW116" s="140">
        <f>ROUND(BV11,2)</f>
        <v>0</v>
      </c>
      <c r="BX116" s="141">
        <f t="shared" ref="BX116:BX131" si="206">ROUND(IFERROR(BV116/BW116,0),6)</f>
        <v>0</v>
      </c>
      <c r="CA116" s="137" t="s">
        <v>407</v>
      </c>
      <c r="CB116" s="138" t="s">
        <v>7</v>
      </c>
      <c r="CC116" s="139">
        <f>ROUND(CB11,2)</f>
        <v>0</v>
      </c>
      <c r="CD116" s="140">
        <f>ROUND(CC11,2)</f>
        <v>0</v>
      </c>
      <c r="CE116" s="141">
        <f t="shared" ref="CE116:CE131" si="207">ROUND(IFERROR(CC116/CD116,0),6)</f>
        <v>0</v>
      </c>
      <c r="CH116" s="137" t="s">
        <v>407</v>
      </c>
      <c r="CI116" s="138" t="s">
        <v>7</v>
      </c>
      <c r="CJ116" s="139">
        <f>ROUND(CI11,2)</f>
        <v>0</v>
      </c>
      <c r="CK116" s="140">
        <f>ROUND(CJ11,2)</f>
        <v>0</v>
      </c>
      <c r="CL116" s="141">
        <f t="shared" ref="CL116:CL131" si="208">ROUND(IFERROR(CJ116/CK116,0),6)</f>
        <v>0</v>
      </c>
      <c r="CO116" s="137" t="s">
        <v>407</v>
      </c>
      <c r="CP116" s="138" t="s">
        <v>7</v>
      </c>
      <c r="CQ116" s="139">
        <f>ROUND(CP11,2)</f>
        <v>0</v>
      </c>
      <c r="CR116" s="140">
        <f>ROUND(CQ11,2)</f>
        <v>0</v>
      </c>
      <c r="CS116" s="141">
        <f t="shared" ref="CS116:CS131" si="209">ROUND(IFERROR(CQ116/CR116,0),6)</f>
        <v>0</v>
      </c>
      <c r="CV116" s="137" t="s">
        <v>407</v>
      </c>
      <c r="CW116" s="138" t="s">
        <v>7</v>
      </c>
      <c r="CX116" s="139">
        <f>ROUND(CW11,2)</f>
        <v>0</v>
      </c>
      <c r="CY116" s="140">
        <f>ROUND(CX11,2)</f>
        <v>0</v>
      </c>
      <c r="CZ116" s="141">
        <f t="shared" ref="CZ116:CZ131" si="210">ROUND(IFERROR(CX116/CY116,0),6)</f>
        <v>0</v>
      </c>
      <c r="DC116" s="137" t="s">
        <v>407</v>
      </c>
      <c r="DD116" s="138" t="s">
        <v>7</v>
      </c>
      <c r="DE116" s="139">
        <f>ROUND(DD11,2)</f>
        <v>0</v>
      </c>
      <c r="DF116" s="140">
        <f>ROUND(DE11,2)</f>
        <v>0</v>
      </c>
      <c r="DG116" s="141">
        <f t="shared" ref="DG116:DG131" si="211">ROUND(IFERROR(DE116/DF116,0),6)</f>
        <v>0</v>
      </c>
      <c r="DJ116" s="137" t="s">
        <v>407</v>
      </c>
      <c r="DK116" s="138" t="s">
        <v>7</v>
      </c>
      <c r="DL116" s="139">
        <f>ROUND(DK11,2)</f>
        <v>0</v>
      </c>
      <c r="DM116" s="140">
        <f>ROUND(DL11,2)</f>
        <v>0</v>
      </c>
      <c r="DN116" s="141">
        <f t="shared" ref="DN116:DN131" si="212">ROUND(IFERROR(DL116/DM116,0),6)</f>
        <v>0</v>
      </c>
      <c r="DQ116" s="137" t="s">
        <v>407</v>
      </c>
      <c r="DR116" s="138" t="s">
        <v>7</v>
      </c>
      <c r="DS116" s="139">
        <f>ROUND(DR11,2)</f>
        <v>0</v>
      </c>
      <c r="DT116" s="140">
        <f>ROUND(DS11,2)</f>
        <v>0</v>
      </c>
      <c r="DU116" s="141">
        <f t="shared" ref="DU116:DU131" si="213">ROUND(IFERROR(DS116/DT116,0),6)</f>
        <v>0</v>
      </c>
    </row>
    <row r="117">
      <c r="B117" s="142" t="s">
        <v>204</v>
      </c>
      <c r="C117" s="143" t="s">
        <v>7</v>
      </c>
      <c r="D117" s="144"/>
      <c r="E117" s="145"/>
      <c r="F117" s="146">
        <f t="shared" si="196"/>
        <v>0</v>
      </c>
      <c r="I117" s="142" t="s">
        <v>204</v>
      </c>
      <c r="J117" s="143" t="s">
        <v>7</v>
      </c>
      <c r="K117" s="144"/>
      <c r="L117" s="145"/>
      <c r="M117" s="146">
        <f t="shared" si="197"/>
        <v>0</v>
      </c>
      <c r="P117" s="142" t="s">
        <v>204</v>
      </c>
      <c r="Q117" s="143" t="s">
        <v>7</v>
      </c>
      <c r="R117" s="144"/>
      <c r="S117" s="145"/>
      <c r="T117" s="146">
        <f t="shared" si="198"/>
        <v>0</v>
      </c>
      <c r="W117" s="142" t="s">
        <v>204</v>
      </c>
      <c r="X117" s="143" t="s">
        <v>7</v>
      </c>
      <c r="Y117" s="144"/>
      <c r="Z117" s="145"/>
      <c r="AA117" s="146">
        <f t="shared" si="199"/>
        <v>0</v>
      </c>
      <c r="AD117" s="142" t="s">
        <v>204</v>
      </c>
      <c r="AE117" s="143" t="s">
        <v>7</v>
      </c>
      <c r="AF117" s="144"/>
      <c r="AG117" s="145"/>
      <c r="AH117" s="146">
        <f t="shared" si="200"/>
        <v>0</v>
      </c>
      <c r="AK117" s="142" t="s">
        <v>204</v>
      </c>
      <c r="AL117" s="143" t="s">
        <v>7</v>
      </c>
      <c r="AM117" s="144"/>
      <c r="AN117" s="145"/>
      <c r="AO117" s="146">
        <f t="shared" si="201"/>
        <v>0</v>
      </c>
      <c r="AR117" s="142" t="s">
        <v>204</v>
      </c>
      <c r="AS117" s="143" t="s">
        <v>7</v>
      </c>
      <c r="AT117" s="144"/>
      <c r="AU117" s="145"/>
      <c r="AV117" s="146">
        <f t="shared" si="202"/>
        <v>0</v>
      </c>
      <c r="AY117" s="142" t="s">
        <v>204</v>
      </c>
      <c r="AZ117" s="143" t="s">
        <v>7</v>
      </c>
      <c r="BA117" s="144"/>
      <c r="BB117" s="145"/>
      <c r="BC117" s="146">
        <f t="shared" si="203"/>
        <v>0</v>
      </c>
      <c r="BF117" s="142" t="s">
        <v>204</v>
      </c>
      <c r="BG117" s="143" t="s">
        <v>7</v>
      </c>
      <c r="BH117" s="144"/>
      <c r="BI117" s="145"/>
      <c r="BJ117" s="146">
        <f t="shared" si="204"/>
        <v>0</v>
      </c>
      <c r="BM117" s="142" t="s">
        <v>204</v>
      </c>
      <c r="BN117" s="143" t="s">
        <v>7</v>
      </c>
      <c r="BO117" s="144"/>
      <c r="BP117" s="145"/>
      <c r="BQ117" s="146">
        <f t="shared" si="205"/>
        <v>0</v>
      </c>
      <c r="BT117" s="142" t="s">
        <v>204</v>
      </c>
      <c r="BU117" s="143" t="s">
        <v>7</v>
      </c>
      <c r="BV117" s="144"/>
      <c r="BW117" s="145"/>
      <c r="BX117" s="146">
        <f t="shared" si="206"/>
        <v>0</v>
      </c>
      <c r="CA117" s="142" t="s">
        <v>204</v>
      </c>
      <c r="CB117" s="143" t="s">
        <v>7</v>
      </c>
      <c r="CC117" s="144"/>
      <c r="CD117" s="145"/>
      <c r="CE117" s="146">
        <f t="shared" si="207"/>
        <v>0</v>
      </c>
      <c r="CH117" s="142" t="s">
        <v>204</v>
      </c>
      <c r="CI117" s="143" t="s">
        <v>7</v>
      </c>
      <c r="CJ117" s="144"/>
      <c r="CK117" s="145"/>
      <c r="CL117" s="146">
        <f t="shared" si="208"/>
        <v>0</v>
      </c>
      <c r="CO117" s="142" t="s">
        <v>204</v>
      </c>
      <c r="CP117" s="143" t="s">
        <v>7</v>
      </c>
      <c r="CQ117" s="144"/>
      <c r="CR117" s="145"/>
      <c r="CS117" s="146">
        <f t="shared" si="209"/>
        <v>0</v>
      </c>
      <c r="CV117" s="142" t="s">
        <v>204</v>
      </c>
      <c r="CW117" s="143" t="s">
        <v>7</v>
      </c>
      <c r="CX117" s="144"/>
      <c r="CY117" s="145"/>
      <c r="CZ117" s="146">
        <f t="shared" si="210"/>
        <v>0</v>
      </c>
      <c r="DC117" s="142" t="s">
        <v>204</v>
      </c>
      <c r="DD117" s="143" t="s">
        <v>7</v>
      </c>
      <c r="DE117" s="144"/>
      <c r="DF117" s="145"/>
      <c r="DG117" s="146">
        <f t="shared" si="211"/>
        <v>0</v>
      </c>
      <c r="DJ117" s="142" t="s">
        <v>204</v>
      </c>
      <c r="DK117" s="143" t="s">
        <v>7</v>
      </c>
      <c r="DL117" s="144"/>
      <c r="DM117" s="145"/>
      <c r="DN117" s="146">
        <f t="shared" si="212"/>
        <v>0</v>
      </c>
      <c r="DQ117" s="142" t="s">
        <v>204</v>
      </c>
      <c r="DR117" s="143" t="s">
        <v>7</v>
      </c>
      <c r="DS117" s="144"/>
      <c r="DT117" s="145"/>
      <c r="DU117" s="146">
        <f t="shared" si="213"/>
        <v>0</v>
      </c>
    </row>
    <row r="118">
      <c r="B118" s="142" t="s">
        <v>7</v>
      </c>
      <c r="C118" s="143" t="s">
        <v>7</v>
      </c>
      <c r="D118" s="144"/>
      <c r="E118" s="145"/>
      <c r="F118" s="146">
        <f t="shared" si="196"/>
        <v>0</v>
      </c>
      <c r="I118" s="142" t="s">
        <v>7</v>
      </c>
      <c r="J118" s="143" t="s">
        <v>7</v>
      </c>
      <c r="K118" s="144"/>
      <c r="L118" s="145"/>
      <c r="M118" s="146">
        <f t="shared" si="197"/>
        <v>0</v>
      </c>
      <c r="P118" s="142" t="s">
        <v>7</v>
      </c>
      <c r="Q118" s="143" t="s">
        <v>7</v>
      </c>
      <c r="R118" s="144"/>
      <c r="S118" s="145"/>
      <c r="T118" s="146">
        <f t="shared" si="198"/>
        <v>0</v>
      </c>
      <c r="W118" s="142" t="s">
        <v>7</v>
      </c>
      <c r="X118" s="143" t="s">
        <v>7</v>
      </c>
      <c r="Y118" s="144"/>
      <c r="Z118" s="145"/>
      <c r="AA118" s="146">
        <f t="shared" si="199"/>
        <v>0</v>
      </c>
      <c r="AD118" s="142" t="s">
        <v>7</v>
      </c>
      <c r="AE118" s="143" t="s">
        <v>7</v>
      </c>
      <c r="AF118" s="144"/>
      <c r="AG118" s="145"/>
      <c r="AH118" s="146">
        <f t="shared" si="200"/>
        <v>0</v>
      </c>
      <c r="AK118" s="142" t="s">
        <v>7</v>
      </c>
      <c r="AL118" s="143" t="s">
        <v>7</v>
      </c>
      <c r="AM118" s="144"/>
      <c r="AN118" s="145"/>
      <c r="AO118" s="146">
        <f t="shared" si="201"/>
        <v>0</v>
      </c>
      <c r="AR118" s="142" t="s">
        <v>7</v>
      </c>
      <c r="AS118" s="143" t="s">
        <v>7</v>
      </c>
      <c r="AT118" s="144"/>
      <c r="AU118" s="145"/>
      <c r="AV118" s="146">
        <f t="shared" si="202"/>
        <v>0</v>
      </c>
      <c r="AY118" s="142" t="s">
        <v>7</v>
      </c>
      <c r="AZ118" s="143" t="s">
        <v>7</v>
      </c>
      <c r="BA118" s="144"/>
      <c r="BB118" s="145"/>
      <c r="BC118" s="146">
        <f t="shared" si="203"/>
        <v>0</v>
      </c>
      <c r="BF118" s="142" t="s">
        <v>7</v>
      </c>
      <c r="BG118" s="143" t="s">
        <v>7</v>
      </c>
      <c r="BH118" s="144"/>
      <c r="BI118" s="145"/>
      <c r="BJ118" s="146">
        <f t="shared" si="204"/>
        <v>0</v>
      </c>
      <c r="BM118" s="142" t="s">
        <v>7</v>
      </c>
      <c r="BN118" s="143" t="s">
        <v>7</v>
      </c>
      <c r="BO118" s="144"/>
      <c r="BP118" s="145"/>
      <c r="BQ118" s="146">
        <f t="shared" si="205"/>
        <v>0</v>
      </c>
      <c r="BT118" s="142" t="s">
        <v>7</v>
      </c>
      <c r="BU118" s="143" t="s">
        <v>7</v>
      </c>
      <c r="BV118" s="144"/>
      <c r="BW118" s="145"/>
      <c r="BX118" s="146">
        <f t="shared" si="206"/>
        <v>0</v>
      </c>
      <c r="CA118" s="142" t="s">
        <v>7</v>
      </c>
      <c r="CB118" s="143" t="s">
        <v>7</v>
      </c>
      <c r="CC118" s="144"/>
      <c r="CD118" s="145"/>
      <c r="CE118" s="146">
        <f t="shared" si="207"/>
        <v>0</v>
      </c>
      <c r="CH118" s="142" t="s">
        <v>7</v>
      </c>
      <c r="CI118" s="143" t="s">
        <v>7</v>
      </c>
      <c r="CJ118" s="144"/>
      <c r="CK118" s="145"/>
      <c r="CL118" s="146">
        <f t="shared" si="208"/>
        <v>0</v>
      </c>
      <c r="CO118" s="142" t="s">
        <v>7</v>
      </c>
      <c r="CP118" s="143" t="s">
        <v>7</v>
      </c>
      <c r="CQ118" s="144"/>
      <c r="CR118" s="145"/>
      <c r="CS118" s="146">
        <f t="shared" si="209"/>
        <v>0</v>
      </c>
      <c r="CV118" s="142" t="s">
        <v>7</v>
      </c>
      <c r="CW118" s="143" t="s">
        <v>7</v>
      </c>
      <c r="CX118" s="144"/>
      <c r="CY118" s="145"/>
      <c r="CZ118" s="146">
        <f t="shared" si="210"/>
        <v>0</v>
      </c>
      <c r="DC118" s="142" t="s">
        <v>7</v>
      </c>
      <c r="DD118" s="143" t="s">
        <v>7</v>
      </c>
      <c r="DE118" s="144"/>
      <c r="DF118" s="145"/>
      <c r="DG118" s="146">
        <f t="shared" si="211"/>
        <v>0</v>
      </c>
      <c r="DJ118" s="142" t="s">
        <v>7</v>
      </c>
      <c r="DK118" s="143" t="s">
        <v>7</v>
      </c>
      <c r="DL118" s="144"/>
      <c r="DM118" s="145"/>
      <c r="DN118" s="146">
        <f t="shared" si="212"/>
        <v>0</v>
      </c>
      <c r="DQ118" s="142" t="s">
        <v>7</v>
      </c>
      <c r="DR118" s="143" t="s">
        <v>7</v>
      </c>
      <c r="DS118" s="144"/>
      <c r="DT118" s="145"/>
      <c r="DU118" s="146">
        <f t="shared" si="213"/>
        <v>0</v>
      </c>
    </row>
    <row r="119">
      <c r="B119" s="142" t="s">
        <v>7</v>
      </c>
      <c r="C119" s="143" t="s">
        <v>7</v>
      </c>
      <c r="D119" s="144"/>
      <c r="E119" s="145"/>
      <c r="F119" s="146">
        <f t="shared" si="196"/>
        <v>0</v>
      </c>
      <c r="I119" s="142" t="s">
        <v>7</v>
      </c>
      <c r="J119" s="143" t="s">
        <v>7</v>
      </c>
      <c r="K119" s="144"/>
      <c r="L119" s="145"/>
      <c r="M119" s="146">
        <f t="shared" si="197"/>
        <v>0</v>
      </c>
      <c r="P119" s="142" t="s">
        <v>7</v>
      </c>
      <c r="Q119" s="143" t="s">
        <v>7</v>
      </c>
      <c r="R119" s="144"/>
      <c r="S119" s="145"/>
      <c r="T119" s="146">
        <f t="shared" si="198"/>
        <v>0</v>
      </c>
      <c r="W119" s="142" t="s">
        <v>7</v>
      </c>
      <c r="X119" s="143" t="s">
        <v>7</v>
      </c>
      <c r="Y119" s="144"/>
      <c r="Z119" s="145"/>
      <c r="AA119" s="146">
        <f t="shared" si="199"/>
        <v>0</v>
      </c>
      <c r="AD119" s="142" t="s">
        <v>7</v>
      </c>
      <c r="AE119" s="143" t="s">
        <v>7</v>
      </c>
      <c r="AF119" s="144"/>
      <c r="AG119" s="145"/>
      <c r="AH119" s="146">
        <f t="shared" si="200"/>
        <v>0</v>
      </c>
      <c r="AK119" s="142" t="s">
        <v>7</v>
      </c>
      <c r="AL119" s="143" t="s">
        <v>7</v>
      </c>
      <c r="AM119" s="144"/>
      <c r="AN119" s="145"/>
      <c r="AO119" s="146">
        <f t="shared" si="201"/>
        <v>0</v>
      </c>
      <c r="AR119" s="142" t="s">
        <v>7</v>
      </c>
      <c r="AS119" s="143" t="s">
        <v>7</v>
      </c>
      <c r="AT119" s="144"/>
      <c r="AU119" s="145"/>
      <c r="AV119" s="146">
        <f t="shared" si="202"/>
        <v>0</v>
      </c>
      <c r="AY119" s="142" t="s">
        <v>7</v>
      </c>
      <c r="AZ119" s="143" t="s">
        <v>7</v>
      </c>
      <c r="BA119" s="144"/>
      <c r="BB119" s="145"/>
      <c r="BC119" s="146">
        <f t="shared" si="203"/>
        <v>0</v>
      </c>
      <c r="BF119" s="142" t="s">
        <v>7</v>
      </c>
      <c r="BG119" s="143" t="s">
        <v>7</v>
      </c>
      <c r="BH119" s="144"/>
      <c r="BI119" s="145"/>
      <c r="BJ119" s="146">
        <f t="shared" si="204"/>
        <v>0</v>
      </c>
      <c r="BM119" s="142" t="s">
        <v>7</v>
      </c>
      <c r="BN119" s="143" t="s">
        <v>7</v>
      </c>
      <c r="BO119" s="144"/>
      <c r="BP119" s="145"/>
      <c r="BQ119" s="146">
        <f t="shared" si="205"/>
        <v>0</v>
      </c>
      <c r="BT119" s="142" t="s">
        <v>7</v>
      </c>
      <c r="BU119" s="143" t="s">
        <v>7</v>
      </c>
      <c r="BV119" s="144"/>
      <c r="BW119" s="145"/>
      <c r="BX119" s="146">
        <f t="shared" si="206"/>
        <v>0</v>
      </c>
      <c r="CA119" s="142" t="s">
        <v>7</v>
      </c>
      <c r="CB119" s="143" t="s">
        <v>7</v>
      </c>
      <c r="CC119" s="144"/>
      <c r="CD119" s="145"/>
      <c r="CE119" s="146">
        <f t="shared" si="207"/>
        <v>0</v>
      </c>
      <c r="CH119" s="142" t="s">
        <v>7</v>
      </c>
      <c r="CI119" s="143" t="s">
        <v>7</v>
      </c>
      <c r="CJ119" s="144"/>
      <c r="CK119" s="145"/>
      <c r="CL119" s="146">
        <f t="shared" si="208"/>
        <v>0</v>
      </c>
      <c r="CO119" s="142" t="s">
        <v>7</v>
      </c>
      <c r="CP119" s="143" t="s">
        <v>7</v>
      </c>
      <c r="CQ119" s="144"/>
      <c r="CR119" s="145"/>
      <c r="CS119" s="146">
        <f t="shared" si="209"/>
        <v>0</v>
      </c>
      <c r="CV119" s="142" t="s">
        <v>7</v>
      </c>
      <c r="CW119" s="143" t="s">
        <v>7</v>
      </c>
      <c r="CX119" s="144"/>
      <c r="CY119" s="145"/>
      <c r="CZ119" s="146">
        <f t="shared" si="210"/>
        <v>0</v>
      </c>
      <c r="DC119" s="142" t="s">
        <v>7</v>
      </c>
      <c r="DD119" s="143" t="s">
        <v>7</v>
      </c>
      <c r="DE119" s="144"/>
      <c r="DF119" s="145"/>
      <c r="DG119" s="146">
        <f t="shared" si="211"/>
        <v>0</v>
      </c>
      <c r="DJ119" s="142" t="s">
        <v>7</v>
      </c>
      <c r="DK119" s="143" t="s">
        <v>7</v>
      </c>
      <c r="DL119" s="144"/>
      <c r="DM119" s="145"/>
      <c r="DN119" s="146">
        <f t="shared" si="212"/>
        <v>0</v>
      </c>
      <c r="DQ119" s="142" t="s">
        <v>7</v>
      </c>
      <c r="DR119" s="143" t="s">
        <v>7</v>
      </c>
      <c r="DS119" s="144"/>
      <c r="DT119" s="145"/>
      <c r="DU119" s="146">
        <f t="shared" si="213"/>
        <v>0</v>
      </c>
    </row>
    <row r="120">
      <c r="B120" s="142" t="s">
        <v>7</v>
      </c>
      <c r="C120" s="143" t="s">
        <v>7</v>
      </c>
      <c r="D120" s="144"/>
      <c r="E120" s="145"/>
      <c r="F120" s="146">
        <f t="shared" si="196"/>
        <v>0</v>
      </c>
      <c r="I120" s="142" t="s">
        <v>7</v>
      </c>
      <c r="J120" s="143" t="s">
        <v>7</v>
      </c>
      <c r="K120" s="144"/>
      <c r="L120" s="145"/>
      <c r="M120" s="146">
        <f t="shared" si="197"/>
        <v>0</v>
      </c>
      <c r="P120" s="142" t="s">
        <v>7</v>
      </c>
      <c r="Q120" s="143" t="s">
        <v>7</v>
      </c>
      <c r="R120" s="144"/>
      <c r="S120" s="145"/>
      <c r="T120" s="146">
        <f t="shared" si="198"/>
        <v>0</v>
      </c>
      <c r="W120" s="142" t="s">
        <v>7</v>
      </c>
      <c r="X120" s="143" t="s">
        <v>7</v>
      </c>
      <c r="Y120" s="144"/>
      <c r="Z120" s="145"/>
      <c r="AA120" s="146">
        <f t="shared" si="199"/>
        <v>0</v>
      </c>
      <c r="AD120" s="142" t="s">
        <v>7</v>
      </c>
      <c r="AE120" s="143" t="s">
        <v>7</v>
      </c>
      <c r="AF120" s="144"/>
      <c r="AG120" s="145"/>
      <c r="AH120" s="146">
        <f t="shared" si="200"/>
        <v>0</v>
      </c>
      <c r="AK120" s="142" t="s">
        <v>7</v>
      </c>
      <c r="AL120" s="143" t="s">
        <v>7</v>
      </c>
      <c r="AM120" s="144"/>
      <c r="AN120" s="145"/>
      <c r="AO120" s="146">
        <f t="shared" si="201"/>
        <v>0</v>
      </c>
      <c r="AR120" s="142" t="s">
        <v>7</v>
      </c>
      <c r="AS120" s="143" t="s">
        <v>7</v>
      </c>
      <c r="AT120" s="144"/>
      <c r="AU120" s="145"/>
      <c r="AV120" s="146">
        <f t="shared" si="202"/>
        <v>0</v>
      </c>
      <c r="AY120" s="142" t="s">
        <v>7</v>
      </c>
      <c r="AZ120" s="143" t="s">
        <v>7</v>
      </c>
      <c r="BA120" s="144"/>
      <c r="BB120" s="145"/>
      <c r="BC120" s="146">
        <f t="shared" si="203"/>
        <v>0</v>
      </c>
      <c r="BF120" s="142" t="s">
        <v>7</v>
      </c>
      <c r="BG120" s="143" t="s">
        <v>7</v>
      </c>
      <c r="BH120" s="144"/>
      <c r="BI120" s="145"/>
      <c r="BJ120" s="146">
        <f t="shared" si="204"/>
        <v>0</v>
      </c>
      <c r="BM120" s="142" t="s">
        <v>7</v>
      </c>
      <c r="BN120" s="143" t="s">
        <v>7</v>
      </c>
      <c r="BO120" s="144"/>
      <c r="BP120" s="145"/>
      <c r="BQ120" s="146">
        <f t="shared" si="205"/>
        <v>0</v>
      </c>
      <c r="BT120" s="142" t="s">
        <v>7</v>
      </c>
      <c r="BU120" s="143" t="s">
        <v>7</v>
      </c>
      <c r="BV120" s="144"/>
      <c r="BW120" s="145"/>
      <c r="BX120" s="146">
        <f t="shared" si="206"/>
        <v>0</v>
      </c>
      <c r="CA120" s="142" t="s">
        <v>7</v>
      </c>
      <c r="CB120" s="143" t="s">
        <v>7</v>
      </c>
      <c r="CC120" s="144"/>
      <c r="CD120" s="145"/>
      <c r="CE120" s="146">
        <f t="shared" si="207"/>
        <v>0</v>
      </c>
      <c r="CH120" s="142" t="s">
        <v>7</v>
      </c>
      <c r="CI120" s="143" t="s">
        <v>7</v>
      </c>
      <c r="CJ120" s="144"/>
      <c r="CK120" s="145"/>
      <c r="CL120" s="146">
        <f t="shared" si="208"/>
        <v>0</v>
      </c>
      <c r="CO120" s="142" t="s">
        <v>7</v>
      </c>
      <c r="CP120" s="143" t="s">
        <v>7</v>
      </c>
      <c r="CQ120" s="144"/>
      <c r="CR120" s="145"/>
      <c r="CS120" s="146">
        <f t="shared" si="209"/>
        <v>0</v>
      </c>
      <c r="CV120" s="142" t="s">
        <v>7</v>
      </c>
      <c r="CW120" s="143" t="s">
        <v>7</v>
      </c>
      <c r="CX120" s="144"/>
      <c r="CY120" s="145"/>
      <c r="CZ120" s="146">
        <f t="shared" si="210"/>
        <v>0</v>
      </c>
      <c r="DC120" s="142" t="s">
        <v>7</v>
      </c>
      <c r="DD120" s="143" t="s">
        <v>7</v>
      </c>
      <c r="DE120" s="144"/>
      <c r="DF120" s="145"/>
      <c r="DG120" s="146">
        <f t="shared" si="211"/>
        <v>0</v>
      </c>
      <c r="DJ120" s="142" t="s">
        <v>7</v>
      </c>
      <c r="DK120" s="143" t="s">
        <v>7</v>
      </c>
      <c r="DL120" s="144"/>
      <c r="DM120" s="145"/>
      <c r="DN120" s="146">
        <f t="shared" si="212"/>
        <v>0</v>
      </c>
      <c r="DQ120" s="142" t="s">
        <v>7</v>
      </c>
      <c r="DR120" s="143" t="s">
        <v>7</v>
      </c>
      <c r="DS120" s="144"/>
      <c r="DT120" s="145"/>
      <c r="DU120" s="146">
        <f t="shared" si="213"/>
        <v>0</v>
      </c>
    </row>
    <row r="121">
      <c r="B121" s="147" t="s">
        <v>408</v>
      </c>
      <c r="C121" s="148" t="s">
        <v>378</v>
      </c>
      <c r="D121" s="149">
        <f>ROUND(SUBTOTAL(109,$D$116:$D$120),2)</f>
        <v>0</v>
      </c>
      <c r="E121" s="150">
        <f>ROUND(SUBTOTAL(109,$E$116:$E$120),2)</f>
        <v>0</v>
      </c>
      <c r="F121" s="151">
        <f t="shared" si="196"/>
        <v>0</v>
      </c>
      <c r="I121" s="147" t="s">
        <v>408</v>
      </c>
      <c r="J121" s="148" t="s">
        <v>378</v>
      </c>
      <c r="K121" s="149">
        <f>ROUND(SUBTOTAL(109,$K$116:$K$120),2)</f>
        <v>0</v>
      </c>
      <c r="L121" s="150">
        <f>ROUND(SUBTOTAL(109,$L$116:$L$120),2)</f>
        <v>0</v>
      </c>
      <c r="M121" s="151">
        <f t="shared" si="197"/>
        <v>0</v>
      </c>
      <c r="P121" s="147" t="s">
        <v>408</v>
      </c>
      <c r="Q121" s="148" t="s">
        <v>378</v>
      </c>
      <c r="R121" s="149">
        <f>ROUND(SUBTOTAL(109,$R$116:$R$120),2)</f>
        <v>0</v>
      </c>
      <c r="S121" s="150">
        <f>ROUND(SUBTOTAL(109,$S$116:$S$120),2)</f>
        <v>0</v>
      </c>
      <c r="T121" s="151">
        <f t="shared" si="198"/>
        <v>0</v>
      </c>
      <c r="W121" s="147" t="s">
        <v>408</v>
      </c>
      <c r="X121" s="148" t="s">
        <v>378</v>
      </c>
      <c r="Y121" s="149">
        <f>ROUND(SUBTOTAL(109,$Y$116:$Y$120),2)</f>
        <v>0</v>
      </c>
      <c r="Z121" s="150">
        <f>ROUND(SUBTOTAL(109,$Z$116:$Z$120),2)</f>
        <v>0</v>
      </c>
      <c r="AA121" s="151">
        <f t="shared" si="199"/>
        <v>0</v>
      </c>
      <c r="AD121" s="147" t="s">
        <v>408</v>
      </c>
      <c r="AE121" s="148" t="s">
        <v>378</v>
      </c>
      <c r="AF121" s="149">
        <f>ROUND(SUBTOTAL(109,$AF$116:$AF$120),2)</f>
        <v>0</v>
      </c>
      <c r="AG121" s="150">
        <f>ROUND(SUBTOTAL(109,$AG$116:$AG$120),2)</f>
        <v>0</v>
      </c>
      <c r="AH121" s="151">
        <f t="shared" si="200"/>
        <v>0</v>
      </c>
      <c r="AK121" s="147" t="s">
        <v>408</v>
      </c>
      <c r="AL121" s="148" t="s">
        <v>378</v>
      </c>
      <c r="AM121" s="149">
        <f>ROUND(SUBTOTAL(109,$AM$116:$AM$120),2)</f>
        <v>0</v>
      </c>
      <c r="AN121" s="150">
        <f>ROUND(SUBTOTAL(109,$AN$116:$AN$120),2)</f>
        <v>0</v>
      </c>
      <c r="AO121" s="151">
        <f t="shared" si="201"/>
        <v>0</v>
      </c>
      <c r="AR121" s="147" t="s">
        <v>408</v>
      </c>
      <c r="AS121" s="148" t="s">
        <v>378</v>
      </c>
      <c r="AT121" s="149">
        <f>ROUND(SUBTOTAL(109,$AT$116:$AT$120),2)</f>
        <v>0</v>
      </c>
      <c r="AU121" s="150">
        <f>ROUND(SUBTOTAL(109,$AU$116:$AU$120),2)</f>
        <v>0</v>
      </c>
      <c r="AV121" s="151">
        <f t="shared" si="202"/>
        <v>0</v>
      </c>
      <c r="AY121" s="147" t="s">
        <v>408</v>
      </c>
      <c r="AZ121" s="148" t="s">
        <v>378</v>
      </c>
      <c r="BA121" s="149">
        <f>ROUND(SUBTOTAL(109,$BA$116:$BA$120),2)</f>
        <v>0</v>
      </c>
      <c r="BB121" s="150">
        <f>ROUND(SUBTOTAL(109,$BB$116:$BB$120),2)</f>
        <v>0</v>
      </c>
      <c r="BC121" s="151">
        <f t="shared" si="203"/>
        <v>0</v>
      </c>
      <c r="BF121" s="147" t="s">
        <v>408</v>
      </c>
      <c r="BG121" s="148" t="s">
        <v>378</v>
      </c>
      <c r="BH121" s="149">
        <f>ROUND(SUBTOTAL(109,$BH$116:$BH$120),2)</f>
        <v>0</v>
      </c>
      <c r="BI121" s="150">
        <f>ROUND(SUBTOTAL(109,$BI$116:$BI$120),2)</f>
        <v>0</v>
      </c>
      <c r="BJ121" s="151">
        <f t="shared" si="204"/>
        <v>0</v>
      </c>
      <c r="BM121" s="147" t="s">
        <v>408</v>
      </c>
      <c r="BN121" s="148" t="s">
        <v>378</v>
      </c>
      <c r="BO121" s="149">
        <f>ROUND(SUBTOTAL(109,$BO$116:$BO$120),2)</f>
        <v>0</v>
      </c>
      <c r="BP121" s="150">
        <f>ROUND(SUBTOTAL(109,$BP$116:$BP$120),2)</f>
        <v>0</v>
      </c>
      <c r="BQ121" s="151">
        <f t="shared" si="205"/>
        <v>0</v>
      </c>
      <c r="BT121" s="147" t="s">
        <v>408</v>
      </c>
      <c r="BU121" s="148" t="s">
        <v>378</v>
      </c>
      <c r="BV121" s="149">
        <f>ROUND(SUBTOTAL(109,$BV$116:$BV$120),2)</f>
        <v>0</v>
      </c>
      <c r="BW121" s="150">
        <f>ROUND(SUBTOTAL(109,$BW$116:$BW$120),2)</f>
        <v>0</v>
      </c>
      <c r="BX121" s="151">
        <f t="shared" si="206"/>
        <v>0</v>
      </c>
      <c r="CA121" s="147" t="s">
        <v>408</v>
      </c>
      <c r="CB121" s="148" t="s">
        <v>378</v>
      </c>
      <c r="CC121" s="149">
        <f>ROUND(SUBTOTAL(109,$CC$116:$CC$120),2)</f>
        <v>0</v>
      </c>
      <c r="CD121" s="150">
        <f>ROUND(SUBTOTAL(109,$CD$116:$CD$120),2)</f>
        <v>0</v>
      </c>
      <c r="CE121" s="151">
        <f t="shared" si="207"/>
        <v>0</v>
      </c>
      <c r="CH121" s="147" t="s">
        <v>408</v>
      </c>
      <c r="CI121" s="148" t="s">
        <v>378</v>
      </c>
      <c r="CJ121" s="149">
        <f>ROUND(SUBTOTAL(109,$CJ$116:$CJ$120),2)</f>
        <v>0</v>
      </c>
      <c r="CK121" s="150">
        <f>ROUND(SUBTOTAL(109,$CK$116:$CK$120),2)</f>
        <v>0</v>
      </c>
      <c r="CL121" s="151">
        <f t="shared" si="208"/>
        <v>0</v>
      </c>
      <c r="CO121" s="147" t="s">
        <v>408</v>
      </c>
      <c r="CP121" s="148" t="s">
        <v>378</v>
      </c>
      <c r="CQ121" s="149">
        <f>ROUND(SUBTOTAL(109,$CQ$116:$CQ$120),2)</f>
        <v>0</v>
      </c>
      <c r="CR121" s="150">
        <f>ROUND(SUBTOTAL(109,$CR$116:$CR$120),2)</f>
        <v>0</v>
      </c>
      <c r="CS121" s="151">
        <f t="shared" si="209"/>
        <v>0</v>
      </c>
      <c r="CV121" s="147" t="s">
        <v>408</v>
      </c>
      <c r="CW121" s="148" t="s">
        <v>378</v>
      </c>
      <c r="CX121" s="149">
        <f>ROUND(SUBTOTAL(109,$CX$116:$CX$120),2)</f>
        <v>0</v>
      </c>
      <c r="CY121" s="150">
        <f>ROUND(SUBTOTAL(109,$CY$116:$CY$120),2)</f>
        <v>0</v>
      </c>
      <c r="CZ121" s="151">
        <f t="shared" si="210"/>
        <v>0</v>
      </c>
      <c r="DC121" s="147" t="s">
        <v>408</v>
      </c>
      <c r="DD121" s="148" t="s">
        <v>378</v>
      </c>
      <c r="DE121" s="149">
        <f>ROUND(SUBTOTAL(109,$DE$116:$DE$120),2)</f>
        <v>0</v>
      </c>
      <c r="DF121" s="150">
        <f>ROUND(SUBTOTAL(109,$DF$116:$DF$120),2)</f>
        <v>0</v>
      </c>
      <c r="DG121" s="151">
        <f t="shared" si="211"/>
        <v>0</v>
      </c>
      <c r="DJ121" s="147" t="s">
        <v>408</v>
      </c>
      <c r="DK121" s="148" t="s">
        <v>378</v>
      </c>
      <c r="DL121" s="149">
        <f>ROUND(SUBTOTAL(109,$DL$116:$DL$120),2)</f>
        <v>0</v>
      </c>
      <c r="DM121" s="150">
        <f>ROUND(SUBTOTAL(109,$DM$116:$DM$120),2)</f>
        <v>0</v>
      </c>
      <c r="DN121" s="151">
        <f t="shared" si="212"/>
        <v>0</v>
      </c>
      <c r="DQ121" s="147" t="s">
        <v>408</v>
      </c>
      <c r="DR121" s="148" t="s">
        <v>378</v>
      </c>
      <c r="DS121" s="149">
        <f>ROUND(SUBTOTAL(109,$DS$116:$DS$120),2)</f>
        <v>0</v>
      </c>
      <c r="DT121" s="150">
        <f>ROUND(SUBTOTAL(109,$DT$116:$DT$120),2)</f>
        <v>0</v>
      </c>
      <c r="DU121" s="151">
        <f t="shared" si="213"/>
        <v>0</v>
      </c>
    </row>
    <row r="123">
      <c r="B123" s="136" t="s">
        <v>409</v>
      </c>
      <c r="I123" s="136" t="s">
        <v>409</v>
      </c>
      <c r="P123" s="136" t="s">
        <v>409</v>
      </c>
      <c r="W123" s="136" t="s">
        <v>409</v>
      </c>
      <c r="AD123" s="136" t="s">
        <v>409</v>
      </c>
      <c r="AK123" s="136" t="s">
        <v>409</v>
      </c>
      <c r="AR123" s="136" t="s">
        <v>409</v>
      </c>
      <c r="AY123" s="136" t="s">
        <v>409</v>
      </c>
      <c r="BF123" s="136" t="s">
        <v>409</v>
      </c>
      <c r="BM123" s="136" t="s">
        <v>409</v>
      </c>
      <c r="BT123" s="136" t="s">
        <v>409</v>
      </c>
      <c r="CA123" s="136" t="s">
        <v>409</v>
      </c>
      <c r="CH123" s="136" t="s">
        <v>409</v>
      </c>
      <c r="CO123" s="136" t="s">
        <v>409</v>
      </c>
      <c r="CV123" s="136" t="s">
        <v>409</v>
      </c>
      <c r="DC123" s="136" t="s">
        <v>409</v>
      </c>
      <c r="DJ123" s="136" t="s">
        <v>409</v>
      </c>
      <c r="DQ123" s="136" t="s">
        <v>409</v>
      </c>
    </row>
    <row r="124">
      <c r="B124" s="117" t="s">
        <v>403</v>
      </c>
      <c r="C124" s="117" t="s">
        <v>404</v>
      </c>
      <c r="D124" s="117" t="s">
        <v>381</v>
      </c>
      <c r="E124" s="117" t="s">
        <v>382</v>
      </c>
      <c r="F124" s="117" t="s">
        <v>405</v>
      </c>
      <c r="I124" s="117" t="s">
        <v>403</v>
      </c>
      <c r="J124" s="117" t="s">
        <v>404</v>
      </c>
      <c r="K124" s="117" t="s">
        <v>381</v>
      </c>
      <c r="L124" s="117" t="s">
        <v>382</v>
      </c>
      <c r="M124" s="117" t="s">
        <v>405</v>
      </c>
      <c r="P124" s="117" t="s">
        <v>403</v>
      </c>
      <c r="Q124" s="117" t="s">
        <v>404</v>
      </c>
      <c r="R124" s="117" t="s">
        <v>381</v>
      </c>
      <c r="S124" s="117" t="s">
        <v>382</v>
      </c>
      <c r="T124" s="117" t="s">
        <v>405</v>
      </c>
      <c r="W124" s="117" t="s">
        <v>403</v>
      </c>
      <c r="X124" s="117" t="s">
        <v>404</v>
      </c>
      <c r="Y124" s="117" t="s">
        <v>381</v>
      </c>
      <c r="Z124" s="117" t="s">
        <v>382</v>
      </c>
      <c r="AA124" s="117" t="s">
        <v>405</v>
      </c>
      <c r="AD124" s="117" t="s">
        <v>403</v>
      </c>
      <c r="AE124" s="117" t="s">
        <v>404</v>
      </c>
      <c r="AF124" s="117" t="s">
        <v>381</v>
      </c>
      <c r="AG124" s="117" t="s">
        <v>382</v>
      </c>
      <c r="AH124" s="117" t="s">
        <v>405</v>
      </c>
      <c r="AK124" s="117" t="s">
        <v>403</v>
      </c>
      <c r="AL124" s="117" t="s">
        <v>404</v>
      </c>
      <c r="AM124" s="117" t="s">
        <v>381</v>
      </c>
      <c r="AN124" s="117" t="s">
        <v>382</v>
      </c>
      <c r="AO124" s="117" t="s">
        <v>405</v>
      </c>
      <c r="AR124" s="117" t="s">
        <v>403</v>
      </c>
      <c r="AS124" s="117" t="s">
        <v>404</v>
      </c>
      <c r="AT124" s="117" t="s">
        <v>381</v>
      </c>
      <c r="AU124" s="117" t="s">
        <v>382</v>
      </c>
      <c r="AV124" s="117" t="s">
        <v>405</v>
      </c>
      <c r="AY124" s="117" t="s">
        <v>403</v>
      </c>
      <c r="AZ124" s="117" t="s">
        <v>404</v>
      </c>
      <c r="BA124" s="117" t="s">
        <v>381</v>
      </c>
      <c r="BB124" s="117" t="s">
        <v>382</v>
      </c>
      <c r="BC124" s="117" t="s">
        <v>405</v>
      </c>
      <c r="BF124" s="117" t="s">
        <v>403</v>
      </c>
      <c r="BG124" s="117" t="s">
        <v>404</v>
      </c>
      <c r="BH124" s="117" t="s">
        <v>381</v>
      </c>
      <c r="BI124" s="117" t="s">
        <v>382</v>
      </c>
      <c r="BJ124" s="117" t="s">
        <v>405</v>
      </c>
      <c r="BM124" s="117" t="s">
        <v>403</v>
      </c>
      <c r="BN124" s="117" t="s">
        <v>404</v>
      </c>
      <c r="BO124" s="117" t="s">
        <v>381</v>
      </c>
      <c r="BP124" s="117" t="s">
        <v>382</v>
      </c>
      <c r="BQ124" s="117" t="s">
        <v>405</v>
      </c>
      <c r="BT124" s="117" t="s">
        <v>403</v>
      </c>
      <c r="BU124" s="117" t="s">
        <v>404</v>
      </c>
      <c r="BV124" s="117" t="s">
        <v>381</v>
      </c>
      <c r="BW124" s="117" t="s">
        <v>382</v>
      </c>
      <c r="BX124" s="117" t="s">
        <v>405</v>
      </c>
      <c r="CA124" s="117" t="s">
        <v>403</v>
      </c>
      <c r="CB124" s="117" t="s">
        <v>404</v>
      </c>
      <c r="CC124" s="117" t="s">
        <v>381</v>
      </c>
      <c r="CD124" s="117" t="s">
        <v>382</v>
      </c>
      <c r="CE124" s="117" t="s">
        <v>405</v>
      </c>
      <c r="CH124" s="117" t="s">
        <v>403</v>
      </c>
      <c r="CI124" s="117" t="s">
        <v>404</v>
      </c>
      <c r="CJ124" s="117" t="s">
        <v>381</v>
      </c>
      <c r="CK124" s="117" t="s">
        <v>382</v>
      </c>
      <c r="CL124" s="117" t="s">
        <v>405</v>
      </c>
      <c r="CO124" s="117" t="s">
        <v>403</v>
      </c>
      <c r="CP124" s="117" t="s">
        <v>404</v>
      </c>
      <c r="CQ124" s="117" t="s">
        <v>381</v>
      </c>
      <c r="CR124" s="117" t="s">
        <v>382</v>
      </c>
      <c r="CS124" s="117" t="s">
        <v>405</v>
      </c>
      <c r="CV124" s="117" t="s">
        <v>403</v>
      </c>
      <c r="CW124" s="117" t="s">
        <v>404</v>
      </c>
      <c r="CX124" s="117" t="s">
        <v>381</v>
      </c>
      <c r="CY124" s="117" t="s">
        <v>382</v>
      </c>
      <c r="CZ124" s="117" t="s">
        <v>405</v>
      </c>
      <c r="DC124" s="117" t="s">
        <v>403</v>
      </c>
      <c r="DD124" s="117" t="s">
        <v>404</v>
      </c>
      <c r="DE124" s="117" t="s">
        <v>381</v>
      </c>
      <c r="DF124" s="117" t="s">
        <v>382</v>
      </c>
      <c r="DG124" s="117" t="s">
        <v>405</v>
      </c>
      <c r="DJ124" s="117" t="s">
        <v>403</v>
      </c>
      <c r="DK124" s="117" t="s">
        <v>404</v>
      </c>
      <c r="DL124" s="117" t="s">
        <v>381</v>
      </c>
      <c r="DM124" s="117" t="s">
        <v>382</v>
      </c>
      <c r="DN124" s="117" t="s">
        <v>405</v>
      </c>
      <c r="DQ124" s="117" t="s">
        <v>403</v>
      </c>
      <c r="DR124" s="117" t="s">
        <v>404</v>
      </c>
      <c r="DS124" s="117" t="s">
        <v>381</v>
      </c>
      <c r="DT124" s="117" t="s">
        <v>382</v>
      </c>
      <c r="DU124" s="117" t="s">
        <v>405</v>
      </c>
    </row>
    <row r="125">
      <c r="B125" s="142" t="s">
        <v>198</v>
      </c>
      <c r="C125" s="143" t="s">
        <v>7</v>
      </c>
      <c r="D125" s="144"/>
      <c r="E125" s="152">
        <f t="shared" ref="E125:E130" si="214">IFERROR(ROUND(D125/$C$8,2),0)</f>
        <v>0</v>
      </c>
      <c r="F125" s="146">
        <f t="shared" si="196"/>
        <v>0</v>
      </c>
      <c r="I125" s="142" t="s">
        <v>198</v>
      </c>
      <c r="J125" s="143" t="s">
        <v>7</v>
      </c>
      <c r="K125" s="144"/>
      <c r="L125" s="152">
        <f t="shared" ref="L125:L130" si="215">IFERROR(ROUND(K125/$J$8,2),0)</f>
        <v>0</v>
      </c>
      <c r="M125" s="146">
        <f t="shared" si="197"/>
        <v>0</v>
      </c>
      <c r="P125" s="142" t="s">
        <v>198</v>
      </c>
      <c r="Q125" s="143" t="s">
        <v>7</v>
      </c>
      <c r="R125" s="144"/>
      <c r="S125" s="152">
        <f t="shared" ref="S125:S130" si="216">IFERROR(ROUND(R125/$Q$8,2),0)</f>
        <v>0</v>
      </c>
      <c r="T125" s="146">
        <f t="shared" si="198"/>
        <v>0</v>
      </c>
      <c r="W125" s="142" t="s">
        <v>198</v>
      </c>
      <c r="X125" s="143" t="s">
        <v>7</v>
      </c>
      <c r="Y125" s="144"/>
      <c r="Z125" s="152">
        <f t="shared" ref="Z125:Z130" si="217">IFERROR(ROUND(Y125/$X$8,2),0)</f>
        <v>0</v>
      </c>
      <c r="AA125" s="146">
        <f t="shared" si="199"/>
        <v>0</v>
      </c>
      <c r="AD125" s="142" t="s">
        <v>198</v>
      </c>
      <c r="AE125" s="143" t="s">
        <v>7</v>
      </c>
      <c r="AF125" s="144"/>
      <c r="AG125" s="152">
        <f t="shared" ref="AG125:AG130" si="218">IFERROR(ROUND(AF125/$AE$8,2),0)</f>
        <v>0</v>
      </c>
      <c r="AH125" s="146">
        <f t="shared" si="200"/>
        <v>0</v>
      </c>
      <c r="AK125" s="142" t="s">
        <v>198</v>
      </c>
      <c r="AL125" s="143" t="s">
        <v>7</v>
      </c>
      <c r="AM125" s="144"/>
      <c r="AN125" s="152">
        <f t="shared" ref="AN125:AN130" si="219">IFERROR(ROUND(AM125/$AL$8,2),0)</f>
        <v>0</v>
      </c>
      <c r="AO125" s="146">
        <f t="shared" si="201"/>
        <v>0</v>
      </c>
      <c r="AR125" s="142" t="s">
        <v>198</v>
      </c>
      <c r="AS125" s="143" t="s">
        <v>7</v>
      </c>
      <c r="AT125" s="144"/>
      <c r="AU125" s="152">
        <f t="shared" ref="AU125:AU130" si="220">IFERROR(ROUND(AT125/$AS$8,2),0)</f>
        <v>0</v>
      </c>
      <c r="AV125" s="146">
        <f t="shared" si="202"/>
        <v>0</v>
      </c>
      <c r="AY125" s="142" t="s">
        <v>198</v>
      </c>
      <c r="AZ125" s="143" t="s">
        <v>7</v>
      </c>
      <c r="BA125" s="144"/>
      <c r="BB125" s="152">
        <f t="shared" ref="BB125:BB130" si="221">IFERROR(ROUND(BA125/$AZ$8,2),0)</f>
        <v>0</v>
      </c>
      <c r="BC125" s="146">
        <f t="shared" si="203"/>
        <v>0</v>
      </c>
      <c r="BF125" s="142" t="s">
        <v>198</v>
      </c>
      <c r="BG125" s="143" t="s">
        <v>7</v>
      </c>
      <c r="BH125" s="144"/>
      <c r="BI125" s="152">
        <f t="shared" ref="BI125:BI130" si="222">IFERROR(ROUND(BH125/$BG$8,2),0)</f>
        <v>0</v>
      </c>
      <c r="BJ125" s="146">
        <f t="shared" si="204"/>
        <v>0</v>
      </c>
      <c r="BM125" s="142" t="s">
        <v>198</v>
      </c>
      <c r="BN125" s="143" t="s">
        <v>7</v>
      </c>
      <c r="BO125" s="144"/>
      <c r="BP125" s="152">
        <f t="shared" ref="BP125:BP130" si="223">IFERROR(ROUND(BO125/$BN$8,2),0)</f>
        <v>0</v>
      </c>
      <c r="BQ125" s="146">
        <f t="shared" si="205"/>
        <v>0</v>
      </c>
      <c r="BT125" s="142" t="s">
        <v>198</v>
      </c>
      <c r="BU125" s="143" t="s">
        <v>7</v>
      </c>
      <c r="BV125" s="144"/>
      <c r="BW125" s="152">
        <f t="shared" ref="BW125:BW130" si="224">IFERROR(ROUND(BV125/$BU$8,2),0)</f>
        <v>0</v>
      </c>
      <c r="BX125" s="146">
        <f t="shared" si="206"/>
        <v>0</v>
      </c>
      <c r="CA125" s="142" t="s">
        <v>198</v>
      </c>
      <c r="CB125" s="143" t="s">
        <v>7</v>
      </c>
      <c r="CC125" s="144"/>
      <c r="CD125" s="152">
        <f t="shared" ref="CD125:CD130" si="225">IFERROR(ROUND(CC125/$CB$8,2),0)</f>
        <v>0</v>
      </c>
      <c r="CE125" s="146">
        <f t="shared" si="207"/>
        <v>0</v>
      </c>
      <c r="CH125" s="142" t="s">
        <v>198</v>
      </c>
      <c r="CI125" s="143" t="s">
        <v>7</v>
      </c>
      <c r="CJ125" s="144"/>
      <c r="CK125" s="152">
        <f t="shared" ref="CK125:CK130" si="226">IFERROR(ROUND(CJ125/$CI$8,2),0)</f>
        <v>0</v>
      </c>
      <c r="CL125" s="146">
        <f t="shared" si="208"/>
        <v>0</v>
      </c>
      <c r="CO125" s="142" t="s">
        <v>198</v>
      </c>
      <c r="CP125" s="143" t="s">
        <v>7</v>
      </c>
      <c r="CQ125" s="144"/>
      <c r="CR125" s="152">
        <f t="shared" ref="CR125:CR130" si="227">IFERROR(ROUND(CQ125/$CP$8,2),0)</f>
        <v>0</v>
      </c>
      <c r="CS125" s="146">
        <f t="shared" si="209"/>
        <v>0</v>
      </c>
      <c r="CV125" s="142" t="s">
        <v>198</v>
      </c>
      <c r="CW125" s="143" t="s">
        <v>7</v>
      </c>
      <c r="CX125" s="144"/>
      <c r="CY125" s="152">
        <f t="shared" ref="CY125:CY130" si="228">IFERROR(ROUND(CX125/$CW$8,2),0)</f>
        <v>0</v>
      </c>
      <c r="CZ125" s="146">
        <f t="shared" si="210"/>
        <v>0</v>
      </c>
      <c r="DC125" s="142" t="s">
        <v>198</v>
      </c>
      <c r="DD125" s="143" t="s">
        <v>7</v>
      </c>
      <c r="DE125" s="144"/>
      <c r="DF125" s="152">
        <f t="shared" ref="DF125:DF130" si="229">IFERROR(ROUND(DE125/$DD$8,2),0)</f>
        <v>0</v>
      </c>
      <c r="DG125" s="146">
        <f t="shared" si="211"/>
        <v>0</v>
      </c>
      <c r="DJ125" s="142" t="s">
        <v>198</v>
      </c>
      <c r="DK125" s="143" t="s">
        <v>7</v>
      </c>
      <c r="DL125" s="144"/>
      <c r="DM125" s="152">
        <f t="shared" ref="DM125:DM130" si="230">IFERROR(ROUND(DL125/$DK$8,2),0)</f>
        <v>0</v>
      </c>
      <c r="DN125" s="146">
        <f t="shared" si="212"/>
        <v>0</v>
      </c>
      <c r="DQ125" s="142" t="s">
        <v>198</v>
      </c>
      <c r="DR125" s="143" t="s">
        <v>7</v>
      </c>
      <c r="DS125" s="144"/>
      <c r="DT125" s="152">
        <f t="shared" ref="DT125:DT130" si="231">IFERROR(ROUND(DS125/$DR$8,2),0)</f>
        <v>0</v>
      </c>
      <c r="DU125" s="146">
        <f t="shared" si="213"/>
        <v>0</v>
      </c>
    </row>
    <row r="126">
      <c r="B126" s="142" t="s">
        <v>387</v>
      </c>
      <c r="C126" s="143" t="s">
        <v>7</v>
      </c>
      <c r="D126" s="144"/>
      <c r="E126" s="152">
        <f t="shared" si="214"/>
        <v>0</v>
      </c>
      <c r="F126" s="146">
        <f t="shared" si="196"/>
        <v>0</v>
      </c>
      <c r="I126" s="142" t="s">
        <v>387</v>
      </c>
      <c r="J126" s="143" t="s">
        <v>7</v>
      </c>
      <c r="K126" s="144"/>
      <c r="L126" s="152">
        <f t="shared" si="215"/>
        <v>0</v>
      </c>
      <c r="M126" s="146">
        <f t="shared" si="197"/>
        <v>0</v>
      </c>
      <c r="P126" s="142" t="s">
        <v>387</v>
      </c>
      <c r="Q126" s="143" t="s">
        <v>7</v>
      </c>
      <c r="R126" s="144"/>
      <c r="S126" s="152">
        <f t="shared" si="216"/>
        <v>0</v>
      </c>
      <c r="T126" s="146">
        <f t="shared" si="198"/>
        <v>0</v>
      </c>
      <c r="W126" s="142" t="s">
        <v>387</v>
      </c>
      <c r="X126" s="143" t="s">
        <v>7</v>
      </c>
      <c r="Y126" s="144"/>
      <c r="Z126" s="152">
        <f t="shared" si="217"/>
        <v>0</v>
      </c>
      <c r="AA126" s="146">
        <f t="shared" si="199"/>
        <v>0</v>
      </c>
      <c r="AD126" s="142" t="s">
        <v>387</v>
      </c>
      <c r="AE126" s="143" t="s">
        <v>7</v>
      </c>
      <c r="AF126" s="144"/>
      <c r="AG126" s="152">
        <f t="shared" si="218"/>
        <v>0</v>
      </c>
      <c r="AH126" s="146">
        <f t="shared" si="200"/>
        <v>0</v>
      </c>
      <c r="AK126" s="142" t="s">
        <v>387</v>
      </c>
      <c r="AL126" s="143" t="s">
        <v>7</v>
      </c>
      <c r="AM126" s="144"/>
      <c r="AN126" s="152">
        <f t="shared" si="219"/>
        <v>0</v>
      </c>
      <c r="AO126" s="146">
        <f t="shared" si="201"/>
        <v>0</v>
      </c>
      <c r="AR126" s="142" t="s">
        <v>387</v>
      </c>
      <c r="AS126" s="143" t="s">
        <v>7</v>
      </c>
      <c r="AT126" s="144"/>
      <c r="AU126" s="152">
        <f t="shared" si="220"/>
        <v>0</v>
      </c>
      <c r="AV126" s="146">
        <f t="shared" si="202"/>
        <v>0</v>
      </c>
      <c r="AY126" s="142" t="s">
        <v>387</v>
      </c>
      <c r="AZ126" s="143" t="s">
        <v>7</v>
      </c>
      <c r="BA126" s="144"/>
      <c r="BB126" s="152">
        <f t="shared" si="221"/>
        <v>0</v>
      </c>
      <c r="BC126" s="146">
        <f t="shared" si="203"/>
        <v>0</v>
      </c>
      <c r="BF126" s="142" t="s">
        <v>387</v>
      </c>
      <c r="BG126" s="143" t="s">
        <v>7</v>
      </c>
      <c r="BH126" s="144"/>
      <c r="BI126" s="152">
        <f t="shared" si="222"/>
        <v>0</v>
      </c>
      <c r="BJ126" s="146">
        <f t="shared" si="204"/>
        <v>0</v>
      </c>
      <c r="BM126" s="142" t="s">
        <v>387</v>
      </c>
      <c r="BN126" s="143" t="s">
        <v>7</v>
      </c>
      <c r="BO126" s="144"/>
      <c r="BP126" s="152">
        <f t="shared" si="223"/>
        <v>0</v>
      </c>
      <c r="BQ126" s="146">
        <f t="shared" si="205"/>
        <v>0</v>
      </c>
      <c r="BT126" s="142" t="s">
        <v>387</v>
      </c>
      <c r="BU126" s="143" t="s">
        <v>7</v>
      </c>
      <c r="BV126" s="144"/>
      <c r="BW126" s="152">
        <f t="shared" si="224"/>
        <v>0</v>
      </c>
      <c r="BX126" s="146">
        <f t="shared" si="206"/>
        <v>0</v>
      </c>
      <c r="CA126" s="142" t="s">
        <v>387</v>
      </c>
      <c r="CB126" s="143" t="s">
        <v>7</v>
      </c>
      <c r="CC126" s="144"/>
      <c r="CD126" s="152">
        <f t="shared" si="225"/>
        <v>0</v>
      </c>
      <c r="CE126" s="146">
        <f t="shared" si="207"/>
        <v>0</v>
      </c>
      <c r="CH126" s="142" t="s">
        <v>387</v>
      </c>
      <c r="CI126" s="143" t="s">
        <v>7</v>
      </c>
      <c r="CJ126" s="144"/>
      <c r="CK126" s="152">
        <f t="shared" si="226"/>
        <v>0</v>
      </c>
      <c r="CL126" s="146">
        <f t="shared" si="208"/>
        <v>0</v>
      </c>
      <c r="CO126" s="142" t="s">
        <v>387</v>
      </c>
      <c r="CP126" s="143" t="s">
        <v>7</v>
      </c>
      <c r="CQ126" s="144"/>
      <c r="CR126" s="152">
        <f t="shared" si="227"/>
        <v>0</v>
      </c>
      <c r="CS126" s="146">
        <f t="shared" si="209"/>
        <v>0</v>
      </c>
      <c r="CV126" s="142" t="s">
        <v>387</v>
      </c>
      <c r="CW126" s="143" t="s">
        <v>7</v>
      </c>
      <c r="CX126" s="144"/>
      <c r="CY126" s="152">
        <f t="shared" si="228"/>
        <v>0</v>
      </c>
      <c r="CZ126" s="146">
        <f t="shared" si="210"/>
        <v>0</v>
      </c>
      <c r="DC126" s="142" t="s">
        <v>387</v>
      </c>
      <c r="DD126" s="143" t="s">
        <v>7</v>
      </c>
      <c r="DE126" s="144"/>
      <c r="DF126" s="152">
        <f t="shared" si="229"/>
        <v>0</v>
      </c>
      <c r="DG126" s="146">
        <f t="shared" si="211"/>
        <v>0</v>
      </c>
      <c r="DJ126" s="142" t="s">
        <v>387</v>
      </c>
      <c r="DK126" s="143" t="s">
        <v>7</v>
      </c>
      <c r="DL126" s="144"/>
      <c r="DM126" s="152">
        <f t="shared" si="230"/>
        <v>0</v>
      </c>
      <c r="DN126" s="146">
        <f t="shared" si="212"/>
        <v>0</v>
      </c>
      <c r="DQ126" s="142" t="s">
        <v>387</v>
      </c>
      <c r="DR126" s="143" t="s">
        <v>7</v>
      </c>
      <c r="DS126" s="144"/>
      <c r="DT126" s="152">
        <f t="shared" si="231"/>
        <v>0</v>
      </c>
      <c r="DU126" s="146">
        <f t="shared" si="213"/>
        <v>0</v>
      </c>
    </row>
    <row r="127">
      <c r="B127" s="142" t="s">
        <v>388</v>
      </c>
      <c r="C127" s="143" t="s">
        <v>7</v>
      </c>
      <c r="D127" s="144"/>
      <c r="E127" s="152">
        <f t="shared" si="214"/>
        <v>0</v>
      </c>
      <c r="F127" s="146">
        <f t="shared" si="196"/>
        <v>0</v>
      </c>
      <c r="I127" s="142" t="s">
        <v>388</v>
      </c>
      <c r="J127" s="143" t="s">
        <v>7</v>
      </c>
      <c r="K127" s="144"/>
      <c r="L127" s="152">
        <f t="shared" si="215"/>
        <v>0</v>
      </c>
      <c r="M127" s="146">
        <f t="shared" si="197"/>
        <v>0</v>
      </c>
      <c r="P127" s="142" t="s">
        <v>388</v>
      </c>
      <c r="Q127" s="143" t="s">
        <v>7</v>
      </c>
      <c r="R127" s="144"/>
      <c r="S127" s="152">
        <f t="shared" si="216"/>
        <v>0</v>
      </c>
      <c r="T127" s="146">
        <f t="shared" si="198"/>
        <v>0</v>
      </c>
      <c r="W127" s="142" t="s">
        <v>388</v>
      </c>
      <c r="X127" s="143" t="s">
        <v>7</v>
      </c>
      <c r="Y127" s="144"/>
      <c r="Z127" s="152">
        <f t="shared" si="217"/>
        <v>0</v>
      </c>
      <c r="AA127" s="146">
        <f t="shared" si="199"/>
        <v>0</v>
      </c>
      <c r="AD127" s="142" t="s">
        <v>388</v>
      </c>
      <c r="AE127" s="143" t="s">
        <v>7</v>
      </c>
      <c r="AF127" s="144"/>
      <c r="AG127" s="152">
        <f t="shared" si="218"/>
        <v>0</v>
      </c>
      <c r="AH127" s="146">
        <f t="shared" si="200"/>
        <v>0</v>
      </c>
      <c r="AK127" s="142" t="s">
        <v>388</v>
      </c>
      <c r="AL127" s="143" t="s">
        <v>7</v>
      </c>
      <c r="AM127" s="144"/>
      <c r="AN127" s="152">
        <f t="shared" si="219"/>
        <v>0</v>
      </c>
      <c r="AO127" s="146">
        <f t="shared" si="201"/>
        <v>0</v>
      </c>
      <c r="AR127" s="142" t="s">
        <v>388</v>
      </c>
      <c r="AS127" s="143" t="s">
        <v>7</v>
      </c>
      <c r="AT127" s="144"/>
      <c r="AU127" s="152">
        <f t="shared" si="220"/>
        <v>0</v>
      </c>
      <c r="AV127" s="146">
        <f t="shared" si="202"/>
        <v>0</v>
      </c>
      <c r="AY127" s="142" t="s">
        <v>388</v>
      </c>
      <c r="AZ127" s="143" t="s">
        <v>7</v>
      </c>
      <c r="BA127" s="144"/>
      <c r="BB127" s="152">
        <f t="shared" si="221"/>
        <v>0</v>
      </c>
      <c r="BC127" s="146">
        <f t="shared" si="203"/>
        <v>0</v>
      </c>
      <c r="BF127" s="142" t="s">
        <v>388</v>
      </c>
      <c r="BG127" s="143" t="s">
        <v>7</v>
      </c>
      <c r="BH127" s="144"/>
      <c r="BI127" s="152">
        <f t="shared" si="222"/>
        <v>0</v>
      </c>
      <c r="BJ127" s="146">
        <f t="shared" si="204"/>
        <v>0</v>
      </c>
      <c r="BM127" s="142" t="s">
        <v>388</v>
      </c>
      <c r="BN127" s="143" t="s">
        <v>7</v>
      </c>
      <c r="BO127" s="144"/>
      <c r="BP127" s="152">
        <f t="shared" si="223"/>
        <v>0</v>
      </c>
      <c r="BQ127" s="146">
        <f t="shared" si="205"/>
        <v>0</v>
      </c>
      <c r="BT127" s="142" t="s">
        <v>388</v>
      </c>
      <c r="BU127" s="143" t="s">
        <v>7</v>
      </c>
      <c r="BV127" s="144"/>
      <c r="BW127" s="152">
        <f t="shared" si="224"/>
        <v>0</v>
      </c>
      <c r="BX127" s="146">
        <f t="shared" si="206"/>
        <v>0</v>
      </c>
      <c r="CA127" s="142" t="s">
        <v>388</v>
      </c>
      <c r="CB127" s="143" t="s">
        <v>7</v>
      </c>
      <c r="CC127" s="144"/>
      <c r="CD127" s="152">
        <f t="shared" si="225"/>
        <v>0</v>
      </c>
      <c r="CE127" s="146">
        <f t="shared" si="207"/>
        <v>0</v>
      </c>
      <c r="CH127" s="142" t="s">
        <v>388</v>
      </c>
      <c r="CI127" s="143" t="s">
        <v>7</v>
      </c>
      <c r="CJ127" s="144"/>
      <c r="CK127" s="152">
        <f t="shared" si="226"/>
        <v>0</v>
      </c>
      <c r="CL127" s="146">
        <f t="shared" si="208"/>
        <v>0</v>
      </c>
      <c r="CO127" s="142" t="s">
        <v>388</v>
      </c>
      <c r="CP127" s="143" t="s">
        <v>7</v>
      </c>
      <c r="CQ127" s="144"/>
      <c r="CR127" s="152">
        <f t="shared" si="227"/>
        <v>0</v>
      </c>
      <c r="CS127" s="146">
        <f t="shared" si="209"/>
        <v>0</v>
      </c>
      <c r="CV127" s="142" t="s">
        <v>388</v>
      </c>
      <c r="CW127" s="143" t="s">
        <v>7</v>
      </c>
      <c r="CX127" s="144"/>
      <c r="CY127" s="152">
        <f t="shared" si="228"/>
        <v>0</v>
      </c>
      <c r="CZ127" s="146">
        <f t="shared" si="210"/>
        <v>0</v>
      </c>
      <c r="DC127" s="142" t="s">
        <v>388</v>
      </c>
      <c r="DD127" s="143" t="s">
        <v>7</v>
      </c>
      <c r="DE127" s="144"/>
      <c r="DF127" s="152">
        <f t="shared" si="229"/>
        <v>0</v>
      </c>
      <c r="DG127" s="146">
        <f t="shared" si="211"/>
        <v>0</v>
      </c>
      <c r="DJ127" s="142" t="s">
        <v>388</v>
      </c>
      <c r="DK127" s="143" t="s">
        <v>7</v>
      </c>
      <c r="DL127" s="144"/>
      <c r="DM127" s="152">
        <f t="shared" si="230"/>
        <v>0</v>
      </c>
      <c r="DN127" s="146">
        <f t="shared" si="212"/>
        <v>0</v>
      </c>
      <c r="DQ127" s="142" t="s">
        <v>388</v>
      </c>
      <c r="DR127" s="143" t="s">
        <v>7</v>
      </c>
      <c r="DS127" s="144"/>
      <c r="DT127" s="152">
        <f t="shared" si="231"/>
        <v>0</v>
      </c>
      <c r="DU127" s="146">
        <f t="shared" si="213"/>
        <v>0</v>
      </c>
    </row>
    <row r="128">
      <c r="B128" s="142" t="s">
        <v>7</v>
      </c>
      <c r="C128" s="143" t="s">
        <v>7</v>
      </c>
      <c r="D128" s="144"/>
      <c r="E128" s="152">
        <f t="shared" si="214"/>
        <v>0</v>
      </c>
      <c r="F128" s="146">
        <f t="shared" si="196"/>
        <v>0</v>
      </c>
      <c r="I128" s="142" t="s">
        <v>7</v>
      </c>
      <c r="J128" s="143" t="s">
        <v>7</v>
      </c>
      <c r="K128" s="144"/>
      <c r="L128" s="152">
        <f t="shared" si="215"/>
        <v>0</v>
      </c>
      <c r="M128" s="146">
        <f t="shared" si="197"/>
        <v>0</v>
      </c>
      <c r="P128" s="142" t="s">
        <v>7</v>
      </c>
      <c r="Q128" s="143" t="s">
        <v>7</v>
      </c>
      <c r="R128" s="144"/>
      <c r="S128" s="152">
        <f t="shared" si="216"/>
        <v>0</v>
      </c>
      <c r="T128" s="146">
        <f t="shared" si="198"/>
        <v>0</v>
      </c>
      <c r="W128" s="142" t="s">
        <v>7</v>
      </c>
      <c r="X128" s="143" t="s">
        <v>7</v>
      </c>
      <c r="Y128" s="144"/>
      <c r="Z128" s="152">
        <f t="shared" si="217"/>
        <v>0</v>
      </c>
      <c r="AA128" s="146">
        <f t="shared" si="199"/>
        <v>0</v>
      </c>
      <c r="AD128" s="142" t="s">
        <v>7</v>
      </c>
      <c r="AE128" s="143" t="s">
        <v>7</v>
      </c>
      <c r="AF128" s="144"/>
      <c r="AG128" s="152">
        <f t="shared" si="218"/>
        <v>0</v>
      </c>
      <c r="AH128" s="146">
        <f t="shared" si="200"/>
        <v>0</v>
      </c>
      <c r="AK128" s="142" t="s">
        <v>7</v>
      </c>
      <c r="AL128" s="143" t="s">
        <v>7</v>
      </c>
      <c r="AM128" s="144"/>
      <c r="AN128" s="152">
        <f t="shared" si="219"/>
        <v>0</v>
      </c>
      <c r="AO128" s="146">
        <f t="shared" si="201"/>
        <v>0</v>
      </c>
      <c r="AR128" s="142" t="s">
        <v>7</v>
      </c>
      <c r="AS128" s="143" t="s">
        <v>7</v>
      </c>
      <c r="AT128" s="144"/>
      <c r="AU128" s="152">
        <f t="shared" si="220"/>
        <v>0</v>
      </c>
      <c r="AV128" s="146">
        <f t="shared" si="202"/>
        <v>0</v>
      </c>
      <c r="AY128" s="142" t="s">
        <v>7</v>
      </c>
      <c r="AZ128" s="143" t="s">
        <v>7</v>
      </c>
      <c r="BA128" s="144"/>
      <c r="BB128" s="152">
        <f t="shared" si="221"/>
        <v>0</v>
      </c>
      <c r="BC128" s="146">
        <f t="shared" si="203"/>
        <v>0</v>
      </c>
      <c r="BF128" s="142" t="s">
        <v>7</v>
      </c>
      <c r="BG128" s="143" t="s">
        <v>7</v>
      </c>
      <c r="BH128" s="144"/>
      <c r="BI128" s="152">
        <f t="shared" si="222"/>
        <v>0</v>
      </c>
      <c r="BJ128" s="146">
        <f t="shared" si="204"/>
        <v>0</v>
      </c>
      <c r="BM128" s="142" t="s">
        <v>7</v>
      </c>
      <c r="BN128" s="143" t="s">
        <v>7</v>
      </c>
      <c r="BO128" s="144"/>
      <c r="BP128" s="152">
        <f t="shared" si="223"/>
        <v>0</v>
      </c>
      <c r="BQ128" s="146">
        <f t="shared" si="205"/>
        <v>0</v>
      </c>
      <c r="BT128" s="142" t="s">
        <v>7</v>
      </c>
      <c r="BU128" s="143" t="s">
        <v>7</v>
      </c>
      <c r="BV128" s="144"/>
      <c r="BW128" s="152">
        <f t="shared" si="224"/>
        <v>0</v>
      </c>
      <c r="BX128" s="146">
        <f t="shared" si="206"/>
        <v>0</v>
      </c>
      <c r="CA128" s="142" t="s">
        <v>7</v>
      </c>
      <c r="CB128" s="143" t="s">
        <v>7</v>
      </c>
      <c r="CC128" s="144"/>
      <c r="CD128" s="152">
        <f t="shared" si="225"/>
        <v>0</v>
      </c>
      <c r="CE128" s="146">
        <f t="shared" si="207"/>
        <v>0</v>
      </c>
      <c r="CH128" s="142" t="s">
        <v>7</v>
      </c>
      <c r="CI128" s="143" t="s">
        <v>7</v>
      </c>
      <c r="CJ128" s="144"/>
      <c r="CK128" s="152">
        <f t="shared" si="226"/>
        <v>0</v>
      </c>
      <c r="CL128" s="146">
        <f t="shared" si="208"/>
        <v>0</v>
      </c>
      <c r="CO128" s="142" t="s">
        <v>7</v>
      </c>
      <c r="CP128" s="143" t="s">
        <v>7</v>
      </c>
      <c r="CQ128" s="144"/>
      <c r="CR128" s="152">
        <f t="shared" si="227"/>
        <v>0</v>
      </c>
      <c r="CS128" s="146">
        <f t="shared" si="209"/>
        <v>0</v>
      </c>
      <c r="CV128" s="142" t="s">
        <v>7</v>
      </c>
      <c r="CW128" s="143" t="s">
        <v>7</v>
      </c>
      <c r="CX128" s="144"/>
      <c r="CY128" s="152">
        <f t="shared" si="228"/>
        <v>0</v>
      </c>
      <c r="CZ128" s="146">
        <f t="shared" si="210"/>
        <v>0</v>
      </c>
      <c r="DC128" s="142" t="s">
        <v>7</v>
      </c>
      <c r="DD128" s="143" t="s">
        <v>7</v>
      </c>
      <c r="DE128" s="144"/>
      <c r="DF128" s="152">
        <f t="shared" si="229"/>
        <v>0</v>
      </c>
      <c r="DG128" s="146">
        <f t="shared" si="211"/>
        <v>0</v>
      </c>
      <c r="DJ128" s="142" t="s">
        <v>7</v>
      </c>
      <c r="DK128" s="143" t="s">
        <v>7</v>
      </c>
      <c r="DL128" s="144"/>
      <c r="DM128" s="152">
        <f t="shared" si="230"/>
        <v>0</v>
      </c>
      <c r="DN128" s="146">
        <f t="shared" si="212"/>
        <v>0</v>
      </c>
      <c r="DQ128" s="142" t="s">
        <v>7</v>
      </c>
      <c r="DR128" s="143" t="s">
        <v>7</v>
      </c>
      <c r="DS128" s="144"/>
      <c r="DT128" s="152">
        <f t="shared" si="231"/>
        <v>0</v>
      </c>
      <c r="DU128" s="146">
        <f t="shared" si="213"/>
        <v>0</v>
      </c>
    </row>
    <row r="129">
      <c r="B129" s="142" t="s">
        <v>7</v>
      </c>
      <c r="C129" s="143" t="s">
        <v>7</v>
      </c>
      <c r="D129" s="144"/>
      <c r="E129" s="152">
        <f t="shared" si="214"/>
        <v>0</v>
      </c>
      <c r="F129" s="146">
        <f t="shared" si="196"/>
        <v>0</v>
      </c>
      <c r="I129" s="142" t="s">
        <v>7</v>
      </c>
      <c r="J129" s="143" t="s">
        <v>7</v>
      </c>
      <c r="K129" s="144"/>
      <c r="L129" s="152">
        <f t="shared" si="215"/>
        <v>0</v>
      </c>
      <c r="M129" s="146">
        <f t="shared" si="197"/>
        <v>0</v>
      </c>
      <c r="P129" s="142" t="s">
        <v>7</v>
      </c>
      <c r="Q129" s="143" t="s">
        <v>7</v>
      </c>
      <c r="R129" s="144"/>
      <c r="S129" s="152">
        <f t="shared" si="216"/>
        <v>0</v>
      </c>
      <c r="T129" s="146">
        <f t="shared" si="198"/>
        <v>0</v>
      </c>
      <c r="W129" s="142" t="s">
        <v>7</v>
      </c>
      <c r="X129" s="143" t="s">
        <v>7</v>
      </c>
      <c r="Y129" s="144"/>
      <c r="Z129" s="152">
        <f t="shared" si="217"/>
        <v>0</v>
      </c>
      <c r="AA129" s="146">
        <f t="shared" si="199"/>
        <v>0</v>
      </c>
      <c r="AD129" s="142" t="s">
        <v>7</v>
      </c>
      <c r="AE129" s="143" t="s">
        <v>7</v>
      </c>
      <c r="AF129" s="144"/>
      <c r="AG129" s="152">
        <f t="shared" si="218"/>
        <v>0</v>
      </c>
      <c r="AH129" s="146">
        <f t="shared" si="200"/>
        <v>0</v>
      </c>
      <c r="AK129" s="142" t="s">
        <v>7</v>
      </c>
      <c r="AL129" s="143" t="s">
        <v>7</v>
      </c>
      <c r="AM129" s="144"/>
      <c r="AN129" s="152">
        <f t="shared" si="219"/>
        <v>0</v>
      </c>
      <c r="AO129" s="146">
        <f t="shared" si="201"/>
        <v>0</v>
      </c>
      <c r="AR129" s="142" t="s">
        <v>7</v>
      </c>
      <c r="AS129" s="143" t="s">
        <v>7</v>
      </c>
      <c r="AT129" s="144"/>
      <c r="AU129" s="152">
        <f t="shared" si="220"/>
        <v>0</v>
      </c>
      <c r="AV129" s="146">
        <f t="shared" si="202"/>
        <v>0</v>
      </c>
      <c r="AY129" s="142" t="s">
        <v>7</v>
      </c>
      <c r="AZ129" s="143" t="s">
        <v>7</v>
      </c>
      <c r="BA129" s="144"/>
      <c r="BB129" s="152">
        <f t="shared" si="221"/>
        <v>0</v>
      </c>
      <c r="BC129" s="146">
        <f t="shared" si="203"/>
        <v>0</v>
      </c>
      <c r="BF129" s="142" t="s">
        <v>7</v>
      </c>
      <c r="BG129" s="143" t="s">
        <v>7</v>
      </c>
      <c r="BH129" s="144"/>
      <c r="BI129" s="152">
        <f t="shared" si="222"/>
        <v>0</v>
      </c>
      <c r="BJ129" s="146">
        <f t="shared" si="204"/>
        <v>0</v>
      </c>
      <c r="BM129" s="142" t="s">
        <v>7</v>
      </c>
      <c r="BN129" s="143" t="s">
        <v>7</v>
      </c>
      <c r="BO129" s="144"/>
      <c r="BP129" s="152">
        <f t="shared" si="223"/>
        <v>0</v>
      </c>
      <c r="BQ129" s="146">
        <f t="shared" si="205"/>
        <v>0</v>
      </c>
      <c r="BT129" s="142" t="s">
        <v>7</v>
      </c>
      <c r="BU129" s="143" t="s">
        <v>7</v>
      </c>
      <c r="BV129" s="144"/>
      <c r="BW129" s="152">
        <f t="shared" si="224"/>
        <v>0</v>
      </c>
      <c r="BX129" s="146">
        <f t="shared" si="206"/>
        <v>0</v>
      </c>
      <c r="CA129" s="142" t="s">
        <v>7</v>
      </c>
      <c r="CB129" s="143" t="s">
        <v>7</v>
      </c>
      <c r="CC129" s="144"/>
      <c r="CD129" s="152">
        <f t="shared" si="225"/>
        <v>0</v>
      </c>
      <c r="CE129" s="146">
        <f t="shared" si="207"/>
        <v>0</v>
      </c>
      <c r="CH129" s="142" t="s">
        <v>7</v>
      </c>
      <c r="CI129" s="143" t="s">
        <v>7</v>
      </c>
      <c r="CJ129" s="144"/>
      <c r="CK129" s="152">
        <f t="shared" si="226"/>
        <v>0</v>
      </c>
      <c r="CL129" s="146">
        <f t="shared" si="208"/>
        <v>0</v>
      </c>
      <c r="CO129" s="142" t="s">
        <v>7</v>
      </c>
      <c r="CP129" s="143" t="s">
        <v>7</v>
      </c>
      <c r="CQ129" s="144"/>
      <c r="CR129" s="152">
        <f t="shared" si="227"/>
        <v>0</v>
      </c>
      <c r="CS129" s="146">
        <f t="shared" si="209"/>
        <v>0</v>
      </c>
      <c r="CV129" s="142" t="s">
        <v>7</v>
      </c>
      <c r="CW129" s="143" t="s">
        <v>7</v>
      </c>
      <c r="CX129" s="144"/>
      <c r="CY129" s="152">
        <f t="shared" si="228"/>
        <v>0</v>
      </c>
      <c r="CZ129" s="146">
        <f t="shared" si="210"/>
        <v>0</v>
      </c>
      <c r="DC129" s="142" t="s">
        <v>7</v>
      </c>
      <c r="DD129" s="143" t="s">
        <v>7</v>
      </c>
      <c r="DE129" s="144"/>
      <c r="DF129" s="152">
        <f t="shared" si="229"/>
        <v>0</v>
      </c>
      <c r="DG129" s="146">
        <f t="shared" si="211"/>
        <v>0</v>
      </c>
      <c r="DJ129" s="142" t="s">
        <v>7</v>
      </c>
      <c r="DK129" s="143" t="s">
        <v>7</v>
      </c>
      <c r="DL129" s="144"/>
      <c r="DM129" s="152">
        <f t="shared" si="230"/>
        <v>0</v>
      </c>
      <c r="DN129" s="146">
        <f t="shared" si="212"/>
        <v>0</v>
      </c>
      <c r="DQ129" s="142" t="s">
        <v>7</v>
      </c>
      <c r="DR129" s="143" t="s">
        <v>7</v>
      </c>
      <c r="DS129" s="144"/>
      <c r="DT129" s="152">
        <f t="shared" si="231"/>
        <v>0</v>
      </c>
      <c r="DU129" s="146">
        <f t="shared" si="213"/>
        <v>0</v>
      </c>
    </row>
    <row r="130">
      <c r="B130" s="142" t="s">
        <v>7</v>
      </c>
      <c r="C130" s="143" t="s">
        <v>7</v>
      </c>
      <c r="D130" s="144"/>
      <c r="E130" s="152">
        <f t="shared" si="214"/>
        <v>0</v>
      </c>
      <c r="F130" s="146">
        <f t="shared" si="196"/>
        <v>0</v>
      </c>
      <c r="I130" s="142" t="s">
        <v>7</v>
      </c>
      <c r="J130" s="143" t="s">
        <v>7</v>
      </c>
      <c r="K130" s="144"/>
      <c r="L130" s="152">
        <f t="shared" si="215"/>
        <v>0</v>
      </c>
      <c r="M130" s="146">
        <f t="shared" si="197"/>
        <v>0</v>
      </c>
      <c r="P130" s="142" t="s">
        <v>7</v>
      </c>
      <c r="Q130" s="143" t="s">
        <v>7</v>
      </c>
      <c r="R130" s="144"/>
      <c r="S130" s="152">
        <f t="shared" si="216"/>
        <v>0</v>
      </c>
      <c r="T130" s="146">
        <f t="shared" si="198"/>
        <v>0</v>
      </c>
      <c r="W130" s="142" t="s">
        <v>7</v>
      </c>
      <c r="X130" s="143" t="s">
        <v>7</v>
      </c>
      <c r="Y130" s="144"/>
      <c r="Z130" s="152">
        <f t="shared" si="217"/>
        <v>0</v>
      </c>
      <c r="AA130" s="146">
        <f t="shared" si="199"/>
        <v>0</v>
      </c>
      <c r="AD130" s="142" t="s">
        <v>7</v>
      </c>
      <c r="AE130" s="143" t="s">
        <v>7</v>
      </c>
      <c r="AF130" s="144"/>
      <c r="AG130" s="152">
        <f t="shared" si="218"/>
        <v>0</v>
      </c>
      <c r="AH130" s="146">
        <f t="shared" si="200"/>
        <v>0</v>
      </c>
      <c r="AK130" s="142" t="s">
        <v>7</v>
      </c>
      <c r="AL130" s="143" t="s">
        <v>7</v>
      </c>
      <c r="AM130" s="144"/>
      <c r="AN130" s="152">
        <f t="shared" si="219"/>
        <v>0</v>
      </c>
      <c r="AO130" s="146">
        <f t="shared" si="201"/>
        <v>0</v>
      </c>
      <c r="AR130" s="142" t="s">
        <v>7</v>
      </c>
      <c r="AS130" s="143" t="s">
        <v>7</v>
      </c>
      <c r="AT130" s="144"/>
      <c r="AU130" s="152">
        <f t="shared" si="220"/>
        <v>0</v>
      </c>
      <c r="AV130" s="146">
        <f t="shared" si="202"/>
        <v>0</v>
      </c>
      <c r="AY130" s="142" t="s">
        <v>7</v>
      </c>
      <c r="AZ130" s="143" t="s">
        <v>7</v>
      </c>
      <c r="BA130" s="144"/>
      <c r="BB130" s="152">
        <f t="shared" si="221"/>
        <v>0</v>
      </c>
      <c r="BC130" s="146">
        <f t="shared" si="203"/>
        <v>0</v>
      </c>
      <c r="BF130" s="142" t="s">
        <v>7</v>
      </c>
      <c r="BG130" s="143" t="s">
        <v>7</v>
      </c>
      <c r="BH130" s="144"/>
      <c r="BI130" s="152">
        <f t="shared" si="222"/>
        <v>0</v>
      </c>
      <c r="BJ130" s="146">
        <f t="shared" si="204"/>
        <v>0</v>
      </c>
      <c r="BM130" s="142" t="s">
        <v>7</v>
      </c>
      <c r="BN130" s="143" t="s">
        <v>7</v>
      </c>
      <c r="BO130" s="144"/>
      <c r="BP130" s="152">
        <f t="shared" si="223"/>
        <v>0</v>
      </c>
      <c r="BQ130" s="146">
        <f t="shared" si="205"/>
        <v>0</v>
      </c>
      <c r="BT130" s="142" t="s">
        <v>7</v>
      </c>
      <c r="BU130" s="143" t="s">
        <v>7</v>
      </c>
      <c r="BV130" s="144"/>
      <c r="BW130" s="152">
        <f t="shared" si="224"/>
        <v>0</v>
      </c>
      <c r="BX130" s="146">
        <f t="shared" si="206"/>
        <v>0</v>
      </c>
      <c r="CA130" s="142" t="s">
        <v>7</v>
      </c>
      <c r="CB130" s="143" t="s">
        <v>7</v>
      </c>
      <c r="CC130" s="144"/>
      <c r="CD130" s="152">
        <f t="shared" si="225"/>
        <v>0</v>
      </c>
      <c r="CE130" s="146">
        <f t="shared" si="207"/>
        <v>0</v>
      </c>
      <c r="CH130" s="142" t="s">
        <v>7</v>
      </c>
      <c r="CI130" s="143" t="s">
        <v>7</v>
      </c>
      <c r="CJ130" s="144"/>
      <c r="CK130" s="152">
        <f t="shared" si="226"/>
        <v>0</v>
      </c>
      <c r="CL130" s="146">
        <f t="shared" si="208"/>
        <v>0</v>
      </c>
      <c r="CO130" s="142" t="s">
        <v>7</v>
      </c>
      <c r="CP130" s="143" t="s">
        <v>7</v>
      </c>
      <c r="CQ130" s="144"/>
      <c r="CR130" s="152">
        <f t="shared" si="227"/>
        <v>0</v>
      </c>
      <c r="CS130" s="146">
        <f t="shared" si="209"/>
        <v>0</v>
      </c>
      <c r="CV130" s="142" t="s">
        <v>7</v>
      </c>
      <c r="CW130" s="143" t="s">
        <v>7</v>
      </c>
      <c r="CX130" s="144"/>
      <c r="CY130" s="152">
        <f t="shared" si="228"/>
        <v>0</v>
      </c>
      <c r="CZ130" s="146">
        <f t="shared" si="210"/>
        <v>0</v>
      </c>
      <c r="DC130" s="142" t="s">
        <v>7</v>
      </c>
      <c r="DD130" s="143" t="s">
        <v>7</v>
      </c>
      <c r="DE130" s="144"/>
      <c r="DF130" s="152">
        <f t="shared" si="229"/>
        <v>0</v>
      </c>
      <c r="DG130" s="146">
        <f t="shared" si="211"/>
        <v>0</v>
      </c>
      <c r="DJ130" s="142" t="s">
        <v>7</v>
      </c>
      <c r="DK130" s="143" t="s">
        <v>7</v>
      </c>
      <c r="DL130" s="144"/>
      <c r="DM130" s="152">
        <f t="shared" si="230"/>
        <v>0</v>
      </c>
      <c r="DN130" s="146">
        <f t="shared" si="212"/>
        <v>0</v>
      </c>
      <c r="DQ130" s="142" t="s">
        <v>7</v>
      </c>
      <c r="DR130" s="143" t="s">
        <v>7</v>
      </c>
      <c r="DS130" s="144"/>
      <c r="DT130" s="152">
        <f t="shared" si="231"/>
        <v>0</v>
      </c>
      <c r="DU130" s="146">
        <f t="shared" si="213"/>
        <v>0</v>
      </c>
    </row>
    <row r="131">
      <c r="B131" s="147" t="s">
        <v>410</v>
      </c>
      <c r="C131" s="148" t="s">
        <v>378</v>
      </c>
      <c r="D131" s="149">
        <f>ROUND(SUBTOTAL(109,$D$125:$D$130),2)</f>
        <v>0</v>
      </c>
      <c r="E131" s="150">
        <f>ROUND(SUBTOTAL(109,$E$125:$E$130),2)</f>
        <v>0</v>
      </c>
      <c r="F131" s="151">
        <f t="shared" si="196"/>
        <v>0</v>
      </c>
      <c r="I131" s="147" t="s">
        <v>410</v>
      </c>
      <c r="J131" s="148" t="s">
        <v>378</v>
      </c>
      <c r="K131" s="149">
        <f>ROUND(SUBTOTAL(109,$K$125:$K$130),2)</f>
        <v>0</v>
      </c>
      <c r="L131" s="150">
        <f>ROUND(SUBTOTAL(109,$L$125:$L$130),2)</f>
        <v>0</v>
      </c>
      <c r="M131" s="151">
        <f t="shared" si="197"/>
        <v>0</v>
      </c>
      <c r="P131" s="147" t="s">
        <v>410</v>
      </c>
      <c r="Q131" s="148" t="s">
        <v>378</v>
      </c>
      <c r="R131" s="149">
        <f>ROUND(SUBTOTAL(109,$R$125:$R$130),2)</f>
        <v>0</v>
      </c>
      <c r="S131" s="150">
        <f>ROUND(SUBTOTAL(109,$S$125:$S$130),2)</f>
        <v>0</v>
      </c>
      <c r="T131" s="151">
        <f t="shared" si="198"/>
        <v>0</v>
      </c>
      <c r="W131" s="147" t="s">
        <v>410</v>
      </c>
      <c r="X131" s="148" t="s">
        <v>378</v>
      </c>
      <c r="Y131" s="149">
        <f>ROUND(SUBTOTAL(109,$Y$125:$Y$130),2)</f>
        <v>0</v>
      </c>
      <c r="Z131" s="150">
        <f>ROUND(SUBTOTAL(109,$Z$125:$Z$130),2)</f>
        <v>0</v>
      </c>
      <c r="AA131" s="151">
        <f t="shared" si="199"/>
        <v>0</v>
      </c>
      <c r="AD131" s="147" t="s">
        <v>410</v>
      </c>
      <c r="AE131" s="148" t="s">
        <v>378</v>
      </c>
      <c r="AF131" s="149">
        <f>ROUND(SUBTOTAL(109,$AF$125:$AF$130),2)</f>
        <v>0</v>
      </c>
      <c r="AG131" s="150">
        <f>ROUND(SUBTOTAL(109,$AG$125:$AG$130),2)</f>
        <v>0</v>
      </c>
      <c r="AH131" s="151">
        <f t="shared" si="200"/>
        <v>0</v>
      </c>
      <c r="AK131" s="147" t="s">
        <v>410</v>
      </c>
      <c r="AL131" s="148" t="s">
        <v>378</v>
      </c>
      <c r="AM131" s="149">
        <f>ROUND(SUBTOTAL(109,$AM$125:$AM$130),2)</f>
        <v>0</v>
      </c>
      <c r="AN131" s="150">
        <f>ROUND(SUBTOTAL(109,$AN$125:$AN$130),2)</f>
        <v>0</v>
      </c>
      <c r="AO131" s="151">
        <f t="shared" si="201"/>
        <v>0</v>
      </c>
      <c r="AR131" s="147" t="s">
        <v>410</v>
      </c>
      <c r="AS131" s="148" t="s">
        <v>378</v>
      </c>
      <c r="AT131" s="149">
        <f>ROUND(SUBTOTAL(109,$AT$125:$AT$130),2)</f>
        <v>0</v>
      </c>
      <c r="AU131" s="150">
        <f>ROUND(SUBTOTAL(109,$AU$125:$AU$130),2)</f>
        <v>0</v>
      </c>
      <c r="AV131" s="151">
        <f t="shared" si="202"/>
        <v>0</v>
      </c>
      <c r="AY131" s="147" t="s">
        <v>410</v>
      </c>
      <c r="AZ131" s="148" t="s">
        <v>378</v>
      </c>
      <c r="BA131" s="149">
        <f>ROUND(SUBTOTAL(109,$BA$125:$BA$130),2)</f>
        <v>0</v>
      </c>
      <c r="BB131" s="150">
        <f>ROUND(SUBTOTAL(109,$BB$125:$BB$130),2)</f>
        <v>0</v>
      </c>
      <c r="BC131" s="151">
        <f t="shared" si="203"/>
        <v>0</v>
      </c>
      <c r="BF131" s="147" t="s">
        <v>410</v>
      </c>
      <c r="BG131" s="148" t="s">
        <v>378</v>
      </c>
      <c r="BH131" s="149">
        <f>ROUND(SUBTOTAL(109,$BH$125:$BH$130),2)</f>
        <v>0</v>
      </c>
      <c r="BI131" s="150">
        <f>ROUND(SUBTOTAL(109,$BI$125:$BI$130),2)</f>
        <v>0</v>
      </c>
      <c r="BJ131" s="151">
        <f t="shared" si="204"/>
        <v>0</v>
      </c>
      <c r="BM131" s="147" t="s">
        <v>410</v>
      </c>
      <c r="BN131" s="148" t="s">
        <v>378</v>
      </c>
      <c r="BO131" s="149">
        <f>ROUND(SUBTOTAL(109,$BO$125:$BO$130),2)</f>
        <v>0</v>
      </c>
      <c r="BP131" s="150">
        <f>ROUND(SUBTOTAL(109,$BP$125:$BP$130),2)</f>
        <v>0</v>
      </c>
      <c r="BQ131" s="151">
        <f t="shared" si="205"/>
        <v>0</v>
      </c>
      <c r="BT131" s="147" t="s">
        <v>410</v>
      </c>
      <c r="BU131" s="148" t="s">
        <v>378</v>
      </c>
      <c r="BV131" s="149">
        <f>ROUND(SUBTOTAL(109,$BV$125:$BV$130),2)</f>
        <v>0</v>
      </c>
      <c r="BW131" s="150">
        <f>ROUND(SUBTOTAL(109,$BW$125:$BW$130),2)</f>
        <v>0</v>
      </c>
      <c r="BX131" s="151">
        <f t="shared" si="206"/>
        <v>0</v>
      </c>
      <c r="CA131" s="147" t="s">
        <v>410</v>
      </c>
      <c r="CB131" s="148" t="s">
        <v>378</v>
      </c>
      <c r="CC131" s="149">
        <f>ROUND(SUBTOTAL(109,$CC$125:$CC$130),2)</f>
        <v>0</v>
      </c>
      <c r="CD131" s="150">
        <f>ROUND(SUBTOTAL(109,$CD$125:$CD$130),2)</f>
        <v>0</v>
      </c>
      <c r="CE131" s="151">
        <f t="shared" si="207"/>
        <v>0</v>
      </c>
      <c r="CH131" s="147" t="s">
        <v>410</v>
      </c>
      <c r="CI131" s="148" t="s">
        <v>378</v>
      </c>
      <c r="CJ131" s="149">
        <f>ROUND(SUBTOTAL(109,$CJ$125:$CJ$130),2)</f>
        <v>0</v>
      </c>
      <c r="CK131" s="150">
        <f>ROUND(SUBTOTAL(109,$CK$125:$CK$130),2)</f>
        <v>0</v>
      </c>
      <c r="CL131" s="151">
        <f t="shared" si="208"/>
        <v>0</v>
      </c>
      <c r="CO131" s="147" t="s">
        <v>410</v>
      </c>
      <c r="CP131" s="148" t="s">
        <v>378</v>
      </c>
      <c r="CQ131" s="149">
        <f>ROUND(SUBTOTAL(109,$CQ$125:$CQ$130),2)</f>
        <v>0</v>
      </c>
      <c r="CR131" s="150">
        <f>ROUND(SUBTOTAL(109,$CR$125:$CR$130),2)</f>
        <v>0</v>
      </c>
      <c r="CS131" s="151">
        <f t="shared" si="209"/>
        <v>0</v>
      </c>
      <c r="CV131" s="147" t="s">
        <v>410</v>
      </c>
      <c r="CW131" s="148" t="s">
        <v>378</v>
      </c>
      <c r="CX131" s="149">
        <f>ROUND(SUBTOTAL(109,$CX$125:$CX$130),2)</f>
        <v>0</v>
      </c>
      <c r="CY131" s="150">
        <f>ROUND(SUBTOTAL(109,$CY$125:$CY$130),2)</f>
        <v>0</v>
      </c>
      <c r="CZ131" s="151">
        <f t="shared" si="210"/>
        <v>0</v>
      </c>
      <c r="DC131" s="147" t="s">
        <v>410</v>
      </c>
      <c r="DD131" s="148" t="s">
        <v>378</v>
      </c>
      <c r="DE131" s="149">
        <f>ROUND(SUBTOTAL(109,$DE$125:$DE$130),2)</f>
        <v>0</v>
      </c>
      <c r="DF131" s="150">
        <f>ROUND(SUBTOTAL(109,$DF$125:$DF$130),2)</f>
        <v>0</v>
      </c>
      <c r="DG131" s="151">
        <f t="shared" si="211"/>
        <v>0</v>
      </c>
      <c r="DJ131" s="147" t="s">
        <v>410</v>
      </c>
      <c r="DK131" s="148" t="s">
        <v>378</v>
      </c>
      <c r="DL131" s="149">
        <f>ROUND(SUBTOTAL(109,$DL$125:$DL$130),2)</f>
        <v>0</v>
      </c>
      <c r="DM131" s="150">
        <f>ROUND(SUBTOTAL(109,$DM$125:$DM$130),2)</f>
        <v>0</v>
      </c>
      <c r="DN131" s="151">
        <f t="shared" si="212"/>
        <v>0</v>
      </c>
      <c r="DQ131" s="147" t="s">
        <v>410</v>
      </c>
      <c r="DR131" s="148" t="s">
        <v>378</v>
      </c>
      <c r="DS131" s="149">
        <f>ROUND(SUBTOTAL(109,$DS$125:$DS$130),2)</f>
        <v>0</v>
      </c>
      <c r="DT131" s="150">
        <f>ROUND(SUBTOTAL(109,$DT$125:$DT$130),2)</f>
        <v>0</v>
      </c>
      <c r="DU131" s="151">
        <f t="shared" si="213"/>
        <v>0</v>
      </c>
    </row>
  </sheetData>
  <sheetProtection algorithmName="SHA-512" hashValue="vYGS9ri6ksHlA32xbvWGhZg/8+pbfkEh8tIBbXfwjg5T5u13Mhqm2octwDFb2BZsukWeev7c3xvaa0lbGR97gQ==" saltValue="a213ZmJfcnB0X3YxXyEhAA==" spinCount="100000" sheet="1" selectLockedCells="0" selectUnlockedCells="0" formatCells="1" formatColumns="1" formatRows="1" insertColumns="1" insertRows="1" insertHyperlinks="1" deleteColumns="1" deleteRows="1" sort="1" autoFilter="0" pivotTables="1" objects="1" scenarios="1"/>
  <mergeCells count="288">
    <mergeCell ref="B4:B4"/>
    <mergeCell ref="C4:D4"/>
    <mergeCell ref="B5:B5"/>
    <mergeCell ref="C5:D5"/>
    <mergeCell ref="B6:B6"/>
    <mergeCell ref="C6:D6"/>
    <mergeCell ref="B7:B7"/>
    <mergeCell ref="C7:D7"/>
    <mergeCell ref="B8:B8"/>
    <mergeCell ref="C8:D8"/>
    <mergeCell ref="B9:F9"/>
    <mergeCell ref="B17:F17"/>
    <mergeCell ref="B104:B104"/>
    <mergeCell ref="B106:B106"/>
    <mergeCell ref="B114:B114"/>
    <mergeCell ref="B123:B123"/>
    <mergeCell ref="I4:I4"/>
    <mergeCell ref="J4:K4"/>
    <mergeCell ref="I5:I5"/>
    <mergeCell ref="J5:K5"/>
    <mergeCell ref="I6:I6"/>
    <mergeCell ref="J6:K6"/>
    <mergeCell ref="I7:I7"/>
    <mergeCell ref="J7:K7"/>
    <mergeCell ref="I8:I8"/>
    <mergeCell ref="J8:K8"/>
    <mergeCell ref="I9:M9"/>
    <mergeCell ref="I17:M17"/>
    <mergeCell ref="I104:I104"/>
    <mergeCell ref="I106:I106"/>
    <mergeCell ref="I114:I114"/>
    <mergeCell ref="I123:I123"/>
    <mergeCell ref="P4:P4"/>
    <mergeCell ref="Q4:R4"/>
    <mergeCell ref="P5:P5"/>
    <mergeCell ref="Q5:R5"/>
    <mergeCell ref="P6:P6"/>
    <mergeCell ref="Q6:R6"/>
    <mergeCell ref="P7:P7"/>
    <mergeCell ref="Q7:R7"/>
    <mergeCell ref="P8:P8"/>
    <mergeCell ref="Q8:R8"/>
    <mergeCell ref="P9:T9"/>
    <mergeCell ref="P17:T17"/>
    <mergeCell ref="P104:P104"/>
    <mergeCell ref="P106:P106"/>
    <mergeCell ref="P114:P114"/>
    <mergeCell ref="P123:P123"/>
    <mergeCell ref="W4:W4"/>
    <mergeCell ref="X4:Y4"/>
    <mergeCell ref="W5:W5"/>
    <mergeCell ref="X5:Y5"/>
    <mergeCell ref="W6:W6"/>
    <mergeCell ref="X6:Y6"/>
    <mergeCell ref="W7:W7"/>
    <mergeCell ref="X7:Y7"/>
    <mergeCell ref="W8:W8"/>
    <mergeCell ref="X8:Y8"/>
    <mergeCell ref="W9:AA9"/>
    <mergeCell ref="W17:AA17"/>
    <mergeCell ref="W104:W104"/>
    <mergeCell ref="W106:W106"/>
    <mergeCell ref="W114:W114"/>
    <mergeCell ref="W123:W123"/>
    <mergeCell ref="AD4:AD4"/>
    <mergeCell ref="AE4:AF4"/>
    <mergeCell ref="AD5:AD5"/>
    <mergeCell ref="AE5:AF5"/>
    <mergeCell ref="AD6:AD6"/>
    <mergeCell ref="AE6:AF6"/>
    <mergeCell ref="AD7:AD7"/>
    <mergeCell ref="AE7:AF7"/>
    <mergeCell ref="AD8:AD8"/>
    <mergeCell ref="AE8:AF8"/>
    <mergeCell ref="AD9:AH9"/>
    <mergeCell ref="AD17:AH17"/>
    <mergeCell ref="AD104:AD104"/>
    <mergeCell ref="AD106:AD106"/>
    <mergeCell ref="AD114:AD114"/>
    <mergeCell ref="AD123:AD123"/>
    <mergeCell ref="AK4:AK4"/>
    <mergeCell ref="AL4:AM4"/>
    <mergeCell ref="AK5:AK5"/>
    <mergeCell ref="AL5:AM5"/>
    <mergeCell ref="AK6:AK6"/>
    <mergeCell ref="AL6:AM6"/>
    <mergeCell ref="AK7:AK7"/>
    <mergeCell ref="AL7:AM7"/>
    <mergeCell ref="AK8:AK8"/>
    <mergeCell ref="AL8:AM8"/>
    <mergeCell ref="AK9:AO9"/>
    <mergeCell ref="AK17:AO17"/>
    <mergeCell ref="AK104:AK104"/>
    <mergeCell ref="AK106:AK106"/>
    <mergeCell ref="AK114:AK114"/>
    <mergeCell ref="AK123:AK123"/>
    <mergeCell ref="AR4:AR4"/>
    <mergeCell ref="AS4:AT4"/>
    <mergeCell ref="AR5:AR5"/>
    <mergeCell ref="AS5:AT5"/>
    <mergeCell ref="AR6:AR6"/>
    <mergeCell ref="AS6:AT6"/>
    <mergeCell ref="AR7:AR7"/>
    <mergeCell ref="AS7:AT7"/>
    <mergeCell ref="AR8:AR8"/>
    <mergeCell ref="AS8:AT8"/>
    <mergeCell ref="AR9:AV9"/>
    <mergeCell ref="AR17:AV17"/>
    <mergeCell ref="AR104:AR104"/>
    <mergeCell ref="AR106:AR106"/>
    <mergeCell ref="AR114:AR114"/>
    <mergeCell ref="AR123:AR123"/>
    <mergeCell ref="AY4:AY4"/>
    <mergeCell ref="AZ4:BA4"/>
    <mergeCell ref="AY5:AY5"/>
    <mergeCell ref="AZ5:BA5"/>
    <mergeCell ref="AY6:AY6"/>
    <mergeCell ref="AZ6:BA6"/>
    <mergeCell ref="AY7:AY7"/>
    <mergeCell ref="AZ7:BA7"/>
    <mergeCell ref="AY8:AY8"/>
    <mergeCell ref="AZ8:BA8"/>
    <mergeCell ref="AY9:BC9"/>
    <mergeCell ref="AY17:BC17"/>
    <mergeCell ref="AY104:AY104"/>
    <mergeCell ref="AY106:AY106"/>
    <mergeCell ref="AY114:AY114"/>
    <mergeCell ref="AY123:AY123"/>
    <mergeCell ref="BF4:BF4"/>
    <mergeCell ref="BG4:BH4"/>
    <mergeCell ref="BF5:BF5"/>
    <mergeCell ref="BG5:BH5"/>
    <mergeCell ref="BF6:BF6"/>
    <mergeCell ref="BG6:BH6"/>
    <mergeCell ref="BF7:BF7"/>
    <mergeCell ref="BG7:BH7"/>
    <mergeCell ref="BF8:BF8"/>
    <mergeCell ref="BG8:BH8"/>
    <mergeCell ref="BF9:BJ9"/>
    <mergeCell ref="BF17:BJ17"/>
    <mergeCell ref="BF104:BF104"/>
    <mergeCell ref="BF106:BF106"/>
    <mergeCell ref="BF114:BF114"/>
    <mergeCell ref="BF123:BF123"/>
    <mergeCell ref="BM4:BM4"/>
    <mergeCell ref="BN4:BO4"/>
    <mergeCell ref="BM5:BM5"/>
    <mergeCell ref="BN5:BO5"/>
    <mergeCell ref="BM6:BM6"/>
    <mergeCell ref="BN6:BO6"/>
    <mergeCell ref="BM7:BM7"/>
    <mergeCell ref="BN7:BO7"/>
    <mergeCell ref="BM8:BM8"/>
    <mergeCell ref="BN8:BO8"/>
    <mergeCell ref="BM9:BQ9"/>
    <mergeCell ref="BM17:BQ17"/>
    <mergeCell ref="BM104:BM104"/>
    <mergeCell ref="BM106:BM106"/>
    <mergeCell ref="BM114:BM114"/>
    <mergeCell ref="BM123:BM123"/>
    <mergeCell ref="BT4:BT4"/>
    <mergeCell ref="BU4:BV4"/>
    <mergeCell ref="BT5:BT5"/>
    <mergeCell ref="BU5:BV5"/>
    <mergeCell ref="BT6:BT6"/>
    <mergeCell ref="BU6:BV6"/>
    <mergeCell ref="BT7:BT7"/>
    <mergeCell ref="BU7:BV7"/>
    <mergeCell ref="BT8:BT8"/>
    <mergeCell ref="BU8:BV8"/>
    <mergeCell ref="BT9:BX9"/>
    <mergeCell ref="BT17:BX17"/>
    <mergeCell ref="BT104:BT104"/>
    <mergeCell ref="BT106:BT106"/>
    <mergeCell ref="BT114:BT114"/>
    <mergeCell ref="BT123:BT123"/>
    <mergeCell ref="CA4:CA4"/>
    <mergeCell ref="CB4:CC4"/>
    <mergeCell ref="CA5:CA5"/>
    <mergeCell ref="CB5:CC5"/>
    <mergeCell ref="CA6:CA6"/>
    <mergeCell ref="CB6:CC6"/>
    <mergeCell ref="CA7:CA7"/>
    <mergeCell ref="CB7:CC7"/>
    <mergeCell ref="CA8:CA8"/>
    <mergeCell ref="CB8:CC8"/>
    <mergeCell ref="CA9:CE9"/>
    <mergeCell ref="CA17:CE17"/>
    <mergeCell ref="CA104:CA104"/>
    <mergeCell ref="CA106:CA106"/>
    <mergeCell ref="CA114:CA114"/>
    <mergeCell ref="CA123:CA123"/>
    <mergeCell ref="CH4:CH4"/>
    <mergeCell ref="CI4:CJ4"/>
    <mergeCell ref="CH5:CH5"/>
    <mergeCell ref="CI5:CJ5"/>
    <mergeCell ref="CH6:CH6"/>
    <mergeCell ref="CI6:CJ6"/>
    <mergeCell ref="CH7:CH7"/>
    <mergeCell ref="CI7:CJ7"/>
    <mergeCell ref="CH8:CH8"/>
    <mergeCell ref="CI8:CJ8"/>
    <mergeCell ref="CH9:CL9"/>
    <mergeCell ref="CH17:CL17"/>
    <mergeCell ref="CH104:CH104"/>
    <mergeCell ref="CH106:CH106"/>
    <mergeCell ref="CH114:CH114"/>
    <mergeCell ref="CH123:CH123"/>
    <mergeCell ref="CO4:CO4"/>
    <mergeCell ref="CP4:CQ4"/>
    <mergeCell ref="CO5:CO5"/>
    <mergeCell ref="CP5:CQ5"/>
    <mergeCell ref="CO6:CO6"/>
    <mergeCell ref="CP6:CQ6"/>
    <mergeCell ref="CO7:CO7"/>
    <mergeCell ref="CP7:CQ7"/>
    <mergeCell ref="CO8:CO8"/>
    <mergeCell ref="CP8:CQ8"/>
    <mergeCell ref="CO9:CS9"/>
    <mergeCell ref="CO17:CS17"/>
    <mergeCell ref="CO104:CO104"/>
    <mergeCell ref="CO106:CO106"/>
    <mergeCell ref="CO114:CO114"/>
    <mergeCell ref="CO123:CO123"/>
    <mergeCell ref="CV4:CV4"/>
    <mergeCell ref="CW4:CX4"/>
    <mergeCell ref="CV5:CV5"/>
    <mergeCell ref="CW5:CX5"/>
    <mergeCell ref="CV6:CV6"/>
    <mergeCell ref="CW6:CX6"/>
    <mergeCell ref="CV7:CV7"/>
    <mergeCell ref="CW7:CX7"/>
    <mergeCell ref="CV8:CV8"/>
    <mergeCell ref="CW8:CX8"/>
    <mergeCell ref="CV9:CZ9"/>
    <mergeCell ref="CV17:CZ17"/>
    <mergeCell ref="CV104:CV104"/>
    <mergeCell ref="CV106:CV106"/>
    <mergeCell ref="CV114:CV114"/>
    <mergeCell ref="CV123:CV123"/>
    <mergeCell ref="DC4:DC4"/>
    <mergeCell ref="DD4:DE4"/>
    <mergeCell ref="DC5:DC5"/>
    <mergeCell ref="DD5:DE5"/>
    <mergeCell ref="DC6:DC6"/>
    <mergeCell ref="DD6:DE6"/>
    <mergeCell ref="DC7:DC7"/>
    <mergeCell ref="DD7:DE7"/>
    <mergeCell ref="DC8:DC8"/>
    <mergeCell ref="DD8:DE8"/>
    <mergeCell ref="DC9:DG9"/>
    <mergeCell ref="DC17:DG17"/>
    <mergeCell ref="DC104:DC104"/>
    <mergeCell ref="DC106:DC106"/>
    <mergeCell ref="DC114:DC114"/>
    <mergeCell ref="DC123:DC123"/>
    <mergeCell ref="DJ4:DJ4"/>
    <mergeCell ref="DK4:DL4"/>
    <mergeCell ref="DJ5:DJ5"/>
    <mergeCell ref="DK5:DL5"/>
    <mergeCell ref="DJ6:DJ6"/>
    <mergeCell ref="DK6:DL6"/>
    <mergeCell ref="DJ7:DJ7"/>
    <mergeCell ref="DK7:DL7"/>
    <mergeCell ref="DJ8:DJ8"/>
    <mergeCell ref="DK8:DL8"/>
    <mergeCell ref="DJ9:DN9"/>
    <mergeCell ref="DJ17:DN17"/>
    <mergeCell ref="DJ104:DJ104"/>
    <mergeCell ref="DJ106:DJ106"/>
    <mergeCell ref="DJ114:DJ114"/>
    <mergeCell ref="DJ123:DJ123"/>
    <mergeCell ref="DQ4:DQ4"/>
    <mergeCell ref="DR4:DS4"/>
    <mergeCell ref="DQ5:DQ5"/>
    <mergeCell ref="DR5:DS5"/>
    <mergeCell ref="DQ6:DQ6"/>
    <mergeCell ref="DR6:DS6"/>
    <mergeCell ref="DQ7:DQ7"/>
    <mergeCell ref="DR7:DS7"/>
    <mergeCell ref="DQ8:DQ8"/>
    <mergeCell ref="DR8:DS8"/>
    <mergeCell ref="DQ9:DU9"/>
    <mergeCell ref="DQ17:DU17"/>
    <mergeCell ref="DQ104:DQ104"/>
    <mergeCell ref="DQ106:DQ106"/>
    <mergeCell ref="DQ114:DQ114"/>
    <mergeCell ref="DQ123:DQ12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5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</tableParts>
  <extLst>
    <ext xmlns:x14="http://schemas.microsoft.com/office/spreadsheetml/2009/9/main" uri="{CCE6A557-97BC-4b89-ADB6-D9C93CAAB3DF}">
      <x14:dataValidations xmlns:xm="http://schemas.microsoft.com/office/excel/2006/main" count="72" disablePrompts="0">
        <x14:dataValidation xr:uid="{00270079-00F0-40C9-8782-00F100FE0068}" type="list" allowBlank="1" errorStyle="stop" imeMode="noControl" operator="between" showDropDown="0" showErrorMessage="0" showInputMessage="0">
          <x14:formula1>
            <xm:f>"Saldo des Vorprojekts,Eigenmittel,Drittmittel,KMW-Mittel,Zinsertraege"</xm:f>
          </x14:formula1>
          <xm:sqref>B116:B120</xm:sqref>
        </x14:dataValidation>
        <x14:dataValidation xr:uid="{00840017-0068-4243-AAA5-001700C40072}" type="list" allowBlank="1" errorStyle="stop" imeMode="noControl" operator="between" showDropDown="0" showErrorMessage="0" showInputMessage="0">
          <x14:formula1>
            <xm:f>=Geber_Liste</xm:f>
          </x14:formula1>
          <xm:sqref>C116:C120</xm:sqref>
        </x14:dataValidation>
        <x14:dataValidation xr:uid="{007A0091-003F-454F-8D12-00FA00780047}" type="list" allowBlank="1" errorStyle="stop" imeMode="noControl" operator="between" showDropDown="0" showErrorMessage="0" showInputMessage="0">
          <x14:formula1>
            <xm:f>"Saldo des Vorprojekts,Eigenmittel,Drittmittel,KMW-Mittel,Zinsertraege"</xm:f>
          </x14:formula1>
          <xm:sqref>B125:B130</xm:sqref>
        </x14:dataValidation>
        <x14:dataValidation xr:uid="{00FC005D-00E9-4394-BF61-00DF00A10052}" type="list" allowBlank="1" errorStyle="stop" imeMode="noControl" operator="between" showDropDown="0" showErrorMessage="0" showInputMessage="0">
          <x14:formula1>
            <xm:f>=Geber_Liste</xm:f>
          </x14:formula1>
          <xm:sqref>C125:C130</xm:sqref>
        </x14:dataValidation>
        <x14:dataValidation xr:uid="{00B100D8-002F-433F-A7FD-00B6004F00E8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I116:I120</xm:sqref>
        </x14:dataValidation>
        <x14:dataValidation xr:uid="{00A000BB-00B5-4158-AEE2-009E00F000F3}" type="list" allowBlank="1" errorStyle="stop" imeMode="noControl" operator="between" showDropDown="0" showErrorMessage="0" showInputMessage="0">
          <x14:formula1>
            <xm:f>=Geber_Liste</xm:f>
          </x14:formula1>
          <xm:sqref>J116:J120</xm:sqref>
        </x14:dataValidation>
        <x14:dataValidation xr:uid="{004600F7-0005-4DF4-A1B6-007400B5002D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I125:I130</xm:sqref>
        </x14:dataValidation>
        <x14:dataValidation xr:uid="{00A80038-0077-4DC0-832D-001900D700A7}" type="list" allowBlank="1" errorStyle="stop" imeMode="noControl" operator="between" showDropDown="0" showErrorMessage="0" showInputMessage="0">
          <x14:formula1>
            <xm:f>=Geber_Liste</xm:f>
          </x14:formula1>
          <xm:sqref>J125:J130</xm:sqref>
        </x14:dataValidation>
        <x14:dataValidation xr:uid="{001000B6-0032-471D-9E68-005900EE00C6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P116:P120</xm:sqref>
        </x14:dataValidation>
        <x14:dataValidation xr:uid="{0037001A-0002-4A09-9858-004700540022}" type="list" allowBlank="1" errorStyle="stop" imeMode="noControl" operator="between" showDropDown="0" showErrorMessage="0" showInputMessage="0">
          <x14:formula1>
            <xm:f>=Geber_Liste</xm:f>
          </x14:formula1>
          <xm:sqref>Q116:Q120</xm:sqref>
        </x14:dataValidation>
        <x14:dataValidation xr:uid="{003B00F2-00AB-4194-8AFC-00B4008F00B7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P125:P130</xm:sqref>
        </x14:dataValidation>
        <x14:dataValidation xr:uid="{004900EB-00AF-4B83-B3B9-0077000C0082}" type="list" allowBlank="1" errorStyle="stop" imeMode="noControl" operator="between" showDropDown="0" showErrorMessage="0" showInputMessage="0">
          <x14:formula1>
            <xm:f>=Geber_Liste</xm:f>
          </x14:formula1>
          <xm:sqref>Q125:Q130</xm:sqref>
        </x14:dataValidation>
        <x14:dataValidation xr:uid="{009900CA-0004-4577-B4DA-004E0045009D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W116:W120</xm:sqref>
        </x14:dataValidation>
        <x14:dataValidation xr:uid="{00CC0099-002E-4114-9A40-001300120059}" type="list" allowBlank="1" errorStyle="stop" imeMode="noControl" operator="between" showDropDown="0" showErrorMessage="0" showInputMessage="0">
          <x14:formula1>
            <xm:f>=Geber_Liste</xm:f>
          </x14:formula1>
          <xm:sqref>X116:X120</xm:sqref>
        </x14:dataValidation>
        <x14:dataValidation xr:uid="{007B008D-006A-4CF9-BBE3-0078004D00BD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W125:W130</xm:sqref>
        </x14:dataValidation>
        <x14:dataValidation xr:uid="{00500042-00AA-44B3-B3FC-00BE00040076}" type="list" allowBlank="1" errorStyle="stop" imeMode="noControl" operator="between" showDropDown="0" showErrorMessage="0" showInputMessage="0">
          <x14:formula1>
            <xm:f>=Geber_Liste</xm:f>
          </x14:formula1>
          <xm:sqref>X125:X130</xm:sqref>
        </x14:dataValidation>
        <x14:dataValidation xr:uid="{00EE00FF-00D4-4F95-99F1-000A009000EF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AD116:AD120</xm:sqref>
        </x14:dataValidation>
        <x14:dataValidation xr:uid="{00FD00C7-00EA-4640-A60B-0050001200E6}" type="list" allowBlank="1" errorStyle="stop" imeMode="noControl" operator="between" showDropDown="0" showErrorMessage="0" showInputMessage="0">
          <x14:formula1>
            <xm:f>=Geber_Liste</xm:f>
          </x14:formula1>
          <xm:sqref>AE116:AE120</xm:sqref>
        </x14:dataValidation>
        <x14:dataValidation xr:uid="{002000AC-00DC-40A9-B999-004F003F0037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AD125:AD130</xm:sqref>
        </x14:dataValidation>
        <x14:dataValidation xr:uid="{000300E3-005C-4414-B523-0019006A00E0}" type="list" allowBlank="1" errorStyle="stop" imeMode="noControl" operator="between" showDropDown="0" showErrorMessage="0" showInputMessage="0">
          <x14:formula1>
            <xm:f>=Geber_Liste</xm:f>
          </x14:formula1>
          <xm:sqref>AE125:AE130</xm:sqref>
        </x14:dataValidation>
        <x14:dataValidation xr:uid="{00A8006F-0068-4CC1-B29C-006900ED00EC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AK116:AK120</xm:sqref>
        </x14:dataValidation>
        <x14:dataValidation xr:uid="{00E100B9-006A-4AAA-8737-00A300C0007B}" type="list" allowBlank="1" errorStyle="stop" imeMode="noControl" operator="between" showDropDown="0" showErrorMessage="0" showInputMessage="0">
          <x14:formula1>
            <xm:f>=Geber_Liste</xm:f>
          </x14:formula1>
          <xm:sqref>AL116:AL120</xm:sqref>
        </x14:dataValidation>
        <x14:dataValidation xr:uid="{00C40072-00BE-43E4-A142-0012000800A9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AK125:AK130</xm:sqref>
        </x14:dataValidation>
        <x14:dataValidation xr:uid="{00D40040-003A-4AE8-B2BD-0057008C0028}" type="list" allowBlank="1" errorStyle="stop" imeMode="noControl" operator="between" showDropDown="0" showErrorMessage="0" showInputMessage="0">
          <x14:formula1>
            <xm:f>=Geber_Liste</xm:f>
          </x14:formula1>
          <xm:sqref>AL125:AL130</xm:sqref>
        </x14:dataValidation>
        <x14:dataValidation xr:uid="{008D0090-00C5-4B12-849D-005600AA0027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AR116:AR120</xm:sqref>
        </x14:dataValidation>
        <x14:dataValidation xr:uid="{00460011-0002-469D-8E87-004900330085}" type="list" allowBlank="1" errorStyle="stop" imeMode="noControl" operator="between" showDropDown="0" showErrorMessage="0" showInputMessage="0">
          <x14:formula1>
            <xm:f>=Geber_Liste</xm:f>
          </x14:formula1>
          <xm:sqref>AS116:AS120</xm:sqref>
        </x14:dataValidation>
        <x14:dataValidation xr:uid="{000900B2-000B-40E1-91A8-00990023000A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AR125:AR130</xm:sqref>
        </x14:dataValidation>
        <x14:dataValidation xr:uid="{006A0054-0087-4F43-BFEE-004600090097}" type="list" allowBlank="1" errorStyle="stop" imeMode="noControl" operator="between" showDropDown="0" showErrorMessage="0" showInputMessage="0">
          <x14:formula1>
            <xm:f>=Geber_Liste</xm:f>
          </x14:formula1>
          <xm:sqref>AS125:AS130</xm:sqref>
        </x14:dataValidation>
        <x14:dataValidation xr:uid="{00F500D1-00E3-426F-9576-005200AA0031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AY116:AY120</xm:sqref>
        </x14:dataValidation>
        <x14:dataValidation xr:uid="{002600FA-0035-481C-95BF-0024001A0016}" type="list" allowBlank="1" errorStyle="stop" imeMode="noControl" operator="between" showDropDown="0" showErrorMessage="0" showInputMessage="0">
          <x14:formula1>
            <xm:f>=Geber_Liste</xm:f>
          </x14:formula1>
          <xm:sqref>AZ116:AZ120</xm:sqref>
        </x14:dataValidation>
        <x14:dataValidation xr:uid="{00360043-00C6-479F-8DA5-001400930058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AY125:AY130</xm:sqref>
        </x14:dataValidation>
        <x14:dataValidation xr:uid="{0041007C-000A-4710-90C8-00B6008900CF}" type="list" allowBlank="1" errorStyle="stop" imeMode="noControl" operator="between" showDropDown="0" showErrorMessage="0" showInputMessage="0">
          <x14:formula1>
            <xm:f>=Geber_Liste</xm:f>
          </x14:formula1>
          <xm:sqref>AZ125:AZ130</xm:sqref>
        </x14:dataValidation>
        <x14:dataValidation xr:uid="{00C80018-0056-4AB1-8DA5-008500CE00B4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BF116:BF120</xm:sqref>
        </x14:dataValidation>
        <x14:dataValidation xr:uid="{00CB00B2-0076-4F72-AF61-007C003D0070}" type="list" allowBlank="1" errorStyle="stop" imeMode="noControl" operator="between" showDropDown="0" showErrorMessage="0" showInputMessage="0">
          <x14:formula1>
            <xm:f>=Geber_Liste</xm:f>
          </x14:formula1>
          <xm:sqref>BG116:BG120</xm:sqref>
        </x14:dataValidation>
        <x14:dataValidation xr:uid="{005B00DF-0047-4D8C-ADB3-000400C6000A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BF125:BF130</xm:sqref>
        </x14:dataValidation>
        <x14:dataValidation xr:uid="{00530023-00E9-4D9F-8957-006D009500D1}" type="list" allowBlank="1" errorStyle="stop" imeMode="noControl" operator="between" showDropDown="0" showErrorMessage="0" showInputMessage="0">
          <x14:formula1>
            <xm:f>=Geber_Liste</xm:f>
          </x14:formula1>
          <xm:sqref>BG125:BG130</xm:sqref>
        </x14:dataValidation>
        <x14:dataValidation xr:uid="{006E0031-008F-40FE-ADED-007700A800B7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BM116:BM120</xm:sqref>
        </x14:dataValidation>
        <x14:dataValidation xr:uid="{002D000A-00AC-4123-B773-00FA00AD00CC}" type="list" allowBlank="1" errorStyle="stop" imeMode="noControl" operator="between" showDropDown="0" showErrorMessage="0" showInputMessage="0">
          <x14:formula1>
            <xm:f>=Geber_Liste</xm:f>
          </x14:formula1>
          <xm:sqref>BN116:BN120</xm:sqref>
        </x14:dataValidation>
        <x14:dataValidation xr:uid="{00270059-00B6-4056-BA6D-00D6000E0072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BM125:BM130</xm:sqref>
        </x14:dataValidation>
        <x14:dataValidation xr:uid="{0066003E-002B-42AF-99EF-000800C6004B}" type="list" allowBlank="1" errorStyle="stop" imeMode="noControl" operator="between" showDropDown="0" showErrorMessage="0" showInputMessage="0">
          <x14:formula1>
            <xm:f>=Geber_Liste</xm:f>
          </x14:formula1>
          <xm:sqref>BN125:BN130</xm:sqref>
        </x14:dataValidation>
        <x14:dataValidation xr:uid="{0011003F-0000-4045-981E-00CF00B500D3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BT116:BT120</xm:sqref>
        </x14:dataValidation>
        <x14:dataValidation xr:uid="{005700FE-005A-47E5-A2F4-0050003900AD}" type="list" allowBlank="1" errorStyle="stop" imeMode="noControl" operator="between" showDropDown="0" showErrorMessage="0" showInputMessage="0">
          <x14:formula1>
            <xm:f>=Geber_Liste</xm:f>
          </x14:formula1>
          <xm:sqref>BU116:BU120</xm:sqref>
        </x14:dataValidation>
        <x14:dataValidation xr:uid="{00D600E6-00AE-4E8B-B06B-005500D50069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BT125:BT130</xm:sqref>
        </x14:dataValidation>
        <x14:dataValidation xr:uid="{00ED008A-0000-481A-BE45-00C100EE0074}" type="list" allowBlank="1" errorStyle="stop" imeMode="noControl" operator="between" showDropDown="0" showErrorMessage="0" showInputMessage="0">
          <x14:formula1>
            <xm:f>=Geber_Liste</xm:f>
          </x14:formula1>
          <xm:sqref>BU125:BU130</xm:sqref>
        </x14:dataValidation>
        <x14:dataValidation xr:uid="{0007000C-00FE-465A-B826-00BF005900B5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CA116:CA120</xm:sqref>
        </x14:dataValidation>
        <x14:dataValidation xr:uid="{00200075-00D7-46B7-A6D0-00D8005C0038}" type="list" allowBlank="1" errorStyle="stop" imeMode="noControl" operator="between" showDropDown="0" showErrorMessage="0" showInputMessage="0">
          <x14:formula1>
            <xm:f>=Geber_Liste</xm:f>
          </x14:formula1>
          <xm:sqref>CB116:CB120</xm:sqref>
        </x14:dataValidation>
        <x14:dataValidation xr:uid="{00ED000D-00C5-4579-BD1E-00DF00CA00AC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CA125:CA130</xm:sqref>
        </x14:dataValidation>
        <x14:dataValidation xr:uid="{008400BB-009B-44CF-891F-001100CF00B3}" type="list" allowBlank="1" errorStyle="stop" imeMode="noControl" operator="between" showDropDown="0" showErrorMessage="0" showInputMessage="0">
          <x14:formula1>
            <xm:f>=Geber_Liste</xm:f>
          </x14:formula1>
          <xm:sqref>CB125:CB130</xm:sqref>
        </x14:dataValidation>
        <x14:dataValidation xr:uid="{00B00056-008B-4278-96D9-007F007A00F4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CH116:CH120</xm:sqref>
        </x14:dataValidation>
        <x14:dataValidation xr:uid="{00B100BE-0043-4D05-A360-00CE002E00E7}" type="list" allowBlank="1" errorStyle="stop" imeMode="noControl" operator="between" showDropDown="0" showErrorMessage="0" showInputMessage="0">
          <x14:formula1>
            <xm:f>=Geber_Liste</xm:f>
          </x14:formula1>
          <xm:sqref>CI116:CI120</xm:sqref>
        </x14:dataValidation>
        <x14:dataValidation xr:uid="{00160074-00F6-4962-BD40-00E8009D000D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CH125:CH130</xm:sqref>
        </x14:dataValidation>
        <x14:dataValidation xr:uid="{00140018-009E-4520-8870-00E3008500C5}" type="list" allowBlank="1" errorStyle="stop" imeMode="noControl" operator="between" showDropDown="0" showErrorMessage="0" showInputMessage="0">
          <x14:formula1>
            <xm:f>=Geber_Liste</xm:f>
          </x14:formula1>
          <xm:sqref>CI125:CI130</xm:sqref>
        </x14:dataValidation>
        <x14:dataValidation xr:uid="{000A0041-00B9-4E22-94C0-006300970018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CO116:CO120</xm:sqref>
        </x14:dataValidation>
        <x14:dataValidation xr:uid="{0060009E-0067-4552-B05A-00A8000F00E7}" type="list" allowBlank="1" errorStyle="stop" imeMode="noControl" operator="between" showDropDown="0" showErrorMessage="0" showInputMessage="0">
          <x14:formula1>
            <xm:f>=Geber_Liste</xm:f>
          </x14:formula1>
          <xm:sqref>CP116:CP120</xm:sqref>
        </x14:dataValidation>
        <x14:dataValidation xr:uid="{0042007D-005A-4B7D-8ECF-00E600870004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CO125:CO130</xm:sqref>
        </x14:dataValidation>
        <x14:dataValidation xr:uid="{00170014-00EE-4FFF-B5B2-00D6006000DF}" type="list" allowBlank="1" errorStyle="stop" imeMode="noControl" operator="between" showDropDown="0" showErrorMessage="0" showInputMessage="0">
          <x14:formula1>
            <xm:f>=Geber_Liste</xm:f>
          </x14:formula1>
          <xm:sqref>CP125:CP130</xm:sqref>
        </x14:dataValidation>
        <x14:dataValidation xr:uid="{001700B2-00EA-4730-B3B7-00A800770086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CV116:CV120</xm:sqref>
        </x14:dataValidation>
        <x14:dataValidation xr:uid="{00C600AC-00A3-43C2-AB4E-0004005B00F9}" type="list" allowBlank="1" errorStyle="stop" imeMode="noControl" operator="between" showDropDown="0" showErrorMessage="0" showInputMessage="0">
          <x14:formula1>
            <xm:f>=Geber_Liste</xm:f>
          </x14:formula1>
          <xm:sqref>CW116:CW120</xm:sqref>
        </x14:dataValidation>
        <x14:dataValidation xr:uid="{00CC00E9-00AA-44ED-A0C5-002D0092002A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CV125:CV130</xm:sqref>
        </x14:dataValidation>
        <x14:dataValidation xr:uid="{00330021-00E0-48AD-B819-00CC00BF000B}" type="list" allowBlank="1" errorStyle="stop" imeMode="noControl" operator="between" showDropDown="0" showErrorMessage="0" showInputMessage="0">
          <x14:formula1>
            <xm:f>=Geber_Liste</xm:f>
          </x14:formula1>
          <xm:sqref>CW125:CW130</xm:sqref>
        </x14:dataValidation>
        <x14:dataValidation xr:uid="{00AD009E-008E-46B4-AE59-00DC00CA0057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DC116:DC120</xm:sqref>
        </x14:dataValidation>
        <x14:dataValidation xr:uid="{00700072-00A5-4B46-B861-00F900A300E9}" type="list" allowBlank="1" errorStyle="stop" imeMode="noControl" operator="between" showDropDown="0" showErrorMessage="0" showInputMessage="0">
          <x14:formula1>
            <xm:f>=Geber_Liste</xm:f>
          </x14:formula1>
          <xm:sqref>DD116:DD120</xm:sqref>
        </x14:dataValidation>
        <x14:dataValidation xr:uid="{005500F1-0000-474A-B940-0017009F0038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DC125:DC130</xm:sqref>
        </x14:dataValidation>
        <x14:dataValidation xr:uid="{00F400A0-0080-429D-8ADD-005F00BD00BF}" type="list" allowBlank="1" errorStyle="stop" imeMode="noControl" operator="between" showDropDown="0" showErrorMessage="0" showInputMessage="0">
          <x14:formula1>
            <xm:f>=Geber_Liste</xm:f>
          </x14:formula1>
          <xm:sqref>DD125:DD130</xm:sqref>
        </x14:dataValidation>
        <x14:dataValidation xr:uid="{00F400AC-001A-4F0A-A95A-007B007C004A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DJ116:DJ120</xm:sqref>
        </x14:dataValidation>
        <x14:dataValidation xr:uid="{00830073-0011-444B-82CC-009F00A500BD}" type="list" allowBlank="1" errorStyle="stop" imeMode="noControl" operator="between" showDropDown="0" showErrorMessage="0" showInputMessage="0">
          <x14:formula1>
            <xm:f>=Geber_Liste</xm:f>
          </x14:formula1>
          <xm:sqref>DK116:DK120</xm:sqref>
        </x14:dataValidation>
        <x14:dataValidation xr:uid="{00490050-0099-4D8A-9110-00A8008A00B1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DJ125:DJ130</xm:sqref>
        </x14:dataValidation>
        <x14:dataValidation xr:uid="{007A00E9-0055-432F-97AE-00B500AF0057}" type="list" allowBlank="1" errorStyle="stop" imeMode="noControl" operator="between" showDropDown="0" showErrorMessage="0" showInputMessage="0">
          <x14:formula1>
            <xm:f>=Geber_Liste</xm:f>
          </x14:formula1>
          <xm:sqref>DK125:DK130</xm:sqref>
        </x14:dataValidation>
        <x14:dataValidation xr:uid="{003B00D0-0024-457E-BD9C-0078006400D1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DQ116:DQ120</xm:sqref>
        </x14:dataValidation>
        <x14:dataValidation xr:uid="{00320098-00B1-4B81-B182-003E006F00CA}" type="list" allowBlank="1" errorStyle="stop" imeMode="noControl" operator="between" showDropDown="0" showErrorMessage="0" showInputMessage="0">
          <x14:formula1>
            <xm:f>=Geber_Liste</xm:f>
          </x14:formula1>
          <xm:sqref>DR116:DR120</xm:sqref>
        </x14:dataValidation>
        <x14:dataValidation xr:uid="{0030000E-007D-4ED9-8250-002D0040003B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DQ125:DQ130</xm:sqref>
        </x14:dataValidation>
        <x14:dataValidation xr:uid="{00EB00D5-000E-4C19-B18F-002500C4002C}" type="list" allowBlank="1" errorStyle="stop" imeMode="noControl" operator="between" showDropDown="0" showErrorMessage="0" showInputMessage="0">
          <x14:formula1>
            <xm:f>=Geber_Liste</xm:f>
          </x14:formula1>
          <xm:sqref>DR125:DR130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defaultRowHeight="15"/>
  <cols>
    <col min="1" max="1" style="278" width="9.140625"/>
    <col min="2" max="2" style="278" customWidth="1" width="32"/>
    <col min="3" max="4" style="278" customWidth="1" width="24.710000000000001"/>
    <col min="5" max="5" style="278" width="9.140625"/>
    <col min="6" max="6" style="278" customWidth="1" hidden="1" outlineLevel="1" width="32"/>
    <col min="7" max="8" style="278" customWidth="1" hidden="1" outlineLevel="1" width="24.710000000000001"/>
    <col min="9" max="9" style="278" width="9.140625"/>
    <col min="10" max="10" style="278" customWidth="1" hidden="1" outlineLevel="1" width="32"/>
    <col min="11" max="12" style="1" customWidth="1" hidden="1" outlineLevel="1" width="24.710000000000001"/>
    <col min="13" max="13" style="1" width="9.140625"/>
    <col min="14" max="14" style="1" customWidth="1" hidden="1" outlineLevel="1" width="32"/>
    <col min="15" max="16" style="1" customWidth="1" hidden="1" outlineLevel="1" width="24.710000000000001"/>
    <col min="17" max="17" style="1" width="9.140625"/>
    <col min="18" max="18" style="1" customWidth="1" hidden="1" outlineLevel="1" width="32"/>
    <col min="19" max="20" style="1" customWidth="1" hidden="1" outlineLevel="1" width="24.710000000000001"/>
    <col min="21" max="21" style="1" width="9.140625"/>
    <col min="22" max="22" style="1" customWidth="1" hidden="1" outlineLevel="1" width="32"/>
    <col min="23" max="24" style="1" customWidth="1" hidden="1" outlineLevel="1" width="24.710000000000001"/>
    <col min="25" max="25" style="1" width="9.140625"/>
    <col min="26" max="26" style="1" customWidth="1" hidden="1" outlineLevel="1" width="32"/>
    <col min="27" max="28" style="1" customWidth="1" hidden="1" outlineLevel="1" width="24.710000000000001"/>
    <col min="29" max="29" style="1" width="9.140625"/>
    <col min="30" max="30" style="1" customWidth="1" hidden="1" outlineLevel="1" width="32"/>
    <col min="31" max="32" style="1" customWidth="1" hidden="1" outlineLevel="1" width="24.710000000000001"/>
    <col min="33" max="33" style="1" width="9.140625"/>
    <col min="34" max="34" style="1" customWidth="1" hidden="1" outlineLevel="1" width="32"/>
    <col min="35" max="36" style="1" customWidth="1" hidden="1" outlineLevel="1" width="24.710000000000001"/>
    <col min="37" max="37" style="1" width="9.140625"/>
    <col min="38" max="38" style="1" customWidth="1" hidden="1" outlineLevel="1" width="32"/>
    <col min="39" max="40" style="1" customWidth="1" hidden="1" outlineLevel="1" width="24.710000000000001"/>
    <col min="41" max="41" style="1" width="9.140625"/>
    <col min="42" max="42" style="1" customWidth="1" hidden="1" outlineLevel="1" width="32"/>
    <col min="43" max="44" style="1" customWidth="1" hidden="1" outlineLevel="1" width="24.710000000000001"/>
    <col min="45" max="45" style="1" width="9.140625"/>
    <col min="46" max="46" style="1" customWidth="1" hidden="1" outlineLevel="1" width="32"/>
    <col min="47" max="48" style="1" customWidth="1" hidden="1" outlineLevel="1" width="24.710000000000001"/>
    <col min="49" max="49" style="1" width="9.140625"/>
    <col min="50" max="50" style="1" customWidth="1" hidden="1" outlineLevel="1" width="32"/>
    <col min="51" max="52" style="1" customWidth="1" hidden="1" outlineLevel="1" width="24.710000000000001"/>
    <col min="53" max="53" style="1" width="9.140625"/>
    <col min="54" max="54" style="1" customWidth="1" hidden="1" outlineLevel="1" width="32"/>
    <col min="55" max="56" style="1" customWidth="1" hidden="1" outlineLevel="1" width="24.710000000000001"/>
    <col min="57" max="57" style="1" width="9.140625"/>
    <col min="58" max="58" style="1" customWidth="1" hidden="1" outlineLevel="1" width="32"/>
    <col min="59" max="60" style="1" customWidth="1" hidden="1" outlineLevel="1" width="24.710000000000001"/>
    <col min="61" max="61" style="1" width="9.140625"/>
    <col min="62" max="62" style="1" customWidth="1" hidden="1" outlineLevel="1" width="32"/>
    <col min="63" max="64" style="1" customWidth="1" hidden="1" outlineLevel="1" width="24.710000000000001"/>
    <col min="65" max="65" style="1" width="9.140625"/>
    <col min="66" max="66" style="1" customWidth="1" hidden="1" outlineLevel="1" width="32"/>
    <col min="67" max="68" style="1" customWidth="1" hidden="1" outlineLevel="1" width="24.710000000000001"/>
    <col min="69" max="69" style="1" width="9.140625"/>
    <col min="70" max="70" style="1" customWidth="1" hidden="1" outlineLevel="1" width="32"/>
    <col min="71" max="72" style="1" customWidth="1" hidden="1" outlineLevel="1" width="24.710000000000001"/>
    <col min="73" max="16384" style="1" width="9.140625"/>
  </cols>
  <sheetData>
    <row r="3">
      <c r="E3" s="93" t="s">
        <v>373</v>
      </c>
      <c r="I3" s="93" t="s">
        <v>373</v>
      </c>
      <c r="M3" s="93" t="s">
        <v>373</v>
      </c>
      <c r="Q3" s="93" t="s">
        <v>373</v>
      </c>
      <c r="U3" s="93" t="s">
        <v>373</v>
      </c>
      <c r="Y3" s="93" t="s">
        <v>373</v>
      </c>
      <c r="AC3" s="93" t="s">
        <v>373</v>
      </c>
      <c r="AG3" s="93" t="s">
        <v>373</v>
      </c>
      <c r="AK3" s="93" t="s">
        <v>373</v>
      </c>
      <c r="AO3" s="93" t="s">
        <v>373</v>
      </c>
      <c r="AS3" s="93" t="s">
        <v>373</v>
      </c>
      <c r="AW3" s="93" t="s">
        <v>373</v>
      </c>
      <c r="BA3" s="93" t="s">
        <v>373</v>
      </c>
      <c r="BE3" s="93" t="s">
        <v>373</v>
      </c>
      <c r="BI3" s="93" t="s">
        <v>373</v>
      </c>
      <c r="BM3" s="93" t="s">
        <v>373</v>
      </c>
      <c r="BQ3" s="93" t="s">
        <v>373</v>
      </c>
    </row>
    <row r="4">
      <c r="B4" s="136" t="s">
        <v>374</v>
      </c>
      <c r="C4" s="153" t="s">
        <v>331</v>
      </c>
      <c r="D4" s="153"/>
      <c r="F4" s="136" t="s">
        <v>374</v>
      </c>
      <c r="G4" s="153" t="s">
        <v>333</v>
      </c>
      <c r="H4" s="153"/>
      <c r="J4" s="136" t="s">
        <v>374</v>
      </c>
      <c r="K4" s="153" t="s">
        <v>334</v>
      </c>
      <c r="L4" s="153"/>
      <c r="N4" s="136" t="s">
        <v>374</v>
      </c>
      <c r="O4" s="153" t="s">
        <v>339</v>
      </c>
      <c r="P4" s="153"/>
      <c r="R4" s="136" t="s">
        <v>374</v>
      </c>
      <c r="S4" s="153" t="s">
        <v>340</v>
      </c>
      <c r="T4" s="153"/>
      <c r="V4" s="136" t="s">
        <v>374</v>
      </c>
      <c r="W4" s="153" t="s">
        <v>341</v>
      </c>
      <c r="X4" s="153"/>
      <c r="Z4" s="136" t="s">
        <v>374</v>
      </c>
      <c r="AA4" s="153" t="s">
        <v>342</v>
      </c>
      <c r="AB4" s="153"/>
      <c r="AD4" s="136" t="s">
        <v>374</v>
      </c>
      <c r="AE4" s="153" t="s">
        <v>343</v>
      </c>
      <c r="AF4" s="153"/>
      <c r="AH4" s="136" t="s">
        <v>374</v>
      </c>
      <c r="AI4" s="153" t="s">
        <v>344</v>
      </c>
      <c r="AJ4" s="153"/>
      <c r="AL4" s="136" t="s">
        <v>374</v>
      </c>
      <c r="AM4" s="153" t="s">
        <v>345</v>
      </c>
      <c r="AN4" s="153"/>
      <c r="AP4" s="136" t="s">
        <v>374</v>
      </c>
      <c r="AQ4" s="153" t="s">
        <v>346</v>
      </c>
      <c r="AR4" s="153"/>
      <c r="AT4" s="136" t="s">
        <v>374</v>
      </c>
      <c r="AU4" s="153" t="s">
        <v>347</v>
      </c>
      <c r="AV4" s="153"/>
      <c r="AX4" s="136" t="s">
        <v>374</v>
      </c>
      <c r="AY4" s="153" t="s">
        <v>348</v>
      </c>
      <c r="AZ4" s="153"/>
      <c r="BB4" s="136" t="s">
        <v>374</v>
      </c>
      <c r="BC4" s="153" t="s">
        <v>349</v>
      </c>
      <c r="BD4" s="153"/>
      <c r="BF4" s="136" t="s">
        <v>374</v>
      </c>
      <c r="BG4" s="153" t="s">
        <v>350</v>
      </c>
      <c r="BH4" s="153"/>
      <c r="BJ4" s="136" t="s">
        <v>374</v>
      </c>
      <c r="BK4" s="153" t="s">
        <v>351</v>
      </c>
      <c r="BL4" s="153"/>
      <c r="BN4" s="136" t="s">
        <v>374</v>
      </c>
      <c r="BO4" s="153" t="s">
        <v>352</v>
      </c>
      <c r="BP4" s="153"/>
      <c r="BR4" s="136" t="s">
        <v>374</v>
      </c>
      <c r="BS4" s="153" t="s">
        <v>353</v>
      </c>
      <c r="BT4" s="153"/>
    </row>
    <row r="5">
      <c r="B5" s="136" t="s">
        <v>375</v>
      </c>
      <c r="C5" s="99"/>
      <c r="D5" s="99"/>
      <c r="F5" s="136" t="s">
        <v>375</v>
      </c>
      <c r="G5" s="99"/>
      <c r="H5" s="99"/>
      <c r="J5" s="136" t="s">
        <v>375</v>
      </c>
      <c r="K5" s="99"/>
      <c r="L5" s="99"/>
      <c r="N5" s="136" t="s">
        <v>375</v>
      </c>
      <c r="O5" s="99"/>
      <c r="P5" s="99"/>
      <c r="R5" s="136" t="s">
        <v>375</v>
      </c>
      <c r="S5" s="99"/>
      <c r="T5" s="99"/>
      <c r="V5" s="136" t="s">
        <v>375</v>
      </c>
      <c r="W5" s="99"/>
      <c r="X5" s="99"/>
      <c r="Z5" s="136" t="s">
        <v>375</v>
      </c>
      <c r="AA5" s="99"/>
      <c r="AB5" s="99"/>
      <c r="AD5" s="136" t="s">
        <v>375</v>
      </c>
      <c r="AE5" s="99"/>
      <c r="AF5" s="99"/>
      <c r="AH5" s="136" t="s">
        <v>375</v>
      </c>
      <c r="AI5" s="99"/>
      <c r="AJ5" s="99"/>
      <c r="AL5" s="136" t="s">
        <v>375</v>
      </c>
      <c r="AM5" s="99"/>
      <c r="AN5" s="99"/>
      <c r="AP5" s="136" t="s">
        <v>375</v>
      </c>
      <c r="AQ5" s="99"/>
      <c r="AR5" s="99"/>
      <c r="AT5" s="136" t="s">
        <v>375</v>
      </c>
      <c r="AU5" s="99"/>
      <c r="AV5" s="99"/>
      <c r="AX5" s="136" t="s">
        <v>375</v>
      </c>
      <c r="AY5" s="99"/>
      <c r="AZ5" s="99"/>
      <c r="BB5" s="136" t="s">
        <v>375</v>
      </c>
      <c r="BC5" s="99"/>
      <c r="BD5" s="99"/>
      <c r="BF5" s="136" t="s">
        <v>375</v>
      </c>
      <c r="BG5" s="99"/>
      <c r="BH5" s="99"/>
      <c r="BJ5" s="136" t="s">
        <v>375</v>
      </c>
      <c r="BK5" s="99"/>
      <c r="BL5" s="99"/>
      <c r="BN5" s="136" t="s">
        <v>375</v>
      </c>
      <c r="BO5" s="99"/>
      <c r="BP5" s="99"/>
      <c r="BR5" s="136" t="s">
        <v>375</v>
      </c>
      <c r="BS5" s="99"/>
      <c r="BT5" s="99"/>
    </row>
    <row r="6">
      <c r="B6" s="136" t="s">
        <v>376</v>
      </c>
      <c r="C6" s="99"/>
      <c r="D6" s="99"/>
      <c r="F6" s="136" t="s">
        <v>376</v>
      </c>
      <c r="G6" s="99"/>
      <c r="H6" s="99"/>
      <c r="J6" s="136" t="s">
        <v>376</v>
      </c>
      <c r="K6" s="99"/>
      <c r="L6" s="99"/>
      <c r="N6" s="136" t="s">
        <v>376</v>
      </c>
      <c r="O6" s="99"/>
      <c r="P6" s="99"/>
      <c r="R6" s="136" t="s">
        <v>376</v>
      </c>
      <c r="S6" s="99"/>
      <c r="T6" s="99"/>
      <c r="V6" s="136" t="s">
        <v>376</v>
      </c>
      <c r="W6" s="99"/>
      <c r="X6" s="99"/>
      <c r="Z6" s="136" t="s">
        <v>376</v>
      </c>
      <c r="AA6" s="99"/>
      <c r="AB6" s="99"/>
      <c r="AD6" s="136" t="s">
        <v>376</v>
      </c>
      <c r="AE6" s="99"/>
      <c r="AF6" s="99"/>
      <c r="AH6" s="136" t="s">
        <v>376</v>
      </c>
      <c r="AI6" s="99"/>
      <c r="AJ6" s="99"/>
      <c r="AL6" s="136" t="s">
        <v>376</v>
      </c>
      <c r="AM6" s="99"/>
      <c r="AN6" s="99"/>
      <c r="AP6" s="136" t="s">
        <v>376</v>
      </c>
      <c r="AQ6" s="99"/>
      <c r="AR6" s="99"/>
      <c r="AT6" s="136" t="s">
        <v>376</v>
      </c>
      <c r="AU6" s="99"/>
      <c r="AV6" s="99"/>
      <c r="AX6" s="136" t="s">
        <v>376</v>
      </c>
      <c r="AY6" s="99"/>
      <c r="AZ6" s="99"/>
      <c r="BB6" s="136" t="s">
        <v>376</v>
      </c>
      <c r="BC6" s="99"/>
      <c r="BD6" s="99"/>
      <c r="BF6" s="136" t="s">
        <v>376</v>
      </c>
      <c r="BG6" s="99"/>
      <c r="BH6" s="99"/>
      <c r="BJ6" s="136" t="s">
        <v>376</v>
      </c>
      <c r="BK6" s="99"/>
      <c r="BL6" s="99"/>
      <c r="BN6" s="136" t="s">
        <v>376</v>
      </c>
      <c r="BO6" s="99"/>
      <c r="BP6" s="99"/>
      <c r="BR6" s="136" t="s">
        <v>376</v>
      </c>
      <c r="BS6" s="99"/>
      <c r="BT6" s="99"/>
    </row>
    <row r="7">
      <c r="B7" s="136" t="s">
        <v>377</v>
      </c>
      <c r="C7" s="154" t="str">
        <f>IF(OR(C5="",C6=""),"",DATEDIF(C5,C6,"m")+1)</f>
        <v/>
      </c>
      <c r="D7" s="154"/>
      <c r="F7" s="136" t="s">
        <v>377</v>
      </c>
      <c r="G7" s="154" t="str">
        <f>IF(OR(G5="",G6=""),"",DATEDIF(G5,G6,"m")+1)</f>
        <v/>
      </c>
      <c r="H7" s="154"/>
      <c r="J7" s="136" t="s">
        <v>377</v>
      </c>
      <c r="K7" s="154" t="str">
        <f>IF(OR(K5="",K6=""),"",DATEDIF(K5,K6,"m")+1)</f>
        <v/>
      </c>
      <c r="L7" s="154"/>
      <c r="N7" s="136" t="s">
        <v>377</v>
      </c>
      <c r="O7" s="154" t="str">
        <f>IF(OR(O5="",O6=""),"",DATEDIF(O5,O6,"m")+1)</f>
        <v/>
      </c>
      <c r="P7" s="154"/>
      <c r="R7" s="136" t="s">
        <v>377</v>
      </c>
      <c r="S7" s="154" t="str">
        <f>IF(OR(S5="",S6=""),"",DATEDIF(S5,S6,"m")+1)</f>
        <v/>
      </c>
      <c r="T7" s="154"/>
      <c r="V7" s="136" t="s">
        <v>377</v>
      </c>
      <c r="W7" s="154" t="str">
        <f>IF(OR(W5="",W6=""),"",DATEDIF(W5,W6,"m")+1)</f>
        <v/>
      </c>
      <c r="X7" s="154"/>
      <c r="Z7" s="136" t="s">
        <v>377</v>
      </c>
      <c r="AA7" s="154" t="str">
        <f>IF(OR(AA5="",AA6=""),"",DATEDIF(AA5,AA6,"m")+1)</f>
        <v/>
      </c>
      <c r="AB7" s="154"/>
      <c r="AD7" s="136" t="s">
        <v>377</v>
      </c>
      <c r="AE7" s="154" t="str">
        <f>IF(OR(AE5="",AE6=""),"",DATEDIF(AE5,AE6,"m")+1)</f>
        <v/>
      </c>
      <c r="AF7" s="154"/>
      <c r="AH7" s="136" t="s">
        <v>377</v>
      </c>
      <c r="AI7" s="154" t="str">
        <f>IF(OR(AI5="",AI6=""),"",DATEDIF(AI5,AI6,"m")+1)</f>
        <v/>
      </c>
      <c r="AJ7" s="154"/>
      <c r="AL7" s="136" t="s">
        <v>377</v>
      </c>
      <c r="AM7" s="154" t="str">
        <f>IF(OR(AM5="",AM6=""),"",DATEDIF(AM5,AM6,"m")+1)</f>
        <v/>
      </c>
      <c r="AN7" s="154"/>
      <c r="AP7" s="136" t="s">
        <v>377</v>
      </c>
      <c r="AQ7" s="154" t="str">
        <f>IF(OR(AQ5="",AQ6=""),"",DATEDIF(AQ5,AQ6,"m")+1)</f>
        <v/>
      </c>
      <c r="AR7" s="154"/>
      <c r="AT7" s="136" t="s">
        <v>377</v>
      </c>
      <c r="AU7" s="154" t="str">
        <f>IF(OR(AU5="",AU6=""),"",DATEDIF(AU5,AU6,"m")+1)</f>
        <v/>
      </c>
      <c r="AV7" s="154"/>
      <c r="AX7" s="136" t="s">
        <v>377</v>
      </c>
      <c r="AY7" s="154" t="str">
        <f>IF(OR(AY5="",AY6=""),"",DATEDIF(AY5,AY6,"m")+1)</f>
        <v/>
      </c>
      <c r="AZ7" s="154"/>
      <c r="BB7" s="136" t="s">
        <v>377</v>
      </c>
      <c r="BC7" s="154" t="str">
        <f>IF(OR(BC5="",BC6=""),"",DATEDIF(BC5,BC6,"m")+1)</f>
        <v/>
      </c>
      <c r="BD7" s="154"/>
      <c r="BF7" s="136" t="s">
        <v>377</v>
      </c>
      <c r="BG7" s="154" t="str">
        <f>IF(OR(BG5="",BG6=""),"",DATEDIF(BG5,BG6,"m")+1)</f>
        <v/>
      </c>
      <c r="BH7" s="154"/>
      <c r="BJ7" s="136" t="s">
        <v>377</v>
      </c>
      <c r="BK7" s="154" t="str">
        <f>IF(OR(BK5="",BK6=""),"",DATEDIF(BK5,BK6,"m")+1)</f>
        <v/>
      </c>
      <c r="BL7" s="154"/>
      <c r="BN7" s="136" t="s">
        <v>377</v>
      </c>
      <c r="BO7" s="154" t="str">
        <f>IF(OR(BO5="",BO6=""),"",DATEDIF(BO5,BO6,"m")+1)</f>
        <v/>
      </c>
      <c r="BP7" s="154"/>
      <c r="BR7" s="136" t="s">
        <v>377</v>
      </c>
      <c r="BS7" s="154" t="str">
        <f>IF(OR(BS5="",BS6=""),"",DATEDIF(BS5,BS6,"m")+1)</f>
        <v/>
      </c>
      <c r="BT7" s="154"/>
    </row>
    <row r="8">
      <c r="B8" s="136" t="s">
        <v>411</v>
      </c>
      <c r="C8" s="155"/>
      <c r="D8" s="155"/>
      <c r="F8" s="136" t="s">
        <v>411</v>
      </c>
      <c r="G8" s="155"/>
      <c r="H8" s="155"/>
      <c r="J8" s="136" t="s">
        <v>411</v>
      </c>
      <c r="K8" s="155"/>
      <c r="L8" s="155"/>
      <c r="N8" s="136" t="s">
        <v>411</v>
      </c>
      <c r="O8" s="155"/>
      <c r="P8" s="155"/>
      <c r="R8" s="136" t="s">
        <v>411</v>
      </c>
      <c r="S8" s="155"/>
      <c r="T8" s="155"/>
      <c r="V8" s="136" t="s">
        <v>411</v>
      </c>
      <c r="W8" s="155"/>
      <c r="X8" s="155"/>
      <c r="Z8" s="136" t="s">
        <v>411</v>
      </c>
      <c r="AA8" s="155"/>
      <c r="AB8" s="155"/>
      <c r="AD8" s="136" t="s">
        <v>411</v>
      </c>
      <c r="AE8" s="155"/>
      <c r="AF8" s="155"/>
      <c r="AH8" s="136" t="s">
        <v>411</v>
      </c>
      <c r="AI8" s="155"/>
      <c r="AJ8" s="155"/>
      <c r="AL8" s="136" t="s">
        <v>411</v>
      </c>
      <c r="AM8" s="155"/>
      <c r="AN8" s="155"/>
      <c r="AP8" s="136" t="s">
        <v>411</v>
      </c>
      <c r="AQ8" s="155"/>
      <c r="AR8" s="155"/>
      <c r="AT8" s="136" t="s">
        <v>411</v>
      </c>
      <c r="AU8" s="155"/>
      <c r="AV8" s="155"/>
      <c r="AX8" s="136" t="s">
        <v>411</v>
      </c>
      <c r="AY8" s="155"/>
      <c r="AZ8" s="155"/>
      <c r="BB8" s="136" t="s">
        <v>411</v>
      </c>
      <c r="BC8" s="155"/>
      <c r="BD8" s="155"/>
      <c r="BF8" s="136" t="s">
        <v>411</v>
      </c>
      <c r="BG8" s="155"/>
      <c r="BH8" s="155"/>
      <c r="BJ8" s="136" t="s">
        <v>411</v>
      </c>
      <c r="BK8" s="155"/>
      <c r="BL8" s="155"/>
      <c r="BN8" s="136" t="s">
        <v>411</v>
      </c>
      <c r="BO8" s="155"/>
      <c r="BP8" s="155"/>
      <c r="BR8" s="136" t="s">
        <v>411</v>
      </c>
      <c r="BS8" s="155"/>
      <c r="BT8" s="155"/>
    </row>
    <row r="9">
      <c r="B9" s="156" t="s">
        <v>208</v>
      </c>
      <c r="C9" s="156" t="s">
        <v>412</v>
      </c>
      <c r="D9" s="156" t="s">
        <v>413</v>
      </c>
      <c r="F9" s="156" t="s">
        <v>208</v>
      </c>
      <c r="G9" s="156" t="s">
        <v>412</v>
      </c>
      <c r="H9" s="156" t="s">
        <v>413</v>
      </c>
      <c r="J9" s="156" t="s">
        <v>208</v>
      </c>
      <c r="K9" s="156" t="s">
        <v>412</v>
      </c>
      <c r="L9" s="156" t="s">
        <v>413</v>
      </c>
      <c r="N9" s="156" t="s">
        <v>208</v>
      </c>
      <c r="O9" s="156" t="s">
        <v>412</v>
      </c>
      <c r="P9" s="156" t="s">
        <v>413</v>
      </c>
      <c r="R9" s="156" t="s">
        <v>208</v>
      </c>
      <c r="S9" s="156" t="s">
        <v>412</v>
      </c>
      <c r="T9" s="156" t="s">
        <v>413</v>
      </c>
      <c r="V9" s="156" t="s">
        <v>208</v>
      </c>
      <c r="W9" s="156" t="s">
        <v>412</v>
      </c>
      <c r="X9" s="156" t="s">
        <v>413</v>
      </c>
      <c r="Z9" s="156" t="s">
        <v>208</v>
      </c>
      <c r="AA9" s="156" t="s">
        <v>412</v>
      </c>
      <c r="AB9" s="156" t="s">
        <v>413</v>
      </c>
      <c r="AD9" s="156" t="s">
        <v>208</v>
      </c>
      <c r="AE9" s="156" t="s">
        <v>412</v>
      </c>
      <c r="AF9" s="156" t="s">
        <v>413</v>
      </c>
      <c r="AH9" s="156" t="s">
        <v>208</v>
      </c>
      <c r="AI9" s="156" t="s">
        <v>412</v>
      </c>
      <c r="AJ9" s="156" t="s">
        <v>413</v>
      </c>
      <c r="AL9" s="156" t="s">
        <v>208</v>
      </c>
      <c r="AM9" s="156" t="s">
        <v>412</v>
      </c>
      <c r="AN9" s="156" t="s">
        <v>413</v>
      </c>
      <c r="AP9" s="156" t="s">
        <v>208</v>
      </c>
      <c r="AQ9" s="156" t="s">
        <v>412</v>
      </c>
      <c r="AR9" s="156" t="s">
        <v>413</v>
      </c>
      <c r="AT9" s="156" t="s">
        <v>208</v>
      </c>
      <c r="AU9" s="156" t="s">
        <v>412</v>
      </c>
      <c r="AV9" s="156" t="s">
        <v>413</v>
      </c>
      <c r="AX9" s="156" t="s">
        <v>208</v>
      </c>
      <c r="AY9" s="156" t="s">
        <v>412</v>
      </c>
      <c r="AZ9" s="156" t="s">
        <v>413</v>
      </c>
      <c r="BB9" s="156" t="s">
        <v>208</v>
      </c>
      <c r="BC9" s="156" t="s">
        <v>412</v>
      </c>
      <c r="BD9" s="156" t="s">
        <v>413</v>
      </c>
      <c r="BF9" s="156" t="s">
        <v>208</v>
      </c>
      <c r="BG9" s="156" t="s">
        <v>412</v>
      </c>
      <c r="BH9" s="156" t="s">
        <v>413</v>
      </c>
      <c r="BJ9" s="156" t="s">
        <v>208</v>
      </c>
      <c r="BK9" s="156" t="s">
        <v>412</v>
      </c>
      <c r="BL9" s="156" t="s">
        <v>413</v>
      </c>
      <c r="BN9" s="156" t="s">
        <v>208</v>
      </c>
      <c r="BO9" s="156" t="s">
        <v>412</v>
      </c>
      <c r="BP9" s="156" t="s">
        <v>413</v>
      </c>
      <c r="BR9" s="156" t="s">
        <v>208</v>
      </c>
      <c r="BS9" s="156" t="s">
        <v>412</v>
      </c>
      <c r="BT9" s="156" t="s">
        <v>413</v>
      </c>
    </row>
    <row r="10">
      <c r="B10" s="157" t="s">
        <v>212</v>
      </c>
      <c r="C10" s="40"/>
      <c r="D10" s="158">
        <f t="shared" ref="D10:D17" si="232">IFERROR(ROUND(C10/MA_Kurs_1,2),0)</f>
        <v>0</v>
      </c>
      <c r="F10" s="157" t="s">
        <v>212</v>
      </c>
      <c r="G10" s="40"/>
      <c r="H10" s="158">
        <f t="shared" ref="H10:H17" si="233">IFERROR(ROUND(G10/MA_Kurs_2,2),0)</f>
        <v>0</v>
      </c>
      <c r="J10" s="157" t="s">
        <v>212</v>
      </c>
      <c r="K10" s="40"/>
      <c r="L10" s="158">
        <f t="shared" ref="L10:L17" si="234">IFERROR(ROUND(K10/MA_Kurs_3,2),0)</f>
        <v>0</v>
      </c>
      <c r="N10" s="157" t="s">
        <v>212</v>
      </c>
      <c r="O10" s="40"/>
      <c r="P10" s="158">
        <f t="shared" ref="P10:P17" si="235">IFERROR(ROUND(O10/MA_Kurs_4,2),0)</f>
        <v>0</v>
      </c>
      <c r="R10" s="157" t="s">
        <v>212</v>
      </c>
      <c r="S10" s="40"/>
      <c r="T10" s="158">
        <f t="shared" ref="T10:T17" si="236">IFERROR(ROUND(S10/MA_Kurs_5,2),0)</f>
        <v>0</v>
      </c>
      <c r="V10" s="157" t="s">
        <v>212</v>
      </c>
      <c r="W10" s="40"/>
      <c r="X10" s="158">
        <f t="shared" ref="X10:X17" si="237">IFERROR(ROUND(W10/MA_Kurs_6,2),0)</f>
        <v>0</v>
      </c>
      <c r="Z10" s="157" t="s">
        <v>212</v>
      </c>
      <c r="AA10" s="40"/>
      <c r="AB10" s="158">
        <f t="shared" ref="AB10:AB17" si="238">IFERROR(ROUND(AA10/MA_Kurs_7,2),0)</f>
        <v>0</v>
      </c>
      <c r="AD10" s="157" t="s">
        <v>212</v>
      </c>
      <c r="AE10" s="40"/>
      <c r="AF10" s="158">
        <f t="shared" ref="AF10:AF17" si="239">IFERROR(ROUND(AE10/MA_Kurs_8,2),0)</f>
        <v>0</v>
      </c>
      <c r="AH10" s="157" t="s">
        <v>212</v>
      </c>
      <c r="AI10" s="40"/>
      <c r="AJ10" s="158">
        <f t="shared" ref="AJ10:AJ17" si="240">IFERROR(ROUND(AI10/MA_Kurs_9,2),0)</f>
        <v>0</v>
      </c>
      <c r="AL10" s="157" t="s">
        <v>212</v>
      </c>
      <c r="AM10" s="40"/>
      <c r="AN10" s="158">
        <f t="shared" ref="AN10:AN17" si="241">IFERROR(ROUND(AM10/MA_Kurs_10,2),0)</f>
        <v>0</v>
      </c>
      <c r="AP10" s="157" t="s">
        <v>212</v>
      </c>
      <c r="AQ10" s="40"/>
      <c r="AR10" s="158">
        <f t="shared" ref="AR10:AR17" si="242">IFERROR(ROUND(AQ10/MA_Kurs_11,2),0)</f>
        <v>0</v>
      </c>
      <c r="AT10" s="157" t="s">
        <v>212</v>
      </c>
      <c r="AU10" s="40"/>
      <c r="AV10" s="158">
        <f t="shared" ref="AV10:AV17" si="243">IFERROR(ROUND(AU10/MA_Kurs_12,2),0)</f>
        <v>0</v>
      </c>
      <c r="AX10" s="157" t="s">
        <v>212</v>
      </c>
      <c r="AY10" s="40"/>
      <c r="AZ10" s="158">
        <f t="shared" ref="AZ10:AZ17" si="244">IFERROR(ROUND(AY10/MA_Kurs_13,2),0)</f>
        <v>0</v>
      </c>
      <c r="BB10" s="157" t="s">
        <v>212</v>
      </c>
      <c r="BC10" s="40"/>
      <c r="BD10" s="158">
        <f t="shared" ref="BD10:BD17" si="245">IFERROR(ROUND(BC10/MA_Kurs_14,2),0)</f>
        <v>0</v>
      </c>
      <c r="BF10" s="157" t="s">
        <v>212</v>
      </c>
      <c r="BG10" s="40"/>
      <c r="BH10" s="158">
        <f t="shared" ref="BH10:BH17" si="246">IFERROR(ROUND(BG10/MA_Kurs_15,2),0)</f>
        <v>0</v>
      </c>
      <c r="BJ10" s="157" t="s">
        <v>212</v>
      </c>
      <c r="BK10" s="40"/>
      <c r="BL10" s="158">
        <f t="shared" ref="BL10:BL17" si="247">IFERROR(ROUND(BK10/MA_Kurs_16,2),0)</f>
        <v>0</v>
      </c>
      <c r="BN10" s="157" t="s">
        <v>212</v>
      </c>
      <c r="BO10" s="40"/>
      <c r="BP10" s="158">
        <f t="shared" ref="BP10:BP17" si="248">IFERROR(ROUND(BO10/MA_Kurs_17,2),0)</f>
        <v>0</v>
      </c>
      <c r="BR10" s="157" t="s">
        <v>212</v>
      </c>
      <c r="BS10" s="40"/>
      <c r="BT10" s="158">
        <f t="shared" ref="BT10:BT17" si="249">IFERROR(ROUND(BS10/MA_Kurs_18,2),0)</f>
        <v>0</v>
      </c>
    </row>
    <row r="11">
      <c r="B11" s="157" t="s">
        <v>254</v>
      </c>
      <c r="C11" s="40"/>
      <c r="D11" s="158">
        <f t="shared" si="232"/>
        <v>0</v>
      </c>
      <c r="F11" s="157" t="s">
        <v>254</v>
      </c>
      <c r="G11" s="40"/>
      <c r="H11" s="158">
        <f t="shared" si="233"/>
        <v>0</v>
      </c>
      <c r="J11" s="157" t="s">
        <v>254</v>
      </c>
      <c r="K11" s="40"/>
      <c r="L11" s="158">
        <f t="shared" si="234"/>
        <v>0</v>
      </c>
      <c r="N11" s="157" t="s">
        <v>254</v>
      </c>
      <c r="O11" s="40"/>
      <c r="P11" s="158">
        <f t="shared" si="235"/>
        <v>0</v>
      </c>
      <c r="R11" s="157" t="s">
        <v>254</v>
      </c>
      <c r="S11" s="40"/>
      <c r="T11" s="158">
        <f t="shared" si="236"/>
        <v>0</v>
      </c>
      <c r="V11" s="157" t="s">
        <v>254</v>
      </c>
      <c r="W11" s="40"/>
      <c r="X11" s="158">
        <f t="shared" si="237"/>
        <v>0</v>
      </c>
      <c r="Z11" s="157" t="s">
        <v>254</v>
      </c>
      <c r="AA11" s="40"/>
      <c r="AB11" s="158">
        <f t="shared" si="238"/>
        <v>0</v>
      </c>
      <c r="AD11" s="157" t="s">
        <v>254</v>
      </c>
      <c r="AE11" s="40"/>
      <c r="AF11" s="158">
        <f t="shared" si="239"/>
        <v>0</v>
      </c>
      <c r="AH11" s="157" t="s">
        <v>254</v>
      </c>
      <c r="AI11" s="40"/>
      <c r="AJ11" s="158">
        <f t="shared" si="240"/>
        <v>0</v>
      </c>
      <c r="AL11" s="157" t="s">
        <v>254</v>
      </c>
      <c r="AM11" s="40"/>
      <c r="AN11" s="158">
        <f t="shared" si="241"/>
        <v>0</v>
      </c>
      <c r="AP11" s="157" t="s">
        <v>254</v>
      </c>
      <c r="AQ11" s="40"/>
      <c r="AR11" s="158">
        <f t="shared" si="242"/>
        <v>0</v>
      </c>
      <c r="AT11" s="157" t="s">
        <v>254</v>
      </c>
      <c r="AU11" s="40"/>
      <c r="AV11" s="158">
        <f t="shared" si="243"/>
        <v>0</v>
      </c>
      <c r="AX11" s="157" t="s">
        <v>254</v>
      </c>
      <c r="AY11" s="40"/>
      <c r="AZ11" s="158">
        <f t="shared" si="244"/>
        <v>0</v>
      </c>
      <c r="BB11" s="157" t="s">
        <v>254</v>
      </c>
      <c r="BC11" s="40"/>
      <c r="BD11" s="158">
        <f t="shared" si="245"/>
        <v>0</v>
      </c>
      <c r="BF11" s="157" t="s">
        <v>254</v>
      </c>
      <c r="BG11" s="40"/>
      <c r="BH11" s="158">
        <f t="shared" si="246"/>
        <v>0</v>
      </c>
      <c r="BJ11" s="157" t="s">
        <v>254</v>
      </c>
      <c r="BK11" s="40"/>
      <c r="BL11" s="158">
        <f t="shared" si="247"/>
        <v>0</v>
      </c>
      <c r="BN11" s="157" t="s">
        <v>254</v>
      </c>
      <c r="BO11" s="40"/>
      <c r="BP11" s="158">
        <f t="shared" si="248"/>
        <v>0</v>
      </c>
      <c r="BR11" s="157" t="s">
        <v>254</v>
      </c>
      <c r="BS11" s="40"/>
      <c r="BT11" s="158">
        <f t="shared" si="249"/>
        <v>0</v>
      </c>
    </row>
    <row r="12">
      <c r="B12" s="157" t="s">
        <v>414</v>
      </c>
      <c r="C12" s="40"/>
      <c r="D12" s="158">
        <f t="shared" si="232"/>
        <v>0</v>
      </c>
      <c r="F12" s="157" t="s">
        <v>414</v>
      </c>
      <c r="G12" s="40"/>
      <c r="H12" s="158">
        <f t="shared" si="233"/>
        <v>0</v>
      </c>
      <c r="J12" s="157" t="s">
        <v>414</v>
      </c>
      <c r="K12" s="40"/>
      <c r="L12" s="158">
        <f t="shared" si="234"/>
        <v>0</v>
      </c>
      <c r="N12" s="157" t="s">
        <v>414</v>
      </c>
      <c r="O12" s="40"/>
      <c r="P12" s="158">
        <f t="shared" si="235"/>
        <v>0</v>
      </c>
      <c r="R12" s="157" t="s">
        <v>414</v>
      </c>
      <c r="S12" s="40"/>
      <c r="T12" s="158">
        <f t="shared" si="236"/>
        <v>0</v>
      </c>
      <c r="V12" s="157" t="s">
        <v>414</v>
      </c>
      <c r="W12" s="40"/>
      <c r="X12" s="158">
        <f t="shared" si="237"/>
        <v>0</v>
      </c>
      <c r="Z12" s="157" t="s">
        <v>414</v>
      </c>
      <c r="AA12" s="40"/>
      <c r="AB12" s="158">
        <f t="shared" si="238"/>
        <v>0</v>
      </c>
      <c r="AD12" s="157" t="s">
        <v>414</v>
      </c>
      <c r="AE12" s="40"/>
      <c r="AF12" s="158">
        <f t="shared" si="239"/>
        <v>0</v>
      </c>
      <c r="AH12" s="157" t="s">
        <v>414</v>
      </c>
      <c r="AI12" s="40"/>
      <c r="AJ12" s="158">
        <f t="shared" si="240"/>
        <v>0</v>
      </c>
      <c r="AL12" s="157" t="s">
        <v>414</v>
      </c>
      <c r="AM12" s="40"/>
      <c r="AN12" s="158">
        <f t="shared" si="241"/>
        <v>0</v>
      </c>
      <c r="AP12" s="157" t="s">
        <v>414</v>
      </c>
      <c r="AQ12" s="40"/>
      <c r="AR12" s="158">
        <f t="shared" si="242"/>
        <v>0</v>
      </c>
      <c r="AT12" s="157" t="s">
        <v>414</v>
      </c>
      <c r="AU12" s="40"/>
      <c r="AV12" s="158">
        <f t="shared" si="243"/>
        <v>0</v>
      </c>
      <c r="AX12" s="157" t="s">
        <v>414</v>
      </c>
      <c r="AY12" s="40"/>
      <c r="AZ12" s="158">
        <f t="shared" si="244"/>
        <v>0</v>
      </c>
      <c r="BB12" s="157" t="s">
        <v>414</v>
      </c>
      <c r="BC12" s="40"/>
      <c r="BD12" s="158">
        <f t="shared" si="245"/>
        <v>0</v>
      </c>
      <c r="BF12" s="157" t="s">
        <v>414</v>
      </c>
      <c r="BG12" s="40"/>
      <c r="BH12" s="158">
        <f t="shared" si="246"/>
        <v>0</v>
      </c>
      <c r="BJ12" s="157" t="s">
        <v>414</v>
      </c>
      <c r="BK12" s="40"/>
      <c r="BL12" s="158">
        <f t="shared" si="247"/>
        <v>0</v>
      </c>
      <c r="BN12" s="157" t="s">
        <v>414</v>
      </c>
      <c r="BO12" s="40"/>
      <c r="BP12" s="158">
        <f t="shared" si="248"/>
        <v>0</v>
      </c>
      <c r="BR12" s="157" t="s">
        <v>414</v>
      </c>
      <c r="BS12" s="40"/>
      <c r="BT12" s="158">
        <f t="shared" si="249"/>
        <v>0</v>
      </c>
    </row>
    <row r="13">
      <c r="B13" s="157" t="s">
        <v>275</v>
      </c>
      <c r="C13" s="40"/>
      <c r="D13" s="158">
        <f t="shared" si="232"/>
        <v>0</v>
      </c>
      <c r="F13" s="157" t="s">
        <v>275</v>
      </c>
      <c r="G13" s="40"/>
      <c r="H13" s="158">
        <f t="shared" si="233"/>
        <v>0</v>
      </c>
      <c r="J13" s="157" t="s">
        <v>275</v>
      </c>
      <c r="K13" s="40"/>
      <c r="L13" s="158">
        <f t="shared" si="234"/>
        <v>0</v>
      </c>
      <c r="N13" s="157" t="s">
        <v>275</v>
      </c>
      <c r="O13" s="40"/>
      <c r="P13" s="158">
        <f t="shared" si="235"/>
        <v>0</v>
      </c>
      <c r="R13" s="157" t="s">
        <v>275</v>
      </c>
      <c r="S13" s="40"/>
      <c r="T13" s="158">
        <f t="shared" si="236"/>
        <v>0</v>
      </c>
      <c r="V13" s="157" t="s">
        <v>275</v>
      </c>
      <c r="W13" s="40"/>
      <c r="X13" s="158">
        <f t="shared" si="237"/>
        <v>0</v>
      </c>
      <c r="Z13" s="157" t="s">
        <v>275</v>
      </c>
      <c r="AA13" s="40"/>
      <c r="AB13" s="158">
        <f t="shared" si="238"/>
        <v>0</v>
      </c>
      <c r="AD13" s="157" t="s">
        <v>275</v>
      </c>
      <c r="AE13" s="40"/>
      <c r="AF13" s="158">
        <f t="shared" si="239"/>
        <v>0</v>
      </c>
      <c r="AH13" s="157" t="s">
        <v>275</v>
      </c>
      <c r="AI13" s="40"/>
      <c r="AJ13" s="158">
        <f t="shared" si="240"/>
        <v>0</v>
      </c>
      <c r="AL13" s="157" t="s">
        <v>275</v>
      </c>
      <c r="AM13" s="40"/>
      <c r="AN13" s="158">
        <f t="shared" si="241"/>
        <v>0</v>
      </c>
      <c r="AP13" s="157" t="s">
        <v>275</v>
      </c>
      <c r="AQ13" s="40"/>
      <c r="AR13" s="158">
        <f t="shared" si="242"/>
        <v>0</v>
      </c>
      <c r="AT13" s="157" t="s">
        <v>275</v>
      </c>
      <c r="AU13" s="40"/>
      <c r="AV13" s="158">
        <f t="shared" si="243"/>
        <v>0</v>
      </c>
      <c r="AX13" s="157" t="s">
        <v>275</v>
      </c>
      <c r="AY13" s="40"/>
      <c r="AZ13" s="158">
        <f t="shared" si="244"/>
        <v>0</v>
      </c>
      <c r="BB13" s="157" t="s">
        <v>275</v>
      </c>
      <c r="BC13" s="40"/>
      <c r="BD13" s="158">
        <f t="shared" si="245"/>
        <v>0</v>
      </c>
      <c r="BF13" s="157" t="s">
        <v>275</v>
      </c>
      <c r="BG13" s="40"/>
      <c r="BH13" s="158">
        <f t="shared" si="246"/>
        <v>0</v>
      </c>
      <c r="BJ13" s="157" t="s">
        <v>275</v>
      </c>
      <c r="BK13" s="40"/>
      <c r="BL13" s="158">
        <f t="shared" si="247"/>
        <v>0</v>
      </c>
      <c r="BN13" s="157" t="s">
        <v>275</v>
      </c>
      <c r="BO13" s="40"/>
      <c r="BP13" s="158">
        <f t="shared" si="248"/>
        <v>0</v>
      </c>
      <c r="BR13" s="157" t="s">
        <v>275</v>
      </c>
      <c r="BS13" s="40"/>
      <c r="BT13" s="158">
        <f t="shared" si="249"/>
        <v>0</v>
      </c>
    </row>
    <row r="14">
      <c r="B14" s="157" t="s">
        <v>296</v>
      </c>
      <c r="C14" s="40"/>
      <c r="D14" s="158">
        <f t="shared" si="232"/>
        <v>0</v>
      </c>
      <c r="F14" s="157" t="s">
        <v>296</v>
      </c>
      <c r="G14" s="40"/>
      <c r="H14" s="158">
        <f t="shared" si="233"/>
        <v>0</v>
      </c>
      <c r="J14" s="157" t="s">
        <v>296</v>
      </c>
      <c r="K14" s="40"/>
      <c r="L14" s="158">
        <f t="shared" si="234"/>
        <v>0</v>
      </c>
      <c r="N14" s="157" t="s">
        <v>296</v>
      </c>
      <c r="O14" s="40"/>
      <c r="P14" s="158">
        <f t="shared" si="235"/>
        <v>0</v>
      </c>
      <c r="R14" s="157" t="s">
        <v>296</v>
      </c>
      <c r="S14" s="40"/>
      <c r="T14" s="158">
        <f t="shared" si="236"/>
        <v>0</v>
      </c>
      <c r="V14" s="157" t="s">
        <v>296</v>
      </c>
      <c r="W14" s="40"/>
      <c r="X14" s="158">
        <f t="shared" si="237"/>
        <v>0</v>
      </c>
      <c r="Z14" s="157" t="s">
        <v>296</v>
      </c>
      <c r="AA14" s="40"/>
      <c r="AB14" s="158">
        <f t="shared" si="238"/>
        <v>0</v>
      </c>
      <c r="AD14" s="157" t="s">
        <v>296</v>
      </c>
      <c r="AE14" s="40"/>
      <c r="AF14" s="158">
        <f t="shared" si="239"/>
        <v>0</v>
      </c>
      <c r="AH14" s="157" t="s">
        <v>296</v>
      </c>
      <c r="AI14" s="40"/>
      <c r="AJ14" s="158">
        <f t="shared" si="240"/>
        <v>0</v>
      </c>
      <c r="AL14" s="157" t="s">
        <v>296</v>
      </c>
      <c r="AM14" s="40"/>
      <c r="AN14" s="158">
        <f t="shared" si="241"/>
        <v>0</v>
      </c>
      <c r="AP14" s="157" t="s">
        <v>296</v>
      </c>
      <c r="AQ14" s="40"/>
      <c r="AR14" s="158">
        <f t="shared" si="242"/>
        <v>0</v>
      </c>
      <c r="AT14" s="157" t="s">
        <v>296</v>
      </c>
      <c r="AU14" s="40"/>
      <c r="AV14" s="158">
        <f t="shared" si="243"/>
        <v>0</v>
      </c>
      <c r="AX14" s="157" t="s">
        <v>296</v>
      </c>
      <c r="AY14" s="40"/>
      <c r="AZ14" s="158">
        <f t="shared" si="244"/>
        <v>0</v>
      </c>
      <c r="BB14" s="157" t="s">
        <v>296</v>
      </c>
      <c r="BC14" s="40"/>
      <c r="BD14" s="158">
        <f t="shared" si="245"/>
        <v>0</v>
      </c>
      <c r="BF14" s="157" t="s">
        <v>296</v>
      </c>
      <c r="BG14" s="40"/>
      <c r="BH14" s="158">
        <f t="shared" si="246"/>
        <v>0</v>
      </c>
      <c r="BJ14" s="157" t="s">
        <v>296</v>
      </c>
      <c r="BK14" s="40"/>
      <c r="BL14" s="158">
        <f t="shared" si="247"/>
        <v>0</v>
      </c>
      <c r="BN14" s="157" t="s">
        <v>296</v>
      </c>
      <c r="BO14" s="40"/>
      <c r="BP14" s="158">
        <f t="shared" si="248"/>
        <v>0</v>
      </c>
      <c r="BR14" s="157" t="s">
        <v>296</v>
      </c>
      <c r="BS14" s="40"/>
      <c r="BT14" s="158">
        <f t="shared" si="249"/>
        <v>0</v>
      </c>
    </row>
    <row r="15">
      <c r="B15" s="157" t="s">
        <v>317</v>
      </c>
      <c r="C15" s="40"/>
      <c r="D15" s="158">
        <f t="shared" si="232"/>
        <v>0</v>
      </c>
      <c r="F15" s="157" t="s">
        <v>317</v>
      </c>
      <c r="G15" s="40"/>
      <c r="H15" s="158">
        <f t="shared" si="233"/>
        <v>0</v>
      </c>
      <c r="J15" s="157" t="s">
        <v>317</v>
      </c>
      <c r="K15" s="40"/>
      <c r="L15" s="158">
        <f t="shared" si="234"/>
        <v>0</v>
      </c>
      <c r="N15" s="157" t="s">
        <v>317</v>
      </c>
      <c r="O15" s="40"/>
      <c r="P15" s="158">
        <f t="shared" si="235"/>
        <v>0</v>
      </c>
      <c r="R15" s="157" t="s">
        <v>317</v>
      </c>
      <c r="S15" s="40"/>
      <c r="T15" s="158">
        <f t="shared" si="236"/>
        <v>0</v>
      </c>
      <c r="V15" s="157" t="s">
        <v>317</v>
      </c>
      <c r="W15" s="40"/>
      <c r="X15" s="158">
        <f t="shared" si="237"/>
        <v>0</v>
      </c>
      <c r="Z15" s="157" t="s">
        <v>317</v>
      </c>
      <c r="AA15" s="40"/>
      <c r="AB15" s="158">
        <f t="shared" si="238"/>
        <v>0</v>
      </c>
      <c r="AD15" s="157" t="s">
        <v>317</v>
      </c>
      <c r="AE15" s="40"/>
      <c r="AF15" s="158">
        <f t="shared" si="239"/>
        <v>0</v>
      </c>
      <c r="AH15" s="157" t="s">
        <v>317</v>
      </c>
      <c r="AI15" s="40"/>
      <c r="AJ15" s="158">
        <f t="shared" si="240"/>
        <v>0</v>
      </c>
      <c r="AL15" s="157" t="s">
        <v>317</v>
      </c>
      <c r="AM15" s="40"/>
      <c r="AN15" s="158">
        <f t="shared" si="241"/>
        <v>0</v>
      </c>
      <c r="AP15" s="157" t="s">
        <v>317</v>
      </c>
      <c r="AQ15" s="40"/>
      <c r="AR15" s="158">
        <f t="shared" si="242"/>
        <v>0</v>
      </c>
      <c r="AT15" s="157" t="s">
        <v>317</v>
      </c>
      <c r="AU15" s="40"/>
      <c r="AV15" s="158">
        <f t="shared" si="243"/>
        <v>0</v>
      </c>
      <c r="AX15" s="157" t="s">
        <v>317</v>
      </c>
      <c r="AY15" s="40"/>
      <c r="AZ15" s="158">
        <f t="shared" si="244"/>
        <v>0</v>
      </c>
      <c r="BB15" s="157" t="s">
        <v>317</v>
      </c>
      <c r="BC15" s="40"/>
      <c r="BD15" s="158">
        <f t="shared" si="245"/>
        <v>0</v>
      </c>
      <c r="BF15" s="157" t="s">
        <v>317</v>
      </c>
      <c r="BG15" s="40"/>
      <c r="BH15" s="158">
        <f t="shared" si="246"/>
        <v>0</v>
      </c>
      <c r="BJ15" s="157" t="s">
        <v>317</v>
      </c>
      <c r="BK15" s="40"/>
      <c r="BL15" s="158">
        <f t="shared" si="247"/>
        <v>0</v>
      </c>
      <c r="BN15" s="157" t="s">
        <v>317</v>
      </c>
      <c r="BO15" s="40"/>
      <c r="BP15" s="158">
        <f t="shared" si="248"/>
        <v>0</v>
      </c>
      <c r="BR15" s="157" t="s">
        <v>317</v>
      </c>
      <c r="BS15" s="40"/>
      <c r="BT15" s="158">
        <f t="shared" si="249"/>
        <v>0</v>
      </c>
    </row>
    <row r="16">
      <c r="B16" s="157" t="s">
        <v>319</v>
      </c>
      <c r="C16" s="40"/>
      <c r="D16" s="158">
        <f t="shared" si="232"/>
        <v>0</v>
      </c>
      <c r="F16" s="157" t="s">
        <v>319</v>
      </c>
      <c r="G16" s="40"/>
      <c r="H16" s="158">
        <f t="shared" si="233"/>
        <v>0</v>
      </c>
      <c r="J16" s="157" t="s">
        <v>319</v>
      </c>
      <c r="K16" s="40"/>
      <c r="L16" s="158">
        <f t="shared" si="234"/>
        <v>0</v>
      </c>
      <c r="N16" s="157" t="s">
        <v>319</v>
      </c>
      <c r="O16" s="40"/>
      <c r="P16" s="158">
        <f t="shared" si="235"/>
        <v>0</v>
      </c>
      <c r="R16" s="157" t="s">
        <v>319</v>
      </c>
      <c r="S16" s="40"/>
      <c r="T16" s="158">
        <f t="shared" si="236"/>
        <v>0</v>
      </c>
      <c r="V16" s="157" t="s">
        <v>319</v>
      </c>
      <c r="W16" s="40"/>
      <c r="X16" s="158">
        <f t="shared" si="237"/>
        <v>0</v>
      </c>
      <c r="Z16" s="157" t="s">
        <v>319</v>
      </c>
      <c r="AA16" s="40"/>
      <c r="AB16" s="158">
        <f t="shared" si="238"/>
        <v>0</v>
      </c>
      <c r="AD16" s="157" t="s">
        <v>319</v>
      </c>
      <c r="AE16" s="40"/>
      <c r="AF16" s="158">
        <f t="shared" si="239"/>
        <v>0</v>
      </c>
      <c r="AH16" s="157" t="s">
        <v>319</v>
      </c>
      <c r="AI16" s="40"/>
      <c r="AJ16" s="158">
        <f t="shared" si="240"/>
        <v>0</v>
      </c>
      <c r="AL16" s="157" t="s">
        <v>319</v>
      </c>
      <c r="AM16" s="40"/>
      <c r="AN16" s="158">
        <f t="shared" si="241"/>
        <v>0</v>
      </c>
      <c r="AP16" s="157" t="s">
        <v>319</v>
      </c>
      <c r="AQ16" s="40"/>
      <c r="AR16" s="158">
        <f t="shared" si="242"/>
        <v>0</v>
      </c>
      <c r="AT16" s="157" t="s">
        <v>319</v>
      </c>
      <c r="AU16" s="40"/>
      <c r="AV16" s="158">
        <f t="shared" si="243"/>
        <v>0</v>
      </c>
      <c r="AX16" s="157" t="s">
        <v>319</v>
      </c>
      <c r="AY16" s="40"/>
      <c r="AZ16" s="158">
        <f t="shared" si="244"/>
        <v>0</v>
      </c>
      <c r="BB16" s="157" t="s">
        <v>319</v>
      </c>
      <c r="BC16" s="40"/>
      <c r="BD16" s="158">
        <f t="shared" si="245"/>
        <v>0</v>
      </c>
      <c r="BF16" s="157" t="s">
        <v>319</v>
      </c>
      <c r="BG16" s="40"/>
      <c r="BH16" s="158">
        <f t="shared" si="246"/>
        <v>0</v>
      </c>
      <c r="BJ16" s="157" t="s">
        <v>319</v>
      </c>
      <c r="BK16" s="40"/>
      <c r="BL16" s="158">
        <f t="shared" si="247"/>
        <v>0</v>
      </c>
      <c r="BN16" s="157" t="s">
        <v>319</v>
      </c>
      <c r="BO16" s="40"/>
      <c r="BP16" s="158">
        <f t="shared" si="248"/>
        <v>0</v>
      </c>
      <c r="BR16" s="157" t="s">
        <v>319</v>
      </c>
      <c r="BS16" s="40"/>
      <c r="BT16" s="158">
        <f t="shared" si="249"/>
        <v>0</v>
      </c>
    </row>
    <row r="17">
      <c r="B17" s="157" t="s">
        <v>321</v>
      </c>
      <c r="C17" s="40"/>
      <c r="D17" s="158">
        <f t="shared" si="232"/>
        <v>0</v>
      </c>
      <c r="F17" s="157" t="s">
        <v>321</v>
      </c>
      <c r="G17" s="40"/>
      <c r="H17" s="158">
        <f t="shared" si="233"/>
        <v>0</v>
      </c>
      <c r="J17" s="157" t="s">
        <v>321</v>
      </c>
      <c r="K17" s="40"/>
      <c r="L17" s="158">
        <f t="shared" si="234"/>
        <v>0</v>
      </c>
      <c r="N17" s="157" t="s">
        <v>321</v>
      </c>
      <c r="O17" s="40"/>
      <c r="P17" s="158">
        <f t="shared" si="235"/>
        <v>0</v>
      </c>
      <c r="R17" s="157" t="s">
        <v>321</v>
      </c>
      <c r="S17" s="40"/>
      <c r="T17" s="158">
        <f t="shared" si="236"/>
        <v>0</v>
      </c>
      <c r="V17" s="157" t="s">
        <v>321</v>
      </c>
      <c r="W17" s="40"/>
      <c r="X17" s="158">
        <f t="shared" si="237"/>
        <v>0</v>
      </c>
      <c r="Z17" s="157" t="s">
        <v>321</v>
      </c>
      <c r="AA17" s="40"/>
      <c r="AB17" s="158">
        <f t="shared" si="238"/>
        <v>0</v>
      </c>
      <c r="AD17" s="157" t="s">
        <v>321</v>
      </c>
      <c r="AE17" s="40"/>
      <c r="AF17" s="158">
        <f t="shared" si="239"/>
        <v>0</v>
      </c>
      <c r="AH17" s="157" t="s">
        <v>321</v>
      </c>
      <c r="AI17" s="40"/>
      <c r="AJ17" s="158">
        <f t="shared" si="240"/>
        <v>0</v>
      </c>
      <c r="AL17" s="157" t="s">
        <v>321</v>
      </c>
      <c r="AM17" s="40"/>
      <c r="AN17" s="158">
        <f t="shared" si="241"/>
        <v>0</v>
      </c>
      <c r="AP17" s="157" t="s">
        <v>321</v>
      </c>
      <c r="AQ17" s="40"/>
      <c r="AR17" s="158">
        <f t="shared" si="242"/>
        <v>0</v>
      </c>
      <c r="AT17" s="157" t="s">
        <v>321</v>
      </c>
      <c r="AU17" s="40"/>
      <c r="AV17" s="158">
        <f t="shared" si="243"/>
        <v>0</v>
      </c>
      <c r="AX17" s="157" t="s">
        <v>321</v>
      </c>
      <c r="AY17" s="40"/>
      <c r="AZ17" s="158">
        <f t="shared" si="244"/>
        <v>0</v>
      </c>
      <c r="BB17" s="157" t="s">
        <v>321</v>
      </c>
      <c r="BC17" s="40"/>
      <c r="BD17" s="158">
        <f t="shared" si="245"/>
        <v>0</v>
      </c>
      <c r="BF17" s="157" t="s">
        <v>321</v>
      </c>
      <c r="BG17" s="40"/>
      <c r="BH17" s="158">
        <f t="shared" si="246"/>
        <v>0</v>
      </c>
      <c r="BJ17" s="157" t="s">
        <v>321</v>
      </c>
      <c r="BK17" s="40"/>
      <c r="BL17" s="158">
        <f t="shared" si="247"/>
        <v>0</v>
      </c>
      <c r="BN17" s="157" t="s">
        <v>321</v>
      </c>
      <c r="BO17" s="40"/>
      <c r="BP17" s="158">
        <f t="shared" si="248"/>
        <v>0</v>
      </c>
      <c r="BR17" s="157" t="s">
        <v>321</v>
      </c>
      <c r="BS17" s="40"/>
      <c r="BT17" s="158">
        <f t="shared" si="249"/>
        <v>0</v>
      </c>
    </row>
    <row r="18">
      <c r="B18" s="159" t="s">
        <v>415</v>
      </c>
      <c r="C18" s="160">
        <f>ROUND(SUBTOTAL(109,MA_1[Angefordert (LC)]),2)</f>
        <v>0</v>
      </c>
      <c r="D18" s="161">
        <f>ROUND(SUBTOTAL(109,MA_1[Angefordert (EUR)]),2)</f>
        <v>0</v>
      </c>
      <c r="F18" s="159" t="s">
        <v>415</v>
      </c>
      <c r="G18" s="160">
        <f>ROUND(SUBTOTAL(109,MA_2[Angefordert (LC)]),2)</f>
        <v>0</v>
      </c>
      <c r="H18" s="161">
        <f>ROUND(SUBTOTAL(109,MA_2[Angefordert (EUR)]),2)</f>
        <v>0</v>
      </c>
      <c r="J18" s="159" t="s">
        <v>415</v>
      </c>
      <c r="K18" s="160">
        <f>ROUND(SUBTOTAL(109,MA_3[Angefordert (LC)]),2)</f>
        <v>0</v>
      </c>
      <c r="L18" s="161">
        <f>ROUND(SUBTOTAL(109,MA_3[Angefordert (EUR)]),2)</f>
        <v>0</v>
      </c>
      <c r="N18" s="159" t="s">
        <v>415</v>
      </c>
      <c r="O18" s="160">
        <f>ROUND(SUBTOTAL(109,MA_4[Angefordert (LC)]),2)</f>
        <v>0</v>
      </c>
      <c r="P18" s="161">
        <f>ROUND(SUBTOTAL(109,MA_4[Angefordert (EUR)]),2)</f>
        <v>0</v>
      </c>
      <c r="R18" s="159" t="s">
        <v>415</v>
      </c>
      <c r="S18" s="160">
        <f>ROUND(SUBTOTAL(109,MA_5[Angefordert (LC)]),2)</f>
        <v>0</v>
      </c>
      <c r="T18" s="161">
        <f>ROUND(SUBTOTAL(109,MA_5[Angefordert (EUR)]),2)</f>
        <v>0</v>
      </c>
      <c r="V18" s="159" t="s">
        <v>415</v>
      </c>
      <c r="W18" s="160">
        <f>ROUND(SUBTOTAL(109,MA_6[Angefordert (LC)]),2)</f>
        <v>0</v>
      </c>
      <c r="X18" s="161">
        <f>ROUND(SUBTOTAL(109,MA_6[Angefordert (EUR)]),2)</f>
        <v>0</v>
      </c>
      <c r="Z18" s="159" t="s">
        <v>415</v>
      </c>
      <c r="AA18" s="160">
        <f>ROUND(SUBTOTAL(109,MA_7[Angefordert (LC)]),2)</f>
        <v>0</v>
      </c>
      <c r="AB18" s="161">
        <f>ROUND(SUBTOTAL(109,MA_7[Angefordert (EUR)]),2)</f>
        <v>0</v>
      </c>
      <c r="AD18" s="159" t="s">
        <v>415</v>
      </c>
      <c r="AE18" s="160">
        <f>ROUND(SUBTOTAL(109,MA_8[Angefordert (LC)]),2)</f>
        <v>0</v>
      </c>
      <c r="AF18" s="161">
        <f>ROUND(SUBTOTAL(109,MA_8[Angefordert (EUR)]),2)</f>
        <v>0</v>
      </c>
      <c r="AH18" s="159" t="s">
        <v>415</v>
      </c>
      <c r="AI18" s="160">
        <f>ROUND(SUBTOTAL(109,MA_9[Angefordert (LC)]),2)</f>
        <v>0</v>
      </c>
      <c r="AJ18" s="161">
        <f>ROUND(SUBTOTAL(109,MA_9[Angefordert (EUR)]),2)</f>
        <v>0</v>
      </c>
      <c r="AL18" s="159" t="s">
        <v>415</v>
      </c>
      <c r="AM18" s="160">
        <f>ROUND(SUBTOTAL(109,MA_10[Angefordert (LC)]),2)</f>
        <v>0</v>
      </c>
      <c r="AN18" s="161">
        <f>ROUND(SUBTOTAL(109,MA_10[Angefordert (EUR)]),2)</f>
        <v>0</v>
      </c>
      <c r="AP18" s="159" t="s">
        <v>415</v>
      </c>
      <c r="AQ18" s="160">
        <f>ROUND(SUBTOTAL(109,MA_11[Angefordert (LC)]),2)</f>
        <v>0</v>
      </c>
      <c r="AR18" s="161">
        <f>ROUND(SUBTOTAL(109,MA_11[Angefordert (EUR)]),2)</f>
        <v>0</v>
      </c>
      <c r="AT18" s="159" t="s">
        <v>415</v>
      </c>
      <c r="AU18" s="160">
        <f>ROUND(SUBTOTAL(109,MA_12[Angefordert (LC)]),2)</f>
        <v>0</v>
      </c>
      <c r="AV18" s="161">
        <f>ROUND(SUBTOTAL(109,MA_12[Angefordert (EUR)]),2)</f>
        <v>0</v>
      </c>
      <c r="AX18" s="159" t="s">
        <v>415</v>
      </c>
      <c r="AY18" s="160">
        <f>ROUND(SUBTOTAL(109,MA_13[Angefordert (LC)]),2)</f>
        <v>0</v>
      </c>
      <c r="AZ18" s="161">
        <f>ROUND(SUBTOTAL(109,MA_13[Angefordert (EUR)]),2)</f>
        <v>0</v>
      </c>
      <c r="BB18" s="159" t="s">
        <v>415</v>
      </c>
      <c r="BC18" s="160">
        <f>ROUND(SUBTOTAL(109,MA_14[Angefordert (LC)]),2)</f>
        <v>0</v>
      </c>
      <c r="BD18" s="161">
        <f>ROUND(SUBTOTAL(109,MA_14[Angefordert (EUR)]),2)</f>
        <v>0</v>
      </c>
      <c r="BF18" s="159" t="s">
        <v>415</v>
      </c>
      <c r="BG18" s="160">
        <f>ROUND(SUBTOTAL(109,MA_15[Angefordert (LC)]),2)</f>
        <v>0</v>
      </c>
      <c r="BH18" s="161">
        <f>ROUND(SUBTOTAL(109,MA_15[Angefordert (EUR)]),2)</f>
        <v>0</v>
      </c>
      <c r="BJ18" s="159" t="s">
        <v>415</v>
      </c>
      <c r="BK18" s="160">
        <f>ROUND(SUBTOTAL(109,MA_16[Angefordert (LC)]),2)</f>
        <v>0</v>
      </c>
      <c r="BL18" s="161">
        <f>ROUND(SUBTOTAL(109,MA_16[Angefordert (EUR)]),2)</f>
        <v>0</v>
      </c>
      <c r="BN18" s="159" t="s">
        <v>415</v>
      </c>
      <c r="BO18" s="160">
        <f>ROUND(SUBTOTAL(109,MA_17[Angefordert (LC)]),2)</f>
        <v>0</v>
      </c>
      <c r="BP18" s="161">
        <f>ROUND(SUBTOTAL(109,MA_17[Angefordert (EUR)]),2)</f>
        <v>0</v>
      </c>
      <c r="BR18" s="159" t="s">
        <v>415</v>
      </c>
      <c r="BS18" s="160">
        <f>ROUND(SUBTOTAL(109,MA_18[Angefordert (LC)]),2)</f>
        <v>0</v>
      </c>
      <c r="BT18" s="161">
        <f>ROUND(SUBTOTAL(109,MA_18[Angefordert (EUR)]),2)</f>
        <v>0</v>
      </c>
    </row>
    <row r="20">
      <c r="B20" s="1" t="s">
        <v>416</v>
      </c>
      <c r="C20" s="162">
        <f>ROUND($C$18,2)</f>
        <v>0</v>
      </c>
      <c r="D20" s="163">
        <f>ROUND($D$18,2)</f>
        <v>0</v>
      </c>
      <c r="F20" s="1" t="s">
        <v>416</v>
      </c>
      <c r="G20" s="162">
        <f>ROUND($G$18,2)</f>
        <v>0</v>
      </c>
      <c r="H20" s="163">
        <f>ROUND($H$18,2)</f>
        <v>0</v>
      </c>
      <c r="J20" s="1" t="s">
        <v>416</v>
      </c>
      <c r="K20" s="162">
        <f>ROUND($K$18,2)</f>
        <v>0</v>
      </c>
      <c r="L20" s="163">
        <f>ROUND($L$18,2)</f>
        <v>0</v>
      </c>
      <c r="N20" s="1" t="s">
        <v>416</v>
      </c>
      <c r="O20" s="162">
        <f>ROUND($O$18,2)</f>
        <v>0</v>
      </c>
      <c r="P20" s="163">
        <f>ROUND($P$18,2)</f>
        <v>0</v>
      </c>
      <c r="R20" s="1" t="s">
        <v>416</v>
      </c>
      <c r="S20" s="162">
        <f>ROUND($S$18,2)</f>
        <v>0</v>
      </c>
      <c r="T20" s="163">
        <f>ROUND($T$18,2)</f>
        <v>0</v>
      </c>
      <c r="V20" s="1" t="s">
        <v>416</v>
      </c>
      <c r="W20" s="162">
        <f>ROUND($W$18,2)</f>
        <v>0</v>
      </c>
      <c r="X20" s="163">
        <f>ROUND($X$18,2)</f>
        <v>0</v>
      </c>
      <c r="Z20" s="1" t="s">
        <v>416</v>
      </c>
      <c r="AA20" s="162">
        <f>ROUND($AA$18,2)</f>
        <v>0</v>
      </c>
      <c r="AB20" s="163">
        <f>ROUND($AB$18,2)</f>
        <v>0</v>
      </c>
      <c r="AD20" s="1" t="s">
        <v>416</v>
      </c>
      <c r="AE20" s="162">
        <f>ROUND($AE$18,2)</f>
        <v>0</v>
      </c>
      <c r="AF20" s="163">
        <f>ROUND($AF$18,2)</f>
        <v>0</v>
      </c>
      <c r="AH20" s="1" t="s">
        <v>416</v>
      </c>
      <c r="AI20" s="162">
        <f>ROUND($AI$18,2)</f>
        <v>0</v>
      </c>
      <c r="AJ20" s="163">
        <f>ROUND($AJ$18,2)</f>
        <v>0</v>
      </c>
      <c r="AL20" s="1" t="s">
        <v>416</v>
      </c>
      <c r="AM20" s="162">
        <f>ROUND($AM$18,2)</f>
        <v>0</v>
      </c>
      <c r="AN20" s="163">
        <f>ROUND($AN$18,2)</f>
        <v>0</v>
      </c>
      <c r="AP20" s="1" t="s">
        <v>416</v>
      </c>
      <c r="AQ20" s="162">
        <f>ROUND($AQ$18,2)</f>
        <v>0</v>
      </c>
      <c r="AR20" s="163">
        <f>ROUND($AR$18,2)</f>
        <v>0</v>
      </c>
      <c r="AT20" s="1" t="s">
        <v>416</v>
      </c>
      <c r="AU20" s="162">
        <f>ROUND($AU$18,2)</f>
        <v>0</v>
      </c>
      <c r="AV20" s="163">
        <f>ROUND($AV$18,2)</f>
        <v>0</v>
      </c>
      <c r="AX20" s="1" t="s">
        <v>416</v>
      </c>
      <c r="AY20" s="162">
        <f>ROUND($AY$18,2)</f>
        <v>0</v>
      </c>
      <c r="AZ20" s="163">
        <f>ROUND($AZ$18,2)</f>
        <v>0</v>
      </c>
      <c r="BB20" s="1" t="s">
        <v>416</v>
      </c>
      <c r="BC20" s="162">
        <f>ROUND($BC$18,2)</f>
        <v>0</v>
      </c>
      <c r="BD20" s="163">
        <f>ROUND($BD$18,2)</f>
        <v>0</v>
      </c>
      <c r="BF20" s="1" t="s">
        <v>416</v>
      </c>
      <c r="BG20" s="162">
        <f>ROUND($BG$18,2)</f>
        <v>0</v>
      </c>
      <c r="BH20" s="163">
        <f>ROUND($BH$18,2)</f>
        <v>0</v>
      </c>
      <c r="BJ20" s="1" t="s">
        <v>416</v>
      </c>
      <c r="BK20" s="162">
        <f>ROUND($BK$18,2)</f>
        <v>0</v>
      </c>
      <c r="BL20" s="163">
        <f>ROUND($BL$18,2)</f>
        <v>0</v>
      </c>
      <c r="BN20" s="1" t="s">
        <v>416</v>
      </c>
      <c r="BO20" s="162">
        <f>ROUND($BO$18,2)</f>
        <v>0</v>
      </c>
      <c r="BP20" s="163">
        <f>ROUND($BP$18,2)</f>
        <v>0</v>
      </c>
      <c r="BR20" s="1" t="s">
        <v>416</v>
      </c>
      <c r="BS20" s="162">
        <f>ROUND($BS$18,2)</f>
        <v>0</v>
      </c>
      <c r="BT20" s="163">
        <f>ROUND($BT$18,2)</f>
        <v>0</v>
      </c>
    </row>
    <row r="21">
      <c r="B21" s="1" t="s">
        <v>417</v>
      </c>
      <c r="C21" s="40"/>
      <c r="D21" s="158">
        <f>IFERROR(ROUND($C$21/$C$8,2),0)</f>
        <v>0</v>
      </c>
      <c r="F21" s="1" t="s">
        <v>417</v>
      </c>
      <c r="G21" s="40"/>
      <c r="H21" s="158">
        <f>IFERROR(ROUND($G$21/$G$8,2),0)</f>
        <v>0</v>
      </c>
      <c r="J21" s="1" t="s">
        <v>417</v>
      </c>
      <c r="K21" s="40"/>
      <c r="L21" s="158">
        <f>IFERROR(ROUND($K$21/$K$8,2),0)</f>
        <v>0</v>
      </c>
      <c r="N21" s="1" t="s">
        <v>417</v>
      </c>
      <c r="O21" s="40"/>
      <c r="P21" s="158">
        <f>IFERROR(ROUND($O$21/$O$8,2),0)</f>
        <v>0</v>
      </c>
      <c r="R21" s="1" t="s">
        <v>417</v>
      </c>
      <c r="S21" s="40"/>
      <c r="T21" s="158">
        <f>IFERROR(ROUND($S$21/$S$8,2),0)</f>
        <v>0</v>
      </c>
      <c r="V21" s="1" t="s">
        <v>417</v>
      </c>
      <c r="W21" s="40"/>
      <c r="X21" s="158">
        <f>IFERROR(ROUND($W$21/$W$8,2),0)</f>
        <v>0</v>
      </c>
      <c r="Z21" s="1" t="s">
        <v>417</v>
      </c>
      <c r="AA21" s="40"/>
      <c r="AB21" s="158">
        <f>IFERROR(ROUND($AA$21/$AA$8,2),0)</f>
        <v>0</v>
      </c>
      <c r="AD21" s="1" t="s">
        <v>417</v>
      </c>
      <c r="AE21" s="40"/>
      <c r="AF21" s="158">
        <f>IFERROR(ROUND($AE$21/$AE$8,2),0)</f>
        <v>0</v>
      </c>
      <c r="AH21" s="1" t="s">
        <v>417</v>
      </c>
      <c r="AI21" s="40"/>
      <c r="AJ21" s="158">
        <f>IFERROR(ROUND($AI$21/$AI$8,2),0)</f>
        <v>0</v>
      </c>
      <c r="AL21" s="1" t="s">
        <v>417</v>
      </c>
      <c r="AM21" s="40"/>
      <c r="AN21" s="158">
        <f>IFERROR(ROUND($AM$21/$AM$8,2),0)</f>
        <v>0</v>
      </c>
      <c r="AP21" s="1" t="s">
        <v>417</v>
      </c>
      <c r="AQ21" s="40"/>
      <c r="AR21" s="158">
        <f>IFERROR(ROUND($AQ$21/$AQ$8,2),0)</f>
        <v>0</v>
      </c>
      <c r="AT21" s="1" t="s">
        <v>417</v>
      </c>
      <c r="AU21" s="40"/>
      <c r="AV21" s="158">
        <f>IFERROR(ROUND($AU$21/$AU$8,2),0)</f>
        <v>0</v>
      </c>
      <c r="AX21" s="1" t="s">
        <v>417</v>
      </c>
      <c r="AY21" s="40"/>
      <c r="AZ21" s="158">
        <f>IFERROR(ROUND($AY$21/$AY$8,2),0)</f>
        <v>0</v>
      </c>
      <c r="BB21" s="1" t="s">
        <v>417</v>
      </c>
      <c r="BC21" s="40"/>
      <c r="BD21" s="158">
        <f>IFERROR(ROUND($BC$21/$BC$8,2),0)</f>
        <v>0</v>
      </c>
      <c r="BF21" s="1" t="s">
        <v>417</v>
      </c>
      <c r="BG21" s="40"/>
      <c r="BH21" s="158">
        <f>IFERROR(ROUND($BG$21/$BG$8,2),0)</f>
        <v>0</v>
      </c>
      <c r="BJ21" s="1" t="s">
        <v>417</v>
      </c>
      <c r="BK21" s="40"/>
      <c r="BL21" s="158">
        <f>IFERROR(ROUND($BK$21/$BK$8,2),0)</f>
        <v>0</v>
      </c>
      <c r="BN21" s="1" t="s">
        <v>417</v>
      </c>
      <c r="BO21" s="40"/>
      <c r="BP21" s="158">
        <f>IFERROR(ROUND($BO$21/$BO$8,2),0)</f>
        <v>0</v>
      </c>
      <c r="BR21" s="1" t="s">
        <v>417</v>
      </c>
      <c r="BS21" s="40"/>
      <c r="BT21" s="158">
        <f>IFERROR(ROUND($BS$21/$BS$8,2),0)</f>
        <v>0</v>
      </c>
    </row>
    <row r="22">
      <c r="B22" s="1" t="s">
        <v>418</v>
      </c>
      <c r="C22" s="40"/>
      <c r="D22" s="158">
        <f>IFERROR(ROUND($C$22/$C$8,2),0)</f>
        <v>0</v>
      </c>
      <c r="F22" s="1" t="s">
        <v>418</v>
      </c>
      <c r="G22" s="40"/>
      <c r="H22" s="158">
        <f>IFERROR(ROUND($G$22/$G$8,2),0)</f>
        <v>0</v>
      </c>
      <c r="J22" s="1" t="s">
        <v>418</v>
      </c>
      <c r="K22" s="40"/>
      <c r="L22" s="158">
        <f>IFERROR(ROUND($K$22/$K$8,2),0)</f>
        <v>0</v>
      </c>
      <c r="N22" s="1" t="s">
        <v>418</v>
      </c>
      <c r="O22" s="40"/>
      <c r="P22" s="158">
        <f>IFERROR(ROUND($O$22/$O$8,2),0)</f>
        <v>0</v>
      </c>
      <c r="R22" s="1" t="s">
        <v>418</v>
      </c>
      <c r="S22" s="40"/>
      <c r="T22" s="158">
        <f>IFERROR(ROUND($S$22/$S$8,2),0)</f>
        <v>0</v>
      </c>
      <c r="V22" s="1" t="s">
        <v>418</v>
      </c>
      <c r="W22" s="40"/>
      <c r="X22" s="158">
        <f>IFERROR(ROUND($W$22/$W$8,2),0)</f>
        <v>0</v>
      </c>
      <c r="Z22" s="1" t="s">
        <v>418</v>
      </c>
      <c r="AA22" s="40"/>
      <c r="AB22" s="158">
        <f>IFERROR(ROUND($AA$22/$AA$8,2),0)</f>
        <v>0</v>
      </c>
      <c r="AD22" s="1" t="s">
        <v>418</v>
      </c>
      <c r="AE22" s="40"/>
      <c r="AF22" s="158">
        <f>IFERROR(ROUND($AE$22/$AE$8,2),0)</f>
        <v>0</v>
      </c>
      <c r="AH22" s="1" t="s">
        <v>418</v>
      </c>
      <c r="AI22" s="40"/>
      <c r="AJ22" s="158">
        <f>IFERROR(ROUND($AI$22/$AI$8,2),0)</f>
        <v>0</v>
      </c>
      <c r="AL22" s="1" t="s">
        <v>418</v>
      </c>
      <c r="AM22" s="40"/>
      <c r="AN22" s="158">
        <f>IFERROR(ROUND($AM$22/$AM$8,2),0)</f>
        <v>0</v>
      </c>
      <c r="AP22" s="1" t="s">
        <v>418</v>
      </c>
      <c r="AQ22" s="40"/>
      <c r="AR22" s="158">
        <f>IFERROR(ROUND($AQ$22/$AQ$8,2),0)</f>
        <v>0</v>
      </c>
      <c r="AT22" s="1" t="s">
        <v>418</v>
      </c>
      <c r="AU22" s="40"/>
      <c r="AV22" s="158">
        <f>IFERROR(ROUND($AU$22/$AU$8,2),0)</f>
        <v>0</v>
      </c>
      <c r="AX22" s="1" t="s">
        <v>418</v>
      </c>
      <c r="AY22" s="40"/>
      <c r="AZ22" s="158">
        <f>IFERROR(ROUND($AY$22/$AY$8,2),0)</f>
        <v>0</v>
      </c>
      <c r="BB22" s="1" t="s">
        <v>418</v>
      </c>
      <c r="BC22" s="40"/>
      <c r="BD22" s="158">
        <f>IFERROR(ROUND($BC$22/$BC$8,2),0)</f>
        <v>0</v>
      </c>
      <c r="BF22" s="1" t="s">
        <v>418</v>
      </c>
      <c r="BG22" s="40"/>
      <c r="BH22" s="158">
        <f>IFERROR(ROUND($BG$22/$BG$8,2),0)</f>
        <v>0</v>
      </c>
      <c r="BJ22" s="1" t="s">
        <v>418</v>
      </c>
      <c r="BK22" s="40"/>
      <c r="BL22" s="158">
        <f>IFERROR(ROUND($BK$22/$BK$8,2),0)</f>
        <v>0</v>
      </c>
      <c r="BN22" s="1" t="s">
        <v>418</v>
      </c>
      <c r="BO22" s="40"/>
      <c r="BP22" s="158">
        <f>IFERROR(ROUND($BO$22/$BO$8,2),0)</f>
        <v>0</v>
      </c>
      <c r="BR22" s="1" t="s">
        <v>418</v>
      </c>
      <c r="BS22" s="40"/>
      <c r="BT22" s="158">
        <f>IFERROR(ROUND($BS$22/$BS$8,2),0)</f>
        <v>0</v>
      </c>
    </row>
    <row r="23">
      <c r="B23" s="1" t="s">
        <v>419</v>
      </c>
      <c r="C23" s="164">
        <f>ROUND(IF(Saldovortrag_LW="",0,Saldovortrag_LW),2)</f>
        <v>0</v>
      </c>
      <c r="D23" s="158">
        <f>IFERROR(ROUND($C$23/$C$8,2),0)</f>
        <v>0</v>
      </c>
      <c r="F23" s="1" t="s">
        <v>420</v>
      </c>
      <c r="G23" s="164">
        <f>ROUND(IFERROR(FB_SaldoLC_1,0),2)</f>
        <v>0</v>
      </c>
      <c r="H23" s="158">
        <f>IFERROR(ROUND($G$23/$G$8,2),0)</f>
        <v>0</v>
      </c>
      <c r="J23" s="1" t="s">
        <v>420</v>
      </c>
      <c r="K23" s="164">
        <f>ROUND(IFERROR(FB_SaldoLC_2,0),2)</f>
        <v>0</v>
      </c>
      <c r="L23" s="158">
        <f>IFERROR(ROUND($K$23/$K$8,2),0)</f>
        <v>0</v>
      </c>
      <c r="N23" s="1" t="s">
        <v>420</v>
      </c>
      <c r="O23" s="164">
        <f>ROUND(IFERROR(FB_SaldoLC_3,0),2)</f>
        <v>0</v>
      </c>
      <c r="P23" s="158">
        <f>IFERROR(ROUND($O$23/$O$8,2),0)</f>
        <v>0</v>
      </c>
      <c r="R23" s="1" t="s">
        <v>420</v>
      </c>
      <c r="S23" s="164">
        <f>ROUND(IFERROR(FB_SaldoLC_4,0),2)</f>
        <v>0</v>
      </c>
      <c r="T23" s="158">
        <f>IFERROR(ROUND($S$23/$S$8,2),0)</f>
        <v>0</v>
      </c>
      <c r="V23" s="1" t="s">
        <v>420</v>
      </c>
      <c r="W23" s="164">
        <f>ROUND(IFERROR(FB_SaldoLC_5,0),2)</f>
        <v>0</v>
      </c>
      <c r="X23" s="158">
        <f>IFERROR(ROUND($W$23/$W$8,2),0)</f>
        <v>0</v>
      </c>
      <c r="Z23" s="1" t="s">
        <v>420</v>
      </c>
      <c r="AA23" s="164">
        <f>ROUND(IFERROR(FB_SaldoLC_6,0),2)</f>
        <v>0</v>
      </c>
      <c r="AB23" s="158">
        <f>IFERROR(ROUND($AA$23/$AA$8,2),0)</f>
        <v>0</v>
      </c>
      <c r="AD23" s="1" t="s">
        <v>420</v>
      </c>
      <c r="AE23" s="164">
        <f>ROUND(IFERROR(FB_SaldoLC_7,0),2)</f>
        <v>0</v>
      </c>
      <c r="AF23" s="158">
        <f>IFERROR(ROUND($AE$23/$AE$8,2),0)</f>
        <v>0</v>
      </c>
      <c r="AH23" s="1" t="s">
        <v>420</v>
      </c>
      <c r="AI23" s="164">
        <f>ROUND(IFERROR(FB_SaldoLC_8,0),2)</f>
        <v>0</v>
      </c>
      <c r="AJ23" s="158">
        <f>IFERROR(ROUND($AI$23/$AI$8,2),0)</f>
        <v>0</v>
      </c>
      <c r="AL23" s="1" t="s">
        <v>420</v>
      </c>
      <c r="AM23" s="164">
        <f>ROUND(IFERROR(FB_SaldoLC_9,0),2)</f>
        <v>0</v>
      </c>
      <c r="AN23" s="158">
        <f>IFERROR(ROUND($AM$23/$AM$8,2),0)</f>
        <v>0</v>
      </c>
      <c r="AP23" s="1" t="s">
        <v>420</v>
      </c>
      <c r="AQ23" s="164">
        <f>ROUND(IFERROR(FB_SaldoLC_10,0),2)</f>
        <v>0</v>
      </c>
      <c r="AR23" s="158">
        <f>IFERROR(ROUND($AQ$23/$AQ$8,2),0)</f>
        <v>0</v>
      </c>
      <c r="AT23" s="1" t="s">
        <v>420</v>
      </c>
      <c r="AU23" s="164">
        <f>ROUND(IFERROR(FB_SaldoLC_11,0),2)</f>
        <v>0</v>
      </c>
      <c r="AV23" s="158">
        <f>IFERROR(ROUND($AU$23/$AU$8,2),0)</f>
        <v>0</v>
      </c>
      <c r="AX23" s="1" t="s">
        <v>420</v>
      </c>
      <c r="AY23" s="164">
        <f>ROUND(IFERROR(FB_SaldoLC_12,0),2)</f>
        <v>0</v>
      </c>
      <c r="AZ23" s="158">
        <f>IFERROR(ROUND($AY$23/$AY$8,2),0)</f>
        <v>0</v>
      </c>
      <c r="BB23" s="1" t="s">
        <v>420</v>
      </c>
      <c r="BC23" s="164">
        <f>ROUND(IFERROR(FB_SaldoLC_13,0),2)</f>
        <v>0</v>
      </c>
      <c r="BD23" s="158">
        <f>IFERROR(ROUND($BC$23/$BC$8,2),0)</f>
        <v>0</v>
      </c>
      <c r="BF23" s="1" t="s">
        <v>420</v>
      </c>
      <c r="BG23" s="164">
        <f>ROUND(IFERROR(FB_SaldoLC_14,0),2)</f>
        <v>0</v>
      </c>
      <c r="BH23" s="158">
        <f>IFERROR(ROUND($BG$23/$BG$8,2),0)</f>
        <v>0</v>
      </c>
      <c r="BJ23" s="1" t="s">
        <v>420</v>
      </c>
      <c r="BK23" s="164">
        <f>ROUND(IFERROR(FB_SaldoLC_15,0),2)</f>
        <v>0</v>
      </c>
      <c r="BL23" s="158">
        <f>IFERROR(ROUND($BK$23/$BK$8,2),0)</f>
        <v>0</v>
      </c>
      <c r="BN23" s="1" t="s">
        <v>420</v>
      </c>
      <c r="BO23" s="164">
        <f>ROUND(IFERROR(FB_SaldoLC_16,0),2)</f>
        <v>0</v>
      </c>
      <c r="BP23" s="158">
        <f>IFERROR(ROUND($BO$23/$BO$8,2),0)</f>
        <v>0</v>
      </c>
      <c r="BR23" s="1" t="s">
        <v>420</v>
      </c>
      <c r="BS23" s="164">
        <f>ROUND(IFERROR(FB_SaldoLC_17,0),2)</f>
        <v>0</v>
      </c>
      <c r="BT23" s="158">
        <f>IFERROR(ROUND($BS$23/$BS$8,2),0)</f>
        <v>0</v>
      </c>
    </row>
    <row r="25">
      <c r="B25" s="165" t="s">
        <v>421</v>
      </c>
      <c r="C25" s="166">
        <f>IFERROR(ROUND($C$18-$C$21-$C$22-$C$23,2),0)</f>
        <v>0</v>
      </c>
      <c r="D25" s="167">
        <f>IFERROR(ROUND($D$18-$D$21-$D$22-$D$23,2),0)</f>
        <v>0</v>
      </c>
      <c r="F25" s="165" t="s">
        <v>421</v>
      </c>
      <c r="G25" s="166">
        <f>IFERROR(ROUND($G$18-$G$21-$G$22-$G$23,2),0)</f>
        <v>0</v>
      </c>
      <c r="H25" s="167">
        <f>IFERROR(ROUND($H$18-$H$21-$H$22-$H$23,2),0)</f>
        <v>0</v>
      </c>
      <c r="J25" s="165" t="s">
        <v>421</v>
      </c>
      <c r="K25" s="166">
        <f>IFERROR(ROUND($K$18-$K$21-$K$22-$K$23,2),0)</f>
        <v>0</v>
      </c>
      <c r="L25" s="167">
        <f>IFERROR(ROUND($L$18-$L$21-$L$22-$L$23,2),0)</f>
        <v>0</v>
      </c>
      <c r="N25" s="165" t="s">
        <v>421</v>
      </c>
      <c r="O25" s="166">
        <f>IFERROR(ROUND($O$18-$O$21-$O$22-$O$23,2),0)</f>
        <v>0</v>
      </c>
      <c r="P25" s="167">
        <f>IFERROR(ROUND($P$18-$P$21-$P$22-$P$23,2),0)</f>
        <v>0</v>
      </c>
      <c r="R25" s="165" t="s">
        <v>421</v>
      </c>
      <c r="S25" s="166">
        <f>IFERROR(ROUND($S$18-$S$21-$S$22-$S$23,2),0)</f>
        <v>0</v>
      </c>
      <c r="T25" s="167">
        <f>IFERROR(ROUND($T$18-$T$21-$T$22-$T$23,2),0)</f>
        <v>0</v>
      </c>
      <c r="V25" s="165" t="s">
        <v>421</v>
      </c>
      <c r="W25" s="166">
        <f>IFERROR(ROUND($W$18-$W$21-$W$22-$W$23,2),0)</f>
        <v>0</v>
      </c>
      <c r="X25" s="167">
        <f>IFERROR(ROUND($X$18-$X$21-$X$22-$X$23,2),0)</f>
        <v>0</v>
      </c>
      <c r="Z25" s="165" t="s">
        <v>421</v>
      </c>
      <c r="AA25" s="166">
        <f>IFERROR(ROUND($AA$18-$AA$21-$AA$22-$AA$23,2),0)</f>
        <v>0</v>
      </c>
      <c r="AB25" s="167">
        <f>IFERROR(ROUND($AB$18-$AB$21-$AB$22-$AB$23,2),0)</f>
        <v>0</v>
      </c>
      <c r="AD25" s="165" t="s">
        <v>421</v>
      </c>
      <c r="AE25" s="166">
        <f>IFERROR(ROUND($AE$18-$AE$21-$AE$22-$AE$23,2),0)</f>
        <v>0</v>
      </c>
      <c r="AF25" s="167">
        <f>IFERROR(ROUND($AF$18-$AF$21-$AF$22-$AF$23,2),0)</f>
        <v>0</v>
      </c>
      <c r="AH25" s="165" t="s">
        <v>421</v>
      </c>
      <c r="AI25" s="166">
        <f>IFERROR(ROUND($AI$18-$AI$21-$AI$22-$AI$23,2),0)</f>
        <v>0</v>
      </c>
      <c r="AJ25" s="167">
        <f>IFERROR(ROUND($AJ$18-$AJ$21-$AJ$22-$AJ$23,2),0)</f>
        <v>0</v>
      </c>
      <c r="AL25" s="165" t="s">
        <v>421</v>
      </c>
      <c r="AM25" s="166">
        <f>IFERROR(ROUND($AM$18-$AM$21-$AM$22-$AM$23,2),0)</f>
        <v>0</v>
      </c>
      <c r="AN25" s="167">
        <f>IFERROR(ROUND($AN$18-$AN$21-$AN$22-$AN$23,2),0)</f>
        <v>0</v>
      </c>
      <c r="AP25" s="165" t="s">
        <v>421</v>
      </c>
      <c r="AQ25" s="166">
        <f>IFERROR(ROUND($AQ$18-$AQ$21-$AQ$22-$AQ$23,2),0)</f>
        <v>0</v>
      </c>
      <c r="AR25" s="167">
        <f>IFERROR(ROUND($AR$18-$AR$21-$AR$22-$AR$23,2),0)</f>
        <v>0</v>
      </c>
      <c r="AT25" s="165" t="s">
        <v>421</v>
      </c>
      <c r="AU25" s="166">
        <f>IFERROR(ROUND($AU$18-$AU$21-$AU$22-$AU$23,2),0)</f>
        <v>0</v>
      </c>
      <c r="AV25" s="167">
        <f>IFERROR(ROUND($AV$18-$AV$21-$AV$22-$AV$23,2),0)</f>
        <v>0</v>
      </c>
      <c r="AX25" s="165" t="s">
        <v>421</v>
      </c>
      <c r="AY25" s="166">
        <f>IFERROR(ROUND($AY$18-$AY$21-$AY$22-$AY$23,2),0)</f>
        <v>0</v>
      </c>
      <c r="AZ25" s="167">
        <f>IFERROR(ROUND($AZ$18-$AZ$21-$AZ$22-$AZ$23,2),0)</f>
        <v>0</v>
      </c>
      <c r="BB25" s="165" t="s">
        <v>421</v>
      </c>
      <c r="BC25" s="166">
        <f>IFERROR(ROUND($BC$18-$BC$21-$BC$22-$BC$23,2),0)</f>
        <v>0</v>
      </c>
      <c r="BD25" s="167">
        <f>IFERROR(ROUND($BD$18-$BD$21-$BD$22-$BD$23,2),0)</f>
        <v>0</v>
      </c>
      <c r="BF25" s="165" t="s">
        <v>421</v>
      </c>
      <c r="BG25" s="166">
        <f>IFERROR(ROUND($BG$18-$BG$21-$BG$22-$BG$23,2),0)</f>
        <v>0</v>
      </c>
      <c r="BH25" s="167">
        <f>IFERROR(ROUND($BH$18-$BH$21-$BH$22-$BH$23,2),0)</f>
        <v>0</v>
      </c>
      <c r="BJ25" s="165" t="s">
        <v>421</v>
      </c>
      <c r="BK25" s="166">
        <f>IFERROR(ROUND($BK$18-$BK$21-$BK$22-$BK$23,2),0)</f>
        <v>0</v>
      </c>
      <c r="BL25" s="167">
        <f>IFERROR(ROUND($BL$18-$BL$21-$BL$22-$BL$23,2),0)</f>
        <v>0</v>
      </c>
      <c r="BN25" s="165" t="s">
        <v>421</v>
      </c>
      <c r="BO25" s="166">
        <f>IFERROR(ROUND($BO$18-$BO$21-$BO$22-$BO$23,2),0)</f>
        <v>0</v>
      </c>
      <c r="BP25" s="167">
        <f>IFERROR(ROUND($BP$18-$BP$21-$BP$22-$BP$23,2),0)</f>
        <v>0</v>
      </c>
      <c r="BR25" s="165" t="s">
        <v>421</v>
      </c>
      <c r="BS25" s="166">
        <f>IFERROR(ROUND($BS$18-$BS$21-$BS$22-$BS$23,2),0)</f>
        <v>0</v>
      </c>
      <c r="BT25" s="167">
        <f>IFERROR(ROUND($BT$18-$BT$21-$BT$22-$BT$23,2),0)</f>
        <v>0</v>
      </c>
    </row>
    <row r="27">
      <c r="B27" s="157" t="s">
        <v>422</v>
      </c>
      <c r="C27" s="157"/>
      <c r="D27" s="168"/>
      <c r="F27" s="157" t="s">
        <v>422</v>
      </c>
      <c r="G27" s="157"/>
      <c r="H27" s="168"/>
      <c r="J27" s="157" t="s">
        <v>422</v>
      </c>
      <c r="K27" s="157"/>
      <c r="L27" s="168"/>
      <c r="N27" s="157" t="s">
        <v>422</v>
      </c>
      <c r="O27" s="157"/>
      <c r="P27" s="168"/>
      <c r="R27" s="157" t="s">
        <v>422</v>
      </c>
      <c r="S27" s="157"/>
      <c r="T27" s="168"/>
      <c r="V27" s="157" t="s">
        <v>422</v>
      </c>
      <c r="W27" s="157"/>
      <c r="X27" s="168"/>
      <c r="Z27" s="157" t="s">
        <v>422</v>
      </c>
      <c r="AA27" s="157"/>
      <c r="AB27" s="168"/>
      <c r="AD27" s="157" t="s">
        <v>422</v>
      </c>
      <c r="AE27" s="157"/>
      <c r="AF27" s="168"/>
      <c r="AH27" s="157" t="s">
        <v>422</v>
      </c>
      <c r="AI27" s="157"/>
      <c r="AJ27" s="168"/>
      <c r="AL27" s="157" t="s">
        <v>422</v>
      </c>
      <c r="AM27" s="157"/>
      <c r="AN27" s="168"/>
      <c r="AP27" s="157" t="s">
        <v>422</v>
      </c>
      <c r="AQ27" s="157"/>
      <c r="AR27" s="168"/>
      <c r="AT27" s="157" t="s">
        <v>422</v>
      </c>
      <c r="AU27" s="157"/>
      <c r="AV27" s="168"/>
      <c r="AX27" s="157" t="s">
        <v>422</v>
      </c>
      <c r="AY27" s="157"/>
      <c r="AZ27" s="168"/>
      <c r="BB27" s="157" t="s">
        <v>422</v>
      </c>
      <c r="BC27" s="157"/>
      <c r="BD27" s="168"/>
      <c r="BF27" s="157" t="s">
        <v>422</v>
      </c>
      <c r="BG27" s="157"/>
      <c r="BH27" s="168"/>
      <c r="BJ27" s="157" t="s">
        <v>422</v>
      </c>
      <c r="BK27" s="157"/>
      <c r="BL27" s="168"/>
      <c r="BN27" s="157" t="s">
        <v>422</v>
      </c>
      <c r="BO27" s="157"/>
      <c r="BP27" s="168"/>
      <c r="BR27" s="157" t="s">
        <v>422</v>
      </c>
      <c r="BS27" s="157"/>
      <c r="BT27" s="168"/>
    </row>
  </sheetData>
  <sheetProtection algorithmName="SHA-512" hashValue="vYGS9ri6ksHlA32xbvWGhZg/8+pbfkEh8tIBbXfwjg5T5u13Mhqm2octwDFb2BZsukWeev7c3xvaa0lbGR97gQ==" saltValue="a213ZmJfcnB0X3YxXyEhAA==" spinCount="100000" sheet="1" selectLockedCells="0" selectUnlockedCells="0" formatCells="1" formatColumns="1" formatRows="1" insertColumns="1" insertRows="1" insertHyperlinks="1" deleteColumns="1" deleteRows="1" sort="1" autoFilter="0" pivotTables="1" objects="1" scenarios="1"/>
  <mergeCells count="108">
    <mergeCell ref="C4:D4"/>
    <mergeCell ref="C5:D5"/>
    <mergeCell ref="C6:D6"/>
    <mergeCell ref="C7:D7"/>
    <mergeCell ref="C8:D8"/>
    <mergeCell ref="B27:C27"/>
    <mergeCell ref="G4:H4"/>
    <mergeCell ref="G5:H5"/>
    <mergeCell ref="G6:H6"/>
    <mergeCell ref="G7:H7"/>
    <mergeCell ref="G8:H8"/>
    <mergeCell ref="F27:G27"/>
    <mergeCell ref="K4:L4"/>
    <mergeCell ref="K5:L5"/>
    <mergeCell ref="K6:L6"/>
    <mergeCell ref="K7:L7"/>
    <mergeCell ref="K8:L8"/>
    <mergeCell ref="J27:K27"/>
    <mergeCell ref="O4:P4"/>
    <mergeCell ref="O5:P5"/>
    <mergeCell ref="O6:P6"/>
    <mergeCell ref="O7:P7"/>
    <mergeCell ref="O8:P8"/>
    <mergeCell ref="N27:O27"/>
    <mergeCell ref="S4:T4"/>
    <mergeCell ref="S5:T5"/>
    <mergeCell ref="S6:T6"/>
    <mergeCell ref="S7:T7"/>
    <mergeCell ref="S8:T8"/>
    <mergeCell ref="R27:S27"/>
    <mergeCell ref="W4:X4"/>
    <mergeCell ref="W5:X5"/>
    <mergeCell ref="W6:X6"/>
    <mergeCell ref="W7:X7"/>
    <mergeCell ref="W8:X8"/>
    <mergeCell ref="V27:W27"/>
    <mergeCell ref="AA4:AB4"/>
    <mergeCell ref="AA5:AB5"/>
    <mergeCell ref="AA6:AB6"/>
    <mergeCell ref="AA7:AB7"/>
    <mergeCell ref="AA8:AB8"/>
    <mergeCell ref="Z27:AA27"/>
    <mergeCell ref="AE4:AF4"/>
    <mergeCell ref="AE5:AF5"/>
    <mergeCell ref="AE6:AF6"/>
    <mergeCell ref="AE7:AF7"/>
    <mergeCell ref="AE8:AF8"/>
    <mergeCell ref="AD27:AE27"/>
    <mergeCell ref="AI4:AJ4"/>
    <mergeCell ref="AI5:AJ5"/>
    <mergeCell ref="AI6:AJ6"/>
    <mergeCell ref="AI7:AJ7"/>
    <mergeCell ref="AI8:AJ8"/>
    <mergeCell ref="AH27:AI27"/>
    <mergeCell ref="AM4:AN4"/>
    <mergeCell ref="AM5:AN5"/>
    <mergeCell ref="AM6:AN6"/>
    <mergeCell ref="AM7:AN7"/>
    <mergeCell ref="AM8:AN8"/>
    <mergeCell ref="AL27:AM27"/>
    <mergeCell ref="AQ4:AR4"/>
    <mergeCell ref="AQ5:AR5"/>
    <mergeCell ref="AQ6:AR6"/>
    <mergeCell ref="AQ7:AR7"/>
    <mergeCell ref="AQ8:AR8"/>
    <mergeCell ref="AP27:AQ27"/>
    <mergeCell ref="AU4:AV4"/>
    <mergeCell ref="AU5:AV5"/>
    <mergeCell ref="AU6:AV6"/>
    <mergeCell ref="AU7:AV7"/>
    <mergeCell ref="AU8:AV8"/>
    <mergeCell ref="AT27:AU27"/>
    <mergeCell ref="AY4:AZ4"/>
    <mergeCell ref="AY5:AZ5"/>
    <mergeCell ref="AY6:AZ6"/>
    <mergeCell ref="AY7:AZ7"/>
    <mergeCell ref="AY8:AZ8"/>
    <mergeCell ref="AX27:AY27"/>
    <mergeCell ref="BC4:BD4"/>
    <mergeCell ref="BC5:BD5"/>
    <mergeCell ref="BC6:BD6"/>
    <mergeCell ref="BC7:BD7"/>
    <mergeCell ref="BC8:BD8"/>
    <mergeCell ref="BB27:BC27"/>
    <mergeCell ref="BG4:BH4"/>
    <mergeCell ref="BG5:BH5"/>
    <mergeCell ref="BG6:BH6"/>
    <mergeCell ref="BG7:BH7"/>
    <mergeCell ref="BG8:BH8"/>
    <mergeCell ref="BF27:BG27"/>
    <mergeCell ref="BK4:BL4"/>
    <mergeCell ref="BK5:BL5"/>
    <mergeCell ref="BK6:BL6"/>
    <mergeCell ref="BK7:BL7"/>
    <mergeCell ref="BK8:BL8"/>
    <mergeCell ref="BJ27:BK27"/>
    <mergeCell ref="BO4:BP4"/>
    <mergeCell ref="BO5:BP5"/>
    <mergeCell ref="BO6:BP6"/>
    <mergeCell ref="BO7:BP7"/>
    <mergeCell ref="BO8:BP8"/>
    <mergeCell ref="BN27:BO27"/>
    <mergeCell ref="BS4:BT4"/>
    <mergeCell ref="BS5:BT5"/>
    <mergeCell ref="BS6:BT6"/>
    <mergeCell ref="BS7:BT7"/>
    <mergeCell ref="BS8:BT8"/>
    <mergeCell ref="BR27:BS27"/>
  </mergeCells>
  <dataValidations count="18" disablePrompts="0">
    <dataValidation sqref="C4" type="list" allowBlank="1" errorStyle="stop" imeMode="noControl" operator="between" showDropDown="0" showErrorMessage="0" showInputMessage="0">
      <formula1>'Daten'!$A$1:$A$18</formula1>
    </dataValidation>
    <dataValidation sqref="G4" type="list" allowBlank="1" errorStyle="stop" imeMode="noControl" operator="between" showDropDown="0" showErrorMessage="0" showInputMessage="0">
      <formula1>'Daten'!$A$1:$A$18</formula1>
    </dataValidation>
    <dataValidation sqref="K4" type="list" allowBlank="1" errorStyle="stop" imeMode="noControl" operator="between" showDropDown="0" showErrorMessage="0" showInputMessage="0">
      <formula1>'Daten'!$A$1:$A$18</formula1>
    </dataValidation>
    <dataValidation sqref="O4" type="list" allowBlank="1" errorStyle="stop" imeMode="noControl" operator="between" showDropDown="0" showErrorMessage="0" showInputMessage="0">
      <formula1>'Daten'!$A$1:$A$18</formula1>
    </dataValidation>
    <dataValidation sqref="S4" type="list" allowBlank="1" errorStyle="stop" imeMode="noControl" operator="between" showDropDown="0" showErrorMessage="0" showInputMessage="0">
      <formula1>'Daten'!$A$1:$A$18</formula1>
    </dataValidation>
    <dataValidation sqref="W4" type="list" allowBlank="1" errorStyle="stop" imeMode="noControl" operator="between" showDropDown="0" showErrorMessage="0" showInputMessage="0">
      <formula1>'Daten'!$A$1:$A$18</formula1>
    </dataValidation>
    <dataValidation sqref="AA4" type="list" allowBlank="1" errorStyle="stop" imeMode="noControl" operator="between" showDropDown="0" showErrorMessage="0" showInputMessage="0">
      <formula1>'Daten'!$A$1:$A$18</formula1>
    </dataValidation>
    <dataValidation sqref="AE4" type="list" allowBlank="1" errorStyle="stop" imeMode="noControl" operator="between" showDropDown="0" showErrorMessage="0" showInputMessage="0">
      <formula1>'Daten'!$A$1:$A$18</formula1>
    </dataValidation>
    <dataValidation sqref="AI4" type="list" allowBlank="1" errorStyle="stop" imeMode="noControl" operator="between" showDropDown="0" showErrorMessage="0" showInputMessage="0">
      <formula1>'Daten'!$A$1:$A$18</formula1>
    </dataValidation>
    <dataValidation sqref="AM4" type="list" allowBlank="1" errorStyle="stop" imeMode="noControl" operator="between" showDropDown="0" showErrorMessage="0" showInputMessage="0">
      <formula1>'Daten'!$A$1:$A$18</formula1>
    </dataValidation>
    <dataValidation sqref="AQ4" type="list" allowBlank="1" errorStyle="stop" imeMode="noControl" operator="between" showDropDown="0" showErrorMessage="0" showInputMessage="0">
      <formula1>'Daten'!$A$1:$A$18</formula1>
    </dataValidation>
    <dataValidation sqref="AU4" type="list" allowBlank="1" errorStyle="stop" imeMode="noControl" operator="between" showDropDown="0" showErrorMessage="0" showInputMessage="0">
      <formula1>'Daten'!$A$1:$A$18</formula1>
    </dataValidation>
    <dataValidation sqref="AY4" type="list" allowBlank="1" errorStyle="stop" imeMode="noControl" operator="between" showDropDown="0" showErrorMessage="0" showInputMessage="0">
      <formula1>'Daten'!$A$1:$A$18</formula1>
    </dataValidation>
    <dataValidation sqref="BC4" type="list" allowBlank="1" errorStyle="stop" imeMode="noControl" operator="between" showDropDown="0" showErrorMessage="0" showInputMessage="0">
      <formula1>'Daten'!$A$1:$A$18</formula1>
    </dataValidation>
    <dataValidation sqref="BG4" type="list" allowBlank="1" errorStyle="stop" imeMode="noControl" operator="between" showDropDown="0" showErrorMessage="0" showInputMessage="0">
      <formula1>'Daten'!$A$1:$A$18</formula1>
    </dataValidation>
    <dataValidation sqref="BK4" type="list" allowBlank="1" errorStyle="stop" imeMode="noControl" operator="between" showDropDown="0" showErrorMessage="0" showInputMessage="0">
      <formula1>'Daten'!$A$1:$A$18</formula1>
    </dataValidation>
    <dataValidation sqref="BO4" type="list" allowBlank="1" errorStyle="stop" imeMode="noControl" operator="between" showDropDown="0" showErrorMessage="0" showInputMessage="0">
      <formula1>'Daten'!$A$1:$A$18</formula1>
    </dataValidation>
    <dataValidation sqref="BS4" type="list" allowBlank="1" errorStyle="stop" imeMode="noControl" operator="between" showDropDown="0" showErrorMessage="0" showInputMessage="0">
      <formula1>'Daten'!$A$1:$A$18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defaultRowHeight="15"/>
  <cols>
    <col min="1" max="1" style="278" customWidth="1" width="3"/>
    <col min="2" max="2" style="278" customWidth="1" width="42"/>
    <col min="3" max="10" style="278" customWidth="1" width="20"/>
    <col min="11" max="11" style="1" customWidth="1" width="3"/>
    <col min="12" max="12" style="1" customWidth="1" width="25"/>
    <col min="13" max="16" style="1" customWidth="1" width="18"/>
    <col min="17" max="29" style="1" width="9.140625"/>
    <col min="30" max="30" style="1" customWidth="1" hidden="1" width="9.140625"/>
    <col min="31" max="16384" style="1" width="9.140625"/>
  </cols>
  <sheetData>
    <row r="2" ht="30" customHeight="1">
      <c r="B2" s="169" t="s">
        <v>423</v>
      </c>
      <c r="C2" s="169"/>
      <c r="D2" s="169"/>
      <c r="E2" s="169"/>
      <c r="F2" s="169"/>
      <c r="G2" s="169"/>
      <c r="H2" s="169"/>
      <c r="I2" s="169"/>
      <c r="J2" s="169"/>
    </row>
    <row r="3" ht="18" customHeight="1">
      <c r="B3" s="170" t="s">
        <v>424</v>
      </c>
      <c r="C3" s="170"/>
      <c r="D3" s="170"/>
      <c r="E3" s="170"/>
      <c r="F3" s="170"/>
      <c r="G3" s="170"/>
      <c r="H3" s="170"/>
      <c r="I3" s="170"/>
      <c r="J3" s="170"/>
    </row>
    <row r="5" ht="22" customHeight="1">
      <c r="B5" s="171" t="s">
        <v>425</v>
      </c>
      <c r="C5" s="171"/>
      <c r="D5" s="171"/>
      <c r="E5" s="171"/>
      <c r="F5" s="171"/>
      <c r="G5" s="171"/>
      <c r="H5" s="171"/>
      <c r="I5" s="171"/>
      <c r="J5" s="171"/>
      <c r="L5" s="172" t="str">
        <f>IF(E11=0,"Aktuelle Mittelanforderung (keine gewählt)","Aktuelle Mittelanforderung – Periode "&amp;E10&amp;" (#"&amp;E11&amp;")")</f>
        <v xml:space="preserve">Aktuelle Mittelanforderung (keine gewählt)</v>
      </c>
      <c r="M5" s="173"/>
      <c r="N5" s="174"/>
      <c r="AD5" s="1">
        <f>IFERROR(SUMPRODUCT('Daten'!$BA$1:$BA$18,('Daten'!$BB$1:$BB$18=E10)*('Daten'!$BD$1:$BD$18=E11)),0)</f>
        <v>1</v>
      </c>
    </row>
    <row r="6">
      <c r="B6" s="175" t="s">
        <v>426</v>
      </c>
      <c r="C6" s="175"/>
      <c r="D6" s="175"/>
      <c r="E6" s="175"/>
      <c r="F6" s="175"/>
      <c r="G6" s="175"/>
      <c r="H6" s="175"/>
      <c r="I6" s="175"/>
      <c r="J6" s="175"/>
      <c r="L6" s="176" t="s">
        <v>374</v>
      </c>
      <c r="M6" s="177" t="str">
        <f>IFERROR(CHOOSE($AD$5,'IV. MA'!$C$4,'IV. MA'!$G$4,'IV. MA'!$K$4,'IV. MA'!$O$4,'IV. MA'!$S$4,'IV. MA'!$W$4,'IV. MA'!$AA$4,'IV. MA'!$AE$4,'IV. MA'!$AI$4,'IV. MA'!$AM$4,'IV. MA'!$AQ$4,'IV. MA'!$AU$4,'IV. MA'!$AY$4,'IV. MA'!$BC$4,'IV. MA'!$BG$4,'IV. MA'!$BK$4,'IV. MA'!$BO$4,'IV. MA'!$BS$4),"")</f>
        <v xml:space="preserve">Periode 1</v>
      </c>
      <c r="N6" s="178"/>
    </row>
    <row r="7">
      <c r="L7" s="176" t="s">
        <v>375</v>
      </c>
      <c r="M7" s="179">
        <f>IFERROR(CHOOSE($AD$5,'IV. MA'!$C$5,'IV. MA'!$G$5,'IV. MA'!$K$5,'IV. MA'!$O$5,'IV. MA'!$S$5,'IV. MA'!$W$5,'IV. MA'!$AA$5,'IV. MA'!$AE$5,'IV. MA'!$AI$5,'IV. MA'!$AM$5,'IV. MA'!$AQ$5,'IV. MA'!$AU$5,'IV. MA'!$AY$5,'IV. MA'!$BC$5,'IV. MA'!$BG$5,'IV. MA'!$BK$5,'IV. MA'!$BO$5,'IV. MA'!$BS$5),"")</f>
        <v>0</v>
      </c>
      <c r="N7" s="180"/>
    </row>
    <row r="8" ht="22" customHeight="1">
      <c r="C8" s="172" t="s">
        <v>427</v>
      </c>
      <c r="D8" s="173"/>
      <c r="E8" s="173"/>
      <c r="F8" s="173"/>
      <c r="G8" s="174"/>
      <c r="L8" s="176" t="s">
        <v>376</v>
      </c>
      <c r="M8" s="179">
        <f>IFERROR(CHOOSE($AD$5,'IV. MA'!$C$6,'IV. MA'!$G$6,'IV. MA'!$K$6,'IV. MA'!$O$6,'IV. MA'!$S$6,'IV. MA'!$W$6,'IV. MA'!$AA$6,'IV. MA'!$AE$6,'IV. MA'!$AI$6,'IV. MA'!$AM$6,'IV. MA'!$AQ$6,'IV. MA'!$AU$6,'IV. MA'!$AY$6,'IV. MA'!$BC$6,'IV. MA'!$BG$6,'IV. MA'!$BK$6,'IV. MA'!$BO$6,'IV. MA'!$BS$6),"")</f>
        <v>0</v>
      </c>
      <c r="N8" s="180"/>
    </row>
    <row r="9">
      <c r="C9" s="181" t="s">
        <v>428</v>
      </c>
      <c r="D9" s="182"/>
      <c r="E9" s="183" t="s">
        <v>429</v>
      </c>
      <c r="F9" s="183"/>
      <c r="G9" s="184"/>
      <c r="L9" s="176" t="s">
        <v>377</v>
      </c>
      <c r="M9" s="185" t="str">
        <f>IFERROR(CHOOSE($AD$5,'IV. MA'!$C$7,'IV. MA'!$G$7,'IV. MA'!$K$7,'IV. MA'!$O$7,'IV. MA'!$S$7,'IV. MA'!$W$7,'IV. MA'!$AA$7,'IV. MA'!$AE$7,'IV. MA'!$AI$7,'IV. MA'!$AM$7,'IV. MA'!$AQ$7,'IV. MA'!$AU$7,'IV. MA'!$AY$7,'IV. MA'!$BC$7,'IV. MA'!$BG$7,'IV. MA'!$BK$7,'IV. MA'!$BO$7,'IV. MA'!$BS$7),"")</f>
        <v/>
      </c>
      <c r="N9" s="186"/>
    </row>
    <row r="10">
      <c r="C10" s="181" t="s">
        <v>430</v>
      </c>
      <c r="D10" s="182"/>
      <c r="E10" s="187">
        <f>E81+1</f>
        <v>1</v>
      </c>
      <c r="F10" s="187"/>
      <c r="G10" s="188"/>
      <c r="L10" s="176" t="s">
        <v>411</v>
      </c>
      <c r="M10" s="189">
        <f>IFERROR(CHOOSE($AD$5,'IV. MA'!$C$8,'IV. MA'!$G$8,'IV. MA'!$K$8,'IV. MA'!$O$8,'IV. MA'!$S$8,'IV. MA'!$W$8,'IV. MA'!$AA$8,'IV. MA'!$AE$8,'IV. MA'!$AI$8,'IV. MA'!$AM$8,'IV. MA'!$AQ$8,'IV. MA'!$AU$8,'IV. MA'!$AY$8,'IV. MA'!$BC$8,'IV. MA'!$BG$8,'IV. MA'!$BK$8,'IV. MA'!$BO$8,'IV. MA'!$BS$8),"")</f>
        <v>0</v>
      </c>
      <c r="N10" s="190"/>
    </row>
    <row r="11">
      <c r="C11" s="181" t="s">
        <v>431</v>
      </c>
      <c r="D11" s="182"/>
      <c r="E11" s="187">
        <f>IF(E9="Neuste MA",IFERROR(SUMPRODUCT(MAX(('Daten'!$BB$1:$BB$18=E10)*('Daten'!$BC$1:$BC$18=1)*'Daten'!$BD$1:$BD$18)),0),IFERROR(VALUE(MID(E9,FIND("(#",E9)+2,FIND(")",E9)-FIND("(#",E9)-2)),0))</f>
        <v>0</v>
      </c>
      <c r="F11" s="187"/>
      <c r="G11" s="188"/>
      <c r="L11" s="22"/>
      <c r="N11" s="23"/>
    </row>
    <row r="12">
      <c r="C12" s="191" t="s">
        <v>432</v>
      </c>
      <c r="D12" s="192"/>
      <c r="E12" s="192"/>
      <c r="F12" s="192"/>
      <c r="G12" s="193"/>
      <c r="L12" s="194" t="s">
        <v>208</v>
      </c>
      <c r="M12" s="156" t="s">
        <v>412</v>
      </c>
      <c r="N12" s="195" t="s">
        <v>413</v>
      </c>
    </row>
    <row r="13">
      <c r="C13" s="196" t="str">
        <f>IF(1&lt;=E11,"Periode "&amp;E10&amp;" (#1)","")</f>
        <v/>
      </c>
      <c r="D13" s="197"/>
      <c r="E13" s="198" t="str">
        <f>IF(1&lt;=E11,IFERROR(SUMIFS('Daten'!$BF$1:$BF$18,'Daten'!$BB$1:$BB$18,E10,'Daten'!$BD$1:$BD$18,1),0),"")</f>
        <v/>
      </c>
      <c r="F13" s="198"/>
      <c r="G13" s="199" t="str">
        <f>IF(1&lt;=E11,IFERROR(SUMIFS('Daten'!$BG$1:$BG$18,'Daten'!$BB$1:$BB$18,E10,'Daten'!$BD$1:$BD$18,1),0),"")</f>
        <v/>
      </c>
      <c r="L13" s="108" t="s">
        <v>212</v>
      </c>
      <c r="M13" s="109">
        <f>IFERROR(CHOOSE($AD$5,'IV. MA'!$C$10,'IV. MA'!$G$10,'IV. MA'!$K$10,'IV. MA'!$O$10,'IV. MA'!$S$10,'IV. MA'!$W$10,'IV. MA'!$AA$10,'IV. MA'!$AE$10,'IV. MA'!$AI$10,'IV. MA'!$AM$10,'IV. MA'!$AQ$10,'IV. MA'!$AU$10,'IV. MA'!$AY$10,'IV. MA'!$BC$10,'IV. MA'!$BG$10,'IV. MA'!$BK$10,'IV. MA'!$BO$10,'IV. MA'!$BS$10),"")</f>
        <v>0</v>
      </c>
      <c r="N13" s="111">
        <f>IFERROR(CHOOSE($AD$5,'IV. MA'!$D$10,'IV. MA'!$H$10,'IV. MA'!$L$10,'IV. MA'!$P$10,'IV. MA'!$T$10,'IV. MA'!$X$10,'IV. MA'!$AB$10,'IV. MA'!$AF$10,'IV. MA'!$AJ$10,'IV. MA'!$AN$10,'IV. MA'!$AR$10,'IV. MA'!$AV$10,'IV. MA'!$AZ$10,'IV. MA'!$BD$10,'IV. MA'!$BH$10,'IV. MA'!$BL$10,'IV. MA'!$BP$10,'IV. MA'!$BT$10),"")</f>
        <v>0</v>
      </c>
    </row>
    <row r="14">
      <c r="C14" s="196" t="str">
        <f>IF(2&lt;=E11,"Periode "&amp;E10&amp;" (#2)","")</f>
        <v/>
      </c>
      <c r="D14" s="197"/>
      <c r="E14" s="198" t="str">
        <f>IF(2&lt;=E11,IFERROR(SUMIFS('Daten'!$BF$1:$BF$18,'Daten'!$BB$1:$BB$18,E10,'Daten'!$BD$1:$BD$18,2),0),"")</f>
        <v/>
      </c>
      <c r="F14" s="198"/>
      <c r="G14" s="199" t="str">
        <f>IF(2&lt;=E11,IFERROR(SUMIFS('Daten'!$BG$1:$BG$18,'Daten'!$BB$1:$BB$18,E10,'Daten'!$BD$1:$BD$18,2),0),"")</f>
        <v/>
      </c>
      <c r="L14" s="108" t="s">
        <v>254</v>
      </c>
      <c r="M14" s="109">
        <f>IFERROR(CHOOSE($AD$5,'IV. MA'!$C$11,'IV. MA'!$G$11,'IV. MA'!$K$11,'IV. MA'!$O$11,'IV. MA'!$S$11,'IV. MA'!$W$11,'IV. MA'!$AA$11,'IV. MA'!$AE$11,'IV. MA'!$AI$11,'IV. MA'!$AM$11,'IV. MA'!$AQ$11,'IV. MA'!$AU$11,'IV. MA'!$AY$11,'IV. MA'!$BC$11,'IV. MA'!$BG$11,'IV. MA'!$BK$11,'IV. MA'!$BO$11,'IV. MA'!$BS$11),"")</f>
        <v>0</v>
      </c>
      <c r="N14" s="111">
        <f>IFERROR(CHOOSE($AD$5,'IV. MA'!$D$11,'IV. MA'!$H$11,'IV. MA'!$L$11,'IV. MA'!$P$11,'IV. MA'!$T$11,'IV. MA'!$X$11,'IV. MA'!$AB$11,'IV. MA'!$AF$11,'IV. MA'!$AJ$11,'IV. MA'!$AN$11,'IV. MA'!$AR$11,'IV. MA'!$AV$11,'IV. MA'!$AZ$11,'IV. MA'!$BD$11,'IV. MA'!$BH$11,'IV. MA'!$BL$11,'IV. MA'!$BP$11,'IV. MA'!$BT$11),"")</f>
        <v>0</v>
      </c>
    </row>
    <row r="15">
      <c r="C15" s="196" t="str">
        <f>IF(3&lt;=E11,"Periode "&amp;E10&amp;" (#3)","")</f>
        <v/>
      </c>
      <c r="D15" s="197"/>
      <c r="E15" s="198" t="str">
        <f>IF(3&lt;=E11,IFERROR(SUMIFS('Daten'!$BF$1:$BF$18,'Daten'!$BB$1:$BB$18,E10,'Daten'!$BD$1:$BD$18,3),0),"")</f>
        <v/>
      </c>
      <c r="F15" s="198"/>
      <c r="G15" s="199" t="str">
        <f>IF(3&lt;=E11,IFERROR(SUMIFS('Daten'!$BG$1:$BG$18,'Daten'!$BB$1:$BB$18,E10,'Daten'!$BD$1:$BD$18,3),0),"")</f>
        <v/>
      </c>
      <c r="L15" s="108" t="s">
        <v>414</v>
      </c>
      <c r="M15" s="109">
        <f>IFERROR(CHOOSE($AD$5,'IV. MA'!$C$12,'IV. MA'!$G$12,'IV. MA'!$K$12,'IV. MA'!$O$12,'IV. MA'!$S$12,'IV. MA'!$W$12,'IV. MA'!$AA$12,'IV. MA'!$AE$12,'IV. MA'!$AI$12,'IV. MA'!$AM$12,'IV. MA'!$AQ$12,'IV. MA'!$AU$12,'IV. MA'!$AY$12,'IV. MA'!$BC$12,'IV. MA'!$BG$12,'IV. MA'!$BK$12,'IV. MA'!$BO$12,'IV. MA'!$BS$12),"")</f>
        <v>0</v>
      </c>
      <c r="N15" s="111">
        <f>IFERROR(CHOOSE($AD$5,'IV. MA'!$D$12,'IV. MA'!$H$12,'IV. MA'!$L$12,'IV. MA'!$P$12,'IV. MA'!$T$12,'IV. MA'!$X$12,'IV. MA'!$AB$12,'IV. MA'!$AF$12,'IV. MA'!$AJ$12,'IV. MA'!$AN$12,'IV. MA'!$AR$12,'IV. MA'!$AV$12,'IV. MA'!$AZ$12,'IV. MA'!$BD$12,'IV. MA'!$BH$12,'IV. MA'!$BL$12,'IV. MA'!$BP$12,'IV. MA'!$BT$12),"")</f>
        <v>0</v>
      </c>
    </row>
    <row r="16">
      <c r="C16" s="196" t="str">
        <f>IF(4&lt;=E11,"Periode "&amp;E10&amp;" (#4)","")</f>
        <v/>
      </c>
      <c r="D16" s="197"/>
      <c r="E16" s="198" t="str">
        <f>IF(4&lt;=E11,IFERROR(SUMIFS('Daten'!$BF$1:$BF$18,'Daten'!$BB$1:$BB$18,E10,'Daten'!$BD$1:$BD$18,4),0),"")</f>
        <v/>
      </c>
      <c r="F16" s="198"/>
      <c r="G16" s="199" t="str">
        <f>IF(4&lt;=E11,IFERROR(SUMIFS('Daten'!$BG$1:$BG$18,'Daten'!$BB$1:$BB$18,E10,'Daten'!$BD$1:$BD$18,4),0),"")</f>
        <v/>
      </c>
      <c r="L16" s="108" t="s">
        <v>275</v>
      </c>
      <c r="M16" s="109">
        <f>IFERROR(CHOOSE($AD$5,'IV. MA'!$C$13,'IV. MA'!$G$13,'IV. MA'!$K$13,'IV. MA'!$O$13,'IV. MA'!$S$13,'IV. MA'!$W$13,'IV. MA'!$AA$13,'IV. MA'!$AE$13,'IV. MA'!$AI$13,'IV. MA'!$AM$13,'IV. MA'!$AQ$13,'IV. MA'!$AU$13,'IV. MA'!$AY$13,'IV. MA'!$BC$13,'IV. MA'!$BG$13,'IV. MA'!$BK$13,'IV. MA'!$BO$13,'IV. MA'!$BS$13),"")</f>
        <v>0</v>
      </c>
      <c r="N16" s="111">
        <f>IFERROR(CHOOSE($AD$5,'IV. MA'!$D$13,'IV. MA'!$H$13,'IV. MA'!$L$13,'IV. MA'!$P$13,'IV. MA'!$T$13,'IV. MA'!$X$13,'IV. MA'!$AB$13,'IV. MA'!$AF$13,'IV. MA'!$AJ$13,'IV. MA'!$AN$13,'IV. MA'!$AR$13,'IV. MA'!$AV$13,'IV. MA'!$AZ$13,'IV. MA'!$BD$13,'IV. MA'!$BH$13,'IV. MA'!$BL$13,'IV. MA'!$BP$13,'IV. MA'!$BT$13),"")</f>
        <v>0</v>
      </c>
    </row>
    <row r="17">
      <c r="C17" s="196" t="str">
        <f>IF(5&lt;=E11,"Periode "&amp;E10&amp;" (#5)","")</f>
        <v/>
      </c>
      <c r="D17" s="197"/>
      <c r="E17" s="198" t="str">
        <f>IF(5&lt;=E11,IFERROR(SUMIFS('Daten'!$BF$1:$BF$18,'Daten'!$BB$1:$BB$18,E10,'Daten'!$BD$1:$BD$18,5),0),"")</f>
        <v/>
      </c>
      <c r="F17" s="198"/>
      <c r="G17" s="199" t="str">
        <f>IF(5&lt;=E11,IFERROR(SUMIFS('Daten'!$BG$1:$BG$18,'Daten'!$BB$1:$BB$18,E10,'Daten'!$BD$1:$BD$18,5),0),"")</f>
        <v/>
      </c>
      <c r="L17" s="108" t="s">
        <v>296</v>
      </c>
      <c r="M17" s="109">
        <f>IFERROR(CHOOSE($AD$5,'IV. MA'!$C$14,'IV. MA'!$G$14,'IV. MA'!$K$14,'IV. MA'!$O$14,'IV. MA'!$S$14,'IV. MA'!$W$14,'IV. MA'!$AA$14,'IV. MA'!$AE$14,'IV. MA'!$AI$14,'IV. MA'!$AM$14,'IV. MA'!$AQ$14,'IV. MA'!$AU$14,'IV. MA'!$AY$14,'IV. MA'!$BC$14,'IV. MA'!$BG$14,'IV. MA'!$BK$14,'IV. MA'!$BO$14,'IV. MA'!$BS$14),"")</f>
        <v>0</v>
      </c>
      <c r="N17" s="111">
        <f>IFERROR(CHOOSE($AD$5,'IV. MA'!$D$14,'IV. MA'!$H$14,'IV. MA'!$L$14,'IV. MA'!$P$14,'IV. MA'!$T$14,'IV. MA'!$X$14,'IV. MA'!$AB$14,'IV. MA'!$AF$14,'IV. MA'!$AJ$14,'IV. MA'!$AN$14,'IV. MA'!$AR$14,'IV. MA'!$AV$14,'IV. MA'!$AZ$14,'IV. MA'!$BD$14,'IV. MA'!$BH$14,'IV. MA'!$BL$14,'IV. MA'!$BP$14,'IV. MA'!$BT$14),"")</f>
        <v>0</v>
      </c>
    </row>
    <row r="18">
      <c r="C18" s="200" t="str">
        <f>IF(6&lt;=E11,"Periode "&amp;E10&amp;" (#6)","")</f>
        <v/>
      </c>
      <c r="D18" s="201"/>
      <c r="E18" s="202" t="str">
        <f>IF(6&lt;=E11,IFERROR(SUMIFS('Daten'!$BF$1:$BF$18,'Daten'!$BB$1:$BB$18,E10,'Daten'!$BD$1:$BD$18,6),0),"")</f>
        <v/>
      </c>
      <c r="F18" s="202"/>
      <c r="G18" s="203" t="str">
        <f>IF(6&lt;=E11,IFERROR(SUMIFS('Daten'!$BG$1:$BG$18,'Daten'!$BB$1:$BB$18,E10,'Daten'!$BD$1:$BD$18,6),0),"")</f>
        <v/>
      </c>
      <c r="L18" s="108" t="s">
        <v>317</v>
      </c>
      <c r="M18" s="109">
        <f>IFERROR(CHOOSE($AD$5,'IV. MA'!$C$15,'IV. MA'!$G$15,'IV. MA'!$K$15,'IV. MA'!$O$15,'IV. MA'!$S$15,'IV. MA'!$W$15,'IV. MA'!$AA$15,'IV. MA'!$AE$15,'IV. MA'!$AI$15,'IV. MA'!$AM$15,'IV. MA'!$AQ$15,'IV. MA'!$AU$15,'IV. MA'!$AY$15,'IV. MA'!$BC$15,'IV. MA'!$BG$15,'IV. MA'!$BK$15,'IV. MA'!$BO$15,'IV. MA'!$BS$15),"")</f>
        <v>0</v>
      </c>
      <c r="N18" s="111">
        <f>IFERROR(CHOOSE($AD$5,'IV. MA'!$D$15,'IV. MA'!$H$15,'IV. MA'!$L$15,'IV. MA'!$P$15,'IV. MA'!$T$15,'IV. MA'!$X$15,'IV. MA'!$AB$15,'IV. MA'!$AF$15,'IV. MA'!$AJ$15,'IV. MA'!$AN$15,'IV. MA'!$AR$15,'IV. MA'!$AV$15,'IV. MA'!$AZ$15,'IV. MA'!$BD$15,'IV. MA'!$BH$15,'IV. MA'!$BL$15,'IV. MA'!$BP$15,'IV. MA'!$BT$15),"")</f>
        <v>0</v>
      </c>
    </row>
    <row r="19">
      <c r="L19" s="108" t="s">
        <v>319</v>
      </c>
      <c r="M19" s="109">
        <f>IFERROR(CHOOSE($AD$5,'IV. MA'!$C$16,'IV. MA'!$G$16,'IV. MA'!$K$16,'IV. MA'!$O$16,'IV. MA'!$S$16,'IV. MA'!$W$16,'IV. MA'!$AA$16,'IV. MA'!$AE$16,'IV. MA'!$AI$16,'IV. MA'!$AM$16,'IV. MA'!$AQ$16,'IV. MA'!$AU$16,'IV. MA'!$AY$16,'IV. MA'!$BC$16,'IV. MA'!$BG$16,'IV. MA'!$BK$16,'IV. MA'!$BO$16,'IV. MA'!$BS$16),"")</f>
        <v>0</v>
      </c>
      <c r="N19" s="111">
        <f>IFERROR(CHOOSE($AD$5,'IV. MA'!$D$16,'IV. MA'!$H$16,'IV. MA'!$L$16,'IV. MA'!$P$16,'IV. MA'!$T$16,'IV. MA'!$X$16,'IV. MA'!$AB$16,'IV. MA'!$AF$16,'IV. MA'!$AJ$16,'IV. MA'!$AN$16,'IV. MA'!$AR$16,'IV. MA'!$AV$16,'IV. MA'!$AZ$16,'IV. MA'!$BD$16,'IV. MA'!$BH$16,'IV. MA'!$BL$16,'IV. MA'!$BP$16,'IV. MA'!$BT$16),"")</f>
        <v>0</v>
      </c>
    </row>
    <row r="20" ht="22" customHeight="1">
      <c r="B20" s="26" t="s">
        <v>433</v>
      </c>
      <c r="C20" s="26"/>
      <c r="D20" s="26"/>
      <c r="E20" s="26"/>
      <c r="F20" s="26"/>
      <c r="G20" s="26"/>
      <c r="H20" s="26"/>
      <c r="I20" s="26"/>
      <c r="J20" s="26"/>
      <c r="L20" s="108" t="s">
        <v>321</v>
      </c>
      <c r="M20" s="109">
        <f>IFERROR(CHOOSE($AD$5,'IV. MA'!$C$17,'IV. MA'!$G$17,'IV. MA'!$K$17,'IV. MA'!$O$17,'IV. MA'!$S$17,'IV. MA'!$W$17,'IV. MA'!$AA$17,'IV. MA'!$AE$17,'IV. MA'!$AI$17,'IV. MA'!$AM$17,'IV. MA'!$AQ$17,'IV. MA'!$AU$17,'IV. MA'!$AY$17,'IV. MA'!$BC$17,'IV. MA'!$BG$17,'IV. MA'!$BK$17,'IV. MA'!$BO$17,'IV. MA'!$BS$17),"")</f>
        <v>0</v>
      </c>
      <c r="N20" s="111">
        <f>IFERROR(CHOOSE($AD$5,'IV. MA'!$D$17,'IV. MA'!$H$17,'IV. MA'!$L$17,'IV. MA'!$P$17,'IV. MA'!$T$17,'IV. MA'!$X$17,'IV. MA'!$AB$17,'IV. MA'!$AF$17,'IV. MA'!$AJ$17,'IV. MA'!$AN$17,'IV. MA'!$AR$17,'IV. MA'!$AV$17,'IV. MA'!$AZ$17,'IV. MA'!$BD$17,'IV. MA'!$BH$17,'IV. MA'!$BL$17,'IV. MA'!$BP$17,'IV. MA'!$BT$17),"")</f>
        <v>0</v>
      </c>
    </row>
    <row r="21">
      <c r="L21" s="204" t="s">
        <v>415</v>
      </c>
      <c r="M21" s="205">
        <f>IFERROR(CHOOSE($AD$5,'IV. MA'!$C$18,'IV. MA'!$G$18,'IV. MA'!$K$18,'IV. MA'!$O$18,'IV. MA'!$S$18,'IV. MA'!$W$18,'IV. MA'!$AA$18,'IV. MA'!$AE$18,'IV. MA'!$AI$18,'IV. MA'!$AM$18,'IV. MA'!$AQ$18,'IV. MA'!$AU$18,'IV. MA'!$AY$18,'IV. MA'!$BC$18,'IV. MA'!$BG$18,'IV. MA'!$BK$18,'IV. MA'!$BO$18,'IV. MA'!$BS$18),"")</f>
        <v>0</v>
      </c>
      <c r="N21" s="206">
        <f>IFERROR(CHOOSE($AD$5,'IV. MA'!$D$18,'IV. MA'!$H$18,'IV. MA'!$L$18,'IV. MA'!$P$18,'IV. MA'!$T$18,'IV. MA'!$X$18,'IV. MA'!$AB$18,'IV. MA'!$AF$18,'IV. MA'!$AJ$18,'IV. MA'!$AN$18,'IV. MA'!$AR$18,'IV. MA'!$AV$18,'IV. MA'!$AZ$18,'IV. MA'!$BD$18,'IV. MA'!$BH$18,'IV. MA'!$BL$18,'IV. MA'!$BP$18,'IV. MA'!$BT$18),"")</f>
        <v>0</v>
      </c>
    </row>
    <row r="22">
      <c r="B22" s="207" t="s">
        <v>434</v>
      </c>
      <c r="C22" s="208"/>
      <c r="D22" s="209">
        <f>IFERROR(ROUND(KMW_Mittel_EUR,2),0)</f>
        <v>794500</v>
      </c>
      <c r="F22" s="210" t="s">
        <v>435</v>
      </c>
      <c r="G22" s="211"/>
      <c r="H22" s="211"/>
      <c r="I22" s="212"/>
      <c r="L22" s="22"/>
      <c r="N22" s="23"/>
    </row>
    <row r="23">
      <c r="B23" s="181" t="s">
        <v>436</v>
      </c>
      <c r="C23" s="182"/>
      <c r="D23" s="213">
        <f>IFERROR(ROUND(Kosten_Reserve_EUR,2),0)</f>
        <v>39500</v>
      </c>
      <c r="F23" s="214" t="s">
        <v>437</v>
      </c>
      <c r="G23" s="182" t="s">
        <v>438</v>
      </c>
      <c r="H23" s="182"/>
      <c r="I23" s="215">
        <f>IFERROR(ROUND(Saldovortrag_EUR,2),0)</f>
        <v>0</v>
      </c>
      <c r="L23" s="108" t="s">
        <v>416</v>
      </c>
      <c r="M23" s="109">
        <f>IFERROR(CHOOSE($AD$5,'IV. MA'!$C$20,'IV. MA'!$G$20,'IV. MA'!$K$20,'IV. MA'!$O$20,'IV. MA'!$S$20,'IV. MA'!$W$20,'IV. MA'!$AA$20,'IV. MA'!$AE$20,'IV. MA'!$AI$20,'IV. MA'!$AM$20,'IV. MA'!$AQ$20,'IV. MA'!$AU$20,'IV. MA'!$AY$20,'IV. MA'!$BC$20,'IV. MA'!$BG$20,'IV. MA'!$BK$20,'IV. MA'!$BO$20,'IV. MA'!$BS$20),"")</f>
        <v>0</v>
      </c>
      <c r="N23" s="111">
        <f>IFERROR(CHOOSE($AD$5,'IV. MA'!$D$20,'IV. MA'!$H$20,'IV. MA'!$L$20,'IV. MA'!$P$20,'IV. MA'!$T$20,'IV. MA'!$X$20,'IV. MA'!$AB$20,'IV. MA'!$AF$20,'IV. MA'!$AJ$20,'IV. MA'!$AN$20,'IV. MA'!$AR$20,'IV. MA'!$AV$20,'IV. MA'!$AZ$20,'IV. MA'!$BD$20,'IV. MA'!$BH$20,'IV. MA'!$BL$20,'IV. MA'!$BP$20,'IV. MA'!$BT$20),"")</f>
        <v>0</v>
      </c>
    </row>
    <row r="24">
      <c r="B24" s="181" t="str">
        <f>IF(Reserve_Freigabe="Ja","Operatives Budget (Reserve freigegeben)","Operatives Budget (abzgl. Reserve)")</f>
        <v xml:space="preserve">Operatives Budget (abzgl. Reserve)</v>
      </c>
      <c r="C24" s="182"/>
      <c r="D24" s="213">
        <f>IF(Reserve_Freigabe="Ja",ROUND($D$22,2),ROUND($D$22-$D$23,2))</f>
        <v>755000</v>
      </c>
      <c r="F24" s="214" t="s">
        <v>437</v>
      </c>
      <c r="G24" s="182" t="s">
        <v>439</v>
      </c>
      <c r="H24" s="182"/>
      <c r="I24" s="215">
        <f>I87</f>
        <v>0</v>
      </c>
      <c r="L24" s="108" t="s">
        <v>440</v>
      </c>
      <c r="M24" s="109">
        <f>IFERROR(CHOOSE($AD$5,'IV. MA'!$C$21,'IV. MA'!$G$21,'IV. MA'!$K$21,'IV. MA'!$O$21,'IV. MA'!$S$21,'IV. MA'!$W$21,'IV. MA'!$AA$21,'IV. MA'!$AE$21,'IV. MA'!$AI$21,'IV. MA'!$AM$21,'IV. MA'!$AQ$21,'IV. MA'!$AU$21,'IV. MA'!$AY$21,'IV. MA'!$BC$21,'IV. MA'!$BG$21,'IV. MA'!$BK$21,'IV. MA'!$BO$21,'IV. MA'!$BS$21),"")</f>
        <v>0</v>
      </c>
      <c r="N24" s="111">
        <f>IFERROR(CHOOSE($AD$5,'IV. MA'!$D$21,'IV. MA'!$H$21,'IV. MA'!$L$21,'IV. MA'!$P$21,'IV. MA'!$T$21,'IV. MA'!$X$21,'IV. MA'!$AB$21,'IV. MA'!$AF$21,'IV. MA'!$AJ$21,'IV. MA'!$AN$21,'IV. MA'!$AR$21,'IV. MA'!$AV$21,'IV. MA'!$AZ$21,'IV. MA'!$BD$21,'IV. MA'!$BH$21,'IV. MA'!$BL$21,'IV. MA'!$BP$21,'IV. MA'!$BT$21),"")</f>
        <v>0</v>
      </c>
    </row>
    <row r="25">
      <c r="B25" s="181" t="s">
        <v>441</v>
      </c>
      <c r="C25" s="182"/>
      <c r="D25" s="213">
        <f>IFERROR(ROUND(SUBTOTAL(109,TblKMWMittel[Betrag]),2),0)</f>
        <v>0</v>
      </c>
      <c r="F25" s="214" t="s">
        <v>437</v>
      </c>
      <c r="G25" s="182" t="s">
        <v>442</v>
      </c>
      <c r="H25" s="182"/>
      <c r="I25" s="215">
        <f>ROUND(MAX(0,MAX(0,(SUM($G$96:$G$99)-$G$98)+SUMIFS('Daten'!$BH$1:$BH$18,'Daten'!$BB$1:$BB$18,E10,'Daten'!$BD$1:$BD$18,"&lt;="&amp;E11,'Daten'!$BD$1:$BD$18,"&gt;=1")-(SUM($H$96:$H$99)-$H$98))-I87),2)</f>
        <v>0</v>
      </c>
      <c r="L25" s="108" t="s">
        <v>443</v>
      </c>
      <c r="M25" s="109">
        <f>IFERROR(CHOOSE($AD$5,'IV. MA'!$C$22,'IV. MA'!$G$22,'IV. MA'!$K$22,'IV. MA'!$O$22,'IV. MA'!$S$22,'IV. MA'!$W$22,'IV. MA'!$AA$22,'IV. MA'!$AE$22,'IV. MA'!$AI$22,'IV. MA'!$AM$22,'IV. MA'!$AQ$22,'IV. MA'!$AU$22,'IV. MA'!$AY$22,'IV. MA'!$BC$22,'IV. MA'!$BG$22,'IV. MA'!$BK$22,'IV. MA'!$BO$22,'IV. MA'!$BS$22),"")</f>
        <v>0</v>
      </c>
      <c r="N25" s="111">
        <f>IFERROR(CHOOSE($AD$5,'IV. MA'!$D$22,'IV. MA'!$H$22,'IV. MA'!$L$22,'IV. MA'!$P$22,'IV. MA'!$T$22,'IV. MA'!$X$22,'IV. MA'!$AB$22,'IV. MA'!$AF$22,'IV. MA'!$AJ$22,'IV. MA'!$AN$22,'IV. MA'!$AR$22,'IV. MA'!$AV$22,'IV. MA'!$AZ$22,'IV. MA'!$BD$22,'IV. MA'!$BH$22,'IV. MA'!$BL$22,'IV. MA'!$BP$22,'IV. MA'!$BT$22),"")</f>
        <v>0</v>
      </c>
    </row>
    <row r="26">
      <c r="B26" s="216" t="s">
        <v>444</v>
      </c>
      <c r="C26" s="217"/>
      <c r="D26" s="218">
        <f>ROUND($D$24-$D$25,2)</f>
        <v>755000</v>
      </c>
      <c r="F26" s="22"/>
      <c r="G26" s="219" t="s">
        <v>445</v>
      </c>
      <c r="H26" s="219"/>
      <c r="I26" s="206">
        <f>ROUND(IF($F$23="Abzug",MAX(0,$I$23),0)+IF($F$24="Abzug",MAX(0,$I$24),0)+IF($F$25="Abzug",MAX(0,$I$25),0),2)</f>
        <v>0</v>
      </c>
      <c r="L26" s="108" t="str">
        <f>IFERROR(CHOOSE($AD$5,'IV. MA'!$B$23,'IV. MA'!$F$23,'IV. MA'!$J$23,'IV. MA'!$N$23,'IV. MA'!$R$23,'IV. MA'!$V$23,'IV. MA'!$Z$23,'IV. MA'!$AD$23,'IV. MA'!$AH$23,'IV. MA'!$AL$23,'IV. MA'!$AP$23,'IV. MA'!$AT$23,'IV. MA'!$AX$23,'IV. MA'!$BB$23,'IV. MA'!$BF$23,'IV. MA'!$BJ$23,'IV. MA'!$BN$23,'IV. MA'!$BR$23),"")</f>
        <v xml:space="preserve">abzueglich Saldo Vorprojekt:</v>
      </c>
      <c r="M26" s="109">
        <f>IFERROR(CHOOSE($AD$5,'IV. MA'!$C$23,'IV. MA'!$G$23,'IV. MA'!$K$23,'IV. MA'!$O$23,'IV. MA'!$S$23,'IV. MA'!$W$23,'IV. MA'!$AA$23,'IV. MA'!$AE$23,'IV. MA'!$AI$23,'IV. MA'!$AM$23,'IV. MA'!$AQ$23,'IV. MA'!$AU$23,'IV. MA'!$AY$23,'IV. MA'!$BC$23,'IV. MA'!$BG$23,'IV. MA'!$BK$23,'IV. MA'!$BO$23,'IV. MA'!$BS$23),"")</f>
        <v>0</v>
      </c>
      <c r="N26" s="111">
        <f>IFERROR(CHOOSE($AD$5,'IV. MA'!$D$23,'IV. MA'!$H$23,'IV. MA'!$L$23,'IV. MA'!$P$23,'IV. MA'!$T$23,'IV. MA'!$X$23,'IV. MA'!$AB$23,'IV. MA'!$AF$23,'IV. MA'!$AJ$23,'IV. MA'!$AN$23,'IV. MA'!$AR$23,'IV. MA'!$AV$23,'IV. MA'!$AZ$23,'IV. MA'!$BD$23,'IV. MA'!$BH$23,'IV. MA'!$BL$23,'IV. MA'!$BP$23,'IV. MA'!$BT$23),"")</f>
        <v>0</v>
      </c>
    </row>
    <row r="27">
      <c r="F27" s="220"/>
      <c r="G27" s="217" t="s">
        <v>446</v>
      </c>
      <c r="H27" s="217"/>
      <c r="I27" s="218">
        <f>ROUND($D$26-$I$26,2)</f>
        <v>755000</v>
      </c>
      <c r="L27" s="22"/>
      <c r="N27" s="23"/>
    </row>
    <row r="28">
      <c r="L28" s="221" t="s">
        <v>421</v>
      </c>
      <c r="M28" s="222">
        <f>IFERROR(CHOOSE($AD$5,'IV. MA'!$C$25,'IV. MA'!$G$25,'IV. MA'!$K$25,'IV. MA'!$O$25,'IV. MA'!$S$25,'IV. MA'!$W$25,'IV. MA'!$AA$25,'IV. MA'!$AE$25,'IV. MA'!$AI$25,'IV. MA'!$AM$25,'IV. MA'!$AQ$25,'IV. MA'!$AU$25,'IV. MA'!$AY$25,'IV. MA'!$BC$25,'IV. MA'!$BG$25,'IV. MA'!$BK$25,'IV. MA'!$BO$25,'IV. MA'!$BS$25),"")</f>
        <v>0</v>
      </c>
      <c r="N28" s="223">
        <f>IFERROR(CHOOSE($AD$5,'IV. MA'!$D$25,'IV. MA'!$H$25,'IV. MA'!$L$25,'IV. MA'!$P$25,'IV. MA'!$T$25,'IV. MA'!$X$25,'IV. MA'!$AB$25,'IV. MA'!$AF$25,'IV. MA'!$AJ$25,'IV. MA'!$AN$25,'IV. MA'!$AR$25,'IV. MA'!$AV$25,'IV. MA'!$AZ$25,'IV. MA'!$BD$25,'IV. MA'!$BH$25,'IV. MA'!$BL$25,'IV. MA'!$BP$25,'IV. MA'!$BT$25),"")</f>
        <v>0</v>
      </c>
    </row>
    <row r="29">
      <c r="B29" s="207" t="s">
        <v>447</v>
      </c>
      <c r="C29" s="208"/>
      <c r="D29" s="209">
        <f>IFERROR(ROUND(SUMIFS('Daten'!$BV$1:$BV$198,'Daten'!$BT$1:$BT$198,"KMW-Mittel",'Daten'!$BR$1:$BR$198,E10,'Daten'!$BS$1:$BS$198,E11),2),0)</f>
        <v>0</v>
      </c>
      <c r="F29" s="207" t="s">
        <v>447</v>
      </c>
      <c r="G29" s="208"/>
      <c r="H29" s="208"/>
      <c r="I29" s="209">
        <f>IFERROR(ROUND(SUMIFS('Daten'!$BV$1:$BV$198,'Daten'!$BT$1:$BT$198,"KMW-Mittel",'Daten'!$BR$1:$BR$198,E10,'Daten'!$BS$1:$BS$198,E11),2),0)</f>
        <v>0</v>
      </c>
    </row>
    <row r="30">
      <c r="B30" s="216" t="s">
        <v>448</v>
      </c>
      <c r="C30" s="217"/>
      <c r="D30" s="218">
        <f>ROUND($D$26-MAX(0,$D$29),2)</f>
        <v>755000</v>
      </c>
      <c r="F30" s="216" t="s">
        <v>449</v>
      </c>
      <c r="G30" s="217"/>
      <c r="H30" s="217"/>
      <c r="I30" s="218">
        <f>ROUND($I$27-MAX(0,$I$29),2)</f>
        <v>755000</v>
      </c>
    </row>
    <row r="32">
      <c r="B32" s="207" t="s">
        <v>450</v>
      </c>
      <c r="C32" s="208"/>
      <c r="D32" s="224">
        <f>IFERROR(CHOOSE(E10,MA_ManBetrag_1,MA_ManBetrag_2,MA_ManBetrag_3,MA_ManBetrag_4,MA_ManBetrag_5,MA_ManBetrag_6,MA_ManBetrag_7,MA_ManBetrag_8,MA_ManBetrag_9,MA_ManBetrag_10,MA_ManBetrag_11,MA_ManBetrag_12,MA_ManBetrag_13,MA_ManBetrag_14,MA_ManBetrag_15,MA_ManBetrag_16,MA_ManBetrag_17,MA_ManBetrag_18),0)</f>
        <v>0</v>
      </c>
      <c r="F32" s="207" t="s">
        <v>450</v>
      </c>
      <c r="G32" s="208"/>
      <c r="H32" s="208"/>
      <c r="I32" s="224">
        <f>IFERROR(CHOOSE(E10,MA_ManBetrag_1,MA_ManBetrag_2,MA_ManBetrag_3,MA_ManBetrag_4,MA_ManBetrag_5,MA_ManBetrag_6,MA_ManBetrag_7,MA_ManBetrag_8,MA_ManBetrag_9,MA_ManBetrag_10,MA_ManBetrag_11,MA_ManBetrag_12,MA_ManBetrag_13,MA_ManBetrag_14,MA_ManBetrag_15,MA_ManBetrag_16,MA_ManBetrag_17,MA_ManBetrag_18),0)</f>
        <v>0</v>
      </c>
    </row>
    <row r="33">
      <c r="B33" s="216" t="s">
        <v>448</v>
      </c>
      <c r="C33" s="217"/>
      <c r="D33" s="218">
        <f>ROUND(MAX(0,$D$26-MAX(0,$D$32)),2)</f>
        <v>755000</v>
      </c>
      <c r="F33" s="216" t="s">
        <v>449</v>
      </c>
      <c r="G33" s="217"/>
      <c r="H33" s="217"/>
      <c r="I33" s="218">
        <f>ROUND(MAX(0,$I$27-MAX(0,$I$32)),2)</f>
        <v>755000</v>
      </c>
    </row>
    <row r="36" ht="22" customHeight="1">
      <c r="B36" s="26" t="s">
        <v>451</v>
      </c>
      <c r="C36" s="26"/>
      <c r="D36" s="26"/>
      <c r="E36" s="26"/>
      <c r="F36" s="26"/>
      <c r="G36" s="26"/>
      <c r="H36" s="26"/>
      <c r="I36" s="26"/>
      <c r="J36" s="26"/>
    </row>
    <row r="38">
      <c r="B38" s="225" t="s">
        <v>7</v>
      </c>
      <c r="C38" s="226" t="s">
        <v>452</v>
      </c>
      <c r="D38" s="226" t="s">
        <v>453</v>
      </c>
      <c r="E38" s="227" t="s">
        <v>454</v>
      </c>
    </row>
    <row r="39">
      <c r="B39" s="181" t="s">
        <v>455</v>
      </c>
      <c r="C39" s="228">
        <f>IFERROR(ROUND(SUMIFS('Daten'!$BF$1:$BF$18,'Daten'!$BB$1:$BB$18,E10,'Daten'!$BD$1:$BD$18,"&lt;="&amp;E11,'Daten'!$BD$1:$BD$18,"&gt;=1"),2),0)</f>
        <v>0</v>
      </c>
      <c r="D39" s="229"/>
      <c r="E39" s="213">
        <f>IFERROR(ROUND(SUMIFS('Daten'!$BG$1:$BG$18,'Daten'!$BB$1:$BB$18,E10,'Daten'!$BD$1:$BD$18,"&lt;="&amp;E11,'Daten'!$BD$1:$BD$18,"&gt;=1"),2),0)</f>
        <v>0</v>
      </c>
    </row>
    <row r="40">
      <c r="B40" s="181" t="s">
        <v>456</v>
      </c>
      <c r="C40" s="228">
        <f>IFERROR(ROUND(SUBTOTAL(109,TblBudgetAusgaben[Jahr 1]),2),0)</f>
        <v>1659000</v>
      </c>
      <c r="D40" s="230">
        <v>8</v>
      </c>
      <c r="E40" s="213">
        <f>IFERROR(ROUND($C$40/Budget_Kurs,2),0)</f>
        <v>829500</v>
      </c>
    </row>
    <row r="41">
      <c r="B41" s="181" t="s">
        <v>457</v>
      </c>
      <c r="C41" s="228">
        <f>IFERROR(ROUND(SUBTOTAL(109,TblBudgetAusgaben[Jahr 2]),2),0)</f>
        <v>0</v>
      </c>
      <c r="D41" s="230">
        <v>0</v>
      </c>
      <c r="E41" s="213">
        <f>IFERROR(ROUND($C$41/Budget_Kurs,2),0)</f>
        <v>0</v>
      </c>
    </row>
    <row r="42">
      <c r="B42" s="181" t="s">
        <v>458</v>
      </c>
      <c r="C42" s="228">
        <f>IFERROR(ROUND(SUBTOTAL(109,TblBudgetAusgaben[Jahr 3]),2),0)</f>
        <v>0</v>
      </c>
      <c r="D42" s="230">
        <v>0</v>
      </c>
      <c r="E42" s="213">
        <f>IFERROR(ROUND($C$42/Budget_Kurs,2),0)</f>
        <v>0</v>
      </c>
    </row>
    <row r="43">
      <c r="B43" s="181" t="s">
        <v>459</v>
      </c>
      <c r="C43" s="231">
        <f>$D$40+$D$41+$D$42</f>
        <v>8</v>
      </c>
      <c r="D43" s="231"/>
      <c r="E43" s="232"/>
    </row>
    <row r="44">
      <c r="B44" s="181" t="s">
        <v>460</v>
      </c>
      <c r="C44" s="231" t="str">
        <f>IFERROR(CHOOSE(IFERROR(SUMPRODUCT('Daten'!$BA$1:$BA$18,('Daten'!$BB$1:$BB$18=E10)*('Daten'!$BD$1:$BD$18=E11)),0),'IV. MA'!$C$7,'IV. MA'!$G$7,'IV. MA'!$K$7,'IV. MA'!$O$7,'IV. MA'!$S$7,'IV. MA'!$W$7,'IV. MA'!$AA$7,'IV. MA'!$AE$7,'IV. MA'!$AI$7,'IV. MA'!$AM$7,'IV. MA'!$AQ$7,'IV. MA'!$AU$7,'IV. MA'!$AY$7,'IV. MA'!$BC$7,'IV. MA'!$BG$7,'IV. MA'!$BK$7,'IV. MA'!$BO$7,'IV. MA'!$BS$7),0)</f>
        <v/>
      </c>
      <c r="D44" s="231"/>
      <c r="E44" s="232"/>
    </row>
    <row r="45">
      <c r="B45" s="233" t="s">
        <v>461</v>
      </c>
      <c r="C45" s="205">
        <f>IFERROR(ROUND($C$40*$D$40/12+$C$41*$D$41/12+$C$42*$D$42/12,2),0)</f>
        <v>1106000</v>
      </c>
      <c r="D45" s="229"/>
      <c r="E45" s="206">
        <f>IFERROR(ROUND($E$40*$D$40/12+$E$41*$D$41/12+$E$42*$D$42/12,2),0)</f>
        <v>553000</v>
      </c>
    </row>
    <row r="46">
      <c r="B46" s="233" t="s">
        <v>462</v>
      </c>
      <c r="C46" s="234" t="str">
        <f>IF($C$39&lt;=$C$45,"OK","ÜBERSCHRITTEN")</f>
        <v>OK</v>
      </c>
      <c r="D46" s="229"/>
      <c r="E46" s="235" t="str">
        <f>IF($E$39&lt;=$E$45,"OK","ÜBERSCHRITTEN")</f>
        <v>OK</v>
      </c>
    </row>
    <row r="47">
      <c r="B47" s="181" t="s">
        <v>463</v>
      </c>
      <c r="C47" s="228">
        <f>ROUND(MAX(0,$C$39-$C$45),2)</f>
        <v>0</v>
      </c>
      <c r="D47" s="229"/>
      <c r="E47" s="213">
        <f>ROUND(MAX(0,$E$39-$E$45),2)</f>
        <v>0</v>
      </c>
    </row>
    <row r="48">
      <c r="B48" s="236" t="s">
        <v>464</v>
      </c>
      <c r="C48" s="237">
        <f>IFERROR($C$39/$C$45,0)</f>
        <v>0</v>
      </c>
      <c r="D48" s="238"/>
      <c r="E48" s="239">
        <f>IFERROR($E$39/$E$45,0)</f>
        <v>0</v>
      </c>
    </row>
    <row r="50" ht="22" customHeight="1">
      <c r="B50" s="26" t="s">
        <v>465</v>
      </c>
      <c r="C50" s="26"/>
      <c r="D50" s="26"/>
      <c r="E50" s="26"/>
      <c r="F50" s="26"/>
      <c r="G50" s="26"/>
      <c r="H50" s="26"/>
      <c r="I50" s="26"/>
      <c r="J50" s="26"/>
    </row>
    <row r="52" ht="28" customHeight="1">
      <c r="B52" s="240" t="s">
        <v>466</v>
      </c>
      <c r="C52" s="241" t="s">
        <v>467</v>
      </c>
      <c r="D52" s="241" t="s">
        <v>468</v>
      </c>
      <c r="E52" s="241" t="s">
        <v>469</v>
      </c>
      <c r="F52" s="241" t="s">
        <v>470</v>
      </c>
      <c r="G52" s="241" t="s">
        <v>471</v>
      </c>
      <c r="H52" s="241" t="s">
        <v>472</v>
      </c>
      <c r="I52" s="241" t="s">
        <v>473</v>
      </c>
      <c r="J52" s="242" t="s">
        <v>474</v>
      </c>
    </row>
    <row r="53">
      <c r="B53" s="243" t="s">
        <v>198</v>
      </c>
      <c r="C53" s="228">
        <f>IFERROR(ROUND(SUMIFS('Daten'!$BU$1:$BU$198,'Daten'!$BT$1:$BT$198,"Eigenmittel",'Daten'!$BR$1:$BR$198,E10,'Daten'!$BS$1:$BS$198,"&lt;="&amp;E11,'Daten'!$BS$1:$BS$198,"&gt;=1"),2),0)</f>
        <v>0</v>
      </c>
      <c r="D53" s="228">
        <f>IFERROR(ROUND(Eigenmittel_LW,2),0)</f>
        <v>40000</v>
      </c>
      <c r="E53" s="198">
        <f>ROUND(IFERROR($C$53-$D$53,0),2)</f>
        <v>-40000</v>
      </c>
      <c r="F53" s="244">
        <f>ROUND(IFERROR(($C$53/$D$53)-1,0),4)</f>
        <v>-1</v>
      </c>
      <c r="G53" s="245">
        <f>IFERROR(ROUND(SUMIFS('Daten'!$BV$1:$BV$198,'Daten'!$BT$1:$BT$198,"Eigenmittel",'Daten'!$BR$1:$BR$198,E10,'Daten'!$BS$1:$BS$198,"&lt;="&amp;E11,'Daten'!$BS$1:$BS$198,"&gt;=1"),2),0)</f>
        <v>0</v>
      </c>
      <c r="H53" s="245">
        <f>IFERROR(ROUND(Eigenmittel_EUR,2),0)</f>
        <v>20000</v>
      </c>
      <c r="I53" s="158">
        <f>ROUND(IFERROR($G$53-$H$53,0),2)</f>
        <v>-20000</v>
      </c>
      <c r="J53" s="246">
        <f>ROUND(IFERROR(($G$53/$H$53)-1,0),4)</f>
        <v>-1</v>
      </c>
    </row>
    <row r="54">
      <c r="B54" s="243" t="s">
        <v>387</v>
      </c>
      <c r="C54" s="228">
        <f>IFERROR(ROUND(SUMIFS('Daten'!$BU$1:$BU$198,'Daten'!$BT$1:$BT$198,"Drittmittel",'Daten'!$BR$1:$BR$198,E10,'Daten'!$BS$1:$BS$198,"&lt;="&amp;E11,'Daten'!$BS$1:$BS$198,"&gt;=1"),2),0)</f>
        <v>0</v>
      </c>
      <c r="D54" s="228">
        <f>IFERROR(ROUND(Drittmittel_LW,2),0)</f>
        <v>30000</v>
      </c>
      <c r="E54" s="198">
        <f>ROUND(IFERROR($C$54-$D$54,0),2)</f>
        <v>-30000</v>
      </c>
      <c r="F54" s="244">
        <f>ROUND(IFERROR(($C$54/$D$54)-1,0),4)</f>
        <v>-1</v>
      </c>
      <c r="G54" s="245">
        <f>IFERROR(ROUND(SUMIFS('Daten'!$BV$1:$BV$198,'Daten'!$BT$1:$BT$198,"Drittmittel",'Daten'!$BR$1:$BR$198,E10,'Daten'!$BS$1:$BS$198,"&lt;="&amp;E11,'Daten'!$BS$1:$BS$198,"&gt;=1"),2),0)</f>
        <v>0</v>
      </c>
      <c r="H54" s="245">
        <f>IFERROR(ROUND(Drittmittel_EUR,2),0)</f>
        <v>15000</v>
      </c>
      <c r="I54" s="158">
        <f>ROUND(IFERROR($G$54-$H$54,0),2)</f>
        <v>-15000</v>
      </c>
      <c r="J54" s="246">
        <f>ROUND(IFERROR(($G$54/$H$54)-1,0),4)</f>
        <v>-1</v>
      </c>
    </row>
    <row r="55">
      <c r="B55" s="243" t="s">
        <v>204</v>
      </c>
      <c r="C55" s="228">
        <f>IFERROR(ROUND(SUMIFS('Daten'!$BU$1:$BU$198,'Daten'!$BT$1:$BT$198,"KMW-Mittel",'Daten'!$BR$1:$BR$198,E10,'Daten'!$BS$1:$BS$198,"&lt;="&amp;E11,'Daten'!$BS$1:$BS$198,"&gt;=1"),2),0)</f>
        <v>0</v>
      </c>
      <c r="D55" s="228">
        <f>IFERROR(ROUND(KMW_Mittel_LW,2),0)</f>
        <v>1589000</v>
      </c>
      <c r="E55" s="198">
        <f>ROUND(IFERROR($C$55-$D$55,0),2)</f>
        <v>-1589000</v>
      </c>
      <c r="F55" s="244">
        <f>ROUND(IFERROR(($C$55/$D$55)-1,0),4)</f>
        <v>-1</v>
      </c>
      <c r="G55" s="245">
        <f>IFERROR(ROUND(SUMIFS('Daten'!$BV$1:$BV$198,'Daten'!$BT$1:$BT$198,"KMW-Mittel",'Daten'!$BR$1:$BR$198,E10,'Daten'!$BS$1:$BS$198,"&lt;="&amp;E11,'Daten'!$BS$1:$BS$198,"&gt;=1"),2),0)</f>
        <v>0</v>
      </c>
      <c r="H55" s="245">
        <f>IFERROR(ROUND(KMW_Mittel_EUR,2),0)</f>
        <v>794500</v>
      </c>
      <c r="I55" s="158">
        <f>ROUND(IFERROR($G$55-$H$55,0),2)</f>
        <v>-794500</v>
      </c>
      <c r="J55" s="246">
        <f>ROUND(IFERROR(($G$55/$H$55)-1,0),4)</f>
        <v>-1</v>
      </c>
    </row>
    <row r="56">
      <c r="B56" s="243" t="s">
        <v>388</v>
      </c>
      <c r="C56" s="228">
        <f>IFERROR(ROUND(SUMIFS('Daten'!$BU$1:$BU$198,'Daten'!$BT$1:$BT$198,"Zinsertraege",'Daten'!$BR$1:$BR$198,E10,'Daten'!$BS$1:$BS$198,"&lt;="&amp;E11,'Daten'!$BS$1:$BS$198,"&gt;=1"),2),0)</f>
        <v>0</v>
      </c>
      <c r="D56" s="228">
        <f>IFERROR(ROUND(0,2),0)</f>
        <v>0</v>
      </c>
      <c r="E56" s="198">
        <f>ROUND(IFERROR($C$56-$D$56,0),2)</f>
        <v>0</v>
      </c>
      <c r="F56" s="244">
        <f>ROUND(IFERROR(($C$56/$D$56)-1,0),4)</f>
        <v>0</v>
      </c>
      <c r="G56" s="245">
        <f>IFERROR(ROUND(SUMIFS('Daten'!$BV$1:$BV$198,'Daten'!$BT$1:$BT$198,"Zinsertraege",'Daten'!$BR$1:$BR$198,E10,'Daten'!$BS$1:$BS$198,"&lt;="&amp;E11,'Daten'!$BS$1:$BS$198,"&gt;=1"),2),0)</f>
        <v>0</v>
      </c>
      <c r="H56" s="245">
        <f>IFERROR(ROUND(0,2),0)</f>
        <v>0</v>
      </c>
      <c r="I56" s="158">
        <f>ROUND(IFERROR($G$56-$H$56,0),2)</f>
        <v>0</v>
      </c>
      <c r="J56" s="246">
        <f>ROUND(IFERROR(($G$56/$H$56)-1,0),4)</f>
        <v>0</v>
      </c>
    </row>
    <row r="57" ht="20" customHeight="1">
      <c r="B57" s="247" t="s">
        <v>358</v>
      </c>
      <c r="C57" s="248">
        <f>ROUND(SUM($C$53:$C$56),2)</f>
        <v>0</v>
      </c>
      <c r="D57" s="248">
        <f>ROUND(SUM($D$53:$D$56),2)</f>
        <v>1659000</v>
      </c>
      <c r="E57" s="248">
        <f>ROUND(SUM($E$53:$E$56),2)</f>
        <v>-1659000</v>
      </c>
      <c r="F57" s="249">
        <f>ROUND(IFERROR(($C$57/$D$57)-1,0),4)</f>
        <v>-1</v>
      </c>
      <c r="G57" s="250">
        <f>ROUND(SUM($G$53:$G$56),2)</f>
        <v>0</v>
      </c>
      <c r="H57" s="250">
        <f>ROUND(SUM($H$53:$H$56),2)</f>
        <v>829500</v>
      </c>
      <c r="I57" s="250">
        <f>ROUND(SUM($I$53:$I$56),2)</f>
        <v>-829500</v>
      </c>
      <c r="J57" s="251">
        <f>ROUND(IFERROR(($G$57/$H$57)-1,0),4)</f>
        <v>-1</v>
      </c>
    </row>
    <row r="59" ht="22" customHeight="1">
      <c r="B59" s="26" t="s">
        <v>475</v>
      </c>
      <c r="C59" s="26"/>
      <c r="D59" s="26"/>
      <c r="E59" s="26"/>
      <c r="F59" s="26"/>
      <c r="G59" s="26"/>
      <c r="H59" s="26"/>
      <c r="I59" s="26"/>
      <c r="J59" s="26"/>
    </row>
    <row r="61" ht="28" customHeight="1">
      <c r="B61" s="240" t="s">
        <v>466</v>
      </c>
      <c r="C61" s="241" t="s">
        <v>467</v>
      </c>
      <c r="D61" s="241" t="s">
        <v>468</v>
      </c>
      <c r="E61" s="241" t="s">
        <v>469</v>
      </c>
      <c r="F61" s="241" t="s">
        <v>470</v>
      </c>
      <c r="G61" s="241" t="s">
        <v>471</v>
      </c>
      <c r="H61" s="241" t="s">
        <v>472</v>
      </c>
      <c r="I61" s="241" t="s">
        <v>473</v>
      </c>
      <c r="J61" s="242" t="s">
        <v>474</v>
      </c>
    </row>
    <row r="62">
      <c r="B62" s="243" t="s">
        <v>212</v>
      </c>
      <c r="C62" s="228">
        <f>IFERROR(ROUND(SUMIFS('Daten'!$BU$1:$BU$198,'Daten'!$BT$1:$BT$198,"Bauausgaben",'Daten'!$BR$1:$BR$198,E10,'Daten'!$BS$1:$BS$198,"&lt;="&amp;E11,'Daten'!$BS$1:$BS$198,"&gt;=1"),2),0)</f>
        <v>0</v>
      </c>
      <c r="D62" s="228">
        <f>IFERROR(ROUND(Kosten_Bauausgaben_LW,2),0)</f>
        <v>390000</v>
      </c>
      <c r="E62" s="198">
        <f>ROUND(IFERROR($C$62-$D$62,0),2)</f>
        <v>-390000</v>
      </c>
      <c r="F62" s="244">
        <f>ROUND(IFERROR(($C$62/$D$62)-1,0),4)</f>
        <v>-1</v>
      </c>
      <c r="G62" s="245">
        <f>IFERROR(ROUND(SUMIFS('Daten'!$BV$1:$BV$198,'Daten'!$BT$1:$BT$198,"Bauausgaben",'Daten'!$BR$1:$BR$198,E10,'Daten'!$BS$1:$BS$198,"&lt;="&amp;E11,'Daten'!$BS$1:$BS$198,"&gt;=1"),2),0)</f>
        <v>0</v>
      </c>
      <c r="H62" s="245">
        <f>IFERROR(ROUND(Kosten_Bauausgaben_EUR,2),0)</f>
        <v>195000</v>
      </c>
      <c r="I62" s="158">
        <f>ROUND(IFERROR($G$62-$H$62,0),2)</f>
        <v>-195000</v>
      </c>
      <c r="J62" s="246">
        <f>ROUND(IFERROR(($G$62/$H$62)-1,0),4)</f>
        <v>-1</v>
      </c>
    </row>
    <row r="63">
      <c r="B63" s="243" t="s">
        <v>254</v>
      </c>
      <c r="C63" s="228">
        <f>IFERROR(ROUND(SUMIFS('Daten'!$BU$1:$BU$198,'Daten'!$BT$1:$BT$198,"Investitionen",'Daten'!$BR$1:$BR$198,E10,'Daten'!$BS$1:$BS$198,"&lt;="&amp;E11,'Daten'!$BS$1:$BS$198,"&gt;=1"),2),0)</f>
        <v>0</v>
      </c>
      <c r="D63" s="228">
        <f>IFERROR(ROUND(Kosten_Investitionen_LW,2),0)</f>
        <v>390000</v>
      </c>
      <c r="E63" s="198">
        <f>ROUND(IFERROR($C$63-$D$63,0),2)</f>
        <v>-390000</v>
      </c>
      <c r="F63" s="244">
        <f>ROUND(IFERROR(($C$63/$D$63)-1,0),4)</f>
        <v>-1</v>
      </c>
      <c r="G63" s="245">
        <f>IFERROR(ROUND(SUMIFS('Daten'!$BV$1:$BV$198,'Daten'!$BT$1:$BT$198,"Investitionen",'Daten'!$BR$1:$BR$198,E10,'Daten'!$BS$1:$BS$198,"&lt;="&amp;E11,'Daten'!$BS$1:$BS$198,"&gt;=1"),2),0)</f>
        <v>0</v>
      </c>
      <c r="H63" s="245">
        <f>IFERROR(ROUND(Kosten_Investitionen_EUR,2),0)</f>
        <v>195000</v>
      </c>
      <c r="I63" s="158">
        <f>ROUND(IFERROR($G$63-$H$63,0),2)</f>
        <v>-195000</v>
      </c>
      <c r="J63" s="246">
        <f>ROUND(IFERROR(($G$63/$H$63)-1,0),4)</f>
        <v>-1</v>
      </c>
    </row>
    <row r="64">
      <c r="B64" s="243" t="s">
        <v>414</v>
      </c>
      <c r="C64" s="228">
        <f>IFERROR(ROUND(SUMIFS('Daten'!$BU$1:$BU$198,'Daten'!$BT$1:$BT$198,"Personalkosten",'Daten'!$BR$1:$BR$198,E10,'Daten'!$BS$1:$BS$198,"&lt;="&amp;E11,'Daten'!$BS$1:$BS$198,"&gt;=1"),2),0)</f>
        <v>0</v>
      </c>
      <c r="D64" s="228">
        <f>IFERROR(ROUND(Kosten_Personalkosten_LW,2),0)</f>
        <v>0</v>
      </c>
      <c r="E64" s="198">
        <f>ROUND(IFERROR($C$64-$D$64,0),2)</f>
        <v>0</v>
      </c>
      <c r="F64" s="244">
        <f>ROUND(IFERROR(($C$64/$D$64)-1,0),4)</f>
        <v>0</v>
      </c>
      <c r="G64" s="245">
        <f>IFERROR(ROUND(SUMIFS('Daten'!$BV$1:$BV$198,'Daten'!$BT$1:$BT$198,"Personalkosten",'Daten'!$BR$1:$BR$198,E10,'Daten'!$BS$1:$BS$198,"&lt;="&amp;E11,'Daten'!$BS$1:$BS$198,"&gt;=1"),2),0)</f>
        <v>0</v>
      </c>
      <c r="H64" s="245">
        <f>IFERROR(ROUND(Kosten_Personalkosten_EUR,2),0)</f>
        <v>0</v>
      </c>
      <c r="I64" s="158">
        <f>ROUND(IFERROR($G$64-$H$64,0),2)</f>
        <v>0</v>
      </c>
      <c r="J64" s="246">
        <f>ROUND(IFERROR(($G$64/$H$64)-1,0),4)</f>
        <v>0</v>
      </c>
    </row>
    <row r="65">
      <c r="B65" s="243" t="s">
        <v>275</v>
      </c>
      <c r="C65" s="228">
        <f>IFERROR(ROUND(SUMIFS('Daten'!$BU$1:$BU$198,'Daten'!$BT$1:$BT$198,"Projektaktivitaeten",'Daten'!$BR$1:$BR$198,E10,'Daten'!$BS$1:$BS$198,"&lt;="&amp;E11,'Daten'!$BS$1:$BS$198,"&gt;=1"),2),0)</f>
        <v>0</v>
      </c>
      <c r="D65" s="228">
        <f>IFERROR(ROUND(Kosten_Projektaktivitaeten_LW,2),0)</f>
        <v>390000</v>
      </c>
      <c r="E65" s="198">
        <f>ROUND(IFERROR($C$65-$D$65,0),2)</f>
        <v>-390000</v>
      </c>
      <c r="F65" s="244">
        <f>ROUND(IFERROR(($C$65/$D$65)-1,0),4)</f>
        <v>-1</v>
      </c>
      <c r="G65" s="245">
        <f>IFERROR(ROUND(SUMIFS('Daten'!$BV$1:$BV$198,'Daten'!$BT$1:$BT$198,"Projektaktivitaeten",'Daten'!$BR$1:$BR$198,E10,'Daten'!$BS$1:$BS$198,"&lt;="&amp;E11,'Daten'!$BS$1:$BS$198,"&gt;=1"),2),0)</f>
        <v>0</v>
      </c>
      <c r="H65" s="245">
        <f>IFERROR(ROUND(Kosten_Projektaktivitaeten_EUR,2),0)</f>
        <v>195000</v>
      </c>
      <c r="I65" s="158">
        <f>ROUND(IFERROR($G$65-$H$65,0),2)</f>
        <v>-195000</v>
      </c>
      <c r="J65" s="246">
        <f>ROUND(IFERROR(($G$65/$H$65)-1,0),4)</f>
        <v>-1</v>
      </c>
    </row>
    <row r="66">
      <c r="B66" s="243" t="s">
        <v>296</v>
      </c>
      <c r="C66" s="228">
        <f>IFERROR(ROUND(SUMIFS('Daten'!$BU$1:$BU$198,'Daten'!$BT$1:$BT$198,"Projektverwaltung",'Daten'!$BR$1:$BR$198,E10,'Daten'!$BS$1:$BS$198,"&lt;="&amp;E11,'Daten'!$BS$1:$BS$198,"&gt;=1"),2),0)</f>
        <v>0</v>
      </c>
      <c r="D66" s="228">
        <f>IFERROR(ROUND(Kosten_Projektverwaltung_LW,2),0)</f>
        <v>390000</v>
      </c>
      <c r="E66" s="198">
        <f>ROUND(IFERROR($C$66-$D$66,0),2)</f>
        <v>-390000</v>
      </c>
      <c r="F66" s="244">
        <f>ROUND(IFERROR(($C$66/$D$66)-1,0),4)</f>
        <v>-1</v>
      </c>
      <c r="G66" s="245">
        <f>IFERROR(ROUND(SUMIFS('Daten'!$BV$1:$BV$198,'Daten'!$BT$1:$BT$198,"Projektverwaltung",'Daten'!$BR$1:$BR$198,E10,'Daten'!$BS$1:$BS$198,"&lt;="&amp;E11,'Daten'!$BS$1:$BS$198,"&gt;=1"),2),0)</f>
        <v>0</v>
      </c>
      <c r="H66" s="245">
        <f>IFERROR(ROUND(Kosten_Projektverwaltung_EUR,2),0)</f>
        <v>195000</v>
      </c>
      <c r="I66" s="158">
        <f>ROUND(IFERROR($G$66-$H$66,0),2)</f>
        <v>-195000</v>
      </c>
      <c r="J66" s="246">
        <f>ROUND(IFERROR(($G$66/$H$66)-1,0),4)</f>
        <v>-1</v>
      </c>
    </row>
    <row r="67">
      <c r="B67" s="243" t="s">
        <v>317</v>
      </c>
      <c r="C67" s="228">
        <f>IFERROR(ROUND(SUMIFS('Daten'!$BU$1:$BU$198,'Daten'!$BT$1:$BT$198,"Evaluierung",'Daten'!$BR$1:$BR$198,E10,'Daten'!$BS$1:$BS$198,"&lt;="&amp;E11,'Daten'!$BS$1:$BS$198,"&gt;=1"),2),0)</f>
        <v>0</v>
      </c>
      <c r="D67" s="228">
        <f>IFERROR(ROUND(Kosten_Evaluierung_LW,2),0)</f>
        <v>10000</v>
      </c>
      <c r="E67" s="198">
        <f>ROUND(IFERROR($C$67-$D$67,0),2)</f>
        <v>-10000</v>
      </c>
      <c r="F67" s="244">
        <f>ROUND(IFERROR(($C$67/$D$67)-1,0),4)</f>
        <v>-1</v>
      </c>
      <c r="G67" s="245">
        <f>IFERROR(ROUND(SUMIFS('Daten'!$BV$1:$BV$198,'Daten'!$BT$1:$BT$198,"Evaluierung",'Daten'!$BR$1:$BR$198,E10,'Daten'!$BS$1:$BS$198,"&lt;="&amp;E11,'Daten'!$BS$1:$BS$198,"&gt;=1"),2),0)</f>
        <v>0</v>
      </c>
      <c r="H67" s="245">
        <f>IFERROR(ROUND(Kosten_Evaluierung_EUR,2),0)</f>
        <v>5000</v>
      </c>
      <c r="I67" s="158">
        <f>ROUND(IFERROR($G$67-$H$67,0),2)</f>
        <v>-5000</v>
      </c>
      <c r="J67" s="246">
        <f>ROUND(IFERROR(($G$67/$H$67)-1,0),4)</f>
        <v>-1</v>
      </c>
    </row>
    <row r="68">
      <c r="B68" s="243" t="s">
        <v>319</v>
      </c>
      <c r="C68" s="228">
        <f>IFERROR(ROUND(SUMIFS('Daten'!$BU$1:$BU$198,'Daten'!$BT$1:$BT$198,"Audit",'Daten'!$BR$1:$BR$198,E10,'Daten'!$BS$1:$BS$198,"&lt;="&amp;E11,'Daten'!$BS$1:$BS$198,"&gt;=1"),2),0)</f>
        <v>0</v>
      </c>
      <c r="D68" s="228">
        <f>IFERROR(ROUND(Kosten_Audit_LW,2),0)</f>
        <v>10000</v>
      </c>
      <c r="E68" s="198">
        <f>ROUND(IFERROR($C$68-$D$68,0),2)</f>
        <v>-10000</v>
      </c>
      <c r="F68" s="244">
        <f>ROUND(IFERROR(($C$68/$D$68)-1,0),4)</f>
        <v>-1</v>
      </c>
      <c r="G68" s="245">
        <f>IFERROR(ROUND(SUMIFS('Daten'!$BV$1:$BV$198,'Daten'!$BT$1:$BT$198,"Audit",'Daten'!$BR$1:$BR$198,E10,'Daten'!$BS$1:$BS$198,"&lt;="&amp;E11,'Daten'!$BS$1:$BS$198,"&gt;=1"),2),0)</f>
        <v>0</v>
      </c>
      <c r="H68" s="245">
        <f>IFERROR(ROUND(Kosten_Audit_EUR,2),0)</f>
        <v>5000</v>
      </c>
      <c r="I68" s="158">
        <f>ROUND(IFERROR($G$68-$H$68,0),2)</f>
        <v>-5000</v>
      </c>
      <c r="J68" s="246">
        <f>ROUND(IFERROR(($G$68/$H$68)-1,0),4)</f>
        <v>-1</v>
      </c>
    </row>
    <row r="69">
      <c r="B69" s="243" t="s">
        <v>321</v>
      </c>
      <c r="C69" s="228">
        <f>IFERROR(ROUND(SUMIFS('Daten'!$BU$1:$BU$198,'Daten'!$BT$1:$BT$198,"Reserve",'Daten'!$BR$1:$BR$198,E10,'Daten'!$BS$1:$BS$198,"&lt;="&amp;E11,'Daten'!$BS$1:$BS$198,"&gt;=1"),2),0)</f>
        <v>0</v>
      </c>
      <c r="D69" s="228">
        <f>IFERROR(ROUND(Kosten_Reserve_LW,2),0)</f>
        <v>79000</v>
      </c>
      <c r="E69" s="198">
        <f>ROUND(IFERROR($C$69-$D$69,0),2)</f>
        <v>-79000</v>
      </c>
      <c r="F69" s="244">
        <f>ROUND(IFERROR(($C$69/$D$69)-1,0),4)</f>
        <v>-1</v>
      </c>
      <c r="G69" s="245">
        <f>IFERROR(ROUND(SUMIFS('Daten'!$BV$1:$BV$198,'Daten'!$BT$1:$BT$198,"Reserve",'Daten'!$BR$1:$BR$198,E10,'Daten'!$BS$1:$BS$198,"&lt;="&amp;E11,'Daten'!$BS$1:$BS$198,"&gt;=1"),2),0)</f>
        <v>0</v>
      </c>
      <c r="H69" s="245">
        <f>IFERROR(ROUND(Kosten_Reserve_EUR,2),0)</f>
        <v>39500</v>
      </c>
      <c r="I69" s="158">
        <f>ROUND(IFERROR($G$69-$H$69,0),2)</f>
        <v>-39500</v>
      </c>
      <c r="J69" s="246">
        <f>ROUND(IFERROR(($G$69/$H$69)-1,0),4)</f>
        <v>-1</v>
      </c>
    </row>
    <row r="70" ht="20" customHeight="1">
      <c r="B70" s="247" t="s">
        <v>358</v>
      </c>
      <c r="C70" s="248">
        <f>ROUND(SUM($C$62:$C$69),2)</f>
        <v>0</v>
      </c>
      <c r="D70" s="248">
        <f>ROUND(SUM($D$62:$D$69),2)</f>
        <v>1659000</v>
      </c>
      <c r="E70" s="248">
        <f>ROUND(SUM($E$62:$E$69),2)</f>
        <v>-1659000</v>
      </c>
      <c r="F70" s="249">
        <f>ROUND(IFERROR(($C$70/$D$70)-1,0),4)</f>
        <v>-1</v>
      </c>
      <c r="G70" s="250">
        <f>ROUND(SUM($G$62:$G$69),2)</f>
        <v>0</v>
      </c>
      <c r="H70" s="250">
        <f>ROUND(SUM($H$62:$H$69),2)</f>
        <v>829500</v>
      </c>
      <c r="I70" s="250">
        <f>ROUND(SUM($I$62:$I$69),2)</f>
        <v>-829500</v>
      </c>
      <c r="J70" s="251">
        <f>ROUND(IFERROR(($G$70/$H$70)-1,0),4)</f>
        <v>-1</v>
      </c>
    </row>
    <row r="76" ht="22" customHeight="1">
      <c r="B76" s="171" t="s">
        <v>476</v>
      </c>
      <c r="C76" s="171"/>
      <c r="D76" s="171"/>
      <c r="E76" s="171"/>
      <c r="F76" s="171"/>
      <c r="G76" s="171"/>
      <c r="H76" s="171"/>
      <c r="I76" s="171"/>
      <c r="J76" s="171"/>
      <c r="L76" s="172" t="str">
        <f>IF(E81=0,"Aktueller Finanzbericht (keiner gewählt)","Aktueller Finanzbericht – Periode "&amp;E81)</f>
        <v xml:space="preserve">Aktueller Finanzbericht (keiner gewählt)</v>
      </c>
      <c r="M76" s="173"/>
      <c r="N76" s="173"/>
      <c r="O76" s="173"/>
      <c r="P76" s="174"/>
    </row>
    <row r="77">
      <c r="B77" s="175" t="s">
        <v>477</v>
      </c>
      <c r="C77" s="175"/>
      <c r="D77" s="175"/>
      <c r="E77" s="175"/>
      <c r="F77" s="175"/>
      <c r="G77" s="175"/>
      <c r="H77" s="175"/>
      <c r="I77" s="175"/>
      <c r="J77" s="175"/>
      <c r="L77" s="176" t="s">
        <v>374</v>
      </c>
      <c r="M77" s="252" t="str">
        <f>IFERROR(CHOOSE(E81,'III. Finanzberichte'!$C$4,'III. Finanzberichte'!$J$4,'III. Finanzberichte'!$Q$4,'III. Finanzberichte'!$X$4,'III. Finanzberichte'!$AE$4,'III. Finanzberichte'!$AL$4,'III. Finanzberichte'!$AS$4,'III. Finanzberichte'!$AZ$4,'III. Finanzberichte'!$BG$4,'III. Finanzberichte'!$BN$4,'III. Finanzberichte'!$BU$4,'III. Finanzberichte'!$CB$4,'III. Finanzberichte'!$CI$4,'III. Finanzberichte'!$CP$4,'III. Finanzberichte'!$CW$4,'III. Finanzberichte'!$DD$4,'III. Finanzberichte'!$DK$4,'III. Finanzberichte'!$DR$4),"")</f>
        <v/>
      </c>
      <c r="N77" s="252"/>
      <c r="O77" s="252"/>
      <c r="P77" s="253"/>
    </row>
    <row r="78">
      <c r="L78" s="176" t="s">
        <v>375</v>
      </c>
      <c r="M78" s="254" t="str">
        <f>IFERROR(CHOOSE(E81,'III. Finanzberichte'!$C$5,'III. Finanzberichte'!$J$5,'III. Finanzberichte'!$Q$5,'III. Finanzberichte'!$X$5,'III. Finanzberichte'!$AE$5,'III. Finanzberichte'!$AL$5,'III. Finanzberichte'!$AS$5,'III. Finanzberichte'!$AZ$5,'III. Finanzberichte'!$BG$5,'III. Finanzberichte'!$BN$5,'III. Finanzberichte'!$BU$5,'III. Finanzberichte'!$CB$5,'III. Finanzberichte'!$CI$5,'III. Finanzberichte'!$CP$5,'III. Finanzberichte'!$CW$5,'III. Finanzberichte'!$DD$5,'III. Finanzberichte'!$DK$5,'III. Finanzberichte'!$DR$5),"")</f>
        <v/>
      </c>
      <c r="N78" s="254"/>
      <c r="O78" s="254"/>
      <c r="P78" s="255"/>
    </row>
    <row r="79" ht="22" customHeight="1">
      <c r="C79" s="172" t="s">
        <v>478</v>
      </c>
      <c r="D79" s="173"/>
      <c r="E79" s="173"/>
      <c r="F79" s="173"/>
      <c r="G79" s="174"/>
      <c r="L79" s="176" t="s">
        <v>376</v>
      </c>
      <c r="M79" s="254" t="str">
        <f>IFERROR(CHOOSE(E81,'III. Finanzberichte'!$C$6,'III. Finanzberichte'!$J$6,'III. Finanzberichte'!$Q$6,'III. Finanzberichte'!$X$6,'III. Finanzberichte'!$AE$6,'III. Finanzberichte'!$AL$6,'III. Finanzberichte'!$AS$6,'III. Finanzberichte'!$AZ$6,'III. Finanzberichte'!$BG$6,'III. Finanzberichte'!$BN$6,'III. Finanzberichte'!$BU$6,'III. Finanzberichte'!$CB$6,'III. Finanzberichte'!$CI$6,'III. Finanzberichte'!$CP$6,'III. Finanzberichte'!$CW$6,'III. Finanzberichte'!$DD$6,'III. Finanzberichte'!$DK$6,'III. Finanzberichte'!$DR$6),"")</f>
        <v/>
      </c>
      <c r="N79" s="254"/>
      <c r="O79" s="254"/>
      <c r="P79" s="255"/>
    </row>
    <row r="80">
      <c r="C80" s="181" t="s">
        <v>428</v>
      </c>
      <c r="D80" s="182"/>
      <c r="E80" s="183" t="s">
        <v>479</v>
      </c>
      <c r="F80" s="183"/>
      <c r="G80" s="184"/>
      <c r="L80" s="176" t="s">
        <v>377</v>
      </c>
      <c r="M80" s="256" t="str">
        <f>IFERROR(CHOOSE(E81,'III. Finanzberichte'!$C$7,'III. Finanzberichte'!$J$7,'III. Finanzberichte'!$Q$7,'III. Finanzberichte'!$X$7,'III. Finanzberichte'!$AE$7,'III. Finanzberichte'!$AL$7,'III. Finanzberichte'!$AS$7,'III. Finanzberichte'!$AZ$7,'III. Finanzberichte'!$BG$7,'III. Finanzberichte'!$BN$7,'III. Finanzberichte'!$BU$7,'III. Finanzberichte'!$CB$7,'III. Finanzberichte'!$CI$7,'III. Finanzberichte'!$CP$7,'III. Finanzberichte'!$CW$7,'III. Finanzberichte'!$DD$7,'III. Finanzberichte'!$DK$7,'III. Finanzberichte'!$DR$7),"")</f>
        <v/>
      </c>
      <c r="N80" s="256"/>
      <c r="O80" s="256"/>
      <c r="P80" s="257"/>
    </row>
    <row r="81">
      <c r="C81" s="236" t="s">
        <v>430</v>
      </c>
      <c r="D81" s="258"/>
      <c r="E81" s="259">
        <f>IF(E80="Neuester FB",IFERROR(SUMPRODUCT(MAX(('Daten'!$BK$1:$BK$18=1)*'Daten'!$BJ$1:$BJ$18)),0),IF(LEFT(E80,8)="Periode ",IFERROR(VALUE(TRIM(MID(E80,9,5))),0),0))</f>
        <v>0</v>
      </c>
      <c r="F81" s="259"/>
      <c r="G81" s="260"/>
      <c r="L81" s="176" t="s">
        <v>378</v>
      </c>
      <c r="M81" s="261" t="str">
        <f>IFERROR(CHOOSE(E81,'III. Finanzberichte'!$C$8,'III. Finanzberichte'!$J$8,'III. Finanzberichte'!$Q$8,'III. Finanzberichte'!$X$8,'III. Finanzberichte'!$AE$8,'III. Finanzberichte'!$AL$8,'III. Finanzberichte'!$AS$8,'III. Finanzberichte'!$AZ$8,'III. Finanzberichte'!$BG$8,'III. Finanzberichte'!$BN$8,'III. Finanzberichte'!$BU$8,'III. Finanzberichte'!$CB$8,'III. Finanzberichte'!$CI$8,'III. Finanzberichte'!$CP$8,'III. Finanzberichte'!$CW$8,'III. Finanzberichte'!$DD$8,'III. Finanzberichte'!$DK$8,'III. Finanzberichte'!$DR$8),"")</f>
        <v/>
      </c>
      <c r="N81" s="261"/>
      <c r="O81" s="261"/>
      <c r="P81" s="262"/>
    </row>
    <row r="82">
      <c r="L82" s="22"/>
      <c r="P82" s="23"/>
    </row>
    <row r="83" ht="22" customHeight="1">
      <c r="B83" s="26" t="s">
        <v>480</v>
      </c>
      <c r="C83" s="26"/>
      <c r="D83" s="26"/>
      <c r="E83" s="26"/>
      <c r="F83" s="26"/>
      <c r="G83" s="26"/>
      <c r="H83" s="26"/>
      <c r="I83" s="26"/>
      <c r="J83" s="26"/>
      <c r="L83" s="263" t="s">
        <v>379</v>
      </c>
      <c r="M83" s="264"/>
      <c r="N83" s="264"/>
      <c r="O83" s="264"/>
      <c r="P83" s="265"/>
    </row>
    <row r="84" ht="26" customHeight="1">
      <c r="L84" s="266" t="s">
        <v>380</v>
      </c>
      <c r="M84" s="267" t="s">
        <v>381</v>
      </c>
      <c r="N84" s="267" t="s">
        <v>382</v>
      </c>
      <c r="O84" s="267" t="s">
        <v>383</v>
      </c>
      <c r="P84" s="268" t="s">
        <v>384</v>
      </c>
    </row>
    <row r="85">
      <c r="B85" s="207" t="s">
        <v>434</v>
      </c>
      <c r="C85" s="208"/>
      <c r="D85" s="209">
        <f>IFERROR(ROUND(KMW_Mittel_EUR,2),0)</f>
        <v>794500</v>
      </c>
      <c r="F85" s="210" t="s">
        <v>435</v>
      </c>
      <c r="G85" s="211"/>
      <c r="H85" s="211"/>
      <c r="I85" s="212"/>
      <c r="L85" s="108" t="str">
        <f>IFERROR(CHOOSE(E81,'III. Finanzberichte'!$B$11,'III. Finanzberichte'!$I$11,'III. Finanzberichte'!$P$11,'III. Finanzberichte'!$W$11,'III. Finanzberichte'!$AD$11,'III. Finanzberichte'!$AK$11,'III. Finanzberichte'!$AR$11,'III. Finanzberichte'!$AY$11,'III. Finanzberichte'!$BF$11,'III. Finanzberichte'!$BM$11,'III. Finanzberichte'!$BT$11,'III. Finanzberichte'!$CA$11,'III. Finanzberichte'!$CH$11,'III. Finanzberichte'!$CO$11,'III. Finanzberichte'!$CV$11,'III. Finanzberichte'!$DC$11,'III. Finanzberichte'!$DJ$11,'III. Finanzberichte'!$DQ$11),"")</f>
        <v/>
      </c>
      <c r="M85" s="109" t="str">
        <f>IFERROR(CHOOSE(E81,'III. Finanzberichte'!$C$11,'III. Finanzberichte'!$J$11,'III. Finanzberichte'!$Q$11,'III. Finanzberichte'!$X$11,'III. Finanzberichte'!$AE$11,'III. Finanzberichte'!$AL$11,'III. Finanzberichte'!$AS$11,'III. Finanzberichte'!$AZ$11,'III. Finanzberichte'!$BG$11,'III. Finanzberichte'!$BN$11,'III. Finanzberichte'!$BU$11,'III. Finanzberichte'!$CB$11,'III. Finanzberichte'!$CI$11,'III. Finanzberichte'!$CP$11,'III. Finanzberichte'!$CW$11,'III. Finanzberichte'!$DD$11,'III. Finanzberichte'!$DK$11,'III. Finanzberichte'!$DR$11),"")</f>
        <v/>
      </c>
      <c r="N85" s="110" t="str">
        <f>IFERROR(CHOOSE(E81,'III. Finanzberichte'!$D$11,'III. Finanzberichte'!$K$11,'III. Finanzberichte'!$R$11,'III. Finanzberichte'!$Y$11,'III. Finanzberichte'!$AF$11,'III. Finanzberichte'!$AM$11,'III. Finanzberichte'!$AT$11,'III. Finanzberichte'!$BA$11,'III. Finanzberichte'!$BH$11,'III. Finanzberichte'!$BO$11,'III. Finanzberichte'!$BV$11,'III. Finanzberichte'!$CC$11,'III. Finanzberichte'!$CJ$11,'III. Finanzberichte'!$CQ$11,'III. Finanzberichte'!$CX$11,'III. Finanzberichte'!$DE$11,'III. Finanzberichte'!$DL$11,'III. Finanzberichte'!$DS$11),"")</f>
        <v/>
      </c>
      <c r="O85" s="109" t="str">
        <f>IFERROR(CHOOSE(E81,'III. Finanzberichte'!$E$11,'III. Finanzberichte'!$L$11,'III. Finanzberichte'!$S$11,'III. Finanzberichte'!$Z$11,'III. Finanzberichte'!$AG$11,'III. Finanzberichte'!$AN$11,'III. Finanzberichte'!$AU$11,'III. Finanzberichte'!$BB$11,'III. Finanzberichte'!$BI$11,'III. Finanzberichte'!$BP$11,'III. Finanzberichte'!$BW$11,'III. Finanzberichte'!$CD$11,'III. Finanzberichte'!$CK$11,'III. Finanzberichte'!$CR$11,'III. Finanzberichte'!$CY$11,'III. Finanzberichte'!$DF$11,'III. Finanzberichte'!$DM$11,'III. Finanzberichte'!$DT$11),"")</f>
        <v/>
      </c>
      <c r="P85" s="111" t="str">
        <f>IFERROR(CHOOSE(E81,'III. Finanzberichte'!$F$11,'III. Finanzberichte'!$M$11,'III. Finanzberichte'!$T$11,'III. Finanzberichte'!$AA$11,'III. Finanzberichte'!$AH$11,'III. Finanzberichte'!$AO$11,'III. Finanzberichte'!$AV$11,'III. Finanzberichte'!$BC$11,'III. Finanzberichte'!$BJ$11,'III. Finanzberichte'!$BQ$11,'III. Finanzberichte'!$BX$11,'III. Finanzberichte'!$CE$11,'III. Finanzberichte'!$CL$11,'III. Finanzberichte'!$CS$11,'III. Finanzberichte'!$CZ$11,'III. Finanzberichte'!$DG$11,'III. Finanzberichte'!$DN$11,'III. Finanzberichte'!$DU$11),"")</f>
        <v/>
      </c>
    </row>
    <row r="86">
      <c r="B86" s="181" t="s">
        <v>436</v>
      </c>
      <c r="C86" s="182"/>
      <c r="D86" s="213">
        <f>IFERROR(ROUND(Kosten_Reserve_EUR,2),0)</f>
        <v>39500</v>
      </c>
      <c r="F86" s="214" t="s">
        <v>437</v>
      </c>
      <c r="G86" s="182" t="s">
        <v>438</v>
      </c>
      <c r="H86" s="182"/>
      <c r="I86" s="215">
        <f>IFERROR(ROUND(Saldovortrag_EUR,2),0)</f>
        <v>0</v>
      </c>
      <c r="L86" s="108" t="s">
        <v>198</v>
      </c>
      <c r="M86" s="109" t="str">
        <f>IFERROR(CHOOSE(E81,'III. Finanzberichte'!$C$12,'III. Finanzberichte'!$J$12,'III. Finanzberichte'!$Q$12,'III. Finanzberichte'!$X$12,'III. Finanzberichte'!$AE$12,'III. Finanzberichte'!$AL$12,'III. Finanzberichte'!$AS$12,'III. Finanzberichte'!$AZ$12,'III. Finanzberichte'!$BG$12,'III. Finanzberichte'!$BN$12,'III. Finanzberichte'!$BU$12,'III. Finanzberichte'!$CB$12,'III. Finanzberichte'!$CI$12,'III. Finanzberichte'!$CP$12,'III. Finanzberichte'!$CW$12,'III. Finanzberichte'!$DD$12,'III. Finanzberichte'!$DK$12,'III. Finanzberichte'!$DR$12),"")</f>
        <v/>
      </c>
      <c r="N86" s="110" t="str">
        <f>IFERROR(CHOOSE(E81,'III. Finanzberichte'!$D$12,'III. Finanzberichte'!$K$12,'III. Finanzberichte'!$R$12,'III. Finanzberichte'!$Y$12,'III. Finanzberichte'!$AF$12,'III. Finanzberichte'!$AM$12,'III. Finanzberichte'!$AT$12,'III. Finanzberichte'!$BA$12,'III. Finanzberichte'!$BH$12,'III. Finanzberichte'!$BO$12,'III. Finanzberichte'!$BV$12,'III. Finanzberichte'!$CC$12,'III. Finanzberichte'!$CJ$12,'III. Finanzberichte'!$CQ$12,'III. Finanzberichte'!$CX$12,'III. Finanzberichte'!$DE$12,'III. Finanzberichte'!$DL$12,'III. Finanzberichte'!$DS$12),"")</f>
        <v/>
      </c>
      <c r="O86" s="109" t="str">
        <f>IFERROR(CHOOSE(E81,'III. Finanzberichte'!$E$12,'III. Finanzberichte'!$L$12,'III. Finanzberichte'!$S$12,'III. Finanzberichte'!$Z$12,'III. Finanzberichte'!$AG$12,'III. Finanzberichte'!$AN$12,'III. Finanzberichte'!$AU$12,'III. Finanzberichte'!$BB$12,'III. Finanzberichte'!$BI$12,'III. Finanzberichte'!$BP$12,'III. Finanzberichte'!$BW$12,'III. Finanzberichte'!$CD$12,'III. Finanzberichte'!$CK$12,'III. Finanzberichte'!$CR$12,'III. Finanzberichte'!$CY$12,'III. Finanzberichte'!$DF$12,'III. Finanzberichte'!$DM$12,'III. Finanzberichte'!$DT$12),"")</f>
        <v/>
      </c>
      <c r="P86" s="111" t="str">
        <f>IFERROR(CHOOSE(E81,'III. Finanzberichte'!$F$12,'III. Finanzberichte'!$M$12,'III. Finanzberichte'!$T$12,'III. Finanzberichte'!$AA$12,'III. Finanzberichte'!$AH$12,'III. Finanzberichte'!$AO$12,'III. Finanzberichte'!$AV$12,'III. Finanzberichte'!$BC$12,'III. Finanzberichte'!$BJ$12,'III. Finanzberichte'!$BQ$12,'III. Finanzberichte'!$BX$12,'III. Finanzberichte'!$CE$12,'III. Finanzberichte'!$CL$12,'III. Finanzberichte'!$CS$12,'III. Finanzberichte'!$CZ$12,'III. Finanzberichte'!$DG$12,'III. Finanzberichte'!$DN$12,'III. Finanzberichte'!$DU$12),"")</f>
        <v/>
      </c>
    </row>
    <row r="87">
      <c r="B87" s="181" t="str">
        <f>IF(Reserve_Freigabe="Ja","Operatives Budget (Reserve freigegeben)","Operatives Budget (abzgl. Reserve)")</f>
        <v xml:space="preserve">Operatives Budget (abzgl. Reserve)</v>
      </c>
      <c r="C87" s="182"/>
      <c r="D87" s="213">
        <f>IF(Reserve_Freigabe="Ja",ROUND($D$85,2),ROUND($D$85-$D$86,2))</f>
        <v>755000</v>
      </c>
      <c r="F87" s="214" t="s">
        <v>437</v>
      </c>
      <c r="G87" s="182" t="s">
        <v>439</v>
      </c>
      <c r="H87" s="182"/>
      <c r="I87" s="215">
        <f>IFERROR(ROUND(MAX(0,(SUM($G$96:$G$99)-$G$98)-(SUM($H$96:$H$99)-$H$98)),2),0)</f>
        <v>0</v>
      </c>
      <c r="L87" s="108" t="s">
        <v>387</v>
      </c>
      <c r="M87" s="109" t="str">
        <f>IFERROR(CHOOSE(E81,'III. Finanzberichte'!$C$13,'III. Finanzberichte'!$J$13,'III. Finanzberichte'!$Q$13,'III. Finanzberichte'!$X$13,'III. Finanzberichte'!$AE$13,'III. Finanzberichte'!$AL$13,'III. Finanzberichte'!$AS$13,'III. Finanzberichte'!$AZ$13,'III. Finanzberichte'!$BG$13,'III. Finanzberichte'!$BN$13,'III. Finanzberichte'!$BU$13,'III. Finanzberichte'!$CB$13,'III. Finanzberichte'!$CI$13,'III. Finanzberichte'!$CP$13,'III. Finanzberichte'!$CW$13,'III. Finanzberichte'!$DD$13,'III. Finanzberichte'!$DK$13,'III. Finanzberichte'!$DR$13),"")</f>
        <v/>
      </c>
      <c r="N87" s="110" t="str">
        <f>IFERROR(CHOOSE(E81,'III. Finanzberichte'!$D$13,'III. Finanzberichte'!$K$13,'III. Finanzberichte'!$R$13,'III. Finanzberichte'!$Y$13,'III. Finanzberichte'!$AF$13,'III. Finanzberichte'!$AM$13,'III. Finanzberichte'!$AT$13,'III. Finanzberichte'!$BA$13,'III. Finanzberichte'!$BH$13,'III. Finanzberichte'!$BO$13,'III. Finanzberichte'!$BV$13,'III. Finanzberichte'!$CC$13,'III. Finanzberichte'!$CJ$13,'III. Finanzberichte'!$CQ$13,'III. Finanzberichte'!$CX$13,'III. Finanzberichte'!$DE$13,'III. Finanzberichte'!$DL$13,'III. Finanzberichte'!$DS$13),"")</f>
        <v/>
      </c>
      <c r="O87" s="109" t="str">
        <f>IFERROR(CHOOSE(E81,'III. Finanzberichte'!$E$13,'III. Finanzberichte'!$L$13,'III. Finanzberichte'!$S$13,'III. Finanzberichte'!$Z$13,'III. Finanzberichte'!$AG$13,'III. Finanzberichte'!$AN$13,'III. Finanzberichte'!$AU$13,'III. Finanzberichte'!$BB$13,'III. Finanzberichte'!$BI$13,'III. Finanzberichte'!$BP$13,'III. Finanzberichte'!$BW$13,'III. Finanzberichte'!$CD$13,'III. Finanzberichte'!$CK$13,'III. Finanzberichte'!$CR$13,'III. Finanzberichte'!$CY$13,'III. Finanzberichte'!$DF$13,'III. Finanzberichte'!$DM$13,'III. Finanzberichte'!$DT$13),"")</f>
        <v/>
      </c>
      <c r="P87" s="111" t="str">
        <f>IFERROR(CHOOSE(E81,'III. Finanzberichte'!$F$13,'III. Finanzberichte'!$M$13,'III. Finanzberichte'!$T$13,'III. Finanzberichte'!$AA$13,'III. Finanzberichte'!$AH$13,'III. Finanzberichte'!$AO$13,'III. Finanzberichte'!$AV$13,'III. Finanzberichte'!$BC$13,'III. Finanzberichte'!$BJ$13,'III. Finanzberichte'!$BQ$13,'III. Finanzberichte'!$BX$13,'III. Finanzberichte'!$CE$13,'III. Finanzberichte'!$CL$13,'III. Finanzberichte'!$CS$13,'III. Finanzberichte'!$CZ$13,'III. Finanzberichte'!$DG$13,'III. Finanzberichte'!$DN$13,'III. Finanzberichte'!$DU$13),"")</f>
        <v/>
      </c>
    </row>
    <row r="88">
      <c r="B88" s="181" t="s">
        <v>441</v>
      </c>
      <c r="C88" s="182"/>
      <c r="D88" s="213">
        <f>IFERROR(ROUND(SUBTOTAL(109,TblKMWMittel[Betrag]),2),0)</f>
        <v>0</v>
      </c>
      <c r="F88" s="22"/>
      <c r="G88" s="219" t="s">
        <v>445</v>
      </c>
      <c r="H88" s="219"/>
      <c r="I88" s="206">
        <f>ROUND(IF($F$86="Abzug",MAX(0,$I$86),0)+IF($F$87="Abzug",MAX(0,$I$87),0),2)</f>
        <v>0</v>
      </c>
      <c r="L88" s="108" t="s">
        <v>204</v>
      </c>
      <c r="M88" s="109" t="str">
        <f>IFERROR(CHOOSE(E81,'III. Finanzberichte'!$C$14,'III. Finanzberichte'!$J$14,'III. Finanzberichte'!$Q$14,'III. Finanzberichte'!$X$14,'III. Finanzberichte'!$AE$14,'III. Finanzberichte'!$AL$14,'III. Finanzberichte'!$AS$14,'III. Finanzberichte'!$AZ$14,'III. Finanzberichte'!$BG$14,'III. Finanzberichte'!$BN$14,'III. Finanzberichte'!$BU$14,'III. Finanzberichte'!$CB$14,'III. Finanzberichte'!$CI$14,'III. Finanzberichte'!$CP$14,'III. Finanzberichte'!$CW$14,'III. Finanzberichte'!$DD$14,'III. Finanzberichte'!$DK$14,'III. Finanzberichte'!$DR$14),"")</f>
        <v/>
      </c>
      <c r="N88" s="110" t="str">
        <f>IFERROR(CHOOSE(E81,'III. Finanzberichte'!$D$14,'III. Finanzberichte'!$K$14,'III. Finanzberichte'!$R$14,'III. Finanzberichte'!$Y$14,'III. Finanzberichte'!$AF$14,'III. Finanzberichte'!$AM$14,'III. Finanzberichte'!$AT$14,'III. Finanzberichte'!$BA$14,'III. Finanzberichte'!$BH$14,'III. Finanzberichte'!$BO$14,'III. Finanzberichte'!$BV$14,'III. Finanzberichte'!$CC$14,'III. Finanzberichte'!$CJ$14,'III. Finanzberichte'!$CQ$14,'III. Finanzberichte'!$CX$14,'III. Finanzberichte'!$DE$14,'III. Finanzberichte'!$DL$14,'III. Finanzberichte'!$DS$14),"")</f>
        <v/>
      </c>
      <c r="O88" s="109" t="str">
        <f>IFERROR(CHOOSE(E81,'III. Finanzberichte'!$E$14,'III. Finanzberichte'!$L$14,'III. Finanzberichte'!$S$14,'III. Finanzberichte'!$Z$14,'III. Finanzberichte'!$AG$14,'III. Finanzberichte'!$AN$14,'III. Finanzberichte'!$AU$14,'III. Finanzberichte'!$BB$14,'III. Finanzberichte'!$BI$14,'III. Finanzberichte'!$BP$14,'III. Finanzberichte'!$BW$14,'III. Finanzberichte'!$CD$14,'III. Finanzberichte'!$CK$14,'III. Finanzberichte'!$CR$14,'III. Finanzberichte'!$CY$14,'III. Finanzberichte'!$DF$14,'III. Finanzberichte'!$DM$14,'III. Finanzberichte'!$DT$14),"")</f>
        <v/>
      </c>
      <c r="P88" s="111" t="str">
        <f>IFERROR(CHOOSE(E81,'III. Finanzberichte'!$F$14,'III. Finanzberichte'!$M$14,'III. Finanzberichte'!$T$14,'III. Finanzberichte'!$AA$14,'III. Finanzberichte'!$AH$14,'III. Finanzberichte'!$AO$14,'III. Finanzberichte'!$AV$14,'III. Finanzberichte'!$BC$14,'III. Finanzberichte'!$BJ$14,'III. Finanzberichte'!$BQ$14,'III. Finanzberichte'!$BX$14,'III. Finanzberichte'!$CE$14,'III. Finanzberichte'!$CL$14,'III. Finanzberichte'!$CS$14,'III. Finanzberichte'!$CZ$14,'III. Finanzberichte'!$DG$14,'III. Finanzberichte'!$DN$14,'III. Finanzberichte'!$DU$14),"")</f>
        <v/>
      </c>
    </row>
    <row r="89">
      <c r="B89" s="216" t="s">
        <v>444</v>
      </c>
      <c r="C89" s="217"/>
      <c r="D89" s="218">
        <f>ROUND($D$87-$D$88,2)</f>
        <v>755000</v>
      </c>
      <c r="F89" s="220"/>
      <c r="G89" s="217" t="s">
        <v>446</v>
      </c>
      <c r="H89" s="217"/>
      <c r="I89" s="218">
        <f>ROUND($D$89-$I$88,2)</f>
        <v>755000</v>
      </c>
      <c r="L89" s="108" t="s">
        <v>388</v>
      </c>
      <c r="M89" s="109" t="str">
        <f>IFERROR(CHOOSE(E81,'III. Finanzberichte'!$C$15,'III. Finanzberichte'!$J$15,'III. Finanzberichte'!$Q$15,'III. Finanzberichte'!$X$15,'III. Finanzberichte'!$AE$15,'III. Finanzberichte'!$AL$15,'III. Finanzberichte'!$AS$15,'III. Finanzberichte'!$AZ$15,'III. Finanzberichte'!$BG$15,'III. Finanzberichte'!$BN$15,'III. Finanzberichte'!$BU$15,'III. Finanzberichte'!$CB$15,'III. Finanzberichte'!$CI$15,'III. Finanzberichte'!$CP$15,'III. Finanzberichte'!$CW$15,'III. Finanzberichte'!$DD$15,'III. Finanzberichte'!$DK$15,'III. Finanzberichte'!$DR$15),"")</f>
        <v/>
      </c>
      <c r="N89" s="110" t="str">
        <f>IFERROR(CHOOSE(E81,'III. Finanzberichte'!$D$15,'III. Finanzberichte'!$K$15,'III. Finanzberichte'!$R$15,'III. Finanzberichte'!$Y$15,'III. Finanzberichte'!$AF$15,'III. Finanzberichte'!$AM$15,'III. Finanzberichte'!$AT$15,'III. Finanzberichte'!$BA$15,'III. Finanzberichte'!$BH$15,'III. Finanzberichte'!$BO$15,'III. Finanzberichte'!$BV$15,'III. Finanzberichte'!$CC$15,'III. Finanzberichte'!$CJ$15,'III. Finanzberichte'!$CQ$15,'III. Finanzberichte'!$CX$15,'III. Finanzberichte'!$DE$15,'III. Finanzberichte'!$DL$15,'III. Finanzberichte'!$DS$15),"")</f>
        <v/>
      </c>
      <c r="O89" s="109" t="str">
        <f>IFERROR(CHOOSE(E81,'III. Finanzberichte'!$E$15,'III. Finanzberichte'!$L$15,'III. Finanzberichte'!$S$15,'III. Finanzberichte'!$Z$15,'III. Finanzberichte'!$AG$15,'III. Finanzberichte'!$AN$15,'III. Finanzberichte'!$AU$15,'III. Finanzberichte'!$BB$15,'III. Finanzberichte'!$BI$15,'III. Finanzberichte'!$BP$15,'III. Finanzberichte'!$BW$15,'III. Finanzberichte'!$CD$15,'III. Finanzberichte'!$CK$15,'III. Finanzberichte'!$CR$15,'III. Finanzberichte'!$CY$15,'III. Finanzberichte'!$DF$15,'III. Finanzberichte'!$DM$15,'III. Finanzberichte'!$DT$15),"")</f>
        <v/>
      </c>
      <c r="P89" s="111" t="str">
        <f>IFERROR(CHOOSE(E81,'III. Finanzberichte'!$F$15,'III. Finanzberichte'!$M$15,'III. Finanzberichte'!$T$15,'III. Finanzberichte'!$AA$15,'III. Finanzberichte'!$AH$15,'III. Finanzberichte'!$AO$15,'III. Finanzberichte'!$AV$15,'III. Finanzberichte'!$BC$15,'III. Finanzberichte'!$BJ$15,'III. Finanzberichte'!$BQ$15,'III. Finanzberichte'!$BX$15,'III. Finanzberichte'!$CE$15,'III. Finanzberichte'!$CL$15,'III. Finanzberichte'!$CS$15,'III. Finanzberichte'!$CZ$15,'III. Finanzberichte'!$DG$15,'III. Finanzberichte'!$DN$15,'III. Finanzberichte'!$DU$15),"")</f>
        <v/>
      </c>
    </row>
    <row r="90">
      <c r="L90" s="269" t="s">
        <v>389</v>
      </c>
      <c r="M90" s="270" t="str">
        <f>IFERROR(CHOOSE(E81,'III. Finanzberichte'!$C$16,'III. Finanzberichte'!$J$16,'III. Finanzberichte'!$Q$16,'III. Finanzberichte'!$X$16,'III. Finanzberichte'!$AE$16,'III. Finanzberichte'!$AL$16,'III. Finanzberichte'!$AS$16,'III. Finanzberichte'!$AZ$16,'III. Finanzberichte'!$BG$16,'III. Finanzberichte'!$BN$16,'III. Finanzberichte'!$BU$16,'III. Finanzberichte'!$CB$16,'III. Finanzberichte'!$CI$16,'III. Finanzberichte'!$CP$16,'III. Finanzberichte'!$CW$16,'III. Finanzberichte'!$DD$16,'III. Finanzberichte'!$DK$16,'III. Finanzberichte'!$DR$16),"")</f>
        <v/>
      </c>
      <c r="N90" s="271" t="str">
        <f>IFERROR(CHOOSE(E81,'III. Finanzberichte'!$D$16,'III. Finanzberichte'!$K$16,'III. Finanzberichte'!$R$16,'III. Finanzberichte'!$Y$16,'III. Finanzberichte'!$AF$16,'III. Finanzberichte'!$AM$16,'III. Finanzberichte'!$AT$16,'III. Finanzberichte'!$BA$16,'III. Finanzberichte'!$BH$16,'III. Finanzberichte'!$BO$16,'III. Finanzberichte'!$BV$16,'III. Finanzberichte'!$CC$16,'III. Finanzberichte'!$CJ$16,'III. Finanzberichte'!$CQ$16,'III. Finanzberichte'!$CX$16,'III. Finanzberichte'!$DE$16,'III. Finanzberichte'!$DL$16,'III. Finanzberichte'!$DS$16),"")</f>
        <v/>
      </c>
      <c r="O90" s="270" t="str">
        <f>IFERROR(CHOOSE(E81,'III. Finanzberichte'!$E$16,'III. Finanzberichte'!$L$16,'III. Finanzberichte'!$S$16,'III. Finanzberichte'!$Z$16,'III. Finanzberichte'!$AG$16,'III. Finanzberichte'!$AN$16,'III. Finanzberichte'!$AU$16,'III. Finanzberichte'!$BB$16,'III. Finanzberichte'!$BI$16,'III. Finanzberichte'!$BP$16,'III. Finanzberichte'!$BW$16,'III. Finanzberichte'!$CD$16,'III. Finanzberichte'!$CK$16,'III. Finanzberichte'!$CR$16,'III. Finanzberichte'!$CY$16,'III. Finanzberichte'!$DF$16,'III. Finanzberichte'!$DM$16,'III. Finanzberichte'!$DT$16),"")</f>
        <v/>
      </c>
      <c r="P90" s="272" t="str">
        <f>IFERROR(CHOOSE(E81,'III. Finanzberichte'!$F$16,'III. Finanzberichte'!$M$16,'III. Finanzberichte'!$T$16,'III. Finanzberichte'!$AA$16,'III. Finanzberichte'!$AH$16,'III. Finanzberichte'!$AO$16,'III. Finanzberichte'!$AV$16,'III. Finanzberichte'!$BC$16,'III. Finanzberichte'!$BJ$16,'III. Finanzberichte'!$BQ$16,'III. Finanzberichte'!$BX$16,'III. Finanzberichte'!$CE$16,'III. Finanzberichte'!$CL$16,'III. Finanzberichte'!$CS$16,'III. Finanzberichte'!$CZ$16,'III. Finanzberichte'!$DG$16,'III. Finanzberichte'!$DN$16,'III. Finanzberichte'!$DU$16),"")</f>
        <v/>
      </c>
    </row>
    <row r="91">
      <c r="L91" s="263" t="s">
        <v>390</v>
      </c>
      <c r="M91" s="264"/>
      <c r="N91" s="264"/>
      <c r="O91" s="264"/>
      <c r="P91" s="265"/>
    </row>
    <row r="92" ht="26" customHeight="1">
      <c r="L92" s="266" t="s">
        <v>209</v>
      </c>
      <c r="M92" s="267" t="s">
        <v>391</v>
      </c>
      <c r="N92" s="267" t="s">
        <v>392</v>
      </c>
      <c r="O92" s="267" t="s">
        <v>393</v>
      </c>
      <c r="P92" s="268" t="s">
        <v>394</v>
      </c>
    </row>
    <row r="93" ht="22" customHeight="1">
      <c r="B93" s="26" t="s">
        <v>481</v>
      </c>
      <c r="C93" s="26"/>
      <c r="D93" s="26"/>
      <c r="E93" s="26"/>
      <c r="F93" s="26"/>
      <c r="G93" s="26"/>
      <c r="H93" s="26"/>
      <c r="I93" s="26"/>
      <c r="J93" s="26"/>
      <c r="L93" s="108" t="str">
        <f>IFERROR(CHOOSE(E81,'III. Finanzberichte'!$B$19,'III. Finanzberichte'!$I$19,'III. Finanzberichte'!$P$19,'III. Finanzberichte'!$W$19,'III. Finanzberichte'!$AD$19,'III. Finanzberichte'!$AK$19,'III. Finanzberichte'!$AR$19,'III. Finanzberichte'!$AY$19,'III. Finanzberichte'!$BF$19,'III. Finanzberichte'!$BM$19,'III. Finanzberichte'!$BT$19,'III. Finanzberichte'!$CA$19,'III. Finanzberichte'!$CH$19,'III. Finanzberichte'!$CO$19,'III. Finanzberichte'!$CV$19,'III. Finanzberichte'!$DC$19,'III. Finanzberichte'!$DJ$19,'III. Finanzberichte'!$DQ$19),"")</f>
        <v/>
      </c>
      <c r="M93" s="109" t="str">
        <f>IFERROR(CHOOSE(E81,'III. Finanzberichte'!$C$19,'III. Finanzberichte'!$J$19,'III. Finanzberichte'!$Q$19,'III. Finanzberichte'!$X$19,'III. Finanzberichte'!$AE$19,'III. Finanzberichte'!$AL$19,'III. Finanzberichte'!$AS$19,'III. Finanzberichte'!$AZ$19,'III. Finanzberichte'!$BG$19,'III. Finanzberichte'!$BN$19,'III. Finanzberichte'!$BU$19,'III. Finanzberichte'!$CB$19,'III. Finanzberichte'!$CI$19,'III. Finanzberichte'!$CP$19,'III. Finanzberichte'!$CW$19,'III. Finanzberichte'!$DD$19,'III. Finanzberichte'!$DK$19,'III. Finanzberichte'!$DR$19),"")</f>
        <v/>
      </c>
      <c r="N93" s="110" t="str">
        <f>IFERROR(CHOOSE(E81,'III. Finanzberichte'!$D$19,'III. Finanzberichte'!$K$19,'III. Finanzberichte'!$R$19,'III. Finanzberichte'!$Y$19,'III. Finanzberichte'!$AF$19,'III. Finanzberichte'!$AM$19,'III. Finanzberichte'!$AT$19,'III. Finanzberichte'!$BA$19,'III. Finanzberichte'!$BH$19,'III. Finanzberichte'!$BO$19,'III. Finanzberichte'!$BV$19,'III. Finanzberichte'!$CC$19,'III. Finanzberichte'!$CJ$19,'III. Finanzberichte'!$CQ$19,'III. Finanzberichte'!$CX$19,'III. Finanzberichte'!$DE$19,'III. Finanzberichte'!$DL$19,'III. Finanzberichte'!$DS$19),"")</f>
        <v/>
      </c>
      <c r="O93" s="109" t="str">
        <f>IFERROR(CHOOSE(E81,'III. Finanzberichte'!$E$19,'III. Finanzberichte'!$L$19,'III. Finanzberichte'!$S$19,'III. Finanzberichte'!$Z$19,'III. Finanzberichte'!$AG$19,'III. Finanzberichte'!$AN$19,'III. Finanzberichte'!$AU$19,'III. Finanzberichte'!$BB$19,'III. Finanzberichte'!$BI$19,'III. Finanzberichte'!$BP$19,'III. Finanzberichte'!$BW$19,'III. Finanzberichte'!$CD$19,'III. Finanzberichte'!$CK$19,'III. Finanzberichte'!$CR$19,'III. Finanzberichte'!$CY$19,'III. Finanzberichte'!$DF$19,'III. Finanzberichte'!$DM$19,'III. Finanzberichte'!$DT$19),"")</f>
        <v/>
      </c>
      <c r="P93" s="111" t="str">
        <f>IFERROR(CHOOSE(E81,'III. Finanzberichte'!$F$19,'III. Finanzberichte'!$M$19,'III. Finanzberichte'!$T$19,'III. Finanzberichte'!$AA$19,'III. Finanzberichte'!$AH$19,'III. Finanzberichte'!$AO$19,'III. Finanzberichte'!$AV$19,'III. Finanzberichte'!$BC$19,'III. Finanzberichte'!$BJ$19,'III. Finanzberichte'!$BQ$19,'III. Finanzberichte'!$BX$19,'III. Finanzberichte'!$CE$19,'III. Finanzberichte'!$CL$19,'III. Finanzberichte'!$CS$19,'III. Finanzberichte'!$CZ$19,'III. Finanzberichte'!$DG$19,'III. Finanzberichte'!$DN$19,'III. Finanzberichte'!$DU$19),"")</f>
        <v/>
      </c>
    </row>
    <row r="94">
      <c r="L94" s="108" t="str">
        <f>IFERROR(CHOOSE(E81,'III. Finanzberichte'!$B$20,'III. Finanzberichte'!$I$20,'III. Finanzberichte'!$P$20,'III. Finanzberichte'!$W$20,'III. Finanzberichte'!$AD$20,'III. Finanzberichte'!$AK$20,'III. Finanzberichte'!$AR$20,'III. Finanzberichte'!$AY$20,'III. Finanzberichte'!$BF$20,'III. Finanzberichte'!$BM$20,'III. Finanzberichte'!$BT$20,'III. Finanzberichte'!$CA$20,'III. Finanzberichte'!$CH$20,'III. Finanzberichte'!$CO$20,'III. Finanzberichte'!$CV$20,'III. Finanzberichte'!$DC$20,'III. Finanzberichte'!$DJ$20,'III. Finanzberichte'!$DQ$20),"")</f>
        <v/>
      </c>
      <c r="M94" s="109" t="str">
        <f>IFERROR(CHOOSE(E81,'III. Finanzberichte'!$C$20,'III. Finanzberichte'!$J$20,'III. Finanzberichte'!$Q$20,'III. Finanzberichte'!$X$20,'III. Finanzberichte'!$AE$20,'III. Finanzberichte'!$AL$20,'III. Finanzberichte'!$AS$20,'III. Finanzberichte'!$AZ$20,'III. Finanzberichte'!$BG$20,'III. Finanzberichte'!$BN$20,'III. Finanzberichte'!$BU$20,'III. Finanzberichte'!$CB$20,'III. Finanzberichte'!$CI$20,'III. Finanzberichte'!$CP$20,'III. Finanzberichte'!$CW$20,'III. Finanzberichte'!$DD$20,'III. Finanzberichte'!$DK$20,'III. Finanzberichte'!$DR$20),"")</f>
        <v/>
      </c>
      <c r="N94" s="110" t="str">
        <f>IFERROR(CHOOSE(E81,'III. Finanzberichte'!$D$20,'III. Finanzberichte'!$K$20,'III. Finanzberichte'!$R$20,'III. Finanzberichte'!$Y$20,'III. Finanzberichte'!$AF$20,'III. Finanzberichte'!$AM$20,'III. Finanzberichte'!$AT$20,'III. Finanzberichte'!$BA$20,'III. Finanzberichte'!$BH$20,'III. Finanzberichte'!$BO$20,'III. Finanzberichte'!$BV$20,'III. Finanzberichte'!$CC$20,'III. Finanzberichte'!$CJ$20,'III. Finanzberichte'!$CQ$20,'III. Finanzberichte'!$CX$20,'III. Finanzberichte'!$DE$20,'III. Finanzberichte'!$DL$20,'III. Finanzberichte'!$DS$20),"")</f>
        <v/>
      </c>
      <c r="O94" s="109" t="str">
        <f>IFERROR(CHOOSE(E81,'III. Finanzberichte'!$E$20,'III. Finanzberichte'!$L$20,'III. Finanzberichte'!$S$20,'III. Finanzberichte'!$Z$20,'III. Finanzberichte'!$AG$20,'III. Finanzberichte'!$AN$20,'III. Finanzberichte'!$AU$20,'III. Finanzberichte'!$BB$20,'III. Finanzberichte'!$BI$20,'III. Finanzberichte'!$BP$20,'III. Finanzberichte'!$BW$20,'III. Finanzberichte'!$CD$20,'III. Finanzberichte'!$CK$20,'III. Finanzberichte'!$CR$20,'III. Finanzberichte'!$CY$20,'III. Finanzberichte'!$DF$20,'III. Finanzberichte'!$DM$20,'III. Finanzberichte'!$DT$20),"")</f>
        <v/>
      </c>
      <c r="P94" s="111" t="str">
        <f>IFERROR(CHOOSE(E81,'III. Finanzberichte'!$F$20,'III. Finanzberichte'!$M$20,'III. Finanzberichte'!$T$20,'III. Finanzberichte'!$AA$20,'III. Finanzberichte'!$AH$20,'III. Finanzberichte'!$AO$20,'III. Finanzberichte'!$AV$20,'III. Finanzberichte'!$BC$20,'III. Finanzberichte'!$BJ$20,'III. Finanzberichte'!$BQ$20,'III. Finanzberichte'!$BX$20,'III. Finanzberichte'!$CE$20,'III. Finanzberichte'!$CL$20,'III. Finanzberichte'!$CS$20,'III. Finanzberichte'!$CZ$20,'III. Finanzberichte'!$DG$20,'III. Finanzberichte'!$DN$20,'III. Finanzberichte'!$DU$20),"")</f>
        <v/>
      </c>
    </row>
    <row r="95" ht="28" customHeight="1">
      <c r="B95" s="240" t="s">
        <v>466</v>
      </c>
      <c r="C95" s="241" t="s">
        <v>482</v>
      </c>
      <c r="D95" s="241" t="s">
        <v>468</v>
      </c>
      <c r="E95" s="241" t="s">
        <v>469</v>
      </c>
      <c r="F95" s="241" t="s">
        <v>470</v>
      </c>
      <c r="G95" s="241" t="s">
        <v>483</v>
      </c>
      <c r="H95" s="241" t="s">
        <v>472</v>
      </c>
      <c r="I95" s="241" t="s">
        <v>473</v>
      </c>
      <c r="J95" s="242" t="s">
        <v>474</v>
      </c>
      <c r="L95" s="108" t="str">
        <f>IFERROR(CHOOSE(E81,'III. Finanzberichte'!$B$21,'III. Finanzberichte'!$I$21,'III. Finanzberichte'!$P$21,'III. Finanzberichte'!$W$21,'III. Finanzberichte'!$AD$21,'III. Finanzberichte'!$AK$21,'III. Finanzberichte'!$AR$21,'III. Finanzberichte'!$AY$21,'III. Finanzberichte'!$BF$21,'III. Finanzberichte'!$BM$21,'III. Finanzberichte'!$BT$21,'III. Finanzberichte'!$CA$21,'III. Finanzberichte'!$CH$21,'III. Finanzberichte'!$CO$21,'III. Finanzberichte'!$CV$21,'III. Finanzberichte'!$DC$21,'III. Finanzberichte'!$DJ$21,'III. Finanzberichte'!$DQ$21),"")</f>
        <v/>
      </c>
      <c r="M95" s="109" t="str">
        <f>IFERROR(CHOOSE(E81,'III. Finanzberichte'!$C$21,'III. Finanzberichte'!$J$21,'III. Finanzberichte'!$Q$21,'III. Finanzberichte'!$X$21,'III. Finanzberichte'!$AE$21,'III. Finanzberichte'!$AL$21,'III. Finanzberichte'!$AS$21,'III. Finanzberichte'!$AZ$21,'III. Finanzberichte'!$BG$21,'III. Finanzberichte'!$BN$21,'III. Finanzberichte'!$BU$21,'III. Finanzberichte'!$CB$21,'III. Finanzberichte'!$CI$21,'III. Finanzberichte'!$CP$21,'III. Finanzberichte'!$CW$21,'III. Finanzberichte'!$DD$21,'III. Finanzberichte'!$DK$21,'III. Finanzberichte'!$DR$21),"")</f>
        <v/>
      </c>
      <c r="N95" s="110" t="str">
        <f>IFERROR(CHOOSE(E81,'III. Finanzberichte'!$D$21,'III. Finanzberichte'!$K$21,'III. Finanzberichte'!$R$21,'III. Finanzberichte'!$Y$21,'III. Finanzberichte'!$AF$21,'III. Finanzberichte'!$AM$21,'III. Finanzberichte'!$AT$21,'III. Finanzberichte'!$BA$21,'III. Finanzberichte'!$BH$21,'III. Finanzberichte'!$BO$21,'III. Finanzberichte'!$BV$21,'III. Finanzberichte'!$CC$21,'III. Finanzberichte'!$CJ$21,'III. Finanzberichte'!$CQ$21,'III. Finanzberichte'!$CX$21,'III. Finanzberichte'!$DE$21,'III. Finanzberichte'!$DL$21,'III. Finanzberichte'!$DS$21),"")</f>
        <v/>
      </c>
      <c r="O95" s="109" t="str">
        <f>IFERROR(CHOOSE(E81,'III. Finanzberichte'!$E$21,'III. Finanzberichte'!$L$21,'III. Finanzberichte'!$S$21,'III. Finanzberichte'!$Z$21,'III. Finanzberichte'!$AG$21,'III. Finanzberichte'!$AN$21,'III. Finanzberichte'!$AU$21,'III. Finanzberichte'!$BB$21,'III. Finanzberichte'!$BI$21,'III. Finanzberichte'!$BP$21,'III. Finanzberichte'!$BW$21,'III. Finanzberichte'!$CD$21,'III. Finanzberichte'!$CK$21,'III. Finanzberichte'!$CR$21,'III. Finanzberichte'!$CY$21,'III. Finanzberichte'!$DF$21,'III. Finanzberichte'!$DM$21,'III. Finanzberichte'!$DT$21),"")</f>
        <v/>
      </c>
      <c r="P95" s="111" t="str">
        <f>IFERROR(CHOOSE(E81,'III. Finanzberichte'!$F$21,'III. Finanzberichte'!$M$21,'III. Finanzberichte'!$T$21,'III. Finanzberichte'!$AA$21,'III. Finanzberichte'!$AH$21,'III. Finanzberichte'!$AO$21,'III. Finanzberichte'!$AV$21,'III. Finanzberichte'!$BC$21,'III. Finanzberichte'!$BJ$21,'III. Finanzberichte'!$BQ$21,'III. Finanzberichte'!$BX$21,'III. Finanzberichte'!$CE$21,'III. Finanzberichte'!$CL$21,'III. Finanzberichte'!$CS$21,'III. Finanzberichte'!$CZ$21,'III. Finanzberichte'!$DG$21,'III. Finanzberichte'!$DN$21,'III. Finanzberichte'!$DU$21),"")</f>
        <v/>
      </c>
    </row>
    <row r="96">
      <c r="B96" s="243" t="s">
        <v>198</v>
      </c>
      <c r="C96" s="228">
        <f>IFERROR(ROUND(CHOOSE(E81,'III. Finanzberichte'!$E$12,'III. Finanzberichte'!$L$12,'III. Finanzberichte'!$S$12,'III. Finanzberichte'!$Z$12,'III. Finanzberichte'!$AG$12,'III. Finanzberichte'!$AN$12,'III. Finanzberichte'!$AU$12,'III. Finanzberichte'!$BB$12,'III. Finanzberichte'!$BI$12,'III. Finanzberichte'!$BP$12,'III. Finanzberichte'!$BW$12,'III. Finanzberichte'!$CD$12,'III. Finanzberichte'!$CK$12,'III. Finanzberichte'!$CR$12,'III. Finanzberichte'!$CY$12,'III. Finanzberichte'!$DF$12,'III. Finanzberichte'!$DM$12,'III. Finanzberichte'!$DT$12),2),0)</f>
        <v>0</v>
      </c>
      <c r="D96" s="228">
        <f>IFERROR(ROUND(Eigenmittel_LW,2),0)</f>
        <v>40000</v>
      </c>
      <c r="E96" s="198">
        <f>ROUND(IFERROR($C$96-$D$96,0),2)</f>
        <v>-40000</v>
      </c>
      <c r="F96" s="244">
        <f>ROUND(IFERROR(($C$96/$D$96)-1,0),4)</f>
        <v>-1</v>
      </c>
      <c r="G96" s="245">
        <f>IFERROR(ROUND(CHOOSE(E81,'III. Finanzberichte'!$F$12,'III. Finanzberichte'!$M$12,'III. Finanzberichte'!$T$12,'III. Finanzberichte'!$AA$12,'III. Finanzberichte'!$AH$12,'III. Finanzberichte'!$AO$12,'III. Finanzberichte'!$AV$12,'III. Finanzberichte'!$BC$12,'III. Finanzberichte'!$BJ$12,'III. Finanzberichte'!$BQ$12,'III. Finanzberichte'!$BX$12,'III. Finanzberichte'!$CE$12,'III. Finanzberichte'!$CL$12,'III. Finanzberichte'!$CS$12,'III. Finanzberichte'!$CZ$12,'III. Finanzberichte'!$DG$12,'III. Finanzberichte'!$DN$12,'III. Finanzberichte'!$DU$12),2),0)</f>
        <v>0</v>
      </c>
      <c r="H96" s="245">
        <f>IFERROR(ROUND(Eigenmittel_EUR,2),0)</f>
        <v>20000</v>
      </c>
      <c r="I96" s="158">
        <f>ROUND(IFERROR($G$96-$H$96,0),2)</f>
        <v>-20000</v>
      </c>
      <c r="J96" s="246">
        <f>ROUND(IFERROR(($G$96/$H$96)-1,0),4)</f>
        <v>-1</v>
      </c>
      <c r="L96" s="108" t="str">
        <f>IFERROR(CHOOSE(E81,'III. Finanzberichte'!$B$22,'III. Finanzberichte'!$I$22,'III. Finanzberichte'!$P$22,'III. Finanzberichte'!$W$22,'III. Finanzberichte'!$AD$22,'III. Finanzberichte'!$AK$22,'III. Finanzberichte'!$AR$22,'III. Finanzberichte'!$AY$22,'III. Finanzberichte'!$BF$22,'III. Finanzberichte'!$BM$22,'III. Finanzberichte'!$BT$22,'III. Finanzberichte'!$CA$22,'III. Finanzberichte'!$CH$22,'III. Finanzberichte'!$CO$22,'III. Finanzberichte'!$CV$22,'III. Finanzberichte'!$DC$22,'III. Finanzberichte'!$DJ$22,'III. Finanzberichte'!$DQ$22),"")</f>
        <v/>
      </c>
      <c r="M96" s="109" t="str">
        <f>IFERROR(CHOOSE(E81,'III. Finanzberichte'!$C$22,'III. Finanzberichte'!$J$22,'III. Finanzberichte'!$Q$22,'III. Finanzberichte'!$X$22,'III. Finanzberichte'!$AE$22,'III. Finanzberichte'!$AL$22,'III. Finanzberichte'!$AS$22,'III. Finanzberichte'!$AZ$22,'III. Finanzberichte'!$BG$22,'III. Finanzberichte'!$BN$22,'III. Finanzberichte'!$BU$22,'III. Finanzberichte'!$CB$22,'III. Finanzberichte'!$CI$22,'III. Finanzberichte'!$CP$22,'III. Finanzberichte'!$CW$22,'III. Finanzberichte'!$DD$22,'III. Finanzberichte'!$DK$22,'III. Finanzberichte'!$DR$22),"")</f>
        <v/>
      </c>
      <c r="N96" s="110" t="str">
        <f>IFERROR(CHOOSE(E81,'III. Finanzberichte'!$D$22,'III. Finanzberichte'!$K$22,'III. Finanzberichte'!$R$22,'III. Finanzberichte'!$Y$22,'III. Finanzberichte'!$AF$22,'III. Finanzberichte'!$AM$22,'III. Finanzberichte'!$AT$22,'III. Finanzberichte'!$BA$22,'III. Finanzberichte'!$BH$22,'III. Finanzberichte'!$BO$22,'III. Finanzberichte'!$BV$22,'III. Finanzberichte'!$CC$22,'III. Finanzberichte'!$CJ$22,'III. Finanzberichte'!$CQ$22,'III. Finanzberichte'!$CX$22,'III. Finanzberichte'!$DE$22,'III. Finanzberichte'!$DL$22,'III. Finanzberichte'!$DS$22),"")</f>
        <v/>
      </c>
      <c r="O96" s="109" t="str">
        <f>IFERROR(CHOOSE(E81,'III. Finanzberichte'!$E$22,'III. Finanzberichte'!$L$22,'III. Finanzberichte'!$S$22,'III. Finanzberichte'!$Z$22,'III. Finanzberichte'!$AG$22,'III. Finanzberichte'!$AN$22,'III. Finanzberichte'!$AU$22,'III. Finanzberichte'!$BB$22,'III. Finanzberichte'!$BI$22,'III. Finanzberichte'!$BP$22,'III. Finanzberichte'!$BW$22,'III. Finanzberichte'!$CD$22,'III. Finanzberichte'!$CK$22,'III. Finanzberichte'!$CR$22,'III. Finanzberichte'!$CY$22,'III. Finanzberichte'!$DF$22,'III. Finanzberichte'!$DM$22,'III. Finanzberichte'!$DT$22),"")</f>
        <v/>
      </c>
      <c r="P96" s="111" t="str">
        <f>IFERROR(CHOOSE(E81,'III. Finanzberichte'!$F$22,'III. Finanzberichte'!$M$22,'III. Finanzberichte'!$T$22,'III. Finanzberichte'!$AA$22,'III. Finanzberichte'!$AH$22,'III. Finanzberichte'!$AO$22,'III. Finanzberichte'!$AV$22,'III. Finanzberichte'!$BC$22,'III. Finanzberichte'!$BJ$22,'III. Finanzberichte'!$BQ$22,'III. Finanzberichte'!$BX$22,'III. Finanzberichte'!$CE$22,'III. Finanzberichte'!$CL$22,'III. Finanzberichte'!$CS$22,'III. Finanzberichte'!$CZ$22,'III. Finanzberichte'!$DG$22,'III. Finanzberichte'!$DN$22,'III. Finanzberichte'!$DU$22),"")</f>
        <v/>
      </c>
    </row>
    <row r="97">
      <c r="B97" s="243" t="s">
        <v>387</v>
      </c>
      <c r="C97" s="228">
        <f>IFERROR(ROUND(CHOOSE(E81,'III. Finanzberichte'!$E$13,'III. Finanzberichte'!$L$13,'III. Finanzberichte'!$S$13,'III. Finanzberichte'!$Z$13,'III. Finanzberichte'!$AG$13,'III. Finanzberichte'!$AN$13,'III. Finanzberichte'!$AU$13,'III. Finanzberichte'!$BB$13,'III. Finanzberichte'!$BI$13,'III. Finanzberichte'!$BP$13,'III. Finanzberichte'!$BW$13,'III. Finanzberichte'!$CD$13,'III. Finanzberichte'!$CK$13,'III. Finanzberichte'!$CR$13,'III. Finanzberichte'!$CY$13,'III. Finanzberichte'!$DF$13,'III. Finanzberichte'!$DM$13,'III. Finanzberichte'!$DT$13),2),0)</f>
        <v>0</v>
      </c>
      <c r="D97" s="228">
        <f>IFERROR(ROUND(Drittmittel_LW,2),0)</f>
        <v>30000</v>
      </c>
      <c r="E97" s="198">
        <f>ROUND(IFERROR($C$97-$D$97,0),2)</f>
        <v>-30000</v>
      </c>
      <c r="F97" s="244">
        <f>ROUND(IFERROR(($C$97/$D$97)-1,0),4)</f>
        <v>-1</v>
      </c>
      <c r="G97" s="245">
        <f>IFERROR(ROUND(CHOOSE(E81,'III. Finanzberichte'!$F$13,'III. Finanzberichte'!$M$13,'III. Finanzberichte'!$T$13,'III. Finanzberichte'!$AA$13,'III. Finanzberichte'!$AH$13,'III. Finanzberichte'!$AO$13,'III. Finanzberichte'!$AV$13,'III. Finanzberichte'!$BC$13,'III. Finanzberichte'!$BJ$13,'III. Finanzberichte'!$BQ$13,'III. Finanzberichte'!$BX$13,'III. Finanzberichte'!$CE$13,'III. Finanzberichte'!$CL$13,'III. Finanzberichte'!$CS$13,'III. Finanzberichte'!$CZ$13,'III. Finanzberichte'!$DG$13,'III. Finanzberichte'!$DN$13,'III. Finanzberichte'!$DU$13),2),0)</f>
        <v>0</v>
      </c>
      <c r="H97" s="245">
        <f>IFERROR(ROUND(Drittmittel_EUR,2),0)</f>
        <v>15000</v>
      </c>
      <c r="I97" s="158">
        <f>ROUND(IFERROR($G$97-$H$97,0),2)</f>
        <v>-15000</v>
      </c>
      <c r="J97" s="246">
        <f>ROUND(IFERROR(($G$97/$H$97)-1,0),4)</f>
        <v>-1</v>
      </c>
      <c r="L97" s="108" t="str">
        <f>IFERROR(CHOOSE(E81,'III. Finanzberichte'!$B$23,'III. Finanzberichte'!$I$23,'III. Finanzberichte'!$P$23,'III. Finanzberichte'!$W$23,'III. Finanzberichte'!$AD$23,'III. Finanzberichte'!$AK$23,'III. Finanzberichte'!$AR$23,'III. Finanzberichte'!$AY$23,'III. Finanzberichte'!$BF$23,'III. Finanzberichte'!$BM$23,'III. Finanzberichte'!$BT$23,'III. Finanzberichte'!$CA$23,'III. Finanzberichte'!$CH$23,'III. Finanzberichte'!$CO$23,'III. Finanzberichte'!$CV$23,'III. Finanzberichte'!$DC$23,'III. Finanzberichte'!$DJ$23,'III. Finanzberichte'!$DQ$23),"")</f>
        <v/>
      </c>
      <c r="M97" s="109" t="str">
        <f>IFERROR(CHOOSE(E81,'III. Finanzberichte'!$C$23,'III. Finanzberichte'!$J$23,'III. Finanzberichte'!$Q$23,'III. Finanzberichte'!$X$23,'III. Finanzberichte'!$AE$23,'III. Finanzberichte'!$AL$23,'III. Finanzberichte'!$AS$23,'III. Finanzberichte'!$AZ$23,'III. Finanzberichte'!$BG$23,'III. Finanzberichte'!$BN$23,'III. Finanzberichte'!$BU$23,'III. Finanzberichte'!$CB$23,'III. Finanzberichte'!$CI$23,'III. Finanzberichte'!$CP$23,'III. Finanzberichte'!$CW$23,'III. Finanzberichte'!$DD$23,'III. Finanzberichte'!$DK$23,'III. Finanzberichte'!$DR$23),"")</f>
        <v/>
      </c>
      <c r="N97" s="110" t="str">
        <f>IFERROR(CHOOSE(E81,'III. Finanzberichte'!$D$23,'III. Finanzberichte'!$K$23,'III. Finanzberichte'!$R$23,'III. Finanzberichte'!$Y$23,'III. Finanzberichte'!$AF$23,'III. Finanzberichte'!$AM$23,'III. Finanzberichte'!$AT$23,'III. Finanzberichte'!$BA$23,'III. Finanzberichte'!$BH$23,'III. Finanzberichte'!$BO$23,'III. Finanzberichte'!$BV$23,'III. Finanzberichte'!$CC$23,'III. Finanzberichte'!$CJ$23,'III. Finanzberichte'!$CQ$23,'III. Finanzberichte'!$CX$23,'III. Finanzberichte'!$DE$23,'III. Finanzberichte'!$DL$23,'III. Finanzberichte'!$DS$23),"")</f>
        <v/>
      </c>
      <c r="O97" s="109" t="str">
        <f>IFERROR(CHOOSE(E81,'III. Finanzberichte'!$E$23,'III. Finanzberichte'!$L$23,'III. Finanzberichte'!$S$23,'III. Finanzberichte'!$Z$23,'III. Finanzberichte'!$AG$23,'III. Finanzberichte'!$AN$23,'III. Finanzberichte'!$AU$23,'III. Finanzberichte'!$BB$23,'III. Finanzberichte'!$BI$23,'III. Finanzberichte'!$BP$23,'III. Finanzberichte'!$BW$23,'III. Finanzberichte'!$CD$23,'III. Finanzberichte'!$CK$23,'III. Finanzberichte'!$CR$23,'III. Finanzberichte'!$CY$23,'III. Finanzberichte'!$DF$23,'III. Finanzberichte'!$DM$23,'III. Finanzberichte'!$DT$23),"")</f>
        <v/>
      </c>
      <c r="P97" s="111" t="str">
        <f>IFERROR(CHOOSE(E81,'III. Finanzberichte'!$F$23,'III. Finanzberichte'!$M$23,'III. Finanzberichte'!$T$23,'III. Finanzberichte'!$AA$23,'III. Finanzberichte'!$AH$23,'III. Finanzberichte'!$AO$23,'III. Finanzberichte'!$AV$23,'III. Finanzberichte'!$BC$23,'III. Finanzberichte'!$BJ$23,'III. Finanzberichte'!$BQ$23,'III. Finanzberichte'!$BX$23,'III. Finanzberichte'!$CE$23,'III. Finanzberichte'!$CL$23,'III. Finanzberichte'!$CS$23,'III. Finanzberichte'!$CZ$23,'III. Finanzberichte'!$DG$23,'III. Finanzberichte'!$DN$23,'III. Finanzberichte'!$DU$23),"")</f>
        <v/>
      </c>
    </row>
    <row r="98">
      <c r="B98" s="243" t="s">
        <v>204</v>
      </c>
      <c r="C98" s="228">
        <f>IFERROR(ROUND(CHOOSE(E81,'III. Finanzberichte'!$E$14,'III. Finanzberichte'!$L$14,'III. Finanzberichte'!$S$14,'III. Finanzberichte'!$Z$14,'III. Finanzberichte'!$AG$14,'III. Finanzberichte'!$AN$14,'III. Finanzberichte'!$AU$14,'III. Finanzberichte'!$BB$14,'III. Finanzberichte'!$BI$14,'III. Finanzberichte'!$BP$14,'III. Finanzberichte'!$BW$14,'III. Finanzberichte'!$CD$14,'III. Finanzberichte'!$CK$14,'III. Finanzberichte'!$CR$14,'III. Finanzberichte'!$CY$14,'III. Finanzberichte'!$DF$14,'III. Finanzberichte'!$DM$14,'III. Finanzberichte'!$DT$14),2),0)</f>
        <v>0</v>
      </c>
      <c r="D98" s="228">
        <f>IFERROR(ROUND(KMW_Mittel_LW,2),0)</f>
        <v>1589000</v>
      </c>
      <c r="E98" s="198">
        <f>ROUND(IFERROR($C$98-$D$98,0),2)</f>
        <v>-1589000</v>
      </c>
      <c r="F98" s="244">
        <f>ROUND(IFERROR(($C$98/$D$98)-1,0),4)</f>
        <v>-1</v>
      </c>
      <c r="G98" s="245">
        <f>IFERROR(ROUND(CHOOSE(E81,'III. Finanzberichte'!$F$14,'III. Finanzberichte'!$M$14,'III. Finanzberichte'!$T$14,'III. Finanzberichte'!$AA$14,'III. Finanzberichte'!$AH$14,'III. Finanzberichte'!$AO$14,'III. Finanzberichte'!$AV$14,'III. Finanzberichte'!$BC$14,'III. Finanzberichte'!$BJ$14,'III. Finanzberichte'!$BQ$14,'III. Finanzberichte'!$BX$14,'III. Finanzberichte'!$CE$14,'III. Finanzberichte'!$CL$14,'III. Finanzberichte'!$CS$14,'III. Finanzberichte'!$CZ$14,'III. Finanzberichte'!$DG$14,'III. Finanzberichte'!$DN$14,'III. Finanzberichte'!$DU$14),2),0)</f>
        <v>0</v>
      </c>
      <c r="H98" s="245">
        <f>IFERROR(ROUND(KMW_Mittel_EUR,2),0)</f>
        <v>794500</v>
      </c>
      <c r="I98" s="158">
        <f>ROUND(IFERROR($G$98-$H$98,0),2)</f>
        <v>-794500</v>
      </c>
      <c r="J98" s="246">
        <f>ROUND(IFERROR(($G$98/$H$98)-1,0),4)</f>
        <v>-1</v>
      </c>
      <c r="L98" s="108" t="str">
        <f>IFERROR(CHOOSE(E81,'III. Finanzberichte'!$B$24,'III. Finanzberichte'!$I$24,'III. Finanzberichte'!$P$24,'III. Finanzberichte'!$W$24,'III. Finanzberichte'!$AD$24,'III. Finanzberichte'!$AK$24,'III. Finanzberichte'!$AR$24,'III. Finanzberichte'!$AY$24,'III. Finanzberichte'!$BF$24,'III. Finanzberichte'!$BM$24,'III. Finanzberichte'!$BT$24,'III. Finanzberichte'!$CA$24,'III. Finanzberichte'!$CH$24,'III. Finanzberichte'!$CO$24,'III. Finanzberichte'!$CV$24,'III. Finanzberichte'!$DC$24,'III. Finanzberichte'!$DJ$24,'III. Finanzberichte'!$DQ$24),"")</f>
        <v/>
      </c>
      <c r="M98" s="109" t="str">
        <f>IFERROR(CHOOSE(E81,'III. Finanzberichte'!$C$24,'III. Finanzberichte'!$J$24,'III. Finanzberichte'!$Q$24,'III. Finanzberichte'!$X$24,'III. Finanzberichte'!$AE$24,'III. Finanzberichte'!$AL$24,'III. Finanzberichte'!$AS$24,'III. Finanzberichte'!$AZ$24,'III. Finanzberichte'!$BG$24,'III. Finanzberichte'!$BN$24,'III. Finanzberichte'!$BU$24,'III. Finanzberichte'!$CB$24,'III. Finanzberichte'!$CI$24,'III. Finanzberichte'!$CP$24,'III. Finanzberichte'!$CW$24,'III. Finanzberichte'!$DD$24,'III. Finanzberichte'!$DK$24,'III. Finanzberichte'!$DR$24),"")</f>
        <v/>
      </c>
      <c r="N98" s="110" t="str">
        <f>IFERROR(CHOOSE(E81,'III. Finanzberichte'!$D$24,'III. Finanzberichte'!$K$24,'III. Finanzberichte'!$R$24,'III. Finanzberichte'!$Y$24,'III. Finanzberichte'!$AF$24,'III. Finanzberichte'!$AM$24,'III. Finanzberichte'!$AT$24,'III. Finanzberichte'!$BA$24,'III. Finanzberichte'!$BH$24,'III. Finanzberichte'!$BO$24,'III. Finanzberichte'!$BV$24,'III. Finanzberichte'!$CC$24,'III. Finanzberichte'!$CJ$24,'III. Finanzberichte'!$CQ$24,'III. Finanzberichte'!$CX$24,'III. Finanzberichte'!$DE$24,'III. Finanzberichte'!$DL$24,'III. Finanzberichte'!$DS$24),"")</f>
        <v/>
      </c>
      <c r="O98" s="109" t="str">
        <f>IFERROR(CHOOSE(E81,'III. Finanzberichte'!$E$24,'III. Finanzberichte'!$L$24,'III. Finanzberichte'!$S$24,'III. Finanzberichte'!$Z$24,'III. Finanzberichte'!$AG$24,'III. Finanzberichte'!$AN$24,'III. Finanzberichte'!$AU$24,'III. Finanzberichte'!$BB$24,'III. Finanzberichte'!$BI$24,'III. Finanzberichte'!$BP$24,'III. Finanzberichte'!$BW$24,'III. Finanzberichte'!$CD$24,'III. Finanzberichte'!$CK$24,'III. Finanzberichte'!$CR$24,'III. Finanzberichte'!$CY$24,'III. Finanzberichte'!$DF$24,'III. Finanzberichte'!$DM$24,'III. Finanzberichte'!$DT$24),"")</f>
        <v/>
      </c>
      <c r="P98" s="111" t="str">
        <f>IFERROR(CHOOSE(E81,'III. Finanzberichte'!$F$24,'III. Finanzberichte'!$M$24,'III. Finanzberichte'!$T$24,'III. Finanzberichte'!$AA$24,'III. Finanzberichte'!$AH$24,'III. Finanzberichte'!$AO$24,'III. Finanzberichte'!$AV$24,'III. Finanzberichte'!$BC$24,'III. Finanzberichte'!$BJ$24,'III. Finanzberichte'!$BQ$24,'III. Finanzberichte'!$BX$24,'III. Finanzberichte'!$CE$24,'III. Finanzberichte'!$CL$24,'III. Finanzberichte'!$CS$24,'III. Finanzberichte'!$CZ$24,'III. Finanzberichte'!$DG$24,'III. Finanzberichte'!$DN$24,'III. Finanzberichte'!$DU$24),"")</f>
        <v/>
      </c>
    </row>
    <row r="99">
      <c r="B99" s="243" t="s">
        <v>388</v>
      </c>
      <c r="C99" s="228">
        <f>IFERROR(ROUND(CHOOSE(E81,'III. Finanzberichte'!$E$15,'III. Finanzberichte'!$L$15,'III. Finanzberichte'!$S$15,'III. Finanzberichte'!$Z$15,'III. Finanzberichte'!$AG$15,'III. Finanzberichte'!$AN$15,'III. Finanzberichte'!$AU$15,'III. Finanzberichte'!$BB$15,'III. Finanzberichte'!$BI$15,'III. Finanzberichte'!$BP$15,'III. Finanzberichte'!$BW$15,'III. Finanzberichte'!$CD$15,'III. Finanzberichte'!$CK$15,'III. Finanzberichte'!$CR$15,'III. Finanzberichte'!$CY$15,'III. Finanzberichte'!$DF$15,'III. Finanzberichte'!$DM$15,'III. Finanzberichte'!$DT$15),2),0)</f>
        <v>0</v>
      </c>
      <c r="D99" s="228">
        <f>IFERROR(ROUND(0,2),0)</f>
        <v>0</v>
      </c>
      <c r="E99" s="198">
        <f>ROUND(IFERROR($C$99-$D$99,0),2)</f>
        <v>0</v>
      </c>
      <c r="F99" s="244">
        <f>ROUND(IFERROR(($C$99/$D$99)-1,0),4)</f>
        <v>0</v>
      </c>
      <c r="G99" s="245">
        <f>IFERROR(ROUND(CHOOSE(E81,'III. Finanzberichte'!$F$15,'III. Finanzberichte'!$M$15,'III. Finanzberichte'!$T$15,'III. Finanzberichte'!$AA$15,'III. Finanzberichte'!$AH$15,'III. Finanzberichte'!$AO$15,'III. Finanzberichte'!$AV$15,'III. Finanzberichte'!$BC$15,'III. Finanzberichte'!$BJ$15,'III. Finanzberichte'!$BQ$15,'III. Finanzberichte'!$BX$15,'III. Finanzberichte'!$CE$15,'III. Finanzberichte'!$CL$15,'III. Finanzberichte'!$CS$15,'III. Finanzberichte'!$CZ$15,'III. Finanzberichte'!$DG$15,'III. Finanzberichte'!$DN$15,'III. Finanzberichte'!$DU$15),2),0)</f>
        <v>0</v>
      </c>
      <c r="H99" s="245">
        <f>IFERROR(ROUND(0,2),0)</f>
        <v>0</v>
      </c>
      <c r="I99" s="158">
        <f>ROUND(IFERROR($G$99-$H$99,0),2)</f>
        <v>0</v>
      </c>
      <c r="J99" s="246">
        <f>ROUND(IFERROR(($G$99/$H$99)-1,0),4)</f>
        <v>0</v>
      </c>
      <c r="L99" s="108" t="str">
        <f>IFERROR(CHOOSE(E81,'III. Finanzberichte'!$B$25,'III. Finanzberichte'!$I$25,'III. Finanzberichte'!$P$25,'III. Finanzberichte'!$W$25,'III. Finanzberichte'!$AD$25,'III. Finanzberichte'!$AK$25,'III. Finanzberichte'!$AR$25,'III. Finanzberichte'!$AY$25,'III. Finanzberichte'!$BF$25,'III. Finanzberichte'!$BM$25,'III. Finanzberichte'!$BT$25,'III. Finanzberichte'!$CA$25,'III. Finanzberichte'!$CH$25,'III. Finanzberichte'!$CO$25,'III. Finanzberichte'!$CV$25,'III. Finanzberichte'!$DC$25,'III. Finanzberichte'!$DJ$25,'III. Finanzberichte'!$DQ$25),"")</f>
        <v/>
      </c>
      <c r="M99" s="109" t="str">
        <f>IFERROR(CHOOSE(E81,'III. Finanzberichte'!$C$25,'III. Finanzberichte'!$J$25,'III. Finanzberichte'!$Q$25,'III. Finanzberichte'!$X$25,'III. Finanzberichte'!$AE$25,'III. Finanzberichte'!$AL$25,'III. Finanzberichte'!$AS$25,'III. Finanzberichte'!$AZ$25,'III. Finanzberichte'!$BG$25,'III. Finanzberichte'!$BN$25,'III. Finanzberichte'!$BU$25,'III. Finanzberichte'!$CB$25,'III. Finanzberichte'!$CI$25,'III. Finanzberichte'!$CP$25,'III. Finanzberichte'!$CW$25,'III. Finanzberichte'!$DD$25,'III. Finanzberichte'!$DK$25,'III. Finanzberichte'!$DR$25),"")</f>
        <v/>
      </c>
      <c r="N99" s="110" t="str">
        <f>IFERROR(CHOOSE(E81,'III. Finanzberichte'!$D$25,'III. Finanzberichte'!$K$25,'III. Finanzberichte'!$R$25,'III. Finanzberichte'!$Y$25,'III. Finanzberichte'!$AF$25,'III. Finanzberichte'!$AM$25,'III. Finanzberichte'!$AT$25,'III. Finanzberichte'!$BA$25,'III. Finanzberichte'!$BH$25,'III. Finanzberichte'!$BO$25,'III. Finanzberichte'!$BV$25,'III. Finanzberichte'!$CC$25,'III. Finanzberichte'!$CJ$25,'III. Finanzberichte'!$CQ$25,'III. Finanzberichte'!$CX$25,'III. Finanzberichte'!$DE$25,'III. Finanzberichte'!$DL$25,'III. Finanzberichte'!$DS$25),"")</f>
        <v/>
      </c>
      <c r="O99" s="109" t="str">
        <f>IFERROR(CHOOSE(E81,'III. Finanzberichte'!$E$25,'III. Finanzberichte'!$L$25,'III. Finanzberichte'!$S$25,'III. Finanzberichte'!$Z$25,'III. Finanzberichte'!$AG$25,'III. Finanzberichte'!$AN$25,'III. Finanzberichte'!$AU$25,'III. Finanzberichte'!$BB$25,'III. Finanzberichte'!$BI$25,'III. Finanzberichte'!$BP$25,'III. Finanzberichte'!$BW$25,'III. Finanzberichte'!$CD$25,'III. Finanzberichte'!$CK$25,'III. Finanzberichte'!$CR$25,'III. Finanzberichte'!$CY$25,'III. Finanzberichte'!$DF$25,'III. Finanzberichte'!$DM$25,'III. Finanzberichte'!$DT$25),"")</f>
        <v/>
      </c>
      <c r="P99" s="111" t="str">
        <f>IFERROR(CHOOSE(E81,'III. Finanzberichte'!$F$25,'III. Finanzberichte'!$M$25,'III. Finanzberichte'!$T$25,'III. Finanzberichte'!$AA$25,'III. Finanzberichte'!$AH$25,'III. Finanzberichte'!$AO$25,'III. Finanzberichte'!$AV$25,'III. Finanzberichte'!$BC$25,'III. Finanzberichte'!$BJ$25,'III. Finanzberichte'!$BQ$25,'III. Finanzberichte'!$BX$25,'III. Finanzberichte'!$CE$25,'III. Finanzberichte'!$CL$25,'III. Finanzberichte'!$CS$25,'III. Finanzberichte'!$CZ$25,'III. Finanzberichte'!$DG$25,'III. Finanzberichte'!$DN$25,'III. Finanzberichte'!$DU$25),"")</f>
        <v/>
      </c>
    </row>
    <row r="100" ht="20" customHeight="1">
      <c r="B100" s="247" t="s">
        <v>358</v>
      </c>
      <c r="C100" s="248">
        <f>ROUND(SUM($C$96:$C$99),2)</f>
        <v>0</v>
      </c>
      <c r="D100" s="248">
        <f>ROUND(SUM($D$96:$D$99),2)</f>
        <v>1659000</v>
      </c>
      <c r="E100" s="248">
        <f>ROUND(SUM($E$96:$E$99),2)</f>
        <v>-1659000</v>
      </c>
      <c r="F100" s="249">
        <f>ROUND(IFERROR(($C$100/$D$100)-1,0),4)</f>
        <v>-1</v>
      </c>
      <c r="G100" s="250">
        <f>ROUND(SUM($G$96:$G$99),2)</f>
        <v>0</v>
      </c>
      <c r="H100" s="250">
        <f>ROUND(SUM($H$96:$H$99),2)</f>
        <v>829500</v>
      </c>
      <c r="I100" s="250">
        <f>ROUND(SUM($I$96:$I$99),2)</f>
        <v>-829500</v>
      </c>
      <c r="J100" s="251">
        <f>ROUND(IFERROR(($G$100/$H$100)-1,0),4)</f>
        <v>-1</v>
      </c>
      <c r="L100" s="108" t="str">
        <f>IFERROR(CHOOSE(E81,'III. Finanzberichte'!$B$26,'III. Finanzberichte'!$I$26,'III. Finanzberichte'!$P$26,'III. Finanzberichte'!$W$26,'III. Finanzberichte'!$AD$26,'III. Finanzberichte'!$AK$26,'III. Finanzberichte'!$AR$26,'III. Finanzberichte'!$AY$26,'III. Finanzberichte'!$BF$26,'III. Finanzberichte'!$BM$26,'III. Finanzberichte'!$BT$26,'III. Finanzberichte'!$CA$26,'III. Finanzberichte'!$CH$26,'III. Finanzberichte'!$CO$26,'III. Finanzberichte'!$CV$26,'III. Finanzberichte'!$DC$26,'III. Finanzberichte'!$DJ$26,'III. Finanzberichte'!$DQ$26),"")</f>
        <v/>
      </c>
      <c r="M100" s="109" t="str">
        <f>IFERROR(CHOOSE(E81,'III. Finanzberichte'!$C$26,'III. Finanzberichte'!$J$26,'III. Finanzberichte'!$Q$26,'III. Finanzberichte'!$X$26,'III. Finanzberichte'!$AE$26,'III. Finanzberichte'!$AL$26,'III. Finanzberichte'!$AS$26,'III. Finanzberichte'!$AZ$26,'III. Finanzberichte'!$BG$26,'III. Finanzberichte'!$BN$26,'III. Finanzberichte'!$BU$26,'III. Finanzberichte'!$CB$26,'III. Finanzberichte'!$CI$26,'III. Finanzberichte'!$CP$26,'III. Finanzberichte'!$CW$26,'III. Finanzberichte'!$DD$26,'III. Finanzberichte'!$DK$26,'III. Finanzberichte'!$DR$26),"")</f>
        <v/>
      </c>
      <c r="N100" s="110" t="str">
        <f>IFERROR(CHOOSE(E81,'III. Finanzberichte'!$D$26,'III. Finanzberichte'!$K$26,'III. Finanzberichte'!$R$26,'III. Finanzberichte'!$Y$26,'III. Finanzberichte'!$AF$26,'III. Finanzberichte'!$AM$26,'III. Finanzberichte'!$AT$26,'III. Finanzberichte'!$BA$26,'III. Finanzberichte'!$BH$26,'III. Finanzberichte'!$BO$26,'III. Finanzberichte'!$BV$26,'III. Finanzberichte'!$CC$26,'III. Finanzberichte'!$CJ$26,'III. Finanzberichte'!$CQ$26,'III. Finanzberichte'!$CX$26,'III. Finanzberichte'!$DE$26,'III. Finanzberichte'!$DL$26,'III. Finanzberichte'!$DS$26),"")</f>
        <v/>
      </c>
      <c r="O100" s="109" t="str">
        <f>IFERROR(CHOOSE(E81,'III. Finanzberichte'!$E$26,'III. Finanzberichte'!$L$26,'III. Finanzberichte'!$S$26,'III. Finanzberichte'!$Z$26,'III. Finanzberichte'!$AG$26,'III. Finanzberichte'!$AN$26,'III. Finanzberichte'!$AU$26,'III. Finanzberichte'!$BB$26,'III. Finanzberichte'!$BI$26,'III. Finanzberichte'!$BP$26,'III. Finanzberichte'!$BW$26,'III. Finanzberichte'!$CD$26,'III. Finanzberichte'!$CK$26,'III. Finanzberichte'!$CR$26,'III. Finanzberichte'!$CY$26,'III. Finanzberichte'!$DF$26,'III. Finanzberichte'!$DM$26,'III. Finanzberichte'!$DT$26),"")</f>
        <v/>
      </c>
      <c r="P100" s="111" t="str">
        <f>IFERROR(CHOOSE(E81,'III. Finanzberichte'!$F$26,'III. Finanzberichte'!$M$26,'III. Finanzberichte'!$T$26,'III. Finanzberichte'!$AA$26,'III. Finanzberichte'!$AH$26,'III. Finanzberichte'!$AO$26,'III. Finanzberichte'!$AV$26,'III. Finanzberichte'!$BC$26,'III. Finanzberichte'!$BJ$26,'III. Finanzberichte'!$BQ$26,'III. Finanzberichte'!$BX$26,'III. Finanzberichte'!$CE$26,'III. Finanzberichte'!$CL$26,'III. Finanzberichte'!$CS$26,'III. Finanzberichte'!$CZ$26,'III. Finanzberichte'!$DG$26,'III. Finanzberichte'!$DN$26,'III. Finanzberichte'!$DU$26),"")</f>
        <v/>
      </c>
    </row>
    <row r="101">
      <c r="L101" s="108" t="str">
        <f>IFERROR(CHOOSE(E81,'III. Finanzberichte'!$B$27,'III. Finanzberichte'!$I$27,'III. Finanzberichte'!$P$27,'III. Finanzberichte'!$W$27,'III. Finanzberichte'!$AD$27,'III. Finanzberichte'!$AK$27,'III. Finanzberichte'!$AR$27,'III. Finanzberichte'!$AY$27,'III. Finanzberichte'!$BF$27,'III. Finanzberichte'!$BM$27,'III. Finanzberichte'!$BT$27,'III. Finanzberichte'!$CA$27,'III. Finanzberichte'!$CH$27,'III. Finanzberichte'!$CO$27,'III. Finanzberichte'!$CV$27,'III. Finanzberichte'!$DC$27,'III. Finanzberichte'!$DJ$27,'III. Finanzberichte'!$DQ$27),"")</f>
        <v/>
      </c>
      <c r="M101" s="109" t="str">
        <f>IFERROR(CHOOSE(E81,'III. Finanzberichte'!$C$27,'III. Finanzberichte'!$J$27,'III. Finanzberichte'!$Q$27,'III. Finanzberichte'!$X$27,'III. Finanzberichte'!$AE$27,'III. Finanzberichte'!$AL$27,'III. Finanzberichte'!$AS$27,'III. Finanzberichte'!$AZ$27,'III. Finanzberichte'!$BG$27,'III. Finanzberichte'!$BN$27,'III. Finanzberichte'!$BU$27,'III. Finanzberichte'!$CB$27,'III. Finanzberichte'!$CI$27,'III. Finanzberichte'!$CP$27,'III. Finanzberichte'!$CW$27,'III. Finanzberichte'!$DD$27,'III. Finanzberichte'!$DK$27,'III. Finanzberichte'!$DR$27),"")</f>
        <v/>
      </c>
      <c r="N101" s="110" t="str">
        <f>IFERROR(CHOOSE(E81,'III. Finanzberichte'!$D$27,'III. Finanzberichte'!$K$27,'III. Finanzberichte'!$R$27,'III. Finanzberichte'!$Y$27,'III. Finanzberichte'!$AF$27,'III. Finanzberichte'!$AM$27,'III. Finanzberichte'!$AT$27,'III. Finanzberichte'!$BA$27,'III. Finanzberichte'!$BH$27,'III. Finanzberichte'!$BO$27,'III. Finanzberichte'!$BV$27,'III. Finanzberichte'!$CC$27,'III. Finanzberichte'!$CJ$27,'III. Finanzberichte'!$CQ$27,'III. Finanzberichte'!$CX$27,'III. Finanzberichte'!$DE$27,'III. Finanzberichte'!$DL$27,'III. Finanzberichte'!$DS$27),"")</f>
        <v/>
      </c>
      <c r="O101" s="109" t="str">
        <f>IFERROR(CHOOSE(E81,'III. Finanzberichte'!$E$27,'III. Finanzberichte'!$L$27,'III. Finanzberichte'!$S$27,'III. Finanzberichte'!$Z$27,'III. Finanzberichte'!$AG$27,'III. Finanzberichte'!$AN$27,'III. Finanzberichte'!$AU$27,'III. Finanzberichte'!$BB$27,'III. Finanzberichte'!$BI$27,'III. Finanzberichte'!$BP$27,'III. Finanzberichte'!$BW$27,'III. Finanzberichte'!$CD$27,'III. Finanzberichte'!$CK$27,'III. Finanzberichte'!$CR$27,'III. Finanzberichte'!$CY$27,'III. Finanzberichte'!$DF$27,'III. Finanzberichte'!$DM$27,'III. Finanzberichte'!$DT$27),"")</f>
        <v/>
      </c>
      <c r="P101" s="111" t="str">
        <f>IFERROR(CHOOSE(E81,'III. Finanzberichte'!$F$27,'III. Finanzberichte'!$M$27,'III. Finanzberichte'!$T$27,'III. Finanzberichte'!$AA$27,'III. Finanzberichte'!$AH$27,'III. Finanzberichte'!$AO$27,'III. Finanzberichte'!$AV$27,'III. Finanzberichte'!$BC$27,'III. Finanzberichte'!$BJ$27,'III. Finanzberichte'!$BQ$27,'III. Finanzberichte'!$BX$27,'III. Finanzberichte'!$CE$27,'III. Finanzberichte'!$CL$27,'III. Finanzberichte'!$CS$27,'III. Finanzberichte'!$CZ$27,'III. Finanzberichte'!$DG$27,'III. Finanzberichte'!$DN$27,'III. Finanzberichte'!$DU$27),"")</f>
        <v/>
      </c>
    </row>
    <row r="102" ht="22" customHeight="1">
      <c r="B102" s="26" t="s">
        <v>484</v>
      </c>
      <c r="C102" s="26"/>
      <c r="D102" s="26"/>
      <c r="E102" s="26"/>
      <c r="F102" s="26"/>
      <c r="G102" s="26"/>
      <c r="H102" s="26"/>
      <c r="I102" s="26"/>
      <c r="J102" s="26"/>
      <c r="L102" s="108" t="str">
        <f>IFERROR(CHOOSE(E81,'III. Finanzberichte'!$B$28,'III. Finanzberichte'!$I$28,'III. Finanzberichte'!$P$28,'III. Finanzberichte'!$W$28,'III. Finanzberichte'!$AD$28,'III. Finanzberichte'!$AK$28,'III. Finanzberichte'!$AR$28,'III. Finanzberichte'!$AY$28,'III. Finanzberichte'!$BF$28,'III. Finanzberichte'!$BM$28,'III. Finanzberichte'!$BT$28,'III. Finanzberichte'!$CA$28,'III. Finanzberichte'!$CH$28,'III. Finanzberichte'!$CO$28,'III. Finanzberichte'!$CV$28,'III. Finanzberichte'!$DC$28,'III. Finanzberichte'!$DJ$28,'III. Finanzberichte'!$DQ$28),"")</f>
        <v/>
      </c>
      <c r="M102" s="109" t="str">
        <f>IFERROR(CHOOSE(E81,'III. Finanzberichte'!$C$28,'III. Finanzberichte'!$J$28,'III. Finanzberichte'!$Q$28,'III. Finanzberichte'!$X$28,'III. Finanzberichte'!$AE$28,'III. Finanzberichte'!$AL$28,'III. Finanzberichte'!$AS$28,'III. Finanzberichte'!$AZ$28,'III. Finanzberichte'!$BG$28,'III. Finanzberichte'!$BN$28,'III. Finanzberichte'!$BU$28,'III. Finanzberichte'!$CB$28,'III. Finanzberichte'!$CI$28,'III. Finanzberichte'!$CP$28,'III. Finanzberichte'!$CW$28,'III. Finanzberichte'!$DD$28,'III. Finanzberichte'!$DK$28,'III. Finanzberichte'!$DR$28),"")</f>
        <v/>
      </c>
      <c r="N102" s="110" t="str">
        <f>IFERROR(CHOOSE(E81,'III. Finanzberichte'!$D$28,'III. Finanzberichte'!$K$28,'III. Finanzberichte'!$R$28,'III. Finanzberichte'!$Y$28,'III. Finanzberichte'!$AF$28,'III. Finanzberichte'!$AM$28,'III. Finanzberichte'!$AT$28,'III. Finanzberichte'!$BA$28,'III. Finanzberichte'!$BH$28,'III. Finanzberichte'!$BO$28,'III. Finanzberichte'!$BV$28,'III. Finanzberichte'!$CC$28,'III. Finanzberichte'!$CJ$28,'III. Finanzberichte'!$CQ$28,'III. Finanzberichte'!$CX$28,'III. Finanzberichte'!$DE$28,'III. Finanzberichte'!$DL$28,'III. Finanzberichte'!$DS$28),"")</f>
        <v/>
      </c>
      <c r="O102" s="109" t="str">
        <f>IFERROR(CHOOSE(E81,'III. Finanzberichte'!$E$28,'III. Finanzberichte'!$L$28,'III. Finanzberichte'!$S$28,'III. Finanzberichte'!$Z$28,'III. Finanzberichte'!$AG$28,'III. Finanzberichte'!$AN$28,'III. Finanzberichte'!$AU$28,'III. Finanzberichte'!$BB$28,'III. Finanzberichte'!$BI$28,'III. Finanzberichte'!$BP$28,'III. Finanzberichte'!$BW$28,'III. Finanzberichte'!$CD$28,'III. Finanzberichte'!$CK$28,'III. Finanzberichte'!$CR$28,'III. Finanzberichte'!$CY$28,'III. Finanzberichte'!$DF$28,'III. Finanzberichte'!$DM$28,'III. Finanzberichte'!$DT$28),"")</f>
        <v/>
      </c>
      <c r="P102" s="111" t="str">
        <f>IFERROR(CHOOSE(E81,'III. Finanzberichte'!$F$28,'III. Finanzberichte'!$M$28,'III. Finanzberichte'!$T$28,'III. Finanzberichte'!$AA$28,'III. Finanzberichte'!$AH$28,'III. Finanzberichte'!$AO$28,'III. Finanzberichte'!$AV$28,'III. Finanzberichte'!$BC$28,'III. Finanzberichte'!$BJ$28,'III. Finanzberichte'!$BQ$28,'III. Finanzberichte'!$BX$28,'III. Finanzberichte'!$CE$28,'III. Finanzberichte'!$CL$28,'III. Finanzberichte'!$CS$28,'III. Finanzberichte'!$CZ$28,'III. Finanzberichte'!$DG$28,'III. Finanzberichte'!$DN$28,'III. Finanzberichte'!$DU$28),"")</f>
        <v/>
      </c>
    </row>
    <row r="103">
      <c r="L103" s="108" t="str">
        <f>IFERROR(CHOOSE(E81,'III. Finanzberichte'!$B$29,'III. Finanzberichte'!$I$29,'III. Finanzberichte'!$P$29,'III. Finanzberichte'!$W$29,'III. Finanzberichte'!$AD$29,'III. Finanzberichte'!$AK$29,'III. Finanzberichte'!$AR$29,'III. Finanzberichte'!$AY$29,'III. Finanzberichte'!$BF$29,'III. Finanzberichte'!$BM$29,'III. Finanzberichte'!$BT$29,'III. Finanzberichte'!$CA$29,'III. Finanzberichte'!$CH$29,'III. Finanzberichte'!$CO$29,'III. Finanzberichte'!$CV$29,'III. Finanzberichte'!$DC$29,'III. Finanzberichte'!$DJ$29,'III. Finanzberichte'!$DQ$29),"")</f>
        <v/>
      </c>
      <c r="M103" s="109" t="str">
        <f>IFERROR(CHOOSE(E81,'III. Finanzberichte'!$C$29,'III. Finanzberichte'!$J$29,'III. Finanzberichte'!$Q$29,'III. Finanzberichte'!$X$29,'III. Finanzberichte'!$AE$29,'III. Finanzberichte'!$AL$29,'III. Finanzberichte'!$AS$29,'III. Finanzberichte'!$AZ$29,'III. Finanzberichte'!$BG$29,'III. Finanzberichte'!$BN$29,'III. Finanzberichte'!$BU$29,'III. Finanzberichte'!$CB$29,'III. Finanzberichte'!$CI$29,'III. Finanzberichte'!$CP$29,'III. Finanzberichte'!$CW$29,'III. Finanzberichte'!$DD$29,'III. Finanzberichte'!$DK$29,'III. Finanzberichte'!$DR$29),"")</f>
        <v/>
      </c>
      <c r="N103" s="110" t="str">
        <f>IFERROR(CHOOSE(E81,'III. Finanzberichte'!$D$29,'III. Finanzberichte'!$K$29,'III. Finanzberichte'!$R$29,'III. Finanzberichte'!$Y$29,'III. Finanzberichte'!$AF$29,'III. Finanzberichte'!$AM$29,'III. Finanzberichte'!$AT$29,'III. Finanzberichte'!$BA$29,'III. Finanzberichte'!$BH$29,'III. Finanzberichte'!$BO$29,'III. Finanzberichte'!$BV$29,'III. Finanzberichte'!$CC$29,'III. Finanzberichte'!$CJ$29,'III. Finanzberichte'!$CQ$29,'III. Finanzberichte'!$CX$29,'III. Finanzberichte'!$DE$29,'III. Finanzberichte'!$DL$29,'III. Finanzberichte'!$DS$29),"")</f>
        <v/>
      </c>
      <c r="O103" s="109" t="str">
        <f>IFERROR(CHOOSE(E81,'III. Finanzberichte'!$E$29,'III. Finanzberichte'!$L$29,'III. Finanzberichte'!$S$29,'III. Finanzberichte'!$Z$29,'III. Finanzberichte'!$AG$29,'III. Finanzberichte'!$AN$29,'III. Finanzberichte'!$AU$29,'III. Finanzberichte'!$BB$29,'III. Finanzberichte'!$BI$29,'III. Finanzberichte'!$BP$29,'III. Finanzberichte'!$BW$29,'III. Finanzberichte'!$CD$29,'III. Finanzberichte'!$CK$29,'III. Finanzberichte'!$CR$29,'III. Finanzberichte'!$CY$29,'III. Finanzberichte'!$DF$29,'III. Finanzberichte'!$DM$29,'III. Finanzberichte'!$DT$29),"")</f>
        <v/>
      </c>
      <c r="P103" s="111" t="str">
        <f>IFERROR(CHOOSE(E81,'III. Finanzberichte'!$F$29,'III. Finanzberichte'!$M$29,'III. Finanzberichte'!$T$29,'III. Finanzberichte'!$AA$29,'III. Finanzberichte'!$AH$29,'III. Finanzberichte'!$AO$29,'III. Finanzberichte'!$AV$29,'III. Finanzberichte'!$BC$29,'III. Finanzberichte'!$BJ$29,'III. Finanzberichte'!$BQ$29,'III. Finanzberichte'!$BX$29,'III. Finanzberichte'!$CE$29,'III. Finanzberichte'!$CL$29,'III. Finanzberichte'!$CS$29,'III. Finanzberichte'!$CZ$29,'III. Finanzberichte'!$DG$29,'III. Finanzberichte'!$DN$29,'III. Finanzberichte'!$DU$29),"")</f>
        <v/>
      </c>
    </row>
    <row r="104" ht="28" customHeight="1">
      <c r="B104" s="240" t="s">
        <v>466</v>
      </c>
      <c r="C104" s="241" t="s">
        <v>482</v>
      </c>
      <c r="D104" s="241" t="s">
        <v>468</v>
      </c>
      <c r="E104" s="241" t="s">
        <v>469</v>
      </c>
      <c r="F104" s="241" t="s">
        <v>470</v>
      </c>
      <c r="G104" s="241" t="s">
        <v>483</v>
      </c>
      <c r="H104" s="241" t="s">
        <v>472</v>
      </c>
      <c r="I104" s="241" t="s">
        <v>473</v>
      </c>
      <c r="J104" s="242" t="s">
        <v>474</v>
      </c>
      <c r="L104" s="108" t="str">
        <f>IFERROR(CHOOSE(E81,'III. Finanzberichte'!$B$30,'III. Finanzberichte'!$I$30,'III. Finanzberichte'!$P$30,'III. Finanzberichte'!$W$30,'III. Finanzberichte'!$AD$30,'III. Finanzberichte'!$AK$30,'III. Finanzberichte'!$AR$30,'III. Finanzberichte'!$AY$30,'III. Finanzberichte'!$BF$30,'III. Finanzberichte'!$BM$30,'III. Finanzberichte'!$BT$30,'III. Finanzberichte'!$CA$30,'III. Finanzberichte'!$CH$30,'III. Finanzberichte'!$CO$30,'III. Finanzberichte'!$CV$30,'III. Finanzberichte'!$DC$30,'III. Finanzberichte'!$DJ$30,'III. Finanzberichte'!$DQ$30),"")</f>
        <v/>
      </c>
      <c r="M104" s="109" t="str">
        <f>IFERROR(CHOOSE(E81,'III. Finanzberichte'!$C$30,'III. Finanzberichte'!$J$30,'III. Finanzberichte'!$Q$30,'III. Finanzberichte'!$X$30,'III. Finanzberichte'!$AE$30,'III. Finanzberichte'!$AL$30,'III. Finanzberichte'!$AS$30,'III. Finanzberichte'!$AZ$30,'III. Finanzberichte'!$BG$30,'III. Finanzberichte'!$BN$30,'III. Finanzberichte'!$BU$30,'III. Finanzberichte'!$CB$30,'III. Finanzberichte'!$CI$30,'III. Finanzberichte'!$CP$30,'III. Finanzberichte'!$CW$30,'III. Finanzberichte'!$DD$30,'III. Finanzberichte'!$DK$30,'III. Finanzberichte'!$DR$30),"")</f>
        <v/>
      </c>
      <c r="N104" s="110" t="str">
        <f>IFERROR(CHOOSE(E81,'III. Finanzberichte'!$D$30,'III. Finanzberichte'!$K$30,'III. Finanzberichte'!$R$30,'III. Finanzberichte'!$Y$30,'III. Finanzberichte'!$AF$30,'III. Finanzberichte'!$AM$30,'III. Finanzberichte'!$AT$30,'III. Finanzberichte'!$BA$30,'III. Finanzberichte'!$BH$30,'III. Finanzberichte'!$BO$30,'III. Finanzberichte'!$BV$30,'III. Finanzberichte'!$CC$30,'III. Finanzberichte'!$CJ$30,'III. Finanzberichte'!$CQ$30,'III. Finanzberichte'!$CX$30,'III. Finanzberichte'!$DE$30,'III. Finanzberichte'!$DL$30,'III. Finanzberichte'!$DS$30),"")</f>
        <v/>
      </c>
      <c r="O104" s="109" t="str">
        <f>IFERROR(CHOOSE(E81,'III. Finanzberichte'!$E$30,'III. Finanzberichte'!$L$30,'III. Finanzberichte'!$S$30,'III. Finanzberichte'!$Z$30,'III. Finanzberichte'!$AG$30,'III. Finanzberichte'!$AN$30,'III. Finanzberichte'!$AU$30,'III. Finanzberichte'!$BB$30,'III. Finanzberichte'!$BI$30,'III. Finanzberichte'!$BP$30,'III. Finanzberichte'!$BW$30,'III. Finanzberichte'!$CD$30,'III. Finanzberichte'!$CK$30,'III. Finanzberichte'!$CR$30,'III. Finanzberichte'!$CY$30,'III. Finanzberichte'!$DF$30,'III. Finanzberichte'!$DM$30,'III. Finanzberichte'!$DT$30),"")</f>
        <v/>
      </c>
      <c r="P104" s="111" t="str">
        <f>IFERROR(CHOOSE(E81,'III. Finanzberichte'!$F$30,'III. Finanzberichte'!$M$30,'III. Finanzberichte'!$T$30,'III. Finanzberichte'!$AA$30,'III. Finanzberichte'!$AH$30,'III. Finanzberichte'!$AO$30,'III. Finanzberichte'!$AV$30,'III. Finanzberichte'!$BC$30,'III. Finanzberichte'!$BJ$30,'III. Finanzberichte'!$BQ$30,'III. Finanzberichte'!$BX$30,'III. Finanzberichte'!$CE$30,'III. Finanzberichte'!$CL$30,'III. Finanzberichte'!$CS$30,'III. Finanzberichte'!$CZ$30,'III. Finanzberichte'!$DG$30,'III. Finanzberichte'!$DN$30,'III. Finanzberichte'!$DU$30),"")</f>
        <v/>
      </c>
    </row>
    <row r="105">
      <c r="B105" s="243" t="s">
        <v>212</v>
      </c>
      <c r="C105" s="228">
        <f>IFERROR(ROUND(CHOOSE(E81,SUM('III. Finanzberichte'!$E$19:$E$38),SUM('III. Finanzberichte'!$L$19:$L$38),SUM('III. Finanzberichte'!$S$19:$S$38),SUM('III. Finanzberichte'!$Z$19:$Z$38),SUM('III. Finanzberichte'!$AG$19:$AG$38),SUM('III. Finanzberichte'!$AN$19:$AN$38),SUM('III. Finanzberichte'!$AU$19:$AU$38),SUM('III. Finanzberichte'!$BB$19:$BB$38),SUM('III. Finanzberichte'!$BI$19:$BI$38),SUM('III. Finanzberichte'!$BP$19:$BP$38),SUM('III. Finanzberichte'!$BW$19:$BW$38),SUM('III. Finanzberichte'!$CD$19:$CD$38),SUM('III. Finanzberichte'!$CK$19:$CK$38),SUM('III. Finanzberichte'!$CR$19:$CR$38),SUM('III. Finanzberichte'!$CY$19:$CY$38),SUM('III. Finanzberichte'!$DF$19:$DF$38),SUM('III. Finanzberichte'!$DM$19:$DM$38),SUM('III. Finanzberichte'!$DT$19:$DT$38)),2),0)</f>
        <v>0</v>
      </c>
      <c r="D105" s="228">
        <f>IFERROR(ROUND(Kosten_Bauausgaben_LW,2),0)</f>
        <v>390000</v>
      </c>
      <c r="E105" s="198">
        <f>ROUND(IFERROR($C$105-$D$105,0),2)</f>
        <v>-390000</v>
      </c>
      <c r="F105" s="244">
        <f>ROUND(IFERROR(($C$105/$D$105)-1,0),4)</f>
        <v>-1</v>
      </c>
      <c r="G105" s="245">
        <f>IFERROR(ROUND(CHOOSE(E81,SUM('III. Finanzberichte'!$F$19:$F$38),SUM('III. Finanzberichte'!$M$19:$M$38),SUM('III. Finanzberichte'!$T$19:$T$38),SUM('III. Finanzberichte'!$AA$19:$AA$38),SUM('III. Finanzberichte'!$AH$19:$AH$38),SUM('III. Finanzberichte'!$AO$19:$AO$38),SUM('III. Finanzberichte'!$AV$19:$AV$38),SUM('III. Finanzberichte'!$BC$19:$BC$38),SUM('III. Finanzberichte'!$BJ$19:$BJ$38),SUM('III. Finanzberichte'!$BQ$19:$BQ$38),SUM('III. Finanzberichte'!$BX$19:$BX$38),SUM('III. Finanzberichte'!$CE$19:$CE$38),SUM('III. Finanzberichte'!$CL$19:$CL$38),SUM('III. Finanzberichte'!$CS$19:$CS$38),SUM('III. Finanzberichte'!$CZ$19:$CZ$38),SUM('III. Finanzberichte'!$DG$19:$DG$38),SUM('III. Finanzberichte'!$DN$19:$DN$38),SUM('III. Finanzberichte'!$DU$19:$DU$38)),2),0)</f>
        <v>0</v>
      </c>
      <c r="H105" s="245">
        <f>IFERROR(ROUND(Kosten_Bauausgaben_EUR,2),0)</f>
        <v>195000</v>
      </c>
      <c r="I105" s="158">
        <f>ROUND(IFERROR($G$105-$H$105,0),2)</f>
        <v>-195000</v>
      </c>
      <c r="J105" s="246">
        <f>ROUND(IFERROR(($G$105/$H$105)-1,0),4)</f>
        <v>-1</v>
      </c>
      <c r="L105" s="108" t="str">
        <f>IFERROR(CHOOSE(E81,'III. Finanzberichte'!$B$31,'III. Finanzberichte'!$I$31,'III. Finanzberichte'!$P$31,'III. Finanzberichte'!$W$31,'III. Finanzberichte'!$AD$31,'III. Finanzberichte'!$AK$31,'III. Finanzberichte'!$AR$31,'III. Finanzberichte'!$AY$31,'III. Finanzberichte'!$BF$31,'III. Finanzberichte'!$BM$31,'III. Finanzberichte'!$BT$31,'III. Finanzberichte'!$CA$31,'III. Finanzberichte'!$CH$31,'III. Finanzberichte'!$CO$31,'III. Finanzberichte'!$CV$31,'III. Finanzberichte'!$DC$31,'III. Finanzberichte'!$DJ$31,'III. Finanzberichte'!$DQ$31),"")</f>
        <v/>
      </c>
      <c r="M105" s="109" t="str">
        <f>IFERROR(CHOOSE(E81,'III. Finanzberichte'!$C$31,'III. Finanzberichte'!$J$31,'III. Finanzberichte'!$Q$31,'III. Finanzberichte'!$X$31,'III. Finanzberichte'!$AE$31,'III. Finanzberichte'!$AL$31,'III. Finanzberichte'!$AS$31,'III. Finanzberichte'!$AZ$31,'III. Finanzberichte'!$BG$31,'III. Finanzberichte'!$BN$31,'III. Finanzberichte'!$BU$31,'III. Finanzberichte'!$CB$31,'III. Finanzberichte'!$CI$31,'III. Finanzberichte'!$CP$31,'III. Finanzberichte'!$CW$31,'III. Finanzberichte'!$DD$31,'III. Finanzberichte'!$DK$31,'III. Finanzberichte'!$DR$31),"")</f>
        <v/>
      </c>
      <c r="N105" s="110" t="str">
        <f>IFERROR(CHOOSE(E81,'III. Finanzberichte'!$D$31,'III. Finanzberichte'!$K$31,'III. Finanzberichte'!$R$31,'III. Finanzberichte'!$Y$31,'III. Finanzberichte'!$AF$31,'III. Finanzberichte'!$AM$31,'III. Finanzberichte'!$AT$31,'III. Finanzberichte'!$BA$31,'III. Finanzberichte'!$BH$31,'III. Finanzberichte'!$BO$31,'III. Finanzberichte'!$BV$31,'III. Finanzberichte'!$CC$31,'III. Finanzberichte'!$CJ$31,'III. Finanzberichte'!$CQ$31,'III. Finanzberichte'!$CX$31,'III. Finanzberichte'!$DE$31,'III. Finanzberichte'!$DL$31,'III. Finanzberichte'!$DS$31),"")</f>
        <v/>
      </c>
      <c r="O105" s="109" t="str">
        <f>IFERROR(CHOOSE(E81,'III. Finanzberichte'!$E$31,'III. Finanzberichte'!$L$31,'III. Finanzberichte'!$S$31,'III. Finanzberichte'!$Z$31,'III. Finanzberichte'!$AG$31,'III. Finanzberichte'!$AN$31,'III. Finanzberichte'!$AU$31,'III. Finanzberichte'!$BB$31,'III. Finanzberichte'!$BI$31,'III. Finanzberichte'!$BP$31,'III. Finanzberichte'!$BW$31,'III. Finanzberichte'!$CD$31,'III. Finanzberichte'!$CK$31,'III. Finanzberichte'!$CR$31,'III. Finanzberichte'!$CY$31,'III. Finanzberichte'!$DF$31,'III. Finanzberichte'!$DM$31,'III. Finanzberichte'!$DT$31),"")</f>
        <v/>
      </c>
      <c r="P105" s="111" t="str">
        <f>IFERROR(CHOOSE(E81,'III. Finanzberichte'!$F$31,'III. Finanzberichte'!$M$31,'III. Finanzberichte'!$T$31,'III. Finanzberichte'!$AA$31,'III. Finanzberichte'!$AH$31,'III. Finanzberichte'!$AO$31,'III. Finanzberichte'!$AV$31,'III. Finanzberichte'!$BC$31,'III. Finanzberichte'!$BJ$31,'III. Finanzberichte'!$BQ$31,'III. Finanzberichte'!$BX$31,'III. Finanzberichte'!$CE$31,'III. Finanzberichte'!$CL$31,'III. Finanzberichte'!$CS$31,'III. Finanzberichte'!$CZ$31,'III. Finanzberichte'!$DG$31,'III. Finanzberichte'!$DN$31,'III. Finanzberichte'!$DU$31),"")</f>
        <v/>
      </c>
    </row>
    <row r="106">
      <c r="B106" s="243" t="s">
        <v>254</v>
      </c>
      <c r="C106" s="228">
        <f>IFERROR(ROUND(CHOOSE(E81,SUM('III. Finanzberichte'!$E$39:$E$58),SUM('III. Finanzberichte'!$L$39:$L$58),SUM('III. Finanzberichte'!$S$39:$S$58),SUM('III. Finanzberichte'!$Z$39:$Z$58),SUM('III. Finanzberichte'!$AG$39:$AG$58),SUM('III. Finanzberichte'!$AN$39:$AN$58),SUM('III. Finanzberichte'!$AU$39:$AU$58),SUM('III. Finanzberichte'!$BB$39:$BB$58),SUM('III. Finanzberichte'!$BI$39:$BI$58),SUM('III. Finanzberichte'!$BP$39:$BP$58),SUM('III. Finanzberichte'!$BW$39:$BW$58),SUM('III. Finanzberichte'!$CD$39:$CD$58),SUM('III. Finanzberichte'!$CK$39:$CK$58),SUM('III. Finanzberichte'!$CR$39:$CR$58),SUM('III. Finanzberichte'!$CY$39:$CY$58),SUM('III. Finanzberichte'!$DF$39:$DF$58),SUM('III. Finanzberichte'!$DM$39:$DM$58),SUM('III. Finanzberichte'!$DT$39:$DT$58)),2),0)</f>
        <v>0</v>
      </c>
      <c r="D106" s="228">
        <f>IFERROR(ROUND(Kosten_Investitionen_LW,2),0)</f>
        <v>390000</v>
      </c>
      <c r="E106" s="198">
        <f>ROUND(IFERROR($C$106-$D$106,0),2)</f>
        <v>-390000</v>
      </c>
      <c r="F106" s="244">
        <f>ROUND(IFERROR(($C$106/$D$106)-1,0),4)</f>
        <v>-1</v>
      </c>
      <c r="G106" s="245">
        <f>IFERROR(ROUND(CHOOSE(E81,SUM('III. Finanzberichte'!$F$39:$F$58),SUM('III. Finanzberichte'!$M$39:$M$58),SUM('III. Finanzberichte'!$T$39:$T$58),SUM('III. Finanzberichte'!$AA$39:$AA$58),SUM('III. Finanzberichte'!$AH$39:$AH$58),SUM('III. Finanzberichte'!$AO$39:$AO$58),SUM('III. Finanzberichte'!$AV$39:$AV$58),SUM('III. Finanzberichte'!$BC$39:$BC$58),SUM('III. Finanzberichte'!$BJ$39:$BJ$58),SUM('III. Finanzberichte'!$BQ$39:$BQ$58),SUM('III. Finanzberichte'!$BX$39:$BX$58),SUM('III. Finanzberichte'!$CE$39:$CE$58),SUM('III. Finanzberichte'!$CL$39:$CL$58),SUM('III. Finanzberichte'!$CS$39:$CS$58),SUM('III. Finanzberichte'!$CZ$39:$CZ$58),SUM('III. Finanzberichte'!$DG$39:$DG$58),SUM('III. Finanzberichte'!$DN$39:$DN$58),SUM('III. Finanzberichte'!$DU$39:$DU$58)),2),0)</f>
        <v>0</v>
      </c>
      <c r="H106" s="245">
        <f>IFERROR(ROUND(Kosten_Investitionen_EUR,2),0)</f>
        <v>195000</v>
      </c>
      <c r="I106" s="158">
        <f>ROUND(IFERROR($G$106-$H$106,0),2)</f>
        <v>-195000</v>
      </c>
      <c r="J106" s="246">
        <f>ROUND(IFERROR(($G$106/$H$106)-1,0),4)</f>
        <v>-1</v>
      </c>
      <c r="L106" s="108" t="str">
        <f>IFERROR(CHOOSE(E81,'III. Finanzberichte'!$B$32,'III. Finanzberichte'!$I$32,'III. Finanzberichte'!$P$32,'III. Finanzberichte'!$W$32,'III. Finanzberichte'!$AD$32,'III. Finanzberichte'!$AK$32,'III. Finanzberichte'!$AR$32,'III. Finanzberichte'!$AY$32,'III. Finanzberichte'!$BF$32,'III. Finanzberichte'!$BM$32,'III. Finanzberichte'!$BT$32,'III. Finanzberichte'!$CA$32,'III. Finanzberichte'!$CH$32,'III. Finanzberichte'!$CO$32,'III. Finanzberichte'!$CV$32,'III. Finanzberichte'!$DC$32,'III. Finanzberichte'!$DJ$32,'III. Finanzberichte'!$DQ$32),"")</f>
        <v/>
      </c>
      <c r="M106" s="109" t="str">
        <f>IFERROR(CHOOSE(E81,'III. Finanzberichte'!$C$32,'III. Finanzberichte'!$J$32,'III. Finanzberichte'!$Q$32,'III. Finanzberichte'!$X$32,'III. Finanzberichte'!$AE$32,'III. Finanzberichte'!$AL$32,'III. Finanzberichte'!$AS$32,'III. Finanzberichte'!$AZ$32,'III. Finanzberichte'!$BG$32,'III. Finanzberichte'!$BN$32,'III. Finanzberichte'!$BU$32,'III. Finanzberichte'!$CB$32,'III. Finanzberichte'!$CI$32,'III. Finanzberichte'!$CP$32,'III. Finanzberichte'!$CW$32,'III. Finanzberichte'!$DD$32,'III. Finanzberichte'!$DK$32,'III. Finanzberichte'!$DR$32),"")</f>
        <v/>
      </c>
      <c r="N106" s="110" t="str">
        <f>IFERROR(CHOOSE(E81,'III. Finanzberichte'!$D$32,'III. Finanzberichte'!$K$32,'III. Finanzberichte'!$R$32,'III. Finanzberichte'!$Y$32,'III. Finanzberichte'!$AF$32,'III. Finanzberichte'!$AM$32,'III. Finanzberichte'!$AT$32,'III. Finanzberichte'!$BA$32,'III. Finanzberichte'!$BH$32,'III. Finanzberichte'!$BO$32,'III. Finanzberichte'!$BV$32,'III. Finanzberichte'!$CC$32,'III. Finanzberichte'!$CJ$32,'III. Finanzberichte'!$CQ$32,'III. Finanzberichte'!$CX$32,'III. Finanzberichte'!$DE$32,'III. Finanzberichte'!$DL$32,'III. Finanzberichte'!$DS$32),"")</f>
        <v/>
      </c>
      <c r="O106" s="109" t="str">
        <f>IFERROR(CHOOSE(E81,'III. Finanzberichte'!$E$32,'III. Finanzberichte'!$L$32,'III. Finanzberichte'!$S$32,'III. Finanzberichte'!$Z$32,'III. Finanzberichte'!$AG$32,'III. Finanzberichte'!$AN$32,'III. Finanzberichte'!$AU$32,'III. Finanzberichte'!$BB$32,'III. Finanzberichte'!$BI$32,'III. Finanzberichte'!$BP$32,'III. Finanzberichte'!$BW$32,'III. Finanzberichte'!$CD$32,'III. Finanzberichte'!$CK$32,'III. Finanzberichte'!$CR$32,'III. Finanzberichte'!$CY$32,'III. Finanzberichte'!$DF$32,'III. Finanzberichte'!$DM$32,'III. Finanzberichte'!$DT$32),"")</f>
        <v/>
      </c>
      <c r="P106" s="111" t="str">
        <f>IFERROR(CHOOSE(E81,'III. Finanzberichte'!$F$32,'III. Finanzberichte'!$M$32,'III. Finanzberichte'!$T$32,'III. Finanzberichte'!$AA$32,'III. Finanzberichte'!$AH$32,'III. Finanzberichte'!$AO$32,'III. Finanzberichte'!$AV$32,'III. Finanzberichte'!$BC$32,'III. Finanzberichte'!$BJ$32,'III. Finanzberichte'!$BQ$32,'III. Finanzberichte'!$BX$32,'III. Finanzberichte'!$CE$32,'III. Finanzberichte'!$CL$32,'III. Finanzberichte'!$CS$32,'III. Finanzberichte'!$CZ$32,'III. Finanzberichte'!$DG$32,'III. Finanzberichte'!$DN$32,'III. Finanzberichte'!$DU$32),"")</f>
        <v/>
      </c>
    </row>
    <row r="107">
      <c r="B107" s="243" t="s">
        <v>414</v>
      </c>
      <c r="C107" s="228">
        <f>0</f>
        <v>0</v>
      </c>
      <c r="D107" s="228">
        <f>IFERROR(ROUND(Kosten_Personalkosten_LW,2),0)</f>
        <v>0</v>
      </c>
      <c r="E107" s="198">
        <f>ROUND(IFERROR($C$107-$D$107,0),2)</f>
        <v>0</v>
      </c>
      <c r="F107" s="244">
        <f>ROUND(IFERROR(($C$107/$D$107)-1,0),4)</f>
        <v>0</v>
      </c>
      <c r="G107" s="245">
        <f>0</f>
        <v>0</v>
      </c>
      <c r="H107" s="245">
        <f>IFERROR(ROUND(Kosten_Personalkosten_EUR,2),0)</f>
        <v>0</v>
      </c>
      <c r="I107" s="158">
        <f>ROUND(IFERROR($G$107-$H$107,0),2)</f>
        <v>0</v>
      </c>
      <c r="J107" s="246">
        <f>ROUND(IFERROR(($G$107/$H$107)-1,0),4)</f>
        <v>0</v>
      </c>
      <c r="L107" s="108" t="str">
        <f>IFERROR(CHOOSE(E81,'III. Finanzberichte'!$B$33,'III. Finanzberichte'!$I$33,'III. Finanzberichte'!$P$33,'III. Finanzberichte'!$W$33,'III. Finanzberichte'!$AD$33,'III. Finanzberichte'!$AK$33,'III. Finanzberichte'!$AR$33,'III. Finanzberichte'!$AY$33,'III. Finanzberichte'!$BF$33,'III. Finanzberichte'!$BM$33,'III. Finanzberichte'!$BT$33,'III. Finanzberichte'!$CA$33,'III. Finanzberichte'!$CH$33,'III. Finanzberichte'!$CO$33,'III. Finanzberichte'!$CV$33,'III. Finanzberichte'!$DC$33,'III. Finanzberichte'!$DJ$33,'III. Finanzberichte'!$DQ$33),"")</f>
        <v/>
      </c>
      <c r="M107" s="109" t="str">
        <f>IFERROR(CHOOSE(E81,'III. Finanzberichte'!$C$33,'III. Finanzberichte'!$J$33,'III. Finanzberichte'!$Q$33,'III. Finanzberichte'!$X$33,'III. Finanzberichte'!$AE$33,'III. Finanzberichte'!$AL$33,'III. Finanzberichte'!$AS$33,'III. Finanzberichte'!$AZ$33,'III. Finanzberichte'!$BG$33,'III. Finanzberichte'!$BN$33,'III. Finanzberichte'!$BU$33,'III. Finanzberichte'!$CB$33,'III. Finanzberichte'!$CI$33,'III. Finanzberichte'!$CP$33,'III. Finanzberichte'!$CW$33,'III. Finanzberichte'!$DD$33,'III. Finanzberichte'!$DK$33,'III. Finanzberichte'!$DR$33),"")</f>
        <v/>
      </c>
      <c r="N107" s="110" t="str">
        <f>IFERROR(CHOOSE(E81,'III. Finanzberichte'!$D$33,'III. Finanzberichte'!$K$33,'III. Finanzberichte'!$R$33,'III. Finanzberichte'!$Y$33,'III. Finanzberichte'!$AF$33,'III. Finanzberichte'!$AM$33,'III. Finanzberichte'!$AT$33,'III. Finanzberichte'!$BA$33,'III. Finanzberichte'!$BH$33,'III. Finanzberichte'!$BO$33,'III. Finanzberichte'!$BV$33,'III. Finanzberichte'!$CC$33,'III. Finanzberichte'!$CJ$33,'III. Finanzberichte'!$CQ$33,'III. Finanzberichte'!$CX$33,'III. Finanzberichte'!$DE$33,'III. Finanzberichte'!$DL$33,'III. Finanzberichte'!$DS$33),"")</f>
        <v/>
      </c>
      <c r="O107" s="109" t="str">
        <f>IFERROR(CHOOSE(E81,'III. Finanzberichte'!$E$33,'III. Finanzberichte'!$L$33,'III. Finanzberichte'!$S$33,'III. Finanzberichte'!$Z$33,'III. Finanzberichte'!$AG$33,'III. Finanzberichte'!$AN$33,'III. Finanzberichte'!$AU$33,'III. Finanzberichte'!$BB$33,'III. Finanzberichte'!$BI$33,'III. Finanzberichte'!$BP$33,'III. Finanzberichte'!$BW$33,'III. Finanzberichte'!$CD$33,'III. Finanzberichte'!$CK$33,'III. Finanzberichte'!$CR$33,'III. Finanzberichte'!$CY$33,'III. Finanzberichte'!$DF$33,'III. Finanzberichte'!$DM$33,'III. Finanzberichte'!$DT$33),"")</f>
        <v/>
      </c>
      <c r="P107" s="111" t="str">
        <f>IFERROR(CHOOSE(E81,'III. Finanzberichte'!$F$33,'III. Finanzberichte'!$M$33,'III. Finanzberichte'!$T$33,'III. Finanzberichte'!$AA$33,'III. Finanzberichte'!$AH$33,'III. Finanzberichte'!$AO$33,'III. Finanzberichte'!$AV$33,'III. Finanzberichte'!$BC$33,'III. Finanzberichte'!$BJ$33,'III. Finanzberichte'!$BQ$33,'III. Finanzberichte'!$BX$33,'III. Finanzberichte'!$CE$33,'III. Finanzberichte'!$CL$33,'III. Finanzberichte'!$CS$33,'III. Finanzberichte'!$CZ$33,'III. Finanzberichte'!$DG$33,'III. Finanzberichte'!$DN$33,'III. Finanzberichte'!$DU$33),"")</f>
        <v/>
      </c>
    </row>
    <row r="108">
      <c r="B108" s="243" t="s">
        <v>275</v>
      </c>
      <c r="C108" s="228">
        <f>IFERROR(ROUND(CHOOSE(E81,SUM('III. Finanzberichte'!$E$59:$E$78),SUM('III. Finanzberichte'!$L$59:$L$78),SUM('III. Finanzberichte'!$S$59:$S$78),SUM('III. Finanzberichte'!$Z$59:$Z$78),SUM('III. Finanzberichte'!$AG$59:$AG$78),SUM('III. Finanzberichte'!$AN$59:$AN$78),SUM('III. Finanzberichte'!$AU$59:$AU$78),SUM('III. Finanzberichte'!$BB$59:$BB$78),SUM('III. Finanzberichte'!$BI$59:$BI$78),SUM('III. Finanzberichte'!$BP$59:$BP$78),SUM('III. Finanzberichte'!$BW$59:$BW$78),SUM('III. Finanzberichte'!$CD$59:$CD$78),SUM('III. Finanzberichte'!$CK$59:$CK$78),SUM('III. Finanzberichte'!$CR$59:$CR$78),SUM('III. Finanzberichte'!$CY$59:$CY$78),SUM('III. Finanzberichte'!$DF$59:$DF$78),SUM('III. Finanzberichte'!$DM$59:$DM$78),SUM('III. Finanzberichte'!$DT$59:$DT$78)),2),0)</f>
        <v>0</v>
      </c>
      <c r="D108" s="228">
        <f>IFERROR(ROUND(Kosten_Projektaktivitaeten_LW,2),0)</f>
        <v>390000</v>
      </c>
      <c r="E108" s="198">
        <f>ROUND(IFERROR($C$108-$D$108,0),2)</f>
        <v>-390000</v>
      </c>
      <c r="F108" s="244">
        <f>ROUND(IFERROR(($C$108/$D$108)-1,0),4)</f>
        <v>-1</v>
      </c>
      <c r="G108" s="245">
        <f>IFERROR(ROUND(CHOOSE(E81,SUM('III. Finanzberichte'!$F$59:$F$78),SUM('III. Finanzberichte'!$M$59:$M$78),SUM('III. Finanzberichte'!$T$59:$T$78),SUM('III. Finanzberichte'!$AA$59:$AA$78),SUM('III. Finanzberichte'!$AH$59:$AH$78),SUM('III. Finanzberichte'!$AO$59:$AO$78),SUM('III. Finanzberichte'!$AV$59:$AV$78),SUM('III. Finanzberichte'!$BC$59:$BC$78),SUM('III. Finanzberichte'!$BJ$59:$BJ$78),SUM('III. Finanzberichte'!$BQ$59:$BQ$78),SUM('III. Finanzberichte'!$BX$59:$BX$78),SUM('III. Finanzberichte'!$CE$59:$CE$78),SUM('III. Finanzberichte'!$CL$59:$CL$78),SUM('III. Finanzberichte'!$CS$59:$CS$78),SUM('III. Finanzberichte'!$CZ$59:$CZ$78),SUM('III. Finanzberichte'!$DG$59:$DG$78),SUM('III. Finanzberichte'!$DN$59:$DN$78),SUM('III. Finanzberichte'!$DU$59:$DU$78)),2),0)</f>
        <v>0</v>
      </c>
      <c r="H108" s="245">
        <f>IFERROR(ROUND(Kosten_Projektaktivitaeten_EUR,2),0)</f>
        <v>195000</v>
      </c>
      <c r="I108" s="158">
        <f>ROUND(IFERROR($G$108-$H$108,0),2)</f>
        <v>-195000</v>
      </c>
      <c r="J108" s="246">
        <f>ROUND(IFERROR(($G$108/$H$108)-1,0),4)</f>
        <v>-1</v>
      </c>
      <c r="L108" s="108" t="str">
        <f>IFERROR(CHOOSE(E81,'III. Finanzberichte'!$B$34,'III. Finanzberichte'!$I$34,'III. Finanzberichte'!$P$34,'III. Finanzberichte'!$W$34,'III. Finanzberichte'!$AD$34,'III. Finanzberichte'!$AK$34,'III. Finanzberichte'!$AR$34,'III. Finanzberichte'!$AY$34,'III. Finanzberichte'!$BF$34,'III. Finanzberichte'!$BM$34,'III. Finanzberichte'!$BT$34,'III. Finanzberichte'!$CA$34,'III. Finanzberichte'!$CH$34,'III. Finanzberichte'!$CO$34,'III. Finanzberichte'!$CV$34,'III. Finanzberichte'!$DC$34,'III. Finanzberichte'!$DJ$34,'III. Finanzberichte'!$DQ$34),"")</f>
        <v/>
      </c>
      <c r="M108" s="109" t="str">
        <f>IFERROR(CHOOSE(E81,'III. Finanzberichte'!$C$34,'III. Finanzberichte'!$J$34,'III. Finanzberichte'!$Q$34,'III. Finanzberichte'!$X$34,'III. Finanzberichte'!$AE$34,'III. Finanzberichte'!$AL$34,'III. Finanzberichte'!$AS$34,'III. Finanzberichte'!$AZ$34,'III. Finanzberichte'!$BG$34,'III. Finanzberichte'!$BN$34,'III. Finanzberichte'!$BU$34,'III. Finanzberichte'!$CB$34,'III. Finanzberichte'!$CI$34,'III. Finanzberichte'!$CP$34,'III. Finanzberichte'!$CW$34,'III. Finanzberichte'!$DD$34,'III. Finanzberichte'!$DK$34,'III. Finanzberichte'!$DR$34),"")</f>
        <v/>
      </c>
      <c r="N108" s="110" t="str">
        <f>IFERROR(CHOOSE(E81,'III. Finanzberichte'!$D$34,'III. Finanzberichte'!$K$34,'III. Finanzberichte'!$R$34,'III. Finanzberichte'!$Y$34,'III. Finanzberichte'!$AF$34,'III. Finanzberichte'!$AM$34,'III. Finanzberichte'!$AT$34,'III. Finanzberichte'!$BA$34,'III. Finanzberichte'!$BH$34,'III. Finanzberichte'!$BO$34,'III. Finanzberichte'!$BV$34,'III. Finanzberichte'!$CC$34,'III. Finanzberichte'!$CJ$34,'III. Finanzberichte'!$CQ$34,'III. Finanzberichte'!$CX$34,'III. Finanzberichte'!$DE$34,'III. Finanzberichte'!$DL$34,'III. Finanzberichte'!$DS$34),"")</f>
        <v/>
      </c>
      <c r="O108" s="109" t="str">
        <f>IFERROR(CHOOSE(E81,'III. Finanzberichte'!$E$34,'III. Finanzberichte'!$L$34,'III. Finanzberichte'!$S$34,'III. Finanzberichte'!$Z$34,'III. Finanzberichte'!$AG$34,'III. Finanzberichte'!$AN$34,'III. Finanzberichte'!$AU$34,'III. Finanzberichte'!$BB$34,'III. Finanzberichte'!$BI$34,'III. Finanzberichte'!$BP$34,'III. Finanzberichte'!$BW$34,'III. Finanzberichte'!$CD$34,'III. Finanzberichte'!$CK$34,'III. Finanzberichte'!$CR$34,'III. Finanzberichte'!$CY$34,'III. Finanzberichte'!$DF$34,'III. Finanzberichte'!$DM$34,'III. Finanzberichte'!$DT$34),"")</f>
        <v/>
      </c>
      <c r="P108" s="111" t="str">
        <f>IFERROR(CHOOSE(E81,'III. Finanzberichte'!$F$34,'III. Finanzberichte'!$M$34,'III. Finanzberichte'!$T$34,'III. Finanzberichte'!$AA$34,'III. Finanzberichte'!$AH$34,'III. Finanzberichte'!$AO$34,'III. Finanzberichte'!$AV$34,'III. Finanzberichte'!$BC$34,'III. Finanzberichte'!$BJ$34,'III. Finanzberichte'!$BQ$34,'III. Finanzberichte'!$BX$34,'III. Finanzberichte'!$CE$34,'III. Finanzberichte'!$CL$34,'III. Finanzberichte'!$CS$34,'III. Finanzberichte'!$CZ$34,'III. Finanzberichte'!$DG$34,'III. Finanzberichte'!$DN$34,'III. Finanzberichte'!$DU$34),"")</f>
        <v/>
      </c>
    </row>
    <row r="109">
      <c r="B109" s="243" t="s">
        <v>296</v>
      </c>
      <c r="C109" s="228">
        <f>IFERROR(ROUND(CHOOSE(E81,SUM('III. Finanzberichte'!$E$79:$E$98),SUM('III. Finanzberichte'!$L$79:$L$98),SUM('III. Finanzberichte'!$S$79:$S$98),SUM('III. Finanzberichte'!$Z$79:$Z$98),SUM('III. Finanzberichte'!$AG$79:$AG$98),SUM('III. Finanzberichte'!$AN$79:$AN$98),SUM('III. Finanzberichte'!$AU$79:$AU$98),SUM('III. Finanzberichte'!$BB$79:$BB$98),SUM('III. Finanzberichte'!$BI$79:$BI$98),SUM('III. Finanzberichte'!$BP$79:$BP$98),SUM('III. Finanzberichte'!$BW$79:$BW$98),SUM('III. Finanzberichte'!$CD$79:$CD$98),SUM('III. Finanzberichte'!$CK$79:$CK$98),SUM('III. Finanzberichte'!$CR$79:$CR$98),SUM('III. Finanzberichte'!$CY$79:$CY$98),SUM('III. Finanzberichte'!$DF$79:$DF$98),SUM('III. Finanzberichte'!$DM$79:$DM$98),SUM('III. Finanzberichte'!$DT$79:$DT$98)),2),0)</f>
        <v>0</v>
      </c>
      <c r="D109" s="228">
        <f>IFERROR(ROUND(Kosten_Projektverwaltung_LW,2),0)</f>
        <v>390000</v>
      </c>
      <c r="E109" s="198">
        <f>ROUND(IFERROR($C$109-$D$109,0),2)</f>
        <v>-390000</v>
      </c>
      <c r="F109" s="244">
        <f>ROUND(IFERROR(($C$109/$D$109)-1,0),4)</f>
        <v>-1</v>
      </c>
      <c r="G109" s="245">
        <f>IFERROR(ROUND(CHOOSE(E81,SUM('III. Finanzberichte'!$F$79:$F$98),SUM('III. Finanzberichte'!$M$79:$M$98),SUM('III. Finanzberichte'!$T$79:$T$98),SUM('III. Finanzberichte'!$AA$79:$AA$98),SUM('III. Finanzberichte'!$AH$79:$AH$98),SUM('III. Finanzberichte'!$AO$79:$AO$98),SUM('III. Finanzberichte'!$AV$79:$AV$98),SUM('III. Finanzberichte'!$BC$79:$BC$98),SUM('III. Finanzberichte'!$BJ$79:$BJ$98),SUM('III. Finanzberichte'!$BQ$79:$BQ$98),SUM('III. Finanzberichte'!$BX$79:$BX$98),SUM('III. Finanzberichte'!$CE$79:$CE$98),SUM('III. Finanzberichte'!$CL$79:$CL$98),SUM('III. Finanzberichte'!$CS$79:$CS$98),SUM('III. Finanzberichte'!$CZ$79:$CZ$98),SUM('III. Finanzberichte'!$DG$79:$DG$98),SUM('III. Finanzberichte'!$DN$79:$DN$98),SUM('III. Finanzberichte'!$DU$79:$DU$98)),2),0)</f>
        <v>0</v>
      </c>
      <c r="H109" s="245">
        <f>IFERROR(ROUND(Kosten_Projektverwaltung_EUR,2),0)</f>
        <v>195000</v>
      </c>
      <c r="I109" s="158">
        <f>ROUND(IFERROR($G$109-$H$109,0),2)</f>
        <v>-195000</v>
      </c>
      <c r="J109" s="246">
        <f>ROUND(IFERROR(($G$109/$H$109)-1,0),4)</f>
        <v>-1</v>
      </c>
      <c r="L109" s="108" t="str">
        <f>IFERROR(CHOOSE(E81,'III. Finanzberichte'!$B$35,'III. Finanzberichte'!$I$35,'III. Finanzberichte'!$P$35,'III. Finanzberichte'!$W$35,'III. Finanzberichte'!$AD$35,'III. Finanzberichte'!$AK$35,'III. Finanzberichte'!$AR$35,'III. Finanzberichte'!$AY$35,'III. Finanzberichte'!$BF$35,'III. Finanzberichte'!$BM$35,'III. Finanzberichte'!$BT$35,'III. Finanzberichte'!$CA$35,'III. Finanzberichte'!$CH$35,'III. Finanzberichte'!$CO$35,'III. Finanzberichte'!$CV$35,'III. Finanzberichte'!$DC$35,'III. Finanzberichte'!$DJ$35,'III. Finanzberichte'!$DQ$35),"")</f>
        <v/>
      </c>
      <c r="M109" s="109" t="str">
        <f>IFERROR(CHOOSE(E81,'III. Finanzberichte'!$C$35,'III. Finanzberichte'!$J$35,'III. Finanzberichte'!$Q$35,'III. Finanzberichte'!$X$35,'III. Finanzberichte'!$AE$35,'III. Finanzberichte'!$AL$35,'III. Finanzberichte'!$AS$35,'III. Finanzberichte'!$AZ$35,'III. Finanzberichte'!$BG$35,'III. Finanzberichte'!$BN$35,'III. Finanzberichte'!$BU$35,'III. Finanzberichte'!$CB$35,'III. Finanzberichte'!$CI$35,'III. Finanzberichte'!$CP$35,'III. Finanzberichte'!$CW$35,'III. Finanzberichte'!$DD$35,'III. Finanzberichte'!$DK$35,'III. Finanzberichte'!$DR$35),"")</f>
        <v/>
      </c>
      <c r="N109" s="110" t="str">
        <f>IFERROR(CHOOSE(E81,'III. Finanzberichte'!$D$35,'III. Finanzberichte'!$K$35,'III. Finanzberichte'!$R$35,'III. Finanzberichte'!$Y$35,'III. Finanzberichte'!$AF$35,'III. Finanzberichte'!$AM$35,'III. Finanzberichte'!$AT$35,'III. Finanzberichte'!$BA$35,'III. Finanzberichte'!$BH$35,'III. Finanzberichte'!$BO$35,'III. Finanzberichte'!$BV$35,'III. Finanzberichte'!$CC$35,'III. Finanzberichte'!$CJ$35,'III. Finanzberichte'!$CQ$35,'III. Finanzberichte'!$CX$35,'III. Finanzberichte'!$DE$35,'III. Finanzberichte'!$DL$35,'III. Finanzberichte'!$DS$35),"")</f>
        <v/>
      </c>
      <c r="O109" s="109" t="str">
        <f>IFERROR(CHOOSE(E81,'III. Finanzberichte'!$E$35,'III. Finanzberichte'!$L$35,'III. Finanzberichte'!$S$35,'III. Finanzberichte'!$Z$35,'III. Finanzberichte'!$AG$35,'III. Finanzberichte'!$AN$35,'III. Finanzberichte'!$AU$35,'III. Finanzberichte'!$BB$35,'III. Finanzberichte'!$BI$35,'III. Finanzberichte'!$BP$35,'III. Finanzberichte'!$BW$35,'III. Finanzberichte'!$CD$35,'III. Finanzberichte'!$CK$35,'III. Finanzberichte'!$CR$35,'III. Finanzberichte'!$CY$35,'III. Finanzberichte'!$DF$35,'III. Finanzberichte'!$DM$35,'III. Finanzberichte'!$DT$35),"")</f>
        <v/>
      </c>
      <c r="P109" s="111" t="str">
        <f>IFERROR(CHOOSE(E81,'III. Finanzberichte'!$F$35,'III. Finanzberichte'!$M$35,'III. Finanzberichte'!$T$35,'III. Finanzberichte'!$AA$35,'III. Finanzberichte'!$AH$35,'III. Finanzberichte'!$AO$35,'III. Finanzberichte'!$AV$35,'III. Finanzberichte'!$BC$35,'III. Finanzberichte'!$BJ$35,'III. Finanzberichte'!$BQ$35,'III. Finanzberichte'!$BX$35,'III. Finanzberichte'!$CE$35,'III. Finanzberichte'!$CL$35,'III. Finanzberichte'!$CS$35,'III. Finanzberichte'!$CZ$35,'III. Finanzberichte'!$DG$35,'III. Finanzberichte'!$DN$35,'III. Finanzberichte'!$DU$35),"")</f>
        <v/>
      </c>
    </row>
    <row r="110">
      <c r="B110" s="243" t="s">
        <v>317</v>
      </c>
      <c r="C110" s="228">
        <f>IFERROR(ROUND(CHOOSE(E81,SUM('III. Finanzberichte'!$E$99),SUM('III. Finanzberichte'!$L$99),SUM('III. Finanzberichte'!$S$99),SUM('III. Finanzberichte'!$Z$99),SUM('III. Finanzberichte'!$AG$99),SUM('III. Finanzberichte'!$AN$99),SUM('III. Finanzberichte'!$AU$99),SUM('III. Finanzberichte'!$BB$99),SUM('III. Finanzberichte'!$BI$99),SUM('III. Finanzberichte'!$BP$99),SUM('III. Finanzberichte'!$BW$99),SUM('III. Finanzberichte'!$CD$99),SUM('III. Finanzberichte'!$CK$99),SUM('III. Finanzberichte'!$CR$99),SUM('III. Finanzberichte'!$CY$99),SUM('III. Finanzberichte'!$DF$99),SUM('III. Finanzberichte'!$DM$99),SUM('III. Finanzberichte'!$DT$99)),2),0)</f>
        <v>0</v>
      </c>
      <c r="D110" s="228">
        <f>IFERROR(ROUND(Kosten_Evaluierung_LW,2),0)</f>
        <v>10000</v>
      </c>
      <c r="E110" s="198">
        <f>ROUND(IFERROR($C$110-$D$110,0),2)</f>
        <v>-10000</v>
      </c>
      <c r="F110" s="244">
        <f>ROUND(IFERROR(($C$110/$D$110)-1,0),4)</f>
        <v>-1</v>
      </c>
      <c r="G110" s="245">
        <f>IFERROR(ROUND(CHOOSE(E81,SUM('III. Finanzberichte'!$F$99),SUM('III. Finanzberichte'!$M$99),SUM('III. Finanzberichte'!$T$99),SUM('III. Finanzberichte'!$AA$99),SUM('III. Finanzberichte'!$AH$99),SUM('III. Finanzberichte'!$AO$99),SUM('III. Finanzberichte'!$AV$99),SUM('III. Finanzberichte'!$BC$99),SUM('III. Finanzberichte'!$BJ$99),SUM('III. Finanzberichte'!$BQ$99),SUM('III. Finanzberichte'!$BX$99),SUM('III. Finanzberichte'!$CE$99),SUM('III. Finanzberichte'!$CL$99),SUM('III. Finanzberichte'!$CS$99),SUM('III. Finanzberichte'!$CZ$99),SUM('III. Finanzberichte'!$DG$99),SUM('III. Finanzberichte'!$DN$99),SUM('III. Finanzberichte'!$DU$99)),2),0)</f>
        <v>0</v>
      </c>
      <c r="H110" s="245">
        <f>IFERROR(ROUND(Kosten_Evaluierung_EUR,2),0)</f>
        <v>5000</v>
      </c>
      <c r="I110" s="158">
        <f>ROUND(IFERROR($G$110-$H$110,0),2)</f>
        <v>-5000</v>
      </c>
      <c r="J110" s="246">
        <f>ROUND(IFERROR(($G$110/$H$110)-1,0),4)</f>
        <v>-1</v>
      </c>
      <c r="L110" s="108" t="str">
        <f>IFERROR(CHOOSE(E81,'III. Finanzberichte'!$B$36,'III. Finanzberichte'!$I$36,'III. Finanzberichte'!$P$36,'III. Finanzberichte'!$W$36,'III. Finanzberichte'!$AD$36,'III. Finanzberichte'!$AK$36,'III. Finanzberichte'!$AR$36,'III. Finanzberichte'!$AY$36,'III. Finanzberichte'!$BF$36,'III. Finanzberichte'!$BM$36,'III. Finanzberichte'!$BT$36,'III. Finanzberichte'!$CA$36,'III. Finanzberichte'!$CH$36,'III. Finanzberichte'!$CO$36,'III. Finanzberichte'!$CV$36,'III. Finanzberichte'!$DC$36,'III. Finanzberichte'!$DJ$36,'III. Finanzberichte'!$DQ$36),"")</f>
        <v/>
      </c>
      <c r="M110" s="109" t="str">
        <f>IFERROR(CHOOSE(E81,'III. Finanzberichte'!$C$36,'III. Finanzberichte'!$J$36,'III. Finanzberichte'!$Q$36,'III. Finanzberichte'!$X$36,'III. Finanzberichte'!$AE$36,'III. Finanzberichte'!$AL$36,'III. Finanzberichte'!$AS$36,'III. Finanzberichte'!$AZ$36,'III. Finanzberichte'!$BG$36,'III. Finanzberichte'!$BN$36,'III. Finanzberichte'!$BU$36,'III. Finanzberichte'!$CB$36,'III. Finanzberichte'!$CI$36,'III. Finanzberichte'!$CP$36,'III. Finanzberichte'!$CW$36,'III. Finanzberichte'!$DD$36,'III. Finanzberichte'!$DK$36,'III. Finanzberichte'!$DR$36),"")</f>
        <v/>
      </c>
      <c r="N110" s="110" t="str">
        <f>IFERROR(CHOOSE(E81,'III. Finanzberichte'!$D$36,'III. Finanzberichte'!$K$36,'III. Finanzberichte'!$R$36,'III. Finanzberichte'!$Y$36,'III. Finanzberichte'!$AF$36,'III. Finanzberichte'!$AM$36,'III. Finanzberichte'!$AT$36,'III. Finanzberichte'!$BA$36,'III. Finanzberichte'!$BH$36,'III. Finanzberichte'!$BO$36,'III. Finanzberichte'!$BV$36,'III. Finanzberichte'!$CC$36,'III. Finanzberichte'!$CJ$36,'III. Finanzberichte'!$CQ$36,'III. Finanzberichte'!$CX$36,'III. Finanzberichte'!$DE$36,'III. Finanzberichte'!$DL$36,'III. Finanzberichte'!$DS$36),"")</f>
        <v/>
      </c>
      <c r="O110" s="109" t="str">
        <f>IFERROR(CHOOSE(E81,'III. Finanzberichte'!$E$36,'III. Finanzberichte'!$L$36,'III. Finanzberichte'!$S$36,'III. Finanzberichte'!$Z$36,'III. Finanzberichte'!$AG$36,'III. Finanzberichte'!$AN$36,'III. Finanzberichte'!$AU$36,'III. Finanzberichte'!$BB$36,'III. Finanzberichte'!$BI$36,'III. Finanzberichte'!$BP$36,'III. Finanzberichte'!$BW$36,'III. Finanzberichte'!$CD$36,'III. Finanzberichte'!$CK$36,'III. Finanzberichte'!$CR$36,'III. Finanzberichte'!$CY$36,'III. Finanzberichte'!$DF$36,'III. Finanzberichte'!$DM$36,'III. Finanzberichte'!$DT$36),"")</f>
        <v/>
      </c>
      <c r="P110" s="111" t="str">
        <f>IFERROR(CHOOSE(E81,'III. Finanzberichte'!$F$36,'III. Finanzberichte'!$M$36,'III. Finanzberichte'!$T$36,'III. Finanzberichte'!$AA$36,'III. Finanzberichte'!$AH$36,'III. Finanzberichte'!$AO$36,'III. Finanzberichte'!$AV$36,'III. Finanzberichte'!$BC$36,'III. Finanzberichte'!$BJ$36,'III. Finanzberichte'!$BQ$36,'III. Finanzberichte'!$BX$36,'III. Finanzberichte'!$CE$36,'III. Finanzberichte'!$CL$36,'III. Finanzberichte'!$CS$36,'III. Finanzberichte'!$CZ$36,'III. Finanzberichte'!$DG$36,'III. Finanzberichte'!$DN$36,'III. Finanzberichte'!$DU$36),"")</f>
        <v/>
      </c>
    </row>
    <row r="111">
      <c r="B111" s="243" t="s">
        <v>319</v>
      </c>
      <c r="C111" s="228">
        <f>IFERROR(ROUND(CHOOSE(E81,SUM('III. Finanzberichte'!$E$100),SUM('III. Finanzberichte'!$L$100),SUM('III. Finanzberichte'!$S$100),SUM('III. Finanzberichte'!$Z$100),SUM('III. Finanzberichte'!$AG$100),SUM('III. Finanzberichte'!$AN$100),SUM('III. Finanzberichte'!$AU$100),SUM('III. Finanzberichte'!$BB$100),SUM('III. Finanzberichte'!$BI$100),SUM('III. Finanzberichte'!$BP$100),SUM('III. Finanzberichte'!$BW$100),SUM('III. Finanzberichte'!$CD$100),SUM('III. Finanzberichte'!$CK$100),SUM('III. Finanzberichte'!$CR$100),SUM('III. Finanzberichte'!$CY$100),SUM('III. Finanzberichte'!$DF$100),SUM('III. Finanzberichte'!$DM$100),SUM('III. Finanzberichte'!$DT$100)),2),0)</f>
        <v>0</v>
      </c>
      <c r="D111" s="228">
        <f>IFERROR(ROUND(Kosten_Audit_LW,2),0)</f>
        <v>10000</v>
      </c>
      <c r="E111" s="198">
        <f>ROUND(IFERROR($C$111-$D$111,0),2)</f>
        <v>-10000</v>
      </c>
      <c r="F111" s="244">
        <f>ROUND(IFERROR(($C$111/$D$111)-1,0),4)</f>
        <v>-1</v>
      </c>
      <c r="G111" s="245">
        <f>IFERROR(ROUND(CHOOSE(E81,SUM('III. Finanzberichte'!$F$100),SUM('III. Finanzberichte'!$M$100),SUM('III. Finanzberichte'!$T$100),SUM('III. Finanzberichte'!$AA$100),SUM('III. Finanzberichte'!$AH$100),SUM('III. Finanzberichte'!$AO$100),SUM('III. Finanzberichte'!$AV$100),SUM('III. Finanzberichte'!$BC$100),SUM('III. Finanzberichte'!$BJ$100),SUM('III. Finanzberichte'!$BQ$100),SUM('III. Finanzberichte'!$BX$100),SUM('III. Finanzberichte'!$CE$100),SUM('III. Finanzberichte'!$CL$100),SUM('III. Finanzberichte'!$CS$100),SUM('III. Finanzberichte'!$CZ$100),SUM('III. Finanzberichte'!$DG$100),SUM('III. Finanzberichte'!$DN$100),SUM('III. Finanzberichte'!$DU$100)),2),0)</f>
        <v>0</v>
      </c>
      <c r="H111" s="245">
        <f>IFERROR(ROUND(Kosten_Audit_EUR,2),0)</f>
        <v>5000</v>
      </c>
      <c r="I111" s="158">
        <f>ROUND(IFERROR($G$111-$H$111,0),2)</f>
        <v>-5000</v>
      </c>
      <c r="J111" s="246">
        <f>ROUND(IFERROR(($G$111/$H$111)-1,0),4)</f>
        <v>-1</v>
      </c>
      <c r="L111" s="108" t="str">
        <f>IFERROR(CHOOSE(E81,'III. Finanzberichte'!$B$37,'III. Finanzberichte'!$I$37,'III. Finanzberichte'!$P$37,'III. Finanzberichte'!$W$37,'III. Finanzberichte'!$AD$37,'III. Finanzberichte'!$AK$37,'III. Finanzberichte'!$AR$37,'III. Finanzberichte'!$AY$37,'III. Finanzberichte'!$BF$37,'III. Finanzberichte'!$BM$37,'III. Finanzberichte'!$BT$37,'III. Finanzberichte'!$CA$37,'III. Finanzberichte'!$CH$37,'III. Finanzberichte'!$CO$37,'III. Finanzberichte'!$CV$37,'III. Finanzberichte'!$DC$37,'III. Finanzberichte'!$DJ$37,'III. Finanzberichte'!$DQ$37),"")</f>
        <v/>
      </c>
      <c r="M111" s="109" t="str">
        <f>IFERROR(CHOOSE(E81,'III. Finanzberichte'!$C$37,'III. Finanzberichte'!$J$37,'III. Finanzberichte'!$Q$37,'III. Finanzberichte'!$X$37,'III. Finanzberichte'!$AE$37,'III. Finanzberichte'!$AL$37,'III. Finanzberichte'!$AS$37,'III. Finanzberichte'!$AZ$37,'III. Finanzberichte'!$BG$37,'III. Finanzberichte'!$BN$37,'III. Finanzberichte'!$BU$37,'III. Finanzberichte'!$CB$37,'III. Finanzberichte'!$CI$37,'III. Finanzberichte'!$CP$37,'III. Finanzberichte'!$CW$37,'III. Finanzberichte'!$DD$37,'III. Finanzberichte'!$DK$37,'III. Finanzberichte'!$DR$37),"")</f>
        <v/>
      </c>
      <c r="N111" s="110" t="str">
        <f>IFERROR(CHOOSE(E81,'III. Finanzberichte'!$D$37,'III. Finanzberichte'!$K$37,'III. Finanzberichte'!$R$37,'III. Finanzberichte'!$Y$37,'III. Finanzberichte'!$AF$37,'III. Finanzberichte'!$AM$37,'III. Finanzberichte'!$AT$37,'III. Finanzberichte'!$BA$37,'III. Finanzberichte'!$BH$37,'III. Finanzberichte'!$BO$37,'III. Finanzberichte'!$BV$37,'III. Finanzberichte'!$CC$37,'III. Finanzberichte'!$CJ$37,'III. Finanzberichte'!$CQ$37,'III. Finanzberichte'!$CX$37,'III. Finanzberichte'!$DE$37,'III. Finanzberichte'!$DL$37,'III. Finanzberichte'!$DS$37),"")</f>
        <v/>
      </c>
      <c r="O111" s="109" t="str">
        <f>IFERROR(CHOOSE(E81,'III. Finanzberichte'!$E$37,'III. Finanzberichte'!$L$37,'III. Finanzberichte'!$S$37,'III. Finanzberichte'!$Z$37,'III. Finanzberichte'!$AG$37,'III. Finanzberichte'!$AN$37,'III. Finanzberichte'!$AU$37,'III. Finanzberichte'!$BB$37,'III. Finanzberichte'!$BI$37,'III. Finanzberichte'!$BP$37,'III. Finanzberichte'!$BW$37,'III. Finanzberichte'!$CD$37,'III. Finanzberichte'!$CK$37,'III. Finanzberichte'!$CR$37,'III. Finanzberichte'!$CY$37,'III. Finanzberichte'!$DF$37,'III. Finanzberichte'!$DM$37,'III. Finanzberichte'!$DT$37),"")</f>
        <v/>
      </c>
      <c r="P111" s="111" t="str">
        <f>IFERROR(CHOOSE(E81,'III. Finanzberichte'!$F$37,'III. Finanzberichte'!$M$37,'III. Finanzberichte'!$T$37,'III. Finanzberichte'!$AA$37,'III. Finanzberichte'!$AH$37,'III. Finanzberichte'!$AO$37,'III. Finanzberichte'!$AV$37,'III. Finanzberichte'!$BC$37,'III. Finanzberichte'!$BJ$37,'III. Finanzberichte'!$BQ$37,'III. Finanzberichte'!$BX$37,'III. Finanzberichte'!$CE$37,'III. Finanzberichte'!$CL$37,'III. Finanzberichte'!$CS$37,'III. Finanzberichte'!$CZ$37,'III. Finanzberichte'!$DG$37,'III. Finanzberichte'!$DN$37,'III. Finanzberichte'!$DU$37),"")</f>
        <v/>
      </c>
    </row>
    <row r="112">
      <c r="B112" s="243" t="s">
        <v>321</v>
      </c>
      <c r="C112" s="228">
        <f>IFERROR(ROUND(CHOOSE(E81,SUM('III. Finanzberichte'!$E$101),SUM('III. Finanzberichte'!$L$101),SUM('III. Finanzberichte'!$S$101),SUM('III. Finanzberichte'!$Z$101),SUM('III. Finanzberichte'!$AG$101),SUM('III. Finanzberichte'!$AN$101),SUM('III. Finanzberichte'!$AU$101),SUM('III. Finanzberichte'!$BB$101),SUM('III. Finanzberichte'!$BI$101),SUM('III. Finanzberichte'!$BP$101),SUM('III. Finanzberichte'!$BW$101),SUM('III. Finanzberichte'!$CD$101),SUM('III. Finanzberichte'!$CK$101),SUM('III. Finanzberichte'!$CR$101),SUM('III. Finanzberichte'!$CY$101),SUM('III. Finanzberichte'!$DF$101),SUM('III. Finanzberichte'!$DM$101),SUM('III. Finanzberichte'!$DT$101)),2),0)</f>
        <v>0</v>
      </c>
      <c r="D112" s="228">
        <f>IFERROR(ROUND(Kosten_Reserve_LW,2),0)</f>
        <v>79000</v>
      </c>
      <c r="E112" s="198">
        <f>ROUND(IFERROR($C$112-$D$112,0),2)</f>
        <v>-79000</v>
      </c>
      <c r="F112" s="244">
        <f>ROUND(IFERROR(($C$112/$D$112)-1,0),4)</f>
        <v>-1</v>
      </c>
      <c r="G112" s="245">
        <f>IFERROR(ROUND(CHOOSE(E81,SUM('III. Finanzberichte'!$F$101),SUM('III. Finanzberichte'!$M$101),SUM('III. Finanzberichte'!$T$101),SUM('III. Finanzberichte'!$AA$101),SUM('III. Finanzberichte'!$AH$101),SUM('III. Finanzberichte'!$AO$101),SUM('III. Finanzberichte'!$AV$101),SUM('III. Finanzberichte'!$BC$101),SUM('III. Finanzberichte'!$BJ$101),SUM('III. Finanzberichte'!$BQ$101),SUM('III. Finanzberichte'!$BX$101),SUM('III. Finanzberichte'!$CE$101),SUM('III. Finanzberichte'!$CL$101),SUM('III. Finanzberichte'!$CS$101),SUM('III. Finanzberichte'!$CZ$101),SUM('III. Finanzberichte'!$DG$101),SUM('III. Finanzberichte'!$DN$101),SUM('III. Finanzberichte'!$DU$101)),2),0)</f>
        <v>0</v>
      </c>
      <c r="H112" s="245">
        <f>IFERROR(ROUND(Kosten_Reserve_EUR,2),0)</f>
        <v>39500</v>
      </c>
      <c r="I112" s="158">
        <f>ROUND(IFERROR($G$112-$H$112,0),2)</f>
        <v>-39500</v>
      </c>
      <c r="J112" s="246">
        <f>ROUND(IFERROR(($G$112/$H$112)-1,0),4)</f>
        <v>-1</v>
      </c>
      <c r="L112" s="108" t="str">
        <f>IFERROR(CHOOSE(E81,'III. Finanzberichte'!$B$38,'III. Finanzberichte'!$I$38,'III. Finanzberichte'!$P$38,'III. Finanzberichte'!$W$38,'III. Finanzberichte'!$AD$38,'III. Finanzberichte'!$AK$38,'III. Finanzberichte'!$AR$38,'III. Finanzberichte'!$AY$38,'III. Finanzberichte'!$BF$38,'III. Finanzberichte'!$BM$38,'III. Finanzberichte'!$BT$38,'III. Finanzberichte'!$CA$38,'III. Finanzberichte'!$CH$38,'III. Finanzberichte'!$CO$38,'III. Finanzberichte'!$CV$38,'III. Finanzberichte'!$DC$38,'III. Finanzberichte'!$DJ$38,'III. Finanzberichte'!$DQ$38),"")</f>
        <v/>
      </c>
      <c r="M112" s="109" t="str">
        <f>IFERROR(CHOOSE(E81,'III. Finanzberichte'!$C$38,'III. Finanzberichte'!$J$38,'III. Finanzberichte'!$Q$38,'III. Finanzberichte'!$X$38,'III. Finanzberichte'!$AE$38,'III. Finanzberichte'!$AL$38,'III. Finanzberichte'!$AS$38,'III. Finanzberichte'!$AZ$38,'III. Finanzberichte'!$BG$38,'III. Finanzberichte'!$BN$38,'III. Finanzberichte'!$BU$38,'III. Finanzberichte'!$CB$38,'III. Finanzberichte'!$CI$38,'III. Finanzberichte'!$CP$38,'III. Finanzberichte'!$CW$38,'III. Finanzberichte'!$DD$38,'III. Finanzberichte'!$DK$38,'III. Finanzberichte'!$DR$38),"")</f>
        <v/>
      </c>
      <c r="N112" s="110" t="str">
        <f>IFERROR(CHOOSE(E81,'III. Finanzberichte'!$D$38,'III. Finanzberichte'!$K$38,'III. Finanzberichte'!$R$38,'III. Finanzberichte'!$Y$38,'III. Finanzberichte'!$AF$38,'III. Finanzberichte'!$AM$38,'III. Finanzberichte'!$AT$38,'III. Finanzberichte'!$BA$38,'III. Finanzberichte'!$BH$38,'III. Finanzberichte'!$BO$38,'III. Finanzberichte'!$BV$38,'III. Finanzberichte'!$CC$38,'III. Finanzberichte'!$CJ$38,'III. Finanzberichte'!$CQ$38,'III. Finanzberichte'!$CX$38,'III. Finanzberichte'!$DE$38,'III. Finanzberichte'!$DL$38,'III. Finanzberichte'!$DS$38),"")</f>
        <v/>
      </c>
      <c r="O112" s="109" t="str">
        <f>IFERROR(CHOOSE(E81,'III. Finanzberichte'!$E$38,'III. Finanzberichte'!$L$38,'III. Finanzberichte'!$S$38,'III. Finanzberichte'!$Z$38,'III. Finanzberichte'!$AG$38,'III. Finanzberichte'!$AN$38,'III. Finanzberichte'!$AU$38,'III. Finanzberichte'!$BB$38,'III. Finanzberichte'!$BI$38,'III. Finanzberichte'!$BP$38,'III. Finanzberichte'!$BW$38,'III. Finanzberichte'!$CD$38,'III. Finanzberichte'!$CK$38,'III. Finanzberichte'!$CR$38,'III. Finanzberichte'!$CY$38,'III. Finanzberichte'!$DF$38,'III. Finanzberichte'!$DM$38,'III. Finanzberichte'!$DT$38),"")</f>
        <v/>
      </c>
      <c r="P112" s="111" t="str">
        <f>IFERROR(CHOOSE(E81,'III. Finanzberichte'!$F$38,'III. Finanzberichte'!$M$38,'III. Finanzberichte'!$T$38,'III. Finanzberichte'!$AA$38,'III. Finanzberichte'!$AH$38,'III. Finanzberichte'!$AO$38,'III. Finanzberichte'!$AV$38,'III. Finanzberichte'!$BC$38,'III. Finanzberichte'!$BJ$38,'III. Finanzberichte'!$BQ$38,'III. Finanzberichte'!$BX$38,'III. Finanzberichte'!$CE$38,'III. Finanzberichte'!$CL$38,'III. Finanzberichte'!$CS$38,'III. Finanzberichte'!$CZ$38,'III. Finanzberichte'!$DG$38,'III. Finanzberichte'!$DN$38,'III. Finanzberichte'!$DU$38),"")</f>
        <v/>
      </c>
    </row>
    <row r="113" ht="20" customHeight="1">
      <c r="B113" s="247" t="s">
        <v>358</v>
      </c>
      <c r="C113" s="248">
        <f>ROUND(SUM($C$105:$C$112),2)</f>
        <v>0</v>
      </c>
      <c r="D113" s="248">
        <f>ROUND(SUM($D$105:$D$112),2)</f>
        <v>1659000</v>
      </c>
      <c r="E113" s="248">
        <f>ROUND(SUM($E$105:$E$112),2)</f>
        <v>-1659000</v>
      </c>
      <c r="F113" s="249">
        <f>ROUND(IFERROR(($C$113/$D$113)-1,0),4)</f>
        <v>-1</v>
      </c>
      <c r="G113" s="250">
        <f>ROUND(SUM($G$105:$G$112),2)</f>
        <v>0</v>
      </c>
      <c r="H113" s="250">
        <f>ROUND(SUM($H$105:$H$112),2)</f>
        <v>829500</v>
      </c>
      <c r="I113" s="250">
        <f>ROUND(SUM($I$105:$I$112),2)</f>
        <v>-829500</v>
      </c>
      <c r="J113" s="251">
        <f>ROUND(IFERROR(($G$113/$H$113)-1,0),4)</f>
        <v>-1</v>
      </c>
      <c r="L113" s="108" t="str">
        <f>IFERROR(CHOOSE(E81,'III. Finanzberichte'!$B$39,'III. Finanzberichte'!$I$39,'III. Finanzberichte'!$P$39,'III. Finanzberichte'!$W$39,'III. Finanzberichte'!$AD$39,'III. Finanzberichte'!$AK$39,'III. Finanzberichte'!$AR$39,'III. Finanzberichte'!$AY$39,'III. Finanzberichte'!$BF$39,'III. Finanzberichte'!$BM$39,'III. Finanzberichte'!$BT$39,'III. Finanzberichte'!$CA$39,'III. Finanzberichte'!$CH$39,'III. Finanzberichte'!$CO$39,'III. Finanzberichte'!$CV$39,'III. Finanzberichte'!$DC$39,'III. Finanzberichte'!$DJ$39,'III. Finanzberichte'!$DQ$39),"")</f>
        <v/>
      </c>
      <c r="M113" s="109" t="str">
        <f>IFERROR(CHOOSE(E81,'III. Finanzberichte'!$C$39,'III. Finanzberichte'!$J$39,'III. Finanzberichte'!$Q$39,'III. Finanzberichte'!$X$39,'III. Finanzberichte'!$AE$39,'III. Finanzberichte'!$AL$39,'III. Finanzberichte'!$AS$39,'III. Finanzberichte'!$AZ$39,'III. Finanzberichte'!$BG$39,'III. Finanzberichte'!$BN$39,'III. Finanzberichte'!$BU$39,'III. Finanzberichte'!$CB$39,'III. Finanzberichte'!$CI$39,'III. Finanzberichte'!$CP$39,'III. Finanzberichte'!$CW$39,'III. Finanzberichte'!$DD$39,'III. Finanzberichte'!$DK$39,'III. Finanzberichte'!$DR$39),"")</f>
        <v/>
      </c>
      <c r="N113" s="110" t="str">
        <f>IFERROR(CHOOSE(E81,'III. Finanzberichte'!$D$39,'III. Finanzberichte'!$K$39,'III. Finanzberichte'!$R$39,'III. Finanzberichte'!$Y$39,'III. Finanzberichte'!$AF$39,'III. Finanzberichte'!$AM$39,'III. Finanzberichte'!$AT$39,'III. Finanzberichte'!$BA$39,'III. Finanzberichte'!$BH$39,'III. Finanzberichte'!$BO$39,'III. Finanzberichte'!$BV$39,'III. Finanzberichte'!$CC$39,'III. Finanzberichte'!$CJ$39,'III. Finanzberichte'!$CQ$39,'III. Finanzberichte'!$CX$39,'III. Finanzberichte'!$DE$39,'III. Finanzberichte'!$DL$39,'III. Finanzberichte'!$DS$39),"")</f>
        <v/>
      </c>
      <c r="O113" s="109" t="str">
        <f>IFERROR(CHOOSE(E81,'III. Finanzberichte'!$E$39,'III. Finanzberichte'!$L$39,'III. Finanzberichte'!$S$39,'III. Finanzberichte'!$Z$39,'III. Finanzberichte'!$AG$39,'III. Finanzberichte'!$AN$39,'III. Finanzberichte'!$AU$39,'III. Finanzberichte'!$BB$39,'III. Finanzberichte'!$BI$39,'III. Finanzberichte'!$BP$39,'III. Finanzberichte'!$BW$39,'III. Finanzberichte'!$CD$39,'III. Finanzberichte'!$CK$39,'III. Finanzberichte'!$CR$39,'III. Finanzberichte'!$CY$39,'III. Finanzberichte'!$DF$39,'III. Finanzberichte'!$DM$39,'III. Finanzberichte'!$DT$39),"")</f>
        <v/>
      </c>
      <c r="P113" s="111" t="str">
        <f>IFERROR(CHOOSE(E81,'III. Finanzberichte'!$F$39,'III. Finanzberichte'!$M$39,'III. Finanzberichte'!$T$39,'III. Finanzberichte'!$AA$39,'III. Finanzberichte'!$AH$39,'III. Finanzberichte'!$AO$39,'III. Finanzberichte'!$AV$39,'III. Finanzberichte'!$BC$39,'III. Finanzberichte'!$BJ$39,'III. Finanzberichte'!$BQ$39,'III. Finanzberichte'!$BX$39,'III. Finanzberichte'!$CE$39,'III. Finanzberichte'!$CL$39,'III. Finanzberichte'!$CS$39,'III. Finanzberichte'!$CZ$39,'III. Finanzberichte'!$DG$39,'III. Finanzberichte'!$DN$39,'III. Finanzberichte'!$DU$39),"")</f>
        <v/>
      </c>
    </row>
    <row r="114">
      <c r="L114" s="108" t="str">
        <f>IFERROR(CHOOSE(E81,'III. Finanzberichte'!$B$40,'III. Finanzberichte'!$I$40,'III. Finanzberichte'!$P$40,'III. Finanzberichte'!$W$40,'III. Finanzberichte'!$AD$40,'III. Finanzberichte'!$AK$40,'III. Finanzberichte'!$AR$40,'III. Finanzberichte'!$AY$40,'III. Finanzberichte'!$BF$40,'III. Finanzberichte'!$BM$40,'III. Finanzberichte'!$BT$40,'III. Finanzberichte'!$CA$40,'III. Finanzberichte'!$CH$40,'III. Finanzberichte'!$CO$40,'III. Finanzberichte'!$CV$40,'III. Finanzberichte'!$DC$40,'III. Finanzberichte'!$DJ$40,'III. Finanzberichte'!$DQ$40),"")</f>
        <v/>
      </c>
      <c r="M114" s="109" t="str">
        <f>IFERROR(CHOOSE(E81,'III. Finanzberichte'!$C$40,'III. Finanzberichte'!$J$40,'III. Finanzberichte'!$Q$40,'III. Finanzberichte'!$X$40,'III. Finanzberichte'!$AE$40,'III. Finanzberichte'!$AL$40,'III. Finanzberichte'!$AS$40,'III. Finanzberichte'!$AZ$40,'III. Finanzberichte'!$BG$40,'III. Finanzberichte'!$BN$40,'III. Finanzberichte'!$BU$40,'III. Finanzberichte'!$CB$40,'III. Finanzberichte'!$CI$40,'III. Finanzberichte'!$CP$40,'III. Finanzberichte'!$CW$40,'III. Finanzberichte'!$DD$40,'III. Finanzberichte'!$DK$40,'III. Finanzberichte'!$DR$40),"")</f>
        <v/>
      </c>
      <c r="N114" s="110" t="str">
        <f>IFERROR(CHOOSE(E81,'III. Finanzberichte'!$D$40,'III. Finanzberichte'!$K$40,'III. Finanzberichte'!$R$40,'III. Finanzberichte'!$Y$40,'III. Finanzberichte'!$AF$40,'III. Finanzberichte'!$AM$40,'III. Finanzberichte'!$AT$40,'III. Finanzberichte'!$BA$40,'III. Finanzberichte'!$BH$40,'III. Finanzberichte'!$BO$40,'III. Finanzberichte'!$BV$40,'III. Finanzberichte'!$CC$40,'III. Finanzberichte'!$CJ$40,'III. Finanzberichte'!$CQ$40,'III. Finanzberichte'!$CX$40,'III. Finanzberichte'!$DE$40,'III. Finanzberichte'!$DL$40,'III. Finanzberichte'!$DS$40),"")</f>
        <v/>
      </c>
      <c r="O114" s="109" t="str">
        <f>IFERROR(CHOOSE(E81,'III. Finanzberichte'!$E$40,'III. Finanzberichte'!$L$40,'III. Finanzberichte'!$S$40,'III. Finanzberichte'!$Z$40,'III. Finanzberichte'!$AG$40,'III. Finanzberichte'!$AN$40,'III. Finanzberichte'!$AU$40,'III. Finanzberichte'!$BB$40,'III. Finanzberichte'!$BI$40,'III. Finanzberichte'!$BP$40,'III. Finanzberichte'!$BW$40,'III. Finanzberichte'!$CD$40,'III. Finanzberichte'!$CK$40,'III. Finanzberichte'!$CR$40,'III. Finanzberichte'!$CY$40,'III. Finanzberichte'!$DF$40,'III. Finanzberichte'!$DM$40,'III. Finanzberichte'!$DT$40),"")</f>
        <v/>
      </c>
      <c r="P114" s="111" t="str">
        <f>IFERROR(CHOOSE(E81,'III. Finanzberichte'!$F$40,'III. Finanzberichte'!$M$40,'III. Finanzberichte'!$T$40,'III. Finanzberichte'!$AA$40,'III. Finanzberichte'!$AH$40,'III. Finanzberichte'!$AO$40,'III. Finanzberichte'!$AV$40,'III. Finanzberichte'!$BC$40,'III. Finanzberichte'!$BJ$40,'III. Finanzberichte'!$BQ$40,'III. Finanzberichte'!$BX$40,'III. Finanzberichte'!$CE$40,'III. Finanzberichte'!$CL$40,'III. Finanzberichte'!$CS$40,'III. Finanzberichte'!$CZ$40,'III. Finanzberichte'!$DG$40,'III. Finanzberichte'!$DN$40,'III. Finanzberichte'!$DU$40),"")</f>
        <v/>
      </c>
    </row>
    <row r="115">
      <c r="L115" s="108" t="str">
        <f>IFERROR(CHOOSE(E81,'III. Finanzberichte'!$B$41,'III. Finanzberichte'!$I$41,'III. Finanzberichte'!$P$41,'III. Finanzberichte'!$W$41,'III. Finanzberichte'!$AD$41,'III. Finanzberichte'!$AK$41,'III. Finanzberichte'!$AR$41,'III. Finanzberichte'!$AY$41,'III. Finanzberichte'!$BF$41,'III. Finanzberichte'!$BM$41,'III. Finanzberichte'!$BT$41,'III. Finanzberichte'!$CA$41,'III. Finanzberichte'!$CH$41,'III. Finanzberichte'!$CO$41,'III. Finanzberichte'!$CV$41,'III. Finanzberichte'!$DC$41,'III. Finanzberichte'!$DJ$41,'III. Finanzberichte'!$DQ$41),"")</f>
        <v/>
      </c>
      <c r="M115" s="109" t="str">
        <f>IFERROR(CHOOSE(E81,'III. Finanzberichte'!$C$41,'III. Finanzberichte'!$J$41,'III. Finanzberichte'!$Q$41,'III. Finanzberichte'!$X$41,'III. Finanzberichte'!$AE$41,'III. Finanzberichte'!$AL$41,'III. Finanzberichte'!$AS$41,'III. Finanzberichte'!$AZ$41,'III. Finanzberichte'!$BG$41,'III. Finanzberichte'!$BN$41,'III. Finanzberichte'!$BU$41,'III. Finanzberichte'!$CB$41,'III. Finanzberichte'!$CI$41,'III. Finanzberichte'!$CP$41,'III. Finanzberichte'!$CW$41,'III. Finanzberichte'!$DD$41,'III. Finanzberichte'!$DK$41,'III. Finanzberichte'!$DR$41),"")</f>
        <v/>
      </c>
      <c r="N115" s="110" t="str">
        <f>IFERROR(CHOOSE(E81,'III. Finanzberichte'!$D$41,'III. Finanzberichte'!$K$41,'III. Finanzberichte'!$R$41,'III. Finanzberichte'!$Y$41,'III. Finanzberichte'!$AF$41,'III. Finanzberichte'!$AM$41,'III. Finanzberichte'!$AT$41,'III. Finanzberichte'!$BA$41,'III. Finanzberichte'!$BH$41,'III. Finanzberichte'!$BO$41,'III. Finanzberichte'!$BV$41,'III. Finanzberichte'!$CC$41,'III. Finanzberichte'!$CJ$41,'III. Finanzberichte'!$CQ$41,'III. Finanzberichte'!$CX$41,'III. Finanzberichte'!$DE$41,'III. Finanzberichte'!$DL$41,'III. Finanzberichte'!$DS$41),"")</f>
        <v/>
      </c>
      <c r="O115" s="109" t="str">
        <f>IFERROR(CHOOSE(E81,'III. Finanzberichte'!$E$41,'III. Finanzberichte'!$L$41,'III. Finanzberichte'!$S$41,'III. Finanzberichte'!$Z$41,'III. Finanzberichte'!$AG$41,'III. Finanzberichte'!$AN$41,'III. Finanzberichte'!$AU$41,'III. Finanzberichte'!$BB$41,'III. Finanzberichte'!$BI$41,'III. Finanzberichte'!$BP$41,'III. Finanzberichte'!$BW$41,'III. Finanzberichte'!$CD$41,'III. Finanzberichte'!$CK$41,'III. Finanzberichte'!$CR$41,'III. Finanzberichte'!$CY$41,'III. Finanzberichte'!$DF$41,'III. Finanzberichte'!$DM$41,'III. Finanzberichte'!$DT$41),"")</f>
        <v/>
      </c>
      <c r="P115" s="111" t="str">
        <f>IFERROR(CHOOSE(E81,'III. Finanzberichte'!$F$41,'III. Finanzberichte'!$M$41,'III. Finanzberichte'!$T$41,'III. Finanzberichte'!$AA$41,'III. Finanzberichte'!$AH$41,'III. Finanzberichte'!$AO$41,'III. Finanzberichte'!$AV$41,'III. Finanzberichte'!$BC$41,'III. Finanzberichte'!$BJ$41,'III. Finanzberichte'!$BQ$41,'III. Finanzberichte'!$BX$41,'III. Finanzberichte'!$CE$41,'III. Finanzberichte'!$CL$41,'III. Finanzberichte'!$CS$41,'III. Finanzberichte'!$CZ$41,'III. Finanzberichte'!$DG$41,'III. Finanzberichte'!$DN$41,'III. Finanzberichte'!$DU$41),"")</f>
        <v/>
      </c>
    </row>
    <row r="116">
      <c r="L116" s="108" t="str">
        <f>IFERROR(CHOOSE(E81,'III. Finanzberichte'!$B$42,'III. Finanzberichte'!$I$42,'III. Finanzberichte'!$P$42,'III. Finanzberichte'!$W$42,'III. Finanzberichte'!$AD$42,'III. Finanzberichte'!$AK$42,'III. Finanzberichte'!$AR$42,'III. Finanzberichte'!$AY$42,'III. Finanzberichte'!$BF$42,'III. Finanzberichte'!$BM$42,'III. Finanzberichte'!$BT$42,'III. Finanzberichte'!$CA$42,'III. Finanzberichte'!$CH$42,'III. Finanzberichte'!$CO$42,'III. Finanzberichte'!$CV$42,'III. Finanzberichte'!$DC$42,'III. Finanzberichte'!$DJ$42,'III. Finanzberichte'!$DQ$42),"")</f>
        <v/>
      </c>
      <c r="M116" s="109" t="str">
        <f>IFERROR(CHOOSE(E81,'III. Finanzberichte'!$C$42,'III. Finanzberichte'!$J$42,'III. Finanzberichte'!$Q$42,'III. Finanzberichte'!$X$42,'III. Finanzberichte'!$AE$42,'III. Finanzberichte'!$AL$42,'III. Finanzberichte'!$AS$42,'III. Finanzberichte'!$AZ$42,'III. Finanzberichte'!$BG$42,'III. Finanzberichte'!$BN$42,'III. Finanzberichte'!$BU$42,'III. Finanzberichte'!$CB$42,'III. Finanzberichte'!$CI$42,'III. Finanzberichte'!$CP$42,'III. Finanzberichte'!$CW$42,'III. Finanzberichte'!$DD$42,'III. Finanzberichte'!$DK$42,'III. Finanzberichte'!$DR$42),"")</f>
        <v/>
      </c>
      <c r="N116" s="110" t="str">
        <f>IFERROR(CHOOSE(E81,'III. Finanzberichte'!$D$42,'III. Finanzberichte'!$K$42,'III. Finanzberichte'!$R$42,'III. Finanzberichte'!$Y$42,'III. Finanzberichte'!$AF$42,'III. Finanzberichte'!$AM$42,'III. Finanzberichte'!$AT$42,'III. Finanzberichte'!$BA$42,'III. Finanzberichte'!$BH$42,'III. Finanzberichte'!$BO$42,'III. Finanzberichte'!$BV$42,'III. Finanzberichte'!$CC$42,'III. Finanzberichte'!$CJ$42,'III. Finanzberichte'!$CQ$42,'III. Finanzberichte'!$CX$42,'III. Finanzberichte'!$DE$42,'III. Finanzberichte'!$DL$42,'III. Finanzberichte'!$DS$42),"")</f>
        <v/>
      </c>
      <c r="O116" s="109" t="str">
        <f>IFERROR(CHOOSE(E81,'III. Finanzberichte'!$E$42,'III. Finanzberichte'!$L$42,'III. Finanzberichte'!$S$42,'III. Finanzberichte'!$Z$42,'III. Finanzberichte'!$AG$42,'III. Finanzberichte'!$AN$42,'III. Finanzberichte'!$AU$42,'III. Finanzberichte'!$BB$42,'III. Finanzberichte'!$BI$42,'III. Finanzberichte'!$BP$42,'III. Finanzberichte'!$BW$42,'III. Finanzberichte'!$CD$42,'III. Finanzberichte'!$CK$42,'III. Finanzberichte'!$CR$42,'III. Finanzberichte'!$CY$42,'III. Finanzberichte'!$DF$42,'III. Finanzberichte'!$DM$42,'III. Finanzberichte'!$DT$42),"")</f>
        <v/>
      </c>
      <c r="P116" s="111" t="str">
        <f>IFERROR(CHOOSE(E81,'III. Finanzberichte'!$F$42,'III. Finanzberichte'!$M$42,'III. Finanzberichte'!$T$42,'III. Finanzberichte'!$AA$42,'III. Finanzberichte'!$AH$42,'III. Finanzberichte'!$AO$42,'III. Finanzberichte'!$AV$42,'III. Finanzberichte'!$BC$42,'III. Finanzberichte'!$BJ$42,'III. Finanzberichte'!$BQ$42,'III. Finanzberichte'!$BX$42,'III. Finanzberichte'!$CE$42,'III. Finanzberichte'!$CL$42,'III. Finanzberichte'!$CS$42,'III. Finanzberichte'!$CZ$42,'III. Finanzberichte'!$DG$42,'III. Finanzberichte'!$DN$42,'III. Finanzberichte'!$DU$42),"")</f>
        <v/>
      </c>
    </row>
    <row r="117">
      <c r="L117" s="108" t="str">
        <f>IFERROR(CHOOSE(E81,'III. Finanzberichte'!$B$43,'III. Finanzberichte'!$I$43,'III. Finanzberichte'!$P$43,'III. Finanzberichte'!$W$43,'III. Finanzberichte'!$AD$43,'III. Finanzberichte'!$AK$43,'III. Finanzberichte'!$AR$43,'III. Finanzberichte'!$AY$43,'III. Finanzberichte'!$BF$43,'III. Finanzberichte'!$BM$43,'III. Finanzberichte'!$BT$43,'III. Finanzberichte'!$CA$43,'III. Finanzberichte'!$CH$43,'III. Finanzberichte'!$CO$43,'III. Finanzberichte'!$CV$43,'III. Finanzberichte'!$DC$43,'III. Finanzberichte'!$DJ$43,'III. Finanzberichte'!$DQ$43),"")</f>
        <v/>
      </c>
      <c r="M117" s="109" t="str">
        <f>IFERROR(CHOOSE(E81,'III. Finanzberichte'!$C$43,'III. Finanzberichte'!$J$43,'III. Finanzberichte'!$Q$43,'III. Finanzberichte'!$X$43,'III. Finanzberichte'!$AE$43,'III. Finanzberichte'!$AL$43,'III. Finanzberichte'!$AS$43,'III. Finanzberichte'!$AZ$43,'III. Finanzberichte'!$BG$43,'III. Finanzberichte'!$BN$43,'III. Finanzberichte'!$BU$43,'III. Finanzberichte'!$CB$43,'III. Finanzberichte'!$CI$43,'III. Finanzberichte'!$CP$43,'III. Finanzberichte'!$CW$43,'III. Finanzberichte'!$DD$43,'III. Finanzberichte'!$DK$43,'III. Finanzberichte'!$DR$43),"")</f>
        <v/>
      </c>
      <c r="N117" s="110" t="str">
        <f>IFERROR(CHOOSE(E81,'III. Finanzberichte'!$D$43,'III. Finanzberichte'!$K$43,'III. Finanzberichte'!$R$43,'III. Finanzberichte'!$Y$43,'III. Finanzberichte'!$AF$43,'III. Finanzberichte'!$AM$43,'III. Finanzberichte'!$AT$43,'III. Finanzberichte'!$BA$43,'III. Finanzberichte'!$BH$43,'III. Finanzberichte'!$BO$43,'III. Finanzberichte'!$BV$43,'III. Finanzberichte'!$CC$43,'III. Finanzberichte'!$CJ$43,'III. Finanzberichte'!$CQ$43,'III. Finanzberichte'!$CX$43,'III. Finanzberichte'!$DE$43,'III. Finanzberichte'!$DL$43,'III. Finanzberichte'!$DS$43),"")</f>
        <v/>
      </c>
      <c r="O117" s="109" t="str">
        <f>IFERROR(CHOOSE(E81,'III. Finanzberichte'!$E$43,'III. Finanzberichte'!$L$43,'III. Finanzberichte'!$S$43,'III. Finanzberichte'!$Z$43,'III. Finanzberichte'!$AG$43,'III. Finanzberichte'!$AN$43,'III. Finanzberichte'!$AU$43,'III. Finanzberichte'!$BB$43,'III. Finanzberichte'!$BI$43,'III. Finanzberichte'!$BP$43,'III. Finanzberichte'!$BW$43,'III. Finanzberichte'!$CD$43,'III. Finanzberichte'!$CK$43,'III. Finanzberichte'!$CR$43,'III. Finanzberichte'!$CY$43,'III. Finanzberichte'!$DF$43,'III. Finanzberichte'!$DM$43,'III. Finanzberichte'!$DT$43),"")</f>
        <v/>
      </c>
      <c r="P117" s="111" t="str">
        <f>IFERROR(CHOOSE(E81,'III. Finanzberichte'!$F$43,'III. Finanzberichte'!$M$43,'III. Finanzberichte'!$T$43,'III. Finanzberichte'!$AA$43,'III. Finanzberichte'!$AH$43,'III. Finanzberichte'!$AO$43,'III. Finanzberichte'!$AV$43,'III. Finanzberichte'!$BC$43,'III. Finanzberichte'!$BJ$43,'III. Finanzberichte'!$BQ$43,'III. Finanzberichte'!$BX$43,'III. Finanzberichte'!$CE$43,'III. Finanzberichte'!$CL$43,'III. Finanzberichte'!$CS$43,'III. Finanzberichte'!$CZ$43,'III. Finanzberichte'!$DG$43,'III. Finanzberichte'!$DN$43,'III. Finanzberichte'!$DU$43),"")</f>
        <v/>
      </c>
    </row>
    <row r="118">
      <c r="L118" s="108" t="str">
        <f>IFERROR(CHOOSE(E81,'III. Finanzberichte'!$B$44,'III. Finanzberichte'!$I$44,'III. Finanzberichte'!$P$44,'III. Finanzberichte'!$W$44,'III. Finanzberichte'!$AD$44,'III. Finanzberichte'!$AK$44,'III. Finanzberichte'!$AR$44,'III. Finanzberichte'!$AY$44,'III. Finanzberichte'!$BF$44,'III. Finanzberichte'!$BM$44,'III. Finanzberichte'!$BT$44,'III. Finanzberichte'!$CA$44,'III. Finanzberichte'!$CH$44,'III. Finanzberichte'!$CO$44,'III. Finanzberichte'!$CV$44,'III. Finanzberichte'!$DC$44,'III. Finanzberichte'!$DJ$44,'III. Finanzberichte'!$DQ$44),"")</f>
        <v/>
      </c>
      <c r="M118" s="109" t="str">
        <f>IFERROR(CHOOSE(E81,'III. Finanzberichte'!$C$44,'III. Finanzberichte'!$J$44,'III. Finanzberichte'!$Q$44,'III. Finanzberichte'!$X$44,'III. Finanzberichte'!$AE$44,'III. Finanzberichte'!$AL$44,'III. Finanzberichte'!$AS$44,'III. Finanzberichte'!$AZ$44,'III. Finanzberichte'!$BG$44,'III. Finanzberichte'!$BN$44,'III. Finanzberichte'!$BU$44,'III. Finanzberichte'!$CB$44,'III. Finanzberichte'!$CI$44,'III. Finanzberichte'!$CP$44,'III. Finanzberichte'!$CW$44,'III. Finanzberichte'!$DD$44,'III. Finanzberichte'!$DK$44,'III. Finanzberichte'!$DR$44),"")</f>
        <v/>
      </c>
      <c r="N118" s="110" t="str">
        <f>IFERROR(CHOOSE(E81,'III. Finanzberichte'!$D$44,'III. Finanzberichte'!$K$44,'III. Finanzberichte'!$R$44,'III. Finanzberichte'!$Y$44,'III. Finanzberichte'!$AF$44,'III. Finanzberichte'!$AM$44,'III. Finanzberichte'!$AT$44,'III. Finanzberichte'!$BA$44,'III. Finanzberichte'!$BH$44,'III. Finanzberichte'!$BO$44,'III. Finanzberichte'!$BV$44,'III. Finanzberichte'!$CC$44,'III. Finanzberichte'!$CJ$44,'III. Finanzberichte'!$CQ$44,'III. Finanzberichte'!$CX$44,'III. Finanzberichte'!$DE$44,'III. Finanzberichte'!$DL$44,'III. Finanzberichte'!$DS$44),"")</f>
        <v/>
      </c>
      <c r="O118" s="109" t="str">
        <f>IFERROR(CHOOSE(E81,'III. Finanzberichte'!$E$44,'III. Finanzberichte'!$L$44,'III. Finanzberichte'!$S$44,'III. Finanzberichte'!$Z$44,'III. Finanzberichte'!$AG$44,'III. Finanzberichte'!$AN$44,'III. Finanzberichte'!$AU$44,'III. Finanzberichte'!$BB$44,'III. Finanzberichte'!$BI$44,'III. Finanzberichte'!$BP$44,'III. Finanzberichte'!$BW$44,'III. Finanzberichte'!$CD$44,'III. Finanzberichte'!$CK$44,'III. Finanzberichte'!$CR$44,'III. Finanzberichte'!$CY$44,'III. Finanzberichte'!$DF$44,'III. Finanzberichte'!$DM$44,'III. Finanzberichte'!$DT$44),"")</f>
        <v/>
      </c>
      <c r="P118" s="111" t="str">
        <f>IFERROR(CHOOSE(E81,'III. Finanzberichte'!$F$44,'III. Finanzberichte'!$M$44,'III. Finanzberichte'!$T$44,'III. Finanzberichte'!$AA$44,'III. Finanzberichte'!$AH$44,'III. Finanzberichte'!$AO$44,'III. Finanzberichte'!$AV$44,'III. Finanzberichte'!$BC$44,'III. Finanzberichte'!$BJ$44,'III. Finanzberichte'!$BQ$44,'III. Finanzberichte'!$BX$44,'III. Finanzberichte'!$CE$44,'III. Finanzberichte'!$CL$44,'III. Finanzberichte'!$CS$44,'III. Finanzberichte'!$CZ$44,'III. Finanzberichte'!$DG$44,'III. Finanzberichte'!$DN$44,'III. Finanzberichte'!$DU$44),"")</f>
        <v/>
      </c>
    </row>
    <row r="119">
      <c r="L119" s="108" t="str">
        <f>IFERROR(CHOOSE(E81,'III. Finanzberichte'!$B$45,'III. Finanzberichte'!$I$45,'III. Finanzberichte'!$P$45,'III. Finanzberichte'!$W$45,'III. Finanzberichte'!$AD$45,'III. Finanzberichte'!$AK$45,'III. Finanzberichte'!$AR$45,'III. Finanzberichte'!$AY$45,'III. Finanzberichte'!$BF$45,'III. Finanzberichte'!$BM$45,'III. Finanzberichte'!$BT$45,'III. Finanzberichte'!$CA$45,'III. Finanzberichte'!$CH$45,'III. Finanzberichte'!$CO$45,'III. Finanzberichte'!$CV$45,'III. Finanzberichte'!$DC$45,'III. Finanzberichte'!$DJ$45,'III. Finanzberichte'!$DQ$45),"")</f>
        <v/>
      </c>
      <c r="M119" s="109" t="str">
        <f>IFERROR(CHOOSE(E81,'III. Finanzberichte'!$C$45,'III. Finanzberichte'!$J$45,'III. Finanzberichte'!$Q$45,'III. Finanzberichte'!$X$45,'III. Finanzberichte'!$AE$45,'III. Finanzberichte'!$AL$45,'III. Finanzberichte'!$AS$45,'III. Finanzberichte'!$AZ$45,'III. Finanzberichte'!$BG$45,'III. Finanzberichte'!$BN$45,'III. Finanzberichte'!$BU$45,'III. Finanzberichte'!$CB$45,'III. Finanzberichte'!$CI$45,'III. Finanzberichte'!$CP$45,'III. Finanzberichte'!$CW$45,'III. Finanzberichte'!$DD$45,'III. Finanzberichte'!$DK$45,'III. Finanzberichte'!$DR$45),"")</f>
        <v/>
      </c>
      <c r="N119" s="110" t="str">
        <f>IFERROR(CHOOSE(E81,'III. Finanzberichte'!$D$45,'III. Finanzberichte'!$K$45,'III. Finanzberichte'!$R$45,'III. Finanzberichte'!$Y$45,'III. Finanzberichte'!$AF$45,'III. Finanzberichte'!$AM$45,'III. Finanzberichte'!$AT$45,'III. Finanzberichte'!$BA$45,'III. Finanzberichte'!$BH$45,'III. Finanzberichte'!$BO$45,'III. Finanzberichte'!$BV$45,'III. Finanzberichte'!$CC$45,'III. Finanzberichte'!$CJ$45,'III. Finanzberichte'!$CQ$45,'III. Finanzberichte'!$CX$45,'III. Finanzberichte'!$DE$45,'III. Finanzberichte'!$DL$45,'III. Finanzberichte'!$DS$45),"")</f>
        <v/>
      </c>
      <c r="O119" s="109" t="str">
        <f>IFERROR(CHOOSE(E81,'III. Finanzberichte'!$E$45,'III. Finanzberichte'!$L$45,'III. Finanzberichte'!$S$45,'III. Finanzberichte'!$Z$45,'III. Finanzberichte'!$AG$45,'III. Finanzberichte'!$AN$45,'III. Finanzberichte'!$AU$45,'III. Finanzberichte'!$BB$45,'III. Finanzberichte'!$BI$45,'III. Finanzberichte'!$BP$45,'III. Finanzberichte'!$BW$45,'III. Finanzberichte'!$CD$45,'III. Finanzberichte'!$CK$45,'III. Finanzberichte'!$CR$45,'III. Finanzberichte'!$CY$45,'III. Finanzberichte'!$DF$45,'III. Finanzberichte'!$DM$45,'III. Finanzberichte'!$DT$45),"")</f>
        <v/>
      </c>
      <c r="P119" s="111" t="str">
        <f>IFERROR(CHOOSE(E81,'III. Finanzberichte'!$F$45,'III. Finanzberichte'!$M$45,'III. Finanzberichte'!$T$45,'III. Finanzberichte'!$AA$45,'III. Finanzberichte'!$AH$45,'III. Finanzberichte'!$AO$45,'III. Finanzberichte'!$AV$45,'III. Finanzberichte'!$BC$45,'III. Finanzberichte'!$BJ$45,'III. Finanzberichte'!$BQ$45,'III. Finanzberichte'!$BX$45,'III. Finanzberichte'!$CE$45,'III. Finanzberichte'!$CL$45,'III. Finanzberichte'!$CS$45,'III. Finanzberichte'!$CZ$45,'III. Finanzberichte'!$DG$45,'III. Finanzberichte'!$DN$45,'III. Finanzberichte'!$DU$45),"")</f>
        <v/>
      </c>
    </row>
    <row r="120">
      <c r="L120" s="108" t="str">
        <f>IFERROR(CHOOSE(E81,'III. Finanzberichte'!$B$46,'III. Finanzberichte'!$I$46,'III. Finanzberichte'!$P$46,'III. Finanzberichte'!$W$46,'III. Finanzberichte'!$AD$46,'III. Finanzberichte'!$AK$46,'III. Finanzberichte'!$AR$46,'III. Finanzberichte'!$AY$46,'III. Finanzberichte'!$BF$46,'III. Finanzberichte'!$BM$46,'III. Finanzberichte'!$BT$46,'III. Finanzberichte'!$CA$46,'III. Finanzberichte'!$CH$46,'III. Finanzberichte'!$CO$46,'III. Finanzberichte'!$CV$46,'III. Finanzberichte'!$DC$46,'III. Finanzberichte'!$DJ$46,'III. Finanzberichte'!$DQ$46),"")</f>
        <v/>
      </c>
      <c r="M120" s="109" t="str">
        <f>IFERROR(CHOOSE(E81,'III. Finanzberichte'!$C$46,'III. Finanzberichte'!$J$46,'III. Finanzberichte'!$Q$46,'III. Finanzberichte'!$X$46,'III. Finanzberichte'!$AE$46,'III. Finanzberichte'!$AL$46,'III. Finanzberichte'!$AS$46,'III. Finanzberichte'!$AZ$46,'III. Finanzberichte'!$BG$46,'III. Finanzberichte'!$BN$46,'III. Finanzberichte'!$BU$46,'III. Finanzberichte'!$CB$46,'III. Finanzberichte'!$CI$46,'III. Finanzberichte'!$CP$46,'III. Finanzberichte'!$CW$46,'III. Finanzberichte'!$DD$46,'III. Finanzberichte'!$DK$46,'III. Finanzberichte'!$DR$46),"")</f>
        <v/>
      </c>
      <c r="N120" s="110" t="str">
        <f>IFERROR(CHOOSE(E81,'III. Finanzberichte'!$D$46,'III. Finanzberichte'!$K$46,'III. Finanzberichte'!$R$46,'III. Finanzberichte'!$Y$46,'III. Finanzberichte'!$AF$46,'III. Finanzberichte'!$AM$46,'III. Finanzberichte'!$AT$46,'III. Finanzberichte'!$BA$46,'III. Finanzberichte'!$BH$46,'III. Finanzberichte'!$BO$46,'III. Finanzberichte'!$BV$46,'III. Finanzberichte'!$CC$46,'III. Finanzberichte'!$CJ$46,'III. Finanzberichte'!$CQ$46,'III. Finanzberichte'!$CX$46,'III. Finanzberichte'!$DE$46,'III. Finanzberichte'!$DL$46,'III. Finanzberichte'!$DS$46),"")</f>
        <v/>
      </c>
      <c r="O120" s="109" t="str">
        <f>IFERROR(CHOOSE(E81,'III. Finanzberichte'!$E$46,'III. Finanzberichte'!$L$46,'III. Finanzberichte'!$S$46,'III. Finanzberichte'!$Z$46,'III. Finanzberichte'!$AG$46,'III. Finanzberichte'!$AN$46,'III. Finanzberichte'!$AU$46,'III. Finanzberichte'!$BB$46,'III. Finanzberichte'!$BI$46,'III. Finanzberichte'!$BP$46,'III. Finanzberichte'!$BW$46,'III. Finanzberichte'!$CD$46,'III. Finanzberichte'!$CK$46,'III. Finanzberichte'!$CR$46,'III. Finanzberichte'!$CY$46,'III. Finanzberichte'!$DF$46,'III. Finanzberichte'!$DM$46,'III. Finanzberichte'!$DT$46),"")</f>
        <v/>
      </c>
      <c r="P120" s="111" t="str">
        <f>IFERROR(CHOOSE(E81,'III. Finanzberichte'!$F$46,'III. Finanzberichte'!$M$46,'III. Finanzberichte'!$T$46,'III. Finanzberichte'!$AA$46,'III. Finanzberichte'!$AH$46,'III. Finanzberichte'!$AO$46,'III. Finanzberichte'!$AV$46,'III. Finanzberichte'!$BC$46,'III. Finanzberichte'!$BJ$46,'III. Finanzberichte'!$BQ$46,'III. Finanzberichte'!$BX$46,'III. Finanzberichte'!$CE$46,'III. Finanzberichte'!$CL$46,'III. Finanzberichte'!$CS$46,'III. Finanzberichte'!$CZ$46,'III. Finanzberichte'!$DG$46,'III. Finanzberichte'!$DN$46,'III. Finanzberichte'!$DU$46),"")</f>
        <v/>
      </c>
    </row>
    <row r="121">
      <c r="L121" s="108" t="str">
        <f>IFERROR(CHOOSE(E81,'III. Finanzberichte'!$B$47,'III. Finanzberichte'!$I$47,'III. Finanzberichte'!$P$47,'III. Finanzberichte'!$W$47,'III. Finanzberichte'!$AD$47,'III. Finanzberichte'!$AK$47,'III. Finanzberichte'!$AR$47,'III. Finanzberichte'!$AY$47,'III. Finanzberichte'!$BF$47,'III. Finanzberichte'!$BM$47,'III. Finanzberichte'!$BT$47,'III. Finanzberichte'!$CA$47,'III. Finanzberichte'!$CH$47,'III. Finanzberichte'!$CO$47,'III. Finanzberichte'!$CV$47,'III. Finanzberichte'!$DC$47,'III. Finanzberichte'!$DJ$47,'III. Finanzberichte'!$DQ$47),"")</f>
        <v/>
      </c>
      <c r="M121" s="109" t="str">
        <f>IFERROR(CHOOSE(E81,'III. Finanzberichte'!$C$47,'III. Finanzberichte'!$J$47,'III. Finanzberichte'!$Q$47,'III. Finanzberichte'!$X$47,'III. Finanzberichte'!$AE$47,'III. Finanzberichte'!$AL$47,'III. Finanzberichte'!$AS$47,'III. Finanzberichte'!$AZ$47,'III. Finanzberichte'!$BG$47,'III. Finanzberichte'!$BN$47,'III. Finanzberichte'!$BU$47,'III. Finanzberichte'!$CB$47,'III. Finanzberichte'!$CI$47,'III. Finanzberichte'!$CP$47,'III. Finanzberichte'!$CW$47,'III. Finanzberichte'!$DD$47,'III. Finanzberichte'!$DK$47,'III. Finanzberichte'!$DR$47),"")</f>
        <v/>
      </c>
      <c r="N121" s="110" t="str">
        <f>IFERROR(CHOOSE(E81,'III. Finanzberichte'!$D$47,'III. Finanzberichte'!$K$47,'III. Finanzberichte'!$R$47,'III. Finanzberichte'!$Y$47,'III. Finanzberichte'!$AF$47,'III. Finanzberichte'!$AM$47,'III. Finanzberichte'!$AT$47,'III. Finanzberichte'!$BA$47,'III. Finanzberichte'!$BH$47,'III. Finanzberichte'!$BO$47,'III. Finanzberichte'!$BV$47,'III. Finanzberichte'!$CC$47,'III. Finanzberichte'!$CJ$47,'III. Finanzberichte'!$CQ$47,'III. Finanzberichte'!$CX$47,'III. Finanzberichte'!$DE$47,'III. Finanzberichte'!$DL$47,'III. Finanzberichte'!$DS$47),"")</f>
        <v/>
      </c>
      <c r="O121" s="109" t="str">
        <f>IFERROR(CHOOSE(E81,'III. Finanzberichte'!$E$47,'III. Finanzberichte'!$L$47,'III. Finanzberichte'!$S$47,'III. Finanzberichte'!$Z$47,'III. Finanzberichte'!$AG$47,'III. Finanzberichte'!$AN$47,'III. Finanzberichte'!$AU$47,'III. Finanzberichte'!$BB$47,'III. Finanzberichte'!$BI$47,'III. Finanzberichte'!$BP$47,'III. Finanzberichte'!$BW$47,'III. Finanzberichte'!$CD$47,'III. Finanzberichte'!$CK$47,'III. Finanzberichte'!$CR$47,'III. Finanzberichte'!$CY$47,'III. Finanzberichte'!$DF$47,'III. Finanzberichte'!$DM$47,'III. Finanzberichte'!$DT$47),"")</f>
        <v/>
      </c>
      <c r="P121" s="111" t="str">
        <f>IFERROR(CHOOSE(E81,'III. Finanzberichte'!$F$47,'III. Finanzberichte'!$M$47,'III. Finanzberichte'!$T$47,'III. Finanzberichte'!$AA$47,'III. Finanzberichte'!$AH$47,'III. Finanzberichte'!$AO$47,'III. Finanzberichte'!$AV$47,'III. Finanzberichte'!$BC$47,'III. Finanzberichte'!$BJ$47,'III. Finanzberichte'!$BQ$47,'III. Finanzberichte'!$BX$47,'III. Finanzberichte'!$CE$47,'III. Finanzberichte'!$CL$47,'III. Finanzberichte'!$CS$47,'III. Finanzberichte'!$CZ$47,'III. Finanzberichte'!$DG$47,'III. Finanzberichte'!$DN$47,'III. Finanzberichte'!$DU$47),"")</f>
        <v/>
      </c>
    </row>
    <row r="122">
      <c r="L122" s="108" t="str">
        <f>IFERROR(CHOOSE(E81,'III. Finanzberichte'!$B$48,'III. Finanzberichte'!$I$48,'III. Finanzberichte'!$P$48,'III. Finanzberichte'!$W$48,'III. Finanzberichte'!$AD$48,'III. Finanzberichte'!$AK$48,'III. Finanzberichte'!$AR$48,'III. Finanzberichte'!$AY$48,'III. Finanzberichte'!$BF$48,'III. Finanzberichte'!$BM$48,'III. Finanzberichte'!$BT$48,'III. Finanzberichte'!$CA$48,'III. Finanzberichte'!$CH$48,'III. Finanzberichte'!$CO$48,'III. Finanzberichte'!$CV$48,'III. Finanzberichte'!$DC$48,'III. Finanzberichte'!$DJ$48,'III. Finanzberichte'!$DQ$48),"")</f>
        <v/>
      </c>
      <c r="M122" s="109" t="str">
        <f>IFERROR(CHOOSE(E81,'III. Finanzberichte'!$C$48,'III. Finanzberichte'!$J$48,'III. Finanzberichte'!$Q$48,'III. Finanzberichte'!$X$48,'III. Finanzberichte'!$AE$48,'III. Finanzberichte'!$AL$48,'III. Finanzberichte'!$AS$48,'III. Finanzberichte'!$AZ$48,'III. Finanzberichte'!$BG$48,'III. Finanzberichte'!$BN$48,'III. Finanzberichte'!$BU$48,'III. Finanzberichte'!$CB$48,'III. Finanzberichte'!$CI$48,'III. Finanzberichte'!$CP$48,'III. Finanzberichte'!$CW$48,'III. Finanzberichte'!$DD$48,'III. Finanzberichte'!$DK$48,'III. Finanzberichte'!$DR$48),"")</f>
        <v/>
      </c>
      <c r="N122" s="110" t="str">
        <f>IFERROR(CHOOSE(E81,'III. Finanzberichte'!$D$48,'III. Finanzberichte'!$K$48,'III. Finanzberichte'!$R$48,'III. Finanzberichte'!$Y$48,'III. Finanzberichte'!$AF$48,'III. Finanzberichte'!$AM$48,'III. Finanzberichte'!$AT$48,'III. Finanzberichte'!$BA$48,'III. Finanzberichte'!$BH$48,'III. Finanzberichte'!$BO$48,'III. Finanzberichte'!$BV$48,'III. Finanzberichte'!$CC$48,'III. Finanzberichte'!$CJ$48,'III. Finanzberichte'!$CQ$48,'III. Finanzberichte'!$CX$48,'III. Finanzberichte'!$DE$48,'III. Finanzberichte'!$DL$48,'III. Finanzberichte'!$DS$48),"")</f>
        <v/>
      </c>
      <c r="O122" s="109" t="str">
        <f>IFERROR(CHOOSE(E81,'III. Finanzberichte'!$E$48,'III. Finanzberichte'!$L$48,'III. Finanzberichte'!$S$48,'III. Finanzberichte'!$Z$48,'III. Finanzberichte'!$AG$48,'III. Finanzberichte'!$AN$48,'III. Finanzberichte'!$AU$48,'III. Finanzberichte'!$BB$48,'III. Finanzberichte'!$BI$48,'III. Finanzberichte'!$BP$48,'III. Finanzberichte'!$BW$48,'III. Finanzberichte'!$CD$48,'III. Finanzberichte'!$CK$48,'III. Finanzberichte'!$CR$48,'III. Finanzberichte'!$CY$48,'III. Finanzberichte'!$DF$48,'III. Finanzberichte'!$DM$48,'III. Finanzberichte'!$DT$48),"")</f>
        <v/>
      </c>
      <c r="P122" s="111" t="str">
        <f>IFERROR(CHOOSE(E81,'III. Finanzberichte'!$F$48,'III. Finanzberichte'!$M$48,'III. Finanzberichte'!$T$48,'III. Finanzberichte'!$AA$48,'III. Finanzberichte'!$AH$48,'III. Finanzberichte'!$AO$48,'III. Finanzberichte'!$AV$48,'III. Finanzberichte'!$BC$48,'III. Finanzberichte'!$BJ$48,'III. Finanzberichte'!$BQ$48,'III. Finanzberichte'!$BX$48,'III. Finanzberichte'!$CE$48,'III. Finanzberichte'!$CL$48,'III. Finanzberichte'!$CS$48,'III. Finanzberichte'!$CZ$48,'III. Finanzberichte'!$DG$48,'III. Finanzberichte'!$DN$48,'III. Finanzberichte'!$DU$48),"")</f>
        <v/>
      </c>
    </row>
    <row r="123">
      <c r="L123" s="108" t="str">
        <f>IFERROR(CHOOSE(E81,'III. Finanzberichte'!$B$49,'III. Finanzberichte'!$I$49,'III. Finanzberichte'!$P$49,'III. Finanzberichte'!$W$49,'III. Finanzberichte'!$AD$49,'III. Finanzberichte'!$AK$49,'III. Finanzberichte'!$AR$49,'III. Finanzberichte'!$AY$49,'III. Finanzberichte'!$BF$49,'III. Finanzberichte'!$BM$49,'III. Finanzberichte'!$BT$49,'III. Finanzberichte'!$CA$49,'III. Finanzberichte'!$CH$49,'III. Finanzberichte'!$CO$49,'III. Finanzberichte'!$CV$49,'III. Finanzberichte'!$DC$49,'III. Finanzberichte'!$DJ$49,'III. Finanzberichte'!$DQ$49),"")</f>
        <v/>
      </c>
      <c r="M123" s="109" t="str">
        <f>IFERROR(CHOOSE(E81,'III. Finanzberichte'!$C$49,'III. Finanzberichte'!$J$49,'III. Finanzberichte'!$Q$49,'III. Finanzberichte'!$X$49,'III. Finanzberichte'!$AE$49,'III. Finanzberichte'!$AL$49,'III. Finanzberichte'!$AS$49,'III. Finanzberichte'!$AZ$49,'III. Finanzberichte'!$BG$49,'III. Finanzberichte'!$BN$49,'III. Finanzberichte'!$BU$49,'III. Finanzberichte'!$CB$49,'III. Finanzberichte'!$CI$49,'III. Finanzberichte'!$CP$49,'III. Finanzberichte'!$CW$49,'III. Finanzberichte'!$DD$49,'III. Finanzberichte'!$DK$49,'III. Finanzberichte'!$DR$49),"")</f>
        <v/>
      </c>
      <c r="N123" s="110" t="str">
        <f>IFERROR(CHOOSE(E81,'III. Finanzberichte'!$D$49,'III. Finanzberichte'!$K$49,'III. Finanzberichte'!$R$49,'III. Finanzberichte'!$Y$49,'III. Finanzberichte'!$AF$49,'III. Finanzberichte'!$AM$49,'III. Finanzberichte'!$AT$49,'III. Finanzberichte'!$BA$49,'III. Finanzberichte'!$BH$49,'III. Finanzberichte'!$BO$49,'III. Finanzberichte'!$BV$49,'III. Finanzberichte'!$CC$49,'III. Finanzberichte'!$CJ$49,'III. Finanzberichte'!$CQ$49,'III. Finanzberichte'!$CX$49,'III. Finanzberichte'!$DE$49,'III. Finanzberichte'!$DL$49,'III. Finanzberichte'!$DS$49),"")</f>
        <v/>
      </c>
      <c r="O123" s="109" t="str">
        <f>IFERROR(CHOOSE(E81,'III. Finanzberichte'!$E$49,'III. Finanzberichte'!$L$49,'III. Finanzberichte'!$S$49,'III. Finanzberichte'!$Z$49,'III. Finanzberichte'!$AG$49,'III. Finanzberichte'!$AN$49,'III. Finanzberichte'!$AU$49,'III. Finanzberichte'!$BB$49,'III. Finanzberichte'!$BI$49,'III. Finanzberichte'!$BP$49,'III. Finanzberichte'!$BW$49,'III. Finanzberichte'!$CD$49,'III. Finanzberichte'!$CK$49,'III. Finanzberichte'!$CR$49,'III. Finanzberichte'!$CY$49,'III. Finanzberichte'!$DF$49,'III. Finanzberichte'!$DM$49,'III. Finanzberichte'!$DT$49),"")</f>
        <v/>
      </c>
      <c r="P123" s="111" t="str">
        <f>IFERROR(CHOOSE(E81,'III. Finanzberichte'!$F$49,'III. Finanzberichte'!$M$49,'III. Finanzberichte'!$T$49,'III. Finanzberichte'!$AA$49,'III. Finanzberichte'!$AH$49,'III. Finanzberichte'!$AO$49,'III. Finanzberichte'!$AV$49,'III. Finanzberichte'!$BC$49,'III. Finanzberichte'!$BJ$49,'III. Finanzberichte'!$BQ$49,'III. Finanzberichte'!$BX$49,'III. Finanzberichte'!$CE$49,'III. Finanzberichte'!$CL$49,'III. Finanzberichte'!$CS$49,'III. Finanzberichte'!$CZ$49,'III. Finanzberichte'!$DG$49,'III. Finanzberichte'!$DN$49,'III. Finanzberichte'!$DU$49),"")</f>
        <v/>
      </c>
    </row>
    <row r="124">
      <c r="L124" s="108" t="str">
        <f>IFERROR(CHOOSE(E81,'III. Finanzberichte'!$B$50,'III. Finanzberichte'!$I$50,'III. Finanzberichte'!$P$50,'III. Finanzberichte'!$W$50,'III. Finanzberichte'!$AD$50,'III. Finanzberichte'!$AK$50,'III. Finanzberichte'!$AR$50,'III. Finanzberichte'!$AY$50,'III. Finanzberichte'!$BF$50,'III. Finanzberichte'!$BM$50,'III. Finanzberichte'!$BT$50,'III. Finanzberichte'!$CA$50,'III. Finanzberichte'!$CH$50,'III. Finanzberichte'!$CO$50,'III. Finanzberichte'!$CV$50,'III. Finanzberichte'!$DC$50,'III. Finanzberichte'!$DJ$50,'III. Finanzberichte'!$DQ$50),"")</f>
        <v/>
      </c>
      <c r="M124" s="109" t="str">
        <f>IFERROR(CHOOSE(E81,'III. Finanzberichte'!$C$50,'III. Finanzberichte'!$J$50,'III. Finanzberichte'!$Q$50,'III. Finanzberichte'!$X$50,'III. Finanzberichte'!$AE$50,'III. Finanzberichte'!$AL$50,'III. Finanzberichte'!$AS$50,'III. Finanzberichte'!$AZ$50,'III. Finanzberichte'!$BG$50,'III. Finanzberichte'!$BN$50,'III. Finanzberichte'!$BU$50,'III. Finanzberichte'!$CB$50,'III. Finanzberichte'!$CI$50,'III. Finanzberichte'!$CP$50,'III. Finanzberichte'!$CW$50,'III. Finanzberichte'!$DD$50,'III. Finanzberichte'!$DK$50,'III. Finanzberichte'!$DR$50),"")</f>
        <v/>
      </c>
      <c r="N124" s="110" t="str">
        <f>IFERROR(CHOOSE(E81,'III. Finanzberichte'!$D$50,'III. Finanzberichte'!$K$50,'III. Finanzberichte'!$R$50,'III. Finanzberichte'!$Y$50,'III. Finanzberichte'!$AF$50,'III. Finanzberichte'!$AM$50,'III. Finanzberichte'!$AT$50,'III. Finanzberichte'!$BA$50,'III. Finanzberichte'!$BH$50,'III. Finanzberichte'!$BO$50,'III. Finanzberichte'!$BV$50,'III. Finanzberichte'!$CC$50,'III. Finanzberichte'!$CJ$50,'III. Finanzberichte'!$CQ$50,'III. Finanzberichte'!$CX$50,'III. Finanzberichte'!$DE$50,'III. Finanzberichte'!$DL$50,'III. Finanzberichte'!$DS$50),"")</f>
        <v/>
      </c>
      <c r="O124" s="109" t="str">
        <f>IFERROR(CHOOSE(E81,'III. Finanzberichte'!$E$50,'III. Finanzberichte'!$L$50,'III. Finanzberichte'!$S$50,'III. Finanzberichte'!$Z$50,'III. Finanzberichte'!$AG$50,'III. Finanzberichte'!$AN$50,'III. Finanzberichte'!$AU$50,'III. Finanzberichte'!$BB$50,'III. Finanzberichte'!$BI$50,'III. Finanzberichte'!$BP$50,'III. Finanzberichte'!$BW$50,'III. Finanzberichte'!$CD$50,'III. Finanzberichte'!$CK$50,'III. Finanzberichte'!$CR$50,'III. Finanzberichte'!$CY$50,'III. Finanzberichte'!$DF$50,'III. Finanzberichte'!$DM$50,'III. Finanzberichte'!$DT$50),"")</f>
        <v/>
      </c>
      <c r="P124" s="111" t="str">
        <f>IFERROR(CHOOSE(E81,'III. Finanzberichte'!$F$50,'III. Finanzberichte'!$M$50,'III. Finanzberichte'!$T$50,'III. Finanzberichte'!$AA$50,'III. Finanzberichte'!$AH$50,'III. Finanzberichte'!$AO$50,'III. Finanzberichte'!$AV$50,'III. Finanzberichte'!$BC$50,'III. Finanzberichte'!$BJ$50,'III. Finanzberichte'!$BQ$50,'III. Finanzberichte'!$BX$50,'III. Finanzberichte'!$CE$50,'III. Finanzberichte'!$CL$50,'III. Finanzberichte'!$CS$50,'III. Finanzberichte'!$CZ$50,'III. Finanzberichte'!$DG$50,'III. Finanzberichte'!$DN$50,'III. Finanzberichte'!$DU$50),"")</f>
        <v/>
      </c>
    </row>
    <row r="125">
      <c r="L125" s="108" t="str">
        <f>IFERROR(CHOOSE(E81,'III. Finanzberichte'!$B$51,'III. Finanzberichte'!$I$51,'III. Finanzberichte'!$P$51,'III. Finanzberichte'!$W$51,'III. Finanzberichte'!$AD$51,'III. Finanzberichte'!$AK$51,'III. Finanzberichte'!$AR$51,'III. Finanzberichte'!$AY$51,'III. Finanzberichte'!$BF$51,'III. Finanzberichte'!$BM$51,'III. Finanzberichte'!$BT$51,'III. Finanzberichte'!$CA$51,'III. Finanzberichte'!$CH$51,'III. Finanzberichte'!$CO$51,'III. Finanzberichte'!$CV$51,'III. Finanzberichte'!$DC$51,'III. Finanzberichte'!$DJ$51,'III. Finanzberichte'!$DQ$51),"")</f>
        <v/>
      </c>
      <c r="M125" s="109" t="str">
        <f>IFERROR(CHOOSE(E81,'III. Finanzberichte'!$C$51,'III. Finanzberichte'!$J$51,'III. Finanzberichte'!$Q$51,'III. Finanzberichte'!$X$51,'III. Finanzberichte'!$AE$51,'III. Finanzberichte'!$AL$51,'III. Finanzberichte'!$AS$51,'III. Finanzberichte'!$AZ$51,'III. Finanzberichte'!$BG$51,'III. Finanzberichte'!$BN$51,'III. Finanzberichte'!$BU$51,'III. Finanzberichte'!$CB$51,'III. Finanzberichte'!$CI$51,'III. Finanzberichte'!$CP$51,'III. Finanzberichte'!$CW$51,'III. Finanzberichte'!$DD$51,'III. Finanzberichte'!$DK$51,'III. Finanzberichte'!$DR$51),"")</f>
        <v/>
      </c>
      <c r="N125" s="110" t="str">
        <f>IFERROR(CHOOSE(E81,'III. Finanzberichte'!$D$51,'III. Finanzberichte'!$K$51,'III. Finanzberichte'!$R$51,'III. Finanzberichte'!$Y$51,'III. Finanzberichte'!$AF$51,'III. Finanzberichte'!$AM$51,'III. Finanzberichte'!$AT$51,'III. Finanzberichte'!$BA$51,'III. Finanzberichte'!$BH$51,'III. Finanzberichte'!$BO$51,'III. Finanzberichte'!$BV$51,'III. Finanzberichte'!$CC$51,'III. Finanzberichte'!$CJ$51,'III. Finanzberichte'!$CQ$51,'III. Finanzberichte'!$CX$51,'III. Finanzberichte'!$DE$51,'III. Finanzberichte'!$DL$51,'III. Finanzberichte'!$DS$51),"")</f>
        <v/>
      </c>
      <c r="O125" s="109" t="str">
        <f>IFERROR(CHOOSE(E81,'III. Finanzberichte'!$E$51,'III. Finanzberichte'!$L$51,'III. Finanzberichte'!$S$51,'III. Finanzberichte'!$Z$51,'III. Finanzberichte'!$AG$51,'III. Finanzberichte'!$AN$51,'III. Finanzberichte'!$AU$51,'III. Finanzberichte'!$BB$51,'III. Finanzberichte'!$BI$51,'III. Finanzberichte'!$BP$51,'III. Finanzberichte'!$BW$51,'III. Finanzberichte'!$CD$51,'III. Finanzberichte'!$CK$51,'III. Finanzberichte'!$CR$51,'III. Finanzberichte'!$CY$51,'III. Finanzberichte'!$DF$51,'III. Finanzberichte'!$DM$51,'III. Finanzberichte'!$DT$51),"")</f>
        <v/>
      </c>
      <c r="P125" s="111" t="str">
        <f>IFERROR(CHOOSE(E81,'III. Finanzberichte'!$F$51,'III. Finanzberichte'!$M$51,'III. Finanzberichte'!$T$51,'III. Finanzberichte'!$AA$51,'III. Finanzberichte'!$AH$51,'III. Finanzberichte'!$AO$51,'III. Finanzberichte'!$AV$51,'III. Finanzberichte'!$BC$51,'III. Finanzberichte'!$BJ$51,'III. Finanzberichte'!$BQ$51,'III. Finanzberichte'!$BX$51,'III. Finanzberichte'!$CE$51,'III. Finanzberichte'!$CL$51,'III. Finanzberichte'!$CS$51,'III. Finanzberichte'!$CZ$51,'III. Finanzberichte'!$DG$51,'III. Finanzberichte'!$DN$51,'III. Finanzberichte'!$DU$51),"")</f>
        <v/>
      </c>
    </row>
    <row r="126">
      <c r="L126" s="108" t="str">
        <f>IFERROR(CHOOSE(E81,'III. Finanzberichte'!$B$52,'III. Finanzberichte'!$I$52,'III. Finanzberichte'!$P$52,'III. Finanzberichte'!$W$52,'III. Finanzberichte'!$AD$52,'III. Finanzberichte'!$AK$52,'III. Finanzberichte'!$AR$52,'III. Finanzberichte'!$AY$52,'III. Finanzberichte'!$BF$52,'III. Finanzberichte'!$BM$52,'III. Finanzberichte'!$BT$52,'III. Finanzberichte'!$CA$52,'III. Finanzberichte'!$CH$52,'III. Finanzberichte'!$CO$52,'III. Finanzberichte'!$CV$52,'III. Finanzberichte'!$DC$52,'III. Finanzberichte'!$DJ$52,'III. Finanzberichte'!$DQ$52),"")</f>
        <v/>
      </c>
      <c r="M126" s="109" t="str">
        <f>IFERROR(CHOOSE(E81,'III. Finanzberichte'!$C$52,'III. Finanzberichte'!$J$52,'III. Finanzberichte'!$Q$52,'III. Finanzberichte'!$X$52,'III. Finanzberichte'!$AE$52,'III. Finanzberichte'!$AL$52,'III. Finanzberichte'!$AS$52,'III. Finanzberichte'!$AZ$52,'III. Finanzberichte'!$BG$52,'III. Finanzberichte'!$BN$52,'III. Finanzberichte'!$BU$52,'III. Finanzberichte'!$CB$52,'III. Finanzberichte'!$CI$52,'III. Finanzberichte'!$CP$52,'III. Finanzberichte'!$CW$52,'III. Finanzberichte'!$DD$52,'III. Finanzberichte'!$DK$52,'III. Finanzberichte'!$DR$52),"")</f>
        <v/>
      </c>
      <c r="N126" s="110" t="str">
        <f>IFERROR(CHOOSE(E81,'III. Finanzberichte'!$D$52,'III. Finanzberichte'!$K$52,'III. Finanzberichte'!$R$52,'III. Finanzberichte'!$Y$52,'III. Finanzberichte'!$AF$52,'III. Finanzberichte'!$AM$52,'III. Finanzberichte'!$AT$52,'III. Finanzberichte'!$BA$52,'III. Finanzberichte'!$BH$52,'III. Finanzberichte'!$BO$52,'III. Finanzberichte'!$BV$52,'III. Finanzberichte'!$CC$52,'III. Finanzberichte'!$CJ$52,'III. Finanzberichte'!$CQ$52,'III. Finanzberichte'!$CX$52,'III. Finanzberichte'!$DE$52,'III. Finanzberichte'!$DL$52,'III. Finanzberichte'!$DS$52),"")</f>
        <v/>
      </c>
      <c r="O126" s="109" t="str">
        <f>IFERROR(CHOOSE(E81,'III. Finanzberichte'!$E$52,'III. Finanzberichte'!$L$52,'III. Finanzberichte'!$S$52,'III. Finanzberichte'!$Z$52,'III. Finanzberichte'!$AG$52,'III. Finanzberichte'!$AN$52,'III. Finanzberichte'!$AU$52,'III. Finanzberichte'!$BB$52,'III. Finanzberichte'!$BI$52,'III. Finanzberichte'!$BP$52,'III. Finanzberichte'!$BW$52,'III. Finanzberichte'!$CD$52,'III. Finanzberichte'!$CK$52,'III. Finanzberichte'!$CR$52,'III. Finanzberichte'!$CY$52,'III. Finanzberichte'!$DF$52,'III. Finanzberichte'!$DM$52,'III. Finanzberichte'!$DT$52),"")</f>
        <v/>
      </c>
      <c r="P126" s="111" t="str">
        <f>IFERROR(CHOOSE(E81,'III. Finanzberichte'!$F$52,'III. Finanzberichte'!$M$52,'III. Finanzberichte'!$T$52,'III. Finanzberichte'!$AA$52,'III. Finanzberichte'!$AH$52,'III. Finanzberichte'!$AO$52,'III. Finanzberichte'!$AV$52,'III. Finanzberichte'!$BC$52,'III. Finanzberichte'!$BJ$52,'III. Finanzberichte'!$BQ$52,'III. Finanzberichte'!$BX$52,'III. Finanzberichte'!$CE$52,'III. Finanzberichte'!$CL$52,'III. Finanzberichte'!$CS$52,'III. Finanzberichte'!$CZ$52,'III. Finanzberichte'!$DG$52,'III. Finanzberichte'!$DN$52,'III. Finanzberichte'!$DU$52),"")</f>
        <v/>
      </c>
    </row>
    <row r="127">
      <c r="L127" s="108" t="str">
        <f>IFERROR(CHOOSE(E81,'III. Finanzberichte'!$B$53,'III. Finanzberichte'!$I$53,'III. Finanzberichte'!$P$53,'III. Finanzberichte'!$W$53,'III. Finanzberichte'!$AD$53,'III. Finanzberichte'!$AK$53,'III. Finanzberichte'!$AR$53,'III. Finanzberichte'!$AY$53,'III. Finanzberichte'!$BF$53,'III. Finanzberichte'!$BM$53,'III. Finanzberichte'!$BT$53,'III. Finanzberichte'!$CA$53,'III. Finanzberichte'!$CH$53,'III. Finanzberichte'!$CO$53,'III. Finanzberichte'!$CV$53,'III. Finanzberichte'!$DC$53,'III. Finanzberichte'!$DJ$53,'III. Finanzberichte'!$DQ$53),"")</f>
        <v/>
      </c>
      <c r="M127" s="109" t="str">
        <f>IFERROR(CHOOSE(E81,'III. Finanzberichte'!$C$53,'III. Finanzberichte'!$J$53,'III. Finanzberichte'!$Q$53,'III. Finanzberichte'!$X$53,'III. Finanzberichte'!$AE$53,'III. Finanzberichte'!$AL$53,'III. Finanzberichte'!$AS$53,'III. Finanzberichte'!$AZ$53,'III. Finanzberichte'!$BG$53,'III. Finanzberichte'!$BN$53,'III. Finanzberichte'!$BU$53,'III. Finanzberichte'!$CB$53,'III. Finanzberichte'!$CI$53,'III. Finanzberichte'!$CP$53,'III. Finanzberichte'!$CW$53,'III. Finanzberichte'!$DD$53,'III. Finanzberichte'!$DK$53,'III. Finanzberichte'!$DR$53),"")</f>
        <v/>
      </c>
      <c r="N127" s="110" t="str">
        <f>IFERROR(CHOOSE(E81,'III. Finanzberichte'!$D$53,'III. Finanzberichte'!$K$53,'III. Finanzberichte'!$R$53,'III. Finanzberichte'!$Y$53,'III. Finanzberichte'!$AF$53,'III. Finanzberichte'!$AM$53,'III. Finanzberichte'!$AT$53,'III. Finanzberichte'!$BA$53,'III. Finanzberichte'!$BH$53,'III. Finanzberichte'!$BO$53,'III. Finanzberichte'!$BV$53,'III. Finanzberichte'!$CC$53,'III. Finanzberichte'!$CJ$53,'III. Finanzberichte'!$CQ$53,'III. Finanzberichte'!$CX$53,'III. Finanzberichte'!$DE$53,'III. Finanzberichte'!$DL$53,'III. Finanzberichte'!$DS$53),"")</f>
        <v/>
      </c>
      <c r="O127" s="109" t="str">
        <f>IFERROR(CHOOSE(E81,'III. Finanzberichte'!$E$53,'III. Finanzberichte'!$L$53,'III. Finanzberichte'!$S$53,'III. Finanzberichte'!$Z$53,'III. Finanzberichte'!$AG$53,'III. Finanzberichte'!$AN$53,'III. Finanzberichte'!$AU$53,'III. Finanzberichte'!$BB$53,'III. Finanzberichte'!$BI$53,'III. Finanzberichte'!$BP$53,'III. Finanzberichte'!$BW$53,'III. Finanzberichte'!$CD$53,'III. Finanzberichte'!$CK$53,'III. Finanzberichte'!$CR$53,'III. Finanzberichte'!$CY$53,'III. Finanzberichte'!$DF$53,'III. Finanzberichte'!$DM$53,'III. Finanzberichte'!$DT$53),"")</f>
        <v/>
      </c>
      <c r="P127" s="111" t="str">
        <f>IFERROR(CHOOSE(E81,'III. Finanzberichte'!$F$53,'III. Finanzberichte'!$M$53,'III. Finanzberichte'!$T$53,'III. Finanzberichte'!$AA$53,'III. Finanzberichte'!$AH$53,'III. Finanzberichte'!$AO$53,'III. Finanzberichte'!$AV$53,'III. Finanzberichte'!$BC$53,'III. Finanzberichte'!$BJ$53,'III. Finanzberichte'!$BQ$53,'III. Finanzberichte'!$BX$53,'III. Finanzberichte'!$CE$53,'III. Finanzberichte'!$CL$53,'III. Finanzberichte'!$CS$53,'III. Finanzberichte'!$CZ$53,'III. Finanzberichte'!$DG$53,'III. Finanzberichte'!$DN$53,'III. Finanzberichte'!$DU$53),"")</f>
        <v/>
      </c>
    </row>
    <row r="128">
      <c r="L128" s="108" t="str">
        <f>IFERROR(CHOOSE(E81,'III. Finanzberichte'!$B$54,'III. Finanzberichte'!$I$54,'III. Finanzberichte'!$P$54,'III. Finanzberichte'!$W$54,'III. Finanzberichte'!$AD$54,'III. Finanzberichte'!$AK$54,'III. Finanzberichte'!$AR$54,'III. Finanzberichte'!$AY$54,'III. Finanzberichte'!$BF$54,'III. Finanzberichte'!$BM$54,'III. Finanzberichte'!$BT$54,'III. Finanzberichte'!$CA$54,'III. Finanzberichte'!$CH$54,'III. Finanzberichte'!$CO$54,'III. Finanzberichte'!$CV$54,'III. Finanzberichte'!$DC$54,'III. Finanzberichte'!$DJ$54,'III. Finanzberichte'!$DQ$54),"")</f>
        <v/>
      </c>
      <c r="M128" s="109" t="str">
        <f>IFERROR(CHOOSE(E81,'III. Finanzberichte'!$C$54,'III. Finanzberichte'!$J$54,'III. Finanzberichte'!$Q$54,'III. Finanzberichte'!$X$54,'III. Finanzberichte'!$AE$54,'III. Finanzberichte'!$AL$54,'III. Finanzberichte'!$AS$54,'III. Finanzberichte'!$AZ$54,'III. Finanzberichte'!$BG$54,'III. Finanzberichte'!$BN$54,'III. Finanzberichte'!$BU$54,'III. Finanzberichte'!$CB$54,'III. Finanzberichte'!$CI$54,'III. Finanzberichte'!$CP$54,'III. Finanzberichte'!$CW$54,'III. Finanzberichte'!$DD$54,'III. Finanzberichte'!$DK$54,'III. Finanzberichte'!$DR$54),"")</f>
        <v/>
      </c>
      <c r="N128" s="110" t="str">
        <f>IFERROR(CHOOSE(E81,'III. Finanzberichte'!$D$54,'III. Finanzberichte'!$K$54,'III. Finanzberichte'!$R$54,'III. Finanzberichte'!$Y$54,'III. Finanzberichte'!$AF$54,'III. Finanzberichte'!$AM$54,'III. Finanzberichte'!$AT$54,'III. Finanzberichte'!$BA$54,'III. Finanzberichte'!$BH$54,'III. Finanzberichte'!$BO$54,'III. Finanzberichte'!$BV$54,'III. Finanzberichte'!$CC$54,'III. Finanzberichte'!$CJ$54,'III. Finanzberichte'!$CQ$54,'III. Finanzberichte'!$CX$54,'III. Finanzberichte'!$DE$54,'III. Finanzberichte'!$DL$54,'III. Finanzberichte'!$DS$54),"")</f>
        <v/>
      </c>
      <c r="O128" s="109" t="str">
        <f>IFERROR(CHOOSE(E81,'III. Finanzberichte'!$E$54,'III. Finanzberichte'!$L$54,'III. Finanzberichte'!$S$54,'III. Finanzberichte'!$Z$54,'III. Finanzberichte'!$AG$54,'III. Finanzberichte'!$AN$54,'III. Finanzberichte'!$AU$54,'III. Finanzberichte'!$BB$54,'III. Finanzberichte'!$BI$54,'III. Finanzberichte'!$BP$54,'III. Finanzberichte'!$BW$54,'III. Finanzberichte'!$CD$54,'III. Finanzberichte'!$CK$54,'III. Finanzberichte'!$CR$54,'III. Finanzberichte'!$CY$54,'III. Finanzberichte'!$DF$54,'III. Finanzberichte'!$DM$54,'III. Finanzberichte'!$DT$54),"")</f>
        <v/>
      </c>
      <c r="P128" s="111" t="str">
        <f>IFERROR(CHOOSE(E81,'III. Finanzberichte'!$F$54,'III. Finanzberichte'!$M$54,'III. Finanzberichte'!$T$54,'III. Finanzberichte'!$AA$54,'III. Finanzberichte'!$AH$54,'III. Finanzberichte'!$AO$54,'III. Finanzberichte'!$AV$54,'III. Finanzberichte'!$BC$54,'III. Finanzberichte'!$BJ$54,'III. Finanzberichte'!$BQ$54,'III. Finanzberichte'!$BX$54,'III. Finanzberichte'!$CE$54,'III. Finanzberichte'!$CL$54,'III. Finanzberichte'!$CS$54,'III. Finanzberichte'!$CZ$54,'III. Finanzberichte'!$DG$54,'III. Finanzberichte'!$DN$54,'III. Finanzberichte'!$DU$54),"")</f>
        <v/>
      </c>
    </row>
    <row r="129">
      <c r="L129" s="108" t="str">
        <f>IFERROR(CHOOSE(E81,'III. Finanzberichte'!$B$55,'III. Finanzberichte'!$I$55,'III. Finanzberichte'!$P$55,'III. Finanzberichte'!$W$55,'III. Finanzberichte'!$AD$55,'III. Finanzberichte'!$AK$55,'III. Finanzberichte'!$AR$55,'III. Finanzberichte'!$AY$55,'III. Finanzberichte'!$BF$55,'III. Finanzberichte'!$BM$55,'III. Finanzberichte'!$BT$55,'III. Finanzberichte'!$CA$55,'III. Finanzberichte'!$CH$55,'III. Finanzberichte'!$CO$55,'III. Finanzberichte'!$CV$55,'III. Finanzberichte'!$DC$55,'III. Finanzberichte'!$DJ$55,'III. Finanzberichte'!$DQ$55),"")</f>
        <v/>
      </c>
      <c r="M129" s="109" t="str">
        <f>IFERROR(CHOOSE(E81,'III. Finanzberichte'!$C$55,'III. Finanzberichte'!$J$55,'III. Finanzberichte'!$Q$55,'III. Finanzberichte'!$X$55,'III. Finanzberichte'!$AE$55,'III. Finanzberichte'!$AL$55,'III. Finanzberichte'!$AS$55,'III. Finanzberichte'!$AZ$55,'III. Finanzberichte'!$BG$55,'III. Finanzberichte'!$BN$55,'III. Finanzberichte'!$BU$55,'III. Finanzberichte'!$CB$55,'III. Finanzberichte'!$CI$55,'III. Finanzberichte'!$CP$55,'III. Finanzberichte'!$CW$55,'III. Finanzberichte'!$DD$55,'III. Finanzberichte'!$DK$55,'III. Finanzberichte'!$DR$55),"")</f>
        <v/>
      </c>
      <c r="N129" s="110" t="str">
        <f>IFERROR(CHOOSE(E81,'III. Finanzberichte'!$D$55,'III. Finanzberichte'!$K$55,'III. Finanzberichte'!$R$55,'III. Finanzberichte'!$Y$55,'III. Finanzberichte'!$AF$55,'III. Finanzberichte'!$AM$55,'III. Finanzberichte'!$AT$55,'III. Finanzberichte'!$BA$55,'III. Finanzberichte'!$BH$55,'III. Finanzberichte'!$BO$55,'III. Finanzberichte'!$BV$55,'III. Finanzberichte'!$CC$55,'III. Finanzberichte'!$CJ$55,'III. Finanzberichte'!$CQ$55,'III. Finanzberichte'!$CX$55,'III. Finanzberichte'!$DE$55,'III. Finanzberichte'!$DL$55,'III. Finanzberichte'!$DS$55),"")</f>
        <v/>
      </c>
      <c r="O129" s="109" t="str">
        <f>IFERROR(CHOOSE(E81,'III. Finanzberichte'!$E$55,'III. Finanzberichte'!$L$55,'III. Finanzberichte'!$S$55,'III. Finanzberichte'!$Z$55,'III. Finanzberichte'!$AG$55,'III. Finanzberichte'!$AN$55,'III. Finanzberichte'!$AU$55,'III. Finanzberichte'!$BB$55,'III. Finanzberichte'!$BI$55,'III. Finanzberichte'!$BP$55,'III. Finanzberichte'!$BW$55,'III. Finanzberichte'!$CD$55,'III. Finanzberichte'!$CK$55,'III. Finanzberichte'!$CR$55,'III. Finanzberichte'!$CY$55,'III. Finanzberichte'!$DF$55,'III. Finanzberichte'!$DM$55,'III. Finanzberichte'!$DT$55),"")</f>
        <v/>
      </c>
      <c r="P129" s="111" t="str">
        <f>IFERROR(CHOOSE(E81,'III. Finanzberichte'!$F$55,'III. Finanzberichte'!$M$55,'III. Finanzberichte'!$T$55,'III. Finanzberichte'!$AA$55,'III. Finanzberichte'!$AH$55,'III. Finanzberichte'!$AO$55,'III. Finanzberichte'!$AV$55,'III. Finanzberichte'!$BC$55,'III. Finanzberichte'!$BJ$55,'III. Finanzberichte'!$BQ$55,'III. Finanzberichte'!$BX$55,'III. Finanzberichte'!$CE$55,'III. Finanzberichte'!$CL$55,'III. Finanzberichte'!$CS$55,'III. Finanzberichte'!$CZ$55,'III. Finanzberichte'!$DG$55,'III. Finanzberichte'!$DN$55,'III. Finanzberichte'!$DU$55),"")</f>
        <v/>
      </c>
    </row>
    <row r="130">
      <c r="L130" s="108" t="str">
        <f>IFERROR(CHOOSE(E81,'III. Finanzberichte'!$B$56,'III. Finanzberichte'!$I$56,'III. Finanzberichte'!$P$56,'III. Finanzberichte'!$W$56,'III. Finanzberichte'!$AD$56,'III. Finanzberichte'!$AK$56,'III. Finanzberichte'!$AR$56,'III. Finanzberichte'!$AY$56,'III. Finanzberichte'!$BF$56,'III. Finanzberichte'!$BM$56,'III. Finanzberichte'!$BT$56,'III. Finanzberichte'!$CA$56,'III. Finanzberichte'!$CH$56,'III. Finanzberichte'!$CO$56,'III. Finanzberichte'!$CV$56,'III. Finanzberichte'!$DC$56,'III. Finanzberichte'!$DJ$56,'III. Finanzberichte'!$DQ$56),"")</f>
        <v/>
      </c>
      <c r="M130" s="109" t="str">
        <f>IFERROR(CHOOSE(E81,'III. Finanzberichte'!$C$56,'III. Finanzberichte'!$J$56,'III. Finanzberichte'!$Q$56,'III. Finanzberichte'!$X$56,'III. Finanzberichte'!$AE$56,'III. Finanzberichte'!$AL$56,'III. Finanzberichte'!$AS$56,'III. Finanzberichte'!$AZ$56,'III. Finanzberichte'!$BG$56,'III. Finanzberichte'!$BN$56,'III. Finanzberichte'!$BU$56,'III. Finanzberichte'!$CB$56,'III. Finanzberichte'!$CI$56,'III. Finanzberichte'!$CP$56,'III. Finanzberichte'!$CW$56,'III. Finanzberichte'!$DD$56,'III. Finanzberichte'!$DK$56,'III. Finanzberichte'!$DR$56),"")</f>
        <v/>
      </c>
      <c r="N130" s="110" t="str">
        <f>IFERROR(CHOOSE(E81,'III. Finanzberichte'!$D$56,'III. Finanzberichte'!$K$56,'III. Finanzberichte'!$R$56,'III. Finanzberichte'!$Y$56,'III. Finanzberichte'!$AF$56,'III. Finanzberichte'!$AM$56,'III. Finanzberichte'!$AT$56,'III. Finanzberichte'!$BA$56,'III. Finanzberichte'!$BH$56,'III. Finanzberichte'!$BO$56,'III. Finanzberichte'!$BV$56,'III. Finanzberichte'!$CC$56,'III. Finanzberichte'!$CJ$56,'III. Finanzberichte'!$CQ$56,'III. Finanzberichte'!$CX$56,'III. Finanzberichte'!$DE$56,'III. Finanzberichte'!$DL$56,'III. Finanzberichte'!$DS$56),"")</f>
        <v/>
      </c>
      <c r="O130" s="109" t="str">
        <f>IFERROR(CHOOSE(E81,'III. Finanzberichte'!$E$56,'III. Finanzberichte'!$L$56,'III. Finanzberichte'!$S$56,'III. Finanzberichte'!$Z$56,'III. Finanzberichte'!$AG$56,'III. Finanzberichte'!$AN$56,'III. Finanzberichte'!$AU$56,'III. Finanzberichte'!$BB$56,'III. Finanzberichte'!$BI$56,'III. Finanzberichte'!$BP$56,'III. Finanzberichte'!$BW$56,'III. Finanzberichte'!$CD$56,'III. Finanzberichte'!$CK$56,'III. Finanzberichte'!$CR$56,'III. Finanzberichte'!$CY$56,'III. Finanzberichte'!$DF$56,'III. Finanzberichte'!$DM$56,'III. Finanzberichte'!$DT$56),"")</f>
        <v/>
      </c>
      <c r="P130" s="111" t="str">
        <f>IFERROR(CHOOSE(E81,'III. Finanzberichte'!$F$56,'III. Finanzberichte'!$M$56,'III. Finanzberichte'!$T$56,'III. Finanzberichte'!$AA$56,'III. Finanzberichte'!$AH$56,'III. Finanzberichte'!$AO$56,'III. Finanzberichte'!$AV$56,'III. Finanzberichte'!$BC$56,'III. Finanzberichte'!$BJ$56,'III. Finanzberichte'!$BQ$56,'III. Finanzberichte'!$BX$56,'III. Finanzberichte'!$CE$56,'III. Finanzberichte'!$CL$56,'III. Finanzberichte'!$CS$56,'III. Finanzberichte'!$CZ$56,'III. Finanzberichte'!$DG$56,'III. Finanzberichte'!$DN$56,'III. Finanzberichte'!$DU$56),"")</f>
        <v/>
      </c>
    </row>
    <row r="131">
      <c r="L131" s="108" t="str">
        <f>IFERROR(CHOOSE(E81,'III. Finanzberichte'!$B$57,'III. Finanzberichte'!$I$57,'III. Finanzberichte'!$P$57,'III. Finanzberichte'!$W$57,'III. Finanzberichte'!$AD$57,'III. Finanzberichte'!$AK$57,'III. Finanzberichte'!$AR$57,'III. Finanzberichte'!$AY$57,'III. Finanzberichte'!$BF$57,'III. Finanzberichte'!$BM$57,'III. Finanzberichte'!$BT$57,'III. Finanzberichte'!$CA$57,'III. Finanzberichte'!$CH$57,'III. Finanzberichte'!$CO$57,'III. Finanzberichte'!$CV$57,'III. Finanzberichte'!$DC$57,'III. Finanzberichte'!$DJ$57,'III. Finanzberichte'!$DQ$57),"")</f>
        <v/>
      </c>
      <c r="M131" s="109" t="str">
        <f>IFERROR(CHOOSE(E81,'III. Finanzberichte'!$C$57,'III. Finanzberichte'!$J$57,'III. Finanzberichte'!$Q$57,'III. Finanzberichte'!$X$57,'III. Finanzberichte'!$AE$57,'III. Finanzberichte'!$AL$57,'III. Finanzberichte'!$AS$57,'III. Finanzberichte'!$AZ$57,'III. Finanzberichte'!$BG$57,'III. Finanzberichte'!$BN$57,'III. Finanzberichte'!$BU$57,'III. Finanzberichte'!$CB$57,'III. Finanzberichte'!$CI$57,'III. Finanzberichte'!$CP$57,'III. Finanzberichte'!$CW$57,'III. Finanzberichte'!$DD$57,'III. Finanzberichte'!$DK$57,'III. Finanzberichte'!$DR$57),"")</f>
        <v/>
      </c>
      <c r="N131" s="110" t="str">
        <f>IFERROR(CHOOSE(E81,'III. Finanzberichte'!$D$57,'III. Finanzberichte'!$K$57,'III. Finanzberichte'!$R$57,'III. Finanzberichte'!$Y$57,'III. Finanzberichte'!$AF$57,'III. Finanzberichte'!$AM$57,'III. Finanzberichte'!$AT$57,'III. Finanzberichte'!$BA$57,'III. Finanzberichte'!$BH$57,'III. Finanzberichte'!$BO$57,'III. Finanzberichte'!$BV$57,'III. Finanzberichte'!$CC$57,'III. Finanzberichte'!$CJ$57,'III. Finanzberichte'!$CQ$57,'III. Finanzberichte'!$CX$57,'III. Finanzberichte'!$DE$57,'III. Finanzberichte'!$DL$57,'III. Finanzberichte'!$DS$57),"")</f>
        <v/>
      </c>
      <c r="O131" s="109" t="str">
        <f>IFERROR(CHOOSE(E81,'III. Finanzberichte'!$E$57,'III. Finanzberichte'!$L$57,'III. Finanzberichte'!$S$57,'III. Finanzberichte'!$Z$57,'III. Finanzberichte'!$AG$57,'III. Finanzberichte'!$AN$57,'III. Finanzberichte'!$AU$57,'III. Finanzberichte'!$BB$57,'III. Finanzberichte'!$BI$57,'III. Finanzberichte'!$BP$57,'III. Finanzberichte'!$BW$57,'III. Finanzberichte'!$CD$57,'III. Finanzberichte'!$CK$57,'III. Finanzberichte'!$CR$57,'III. Finanzberichte'!$CY$57,'III. Finanzberichte'!$DF$57,'III. Finanzberichte'!$DM$57,'III. Finanzberichte'!$DT$57),"")</f>
        <v/>
      </c>
      <c r="P131" s="111" t="str">
        <f>IFERROR(CHOOSE(E81,'III. Finanzberichte'!$F$57,'III. Finanzberichte'!$M$57,'III. Finanzberichte'!$T$57,'III. Finanzberichte'!$AA$57,'III. Finanzberichte'!$AH$57,'III. Finanzberichte'!$AO$57,'III. Finanzberichte'!$AV$57,'III. Finanzberichte'!$BC$57,'III. Finanzberichte'!$BJ$57,'III. Finanzberichte'!$BQ$57,'III. Finanzberichte'!$BX$57,'III. Finanzberichte'!$CE$57,'III. Finanzberichte'!$CL$57,'III. Finanzberichte'!$CS$57,'III. Finanzberichte'!$CZ$57,'III. Finanzberichte'!$DG$57,'III. Finanzberichte'!$DN$57,'III. Finanzberichte'!$DU$57),"")</f>
        <v/>
      </c>
    </row>
    <row r="132">
      <c r="L132" s="108" t="str">
        <f>IFERROR(CHOOSE(E81,'III. Finanzberichte'!$B$58,'III. Finanzberichte'!$I$58,'III. Finanzberichte'!$P$58,'III. Finanzberichte'!$W$58,'III. Finanzberichte'!$AD$58,'III. Finanzberichte'!$AK$58,'III. Finanzberichte'!$AR$58,'III. Finanzberichte'!$AY$58,'III. Finanzberichte'!$BF$58,'III. Finanzberichte'!$BM$58,'III. Finanzberichte'!$BT$58,'III. Finanzberichte'!$CA$58,'III. Finanzberichte'!$CH$58,'III. Finanzberichte'!$CO$58,'III. Finanzberichte'!$CV$58,'III. Finanzberichte'!$DC$58,'III. Finanzberichte'!$DJ$58,'III. Finanzberichte'!$DQ$58),"")</f>
        <v/>
      </c>
      <c r="M132" s="109" t="str">
        <f>IFERROR(CHOOSE(E81,'III. Finanzberichte'!$C$58,'III. Finanzberichte'!$J$58,'III. Finanzberichte'!$Q$58,'III. Finanzberichte'!$X$58,'III. Finanzberichte'!$AE$58,'III. Finanzberichte'!$AL$58,'III. Finanzberichte'!$AS$58,'III. Finanzberichte'!$AZ$58,'III. Finanzberichte'!$BG$58,'III. Finanzberichte'!$BN$58,'III. Finanzberichte'!$BU$58,'III. Finanzberichte'!$CB$58,'III. Finanzberichte'!$CI$58,'III. Finanzberichte'!$CP$58,'III. Finanzberichte'!$CW$58,'III. Finanzberichte'!$DD$58,'III. Finanzberichte'!$DK$58,'III. Finanzberichte'!$DR$58),"")</f>
        <v/>
      </c>
      <c r="N132" s="110" t="str">
        <f>IFERROR(CHOOSE(E81,'III. Finanzberichte'!$D$58,'III. Finanzberichte'!$K$58,'III. Finanzberichte'!$R$58,'III. Finanzberichte'!$Y$58,'III. Finanzberichte'!$AF$58,'III. Finanzberichte'!$AM$58,'III. Finanzberichte'!$AT$58,'III. Finanzberichte'!$BA$58,'III. Finanzberichte'!$BH$58,'III. Finanzberichte'!$BO$58,'III. Finanzberichte'!$BV$58,'III. Finanzberichte'!$CC$58,'III. Finanzberichte'!$CJ$58,'III. Finanzberichte'!$CQ$58,'III. Finanzberichte'!$CX$58,'III. Finanzberichte'!$DE$58,'III. Finanzberichte'!$DL$58,'III. Finanzberichte'!$DS$58),"")</f>
        <v/>
      </c>
      <c r="O132" s="109" t="str">
        <f>IFERROR(CHOOSE(E81,'III. Finanzberichte'!$E$58,'III. Finanzberichte'!$L$58,'III. Finanzberichte'!$S$58,'III. Finanzberichte'!$Z$58,'III. Finanzberichte'!$AG$58,'III. Finanzberichte'!$AN$58,'III. Finanzberichte'!$AU$58,'III. Finanzberichte'!$BB$58,'III. Finanzberichte'!$BI$58,'III. Finanzberichte'!$BP$58,'III. Finanzberichte'!$BW$58,'III. Finanzberichte'!$CD$58,'III. Finanzberichte'!$CK$58,'III. Finanzberichte'!$CR$58,'III. Finanzberichte'!$CY$58,'III. Finanzberichte'!$DF$58,'III. Finanzberichte'!$DM$58,'III. Finanzberichte'!$DT$58),"")</f>
        <v/>
      </c>
      <c r="P132" s="111" t="str">
        <f>IFERROR(CHOOSE(E81,'III. Finanzberichte'!$F$58,'III. Finanzberichte'!$M$58,'III. Finanzberichte'!$T$58,'III. Finanzberichte'!$AA$58,'III. Finanzberichte'!$AH$58,'III. Finanzberichte'!$AO$58,'III. Finanzberichte'!$AV$58,'III. Finanzberichte'!$BC$58,'III. Finanzberichte'!$BJ$58,'III. Finanzberichte'!$BQ$58,'III. Finanzberichte'!$BX$58,'III. Finanzberichte'!$CE$58,'III. Finanzberichte'!$CL$58,'III. Finanzberichte'!$CS$58,'III. Finanzberichte'!$CZ$58,'III. Finanzberichte'!$DG$58,'III. Finanzberichte'!$DN$58,'III. Finanzberichte'!$DU$58),"")</f>
        <v/>
      </c>
    </row>
    <row r="133">
      <c r="L133" s="108" t="str">
        <f>IFERROR(CHOOSE(E81,'III. Finanzberichte'!$B$59,'III. Finanzberichte'!$I$59,'III. Finanzberichte'!$P$59,'III. Finanzberichte'!$W$59,'III. Finanzberichte'!$AD$59,'III. Finanzberichte'!$AK$59,'III. Finanzberichte'!$AR$59,'III. Finanzberichte'!$AY$59,'III. Finanzberichte'!$BF$59,'III. Finanzberichte'!$BM$59,'III. Finanzberichte'!$BT$59,'III. Finanzberichte'!$CA$59,'III. Finanzberichte'!$CH$59,'III. Finanzberichte'!$CO$59,'III. Finanzberichte'!$CV$59,'III. Finanzberichte'!$DC$59,'III. Finanzberichte'!$DJ$59,'III. Finanzberichte'!$DQ$59),"")</f>
        <v/>
      </c>
      <c r="M133" s="109" t="str">
        <f>IFERROR(CHOOSE(E81,'III. Finanzberichte'!$C$59,'III. Finanzberichte'!$J$59,'III. Finanzberichte'!$Q$59,'III. Finanzberichte'!$X$59,'III. Finanzberichte'!$AE$59,'III. Finanzberichte'!$AL$59,'III. Finanzberichte'!$AS$59,'III. Finanzberichte'!$AZ$59,'III. Finanzberichte'!$BG$59,'III. Finanzberichte'!$BN$59,'III. Finanzberichte'!$BU$59,'III. Finanzberichte'!$CB$59,'III. Finanzberichte'!$CI$59,'III. Finanzberichte'!$CP$59,'III. Finanzberichte'!$CW$59,'III. Finanzberichte'!$DD$59,'III. Finanzberichte'!$DK$59,'III. Finanzberichte'!$DR$59),"")</f>
        <v/>
      </c>
      <c r="N133" s="110" t="str">
        <f>IFERROR(CHOOSE(E81,'III. Finanzberichte'!$D$59,'III. Finanzberichte'!$K$59,'III. Finanzberichte'!$R$59,'III. Finanzberichte'!$Y$59,'III. Finanzberichte'!$AF$59,'III. Finanzberichte'!$AM$59,'III. Finanzberichte'!$AT$59,'III. Finanzberichte'!$BA$59,'III. Finanzberichte'!$BH$59,'III. Finanzberichte'!$BO$59,'III. Finanzberichte'!$BV$59,'III. Finanzberichte'!$CC$59,'III. Finanzberichte'!$CJ$59,'III. Finanzberichte'!$CQ$59,'III. Finanzberichte'!$CX$59,'III. Finanzberichte'!$DE$59,'III. Finanzberichte'!$DL$59,'III. Finanzberichte'!$DS$59),"")</f>
        <v/>
      </c>
      <c r="O133" s="109" t="str">
        <f>IFERROR(CHOOSE(E81,'III. Finanzberichte'!$E$59,'III. Finanzberichte'!$L$59,'III. Finanzberichte'!$S$59,'III. Finanzberichte'!$Z$59,'III. Finanzberichte'!$AG$59,'III. Finanzberichte'!$AN$59,'III. Finanzberichte'!$AU$59,'III. Finanzberichte'!$BB$59,'III. Finanzberichte'!$BI$59,'III. Finanzberichte'!$BP$59,'III. Finanzberichte'!$BW$59,'III. Finanzberichte'!$CD$59,'III. Finanzberichte'!$CK$59,'III. Finanzberichte'!$CR$59,'III. Finanzberichte'!$CY$59,'III. Finanzberichte'!$DF$59,'III. Finanzberichte'!$DM$59,'III. Finanzberichte'!$DT$59),"")</f>
        <v/>
      </c>
      <c r="P133" s="111" t="str">
        <f>IFERROR(CHOOSE(E81,'III. Finanzberichte'!$F$59,'III. Finanzberichte'!$M$59,'III. Finanzberichte'!$T$59,'III. Finanzberichte'!$AA$59,'III. Finanzberichte'!$AH$59,'III. Finanzberichte'!$AO$59,'III. Finanzberichte'!$AV$59,'III. Finanzberichte'!$BC$59,'III. Finanzberichte'!$BJ$59,'III. Finanzberichte'!$BQ$59,'III. Finanzberichte'!$BX$59,'III. Finanzberichte'!$CE$59,'III. Finanzberichte'!$CL$59,'III. Finanzberichte'!$CS$59,'III. Finanzberichte'!$CZ$59,'III. Finanzberichte'!$DG$59,'III. Finanzberichte'!$DN$59,'III. Finanzberichte'!$DU$59),"")</f>
        <v/>
      </c>
    </row>
    <row r="134">
      <c r="L134" s="108" t="str">
        <f>IFERROR(CHOOSE(E81,'III. Finanzberichte'!$B$60,'III. Finanzberichte'!$I$60,'III. Finanzberichte'!$P$60,'III. Finanzberichte'!$W$60,'III. Finanzberichte'!$AD$60,'III. Finanzberichte'!$AK$60,'III. Finanzberichte'!$AR$60,'III. Finanzberichte'!$AY$60,'III. Finanzberichte'!$BF$60,'III. Finanzberichte'!$BM$60,'III. Finanzberichte'!$BT$60,'III. Finanzberichte'!$CA$60,'III. Finanzberichte'!$CH$60,'III. Finanzberichte'!$CO$60,'III. Finanzberichte'!$CV$60,'III. Finanzberichte'!$DC$60,'III. Finanzberichte'!$DJ$60,'III. Finanzberichte'!$DQ$60),"")</f>
        <v/>
      </c>
      <c r="M134" s="109" t="str">
        <f>IFERROR(CHOOSE(E81,'III. Finanzberichte'!$C$60,'III. Finanzberichte'!$J$60,'III. Finanzberichte'!$Q$60,'III. Finanzberichte'!$X$60,'III. Finanzberichte'!$AE$60,'III. Finanzberichte'!$AL$60,'III. Finanzberichte'!$AS$60,'III. Finanzberichte'!$AZ$60,'III. Finanzberichte'!$BG$60,'III. Finanzberichte'!$BN$60,'III. Finanzberichte'!$BU$60,'III. Finanzberichte'!$CB$60,'III. Finanzberichte'!$CI$60,'III. Finanzberichte'!$CP$60,'III. Finanzberichte'!$CW$60,'III. Finanzberichte'!$DD$60,'III. Finanzberichte'!$DK$60,'III. Finanzberichte'!$DR$60),"")</f>
        <v/>
      </c>
      <c r="N134" s="110" t="str">
        <f>IFERROR(CHOOSE(E81,'III. Finanzberichte'!$D$60,'III. Finanzberichte'!$K$60,'III. Finanzberichte'!$R$60,'III. Finanzberichte'!$Y$60,'III. Finanzberichte'!$AF$60,'III. Finanzberichte'!$AM$60,'III. Finanzberichte'!$AT$60,'III. Finanzberichte'!$BA$60,'III. Finanzberichte'!$BH$60,'III. Finanzberichte'!$BO$60,'III. Finanzberichte'!$BV$60,'III. Finanzberichte'!$CC$60,'III. Finanzberichte'!$CJ$60,'III. Finanzberichte'!$CQ$60,'III. Finanzberichte'!$CX$60,'III. Finanzberichte'!$DE$60,'III. Finanzberichte'!$DL$60,'III. Finanzberichte'!$DS$60),"")</f>
        <v/>
      </c>
      <c r="O134" s="109" t="str">
        <f>IFERROR(CHOOSE(E81,'III. Finanzberichte'!$E$60,'III. Finanzberichte'!$L$60,'III. Finanzberichte'!$S$60,'III. Finanzberichte'!$Z$60,'III. Finanzberichte'!$AG$60,'III. Finanzberichte'!$AN$60,'III. Finanzberichte'!$AU$60,'III. Finanzberichte'!$BB$60,'III. Finanzberichte'!$BI$60,'III. Finanzberichte'!$BP$60,'III. Finanzberichte'!$BW$60,'III. Finanzberichte'!$CD$60,'III. Finanzberichte'!$CK$60,'III. Finanzberichte'!$CR$60,'III. Finanzberichte'!$CY$60,'III. Finanzberichte'!$DF$60,'III. Finanzberichte'!$DM$60,'III. Finanzberichte'!$DT$60),"")</f>
        <v/>
      </c>
      <c r="P134" s="111" t="str">
        <f>IFERROR(CHOOSE(E81,'III. Finanzberichte'!$F$60,'III. Finanzberichte'!$M$60,'III. Finanzberichte'!$T$60,'III. Finanzberichte'!$AA$60,'III. Finanzberichte'!$AH$60,'III. Finanzberichte'!$AO$60,'III. Finanzberichte'!$AV$60,'III. Finanzberichte'!$BC$60,'III. Finanzberichte'!$BJ$60,'III. Finanzberichte'!$BQ$60,'III. Finanzberichte'!$BX$60,'III. Finanzberichte'!$CE$60,'III. Finanzberichte'!$CL$60,'III. Finanzberichte'!$CS$60,'III. Finanzberichte'!$CZ$60,'III. Finanzberichte'!$DG$60,'III. Finanzberichte'!$DN$60,'III. Finanzberichte'!$DU$60),"")</f>
        <v/>
      </c>
    </row>
    <row r="135">
      <c r="L135" s="108" t="str">
        <f>IFERROR(CHOOSE(E81,'III. Finanzberichte'!$B$61,'III. Finanzberichte'!$I$61,'III. Finanzberichte'!$P$61,'III. Finanzberichte'!$W$61,'III. Finanzberichte'!$AD$61,'III. Finanzberichte'!$AK$61,'III. Finanzberichte'!$AR$61,'III. Finanzberichte'!$AY$61,'III. Finanzberichte'!$BF$61,'III. Finanzberichte'!$BM$61,'III. Finanzberichte'!$BT$61,'III. Finanzberichte'!$CA$61,'III. Finanzberichte'!$CH$61,'III. Finanzberichte'!$CO$61,'III. Finanzberichte'!$CV$61,'III. Finanzberichte'!$DC$61,'III. Finanzberichte'!$DJ$61,'III. Finanzberichte'!$DQ$61),"")</f>
        <v/>
      </c>
      <c r="M135" s="109" t="str">
        <f>IFERROR(CHOOSE(E81,'III. Finanzberichte'!$C$61,'III. Finanzberichte'!$J$61,'III. Finanzberichte'!$Q$61,'III. Finanzberichte'!$X$61,'III. Finanzberichte'!$AE$61,'III. Finanzberichte'!$AL$61,'III. Finanzberichte'!$AS$61,'III. Finanzberichte'!$AZ$61,'III. Finanzberichte'!$BG$61,'III. Finanzberichte'!$BN$61,'III. Finanzberichte'!$BU$61,'III. Finanzberichte'!$CB$61,'III. Finanzberichte'!$CI$61,'III. Finanzberichte'!$CP$61,'III. Finanzberichte'!$CW$61,'III. Finanzberichte'!$DD$61,'III. Finanzberichte'!$DK$61,'III. Finanzberichte'!$DR$61),"")</f>
        <v/>
      </c>
      <c r="N135" s="110" t="str">
        <f>IFERROR(CHOOSE(E81,'III. Finanzberichte'!$D$61,'III. Finanzberichte'!$K$61,'III. Finanzberichte'!$R$61,'III. Finanzberichte'!$Y$61,'III. Finanzberichte'!$AF$61,'III. Finanzberichte'!$AM$61,'III. Finanzberichte'!$AT$61,'III. Finanzberichte'!$BA$61,'III. Finanzberichte'!$BH$61,'III. Finanzberichte'!$BO$61,'III. Finanzberichte'!$BV$61,'III. Finanzberichte'!$CC$61,'III. Finanzberichte'!$CJ$61,'III. Finanzberichte'!$CQ$61,'III. Finanzberichte'!$CX$61,'III. Finanzberichte'!$DE$61,'III. Finanzberichte'!$DL$61,'III. Finanzberichte'!$DS$61),"")</f>
        <v/>
      </c>
      <c r="O135" s="109" t="str">
        <f>IFERROR(CHOOSE(E81,'III. Finanzberichte'!$E$61,'III. Finanzberichte'!$L$61,'III. Finanzberichte'!$S$61,'III. Finanzberichte'!$Z$61,'III. Finanzberichte'!$AG$61,'III. Finanzberichte'!$AN$61,'III. Finanzberichte'!$AU$61,'III. Finanzberichte'!$BB$61,'III. Finanzberichte'!$BI$61,'III. Finanzberichte'!$BP$61,'III. Finanzberichte'!$BW$61,'III. Finanzberichte'!$CD$61,'III. Finanzberichte'!$CK$61,'III. Finanzberichte'!$CR$61,'III. Finanzberichte'!$CY$61,'III. Finanzberichte'!$DF$61,'III. Finanzberichte'!$DM$61,'III. Finanzberichte'!$DT$61),"")</f>
        <v/>
      </c>
      <c r="P135" s="111" t="str">
        <f>IFERROR(CHOOSE(E81,'III. Finanzberichte'!$F$61,'III. Finanzberichte'!$M$61,'III. Finanzberichte'!$T$61,'III. Finanzberichte'!$AA$61,'III. Finanzberichte'!$AH$61,'III. Finanzberichte'!$AO$61,'III. Finanzberichte'!$AV$61,'III. Finanzberichte'!$BC$61,'III. Finanzberichte'!$BJ$61,'III. Finanzberichte'!$BQ$61,'III. Finanzberichte'!$BX$61,'III. Finanzberichte'!$CE$61,'III. Finanzberichte'!$CL$61,'III. Finanzberichte'!$CS$61,'III. Finanzberichte'!$CZ$61,'III. Finanzberichte'!$DG$61,'III. Finanzberichte'!$DN$61,'III. Finanzberichte'!$DU$61),"")</f>
        <v/>
      </c>
    </row>
    <row r="136">
      <c r="L136" s="108" t="str">
        <f>IFERROR(CHOOSE(E81,'III. Finanzberichte'!$B$62,'III. Finanzberichte'!$I$62,'III. Finanzberichte'!$P$62,'III. Finanzberichte'!$W$62,'III. Finanzberichte'!$AD$62,'III. Finanzberichte'!$AK$62,'III. Finanzberichte'!$AR$62,'III. Finanzberichte'!$AY$62,'III. Finanzberichte'!$BF$62,'III. Finanzberichte'!$BM$62,'III. Finanzberichte'!$BT$62,'III. Finanzberichte'!$CA$62,'III. Finanzberichte'!$CH$62,'III. Finanzberichte'!$CO$62,'III. Finanzberichte'!$CV$62,'III. Finanzberichte'!$DC$62,'III. Finanzberichte'!$DJ$62,'III. Finanzberichte'!$DQ$62),"")</f>
        <v/>
      </c>
      <c r="M136" s="109" t="str">
        <f>IFERROR(CHOOSE(E81,'III. Finanzberichte'!$C$62,'III. Finanzberichte'!$J$62,'III. Finanzberichte'!$Q$62,'III. Finanzberichte'!$X$62,'III. Finanzberichte'!$AE$62,'III. Finanzberichte'!$AL$62,'III. Finanzberichte'!$AS$62,'III. Finanzberichte'!$AZ$62,'III. Finanzberichte'!$BG$62,'III. Finanzberichte'!$BN$62,'III. Finanzberichte'!$BU$62,'III. Finanzberichte'!$CB$62,'III. Finanzberichte'!$CI$62,'III. Finanzberichte'!$CP$62,'III. Finanzberichte'!$CW$62,'III. Finanzberichte'!$DD$62,'III. Finanzberichte'!$DK$62,'III. Finanzberichte'!$DR$62),"")</f>
        <v/>
      </c>
      <c r="N136" s="110" t="str">
        <f>IFERROR(CHOOSE(E81,'III. Finanzberichte'!$D$62,'III. Finanzberichte'!$K$62,'III. Finanzberichte'!$R$62,'III. Finanzberichte'!$Y$62,'III. Finanzberichte'!$AF$62,'III. Finanzberichte'!$AM$62,'III. Finanzberichte'!$AT$62,'III. Finanzberichte'!$BA$62,'III. Finanzberichte'!$BH$62,'III. Finanzberichte'!$BO$62,'III. Finanzberichte'!$BV$62,'III. Finanzberichte'!$CC$62,'III. Finanzberichte'!$CJ$62,'III. Finanzberichte'!$CQ$62,'III. Finanzberichte'!$CX$62,'III. Finanzberichte'!$DE$62,'III. Finanzberichte'!$DL$62,'III. Finanzberichte'!$DS$62),"")</f>
        <v/>
      </c>
      <c r="O136" s="109" t="str">
        <f>IFERROR(CHOOSE(E81,'III. Finanzberichte'!$E$62,'III. Finanzberichte'!$L$62,'III. Finanzberichte'!$S$62,'III. Finanzberichte'!$Z$62,'III. Finanzberichte'!$AG$62,'III. Finanzberichte'!$AN$62,'III. Finanzberichte'!$AU$62,'III. Finanzberichte'!$BB$62,'III. Finanzberichte'!$BI$62,'III. Finanzberichte'!$BP$62,'III. Finanzberichte'!$BW$62,'III. Finanzberichte'!$CD$62,'III. Finanzberichte'!$CK$62,'III. Finanzberichte'!$CR$62,'III. Finanzberichte'!$CY$62,'III. Finanzberichte'!$DF$62,'III. Finanzberichte'!$DM$62,'III. Finanzberichte'!$DT$62),"")</f>
        <v/>
      </c>
      <c r="P136" s="111" t="str">
        <f>IFERROR(CHOOSE(E81,'III. Finanzberichte'!$F$62,'III. Finanzberichte'!$M$62,'III. Finanzberichte'!$T$62,'III. Finanzberichte'!$AA$62,'III. Finanzberichte'!$AH$62,'III. Finanzberichte'!$AO$62,'III. Finanzberichte'!$AV$62,'III. Finanzberichte'!$BC$62,'III. Finanzberichte'!$BJ$62,'III. Finanzberichte'!$BQ$62,'III. Finanzberichte'!$BX$62,'III. Finanzberichte'!$CE$62,'III. Finanzberichte'!$CL$62,'III. Finanzberichte'!$CS$62,'III. Finanzberichte'!$CZ$62,'III. Finanzberichte'!$DG$62,'III. Finanzberichte'!$DN$62,'III. Finanzberichte'!$DU$62),"")</f>
        <v/>
      </c>
    </row>
    <row r="137">
      <c r="L137" s="108" t="str">
        <f>IFERROR(CHOOSE(E81,'III. Finanzberichte'!$B$63,'III. Finanzberichte'!$I$63,'III. Finanzberichte'!$P$63,'III. Finanzberichte'!$W$63,'III. Finanzberichte'!$AD$63,'III. Finanzberichte'!$AK$63,'III. Finanzberichte'!$AR$63,'III. Finanzberichte'!$AY$63,'III. Finanzberichte'!$BF$63,'III. Finanzberichte'!$BM$63,'III. Finanzberichte'!$BT$63,'III. Finanzberichte'!$CA$63,'III. Finanzberichte'!$CH$63,'III. Finanzberichte'!$CO$63,'III. Finanzberichte'!$CV$63,'III. Finanzberichte'!$DC$63,'III. Finanzberichte'!$DJ$63,'III. Finanzberichte'!$DQ$63),"")</f>
        <v/>
      </c>
      <c r="M137" s="109" t="str">
        <f>IFERROR(CHOOSE(E81,'III. Finanzberichte'!$C$63,'III. Finanzberichte'!$J$63,'III. Finanzberichte'!$Q$63,'III. Finanzberichte'!$X$63,'III. Finanzberichte'!$AE$63,'III. Finanzberichte'!$AL$63,'III. Finanzberichte'!$AS$63,'III. Finanzberichte'!$AZ$63,'III. Finanzberichte'!$BG$63,'III. Finanzberichte'!$BN$63,'III. Finanzberichte'!$BU$63,'III. Finanzberichte'!$CB$63,'III. Finanzberichte'!$CI$63,'III. Finanzberichte'!$CP$63,'III. Finanzberichte'!$CW$63,'III. Finanzberichte'!$DD$63,'III. Finanzberichte'!$DK$63,'III. Finanzberichte'!$DR$63),"")</f>
        <v/>
      </c>
      <c r="N137" s="110" t="str">
        <f>IFERROR(CHOOSE(E81,'III. Finanzberichte'!$D$63,'III. Finanzberichte'!$K$63,'III. Finanzberichte'!$R$63,'III. Finanzberichte'!$Y$63,'III. Finanzberichte'!$AF$63,'III. Finanzberichte'!$AM$63,'III. Finanzberichte'!$AT$63,'III. Finanzberichte'!$BA$63,'III. Finanzberichte'!$BH$63,'III. Finanzberichte'!$BO$63,'III. Finanzberichte'!$BV$63,'III. Finanzberichte'!$CC$63,'III. Finanzberichte'!$CJ$63,'III. Finanzberichte'!$CQ$63,'III. Finanzberichte'!$CX$63,'III. Finanzberichte'!$DE$63,'III. Finanzberichte'!$DL$63,'III. Finanzberichte'!$DS$63),"")</f>
        <v/>
      </c>
      <c r="O137" s="109" t="str">
        <f>IFERROR(CHOOSE(E81,'III. Finanzberichte'!$E$63,'III. Finanzberichte'!$L$63,'III. Finanzberichte'!$S$63,'III. Finanzberichte'!$Z$63,'III. Finanzberichte'!$AG$63,'III. Finanzberichte'!$AN$63,'III. Finanzberichte'!$AU$63,'III. Finanzberichte'!$BB$63,'III. Finanzberichte'!$BI$63,'III. Finanzberichte'!$BP$63,'III. Finanzberichte'!$BW$63,'III. Finanzberichte'!$CD$63,'III. Finanzberichte'!$CK$63,'III. Finanzberichte'!$CR$63,'III. Finanzberichte'!$CY$63,'III. Finanzberichte'!$DF$63,'III. Finanzberichte'!$DM$63,'III. Finanzberichte'!$DT$63),"")</f>
        <v/>
      </c>
      <c r="P137" s="111" t="str">
        <f>IFERROR(CHOOSE(E81,'III. Finanzberichte'!$F$63,'III. Finanzberichte'!$M$63,'III. Finanzberichte'!$T$63,'III. Finanzberichte'!$AA$63,'III. Finanzberichte'!$AH$63,'III. Finanzberichte'!$AO$63,'III. Finanzberichte'!$AV$63,'III. Finanzberichte'!$BC$63,'III. Finanzberichte'!$BJ$63,'III. Finanzberichte'!$BQ$63,'III. Finanzberichte'!$BX$63,'III. Finanzberichte'!$CE$63,'III. Finanzberichte'!$CL$63,'III. Finanzberichte'!$CS$63,'III. Finanzberichte'!$CZ$63,'III. Finanzberichte'!$DG$63,'III. Finanzberichte'!$DN$63,'III. Finanzberichte'!$DU$63),"")</f>
        <v/>
      </c>
    </row>
    <row r="138">
      <c r="L138" s="108" t="str">
        <f>IFERROR(CHOOSE(E81,'III. Finanzberichte'!$B$64,'III. Finanzberichte'!$I$64,'III. Finanzberichte'!$P$64,'III. Finanzberichte'!$W$64,'III. Finanzberichte'!$AD$64,'III. Finanzberichte'!$AK$64,'III. Finanzberichte'!$AR$64,'III. Finanzberichte'!$AY$64,'III. Finanzberichte'!$BF$64,'III. Finanzberichte'!$BM$64,'III. Finanzberichte'!$BT$64,'III. Finanzberichte'!$CA$64,'III. Finanzberichte'!$CH$64,'III. Finanzberichte'!$CO$64,'III. Finanzberichte'!$CV$64,'III. Finanzberichte'!$DC$64,'III. Finanzberichte'!$DJ$64,'III. Finanzberichte'!$DQ$64),"")</f>
        <v/>
      </c>
      <c r="M138" s="109" t="str">
        <f>IFERROR(CHOOSE(E81,'III. Finanzberichte'!$C$64,'III. Finanzberichte'!$J$64,'III. Finanzberichte'!$Q$64,'III. Finanzberichte'!$X$64,'III. Finanzberichte'!$AE$64,'III. Finanzberichte'!$AL$64,'III. Finanzberichte'!$AS$64,'III. Finanzberichte'!$AZ$64,'III. Finanzberichte'!$BG$64,'III. Finanzberichte'!$BN$64,'III. Finanzberichte'!$BU$64,'III. Finanzberichte'!$CB$64,'III. Finanzberichte'!$CI$64,'III. Finanzberichte'!$CP$64,'III. Finanzberichte'!$CW$64,'III. Finanzberichte'!$DD$64,'III. Finanzberichte'!$DK$64,'III. Finanzberichte'!$DR$64),"")</f>
        <v/>
      </c>
      <c r="N138" s="110" t="str">
        <f>IFERROR(CHOOSE(E81,'III. Finanzberichte'!$D$64,'III. Finanzberichte'!$K$64,'III. Finanzberichte'!$R$64,'III. Finanzberichte'!$Y$64,'III. Finanzberichte'!$AF$64,'III. Finanzberichte'!$AM$64,'III. Finanzberichte'!$AT$64,'III. Finanzberichte'!$BA$64,'III. Finanzberichte'!$BH$64,'III. Finanzberichte'!$BO$64,'III. Finanzberichte'!$BV$64,'III. Finanzberichte'!$CC$64,'III. Finanzberichte'!$CJ$64,'III. Finanzberichte'!$CQ$64,'III. Finanzberichte'!$CX$64,'III. Finanzberichte'!$DE$64,'III. Finanzberichte'!$DL$64,'III. Finanzberichte'!$DS$64),"")</f>
        <v/>
      </c>
      <c r="O138" s="109" t="str">
        <f>IFERROR(CHOOSE(E81,'III. Finanzberichte'!$E$64,'III. Finanzberichte'!$L$64,'III. Finanzberichte'!$S$64,'III. Finanzberichte'!$Z$64,'III. Finanzberichte'!$AG$64,'III. Finanzberichte'!$AN$64,'III. Finanzberichte'!$AU$64,'III. Finanzberichte'!$BB$64,'III. Finanzberichte'!$BI$64,'III. Finanzberichte'!$BP$64,'III. Finanzberichte'!$BW$64,'III. Finanzberichte'!$CD$64,'III. Finanzberichte'!$CK$64,'III. Finanzberichte'!$CR$64,'III. Finanzberichte'!$CY$64,'III. Finanzberichte'!$DF$64,'III. Finanzberichte'!$DM$64,'III. Finanzberichte'!$DT$64),"")</f>
        <v/>
      </c>
      <c r="P138" s="111" t="str">
        <f>IFERROR(CHOOSE(E81,'III. Finanzberichte'!$F$64,'III. Finanzberichte'!$M$64,'III. Finanzberichte'!$T$64,'III. Finanzberichte'!$AA$64,'III. Finanzberichte'!$AH$64,'III. Finanzberichte'!$AO$64,'III. Finanzberichte'!$AV$64,'III. Finanzberichte'!$BC$64,'III. Finanzberichte'!$BJ$64,'III. Finanzberichte'!$BQ$64,'III. Finanzberichte'!$BX$64,'III. Finanzberichte'!$CE$64,'III. Finanzberichte'!$CL$64,'III. Finanzberichte'!$CS$64,'III. Finanzberichte'!$CZ$64,'III. Finanzberichte'!$DG$64,'III. Finanzberichte'!$DN$64,'III. Finanzberichte'!$DU$64),"")</f>
        <v/>
      </c>
    </row>
    <row r="139">
      <c r="L139" s="108" t="str">
        <f>IFERROR(CHOOSE(E81,'III. Finanzberichte'!$B$65,'III. Finanzberichte'!$I$65,'III. Finanzberichte'!$P$65,'III. Finanzberichte'!$W$65,'III. Finanzberichte'!$AD$65,'III. Finanzberichte'!$AK$65,'III. Finanzberichte'!$AR$65,'III. Finanzberichte'!$AY$65,'III. Finanzberichte'!$BF$65,'III. Finanzberichte'!$BM$65,'III. Finanzberichte'!$BT$65,'III. Finanzberichte'!$CA$65,'III. Finanzberichte'!$CH$65,'III. Finanzberichte'!$CO$65,'III. Finanzberichte'!$CV$65,'III. Finanzberichte'!$DC$65,'III. Finanzberichte'!$DJ$65,'III. Finanzberichte'!$DQ$65),"")</f>
        <v/>
      </c>
      <c r="M139" s="109" t="str">
        <f>IFERROR(CHOOSE(E81,'III. Finanzberichte'!$C$65,'III. Finanzberichte'!$J$65,'III. Finanzberichte'!$Q$65,'III. Finanzberichte'!$X$65,'III. Finanzberichte'!$AE$65,'III. Finanzberichte'!$AL$65,'III. Finanzberichte'!$AS$65,'III. Finanzberichte'!$AZ$65,'III. Finanzberichte'!$BG$65,'III. Finanzberichte'!$BN$65,'III. Finanzberichte'!$BU$65,'III. Finanzberichte'!$CB$65,'III. Finanzberichte'!$CI$65,'III. Finanzberichte'!$CP$65,'III. Finanzberichte'!$CW$65,'III. Finanzberichte'!$DD$65,'III. Finanzberichte'!$DK$65,'III. Finanzberichte'!$DR$65),"")</f>
        <v/>
      </c>
      <c r="N139" s="110" t="str">
        <f>IFERROR(CHOOSE(E81,'III. Finanzberichte'!$D$65,'III. Finanzberichte'!$K$65,'III. Finanzberichte'!$R$65,'III. Finanzberichte'!$Y$65,'III. Finanzberichte'!$AF$65,'III. Finanzberichte'!$AM$65,'III. Finanzberichte'!$AT$65,'III. Finanzberichte'!$BA$65,'III. Finanzberichte'!$BH$65,'III. Finanzberichte'!$BO$65,'III. Finanzberichte'!$BV$65,'III. Finanzberichte'!$CC$65,'III. Finanzberichte'!$CJ$65,'III. Finanzberichte'!$CQ$65,'III. Finanzberichte'!$CX$65,'III. Finanzberichte'!$DE$65,'III. Finanzberichte'!$DL$65,'III. Finanzberichte'!$DS$65),"")</f>
        <v/>
      </c>
      <c r="O139" s="109" t="str">
        <f>IFERROR(CHOOSE(E81,'III. Finanzberichte'!$E$65,'III. Finanzberichte'!$L$65,'III. Finanzberichte'!$S$65,'III. Finanzberichte'!$Z$65,'III. Finanzberichte'!$AG$65,'III. Finanzberichte'!$AN$65,'III. Finanzberichte'!$AU$65,'III. Finanzberichte'!$BB$65,'III. Finanzberichte'!$BI$65,'III. Finanzberichte'!$BP$65,'III. Finanzberichte'!$BW$65,'III. Finanzberichte'!$CD$65,'III. Finanzberichte'!$CK$65,'III. Finanzberichte'!$CR$65,'III. Finanzberichte'!$CY$65,'III. Finanzberichte'!$DF$65,'III. Finanzberichte'!$DM$65,'III. Finanzberichte'!$DT$65),"")</f>
        <v/>
      </c>
      <c r="P139" s="111" t="str">
        <f>IFERROR(CHOOSE(E81,'III. Finanzberichte'!$F$65,'III. Finanzberichte'!$M$65,'III. Finanzberichte'!$T$65,'III. Finanzberichte'!$AA$65,'III. Finanzberichte'!$AH$65,'III. Finanzberichte'!$AO$65,'III. Finanzberichte'!$AV$65,'III. Finanzberichte'!$BC$65,'III. Finanzberichte'!$BJ$65,'III. Finanzberichte'!$BQ$65,'III. Finanzberichte'!$BX$65,'III. Finanzberichte'!$CE$65,'III. Finanzberichte'!$CL$65,'III. Finanzberichte'!$CS$65,'III. Finanzberichte'!$CZ$65,'III. Finanzberichte'!$DG$65,'III. Finanzberichte'!$DN$65,'III. Finanzberichte'!$DU$65),"")</f>
        <v/>
      </c>
    </row>
    <row r="140">
      <c r="L140" s="108" t="str">
        <f>IFERROR(CHOOSE(E81,'III. Finanzberichte'!$B$66,'III. Finanzberichte'!$I$66,'III. Finanzberichte'!$P$66,'III. Finanzberichte'!$W$66,'III. Finanzberichte'!$AD$66,'III. Finanzberichte'!$AK$66,'III. Finanzberichte'!$AR$66,'III. Finanzberichte'!$AY$66,'III. Finanzberichte'!$BF$66,'III. Finanzberichte'!$BM$66,'III. Finanzberichte'!$BT$66,'III. Finanzberichte'!$CA$66,'III. Finanzberichte'!$CH$66,'III. Finanzberichte'!$CO$66,'III. Finanzberichte'!$CV$66,'III. Finanzberichte'!$DC$66,'III. Finanzberichte'!$DJ$66,'III. Finanzberichte'!$DQ$66),"")</f>
        <v/>
      </c>
      <c r="M140" s="109" t="str">
        <f>IFERROR(CHOOSE(E81,'III. Finanzberichte'!$C$66,'III. Finanzberichte'!$J$66,'III. Finanzberichte'!$Q$66,'III. Finanzberichte'!$X$66,'III. Finanzberichte'!$AE$66,'III. Finanzberichte'!$AL$66,'III. Finanzberichte'!$AS$66,'III. Finanzberichte'!$AZ$66,'III. Finanzberichte'!$BG$66,'III. Finanzberichte'!$BN$66,'III. Finanzberichte'!$BU$66,'III. Finanzberichte'!$CB$66,'III. Finanzberichte'!$CI$66,'III. Finanzberichte'!$CP$66,'III. Finanzberichte'!$CW$66,'III. Finanzberichte'!$DD$66,'III. Finanzberichte'!$DK$66,'III. Finanzberichte'!$DR$66),"")</f>
        <v/>
      </c>
      <c r="N140" s="110" t="str">
        <f>IFERROR(CHOOSE(E81,'III. Finanzberichte'!$D$66,'III. Finanzberichte'!$K$66,'III. Finanzberichte'!$R$66,'III. Finanzberichte'!$Y$66,'III. Finanzberichte'!$AF$66,'III. Finanzberichte'!$AM$66,'III. Finanzberichte'!$AT$66,'III. Finanzberichte'!$BA$66,'III. Finanzberichte'!$BH$66,'III. Finanzberichte'!$BO$66,'III. Finanzberichte'!$BV$66,'III. Finanzberichte'!$CC$66,'III. Finanzberichte'!$CJ$66,'III. Finanzberichte'!$CQ$66,'III. Finanzberichte'!$CX$66,'III. Finanzberichte'!$DE$66,'III. Finanzberichte'!$DL$66,'III. Finanzberichte'!$DS$66),"")</f>
        <v/>
      </c>
      <c r="O140" s="109" t="str">
        <f>IFERROR(CHOOSE(E81,'III. Finanzberichte'!$E$66,'III. Finanzberichte'!$L$66,'III. Finanzberichte'!$S$66,'III. Finanzberichte'!$Z$66,'III. Finanzberichte'!$AG$66,'III. Finanzberichte'!$AN$66,'III. Finanzberichte'!$AU$66,'III. Finanzberichte'!$BB$66,'III. Finanzberichte'!$BI$66,'III. Finanzberichte'!$BP$66,'III. Finanzberichte'!$BW$66,'III. Finanzberichte'!$CD$66,'III. Finanzberichte'!$CK$66,'III. Finanzberichte'!$CR$66,'III. Finanzberichte'!$CY$66,'III. Finanzberichte'!$DF$66,'III. Finanzberichte'!$DM$66,'III. Finanzberichte'!$DT$66),"")</f>
        <v/>
      </c>
      <c r="P140" s="111" t="str">
        <f>IFERROR(CHOOSE(E81,'III. Finanzberichte'!$F$66,'III. Finanzberichte'!$M$66,'III. Finanzberichte'!$T$66,'III. Finanzberichte'!$AA$66,'III. Finanzberichte'!$AH$66,'III. Finanzberichte'!$AO$66,'III. Finanzberichte'!$AV$66,'III. Finanzberichte'!$BC$66,'III. Finanzberichte'!$BJ$66,'III. Finanzberichte'!$BQ$66,'III. Finanzberichte'!$BX$66,'III. Finanzberichte'!$CE$66,'III. Finanzberichte'!$CL$66,'III. Finanzberichte'!$CS$66,'III. Finanzberichte'!$CZ$66,'III. Finanzberichte'!$DG$66,'III. Finanzberichte'!$DN$66,'III. Finanzberichte'!$DU$66),"")</f>
        <v/>
      </c>
    </row>
    <row r="141">
      <c r="L141" s="108" t="str">
        <f>IFERROR(CHOOSE(E81,'III. Finanzberichte'!$B$67,'III. Finanzberichte'!$I$67,'III. Finanzberichte'!$P$67,'III. Finanzberichte'!$W$67,'III. Finanzberichte'!$AD$67,'III. Finanzberichte'!$AK$67,'III. Finanzberichte'!$AR$67,'III. Finanzberichte'!$AY$67,'III. Finanzberichte'!$BF$67,'III. Finanzberichte'!$BM$67,'III. Finanzberichte'!$BT$67,'III. Finanzberichte'!$CA$67,'III. Finanzberichte'!$CH$67,'III. Finanzberichte'!$CO$67,'III. Finanzberichte'!$CV$67,'III. Finanzberichte'!$DC$67,'III. Finanzberichte'!$DJ$67,'III. Finanzberichte'!$DQ$67),"")</f>
        <v/>
      </c>
      <c r="M141" s="109" t="str">
        <f>IFERROR(CHOOSE(E81,'III. Finanzberichte'!$C$67,'III. Finanzberichte'!$J$67,'III. Finanzberichte'!$Q$67,'III. Finanzberichte'!$X$67,'III. Finanzberichte'!$AE$67,'III. Finanzberichte'!$AL$67,'III. Finanzberichte'!$AS$67,'III. Finanzberichte'!$AZ$67,'III. Finanzberichte'!$BG$67,'III. Finanzberichte'!$BN$67,'III. Finanzberichte'!$BU$67,'III. Finanzberichte'!$CB$67,'III. Finanzberichte'!$CI$67,'III. Finanzberichte'!$CP$67,'III. Finanzberichte'!$CW$67,'III. Finanzberichte'!$DD$67,'III. Finanzberichte'!$DK$67,'III. Finanzberichte'!$DR$67),"")</f>
        <v/>
      </c>
      <c r="N141" s="110" t="str">
        <f>IFERROR(CHOOSE(E81,'III. Finanzberichte'!$D$67,'III. Finanzberichte'!$K$67,'III. Finanzberichte'!$R$67,'III. Finanzberichte'!$Y$67,'III. Finanzberichte'!$AF$67,'III. Finanzberichte'!$AM$67,'III. Finanzberichte'!$AT$67,'III. Finanzberichte'!$BA$67,'III. Finanzberichte'!$BH$67,'III. Finanzberichte'!$BO$67,'III. Finanzberichte'!$BV$67,'III. Finanzberichte'!$CC$67,'III. Finanzberichte'!$CJ$67,'III. Finanzberichte'!$CQ$67,'III. Finanzberichte'!$CX$67,'III. Finanzberichte'!$DE$67,'III. Finanzberichte'!$DL$67,'III. Finanzberichte'!$DS$67),"")</f>
        <v/>
      </c>
      <c r="O141" s="109" t="str">
        <f>IFERROR(CHOOSE(E81,'III. Finanzberichte'!$E$67,'III. Finanzberichte'!$L$67,'III. Finanzberichte'!$S$67,'III. Finanzberichte'!$Z$67,'III. Finanzberichte'!$AG$67,'III. Finanzberichte'!$AN$67,'III. Finanzberichte'!$AU$67,'III. Finanzberichte'!$BB$67,'III. Finanzberichte'!$BI$67,'III. Finanzberichte'!$BP$67,'III. Finanzberichte'!$BW$67,'III. Finanzberichte'!$CD$67,'III. Finanzberichte'!$CK$67,'III. Finanzberichte'!$CR$67,'III. Finanzberichte'!$CY$67,'III. Finanzberichte'!$DF$67,'III. Finanzberichte'!$DM$67,'III. Finanzberichte'!$DT$67),"")</f>
        <v/>
      </c>
      <c r="P141" s="111" t="str">
        <f>IFERROR(CHOOSE(E81,'III. Finanzberichte'!$F$67,'III. Finanzberichte'!$M$67,'III. Finanzberichte'!$T$67,'III. Finanzberichte'!$AA$67,'III. Finanzberichte'!$AH$67,'III. Finanzberichte'!$AO$67,'III. Finanzberichte'!$AV$67,'III. Finanzberichte'!$BC$67,'III. Finanzberichte'!$BJ$67,'III. Finanzberichte'!$BQ$67,'III. Finanzberichte'!$BX$67,'III. Finanzberichte'!$CE$67,'III. Finanzberichte'!$CL$67,'III. Finanzberichte'!$CS$67,'III. Finanzberichte'!$CZ$67,'III. Finanzberichte'!$DG$67,'III. Finanzberichte'!$DN$67,'III. Finanzberichte'!$DU$67),"")</f>
        <v/>
      </c>
    </row>
    <row r="142">
      <c r="L142" s="108" t="str">
        <f>IFERROR(CHOOSE(E81,'III. Finanzberichte'!$B$68,'III. Finanzberichte'!$I$68,'III. Finanzberichte'!$P$68,'III. Finanzberichte'!$W$68,'III. Finanzberichte'!$AD$68,'III. Finanzberichte'!$AK$68,'III. Finanzberichte'!$AR$68,'III. Finanzberichte'!$AY$68,'III. Finanzberichte'!$BF$68,'III. Finanzberichte'!$BM$68,'III. Finanzberichte'!$BT$68,'III. Finanzberichte'!$CA$68,'III. Finanzberichte'!$CH$68,'III. Finanzberichte'!$CO$68,'III. Finanzberichte'!$CV$68,'III. Finanzberichte'!$DC$68,'III. Finanzberichte'!$DJ$68,'III. Finanzberichte'!$DQ$68),"")</f>
        <v/>
      </c>
      <c r="M142" s="109" t="str">
        <f>IFERROR(CHOOSE(E81,'III. Finanzberichte'!$C$68,'III. Finanzberichte'!$J$68,'III. Finanzberichte'!$Q$68,'III. Finanzberichte'!$X$68,'III. Finanzberichte'!$AE$68,'III. Finanzberichte'!$AL$68,'III. Finanzberichte'!$AS$68,'III. Finanzberichte'!$AZ$68,'III. Finanzberichte'!$BG$68,'III. Finanzberichte'!$BN$68,'III. Finanzberichte'!$BU$68,'III. Finanzberichte'!$CB$68,'III. Finanzberichte'!$CI$68,'III. Finanzberichte'!$CP$68,'III. Finanzberichte'!$CW$68,'III. Finanzberichte'!$DD$68,'III. Finanzberichte'!$DK$68,'III. Finanzberichte'!$DR$68),"")</f>
        <v/>
      </c>
      <c r="N142" s="110" t="str">
        <f>IFERROR(CHOOSE(E81,'III. Finanzberichte'!$D$68,'III. Finanzberichte'!$K$68,'III. Finanzberichte'!$R$68,'III. Finanzberichte'!$Y$68,'III. Finanzberichte'!$AF$68,'III. Finanzberichte'!$AM$68,'III. Finanzberichte'!$AT$68,'III. Finanzberichte'!$BA$68,'III. Finanzberichte'!$BH$68,'III. Finanzberichte'!$BO$68,'III. Finanzberichte'!$BV$68,'III. Finanzberichte'!$CC$68,'III. Finanzberichte'!$CJ$68,'III. Finanzberichte'!$CQ$68,'III. Finanzberichte'!$CX$68,'III. Finanzberichte'!$DE$68,'III. Finanzberichte'!$DL$68,'III. Finanzberichte'!$DS$68),"")</f>
        <v/>
      </c>
      <c r="O142" s="109" t="str">
        <f>IFERROR(CHOOSE(E81,'III. Finanzberichte'!$E$68,'III. Finanzberichte'!$L$68,'III. Finanzberichte'!$S$68,'III. Finanzberichte'!$Z$68,'III. Finanzberichte'!$AG$68,'III. Finanzberichte'!$AN$68,'III. Finanzberichte'!$AU$68,'III. Finanzberichte'!$BB$68,'III. Finanzberichte'!$BI$68,'III. Finanzberichte'!$BP$68,'III. Finanzberichte'!$BW$68,'III. Finanzberichte'!$CD$68,'III. Finanzberichte'!$CK$68,'III. Finanzberichte'!$CR$68,'III. Finanzberichte'!$CY$68,'III. Finanzberichte'!$DF$68,'III. Finanzberichte'!$DM$68,'III. Finanzberichte'!$DT$68),"")</f>
        <v/>
      </c>
      <c r="P142" s="111" t="str">
        <f>IFERROR(CHOOSE(E81,'III. Finanzberichte'!$F$68,'III. Finanzberichte'!$M$68,'III. Finanzberichte'!$T$68,'III. Finanzberichte'!$AA$68,'III. Finanzberichte'!$AH$68,'III. Finanzberichte'!$AO$68,'III. Finanzberichte'!$AV$68,'III. Finanzberichte'!$BC$68,'III. Finanzberichte'!$BJ$68,'III. Finanzberichte'!$BQ$68,'III. Finanzberichte'!$BX$68,'III. Finanzberichte'!$CE$68,'III. Finanzberichte'!$CL$68,'III. Finanzberichte'!$CS$68,'III. Finanzberichte'!$CZ$68,'III. Finanzberichte'!$DG$68,'III. Finanzberichte'!$DN$68,'III. Finanzberichte'!$DU$68),"")</f>
        <v/>
      </c>
    </row>
    <row r="143">
      <c r="L143" s="108" t="str">
        <f>IFERROR(CHOOSE(E81,'III. Finanzberichte'!$B$69,'III. Finanzberichte'!$I$69,'III. Finanzberichte'!$P$69,'III. Finanzberichte'!$W$69,'III. Finanzberichte'!$AD$69,'III. Finanzberichte'!$AK$69,'III. Finanzberichte'!$AR$69,'III. Finanzberichte'!$AY$69,'III. Finanzberichte'!$BF$69,'III. Finanzberichte'!$BM$69,'III. Finanzberichte'!$BT$69,'III. Finanzberichte'!$CA$69,'III. Finanzberichte'!$CH$69,'III. Finanzberichte'!$CO$69,'III. Finanzberichte'!$CV$69,'III. Finanzberichte'!$DC$69,'III. Finanzberichte'!$DJ$69,'III. Finanzberichte'!$DQ$69),"")</f>
        <v/>
      </c>
      <c r="M143" s="109" t="str">
        <f>IFERROR(CHOOSE(E81,'III. Finanzberichte'!$C$69,'III. Finanzberichte'!$J$69,'III. Finanzberichte'!$Q$69,'III. Finanzberichte'!$X$69,'III. Finanzberichte'!$AE$69,'III. Finanzberichte'!$AL$69,'III. Finanzberichte'!$AS$69,'III. Finanzberichte'!$AZ$69,'III. Finanzberichte'!$BG$69,'III. Finanzberichte'!$BN$69,'III. Finanzberichte'!$BU$69,'III. Finanzberichte'!$CB$69,'III. Finanzberichte'!$CI$69,'III. Finanzberichte'!$CP$69,'III. Finanzberichte'!$CW$69,'III. Finanzberichte'!$DD$69,'III. Finanzberichte'!$DK$69,'III. Finanzberichte'!$DR$69),"")</f>
        <v/>
      </c>
      <c r="N143" s="110" t="str">
        <f>IFERROR(CHOOSE(E81,'III. Finanzberichte'!$D$69,'III. Finanzberichte'!$K$69,'III. Finanzberichte'!$R$69,'III. Finanzberichte'!$Y$69,'III. Finanzberichte'!$AF$69,'III. Finanzberichte'!$AM$69,'III. Finanzberichte'!$AT$69,'III. Finanzberichte'!$BA$69,'III. Finanzberichte'!$BH$69,'III. Finanzberichte'!$BO$69,'III. Finanzberichte'!$BV$69,'III. Finanzberichte'!$CC$69,'III. Finanzberichte'!$CJ$69,'III. Finanzberichte'!$CQ$69,'III. Finanzberichte'!$CX$69,'III. Finanzberichte'!$DE$69,'III. Finanzberichte'!$DL$69,'III. Finanzberichte'!$DS$69),"")</f>
        <v/>
      </c>
      <c r="O143" s="109" t="str">
        <f>IFERROR(CHOOSE(E81,'III. Finanzberichte'!$E$69,'III. Finanzberichte'!$L$69,'III. Finanzberichte'!$S$69,'III. Finanzberichte'!$Z$69,'III. Finanzberichte'!$AG$69,'III. Finanzberichte'!$AN$69,'III. Finanzberichte'!$AU$69,'III. Finanzberichte'!$BB$69,'III. Finanzberichte'!$BI$69,'III. Finanzberichte'!$BP$69,'III. Finanzberichte'!$BW$69,'III. Finanzberichte'!$CD$69,'III. Finanzberichte'!$CK$69,'III. Finanzberichte'!$CR$69,'III. Finanzberichte'!$CY$69,'III. Finanzberichte'!$DF$69,'III. Finanzberichte'!$DM$69,'III. Finanzberichte'!$DT$69),"")</f>
        <v/>
      </c>
      <c r="P143" s="111" t="str">
        <f>IFERROR(CHOOSE(E81,'III. Finanzberichte'!$F$69,'III. Finanzberichte'!$M$69,'III. Finanzberichte'!$T$69,'III. Finanzberichte'!$AA$69,'III. Finanzberichte'!$AH$69,'III. Finanzberichte'!$AO$69,'III. Finanzberichte'!$AV$69,'III. Finanzberichte'!$BC$69,'III. Finanzberichte'!$BJ$69,'III. Finanzberichte'!$BQ$69,'III. Finanzberichte'!$BX$69,'III. Finanzberichte'!$CE$69,'III. Finanzberichte'!$CL$69,'III. Finanzberichte'!$CS$69,'III. Finanzberichte'!$CZ$69,'III. Finanzberichte'!$DG$69,'III. Finanzberichte'!$DN$69,'III. Finanzberichte'!$DU$69),"")</f>
        <v/>
      </c>
    </row>
    <row r="144">
      <c r="L144" s="108" t="str">
        <f>IFERROR(CHOOSE(E81,'III. Finanzberichte'!$B$70,'III. Finanzberichte'!$I$70,'III. Finanzberichte'!$P$70,'III. Finanzberichte'!$W$70,'III. Finanzberichte'!$AD$70,'III. Finanzberichte'!$AK$70,'III. Finanzberichte'!$AR$70,'III. Finanzberichte'!$AY$70,'III. Finanzberichte'!$BF$70,'III. Finanzberichte'!$BM$70,'III. Finanzberichte'!$BT$70,'III. Finanzberichte'!$CA$70,'III. Finanzberichte'!$CH$70,'III. Finanzberichte'!$CO$70,'III. Finanzberichte'!$CV$70,'III. Finanzberichte'!$DC$70,'III. Finanzberichte'!$DJ$70,'III. Finanzberichte'!$DQ$70),"")</f>
        <v/>
      </c>
      <c r="M144" s="109" t="str">
        <f>IFERROR(CHOOSE(E81,'III. Finanzberichte'!$C$70,'III. Finanzberichte'!$J$70,'III. Finanzberichte'!$Q$70,'III. Finanzberichte'!$X$70,'III. Finanzberichte'!$AE$70,'III. Finanzberichte'!$AL$70,'III. Finanzberichte'!$AS$70,'III. Finanzberichte'!$AZ$70,'III. Finanzberichte'!$BG$70,'III. Finanzberichte'!$BN$70,'III. Finanzberichte'!$BU$70,'III. Finanzberichte'!$CB$70,'III. Finanzberichte'!$CI$70,'III. Finanzberichte'!$CP$70,'III. Finanzberichte'!$CW$70,'III. Finanzberichte'!$DD$70,'III. Finanzberichte'!$DK$70,'III. Finanzberichte'!$DR$70),"")</f>
        <v/>
      </c>
      <c r="N144" s="110" t="str">
        <f>IFERROR(CHOOSE(E81,'III. Finanzberichte'!$D$70,'III. Finanzberichte'!$K$70,'III. Finanzberichte'!$R$70,'III. Finanzberichte'!$Y$70,'III. Finanzberichte'!$AF$70,'III. Finanzberichte'!$AM$70,'III. Finanzberichte'!$AT$70,'III. Finanzberichte'!$BA$70,'III. Finanzberichte'!$BH$70,'III. Finanzberichte'!$BO$70,'III. Finanzberichte'!$BV$70,'III. Finanzberichte'!$CC$70,'III. Finanzberichte'!$CJ$70,'III. Finanzberichte'!$CQ$70,'III. Finanzberichte'!$CX$70,'III. Finanzberichte'!$DE$70,'III. Finanzberichte'!$DL$70,'III. Finanzberichte'!$DS$70),"")</f>
        <v/>
      </c>
      <c r="O144" s="109" t="str">
        <f>IFERROR(CHOOSE(E81,'III. Finanzberichte'!$E$70,'III. Finanzberichte'!$L$70,'III. Finanzberichte'!$S$70,'III. Finanzberichte'!$Z$70,'III. Finanzberichte'!$AG$70,'III. Finanzberichte'!$AN$70,'III. Finanzberichte'!$AU$70,'III. Finanzberichte'!$BB$70,'III. Finanzberichte'!$BI$70,'III. Finanzberichte'!$BP$70,'III. Finanzberichte'!$BW$70,'III. Finanzberichte'!$CD$70,'III. Finanzberichte'!$CK$70,'III. Finanzberichte'!$CR$70,'III. Finanzberichte'!$CY$70,'III. Finanzberichte'!$DF$70,'III. Finanzberichte'!$DM$70,'III. Finanzberichte'!$DT$70),"")</f>
        <v/>
      </c>
      <c r="P144" s="111" t="str">
        <f>IFERROR(CHOOSE(E81,'III. Finanzberichte'!$F$70,'III. Finanzberichte'!$M$70,'III. Finanzberichte'!$T$70,'III. Finanzberichte'!$AA$70,'III. Finanzberichte'!$AH$70,'III. Finanzberichte'!$AO$70,'III. Finanzberichte'!$AV$70,'III. Finanzberichte'!$BC$70,'III. Finanzberichte'!$BJ$70,'III. Finanzberichte'!$BQ$70,'III. Finanzberichte'!$BX$70,'III. Finanzberichte'!$CE$70,'III. Finanzberichte'!$CL$70,'III. Finanzberichte'!$CS$70,'III. Finanzberichte'!$CZ$70,'III. Finanzberichte'!$DG$70,'III. Finanzberichte'!$DN$70,'III. Finanzberichte'!$DU$70),"")</f>
        <v/>
      </c>
    </row>
    <row r="145">
      <c r="L145" s="108" t="str">
        <f>IFERROR(CHOOSE(E81,'III. Finanzberichte'!$B$71,'III. Finanzberichte'!$I$71,'III. Finanzberichte'!$P$71,'III. Finanzberichte'!$W$71,'III. Finanzberichte'!$AD$71,'III. Finanzberichte'!$AK$71,'III. Finanzberichte'!$AR$71,'III. Finanzberichte'!$AY$71,'III. Finanzberichte'!$BF$71,'III. Finanzberichte'!$BM$71,'III. Finanzberichte'!$BT$71,'III. Finanzberichte'!$CA$71,'III. Finanzberichte'!$CH$71,'III. Finanzberichte'!$CO$71,'III. Finanzberichte'!$CV$71,'III. Finanzberichte'!$DC$71,'III. Finanzberichte'!$DJ$71,'III. Finanzberichte'!$DQ$71),"")</f>
        <v/>
      </c>
      <c r="M145" s="109" t="str">
        <f>IFERROR(CHOOSE(E81,'III. Finanzberichte'!$C$71,'III. Finanzberichte'!$J$71,'III. Finanzberichte'!$Q$71,'III. Finanzberichte'!$X$71,'III. Finanzberichte'!$AE$71,'III. Finanzberichte'!$AL$71,'III. Finanzberichte'!$AS$71,'III. Finanzberichte'!$AZ$71,'III. Finanzberichte'!$BG$71,'III. Finanzberichte'!$BN$71,'III. Finanzberichte'!$BU$71,'III. Finanzberichte'!$CB$71,'III. Finanzberichte'!$CI$71,'III. Finanzberichte'!$CP$71,'III. Finanzberichte'!$CW$71,'III. Finanzberichte'!$DD$71,'III. Finanzberichte'!$DK$71,'III. Finanzberichte'!$DR$71),"")</f>
        <v/>
      </c>
      <c r="N145" s="110" t="str">
        <f>IFERROR(CHOOSE(E81,'III. Finanzberichte'!$D$71,'III. Finanzberichte'!$K$71,'III. Finanzberichte'!$R$71,'III. Finanzberichte'!$Y$71,'III. Finanzberichte'!$AF$71,'III. Finanzberichte'!$AM$71,'III. Finanzberichte'!$AT$71,'III. Finanzberichte'!$BA$71,'III. Finanzberichte'!$BH$71,'III. Finanzberichte'!$BO$71,'III. Finanzberichte'!$BV$71,'III. Finanzberichte'!$CC$71,'III. Finanzberichte'!$CJ$71,'III. Finanzberichte'!$CQ$71,'III. Finanzberichte'!$CX$71,'III. Finanzberichte'!$DE$71,'III. Finanzberichte'!$DL$71,'III. Finanzberichte'!$DS$71),"")</f>
        <v/>
      </c>
      <c r="O145" s="109" t="str">
        <f>IFERROR(CHOOSE(E81,'III. Finanzberichte'!$E$71,'III. Finanzberichte'!$L$71,'III. Finanzberichte'!$S$71,'III. Finanzberichte'!$Z$71,'III. Finanzberichte'!$AG$71,'III. Finanzberichte'!$AN$71,'III. Finanzberichte'!$AU$71,'III. Finanzberichte'!$BB$71,'III. Finanzberichte'!$BI$71,'III. Finanzberichte'!$BP$71,'III. Finanzberichte'!$BW$71,'III. Finanzberichte'!$CD$71,'III. Finanzberichte'!$CK$71,'III. Finanzberichte'!$CR$71,'III. Finanzberichte'!$CY$71,'III. Finanzberichte'!$DF$71,'III. Finanzberichte'!$DM$71,'III. Finanzberichte'!$DT$71),"")</f>
        <v/>
      </c>
      <c r="P145" s="111" t="str">
        <f>IFERROR(CHOOSE(E81,'III. Finanzberichte'!$F$71,'III. Finanzberichte'!$M$71,'III. Finanzberichte'!$T$71,'III. Finanzberichte'!$AA$71,'III. Finanzberichte'!$AH$71,'III. Finanzberichte'!$AO$71,'III. Finanzberichte'!$AV$71,'III. Finanzberichte'!$BC$71,'III. Finanzberichte'!$BJ$71,'III. Finanzberichte'!$BQ$71,'III. Finanzberichte'!$BX$71,'III. Finanzberichte'!$CE$71,'III. Finanzberichte'!$CL$71,'III. Finanzberichte'!$CS$71,'III. Finanzberichte'!$CZ$71,'III. Finanzberichte'!$DG$71,'III. Finanzberichte'!$DN$71,'III. Finanzberichte'!$DU$71),"")</f>
        <v/>
      </c>
    </row>
    <row r="146">
      <c r="L146" s="108" t="str">
        <f>IFERROR(CHOOSE(E81,'III. Finanzberichte'!$B$72,'III. Finanzberichte'!$I$72,'III. Finanzberichte'!$P$72,'III. Finanzberichte'!$W$72,'III. Finanzberichte'!$AD$72,'III. Finanzberichte'!$AK$72,'III. Finanzberichte'!$AR$72,'III. Finanzberichte'!$AY$72,'III. Finanzberichte'!$BF$72,'III. Finanzberichte'!$BM$72,'III. Finanzberichte'!$BT$72,'III. Finanzberichte'!$CA$72,'III. Finanzberichte'!$CH$72,'III. Finanzberichte'!$CO$72,'III. Finanzberichte'!$CV$72,'III. Finanzberichte'!$DC$72,'III. Finanzberichte'!$DJ$72,'III. Finanzberichte'!$DQ$72),"")</f>
        <v/>
      </c>
      <c r="M146" s="109" t="str">
        <f>IFERROR(CHOOSE(E81,'III. Finanzberichte'!$C$72,'III. Finanzberichte'!$J$72,'III. Finanzberichte'!$Q$72,'III. Finanzberichte'!$X$72,'III. Finanzberichte'!$AE$72,'III. Finanzberichte'!$AL$72,'III. Finanzberichte'!$AS$72,'III. Finanzberichte'!$AZ$72,'III. Finanzberichte'!$BG$72,'III. Finanzberichte'!$BN$72,'III. Finanzberichte'!$BU$72,'III. Finanzberichte'!$CB$72,'III. Finanzberichte'!$CI$72,'III. Finanzberichte'!$CP$72,'III. Finanzberichte'!$CW$72,'III. Finanzberichte'!$DD$72,'III. Finanzberichte'!$DK$72,'III. Finanzberichte'!$DR$72),"")</f>
        <v/>
      </c>
      <c r="N146" s="110" t="str">
        <f>IFERROR(CHOOSE(E81,'III. Finanzberichte'!$D$72,'III. Finanzberichte'!$K$72,'III. Finanzberichte'!$R$72,'III. Finanzberichte'!$Y$72,'III. Finanzberichte'!$AF$72,'III. Finanzberichte'!$AM$72,'III. Finanzberichte'!$AT$72,'III. Finanzberichte'!$BA$72,'III. Finanzberichte'!$BH$72,'III. Finanzberichte'!$BO$72,'III. Finanzberichte'!$BV$72,'III. Finanzberichte'!$CC$72,'III. Finanzberichte'!$CJ$72,'III. Finanzberichte'!$CQ$72,'III. Finanzberichte'!$CX$72,'III. Finanzberichte'!$DE$72,'III. Finanzberichte'!$DL$72,'III. Finanzberichte'!$DS$72),"")</f>
        <v/>
      </c>
      <c r="O146" s="109" t="str">
        <f>IFERROR(CHOOSE(E81,'III. Finanzberichte'!$E$72,'III. Finanzberichte'!$L$72,'III. Finanzberichte'!$S$72,'III. Finanzberichte'!$Z$72,'III. Finanzberichte'!$AG$72,'III. Finanzberichte'!$AN$72,'III. Finanzberichte'!$AU$72,'III. Finanzberichte'!$BB$72,'III. Finanzberichte'!$BI$72,'III. Finanzberichte'!$BP$72,'III. Finanzberichte'!$BW$72,'III. Finanzberichte'!$CD$72,'III. Finanzberichte'!$CK$72,'III. Finanzberichte'!$CR$72,'III. Finanzberichte'!$CY$72,'III. Finanzberichte'!$DF$72,'III. Finanzberichte'!$DM$72,'III. Finanzberichte'!$DT$72),"")</f>
        <v/>
      </c>
      <c r="P146" s="111" t="str">
        <f>IFERROR(CHOOSE(E81,'III. Finanzberichte'!$F$72,'III. Finanzberichte'!$M$72,'III. Finanzberichte'!$T$72,'III. Finanzberichte'!$AA$72,'III. Finanzberichte'!$AH$72,'III. Finanzberichte'!$AO$72,'III. Finanzberichte'!$AV$72,'III. Finanzberichte'!$BC$72,'III. Finanzberichte'!$BJ$72,'III. Finanzberichte'!$BQ$72,'III. Finanzberichte'!$BX$72,'III. Finanzberichte'!$CE$72,'III. Finanzberichte'!$CL$72,'III. Finanzberichte'!$CS$72,'III. Finanzberichte'!$CZ$72,'III. Finanzberichte'!$DG$72,'III. Finanzberichte'!$DN$72,'III. Finanzberichte'!$DU$72),"")</f>
        <v/>
      </c>
    </row>
    <row r="147">
      <c r="L147" s="108" t="str">
        <f>IFERROR(CHOOSE(E81,'III. Finanzberichte'!$B$73,'III. Finanzberichte'!$I$73,'III. Finanzberichte'!$P$73,'III. Finanzberichte'!$W$73,'III. Finanzberichte'!$AD$73,'III. Finanzberichte'!$AK$73,'III. Finanzberichte'!$AR$73,'III. Finanzberichte'!$AY$73,'III. Finanzberichte'!$BF$73,'III. Finanzberichte'!$BM$73,'III. Finanzberichte'!$BT$73,'III. Finanzberichte'!$CA$73,'III. Finanzberichte'!$CH$73,'III. Finanzberichte'!$CO$73,'III. Finanzberichte'!$CV$73,'III. Finanzberichte'!$DC$73,'III. Finanzberichte'!$DJ$73,'III. Finanzberichte'!$DQ$73),"")</f>
        <v/>
      </c>
      <c r="M147" s="109" t="str">
        <f>IFERROR(CHOOSE(E81,'III. Finanzberichte'!$C$73,'III. Finanzberichte'!$J$73,'III. Finanzberichte'!$Q$73,'III. Finanzberichte'!$X$73,'III. Finanzberichte'!$AE$73,'III. Finanzberichte'!$AL$73,'III. Finanzberichte'!$AS$73,'III. Finanzberichte'!$AZ$73,'III. Finanzberichte'!$BG$73,'III. Finanzberichte'!$BN$73,'III. Finanzberichte'!$BU$73,'III. Finanzberichte'!$CB$73,'III. Finanzberichte'!$CI$73,'III. Finanzberichte'!$CP$73,'III. Finanzberichte'!$CW$73,'III. Finanzberichte'!$DD$73,'III. Finanzberichte'!$DK$73,'III. Finanzberichte'!$DR$73),"")</f>
        <v/>
      </c>
      <c r="N147" s="110" t="str">
        <f>IFERROR(CHOOSE(E81,'III. Finanzberichte'!$D$73,'III. Finanzberichte'!$K$73,'III. Finanzberichte'!$R$73,'III. Finanzberichte'!$Y$73,'III. Finanzberichte'!$AF$73,'III. Finanzberichte'!$AM$73,'III. Finanzberichte'!$AT$73,'III. Finanzberichte'!$BA$73,'III. Finanzberichte'!$BH$73,'III. Finanzberichte'!$BO$73,'III. Finanzberichte'!$BV$73,'III. Finanzberichte'!$CC$73,'III. Finanzberichte'!$CJ$73,'III. Finanzberichte'!$CQ$73,'III. Finanzberichte'!$CX$73,'III. Finanzberichte'!$DE$73,'III. Finanzberichte'!$DL$73,'III. Finanzberichte'!$DS$73),"")</f>
        <v/>
      </c>
      <c r="O147" s="109" t="str">
        <f>IFERROR(CHOOSE(E81,'III. Finanzberichte'!$E$73,'III. Finanzberichte'!$L$73,'III. Finanzberichte'!$S$73,'III. Finanzberichte'!$Z$73,'III. Finanzberichte'!$AG$73,'III. Finanzberichte'!$AN$73,'III. Finanzberichte'!$AU$73,'III. Finanzberichte'!$BB$73,'III. Finanzberichte'!$BI$73,'III. Finanzberichte'!$BP$73,'III. Finanzberichte'!$BW$73,'III. Finanzberichte'!$CD$73,'III. Finanzberichte'!$CK$73,'III. Finanzberichte'!$CR$73,'III. Finanzberichte'!$CY$73,'III. Finanzberichte'!$DF$73,'III. Finanzberichte'!$DM$73,'III. Finanzberichte'!$DT$73),"")</f>
        <v/>
      </c>
      <c r="P147" s="111" t="str">
        <f>IFERROR(CHOOSE(E81,'III. Finanzberichte'!$F$73,'III. Finanzberichte'!$M$73,'III. Finanzberichte'!$T$73,'III. Finanzberichte'!$AA$73,'III. Finanzberichte'!$AH$73,'III. Finanzberichte'!$AO$73,'III. Finanzberichte'!$AV$73,'III. Finanzberichte'!$BC$73,'III. Finanzberichte'!$BJ$73,'III. Finanzberichte'!$BQ$73,'III. Finanzberichte'!$BX$73,'III. Finanzberichte'!$CE$73,'III. Finanzberichte'!$CL$73,'III. Finanzberichte'!$CS$73,'III. Finanzberichte'!$CZ$73,'III. Finanzberichte'!$DG$73,'III. Finanzberichte'!$DN$73,'III. Finanzberichte'!$DU$73),"")</f>
        <v/>
      </c>
    </row>
    <row r="148">
      <c r="L148" s="108" t="str">
        <f>IFERROR(CHOOSE(E81,'III. Finanzberichte'!$B$74,'III. Finanzberichte'!$I$74,'III. Finanzberichte'!$P$74,'III. Finanzberichte'!$W$74,'III. Finanzberichte'!$AD$74,'III. Finanzberichte'!$AK$74,'III. Finanzberichte'!$AR$74,'III. Finanzberichte'!$AY$74,'III. Finanzberichte'!$BF$74,'III. Finanzberichte'!$BM$74,'III. Finanzberichte'!$BT$74,'III. Finanzberichte'!$CA$74,'III. Finanzberichte'!$CH$74,'III. Finanzberichte'!$CO$74,'III. Finanzberichte'!$CV$74,'III. Finanzberichte'!$DC$74,'III. Finanzberichte'!$DJ$74,'III. Finanzberichte'!$DQ$74),"")</f>
        <v/>
      </c>
      <c r="M148" s="109" t="str">
        <f>IFERROR(CHOOSE(E81,'III. Finanzberichte'!$C$74,'III. Finanzberichte'!$J$74,'III. Finanzberichte'!$Q$74,'III. Finanzberichte'!$X$74,'III. Finanzberichte'!$AE$74,'III. Finanzberichte'!$AL$74,'III. Finanzberichte'!$AS$74,'III. Finanzberichte'!$AZ$74,'III. Finanzberichte'!$BG$74,'III. Finanzberichte'!$BN$74,'III. Finanzberichte'!$BU$74,'III. Finanzberichte'!$CB$74,'III. Finanzberichte'!$CI$74,'III. Finanzberichte'!$CP$74,'III. Finanzberichte'!$CW$74,'III. Finanzberichte'!$DD$74,'III. Finanzberichte'!$DK$74,'III. Finanzberichte'!$DR$74),"")</f>
        <v/>
      </c>
      <c r="N148" s="110" t="str">
        <f>IFERROR(CHOOSE(E81,'III. Finanzberichte'!$D$74,'III. Finanzberichte'!$K$74,'III. Finanzberichte'!$R$74,'III. Finanzberichte'!$Y$74,'III. Finanzberichte'!$AF$74,'III. Finanzberichte'!$AM$74,'III. Finanzberichte'!$AT$74,'III. Finanzberichte'!$BA$74,'III. Finanzberichte'!$BH$74,'III. Finanzberichte'!$BO$74,'III. Finanzberichte'!$BV$74,'III. Finanzberichte'!$CC$74,'III. Finanzberichte'!$CJ$74,'III. Finanzberichte'!$CQ$74,'III. Finanzberichte'!$CX$74,'III. Finanzberichte'!$DE$74,'III. Finanzberichte'!$DL$74,'III. Finanzberichte'!$DS$74),"")</f>
        <v/>
      </c>
      <c r="O148" s="109" t="str">
        <f>IFERROR(CHOOSE(E81,'III. Finanzberichte'!$E$74,'III. Finanzberichte'!$L$74,'III. Finanzberichte'!$S$74,'III. Finanzberichte'!$Z$74,'III. Finanzberichte'!$AG$74,'III. Finanzberichte'!$AN$74,'III. Finanzberichte'!$AU$74,'III. Finanzberichte'!$BB$74,'III. Finanzberichte'!$BI$74,'III. Finanzberichte'!$BP$74,'III. Finanzberichte'!$BW$74,'III. Finanzberichte'!$CD$74,'III. Finanzberichte'!$CK$74,'III. Finanzberichte'!$CR$74,'III. Finanzberichte'!$CY$74,'III. Finanzberichte'!$DF$74,'III. Finanzberichte'!$DM$74,'III. Finanzberichte'!$DT$74),"")</f>
        <v/>
      </c>
      <c r="P148" s="111" t="str">
        <f>IFERROR(CHOOSE(E81,'III. Finanzberichte'!$F$74,'III. Finanzberichte'!$M$74,'III. Finanzberichte'!$T$74,'III. Finanzberichte'!$AA$74,'III. Finanzberichte'!$AH$74,'III. Finanzberichte'!$AO$74,'III. Finanzberichte'!$AV$74,'III. Finanzberichte'!$BC$74,'III. Finanzberichte'!$BJ$74,'III. Finanzberichte'!$BQ$74,'III. Finanzberichte'!$BX$74,'III. Finanzberichte'!$CE$74,'III. Finanzberichte'!$CL$74,'III. Finanzberichte'!$CS$74,'III. Finanzberichte'!$CZ$74,'III. Finanzberichte'!$DG$74,'III. Finanzberichte'!$DN$74,'III. Finanzberichte'!$DU$74),"")</f>
        <v/>
      </c>
    </row>
    <row r="149">
      <c r="L149" s="108" t="str">
        <f>IFERROR(CHOOSE(E81,'III. Finanzberichte'!$B$75,'III. Finanzberichte'!$I$75,'III. Finanzberichte'!$P$75,'III. Finanzberichte'!$W$75,'III. Finanzberichte'!$AD$75,'III. Finanzberichte'!$AK$75,'III. Finanzberichte'!$AR$75,'III. Finanzberichte'!$AY$75,'III. Finanzberichte'!$BF$75,'III. Finanzberichte'!$BM$75,'III. Finanzberichte'!$BT$75,'III. Finanzberichte'!$CA$75,'III. Finanzberichte'!$CH$75,'III. Finanzberichte'!$CO$75,'III. Finanzberichte'!$CV$75,'III. Finanzberichte'!$DC$75,'III. Finanzberichte'!$DJ$75,'III. Finanzberichte'!$DQ$75),"")</f>
        <v/>
      </c>
      <c r="M149" s="109" t="str">
        <f>IFERROR(CHOOSE(E81,'III. Finanzberichte'!$C$75,'III. Finanzberichte'!$J$75,'III. Finanzberichte'!$Q$75,'III. Finanzberichte'!$X$75,'III. Finanzberichte'!$AE$75,'III. Finanzberichte'!$AL$75,'III. Finanzberichte'!$AS$75,'III. Finanzberichte'!$AZ$75,'III. Finanzberichte'!$BG$75,'III. Finanzberichte'!$BN$75,'III. Finanzberichte'!$BU$75,'III. Finanzberichte'!$CB$75,'III. Finanzberichte'!$CI$75,'III. Finanzberichte'!$CP$75,'III. Finanzberichte'!$CW$75,'III. Finanzberichte'!$DD$75,'III. Finanzberichte'!$DK$75,'III. Finanzberichte'!$DR$75),"")</f>
        <v/>
      </c>
      <c r="N149" s="110" t="str">
        <f>IFERROR(CHOOSE(E81,'III. Finanzberichte'!$D$75,'III. Finanzberichte'!$K$75,'III. Finanzberichte'!$R$75,'III. Finanzberichte'!$Y$75,'III. Finanzberichte'!$AF$75,'III. Finanzberichte'!$AM$75,'III. Finanzberichte'!$AT$75,'III. Finanzberichte'!$BA$75,'III. Finanzberichte'!$BH$75,'III. Finanzberichte'!$BO$75,'III. Finanzberichte'!$BV$75,'III. Finanzberichte'!$CC$75,'III. Finanzberichte'!$CJ$75,'III. Finanzberichte'!$CQ$75,'III. Finanzberichte'!$CX$75,'III. Finanzberichte'!$DE$75,'III. Finanzberichte'!$DL$75,'III. Finanzberichte'!$DS$75),"")</f>
        <v/>
      </c>
      <c r="O149" s="109" t="str">
        <f>IFERROR(CHOOSE(E81,'III. Finanzberichte'!$E$75,'III. Finanzberichte'!$L$75,'III. Finanzberichte'!$S$75,'III. Finanzberichte'!$Z$75,'III. Finanzberichte'!$AG$75,'III. Finanzberichte'!$AN$75,'III. Finanzberichte'!$AU$75,'III. Finanzberichte'!$BB$75,'III. Finanzberichte'!$BI$75,'III. Finanzberichte'!$BP$75,'III. Finanzberichte'!$BW$75,'III. Finanzberichte'!$CD$75,'III. Finanzberichte'!$CK$75,'III. Finanzberichte'!$CR$75,'III. Finanzberichte'!$CY$75,'III. Finanzberichte'!$DF$75,'III. Finanzberichte'!$DM$75,'III. Finanzberichte'!$DT$75),"")</f>
        <v/>
      </c>
      <c r="P149" s="111" t="str">
        <f>IFERROR(CHOOSE(E81,'III. Finanzberichte'!$F$75,'III. Finanzberichte'!$M$75,'III. Finanzberichte'!$T$75,'III. Finanzberichte'!$AA$75,'III. Finanzberichte'!$AH$75,'III. Finanzberichte'!$AO$75,'III. Finanzberichte'!$AV$75,'III. Finanzberichte'!$BC$75,'III. Finanzberichte'!$BJ$75,'III. Finanzberichte'!$BQ$75,'III. Finanzberichte'!$BX$75,'III. Finanzberichte'!$CE$75,'III. Finanzberichte'!$CL$75,'III. Finanzberichte'!$CS$75,'III. Finanzberichte'!$CZ$75,'III. Finanzberichte'!$DG$75,'III. Finanzberichte'!$DN$75,'III. Finanzberichte'!$DU$75),"")</f>
        <v/>
      </c>
    </row>
    <row r="150">
      <c r="L150" s="108" t="str">
        <f>IFERROR(CHOOSE(E81,'III. Finanzberichte'!$B$76,'III. Finanzberichte'!$I$76,'III. Finanzberichte'!$P$76,'III. Finanzberichte'!$W$76,'III. Finanzberichte'!$AD$76,'III. Finanzberichte'!$AK$76,'III. Finanzberichte'!$AR$76,'III. Finanzberichte'!$AY$76,'III. Finanzberichte'!$BF$76,'III. Finanzberichte'!$BM$76,'III. Finanzberichte'!$BT$76,'III. Finanzberichte'!$CA$76,'III. Finanzberichte'!$CH$76,'III. Finanzberichte'!$CO$76,'III. Finanzberichte'!$CV$76,'III. Finanzberichte'!$DC$76,'III. Finanzberichte'!$DJ$76,'III. Finanzberichte'!$DQ$76),"")</f>
        <v/>
      </c>
      <c r="M150" s="109" t="str">
        <f>IFERROR(CHOOSE(E81,'III. Finanzberichte'!$C$76,'III. Finanzberichte'!$J$76,'III. Finanzberichte'!$Q$76,'III. Finanzberichte'!$X$76,'III. Finanzberichte'!$AE$76,'III. Finanzberichte'!$AL$76,'III. Finanzberichte'!$AS$76,'III. Finanzberichte'!$AZ$76,'III. Finanzberichte'!$BG$76,'III. Finanzberichte'!$BN$76,'III. Finanzberichte'!$BU$76,'III. Finanzberichte'!$CB$76,'III. Finanzberichte'!$CI$76,'III. Finanzberichte'!$CP$76,'III. Finanzberichte'!$CW$76,'III. Finanzberichte'!$DD$76,'III. Finanzberichte'!$DK$76,'III. Finanzberichte'!$DR$76),"")</f>
        <v/>
      </c>
      <c r="N150" s="110" t="str">
        <f>IFERROR(CHOOSE(E81,'III. Finanzberichte'!$D$76,'III. Finanzberichte'!$K$76,'III. Finanzberichte'!$R$76,'III. Finanzberichte'!$Y$76,'III. Finanzberichte'!$AF$76,'III. Finanzberichte'!$AM$76,'III. Finanzberichte'!$AT$76,'III. Finanzberichte'!$BA$76,'III. Finanzberichte'!$BH$76,'III. Finanzberichte'!$BO$76,'III. Finanzberichte'!$BV$76,'III. Finanzberichte'!$CC$76,'III. Finanzberichte'!$CJ$76,'III. Finanzberichte'!$CQ$76,'III. Finanzberichte'!$CX$76,'III. Finanzberichte'!$DE$76,'III. Finanzberichte'!$DL$76,'III. Finanzberichte'!$DS$76),"")</f>
        <v/>
      </c>
      <c r="O150" s="109" t="str">
        <f>IFERROR(CHOOSE(E81,'III. Finanzberichte'!$E$76,'III. Finanzberichte'!$L$76,'III. Finanzberichte'!$S$76,'III. Finanzberichte'!$Z$76,'III. Finanzberichte'!$AG$76,'III. Finanzberichte'!$AN$76,'III. Finanzberichte'!$AU$76,'III. Finanzberichte'!$BB$76,'III. Finanzberichte'!$BI$76,'III. Finanzberichte'!$BP$76,'III. Finanzberichte'!$BW$76,'III. Finanzberichte'!$CD$76,'III. Finanzberichte'!$CK$76,'III. Finanzberichte'!$CR$76,'III. Finanzberichte'!$CY$76,'III. Finanzberichte'!$DF$76,'III. Finanzberichte'!$DM$76,'III. Finanzberichte'!$DT$76),"")</f>
        <v/>
      </c>
      <c r="P150" s="111" t="str">
        <f>IFERROR(CHOOSE(E81,'III. Finanzberichte'!$F$76,'III. Finanzberichte'!$M$76,'III. Finanzberichte'!$T$76,'III. Finanzberichte'!$AA$76,'III. Finanzberichte'!$AH$76,'III. Finanzberichte'!$AO$76,'III. Finanzberichte'!$AV$76,'III. Finanzberichte'!$BC$76,'III. Finanzberichte'!$BJ$76,'III. Finanzberichte'!$BQ$76,'III. Finanzberichte'!$BX$76,'III. Finanzberichte'!$CE$76,'III. Finanzberichte'!$CL$76,'III. Finanzberichte'!$CS$76,'III. Finanzberichte'!$CZ$76,'III. Finanzberichte'!$DG$76,'III. Finanzberichte'!$DN$76,'III. Finanzberichte'!$DU$76),"")</f>
        <v/>
      </c>
    </row>
    <row r="151">
      <c r="L151" s="108" t="str">
        <f>IFERROR(CHOOSE(E81,'III. Finanzberichte'!$B$77,'III. Finanzberichte'!$I$77,'III. Finanzberichte'!$P$77,'III. Finanzberichte'!$W$77,'III. Finanzberichte'!$AD$77,'III. Finanzberichte'!$AK$77,'III. Finanzberichte'!$AR$77,'III. Finanzberichte'!$AY$77,'III. Finanzberichte'!$BF$77,'III. Finanzberichte'!$BM$77,'III. Finanzberichte'!$BT$77,'III. Finanzberichte'!$CA$77,'III. Finanzberichte'!$CH$77,'III. Finanzberichte'!$CO$77,'III. Finanzberichte'!$CV$77,'III. Finanzberichte'!$DC$77,'III. Finanzberichte'!$DJ$77,'III. Finanzberichte'!$DQ$77),"")</f>
        <v/>
      </c>
      <c r="M151" s="109" t="str">
        <f>IFERROR(CHOOSE(E81,'III. Finanzberichte'!$C$77,'III. Finanzberichte'!$J$77,'III. Finanzberichte'!$Q$77,'III. Finanzberichte'!$X$77,'III. Finanzberichte'!$AE$77,'III. Finanzberichte'!$AL$77,'III. Finanzberichte'!$AS$77,'III. Finanzberichte'!$AZ$77,'III. Finanzberichte'!$BG$77,'III. Finanzberichte'!$BN$77,'III. Finanzberichte'!$BU$77,'III. Finanzberichte'!$CB$77,'III. Finanzberichte'!$CI$77,'III. Finanzberichte'!$CP$77,'III. Finanzberichte'!$CW$77,'III. Finanzberichte'!$DD$77,'III. Finanzberichte'!$DK$77,'III. Finanzberichte'!$DR$77),"")</f>
        <v/>
      </c>
      <c r="N151" s="110" t="str">
        <f>IFERROR(CHOOSE(E81,'III. Finanzberichte'!$D$77,'III. Finanzberichte'!$K$77,'III. Finanzberichte'!$R$77,'III. Finanzberichte'!$Y$77,'III. Finanzberichte'!$AF$77,'III. Finanzberichte'!$AM$77,'III. Finanzberichte'!$AT$77,'III. Finanzberichte'!$BA$77,'III. Finanzberichte'!$BH$77,'III. Finanzberichte'!$BO$77,'III. Finanzberichte'!$BV$77,'III. Finanzberichte'!$CC$77,'III. Finanzberichte'!$CJ$77,'III. Finanzberichte'!$CQ$77,'III. Finanzberichte'!$CX$77,'III. Finanzberichte'!$DE$77,'III. Finanzberichte'!$DL$77,'III. Finanzberichte'!$DS$77),"")</f>
        <v/>
      </c>
      <c r="O151" s="109" t="str">
        <f>IFERROR(CHOOSE(E81,'III. Finanzberichte'!$E$77,'III. Finanzberichte'!$L$77,'III. Finanzberichte'!$S$77,'III. Finanzberichte'!$Z$77,'III. Finanzberichte'!$AG$77,'III. Finanzberichte'!$AN$77,'III. Finanzberichte'!$AU$77,'III. Finanzberichte'!$BB$77,'III. Finanzberichte'!$BI$77,'III. Finanzberichte'!$BP$77,'III. Finanzberichte'!$BW$77,'III. Finanzberichte'!$CD$77,'III. Finanzberichte'!$CK$77,'III. Finanzberichte'!$CR$77,'III. Finanzberichte'!$CY$77,'III. Finanzberichte'!$DF$77,'III. Finanzberichte'!$DM$77,'III. Finanzberichte'!$DT$77),"")</f>
        <v/>
      </c>
      <c r="P151" s="111" t="str">
        <f>IFERROR(CHOOSE(E81,'III. Finanzberichte'!$F$77,'III. Finanzberichte'!$M$77,'III. Finanzberichte'!$T$77,'III. Finanzberichte'!$AA$77,'III. Finanzberichte'!$AH$77,'III. Finanzberichte'!$AO$77,'III. Finanzberichte'!$AV$77,'III. Finanzberichte'!$BC$77,'III. Finanzberichte'!$BJ$77,'III. Finanzberichte'!$BQ$77,'III. Finanzberichte'!$BX$77,'III. Finanzberichte'!$CE$77,'III. Finanzberichte'!$CL$77,'III. Finanzberichte'!$CS$77,'III. Finanzberichte'!$CZ$77,'III. Finanzberichte'!$DG$77,'III. Finanzberichte'!$DN$77,'III. Finanzberichte'!$DU$77),"")</f>
        <v/>
      </c>
    </row>
    <row r="152">
      <c r="L152" s="108" t="str">
        <f>IFERROR(CHOOSE(E81,'III. Finanzberichte'!$B$78,'III. Finanzberichte'!$I$78,'III. Finanzberichte'!$P$78,'III. Finanzberichte'!$W$78,'III. Finanzberichte'!$AD$78,'III. Finanzberichte'!$AK$78,'III. Finanzberichte'!$AR$78,'III. Finanzberichte'!$AY$78,'III. Finanzberichte'!$BF$78,'III. Finanzberichte'!$BM$78,'III. Finanzberichte'!$BT$78,'III. Finanzberichte'!$CA$78,'III. Finanzberichte'!$CH$78,'III. Finanzberichte'!$CO$78,'III. Finanzberichte'!$CV$78,'III. Finanzberichte'!$DC$78,'III. Finanzberichte'!$DJ$78,'III. Finanzberichte'!$DQ$78),"")</f>
        <v/>
      </c>
      <c r="M152" s="109" t="str">
        <f>IFERROR(CHOOSE(E81,'III. Finanzberichte'!$C$78,'III. Finanzberichte'!$J$78,'III. Finanzberichte'!$Q$78,'III. Finanzberichte'!$X$78,'III. Finanzberichte'!$AE$78,'III. Finanzberichte'!$AL$78,'III. Finanzberichte'!$AS$78,'III. Finanzberichte'!$AZ$78,'III. Finanzberichte'!$BG$78,'III. Finanzberichte'!$BN$78,'III. Finanzberichte'!$BU$78,'III. Finanzberichte'!$CB$78,'III. Finanzberichte'!$CI$78,'III. Finanzberichte'!$CP$78,'III. Finanzberichte'!$CW$78,'III. Finanzberichte'!$DD$78,'III. Finanzberichte'!$DK$78,'III. Finanzberichte'!$DR$78),"")</f>
        <v/>
      </c>
      <c r="N152" s="110" t="str">
        <f>IFERROR(CHOOSE(E81,'III. Finanzberichte'!$D$78,'III. Finanzberichte'!$K$78,'III. Finanzberichte'!$R$78,'III. Finanzberichte'!$Y$78,'III. Finanzberichte'!$AF$78,'III. Finanzberichte'!$AM$78,'III. Finanzberichte'!$AT$78,'III. Finanzberichte'!$BA$78,'III. Finanzberichte'!$BH$78,'III. Finanzberichte'!$BO$78,'III. Finanzberichte'!$BV$78,'III. Finanzberichte'!$CC$78,'III. Finanzberichte'!$CJ$78,'III. Finanzberichte'!$CQ$78,'III. Finanzberichte'!$CX$78,'III. Finanzberichte'!$DE$78,'III. Finanzberichte'!$DL$78,'III. Finanzberichte'!$DS$78),"")</f>
        <v/>
      </c>
      <c r="O152" s="109" t="str">
        <f>IFERROR(CHOOSE(E81,'III. Finanzberichte'!$E$78,'III. Finanzberichte'!$L$78,'III. Finanzberichte'!$S$78,'III. Finanzberichte'!$Z$78,'III. Finanzberichte'!$AG$78,'III. Finanzberichte'!$AN$78,'III. Finanzberichte'!$AU$78,'III. Finanzberichte'!$BB$78,'III. Finanzberichte'!$BI$78,'III. Finanzberichte'!$BP$78,'III. Finanzberichte'!$BW$78,'III. Finanzberichte'!$CD$78,'III. Finanzberichte'!$CK$78,'III. Finanzberichte'!$CR$78,'III. Finanzberichte'!$CY$78,'III. Finanzberichte'!$DF$78,'III. Finanzberichte'!$DM$78,'III. Finanzberichte'!$DT$78),"")</f>
        <v/>
      </c>
      <c r="P152" s="111" t="str">
        <f>IFERROR(CHOOSE(E81,'III. Finanzberichte'!$F$78,'III. Finanzberichte'!$M$78,'III. Finanzberichte'!$T$78,'III. Finanzberichte'!$AA$78,'III. Finanzberichte'!$AH$78,'III. Finanzberichte'!$AO$78,'III. Finanzberichte'!$AV$78,'III. Finanzberichte'!$BC$78,'III. Finanzberichte'!$BJ$78,'III. Finanzberichte'!$BQ$78,'III. Finanzberichte'!$BX$78,'III. Finanzberichte'!$CE$78,'III. Finanzberichte'!$CL$78,'III. Finanzberichte'!$CS$78,'III. Finanzberichte'!$CZ$78,'III. Finanzberichte'!$DG$78,'III. Finanzberichte'!$DN$78,'III. Finanzberichte'!$DU$78),"")</f>
        <v/>
      </c>
    </row>
    <row r="153">
      <c r="L153" s="108" t="str">
        <f>IFERROR(CHOOSE(E81,'III. Finanzberichte'!$B$79,'III. Finanzberichte'!$I$79,'III. Finanzberichte'!$P$79,'III. Finanzberichte'!$W$79,'III. Finanzberichte'!$AD$79,'III. Finanzberichte'!$AK$79,'III. Finanzberichte'!$AR$79,'III. Finanzberichte'!$AY$79,'III. Finanzberichte'!$BF$79,'III. Finanzberichte'!$BM$79,'III. Finanzberichte'!$BT$79,'III. Finanzberichte'!$CA$79,'III. Finanzberichte'!$CH$79,'III. Finanzberichte'!$CO$79,'III. Finanzberichte'!$CV$79,'III. Finanzberichte'!$DC$79,'III. Finanzberichte'!$DJ$79,'III. Finanzberichte'!$DQ$79),"")</f>
        <v/>
      </c>
      <c r="M153" s="109" t="str">
        <f>IFERROR(CHOOSE(E81,'III. Finanzberichte'!$C$79,'III. Finanzberichte'!$J$79,'III. Finanzberichte'!$Q$79,'III. Finanzberichte'!$X$79,'III. Finanzberichte'!$AE$79,'III. Finanzberichte'!$AL$79,'III. Finanzberichte'!$AS$79,'III. Finanzberichte'!$AZ$79,'III. Finanzberichte'!$BG$79,'III. Finanzberichte'!$BN$79,'III. Finanzberichte'!$BU$79,'III. Finanzberichte'!$CB$79,'III. Finanzberichte'!$CI$79,'III. Finanzberichte'!$CP$79,'III. Finanzberichte'!$CW$79,'III. Finanzberichte'!$DD$79,'III. Finanzberichte'!$DK$79,'III. Finanzberichte'!$DR$79),"")</f>
        <v/>
      </c>
      <c r="N153" s="110" t="str">
        <f>IFERROR(CHOOSE(E81,'III. Finanzberichte'!$D$79,'III. Finanzberichte'!$K$79,'III. Finanzberichte'!$R$79,'III. Finanzberichte'!$Y$79,'III. Finanzberichte'!$AF$79,'III. Finanzberichte'!$AM$79,'III. Finanzberichte'!$AT$79,'III. Finanzberichte'!$BA$79,'III. Finanzberichte'!$BH$79,'III. Finanzberichte'!$BO$79,'III. Finanzberichte'!$BV$79,'III. Finanzberichte'!$CC$79,'III. Finanzberichte'!$CJ$79,'III. Finanzberichte'!$CQ$79,'III. Finanzberichte'!$CX$79,'III. Finanzberichte'!$DE$79,'III. Finanzberichte'!$DL$79,'III. Finanzberichte'!$DS$79),"")</f>
        <v/>
      </c>
      <c r="O153" s="109" t="str">
        <f>IFERROR(CHOOSE(E81,'III. Finanzberichte'!$E$79,'III. Finanzberichte'!$L$79,'III. Finanzberichte'!$S$79,'III. Finanzberichte'!$Z$79,'III. Finanzberichte'!$AG$79,'III. Finanzberichte'!$AN$79,'III. Finanzberichte'!$AU$79,'III. Finanzberichte'!$BB$79,'III. Finanzberichte'!$BI$79,'III. Finanzberichte'!$BP$79,'III. Finanzberichte'!$BW$79,'III. Finanzberichte'!$CD$79,'III. Finanzberichte'!$CK$79,'III. Finanzberichte'!$CR$79,'III. Finanzberichte'!$CY$79,'III. Finanzberichte'!$DF$79,'III. Finanzberichte'!$DM$79,'III. Finanzberichte'!$DT$79),"")</f>
        <v/>
      </c>
      <c r="P153" s="111" t="str">
        <f>IFERROR(CHOOSE(E81,'III. Finanzberichte'!$F$79,'III. Finanzberichte'!$M$79,'III. Finanzberichte'!$T$79,'III. Finanzberichte'!$AA$79,'III. Finanzberichte'!$AH$79,'III. Finanzberichte'!$AO$79,'III. Finanzberichte'!$AV$79,'III. Finanzberichte'!$BC$79,'III. Finanzberichte'!$BJ$79,'III. Finanzberichte'!$BQ$79,'III. Finanzberichte'!$BX$79,'III. Finanzberichte'!$CE$79,'III. Finanzberichte'!$CL$79,'III. Finanzberichte'!$CS$79,'III. Finanzberichte'!$CZ$79,'III. Finanzberichte'!$DG$79,'III. Finanzberichte'!$DN$79,'III. Finanzberichte'!$DU$79),"")</f>
        <v/>
      </c>
    </row>
    <row r="154">
      <c r="L154" s="108" t="str">
        <f>IFERROR(CHOOSE(E81,'III. Finanzberichte'!$B$80,'III. Finanzberichte'!$I$80,'III. Finanzberichte'!$P$80,'III. Finanzberichte'!$W$80,'III. Finanzberichte'!$AD$80,'III. Finanzberichte'!$AK$80,'III. Finanzberichte'!$AR$80,'III. Finanzberichte'!$AY$80,'III. Finanzberichte'!$BF$80,'III. Finanzberichte'!$BM$80,'III. Finanzberichte'!$BT$80,'III. Finanzberichte'!$CA$80,'III. Finanzberichte'!$CH$80,'III. Finanzberichte'!$CO$80,'III. Finanzberichte'!$CV$80,'III. Finanzberichte'!$DC$80,'III. Finanzberichte'!$DJ$80,'III. Finanzberichte'!$DQ$80),"")</f>
        <v/>
      </c>
      <c r="M154" s="109" t="str">
        <f>IFERROR(CHOOSE(E81,'III. Finanzberichte'!$C$80,'III. Finanzberichte'!$J$80,'III. Finanzberichte'!$Q$80,'III. Finanzberichte'!$X$80,'III. Finanzberichte'!$AE$80,'III. Finanzberichte'!$AL$80,'III. Finanzberichte'!$AS$80,'III. Finanzberichte'!$AZ$80,'III. Finanzberichte'!$BG$80,'III. Finanzberichte'!$BN$80,'III. Finanzberichte'!$BU$80,'III. Finanzberichte'!$CB$80,'III. Finanzberichte'!$CI$80,'III. Finanzberichte'!$CP$80,'III. Finanzberichte'!$CW$80,'III. Finanzberichte'!$DD$80,'III. Finanzberichte'!$DK$80,'III. Finanzberichte'!$DR$80),"")</f>
        <v/>
      </c>
      <c r="N154" s="110" t="str">
        <f>IFERROR(CHOOSE(E81,'III. Finanzberichte'!$D$80,'III. Finanzberichte'!$K$80,'III. Finanzberichte'!$R$80,'III. Finanzberichte'!$Y$80,'III. Finanzberichte'!$AF$80,'III. Finanzberichte'!$AM$80,'III. Finanzberichte'!$AT$80,'III. Finanzberichte'!$BA$80,'III. Finanzberichte'!$BH$80,'III. Finanzberichte'!$BO$80,'III. Finanzberichte'!$BV$80,'III. Finanzberichte'!$CC$80,'III. Finanzberichte'!$CJ$80,'III. Finanzberichte'!$CQ$80,'III. Finanzberichte'!$CX$80,'III. Finanzberichte'!$DE$80,'III. Finanzberichte'!$DL$80,'III. Finanzberichte'!$DS$80),"")</f>
        <v/>
      </c>
      <c r="O154" s="109" t="str">
        <f>IFERROR(CHOOSE(E81,'III. Finanzberichte'!$E$80,'III. Finanzberichte'!$L$80,'III. Finanzberichte'!$S$80,'III. Finanzberichte'!$Z$80,'III. Finanzberichte'!$AG$80,'III. Finanzberichte'!$AN$80,'III. Finanzberichte'!$AU$80,'III. Finanzberichte'!$BB$80,'III. Finanzberichte'!$BI$80,'III. Finanzberichte'!$BP$80,'III. Finanzberichte'!$BW$80,'III. Finanzberichte'!$CD$80,'III. Finanzberichte'!$CK$80,'III. Finanzberichte'!$CR$80,'III. Finanzberichte'!$CY$80,'III. Finanzberichte'!$DF$80,'III. Finanzberichte'!$DM$80,'III. Finanzberichte'!$DT$80),"")</f>
        <v/>
      </c>
      <c r="P154" s="111" t="str">
        <f>IFERROR(CHOOSE(E81,'III. Finanzberichte'!$F$80,'III. Finanzberichte'!$M$80,'III. Finanzberichte'!$T$80,'III. Finanzberichte'!$AA$80,'III. Finanzberichte'!$AH$80,'III. Finanzberichte'!$AO$80,'III. Finanzberichte'!$AV$80,'III. Finanzberichte'!$BC$80,'III. Finanzberichte'!$BJ$80,'III. Finanzberichte'!$BQ$80,'III. Finanzberichte'!$BX$80,'III. Finanzberichte'!$CE$80,'III. Finanzberichte'!$CL$80,'III. Finanzberichte'!$CS$80,'III. Finanzberichte'!$CZ$80,'III. Finanzberichte'!$DG$80,'III. Finanzberichte'!$DN$80,'III. Finanzberichte'!$DU$80),"")</f>
        <v/>
      </c>
    </row>
    <row r="155">
      <c r="L155" s="108" t="str">
        <f>IFERROR(CHOOSE(E81,'III. Finanzberichte'!$B$81,'III. Finanzberichte'!$I$81,'III. Finanzberichte'!$P$81,'III. Finanzberichte'!$W$81,'III. Finanzberichte'!$AD$81,'III. Finanzberichte'!$AK$81,'III. Finanzberichte'!$AR$81,'III. Finanzberichte'!$AY$81,'III. Finanzberichte'!$BF$81,'III. Finanzberichte'!$BM$81,'III. Finanzberichte'!$BT$81,'III. Finanzberichte'!$CA$81,'III. Finanzberichte'!$CH$81,'III. Finanzberichte'!$CO$81,'III. Finanzberichte'!$CV$81,'III. Finanzberichte'!$DC$81,'III. Finanzberichte'!$DJ$81,'III. Finanzberichte'!$DQ$81),"")</f>
        <v/>
      </c>
      <c r="M155" s="109" t="str">
        <f>IFERROR(CHOOSE(E81,'III. Finanzberichte'!$C$81,'III. Finanzberichte'!$J$81,'III. Finanzberichte'!$Q$81,'III. Finanzberichte'!$X$81,'III. Finanzberichte'!$AE$81,'III. Finanzberichte'!$AL$81,'III. Finanzberichte'!$AS$81,'III. Finanzberichte'!$AZ$81,'III. Finanzberichte'!$BG$81,'III. Finanzberichte'!$BN$81,'III. Finanzberichte'!$BU$81,'III. Finanzberichte'!$CB$81,'III. Finanzberichte'!$CI$81,'III. Finanzberichte'!$CP$81,'III. Finanzberichte'!$CW$81,'III. Finanzberichte'!$DD$81,'III. Finanzberichte'!$DK$81,'III. Finanzberichte'!$DR$81),"")</f>
        <v/>
      </c>
      <c r="N155" s="110" t="str">
        <f>IFERROR(CHOOSE(E81,'III. Finanzberichte'!$D$81,'III. Finanzberichte'!$K$81,'III. Finanzberichte'!$R$81,'III. Finanzberichte'!$Y$81,'III. Finanzberichte'!$AF$81,'III. Finanzberichte'!$AM$81,'III. Finanzberichte'!$AT$81,'III. Finanzberichte'!$BA$81,'III. Finanzberichte'!$BH$81,'III. Finanzberichte'!$BO$81,'III. Finanzberichte'!$BV$81,'III. Finanzberichte'!$CC$81,'III. Finanzberichte'!$CJ$81,'III. Finanzberichte'!$CQ$81,'III. Finanzberichte'!$CX$81,'III. Finanzberichte'!$DE$81,'III. Finanzberichte'!$DL$81,'III. Finanzberichte'!$DS$81),"")</f>
        <v/>
      </c>
      <c r="O155" s="109" t="str">
        <f>IFERROR(CHOOSE(E81,'III. Finanzberichte'!$E$81,'III. Finanzberichte'!$L$81,'III. Finanzberichte'!$S$81,'III. Finanzberichte'!$Z$81,'III. Finanzberichte'!$AG$81,'III. Finanzberichte'!$AN$81,'III. Finanzberichte'!$AU$81,'III. Finanzberichte'!$BB$81,'III. Finanzberichte'!$BI$81,'III. Finanzberichte'!$BP$81,'III. Finanzberichte'!$BW$81,'III. Finanzberichte'!$CD$81,'III. Finanzberichte'!$CK$81,'III. Finanzberichte'!$CR$81,'III. Finanzberichte'!$CY$81,'III. Finanzberichte'!$DF$81,'III. Finanzberichte'!$DM$81,'III. Finanzberichte'!$DT$81),"")</f>
        <v/>
      </c>
      <c r="P155" s="111" t="str">
        <f>IFERROR(CHOOSE(E81,'III. Finanzberichte'!$F$81,'III. Finanzberichte'!$M$81,'III. Finanzberichte'!$T$81,'III. Finanzberichte'!$AA$81,'III. Finanzberichte'!$AH$81,'III. Finanzberichte'!$AO$81,'III. Finanzberichte'!$AV$81,'III. Finanzberichte'!$BC$81,'III. Finanzberichte'!$BJ$81,'III. Finanzberichte'!$BQ$81,'III. Finanzberichte'!$BX$81,'III. Finanzberichte'!$CE$81,'III. Finanzberichte'!$CL$81,'III. Finanzberichte'!$CS$81,'III. Finanzberichte'!$CZ$81,'III. Finanzberichte'!$DG$81,'III. Finanzberichte'!$DN$81,'III. Finanzberichte'!$DU$81),"")</f>
        <v/>
      </c>
    </row>
    <row r="156">
      <c r="L156" s="108" t="str">
        <f>IFERROR(CHOOSE(E81,'III. Finanzberichte'!$B$82,'III. Finanzberichte'!$I$82,'III. Finanzberichte'!$P$82,'III. Finanzberichte'!$W$82,'III. Finanzberichte'!$AD$82,'III. Finanzberichte'!$AK$82,'III. Finanzberichte'!$AR$82,'III. Finanzberichte'!$AY$82,'III. Finanzberichte'!$BF$82,'III. Finanzberichte'!$BM$82,'III. Finanzberichte'!$BT$82,'III. Finanzberichte'!$CA$82,'III. Finanzberichte'!$CH$82,'III. Finanzberichte'!$CO$82,'III. Finanzberichte'!$CV$82,'III. Finanzberichte'!$DC$82,'III. Finanzberichte'!$DJ$82,'III. Finanzberichte'!$DQ$82),"")</f>
        <v/>
      </c>
      <c r="M156" s="109" t="str">
        <f>IFERROR(CHOOSE(E81,'III. Finanzberichte'!$C$82,'III. Finanzberichte'!$J$82,'III. Finanzberichte'!$Q$82,'III. Finanzberichte'!$X$82,'III. Finanzberichte'!$AE$82,'III. Finanzberichte'!$AL$82,'III. Finanzberichte'!$AS$82,'III. Finanzberichte'!$AZ$82,'III. Finanzberichte'!$BG$82,'III. Finanzberichte'!$BN$82,'III. Finanzberichte'!$BU$82,'III. Finanzberichte'!$CB$82,'III. Finanzberichte'!$CI$82,'III. Finanzberichte'!$CP$82,'III. Finanzberichte'!$CW$82,'III. Finanzberichte'!$DD$82,'III. Finanzberichte'!$DK$82,'III. Finanzberichte'!$DR$82),"")</f>
        <v/>
      </c>
      <c r="N156" s="110" t="str">
        <f>IFERROR(CHOOSE(E81,'III. Finanzberichte'!$D$82,'III. Finanzberichte'!$K$82,'III. Finanzberichte'!$R$82,'III. Finanzberichte'!$Y$82,'III. Finanzberichte'!$AF$82,'III. Finanzberichte'!$AM$82,'III. Finanzberichte'!$AT$82,'III. Finanzberichte'!$BA$82,'III. Finanzberichte'!$BH$82,'III. Finanzberichte'!$BO$82,'III. Finanzberichte'!$BV$82,'III. Finanzberichte'!$CC$82,'III. Finanzberichte'!$CJ$82,'III. Finanzberichte'!$CQ$82,'III. Finanzberichte'!$CX$82,'III. Finanzberichte'!$DE$82,'III. Finanzberichte'!$DL$82,'III. Finanzberichte'!$DS$82),"")</f>
        <v/>
      </c>
      <c r="O156" s="109" t="str">
        <f>IFERROR(CHOOSE(E81,'III. Finanzberichte'!$E$82,'III. Finanzberichte'!$L$82,'III. Finanzberichte'!$S$82,'III. Finanzberichte'!$Z$82,'III. Finanzberichte'!$AG$82,'III. Finanzberichte'!$AN$82,'III. Finanzberichte'!$AU$82,'III. Finanzberichte'!$BB$82,'III. Finanzberichte'!$BI$82,'III. Finanzberichte'!$BP$82,'III. Finanzberichte'!$BW$82,'III. Finanzberichte'!$CD$82,'III. Finanzberichte'!$CK$82,'III. Finanzberichte'!$CR$82,'III. Finanzberichte'!$CY$82,'III. Finanzberichte'!$DF$82,'III. Finanzberichte'!$DM$82,'III. Finanzberichte'!$DT$82),"")</f>
        <v/>
      </c>
      <c r="P156" s="111" t="str">
        <f>IFERROR(CHOOSE(E81,'III. Finanzberichte'!$F$82,'III. Finanzberichte'!$M$82,'III. Finanzberichte'!$T$82,'III. Finanzberichte'!$AA$82,'III. Finanzberichte'!$AH$82,'III. Finanzberichte'!$AO$82,'III. Finanzberichte'!$AV$82,'III. Finanzberichte'!$BC$82,'III. Finanzberichte'!$BJ$82,'III. Finanzberichte'!$BQ$82,'III. Finanzberichte'!$BX$82,'III. Finanzberichte'!$CE$82,'III. Finanzberichte'!$CL$82,'III. Finanzberichte'!$CS$82,'III. Finanzberichte'!$CZ$82,'III. Finanzberichte'!$DG$82,'III. Finanzberichte'!$DN$82,'III. Finanzberichte'!$DU$82),"")</f>
        <v/>
      </c>
    </row>
    <row r="157">
      <c r="L157" s="108" t="str">
        <f>IFERROR(CHOOSE(E81,'III. Finanzberichte'!$B$83,'III. Finanzberichte'!$I$83,'III. Finanzberichte'!$P$83,'III. Finanzberichte'!$W$83,'III. Finanzberichte'!$AD$83,'III. Finanzberichte'!$AK$83,'III. Finanzberichte'!$AR$83,'III. Finanzberichte'!$AY$83,'III. Finanzberichte'!$BF$83,'III. Finanzberichte'!$BM$83,'III. Finanzberichte'!$BT$83,'III. Finanzberichte'!$CA$83,'III. Finanzberichte'!$CH$83,'III. Finanzberichte'!$CO$83,'III. Finanzberichte'!$CV$83,'III. Finanzberichte'!$DC$83,'III. Finanzberichte'!$DJ$83,'III. Finanzberichte'!$DQ$83),"")</f>
        <v/>
      </c>
      <c r="M157" s="109" t="str">
        <f>IFERROR(CHOOSE(E81,'III. Finanzberichte'!$C$83,'III. Finanzberichte'!$J$83,'III. Finanzberichte'!$Q$83,'III. Finanzberichte'!$X$83,'III. Finanzberichte'!$AE$83,'III. Finanzberichte'!$AL$83,'III. Finanzberichte'!$AS$83,'III. Finanzberichte'!$AZ$83,'III. Finanzberichte'!$BG$83,'III. Finanzberichte'!$BN$83,'III. Finanzberichte'!$BU$83,'III. Finanzberichte'!$CB$83,'III. Finanzberichte'!$CI$83,'III. Finanzberichte'!$CP$83,'III. Finanzberichte'!$CW$83,'III. Finanzberichte'!$DD$83,'III. Finanzberichte'!$DK$83,'III. Finanzberichte'!$DR$83),"")</f>
        <v/>
      </c>
      <c r="N157" s="110" t="str">
        <f>IFERROR(CHOOSE(E81,'III. Finanzberichte'!$D$83,'III. Finanzberichte'!$K$83,'III. Finanzberichte'!$R$83,'III. Finanzberichte'!$Y$83,'III. Finanzberichte'!$AF$83,'III. Finanzberichte'!$AM$83,'III. Finanzberichte'!$AT$83,'III. Finanzberichte'!$BA$83,'III. Finanzberichte'!$BH$83,'III. Finanzberichte'!$BO$83,'III. Finanzberichte'!$BV$83,'III. Finanzberichte'!$CC$83,'III. Finanzberichte'!$CJ$83,'III. Finanzberichte'!$CQ$83,'III. Finanzberichte'!$CX$83,'III. Finanzberichte'!$DE$83,'III. Finanzberichte'!$DL$83,'III. Finanzberichte'!$DS$83),"")</f>
        <v/>
      </c>
      <c r="O157" s="109" t="str">
        <f>IFERROR(CHOOSE(E81,'III. Finanzberichte'!$E$83,'III. Finanzberichte'!$L$83,'III. Finanzberichte'!$S$83,'III. Finanzberichte'!$Z$83,'III. Finanzberichte'!$AG$83,'III. Finanzberichte'!$AN$83,'III. Finanzberichte'!$AU$83,'III. Finanzberichte'!$BB$83,'III. Finanzberichte'!$BI$83,'III. Finanzberichte'!$BP$83,'III. Finanzberichte'!$BW$83,'III. Finanzberichte'!$CD$83,'III. Finanzberichte'!$CK$83,'III. Finanzberichte'!$CR$83,'III. Finanzberichte'!$CY$83,'III. Finanzberichte'!$DF$83,'III. Finanzberichte'!$DM$83,'III. Finanzberichte'!$DT$83),"")</f>
        <v/>
      </c>
      <c r="P157" s="111" t="str">
        <f>IFERROR(CHOOSE(E81,'III. Finanzberichte'!$F$83,'III. Finanzberichte'!$M$83,'III. Finanzberichte'!$T$83,'III. Finanzberichte'!$AA$83,'III. Finanzberichte'!$AH$83,'III. Finanzberichte'!$AO$83,'III. Finanzberichte'!$AV$83,'III. Finanzberichte'!$BC$83,'III. Finanzberichte'!$BJ$83,'III. Finanzberichte'!$BQ$83,'III. Finanzberichte'!$BX$83,'III. Finanzberichte'!$CE$83,'III. Finanzberichte'!$CL$83,'III. Finanzberichte'!$CS$83,'III. Finanzberichte'!$CZ$83,'III. Finanzberichte'!$DG$83,'III. Finanzberichte'!$DN$83,'III. Finanzberichte'!$DU$83),"")</f>
        <v/>
      </c>
    </row>
    <row r="158">
      <c r="L158" s="108" t="str">
        <f>IFERROR(CHOOSE(E81,'III. Finanzberichte'!$B$84,'III. Finanzberichte'!$I$84,'III. Finanzberichte'!$P$84,'III. Finanzberichte'!$W$84,'III. Finanzberichte'!$AD$84,'III. Finanzberichte'!$AK$84,'III. Finanzberichte'!$AR$84,'III. Finanzberichte'!$AY$84,'III. Finanzberichte'!$BF$84,'III. Finanzberichte'!$BM$84,'III. Finanzberichte'!$BT$84,'III. Finanzberichte'!$CA$84,'III. Finanzberichte'!$CH$84,'III. Finanzberichte'!$CO$84,'III. Finanzberichte'!$CV$84,'III. Finanzberichte'!$DC$84,'III. Finanzberichte'!$DJ$84,'III. Finanzberichte'!$DQ$84),"")</f>
        <v/>
      </c>
      <c r="M158" s="109" t="str">
        <f>IFERROR(CHOOSE(E81,'III. Finanzberichte'!$C$84,'III. Finanzberichte'!$J$84,'III. Finanzberichte'!$Q$84,'III. Finanzberichte'!$X$84,'III. Finanzberichte'!$AE$84,'III. Finanzberichte'!$AL$84,'III. Finanzberichte'!$AS$84,'III. Finanzberichte'!$AZ$84,'III. Finanzberichte'!$BG$84,'III. Finanzberichte'!$BN$84,'III. Finanzberichte'!$BU$84,'III. Finanzberichte'!$CB$84,'III. Finanzberichte'!$CI$84,'III. Finanzberichte'!$CP$84,'III. Finanzberichte'!$CW$84,'III. Finanzberichte'!$DD$84,'III. Finanzberichte'!$DK$84,'III. Finanzberichte'!$DR$84),"")</f>
        <v/>
      </c>
      <c r="N158" s="110" t="str">
        <f>IFERROR(CHOOSE(E81,'III. Finanzberichte'!$D$84,'III. Finanzberichte'!$K$84,'III. Finanzberichte'!$R$84,'III. Finanzberichte'!$Y$84,'III. Finanzberichte'!$AF$84,'III. Finanzberichte'!$AM$84,'III. Finanzberichte'!$AT$84,'III. Finanzberichte'!$BA$84,'III. Finanzberichte'!$BH$84,'III. Finanzberichte'!$BO$84,'III. Finanzberichte'!$BV$84,'III. Finanzberichte'!$CC$84,'III. Finanzberichte'!$CJ$84,'III. Finanzberichte'!$CQ$84,'III. Finanzberichte'!$CX$84,'III. Finanzberichte'!$DE$84,'III. Finanzberichte'!$DL$84,'III. Finanzberichte'!$DS$84),"")</f>
        <v/>
      </c>
      <c r="O158" s="109" t="str">
        <f>IFERROR(CHOOSE(E81,'III. Finanzberichte'!$E$84,'III. Finanzberichte'!$L$84,'III. Finanzberichte'!$S$84,'III. Finanzberichte'!$Z$84,'III. Finanzberichte'!$AG$84,'III. Finanzberichte'!$AN$84,'III. Finanzberichte'!$AU$84,'III. Finanzberichte'!$BB$84,'III. Finanzberichte'!$BI$84,'III. Finanzberichte'!$BP$84,'III. Finanzberichte'!$BW$84,'III. Finanzberichte'!$CD$84,'III. Finanzberichte'!$CK$84,'III. Finanzberichte'!$CR$84,'III. Finanzberichte'!$CY$84,'III. Finanzberichte'!$DF$84,'III. Finanzberichte'!$DM$84,'III. Finanzberichte'!$DT$84),"")</f>
        <v/>
      </c>
      <c r="P158" s="111" t="str">
        <f>IFERROR(CHOOSE(E81,'III. Finanzberichte'!$F$84,'III. Finanzberichte'!$M$84,'III. Finanzberichte'!$T$84,'III. Finanzberichte'!$AA$84,'III. Finanzberichte'!$AH$84,'III. Finanzberichte'!$AO$84,'III. Finanzberichte'!$AV$84,'III. Finanzberichte'!$BC$84,'III. Finanzberichte'!$BJ$84,'III. Finanzberichte'!$BQ$84,'III. Finanzberichte'!$BX$84,'III. Finanzberichte'!$CE$84,'III. Finanzberichte'!$CL$84,'III. Finanzberichte'!$CS$84,'III. Finanzberichte'!$CZ$84,'III. Finanzberichte'!$DG$84,'III. Finanzberichte'!$DN$84,'III. Finanzberichte'!$DU$84),"")</f>
        <v/>
      </c>
    </row>
    <row r="159">
      <c r="L159" s="108" t="str">
        <f>IFERROR(CHOOSE(E81,'III. Finanzberichte'!$B$85,'III. Finanzberichte'!$I$85,'III. Finanzberichte'!$P$85,'III. Finanzberichte'!$W$85,'III. Finanzberichte'!$AD$85,'III. Finanzberichte'!$AK$85,'III. Finanzberichte'!$AR$85,'III. Finanzberichte'!$AY$85,'III. Finanzberichte'!$BF$85,'III. Finanzberichte'!$BM$85,'III. Finanzberichte'!$BT$85,'III. Finanzberichte'!$CA$85,'III. Finanzberichte'!$CH$85,'III. Finanzberichte'!$CO$85,'III. Finanzberichte'!$CV$85,'III. Finanzberichte'!$DC$85,'III. Finanzberichte'!$DJ$85,'III. Finanzberichte'!$DQ$85),"")</f>
        <v/>
      </c>
      <c r="M159" s="109" t="str">
        <f>IFERROR(CHOOSE(E81,'III. Finanzberichte'!$C$85,'III. Finanzberichte'!$J$85,'III. Finanzberichte'!$Q$85,'III. Finanzberichte'!$X$85,'III. Finanzberichte'!$AE$85,'III. Finanzberichte'!$AL$85,'III. Finanzberichte'!$AS$85,'III. Finanzberichte'!$AZ$85,'III. Finanzberichte'!$BG$85,'III. Finanzberichte'!$BN$85,'III. Finanzberichte'!$BU$85,'III. Finanzberichte'!$CB$85,'III. Finanzberichte'!$CI$85,'III. Finanzberichte'!$CP$85,'III. Finanzberichte'!$CW$85,'III. Finanzberichte'!$DD$85,'III. Finanzberichte'!$DK$85,'III. Finanzberichte'!$DR$85),"")</f>
        <v/>
      </c>
      <c r="N159" s="110" t="str">
        <f>IFERROR(CHOOSE(E81,'III. Finanzberichte'!$D$85,'III. Finanzberichte'!$K$85,'III. Finanzberichte'!$R$85,'III. Finanzberichte'!$Y$85,'III. Finanzberichte'!$AF$85,'III. Finanzberichte'!$AM$85,'III. Finanzberichte'!$AT$85,'III. Finanzberichte'!$BA$85,'III. Finanzberichte'!$BH$85,'III. Finanzberichte'!$BO$85,'III. Finanzberichte'!$BV$85,'III. Finanzberichte'!$CC$85,'III. Finanzberichte'!$CJ$85,'III. Finanzberichte'!$CQ$85,'III. Finanzberichte'!$CX$85,'III. Finanzberichte'!$DE$85,'III. Finanzberichte'!$DL$85,'III. Finanzberichte'!$DS$85),"")</f>
        <v/>
      </c>
      <c r="O159" s="109" t="str">
        <f>IFERROR(CHOOSE(E81,'III. Finanzberichte'!$E$85,'III. Finanzberichte'!$L$85,'III. Finanzberichte'!$S$85,'III. Finanzberichte'!$Z$85,'III. Finanzberichte'!$AG$85,'III. Finanzberichte'!$AN$85,'III. Finanzberichte'!$AU$85,'III. Finanzberichte'!$BB$85,'III. Finanzberichte'!$BI$85,'III. Finanzberichte'!$BP$85,'III. Finanzberichte'!$BW$85,'III. Finanzberichte'!$CD$85,'III. Finanzberichte'!$CK$85,'III. Finanzberichte'!$CR$85,'III. Finanzberichte'!$CY$85,'III. Finanzberichte'!$DF$85,'III. Finanzberichte'!$DM$85,'III. Finanzberichte'!$DT$85),"")</f>
        <v/>
      </c>
      <c r="P159" s="111" t="str">
        <f>IFERROR(CHOOSE(E81,'III. Finanzberichte'!$F$85,'III. Finanzberichte'!$M$85,'III. Finanzberichte'!$T$85,'III. Finanzberichte'!$AA$85,'III. Finanzberichte'!$AH$85,'III. Finanzberichte'!$AO$85,'III. Finanzberichte'!$AV$85,'III. Finanzberichte'!$BC$85,'III. Finanzberichte'!$BJ$85,'III. Finanzberichte'!$BQ$85,'III. Finanzberichte'!$BX$85,'III. Finanzberichte'!$CE$85,'III. Finanzberichte'!$CL$85,'III. Finanzberichte'!$CS$85,'III. Finanzberichte'!$CZ$85,'III. Finanzberichte'!$DG$85,'III. Finanzberichte'!$DN$85,'III. Finanzberichte'!$DU$85),"")</f>
        <v/>
      </c>
    </row>
    <row r="160">
      <c r="L160" s="108" t="str">
        <f>IFERROR(CHOOSE(E81,'III. Finanzberichte'!$B$86,'III. Finanzberichte'!$I$86,'III. Finanzberichte'!$P$86,'III. Finanzberichte'!$W$86,'III. Finanzberichte'!$AD$86,'III. Finanzberichte'!$AK$86,'III. Finanzberichte'!$AR$86,'III. Finanzberichte'!$AY$86,'III. Finanzberichte'!$BF$86,'III. Finanzberichte'!$BM$86,'III. Finanzberichte'!$BT$86,'III. Finanzberichte'!$CA$86,'III. Finanzberichte'!$CH$86,'III. Finanzberichte'!$CO$86,'III. Finanzberichte'!$CV$86,'III. Finanzberichte'!$DC$86,'III. Finanzberichte'!$DJ$86,'III. Finanzberichte'!$DQ$86),"")</f>
        <v/>
      </c>
      <c r="M160" s="109" t="str">
        <f>IFERROR(CHOOSE(E81,'III. Finanzberichte'!$C$86,'III. Finanzberichte'!$J$86,'III. Finanzberichte'!$Q$86,'III. Finanzberichte'!$X$86,'III. Finanzberichte'!$AE$86,'III. Finanzberichte'!$AL$86,'III. Finanzberichte'!$AS$86,'III. Finanzberichte'!$AZ$86,'III. Finanzberichte'!$BG$86,'III. Finanzberichte'!$BN$86,'III. Finanzberichte'!$BU$86,'III. Finanzberichte'!$CB$86,'III. Finanzberichte'!$CI$86,'III. Finanzberichte'!$CP$86,'III. Finanzberichte'!$CW$86,'III. Finanzberichte'!$DD$86,'III. Finanzberichte'!$DK$86,'III. Finanzberichte'!$DR$86),"")</f>
        <v/>
      </c>
      <c r="N160" s="110" t="str">
        <f>IFERROR(CHOOSE(E81,'III. Finanzberichte'!$D$86,'III. Finanzberichte'!$K$86,'III. Finanzberichte'!$R$86,'III. Finanzberichte'!$Y$86,'III. Finanzberichte'!$AF$86,'III. Finanzberichte'!$AM$86,'III. Finanzberichte'!$AT$86,'III. Finanzberichte'!$BA$86,'III. Finanzberichte'!$BH$86,'III. Finanzberichte'!$BO$86,'III. Finanzberichte'!$BV$86,'III. Finanzberichte'!$CC$86,'III. Finanzberichte'!$CJ$86,'III. Finanzberichte'!$CQ$86,'III. Finanzberichte'!$CX$86,'III. Finanzberichte'!$DE$86,'III. Finanzberichte'!$DL$86,'III. Finanzberichte'!$DS$86),"")</f>
        <v/>
      </c>
      <c r="O160" s="109" t="str">
        <f>IFERROR(CHOOSE(E81,'III. Finanzberichte'!$E$86,'III. Finanzberichte'!$L$86,'III. Finanzberichte'!$S$86,'III. Finanzberichte'!$Z$86,'III. Finanzberichte'!$AG$86,'III. Finanzberichte'!$AN$86,'III. Finanzberichte'!$AU$86,'III. Finanzberichte'!$BB$86,'III. Finanzberichte'!$BI$86,'III. Finanzberichte'!$BP$86,'III. Finanzberichte'!$BW$86,'III. Finanzberichte'!$CD$86,'III. Finanzberichte'!$CK$86,'III. Finanzberichte'!$CR$86,'III. Finanzberichte'!$CY$86,'III. Finanzberichte'!$DF$86,'III. Finanzberichte'!$DM$86,'III. Finanzberichte'!$DT$86),"")</f>
        <v/>
      </c>
      <c r="P160" s="111" t="str">
        <f>IFERROR(CHOOSE(E81,'III. Finanzberichte'!$F$86,'III. Finanzberichte'!$M$86,'III. Finanzberichte'!$T$86,'III. Finanzberichte'!$AA$86,'III. Finanzberichte'!$AH$86,'III. Finanzberichte'!$AO$86,'III. Finanzberichte'!$AV$86,'III. Finanzberichte'!$BC$86,'III. Finanzberichte'!$BJ$86,'III. Finanzberichte'!$BQ$86,'III. Finanzberichte'!$BX$86,'III. Finanzberichte'!$CE$86,'III. Finanzberichte'!$CL$86,'III. Finanzberichte'!$CS$86,'III. Finanzberichte'!$CZ$86,'III. Finanzberichte'!$DG$86,'III. Finanzberichte'!$DN$86,'III. Finanzberichte'!$DU$86),"")</f>
        <v/>
      </c>
    </row>
    <row r="161">
      <c r="L161" s="108" t="str">
        <f>IFERROR(CHOOSE(E81,'III. Finanzberichte'!$B$87,'III. Finanzberichte'!$I$87,'III. Finanzberichte'!$P$87,'III. Finanzberichte'!$W$87,'III. Finanzberichte'!$AD$87,'III. Finanzberichte'!$AK$87,'III. Finanzberichte'!$AR$87,'III. Finanzberichte'!$AY$87,'III. Finanzberichte'!$BF$87,'III. Finanzberichte'!$BM$87,'III. Finanzberichte'!$BT$87,'III. Finanzberichte'!$CA$87,'III. Finanzberichte'!$CH$87,'III. Finanzberichte'!$CO$87,'III. Finanzberichte'!$CV$87,'III. Finanzberichte'!$DC$87,'III. Finanzberichte'!$DJ$87,'III. Finanzberichte'!$DQ$87),"")</f>
        <v/>
      </c>
      <c r="M161" s="109" t="str">
        <f>IFERROR(CHOOSE(E81,'III. Finanzberichte'!$C$87,'III. Finanzberichte'!$J$87,'III. Finanzberichte'!$Q$87,'III. Finanzberichte'!$X$87,'III. Finanzberichte'!$AE$87,'III. Finanzberichte'!$AL$87,'III. Finanzberichte'!$AS$87,'III. Finanzberichte'!$AZ$87,'III. Finanzberichte'!$BG$87,'III. Finanzberichte'!$BN$87,'III. Finanzberichte'!$BU$87,'III. Finanzberichte'!$CB$87,'III. Finanzberichte'!$CI$87,'III. Finanzberichte'!$CP$87,'III. Finanzberichte'!$CW$87,'III. Finanzberichte'!$DD$87,'III. Finanzberichte'!$DK$87,'III. Finanzberichte'!$DR$87),"")</f>
        <v/>
      </c>
      <c r="N161" s="110" t="str">
        <f>IFERROR(CHOOSE(E81,'III. Finanzberichte'!$D$87,'III. Finanzberichte'!$K$87,'III. Finanzberichte'!$R$87,'III. Finanzberichte'!$Y$87,'III. Finanzberichte'!$AF$87,'III. Finanzberichte'!$AM$87,'III. Finanzberichte'!$AT$87,'III. Finanzberichte'!$BA$87,'III. Finanzberichte'!$BH$87,'III. Finanzberichte'!$BO$87,'III. Finanzberichte'!$BV$87,'III. Finanzberichte'!$CC$87,'III. Finanzberichte'!$CJ$87,'III. Finanzberichte'!$CQ$87,'III. Finanzberichte'!$CX$87,'III. Finanzberichte'!$DE$87,'III. Finanzberichte'!$DL$87,'III. Finanzberichte'!$DS$87),"")</f>
        <v/>
      </c>
      <c r="O161" s="109" t="str">
        <f>IFERROR(CHOOSE(E81,'III. Finanzberichte'!$E$87,'III. Finanzberichte'!$L$87,'III. Finanzberichte'!$S$87,'III. Finanzberichte'!$Z$87,'III. Finanzberichte'!$AG$87,'III. Finanzberichte'!$AN$87,'III. Finanzberichte'!$AU$87,'III. Finanzberichte'!$BB$87,'III. Finanzberichte'!$BI$87,'III. Finanzberichte'!$BP$87,'III. Finanzberichte'!$BW$87,'III. Finanzberichte'!$CD$87,'III. Finanzberichte'!$CK$87,'III. Finanzberichte'!$CR$87,'III. Finanzberichte'!$CY$87,'III. Finanzberichte'!$DF$87,'III. Finanzberichte'!$DM$87,'III. Finanzberichte'!$DT$87),"")</f>
        <v/>
      </c>
      <c r="P161" s="111" t="str">
        <f>IFERROR(CHOOSE(E81,'III. Finanzberichte'!$F$87,'III. Finanzberichte'!$M$87,'III. Finanzberichte'!$T$87,'III. Finanzberichte'!$AA$87,'III. Finanzberichte'!$AH$87,'III. Finanzberichte'!$AO$87,'III. Finanzberichte'!$AV$87,'III. Finanzberichte'!$BC$87,'III. Finanzberichte'!$BJ$87,'III. Finanzberichte'!$BQ$87,'III. Finanzberichte'!$BX$87,'III. Finanzberichte'!$CE$87,'III. Finanzberichte'!$CL$87,'III. Finanzberichte'!$CS$87,'III. Finanzberichte'!$CZ$87,'III. Finanzberichte'!$DG$87,'III. Finanzberichte'!$DN$87,'III. Finanzberichte'!$DU$87),"")</f>
        <v/>
      </c>
    </row>
    <row r="162">
      <c r="L162" s="108" t="str">
        <f>IFERROR(CHOOSE(E81,'III. Finanzberichte'!$B$88,'III. Finanzberichte'!$I$88,'III. Finanzberichte'!$P$88,'III. Finanzberichte'!$W$88,'III. Finanzberichte'!$AD$88,'III. Finanzberichte'!$AK$88,'III. Finanzberichte'!$AR$88,'III. Finanzberichte'!$AY$88,'III. Finanzberichte'!$BF$88,'III. Finanzberichte'!$BM$88,'III. Finanzberichte'!$BT$88,'III. Finanzberichte'!$CA$88,'III. Finanzberichte'!$CH$88,'III. Finanzberichte'!$CO$88,'III. Finanzberichte'!$CV$88,'III. Finanzberichte'!$DC$88,'III. Finanzberichte'!$DJ$88,'III. Finanzberichte'!$DQ$88),"")</f>
        <v/>
      </c>
      <c r="M162" s="109" t="str">
        <f>IFERROR(CHOOSE(E81,'III. Finanzberichte'!$C$88,'III. Finanzberichte'!$J$88,'III. Finanzberichte'!$Q$88,'III. Finanzberichte'!$X$88,'III. Finanzberichte'!$AE$88,'III. Finanzberichte'!$AL$88,'III. Finanzberichte'!$AS$88,'III. Finanzberichte'!$AZ$88,'III. Finanzberichte'!$BG$88,'III. Finanzberichte'!$BN$88,'III. Finanzberichte'!$BU$88,'III. Finanzberichte'!$CB$88,'III. Finanzberichte'!$CI$88,'III. Finanzberichte'!$CP$88,'III. Finanzberichte'!$CW$88,'III. Finanzberichte'!$DD$88,'III. Finanzberichte'!$DK$88,'III. Finanzberichte'!$DR$88),"")</f>
        <v/>
      </c>
      <c r="N162" s="110" t="str">
        <f>IFERROR(CHOOSE(E81,'III. Finanzberichte'!$D$88,'III. Finanzberichte'!$K$88,'III. Finanzberichte'!$R$88,'III. Finanzberichte'!$Y$88,'III. Finanzberichte'!$AF$88,'III. Finanzberichte'!$AM$88,'III. Finanzberichte'!$AT$88,'III. Finanzberichte'!$BA$88,'III. Finanzberichte'!$BH$88,'III. Finanzberichte'!$BO$88,'III. Finanzberichte'!$BV$88,'III. Finanzberichte'!$CC$88,'III. Finanzberichte'!$CJ$88,'III. Finanzberichte'!$CQ$88,'III. Finanzberichte'!$CX$88,'III. Finanzberichte'!$DE$88,'III. Finanzberichte'!$DL$88,'III. Finanzberichte'!$DS$88),"")</f>
        <v/>
      </c>
      <c r="O162" s="109" t="str">
        <f>IFERROR(CHOOSE(E81,'III. Finanzberichte'!$E$88,'III. Finanzberichte'!$L$88,'III. Finanzberichte'!$S$88,'III. Finanzberichte'!$Z$88,'III. Finanzberichte'!$AG$88,'III. Finanzberichte'!$AN$88,'III. Finanzberichte'!$AU$88,'III. Finanzberichte'!$BB$88,'III. Finanzberichte'!$BI$88,'III. Finanzberichte'!$BP$88,'III. Finanzberichte'!$BW$88,'III. Finanzberichte'!$CD$88,'III. Finanzberichte'!$CK$88,'III. Finanzberichte'!$CR$88,'III. Finanzberichte'!$CY$88,'III. Finanzberichte'!$DF$88,'III. Finanzberichte'!$DM$88,'III. Finanzberichte'!$DT$88),"")</f>
        <v/>
      </c>
      <c r="P162" s="111" t="str">
        <f>IFERROR(CHOOSE(E81,'III. Finanzberichte'!$F$88,'III. Finanzberichte'!$M$88,'III. Finanzberichte'!$T$88,'III. Finanzberichte'!$AA$88,'III. Finanzberichte'!$AH$88,'III. Finanzberichte'!$AO$88,'III. Finanzberichte'!$AV$88,'III. Finanzberichte'!$BC$88,'III. Finanzberichte'!$BJ$88,'III. Finanzberichte'!$BQ$88,'III. Finanzberichte'!$BX$88,'III. Finanzberichte'!$CE$88,'III. Finanzberichte'!$CL$88,'III. Finanzberichte'!$CS$88,'III. Finanzberichte'!$CZ$88,'III. Finanzberichte'!$DG$88,'III. Finanzberichte'!$DN$88,'III. Finanzberichte'!$DU$88),"")</f>
        <v/>
      </c>
    </row>
    <row r="163">
      <c r="L163" s="108" t="str">
        <f>IFERROR(CHOOSE(E81,'III. Finanzberichte'!$B$89,'III. Finanzberichte'!$I$89,'III. Finanzberichte'!$P$89,'III. Finanzberichte'!$W$89,'III. Finanzberichte'!$AD$89,'III. Finanzberichte'!$AK$89,'III. Finanzberichte'!$AR$89,'III. Finanzberichte'!$AY$89,'III. Finanzberichte'!$BF$89,'III. Finanzberichte'!$BM$89,'III. Finanzberichte'!$BT$89,'III. Finanzberichte'!$CA$89,'III. Finanzberichte'!$CH$89,'III. Finanzberichte'!$CO$89,'III. Finanzberichte'!$CV$89,'III. Finanzberichte'!$DC$89,'III. Finanzberichte'!$DJ$89,'III. Finanzberichte'!$DQ$89),"")</f>
        <v/>
      </c>
      <c r="M163" s="109" t="str">
        <f>IFERROR(CHOOSE(E81,'III. Finanzberichte'!$C$89,'III. Finanzberichte'!$J$89,'III. Finanzberichte'!$Q$89,'III. Finanzberichte'!$X$89,'III. Finanzberichte'!$AE$89,'III. Finanzberichte'!$AL$89,'III. Finanzberichte'!$AS$89,'III. Finanzberichte'!$AZ$89,'III. Finanzberichte'!$BG$89,'III. Finanzberichte'!$BN$89,'III. Finanzberichte'!$BU$89,'III. Finanzberichte'!$CB$89,'III. Finanzberichte'!$CI$89,'III. Finanzberichte'!$CP$89,'III. Finanzberichte'!$CW$89,'III. Finanzberichte'!$DD$89,'III. Finanzberichte'!$DK$89,'III. Finanzberichte'!$DR$89),"")</f>
        <v/>
      </c>
      <c r="N163" s="110" t="str">
        <f>IFERROR(CHOOSE(E81,'III. Finanzberichte'!$D$89,'III. Finanzberichte'!$K$89,'III. Finanzberichte'!$R$89,'III. Finanzberichte'!$Y$89,'III. Finanzberichte'!$AF$89,'III. Finanzberichte'!$AM$89,'III. Finanzberichte'!$AT$89,'III. Finanzberichte'!$BA$89,'III. Finanzberichte'!$BH$89,'III. Finanzberichte'!$BO$89,'III. Finanzberichte'!$BV$89,'III. Finanzberichte'!$CC$89,'III. Finanzberichte'!$CJ$89,'III. Finanzberichte'!$CQ$89,'III. Finanzberichte'!$CX$89,'III. Finanzberichte'!$DE$89,'III. Finanzberichte'!$DL$89,'III. Finanzberichte'!$DS$89),"")</f>
        <v/>
      </c>
      <c r="O163" s="109" t="str">
        <f>IFERROR(CHOOSE(E81,'III. Finanzberichte'!$E$89,'III. Finanzberichte'!$L$89,'III. Finanzberichte'!$S$89,'III. Finanzberichte'!$Z$89,'III. Finanzberichte'!$AG$89,'III. Finanzberichte'!$AN$89,'III. Finanzberichte'!$AU$89,'III. Finanzberichte'!$BB$89,'III. Finanzberichte'!$BI$89,'III. Finanzberichte'!$BP$89,'III. Finanzberichte'!$BW$89,'III. Finanzberichte'!$CD$89,'III. Finanzberichte'!$CK$89,'III. Finanzberichte'!$CR$89,'III. Finanzberichte'!$CY$89,'III. Finanzberichte'!$DF$89,'III. Finanzberichte'!$DM$89,'III. Finanzberichte'!$DT$89),"")</f>
        <v/>
      </c>
      <c r="P163" s="111" t="str">
        <f>IFERROR(CHOOSE(E81,'III. Finanzberichte'!$F$89,'III. Finanzberichte'!$M$89,'III. Finanzberichte'!$T$89,'III. Finanzberichte'!$AA$89,'III. Finanzberichte'!$AH$89,'III. Finanzberichte'!$AO$89,'III. Finanzberichte'!$AV$89,'III. Finanzberichte'!$BC$89,'III. Finanzberichte'!$BJ$89,'III. Finanzberichte'!$BQ$89,'III. Finanzberichte'!$BX$89,'III. Finanzberichte'!$CE$89,'III. Finanzberichte'!$CL$89,'III. Finanzberichte'!$CS$89,'III. Finanzberichte'!$CZ$89,'III. Finanzberichte'!$DG$89,'III. Finanzberichte'!$DN$89,'III. Finanzberichte'!$DU$89),"")</f>
        <v/>
      </c>
    </row>
    <row r="164">
      <c r="L164" s="108" t="str">
        <f>IFERROR(CHOOSE(E81,'III. Finanzberichte'!$B$90,'III. Finanzberichte'!$I$90,'III. Finanzberichte'!$P$90,'III. Finanzberichte'!$W$90,'III. Finanzberichte'!$AD$90,'III. Finanzberichte'!$AK$90,'III. Finanzberichte'!$AR$90,'III. Finanzberichte'!$AY$90,'III. Finanzberichte'!$BF$90,'III. Finanzberichte'!$BM$90,'III. Finanzberichte'!$BT$90,'III. Finanzberichte'!$CA$90,'III. Finanzberichte'!$CH$90,'III. Finanzberichte'!$CO$90,'III. Finanzberichte'!$CV$90,'III. Finanzberichte'!$DC$90,'III. Finanzberichte'!$DJ$90,'III. Finanzberichte'!$DQ$90),"")</f>
        <v/>
      </c>
      <c r="M164" s="109" t="str">
        <f>IFERROR(CHOOSE(E81,'III. Finanzberichte'!$C$90,'III. Finanzberichte'!$J$90,'III. Finanzberichte'!$Q$90,'III. Finanzberichte'!$X$90,'III. Finanzberichte'!$AE$90,'III. Finanzberichte'!$AL$90,'III. Finanzberichte'!$AS$90,'III. Finanzberichte'!$AZ$90,'III. Finanzberichte'!$BG$90,'III. Finanzberichte'!$BN$90,'III. Finanzberichte'!$BU$90,'III. Finanzberichte'!$CB$90,'III. Finanzberichte'!$CI$90,'III. Finanzberichte'!$CP$90,'III. Finanzberichte'!$CW$90,'III. Finanzberichte'!$DD$90,'III. Finanzberichte'!$DK$90,'III. Finanzberichte'!$DR$90),"")</f>
        <v/>
      </c>
      <c r="N164" s="110" t="str">
        <f>IFERROR(CHOOSE(E81,'III. Finanzberichte'!$D$90,'III. Finanzberichte'!$K$90,'III. Finanzberichte'!$R$90,'III. Finanzberichte'!$Y$90,'III. Finanzberichte'!$AF$90,'III. Finanzberichte'!$AM$90,'III. Finanzberichte'!$AT$90,'III. Finanzberichte'!$BA$90,'III. Finanzberichte'!$BH$90,'III. Finanzberichte'!$BO$90,'III. Finanzberichte'!$BV$90,'III. Finanzberichte'!$CC$90,'III. Finanzberichte'!$CJ$90,'III. Finanzberichte'!$CQ$90,'III. Finanzberichte'!$CX$90,'III. Finanzberichte'!$DE$90,'III. Finanzberichte'!$DL$90,'III. Finanzberichte'!$DS$90),"")</f>
        <v/>
      </c>
      <c r="O164" s="109" t="str">
        <f>IFERROR(CHOOSE(E81,'III. Finanzberichte'!$E$90,'III. Finanzberichte'!$L$90,'III. Finanzberichte'!$S$90,'III. Finanzberichte'!$Z$90,'III. Finanzberichte'!$AG$90,'III. Finanzberichte'!$AN$90,'III. Finanzberichte'!$AU$90,'III. Finanzberichte'!$BB$90,'III. Finanzberichte'!$BI$90,'III. Finanzberichte'!$BP$90,'III. Finanzberichte'!$BW$90,'III. Finanzberichte'!$CD$90,'III. Finanzberichte'!$CK$90,'III. Finanzberichte'!$CR$90,'III. Finanzberichte'!$CY$90,'III. Finanzberichte'!$DF$90,'III. Finanzberichte'!$DM$90,'III. Finanzberichte'!$DT$90),"")</f>
        <v/>
      </c>
      <c r="P164" s="111" t="str">
        <f>IFERROR(CHOOSE(E81,'III. Finanzberichte'!$F$90,'III. Finanzberichte'!$M$90,'III. Finanzberichte'!$T$90,'III. Finanzberichte'!$AA$90,'III. Finanzberichte'!$AH$90,'III. Finanzberichte'!$AO$90,'III. Finanzberichte'!$AV$90,'III. Finanzberichte'!$BC$90,'III. Finanzberichte'!$BJ$90,'III. Finanzberichte'!$BQ$90,'III. Finanzberichte'!$BX$90,'III. Finanzberichte'!$CE$90,'III. Finanzberichte'!$CL$90,'III. Finanzberichte'!$CS$90,'III. Finanzberichte'!$CZ$90,'III. Finanzberichte'!$DG$90,'III. Finanzberichte'!$DN$90,'III. Finanzberichte'!$DU$90),"")</f>
        <v/>
      </c>
    </row>
    <row r="165">
      <c r="L165" s="108" t="str">
        <f>IFERROR(CHOOSE(E81,'III. Finanzberichte'!$B$91,'III. Finanzberichte'!$I$91,'III. Finanzberichte'!$P$91,'III. Finanzberichte'!$W$91,'III. Finanzberichte'!$AD$91,'III. Finanzberichte'!$AK$91,'III. Finanzberichte'!$AR$91,'III. Finanzberichte'!$AY$91,'III. Finanzberichte'!$BF$91,'III. Finanzberichte'!$BM$91,'III. Finanzberichte'!$BT$91,'III. Finanzberichte'!$CA$91,'III. Finanzberichte'!$CH$91,'III. Finanzberichte'!$CO$91,'III. Finanzberichte'!$CV$91,'III. Finanzberichte'!$DC$91,'III. Finanzberichte'!$DJ$91,'III. Finanzberichte'!$DQ$91),"")</f>
        <v/>
      </c>
      <c r="M165" s="109" t="str">
        <f>IFERROR(CHOOSE(E81,'III. Finanzberichte'!$C$91,'III. Finanzberichte'!$J$91,'III. Finanzberichte'!$Q$91,'III. Finanzberichte'!$X$91,'III. Finanzberichte'!$AE$91,'III. Finanzberichte'!$AL$91,'III. Finanzberichte'!$AS$91,'III. Finanzberichte'!$AZ$91,'III. Finanzberichte'!$BG$91,'III. Finanzberichte'!$BN$91,'III. Finanzberichte'!$BU$91,'III. Finanzberichte'!$CB$91,'III. Finanzberichte'!$CI$91,'III. Finanzberichte'!$CP$91,'III. Finanzberichte'!$CW$91,'III. Finanzberichte'!$DD$91,'III. Finanzberichte'!$DK$91,'III. Finanzberichte'!$DR$91),"")</f>
        <v/>
      </c>
      <c r="N165" s="110" t="str">
        <f>IFERROR(CHOOSE(E81,'III. Finanzberichte'!$D$91,'III. Finanzberichte'!$K$91,'III. Finanzberichte'!$R$91,'III. Finanzberichte'!$Y$91,'III. Finanzberichte'!$AF$91,'III. Finanzberichte'!$AM$91,'III. Finanzberichte'!$AT$91,'III. Finanzberichte'!$BA$91,'III. Finanzberichte'!$BH$91,'III. Finanzberichte'!$BO$91,'III. Finanzberichte'!$BV$91,'III. Finanzberichte'!$CC$91,'III. Finanzberichte'!$CJ$91,'III. Finanzberichte'!$CQ$91,'III. Finanzberichte'!$CX$91,'III. Finanzberichte'!$DE$91,'III. Finanzberichte'!$DL$91,'III. Finanzberichte'!$DS$91),"")</f>
        <v/>
      </c>
      <c r="O165" s="109" t="str">
        <f>IFERROR(CHOOSE(E81,'III. Finanzberichte'!$E$91,'III. Finanzberichte'!$L$91,'III. Finanzberichte'!$S$91,'III. Finanzberichte'!$Z$91,'III. Finanzberichte'!$AG$91,'III. Finanzberichte'!$AN$91,'III. Finanzberichte'!$AU$91,'III. Finanzberichte'!$BB$91,'III. Finanzberichte'!$BI$91,'III. Finanzberichte'!$BP$91,'III. Finanzberichte'!$BW$91,'III. Finanzberichte'!$CD$91,'III. Finanzberichte'!$CK$91,'III. Finanzberichte'!$CR$91,'III. Finanzberichte'!$CY$91,'III. Finanzberichte'!$DF$91,'III. Finanzberichte'!$DM$91,'III. Finanzberichte'!$DT$91),"")</f>
        <v/>
      </c>
      <c r="P165" s="111" t="str">
        <f>IFERROR(CHOOSE(E81,'III. Finanzberichte'!$F$91,'III. Finanzberichte'!$M$91,'III. Finanzberichte'!$T$91,'III. Finanzberichte'!$AA$91,'III. Finanzberichte'!$AH$91,'III. Finanzberichte'!$AO$91,'III. Finanzberichte'!$AV$91,'III. Finanzberichte'!$BC$91,'III. Finanzberichte'!$BJ$91,'III. Finanzberichte'!$BQ$91,'III. Finanzberichte'!$BX$91,'III. Finanzberichte'!$CE$91,'III. Finanzberichte'!$CL$91,'III. Finanzberichte'!$CS$91,'III. Finanzberichte'!$CZ$91,'III. Finanzberichte'!$DG$91,'III. Finanzberichte'!$DN$91,'III. Finanzberichte'!$DU$91),"")</f>
        <v/>
      </c>
    </row>
    <row r="166">
      <c r="L166" s="108" t="str">
        <f>IFERROR(CHOOSE(E81,'III. Finanzberichte'!$B$92,'III. Finanzberichte'!$I$92,'III. Finanzberichte'!$P$92,'III. Finanzberichte'!$W$92,'III. Finanzberichte'!$AD$92,'III. Finanzberichte'!$AK$92,'III. Finanzberichte'!$AR$92,'III. Finanzberichte'!$AY$92,'III. Finanzberichte'!$BF$92,'III. Finanzberichte'!$BM$92,'III. Finanzberichte'!$BT$92,'III. Finanzberichte'!$CA$92,'III. Finanzberichte'!$CH$92,'III. Finanzberichte'!$CO$92,'III. Finanzberichte'!$CV$92,'III. Finanzberichte'!$DC$92,'III. Finanzberichte'!$DJ$92,'III. Finanzberichte'!$DQ$92),"")</f>
        <v/>
      </c>
      <c r="M166" s="109" t="str">
        <f>IFERROR(CHOOSE(E81,'III. Finanzberichte'!$C$92,'III. Finanzberichte'!$J$92,'III. Finanzberichte'!$Q$92,'III. Finanzberichte'!$X$92,'III. Finanzberichte'!$AE$92,'III. Finanzberichte'!$AL$92,'III. Finanzberichte'!$AS$92,'III. Finanzberichte'!$AZ$92,'III. Finanzberichte'!$BG$92,'III. Finanzberichte'!$BN$92,'III. Finanzberichte'!$BU$92,'III. Finanzberichte'!$CB$92,'III. Finanzberichte'!$CI$92,'III. Finanzberichte'!$CP$92,'III. Finanzberichte'!$CW$92,'III. Finanzberichte'!$DD$92,'III. Finanzberichte'!$DK$92,'III. Finanzberichte'!$DR$92),"")</f>
        <v/>
      </c>
      <c r="N166" s="110" t="str">
        <f>IFERROR(CHOOSE(E81,'III. Finanzberichte'!$D$92,'III. Finanzberichte'!$K$92,'III. Finanzberichte'!$R$92,'III. Finanzberichte'!$Y$92,'III. Finanzberichte'!$AF$92,'III. Finanzberichte'!$AM$92,'III. Finanzberichte'!$AT$92,'III. Finanzberichte'!$BA$92,'III. Finanzberichte'!$BH$92,'III. Finanzberichte'!$BO$92,'III. Finanzberichte'!$BV$92,'III. Finanzberichte'!$CC$92,'III. Finanzberichte'!$CJ$92,'III. Finanzberichte'!$CQ$92,'III. Finanzberichte'!$CX$92,'III. Finanzberichte'!$DE$92,'III. Finanzberichte'!$DL$92,'III. Finanzberichte'!$DS$92),"")</f>
        <v/>
      </c>
      <c r="O166" s="109" t="str">
        <f>IFERROR(CHOOSE(E81,'III. Finanzberichte'!$E$92,'III. Finanzberichte'!$L$92,'III. Finanzberichte'!$S$92,'III. Finanzberichte'!$Z$92,'III. Finanzberichte'!$AG$92,'III. Finanzberichte'!$AN$92,'III. Finanzberichte'!$AU$92,'III. Finanzberichte'!$BB$92,'III. Finanzberichte'!$BI$92,'III. Finanzberichte'!$BP$92,'III. Finanzberichte'!$BW$92,'III. Finanzberichte'!$CD$92,'III. Finanzberichte'!$CK$92,'III. Finanzberichte'!$CR$92,'III. Finanzberichte'!$CY$92,'III. Finanzberichte'!$DF$92,'III. Finanzberichte'!$DM$92,'III. Finanzberichte'!$DT$92),"")</f>
        <v/>
      </c>
      <c r="P166" s="111" t="str">
        <f>IFERROR(CHOOSE(E81,'III. Finanzberichte'!$F$92,'III. Finanzberichte'!$M$92,'III. Finanzberichte'!$T$92,'III. Finanzberichte'!$AA$92,'III. Finanzberichte'!$AH$92,'III. Finanzberichte'!$AO$92,'III. Finanzberichte'!$AV$92,'III. Finanzberichte'!$BC$92,'III. Finanzberichte'!$BJ$92,'III. Finanzberichte'!$BQ$92,'III. Finanzberichte'!$BX$92,'III. Finanzberichte'!$CE$92,'III. Finanzberichte'!$CL$92,'III. Finanzberichte'!$CS$92,'III. Finanzberichte'!$CZ$92,'III. Finanzberichte'!$DG$92,'III. Finanzberichte'!$DN$92,'III. Finanzberichte'!$DU$92),"")</f>
        <v/>
      </c>
    </row>
    <row r="167">
      <c r="L167" s="108" t="str">
        <f>IFERROR(CHOOSE(E81,'III. Finanzberichte'!$B$93,'III. Finanzberichte'!$I$93,'III. Finanzberichte'!$P$93,'III. Finanzberichte'!$W$93,'III. Finanzberichte'!$AD$93,'III. Finanzberichte'!$AK$93,'III. Finanzberichte'!$AR$93,'III. Finanzberichte'!$AY$93,'III. Finanzberichte'!$BF$93,'III. Finanzberichte'!$BM$93,'III. Finanzberichte'!$BT$93,'III. Finanzberichte'!$CA$93,'III. Finanzberichte'!$CH$93,'III. Finanzberichte'!$CO$93,'III. Finanzberichte'!$CV$93,'III. Finanzberichte'!$DC$93,'III. Finanzberichte'!$DJ$93,'III. Finanzberichte'!$DQ$93),"")</f>
        <v/>
      </c>
      <c r="M167" s="109" t="str">
        <f>IFERROR(CHOOSE(E81,'III. Finanzberichte'!$C$93,'III. Finanzberichte'!$J$93,'III. Finanzberichte'!$Q$93,'III. Finanzberichte'!$X$93,'III. Finanzberichte'!$AE$93,'III. Finanzberichte'!$AL$93,'III. Finanzberichte'!$AS$93,'III. Finanzberichte'!$AZ$93,'III. Finanzberichte'!$BG$93,'III. Finanzberichte'!$BN$93,'III. Finanzberichte'!$BU$93,'III. Finanzberichte'!$CB$93,'III. Finanzberichte'!$CI$93,'III. Finanzberichte'!$CP$93,'III. Finanzberichte'!$CW$93,'III. Finanzberichte'!$DD$93,'III. Finanzberichte'!$DK$93,'III. Finanzberichte'!$DR$93),"")</f>
        <v/>
      </c>
      <c r="N167" s="110" t="str">
        <f>IFERROR(CHOOSE(E81,'III. Finanzberichte'!$D$93,'III. Finanzberichte'!$K$93,'III. Finanzberichte'!$R$93,'III. Finanzberichte'!$Y$93,'III. Finanzberichte'!$AF$93,'III. Finanzberichte'!$AM$93,'III. Finanzberichte'!$AT$93,'III. Finanzberichte'!$BA$93,'III. Finanzberichte'!$BH$93,'III. Finanzberichte'!$BO$93,'III. Finanzberichte'!$BV$93,'III. Finanzberichte'!$CC$93,'III. Finanzberichte'!$CJ$93,'III. Finanzberichte'!$CQ$93,'III. Finanzberichte'!$CX$93,'III. Finanzberichte'!$DE$93,'III. Finanzberichte'!$DL$93,'III. Finanzberichte'!$DS$93),"")</f>
        <v/>
      </c>
      <c r="O167" s="109" t="str">
        <f>IFERROR(CHOOSE(E81,'III. Finanzberichte'!$E$93,'III. Finanzberichte'!$L$93,'III. Finanzberichte'!$S$93,'III. Finanzberichte'!$Z$93,'III. Finanzberichte'!$AG$93,'III. Finanzberichte'!$AN$93,'III. Finanzberichte'!$AU$93,'III. Finanzberichte'!$BB$93,'III. Finanzberichte'!$BI$93,'III. Finanzberichte'!$BP$93,'III. Finanzberichte'!$BW$93,'III. Finanzberichte'!$CD$93,'III. Finanzberichte'!$CK$93,'III. Finanzberichte'!$CR$93,'III. Finanzberichte'!$CY$93,'III. Finanzberichte'!$DF$93,'III. Finanzberichte'!$DM$93,'III. Finanzberichte'!$DT$93),"")</f>
        <v/>
      </c>
      <c r="P167" s="111" t="str">
        <f>IFERROR(CHOOSE(E81,'III. Finanzberichte'!$F$93,'III. Finanzberichte'!$M$93,'III. Finanzberichte'!$T$93,'III. Finanzberichte'!$AA$93,'III. Finanzberichte'!$AH$93,'III. Finanzberichte'!$AO$93,'III. Finanzberichte'!$AV$93,'III. Finanzberichte'!$BC$93,'III. Finanzberichte'!$BJ$93,'III. Finanzberichte'!$BQ$93,'III. Finanzberichte'!$BX$93,'III. Finanzberichte'!$CE$93,'III. Finanzberichte'!$CL$93,'III. Finanzberichte'!$CS$93,'III. Finanzberichte'!$CZ$93,'III. Finanzberichte'!$DG$93,'III. Finanzberichte'!$DN$93,'III. Finanzberichte'!$DU$93),"")</f>
        <v/>
      </c>
    </row>
    <row r="168">
      <c r="L168" s="108" t="str">
        <f>IFERROR(CHOOSE(E81,'III. Finanzberichte'!$B$94,'III. Finanzberichte'!$I$94,'III. Finanzberichte'!$P$94,'III. Finanzberichte'!$W$94,'III. Finanzberichte'!$AD$94,'III. Finanzberichte'!$AK$94,'III. Finanzberichte'!$AR$94,'III. Finanzberichte'!$AY$94,'III. Finanzberichte'!$BF$94,'III. Finanzberichte'!$BM$94,'III. Finanzberichte'!$BT$94,'III. Finanzberichte'!$CA$94,'III. Finanzberichte'!$CH$94,'III. Finanzberichte'!$CO$94,'III. Finanzberichte'!$CV$94,'III. Finanzberichte'!$DC$94,'III. Finanzberichte'!$DJ$94,'III. Finanzberichte'!$DQ$94),"")</f>
        <v/>
      </c>
      <c r="M168" s="109" t="str">
        <f>IFERROR(CHOOSE(E81,'III. Finanzberichte'!$C$94,'III. Finanzberichte'!$J$94,'III. Finanzberichte'!$Q$94,'III. Finanzberichte'!$X$94,'III. Finanzberichte'!$AE$94,'III. Finanzberichte'!$AL$94,'III. Finanzberichte'!$AS$94,'III. Finanzberichte'!$AZ$94,'III. Finanzberichte'!$BG$94,'III. Finanzberichte'!$BN$94,'III. Finanzberichte'!$BU$94,'III. Finanzberichte'!$CB$94,'III. Finanzberichte'!$CI$94,'III. Finanzberichte'!$CP$94,'III. Finanzberichte'!$CW$94,'III. Finanzberichte'!$DD$94,'III. Finanzberichte'!$DK$94,'III. Finanzberichte'!$DR$94),"")</f>
        <v/>
      </c>
      <c r="N168" s="110" t="str">
        <f>IFERROR(CHOOSE(E81,'III. Finanzberichte'!$D$94,'III. Finanzberichte'!$K$94,'III. Finanzberichte'!$R$94,'III. Finanzberichte'!$Y$94,'III. Finanzberichte'!$AF$94,'III. Finanzberichte'!$AM$94,'III. Finanzberichte'!$AT$94,'III. Finanzberichte'!$BA$94,'III. Finanzberichte'!$BH$94,'III. Finanzberichte'!$BO$94,'III. Finanzberichte'!$BV$94,'III. Finanzberichte'!$CC$94,'III. Finanzberichte'!$CJ$94,'III. Finanzberichte'!$CQ$94,'III. Finanzberichte'!$CX$94,'III. Finanzberichte'!$DE$94,'III. Finanzberichte'!$DL$94,'III. Finanzberichte'!$DS$94),"")</f>
        <v/>
      </c>
      <c r="O168" s="109" t="str">
        <f>IFERROR(CHOOSE(E81,'III. Finanzberichte'!$E$94,'III. Finanzberichte'!$L$94,'III. Finanzberichte'!$S$94,'III. Finanzberichte'!$Z$94,'III. Finanzberichte'!$AG$94,'III. Finanzberichte'!$AN$94,'III. Finanzberichte'!$AU$94,'III. Finanzberichte'!$BB$94,'III. Finanzberichte'!$BI$94,'III. Finanzberichte'!$BP$94,'III. Finanzberichte'!$BW$94,'III. Finanzberichte'!$CD$94,'III. Finanzberichte'!$CK$94,'III. Finanzberichte'!$CR$94,'III. Finanzberichte'!$CY$94,'III. Finanzberichte'!$DF$94,'III. Finanzberichte'!$DM$94,'III. Finanzberichte'!$DT$94),"")</f>
        <v/>
      </c>
      <c r="P168" s="111" t="str">
        <f>IFERROR(CHOOSE(E81,'III. Finanzberichte'!$F$94,'III. Finanzberichte'!$M$94,'III. Finanzberichte'!$T$94,'III. Finanzberichte'!$AA$94,'III. Finanzberichte'!$AH$94,'III. Finanzberichte'!$AO$94,'III. Finanzberichte'!$AV$94,'III. Finanzberichte'!$BC$94,'III. Finanzberichte'!$BJ$94,'III. Finanzberichte'!$BQ$94,'III. Finanzberichte'!$BX$94,'III. Finanzberichte'!$CE$94,'III. Finanzberichte'!$CL$94,'III. Finanzberichte'!$CS$94,'III. Finanzberichte'!$CZ$94,'III. Finanzberichte'!$DG$94,'III. Finanzberichte'!$DN$94,'III. Finanzberichte'!$DU$94),"")</f>
        <v/>
      </c>
    </row>
    <row r="169">
      <c r="L169" s="108" t="str">
        <f>IFERROR(CHOOSE(E81,'III. Finanzberichte'!$B$95,'III. Finanzberichte'!$I$95,'III. Finanzberichte'!$P$95,'III. Finanzberichte'!$W$95,'III. Finanzberichte'!$AD$95,'III. Finanzberichte'!$AK$95,'III. Finanzberichte'!$AR$95,'III. Finanzberichte'!$AY$95,'III. Finanzberichte'!$BF$95,'III. Finanzberichte'!$BM$95,'III. Finanzberichte'!$BT$95,'III. Finanzberichte'!$CA$95,'III. Finanzberichte'!$CH$95,'III. Finanzberichte'!$CO$95,'III. Finanzberichte'!$CV$95,'III. Finanzberichte'!$DC$95,'III. Finanzberichte'!$DJ$95,'III. Finanzberichte'!$DQ$95),"")</f>
        <v/>
      </c>
      <c r="M169" s="109" t="str">
        <f>IFERROR(CHOOSE(E81,'III. Finanzberichte'!$C$95,'III. Finanzberichte'!$J$95,'III. Finanzberichte'!$Q$95,'III. Finanzberichte'!$X$95,'III. Finanzberichte'!$AE$95,'III. Finanzberichte'!$AL$95,'III. Finanzberichte'!$AS$95,'III. Finanzberichte'!$AZ$95,'III. Finanzberichte'!$BG$95,'III. Finanzberichte'!$BN$95,'III. Finanzberichte'!$BU$95,'III. Finanzberichte'!$CB$95,'III. Finanzberichte'!$CI$95,'III. Finanzberichte'!$CP$95,'III. Finanzberichte'!$CW$95,'III. Finanzberichte'!$DD$95,'III. Finanzberichte'!$DK$95,'III. Finanzberichte'!$DR$95),"")</f>
        <v/>
      </c>
      <c r="N169" s="110" t="str">
        <f>IFERROR(CHOOSE(E81,'III. Finanzberichte'!$D$95,'III. Finanzberichte'!$K$95,'III. Finanzberichte'!$R$95,'III. Finanzberichte'!$Y$95,'III. Finanzberichte'!$AF$95,'III. Finanzberichte'!$AM$95,'III. Finanzberichte'!$AT$95,'III. Finanzberichte'!$BA$95,'III. Finanzberichte'!$BH$95,'III. Finanzberichte'!$BO$95,'III. Finanzberichte'!$BV$95,'III. Finanzberichte'!$CC$95,'III. Finanzberichte'!$CJ$95,'III. Finanzberichte'!$CQ$95,'III. Finanzberichte'!$CX$95,'III. Finanzberichte'!$DE$95,'III. Finanzberichte'!$DL$95,'III. Finanzberichte'!$DS$95),"")</f>
        <v/>
      </c>
      <c r="O169" s="109" t="str">
        <f>IFERROR(CHOOSE(E81,'III. Finanzberichte'!$E$95,'III. Finanzberichte'!$L$95,'III. Finanzberichte'!$S$95,'III. Finanzberichte'!$Z$95,'III. Finanzberichte'!$AG$95,'III. Finanzberichte'!$AN$95,'III. Finanzberichte'!$AU$95,'III. Finanzberichte'!$BB$95,'III. Finanzberichte'!$BI$95,'III. Finanzberichte'!$BP$95,'III. Finanzberichte'!$BW$95,'III. Finanzberichte'!$CD$95,'III. Finanzberichte'!$CK$95,'III. Finanzberichte'!$CR$95,'III. Finanzberichte'!$CY$95,'III. Finanzberichte'!$DF$95,'III. Finanzberichte'!$DM$95,'III. Finanzberichte'!$DT$95),"")</f>
        <v/>
      </c>
      <c r="P169" s="111" t="str">
        <f>IFERROR(CHOOSE(E81,'III. Finanzberichte'!$F$95,'III. Finanzberichte'!$M$95,'III. Finanzberichte'!$T$95,'III. Finanzberichte'!$AA$95,'III. Finanzberichte'!$AH$95,'III. Finanzberichte'!$AO$95,'III. Finanzberichte'!$AV$95,'III. Finanzberichte'!$BC$95,'III. Finanzberichte'!$BJ$95,'III. Finanzberichte'!$BQ$95,'III. Finanzberichte'!$BX$95,'III. Finanzberichte'!$CE$95,'III. Finanzberichte'!$CL$95,'III. Finanzberichte'!$CS$95,'III. Finanzberichte'!$CZ$95,'III. Finanzberichte'!$DG$95,'III. Finanzberichte'!$DN$95,'III. Finanzberichte'!$DU$95),"")</f>
        <v/>
      </c>
    </row>
    <row r="170">
      <c r="L170" s="108" t="str">
        <f>IFERROR(CHOOSE(E81,'III. Finanzberichte'!$B$96,'III. Finanzberichte'!$I$96,'III. Finanzberichte'!$P$96,'III. Finanzberichte'!$W$96,'III. Finanzberichte'!$AD$96,'III. Finanzberichte'!$AK$96,'III. Finanzberichte'!$AR$96,'III. Finanzberichte'!$AY$96,'III. Finanzberichte'!$BF$96,'III. Finanzberichte'!$BM$96,'III. Finanzberichte'!$BT$96,'III. Finanzberichte'!$CA$96,'III. Finanzberichte'!$CH$96,'III. Finanzberichte'!$CO$96,'III. Finanzberichte'!$CV$96,'III. Finanzberichte'!$DC$96,'III. Finanzberichte'!$DJ$96,'III. Finanzberichte'!$DQ$96),"")</f>
        <v/>
      </c>
      <c r="M170" s="109" t="str">
        <f>IFERROR(CHOOSE(E81,'III. Finanzberichte'!$C$96,'III. Finanzberichte'!$J$96,'III. Finanzberichte'!$Q$96,'III. Finanzberichte'!$X$96,'III. Finanzberichte'!$AE$96,'III. Finanzberichte'!$AL$96,'III. Finanzberichte'!$AS$96,'III. Finanzberichte'!$AZ$96,'III. Finanzberichte'!$BG$96,'III. Finanzberichte'!$BN$96,'III. Finanzberichte'!$BU$96,'III. Finanzberichte'!$CB$96,'III. Finanzberichte'!$CI$96,'III. Finanzberichte'!$CP$96,'III. Finanzberichte'!$CW$96,'III. Finanzberichte'!$DD$96,'III. Finanzberichte'!$DK$96,'III. Finanzberichte'!$DR$96),"")</f>
        <v/>
      </c>
      <c r="N170" s="110" t="str">
        <f>IFERROR(CHOOSE(E81,'III. Finanzberichte'!$D$96,'III. Finanzberichte'!$K$96,'III. Finanzberichte'!$R$96,'III. Finanzberichte'!$Y$96,'III. Finanzberichte'!$AF$96,'III. Finanzberichte'!$AM$96,'III. Finanzberichte'!$AT$96,'III. Finanzberichte'!$BA$96,'III. Finanzberichte'!$BH$96,'III. Finanzberichte'!$BO$96,'III. Finanzberichte'!$BV$96,'III. Finanzberichte'!$CC$96,'III. Finanzberichte'!$CJ$96,'III. Finanzberichte'!$CQ$96,'III. Finanzberichte'!$CX$96,'III. Finanzberichte'!$DE$96,'III. Finanzberichte'!$DL$96,'III. Finanzberichte'!$DS$96),"")</f>
        <v/>
      </c>
      <c r="O170" s="109" t="str">
        <f>IFERROR(CHOOSE(E81,'III. Finanzberichte'!$E$96,'III. Finanzberichte'!$L$96,'III. Finanzberichte'!$S$96,'III. Finanzberichte'!$Z$96,'III. Finanzberichte'!$AG$96,'III. Finanzberichte'!$AN$96,'III. Finanzberichte'!$AU$96,'III. Finanzberichte'!$BB$96,'III. Finanzberichte'!$BI$96,'III. Finanzberichte'!$BP$96,'III. Finanzberichte'!$BW$96,'III. Finanzberichte'!$CD$96,'III. Finanzberichte'!$CK$96,'III. Finanzberichte'!$CR$96,'III. Finanzberichte'!$CY$96,'III. Finanzberichte'!$DF$96,'III. Finanzberichte'!$DM$96,'III. Finanzberichte'!$DT$96),"")</f>
        <v/>
      </c>
      <c r="P170" s="111" t="str">
        <f>IFERROR(CHOOSE(E81,'III. Finanzberichte'!$F$96,'III. Finanzberichte'!$M$96,'III. Finanzberichte'!$T$96,'III. Finanzberichte'!$AA$96,'III. Finanzberichte'!$AH$96,'III. Finanzberichte'!$AO$96,'III. Finanzberichte'!$AV$96,'III. Finanzberichte'!$BC$96,'III. Finanzberichte'!$BJ$96,'III. Finanzberichte'!$BQ$96,'III. Finanzberichte'!$BX$96,'III. Finanzberichte'!$CE$96,'III. Finanzberichte'!$CL$96,'III. Finanzberichte'!$CS$96,'III. Finanzberichte'!$CZ$96,'III. Finanzberichte'!$DG$96,'III. Finanzberichte'!$DN$96,'III. Finanzberichte'!$DU$96),"")</f>
        <v/>
      </c>
    </row>
    <row r="171">
      <c r="L171" s="108" t="str">
        <f>IFERROR(CHOOSE(E81,'III. Finanzberichte'!$B$97,'III. Finanzberichte'!$I$97,'III. Finanzberichte'!$P$97,'III. Finanzberichte'!$W$97,'III. Finanzberichte'!$AD$97,'III. Finanzberichte'!$AK$97,'III. Finanzberichte'!$AR$97,'III. Finanzberichte'!$AY$97,'III. Finanzberichte'!$BF$97,'III. Finanzberichte'!$BM$97,'III. Finanzberichte'!$BT$97,'III. Finanzberichte'!$CA$97,'III. Finanzberichte'!$CH$97,'III. Finanzberichte'!$CO$97,'III. Finanzberichte'!$CV$97,'III. Finanzberichte'!$DC$97,'III. Finanzberichte'!$DJ$97,'III. Finanzberichte'!$DQ$97),"")</f>
        <v/>
      </c>
      <c r="M171" s="109" t="str">
        <f>IFERROR(CHOOSE(E81,'III. Finanzberichte'!$C$97,'III. Finanzberichte'!$J$97,'III. Finanzberichte'!$Q$97,'III. Finanzberichte'!$X$97,'III. Finanzberichte'!$AE$97,'III. Finanzberichte'!$AL$97,'III. Finanzberichte'!$AS$97,'III. Finanzberichte'!$AZ$97,'III. Finanzberichte'!$BG$97,'III. Finanzberichte'!$BN$97,'III. Finanzberichte'!$BU$97,'III. Finanzberichte'!$CB$97,'III. Finanzberichte'!$CI$97,'III. Finanzberichte'!$CP$97,'III. Finanzberichte'!$CW$97,'III. Finanzberichte'!$DD$97,'III. Finanzberichte'!$DK$97,'III. Finanzberichte'!$DR$97),"")</f>
        <v/>
      </c>
      <c r="N171" s="110" t="str">
        <f>IFERROR(CHOOSE(E81,'III. Finanzberichte'!$D$97,'III. Finanzberichte'!$K$97,'III. Finanzberichte'!$R$97,'III. Finanzberichte'!$Y$97,'III. Finanzberichte'!$AF$97,'III. Finanzberichte'!$AM$97,'III. Finanzberichte'!$AT$97,'III. Finanzberichte'!$BA$97,'III. Finanzberichte'!$BH$97,'III. Finanzberichte'!$BO$97,'III. Finanzberichte'!$BV$97,'III. Finanzberichte'!$CC$97,'III. Finanzberichte'!$CJ$97,'III. Finanzberichte'!$CQ$97,'III. Finanzberichte'!$CX$97,'III. Finanzberichte'!$DE$97,'III. Finanzberichte'!$DL$97,'III. Finanzberichte'!$DS$97),"")</f>
        <v/>
      </c>
      <c r="O171" s="109" t="str">
        <f>IFERROR(CHOOSE(E81,'III. Finanzberichte'!$E$97,'III. Finanzberichte'!$L$97,'III. Finanzberichte'!$S$97,'III. Finanzberichte'!$Z$97,'III. Finanzberichte'!$AG$97,'III. Finanzberichte'!$AN$97,'III. Finanzberichte'!$AU$97,'III. Finanzberichte'!$BB$97,'III. Finanzberichte'!$BI$97,'III. Finanzberichte'!$BP$97,'III. Finanzberichte'!$BW$97,'III. Finanzberichte'!$CD$97,'III. Finanzberichte'!$CK$97,'III. Finanzberichte'!$CR$97,'III. Finanzberichte'!$CY$97,'III. Finanzberichte'!$DF$97,'III. Finanzberichte'!$DM$97,'III. Finanzberichte'!$DT$97),"")</f>
        <v/>
      </c>
      <c r="P171" s="111" t="str">
        <f>IFERROR(CHOOSE(E81,'III. Finanzberichte'!$F$97,'III. Finanzberichte'!$M$97,'III. Finanzberichte'!$T$97,'III. Finanzberichte'!$AA$97,'III. Finanzberichte'!$AH$97,'III. Finanzberichte'!$AO$97,'III. Finanzberichte'!$AV$97,'III. Finanzberichte'!$BC$97,'III. Finanzberichte'!$BJ$97,'III. Finanzberichte'!$BQ$97,'III. Finanzberichte'!$BX$97,'III. Finanzberichte'!$CE$97,'III. Finanzberichte'!$CL$97,'III. Finanzberichte'!$CS$97,'III. Finanzberichte'!$CZ$97,'III. Finanzberichte'!$DG$97,'III. Finanzberichte'!$DN$97,'III. Finanzberichte'!$DU$97),"")</f>
        <v/>
      </c>
    </row>
    <row r="172">
      <c r="L172" s="108" t="str">
        <f>IFERROR(CHOOSE(E81,'III. Finanzberichte'!$B$98,'III. Finanzberichte'!$I$98,'III. Finanzberichte'!$P$98,'III. Finanzberichte'!$W$98,'III. Finanzberichte'!$AD$98,'III. Finanzberichte'!$AK$98,'III. Finanzberichte'!$AR$98,'III. Finanzberichte'!$AY$98,'III. Finanzberichte'!$BF$98,'III. Finanzberichte'!$BM$98,'III. Finanzberichte'!$BT$98,'III. Finanzberichte'!$CA$98,'III. Finanzberichte'!$CH$98,'III. Finanzberichte'!$CO$98,'III. Finanzberichte'!$CV$98,'III. Finanzberichte'!$DC$98,'III. Finanzberichte'!$DJ$98,'III. Finanzberichte'!$DQ$98),"")</f>
        <v/>
      </c>
      <c r="M172" s="109" t="str">
        <f>IFERROR(CHOOSE(E81,'III. Finanzberichte'!$C$98,'III. Finanzberichte'!$J$98,'III. Finanzberichte'!$Q$98,'III. Finanzberichte'!$X$98,'III. Finanzberichte'!$AE$98,'III. Finanzberichte'!$AL$98,'III. Finanzberichte'!$AS$98,'III. Finanzberichte'!$AZ$98,'III. Finanzberichte'!$BG$98,'III. Finanzberichte'!$BN$98,'III. Finanzberichte'!$BU$98,'III. Finanzberichte'!$CB$98,'III. Finanzberichte'!$CI$98,'III. Finanzberichte'!$CP$98,'III. Finanzberichte'!$CW$98,'III. Finanzberichte'!$DD$98,'III. Finanzberichte'!$DK$98,'III. Finanzberichte'!$DR$98),"")</f>
        <v/>
      </c>
      <c r="N172" s="110" t="str">
        <f>IFERROR(CHOOSE(E81,'III. Finanzberichte'!$D$98,'III. Finanzberichte'!$K$98,'III. Finanzberichte'!$R$98,'III. Finanzberichte'!$Y$98,'III. Finanzberichte'!$AF$98,'III. Finanzberichte'!$AM$98,'III. Finanzberichte'!$AT$98,'III. Finanzberichte'!$BA$98,'III. Finanzberichte'!$BH$98,'III. Finanzberichte'!$BO$98,'III. Finanzberichte'!$BV$98,'III. Finanzberichte'!$CC$98,'III. Finanzberichte'!$CJ$98,'III. Finanzberichte'!$CQ$98,'III. Finanzberichte'!$CX$98,'III. Finanzberichte'!$DE$98,'III. Finanzberichte'!$DL$98,'III. Finanzberichte'!$DS$98),"")</f>
        <v/>
      </c>
      <c r="O172" s="109" t="str">
        <f>IFERROR(CHOOSE(E81,'III. Finanzberichte'!$E$98,'III. Finanzberichte'!$L$98,'III. Finanzberichte'!$S$98,'III. Finanzberichte'!$Z$98,'III. Finanzberichte'!$AG$98,'III. Finanzberichte'!$AN$98,'III. Finanzberichte'!$AU$98,'III. Finanzberichte'!$BB$98,'III. Finanzberichte'!$BI$98,'III. Finanzberichte'!$BP$98,'III. Finanzberichte'!$BW$98,'III. Finanzberichte'!$CD$98,'III. Finanzberichte'!$CK$98,'III. Finanzberichte'!$CR$98,'III. Finanzberichte'!$CY$98,'III. Finanzberichte'!$DF$98,'III. Finanzberichte'!$DM$98,'III. Finanzberichte'!$DT$98),"")</f>
        <v/>
      </c>
      <c r="P172" s="111" t="str">
        <f>IFERROR(CHOOSE(E81,'III. Finanzberichte'!$F$98,'III. Finanzberichte'!$M$98,'III. Finanzberichte'!$T$98,'III. Finanzberichte'!$AA$98,'III. Finanzberichte'!$AH$98,'III. Finanzberichte'!$AO$98,'III. Finanzberichte'!$AV$98,'III. Finanzberichte'!$BC$98,'III. Finanzberichte'!$BJ$98,'III. Finanzberichte'!$BQ$98,'III. Finanzberichte'!$BX$98,'III. Finanzberichte'!$CE$98,'III. Finanzberichte'!$CL$98,'III. Finanzberichte'!$CS$98,'III. Finanzberichte'!$CZ$98,'III. Finanzberichte'!$DG$98,'III. Finanzberichte'!$DN$98,'III. Finanzberichte'!$DU$98),"")</f>
        <v/>
      </c>
    </row>
    <row r="173">
      <c r="L173" s="108" t="str">
        <f>IFERROR(CHOOSE(E81,'III. Finanzberichte'!$B$99,'III. Finanzberichte'!$I$99,'III. Finanzberichte'!$P$99,'III. Finanzberichte'!$W$99,'III. Finanzberichte'!$AD$99,'III. Finanzberichte'!$AK$99,'III. Finanzberichte'!$AR$99,'III. Finanzberichte'!$AY$99,'III. Finanzberichte'!$BF$99,'III. Finanzberichte'!$BM$99,'III. Finanzberichte'!$BT$99,'III. Finanzberichte'!$CA$99,'III. Finanzberichte'!$CH$99,'III. Finanzberichte'!$CO$99,'III. Finanzberichte'!$CV$99,'III. Finanzberichte'!$DC$99,'III. Finanzberichte'!$DJ$99,'III. Finanzberichte'!$DQ$99),"")</f>
        <v/>
      </c>
      <c r="M173" s="109" t="str">
        <f>IFERROR(CHOOSE(E81,'III. Finanzberichte'!$C$99,'III. Finanzberichte'!$J$99,'III. Finanzberichte'!$Q$99,'III. Finanzberichte'!$X$99,'III. Finanzberichte'!$AE$99,'III. Finanzberichte'!$AL$99,'III. Finanzberichte'!$AS$99,'III. Finanzberichte'!$AZ$99,'III. Finanzberichte'!$BG$99,'III. Finanzberichte'!$BN$99,'III. Finanzberichte'!$BU$99,'III. Finanzberichte'!$CB$99,'III. Finanzberichte'!$CI$99,'III. Finanzberichte'!$CP$99,'III. Finanzberichte'!$CW$99,'III. Finanzberichte'!$DD$99,'III. Finanzberichte'!$DK$99,'III. Finanzberichte'!$DR$99),"")</f>
        <v/>
      </c>
      <c r="N173" s="110" t="str">
        <f>IFERROR(CHOOSE(E81,'III. Finanzberichte'!$D$99,'III. Finanzberichte'!$K$99,'III. Finanzberichte'!$R$99,'III. Finanzberichte'!$Y$99,'III. Finanzberichte'!$AF$99,'III. Finanzberichte'!$AM$99,'III. Finanzberichte'!$AT$99,'III. Finanzberichte'!$BA$99,'III. Finanzberichte'!$BH$99,'III. Finanzberichte'!$BO$99,'III. Finanzberichte'!$BV$99,'III. Finanzberichte'!$CC$99,'III. Finanzberichte'!$CJ$99,'III. Finanzberichte'!$CQ$99,'III. Finanzberichte'!$CX$99,'III. Finanzberichte'!$DE$99,'III. Finanzberichte'!$DL$99,'III. Finanzberichte'!$DS$99),"")</f>
        <v/>
      </c>
      <c r="O173" s="109" t="str">
        <f>IFERROR(CHOOSE(E81,'III. Finanzberichte'!$E$99,'III. Finanzberichte'!$L$99,'III. Finanzberichte'!$S$99,'III. Finanzberichte'!$Z$99,'III. Finanzberichte'!$AG$99,'III. Finanzberichte'!$AN$99,'III. Finanzberichte'!$AU$99,'III. Finanzberichte'!$BB$99,'III. Finanzberichte'!$BI$99,'III. Finanzberichte'!$BP$99,'III. Finanzberichte'!$BW$99,'III. Finanzberichte'!$CD$99,'III. Finanzberichte'!$CK$99,'III. Finanzberichte'!$CR$99,'III. Finanzberichte'!$CY$99,'III. Finanzberichte'!$DF$99,'III. Finanzberichte'!$DM$99,'III. Finanzberichte'!$DT$99),"")</f>
        <v/>
      </c>
      <c r="P173" s="111" t="str">
        <f>IFERROR(CHOOSE(E81,'III. Finanzberichte'!$F$99,'III. Finanzberichte'!$M$99,'III. Finanzberichte'!$T$99,'III. Finanzberichte'!$AA$99,'III. Finanzberichte'!$AH$99,'III. Finanzberichte'!$AO$99,'III. Finanzberichte'!$AV$99,'III. Finanzberichte'!$BC$99,'III. Finanzberichte'!$BJ$99,'III. Finanzberichte'!$BQ$99,'III. Finanzberichte'!$BX$99,'III. Finanzberichte'!$CE$99,'III. Finanzberichte'!$CL$99,'III. Finanzberichte'!$CS$99,'III. Finanzberichte'!$CZ$99,'III. Finanzberichte'!$DG$99,'III. Finanzberichte'!$DN$99,'III. Finanzberichte'!$DU$99),"")</f>
        <v/>
      </c>
    </row>
    <row r="174">
      <c r="L174" s="108" t="str">
        <f>IFERROR(CHOOSE(E81,'III. Finanzberichte'!$B$100,'III. Finanzberichte'!$I$100,'III. Finanzberichte'!$P$100,'III. Finanzberichte'!$W$100,'III. Finanzberichte'!$AD$100,'III. Finanzberichte'!$AK$100,'III. Finanzberichte'!$AR$100,'III. Finanzberichte'!$AY$100,'III. Finanzberichte'!$BF$100,'III. Finanzberichte'!$BM$100,'III. Finanzberichte'!$BT$100,'III. Finanzberichte'!$CA$100,'III. Finanzberichte'!$CH$100,'III. Finanzberichte'!$CO$100,'III. Finanzberichte'!$CV$100,'III. Finanzberichte'!$DC$100,'III. Finanzberichte'!$DJ$100,'III. Finanzberichte'!$DQ$100),"")</f>
        <v/>
      </c>
      <c r="M174" s="109" t="str">
        <f>IFERROR(CHOOSE(E81,'III. Finanzberichte'!$C$100,'III. Finanzberichte'!$J$100,'III. Finanzberichte'!$Q$100,'III. Finanzberichte'!$X$100,'III. Finanzberichte'!$AE$100,'III. Finanzberichte'!$AL$100,'III. Finanzberichte'!$AS$100,'III. Finanzberichte'!$AZ$100,'III. Finanzberichte'!$BG$100,'III. Finanzberichte'!$BN$100,'III. Finanzberichte'!$BU$100,'III. Finanzberichte'!$CB$100,'III. Finanzberichte'!$CI$100,'III. Finanzberichte'!$CP$100,'III. Finanzberichte'!$CW$100,'III. Finanzberichte'!$DD$100,'III. Finanzberichte'!$DK$100,'III. Finanzberichte'!$DR$100),"")</f>
        <v/>
      </c>
      <c r="N174" s="110" t="str">
        <f>IFERROR(CHOOSE(E81,'III. Finanzberichte'!$D$100,'III. Finanzberichte'!$K$100,'III. Finanzberichte'!$R$100,'III. Finanzberichte'!$Y$100,'III. Finanzberichte'!$AF$100,'III. Finanzberichte'!$AM$100,'III. Finanzberichte'!$AT$100,'III. Finanzberichte'!$BA$100,'III. Finanzberichte'!$BH$100,'III. Finanzberichte'!$BO$100,'III. Finanzberichte'!$BV$100,'III. Finanzberichte'!$CC$100,'III. Finanzberichte'!$CJ$100,'III. Finanzberichte'!$CQ$100,'III. Finanzberichte'!$CX$100,'III. Finanzberichte'!$DE$100,'III. Finanzberichte'!$DL$100,'III. Finanzberichte'!$DS$100),"")</f>
        <v/>
      </c>
      <c r="O174" s="109" t="str">
        <f>IFERROR(CHOOSE(E81,'III. Finanzberichte'!$E$100,'III. Finanzberichte'!$L$100,'III. Finanzberichte'!$S$100,'III. Finanzberichte'!$Z$100,'III. Finanzberichte'!$AG$100,'III. Finanzberichte'!$AN$100,'III. Finanzberichte'!$AU$100,'III. Finanzberichte'!$BB$100,'III. Finanzberichte'!$BI$100,'III. Finanzberichte'!$BP$100,'III. Finanzberichte'!$BW$100,'III. Finanzberichte'!$CD$100,'III. Finanzberichte'!$CK$100,'III. Finanzberichte'!$CR$100,'III. Finanzberichte'!$CY$100,'III. Finanzberichte'!$DF$100,'III. Finanzberichte'!$DM$100,'III. Finanzberichte'!$DT$100),"")</f>
        <v/>
      </c>
      <c r="P174" s="111" t="str">
        <f>IFERROR(CHOOSE(E81,'III. Finanzberichte'!$F$100,'III. Finanzberichte'!$M$100,'III. Finanzberichte'!$T$100,'III. Finanzberichte'!$AA$100,'III. Finanzberichte'!$AH$100,'III. Finanzberichte'!$AO$100,'III. Finanzberichte'!$AV$100,'III. Finanzberichte'!$BC$100,'III. Finanzberichte'!$BJ$100,'III. Finanzberichte'!$BQ$100,'III. Finanzberichte'!$BX$100,'III. Finanzberichte'!$CE$100,'III. Finanzberichte'!$CL$100,'III. Finanzberichte'!$CS$100,'III. Finanzberichte'!$CZ$100,'III. Finanzberichte'!$DG$100,'III. Finanzberichte'!$DN$100,'III. Finanzberichte'!$DU$100),"")</f>
        <v/>
      </c>
    </row>
    <row r="175">
      <c r="L175" s="108" t="str">
        <f>IFERROR(CHOOSE(E81,'III. Finanzberichte'!$B$101,'III. Finanzberichte'!$I$101,'III. Finanzberichte'!$P$101,'III. Finanzberichte'!$W$101,'III. Finanzberichte'!$AD$101,'III. Finanzberichte'!$AK$101,'III. Finanzberichte'!$AR$101,'III. Finanzberichte'!$AY$101,'III. Finanzberichte'!$BF$101,'III. Finanzberichte'!$BM$101,'III. Finanzberichte'!$BT$101,'III. Finanzberichte'!$CA$101,'III. Finanzberichte'!$CH$101,'III. Finanzberichte'!$CO$101,'III. Finanzberichte'!$CV$101,'III. Finanzberichte'!$DC$101,'III. Finanzberichte'!$DJ$101,'III. Finanzberichte'!$DQ$101),"")</f>
        <v/>
      </c>
      <c r="M175" s="109" t="str">
        <f>IFERROR(CHOOSE(E81,'III. Finanzberichte'!$C$101,'III. Finanzberichte'!$J$101,'III. Finanzberichte'!$Q$101,'III. Finanzberichte'!$X$101,'III. Finanzberichte'!$AE$101,'III. Finanzberichte'!$AL$101,'III. Finanzberichte'!$AS$101,'III. Finanzberichte'!$AZ$101,'III. Finanzberichte'!$BG$101,'III. Finanzberichte'!$BN$101,'III. Finanzberichte'!$BU$101,'III. Finanzberichte'!$CB$101,'III. Finanzberichte'!$CI$101,'III. Finanzberichte'!$CP$101,'III. Finanzberichte'!$CW$101,'III. Finanzberichte'!$DD$101,'III. Finanzberichte'!$DK$101,'III. Finanzberichte'!$DR$101),"")</f>
        <v/>
      </c>
      <c r="N175" s="110" t="str">
        <f>IFERROR(CHOOSE(E81,'III. Finanzberichte'!$D$101,'III. Finanzberichte'!$K$101,'III. Finanzberichte'!$R$101,'III. Finanzberichte'!$Y$101,'III. Finanzberichte'!$AF$101,'III. Finanzberichte'!$AM$101,'III. Finanzberichte'!$AT$101,'III. Finanzberichte'!$BA$101,'III. Finanzberichte'!$BH$101,'III. Finanzberichte'!$BO$101,'III. Finanzberichte'!$BV$101,'III. Finanzberichte'!$CC$101,'III. Finanzberichte'!$CJ$101,'III. Finanzberichte'!$CQ$101,'III. Finanzberichte'!$CX$101,'III. Finanzberichte'!$DE$101,'III. Finanzberichte'!$DL$101,'III. Finanzberichte'!$DS$101),"")</f>
        <v/>
      </c>
      <c r="O175" s="109" t="str">
        <f>IFERROR(CHOOSE(E81,'III. Finanzberichte'!$E$101,'III. Finanzberichte'!$L$101,'III. Finanzberichte'!$S$101,'III. Finanzberichte'!$Z$101,'III. Finanzberichte'!$AG$101,'III. Finanzberichte'!$AN$101,'III. Finanzberichte'!$AU$101,'III. Finanzberichte'!$BB$101,'III. Finanzberichte'!$BI$101,'III. Finanzberichte'!$BP$101,'III. Finanzberichte'!$BW$101,'III. Finanzberichte'!$CD$101,'III. Finanzberichte'!$CK$101,'III. Finanzberichte'!$CR$101,'III. Finanzberichte'!$CY$101,'III. Finanzberichte'!$DF$101,'III. Finanzberichte'!$DM$101,'III. Finanzberichte'!$DT$101),"")</f>
        <v/>
      </c>
      <c r="P175" s="111" t="str">
        <f>IFERROR(CHOOSE(E81,'III. Finanzberichte'!$F$101,'III. Finanzberichte'!$M$101,'III. Finanzberichte'!$T$101,'III. Finanzberichte'!$AA$101,'III. Finanzberichte'!$AH$101,'III. Finanzberichte'!$AO$101,'III. Finanzberichte'!$AV$101,'III. Finanzberichte'!$BC$101,'III. Finanzberichte'!$BJ$101,'III. Finanzberichte'!$BQ$101,'III. Finanzberichte'!$BX$101,'III. Finanzberichte'!$CE$101,'III. Finanzberichte'!$CL$101,'III. Finanzberichte'!$CS$101,'III. Finanzberichte'!$CZ$101,'III. Finanzberichte'!$DG$101,'III. Finanzberichte'!$DN$101,'III. Finanzberichte'!$DU$101),"")</f>
        <v/>
      </c>
    </row>
    <row r="176">
      <c r="L176" s="269" t="s">
        <v>395</v>
      </c>
      <c r="M176" s="270" t="str">
        <f>IFERROR(CHOOSE(E81,'III. Finanzberichte'!$C$102,'III. Finanzberichte'!$J$102,'III. Finanzberichte'!$Q$102,'III. Finanzberichte'!$X$102,'III. Finanzberichte'!$AE$102,'III. Finanzberichte'!$AL$102,'III. Finanzberichte'!$AS$102,'III. Finanzberichte'!$AZ$102,'III. Finanzberichte'!$BG$102,'III. Finanzberichte'!$BN$102,'III. Finanzberichte'!$BU$102,'III. Finanzberichte'!$CB$102,'III. Finanzberichte'!$CI$102,'III. Finanzberichte'!$CP$102,'III. Finanzberichte'!$CW$102,'III. Finanzberichte'!$DD$102,'III. Finanzberichte'!$DK$102,'III. Finanzberichte'!$DR$102),"")</f>
        <v/>
      </c>
      <c r="N176" s="271" t="str">
        <f>IFERROR(CHOOSE(E81,'III. Finanzberichte'!$D$102,'III. Finanzberichte'!$K$102,'III. Finanzberichte'!$R$102,'III. Finanzberichte'!$Y$102,'III. Finanzberichte'!$AF$102,'III. Finanzberichte'!$AM$102,'III. Finanzberichte'!$AT$102,'III. Finanzberichte'!$BA$102,'III. Finanzberichte'!$BH$102,'III. Finanzberichte'!$BO$102,'III. Finanzberichte'!$BV$102,'III. Finanzberichte'!$CC$102,'III. Finanzberichte'!$CJ$102,'III. Finanzberichte'!$CQ$102,'III. Finanzberichte'!$CX$102,'III. Finanzberichte'!$DE$102,'III. Finanzberichte'!$DL$102,'III. Finanzberichte'!$DS$102),"")</f>
        <v/>
      </c>
      <c r="O176" s="270" t="str">
        <f>IFERROR(CHOOSE(E81,'III. Finanzberichte'!$E$102,'III. Finanzberichte'!$L$102,'III. Finanzberichte'!$S$102,'III. Finanzberichte'!$Z$102,'III. Finanzberichte'!$AG$102,'III. Finanzberichte'!$AN$102,'III. Finanzberichte'!$AU$102,'III. Finanzberichte'!$BB$102,'III. Finanzberichte'!$BI$102,'III. Finanzberichte'!$BP$102,'III. Finanzberichte'!$BW$102,'III. Finanzberichte'!$CD$102,'III. Finanzberichte'!$CK$102,'III. Finanzberichte'!$CR$102,'III. Finanzberichte'!$CY$102,'III. Finanzberichte'!$DF$102,'III. Finanzberichte'!$DM$102,'III. Finanzberichte'!$DT$102),"")</f>
        <v/>
      </c>
      <c r="P176" s="272" t="str">
        <f>IFERROR(CHOOSE(E81,'III. Finanzberichte'!$F$102,'III. Finanzberichte'!$M$102,'III. Finanzberichte'!$T$102,'III. Finanzberichte'!$AA$102,'III. Finanzberichte'!$AH$102,'III. Finanzberichte'!$AO$102,'III. Finanzberichte'!$AV$102,'III. Finanzberichte'!$BC$102,'III. Finanzberichte'!$BJ$102,'III. Finanzberichte'!$BQ$102,'III. Finanzberichte'!$BX$102,'III. Finanzberichte'!$CE$102,'III. Finanzberichte'!$CL$102,'III. Finanzberichte'!$CS$102,'III. Finanzberichte'!$CZ$102,'III. Finanzberichte'!$DG$102,'III. Finanzberichte'!$DN$102,'III. Finanzberichte'!$DU$102),"")</f>
        <v/>
      </c>
    </row>
    <row r="177">
      <c r="L177" s="22"/>
      <c r="P177" s="23"/>
    </row>
    <row r="178">
      <c r="L178" s="273" t="s">
        <v>396</v>
      </c>
      <c r="M178" s="274" t="str">
        <f>IFERROR(CHOOSE(E81,'III. Finanzberichte'!$C$104,'III. Finanzberichte'!$J$104,'III. Finanzberichte'!$Q$104,'III. Finanzberichte'!$X$104,'III. Finanzberichte'!$AE$104,'III. Finanzberichte'!$AL$104,'III. Finanzberichte'!$AS$104,'III. Finanzberichte'!$AZ$104,'III. Finanzberichte'!$BG$104,'III. Finanzberichte'!$BN$104,'III. Finanzberichte'!$BU$104,'III. Finanzberichte'!$CB$104,'III. Finanzberichte'!$CI$104,'III. Finanzberichte'!$CP$104,'III. Finanzberichte'!$CW$104,'III. Finanzberichte'!$DD$104,'III. Finanzberichte'!$DK$104,'III. Finanzberichte'!$DR$104),"")</f>
        <v/>
      </c>
      <c r="N178" s="275" t="str">
        <f>IFERROR(CHOOSE(E81,'III. Finanzberichte'!$D$104,'III. Finanzberichte'!$K$104,'III. Finanzberichte'!$R$104,'III. Finanzberichte'!$Y$104,'III. Finanzberichte'!$AF$104,'III. Finanzberichte'!$AM$104,'III. Finanzberichte'!$AT$104,'III. Finanzberichte'!$BA$104,'III. Finanzberichte'!$BH$104,'III. Finanzberichte'!$BO$104,'III. Finanzberichte'!$BV$104,'III. Finanzberichte'!$CC$104,'III. Finanzberichte'!$CJ$104,'III. Finanzberichte'!$CQ$104,'III. Finanzberichte'!$CX$104,'III. Finanzberichte'!$DE$104,'III. Finanzberichte'!$DL$104,'III. Finanzberichte'!$DS$104),"")</f>
        <v/>
      </c>
      <c r="O178" s="274" t="str">
        <f>IFERROR(CHOOSE(E81,'III. Finanzberichte'!$E$104,'III. Finanzberichte'!$L$104,'III. Finanzberichte'!$S$104,'III. Finanzberichte'!$Z$104,'III. Finanzberichte'!$AG$104,'III. Finanzberichte'!$AN$104,'III. Finanzberichte'!$AU$104,'III. Finanzberichte'!$BB$104,'III. Finanzberichte'!$BI$104,'III. Finanzberichte'!$BP$104,'III. Finanzberichte'!$BW$104,'III. Finanzberichte'!$CD$104,'III. Finanzberichte'!$CK$104,'III. Finanzberichte'!$CR$104,'III. Finanzberichte'!$CY$104,'III. Finanzberichte'!$DF$104,'III. Finanzberichte'!$DM$104,'III. Finanzberichte'!$DT$104),"")</f>
        <v/>
      </c>
      <c r="P178" s="276" t="str">
        <f>IFERROR(CHOOSE(E81,'III. Finanzberichte'!$F$104,'III. Finanzberichte'!$M$104,'III. Finanzberichte'!$T$104,'III. Finanzberichte'!$AA$104,'III. Finanzberichte'!$AH$104,'III. Finanzberichte'!$AO$104,'III. Finanzberichte'!$AV$104,'III. Finanzberichte'!$BC$104,'III. Finanzberichte'!$BJ$104,'III. Finanzberichte'!$BQ$104,'III. Finanzberichte'!$BX$104,'III. Finanzberichte'!$CE$104,'III. Finanzberichte'!$CL$104,'III. Finanzberichte'!$CS$104,'III. Finanzberichte'!$CZ$104,'III. Finanzberichte'!$DG$104,'III. Finanzberichte'!$DN$104,'III. Finanzberichte'!$DU$104),"")</f>
        <v/>
      </c>
    </row>
  </sheetData>
  <sheetProtection algorithmName="SHA-512" hashValue="vYGS9ri6ksHlA32xbvWGhZg/8+pbfkEh8tIBbXfwjg5T5u13Mhqm2octwDFb2BZsukWeev7c3xvaa0lbGR97gQ==" saltValue="a213ZmJfcnB0X3YxXyEhAA==" spinCount="100000" sheet="1" selectLockedCells="0" selectUnlockedCells="0" formatCells="1" formatColumns="1" formatRows="1" insertColumns="1" insertRows="1" insertHyperlinks="1" deleteColumns="1" deleteRows="1" sort="1" autoFilter="0" pivotTables="1" objects="1" scenarios="1"/>
  <mergeCells count="89">
    <mergeCell ref="B2:J2"/>
    <mergeCell ref="B3:J3"/>
    <mergeCell ref="B5:J5"/>
    <mergeCell ref="B6:J6"/>
    <mergeCell ref="C8:G8"/>
    <mergeCell ref="C9:D9"/>
    <mergeCell ref="E9:G9"/>
    <mergeCell ref="C10:D10"/>
    <mergeCell ref="E10:G10"/>
    <mergeCell ref="C11:D11"/>
    <mergeCell ref="E11:G11"/>
    <mergeCell ref="C12:G12"/>
    <mergeCell ref="C13:D13"/>
    <mergeCell ref="E13:F13"/>
    <mergeCell ref="G13:G13"/>
    <mergeCell ref="C14:D14"/>
    <mergeCell ref="E14:F14"/>
    <mergeCell ref="G14:G14"/>
    <mergeCell ref="C15:D15"/>
    <mergeCell ref="E15:F15"/>
    <mergeCell ref="G15:G15"/>
    <mergeCell ref="C16:D16"/>
    <mergeCell ref="E16:F16"/>
    <mergeCell ref="G16:G16"/>
    <mergeCell ref="C17:D17"/>
    <mergeCell ref="E17:F17"/>
    <mergeCell ref="G17:G17"/>
    <mergeCell ref="C18:D18"/>
    <mergeCell ref="E18:F18"/>
    <mergeCell ref="G18:G18"/>
    <mergeCell ref="B20:J20"/>
    <mergeCell ref="B22:C22"/>
    <mergeCell ref="B23:C23"/>
    <mergeCell ref="B24:C24"/>
    <mergeCell ref="B25:C25"/>
    <mergeCell ref="B26:C26"/>
    <mergeCell ref="F22:I22"/>
    <mergeCell ref="G23:H23"/>
    <mergeCell ref="G24:H24"/>
    <mergeCell ref="G25:H25"/>
    <mergeCell ref="G26:H26"/>
    <mergeCell ref="G27:H27"/>
    <mergeCell ref="B29:C29"/>
    <mergeCell ref="F29:H29"/>
    <mergeCell ref="B30:C30"/>
    <mergeCell ref="F30:H30"/>
    <mergeCell ref="B32:C32"/>
    <mergeCell ref="F32:H32"/>
    <mergeCell ref="B33:C33"/>
    <mergeCell ref="F33:H33"/>
    <mergeCell ref="B36:J36"/>
    <mergeCell ref="C43:E43"/>
    <mergeCell ref="C44:E44"/>
    <mergeCell ref="B50:J50"/>
    <mergeCell ref="B59:J59"/>
    <mergeCell ref="B76:J76"/>
    <mergeCell ref="B77:J77"/>
    <mergeCell ref="C79:G79"/>
    <mergeCell ref="C80:D80"/>
    <mergeCell ref="E80:G80"/>
    <mergeCell ref="C81:D81"/>
    <mergeCell ref="E81:G81"/>
    <mergeCell ref="B83:J83"/>
    <mergeCell ref="B85:C85"/>
    <mergeCell ref="B86:C86"/>
    <mergeCell ref="B87:C87"/>
    <mergeCell ref="B88:C88"/>
    <mergeCell ref="B89:C89"/>
    <mergeCell ref="F85:I85"/>
    <mergeCell ref="G86:H86"/>
    <mergeCell ref="G87:H87"/>
    <mergeCell ref="G88:H88"/>
    <mergeCell ref="G89:H89"/>
    <mergeCell ref="B93:J93"/>
    <mergeCell ref="B102:J102"/>
    <mergeCell ref="L5:N5"/>
    <mergeCell ref="M6:N6"/>
    <mergeCell ref="M7:N7"/>
    <mergeCell ref="M8:N8"/>
    <mergeCell ref="M9:N9"/>
    <mergeCell ref="M10:N10"/>
    <mergeCell ref="L76:P76"/>
    <mergeCell ref="M77:P77"/>
    <mergeCell ref="M78:P78"/>
    <mergeCell ref="M79:P79"/>
    <mergeCell ref="M80:P80"/>
    <mergeCell ref="M81:P81"/>
    <mergeCell ref="L83:P83"/>
    <mergeCell ref="L91:P9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3C002C-0097-4B72-863D-00C7004E0072}">
            <xm:f>$C$13&lt;&gt;""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medium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C13:D13</xm:sqref>
        </x14:conditionalFormatting>
        <x14:conditionalFormatting xmlns:xm="http://schemas.microsoft.com/office/excel/2006/main">
          <x14:cfRule type="expression" priority="2" id="{005800B9-00E9-401C-A005-0051006B0006}">
            <xm:f>$C$13&lt;&gt;""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E13:F13</xm:sqref>
        </x14:conditionalFormatting>
        <x14:conditionalFormatting xmlns:xm="http://schemas.microsoft.com/office/excel/2006/main">
          <x14:cfRule type="expression" priority="3" id="{008F0033-002C-4F63-AF41-001D00E60029}">
            <xm:f>$C$13&lt;&gt;""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G13</xm:sqref>
        </x14:conditionalFormatting>
        <x14:conditionalFormatting xmlns:xm="http://schemas.microsoft.com/office/excel/2006/main">
          <x14:cfRule type="expression" priority="4" id="{00D900F4-00C0-4566-BF15-00EB005800F0}">
            <xm:f>$C$14&lt;&gt;""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medium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C14:D14</xm:sqref>
        </x14:conditionalFormatting>
        <x14:conditionalFormatting xmlns:xm="http://schemas.microsoft.com/office/excel/2006/main">
          <x14:cfRule type="expression" priority="5" id="{005900BD-00F6-4552-976B-00CA00BB000E}">
            <xm:f>$C$14&lt;&gt;""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E14:F14</xm:sqref>
        </x14:conditionalFormatting>
        <x14:conditionalFormatting xmlns:xm="http://schemas.microsoft.com/office/excel/2006/main">
          <x14:cfRule type="expression" priority="6" id="{002200D6-009A-48F8-AA5D-00E0000F0061}">
            <xm:f>$C$14&lt;&gt;""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G14</xm:sqref>
        </x14:conditionalFormatting>
        <x14:conditionalFormatting xmlns:xm="http://schemas.microsoft.com/office/excel/2006/main">
          <x14:cfRule type="expression" priority="7" id="{000F0073-0058-471F-B12D-002500F30080}">
            <xm:f>$C$15&lt;&gt;""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medium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C15:D15</xm:sqref>
        </x14:conditionalFormatting>
        <x14:conditionalFormatting xmlns:xm="http://schemas.microsoft.com/office/excel/2006/main">
          <x14:cfRule type="expression" priority="8" id="{002D00F0-000D-4A1F-9FF6-0019005E00B1}">
            <xm:f>$C$15&lt;&gt;""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E15:F15</xm:sqref>
        </x14:conditionalFormatting>
        <x14:conditionalFormatting xmlns:xm="http://schemas.microsoft.com/office/excel/2006/main">
          <x14:cfRule type="expression" priority="9" id="{00120074-006C-44B1-9C48-00AE00BA00C9}">
            <xm:f>$C$15&lt;&gt;""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G15</xm:sqref>
        </x14:conditionalFormatting>
        <x14:conditionalFormatting xmlns:xm="http://schemas.microsoft.com/office/excel/2006/main">
          <x14:cfRule type="expression" priority="10" id="{006F0095-0066-41EF-BA5E-00900055007B}">
            <xm:f>$C$16&lt;&gt;""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medium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C16:D16</xm:sqref>
        </x14:conditionalFormatting>
        <x14:conditionalFormatting xmlns:xm="http://schemas.microsoft.com/office/excel/2006/main">
          <x14:cfRule type="expression" priority="11" id="{00C40089-00C7-4613-826E-005300BA005A}">
            <xm:f>$C$16&lt;&gt;""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E16:F16</xm:sqref>
        </x14:conditionalFormatting>
        <x14:conditionalFormatting xmlns:xm="http://schemas.microsoft.com/office/excel/2006/main">
          <x14:cfRule type="expression" priority="12" id="{00780072-00CC-4AAF-8C6B-00DB00A20025}">
            <xm:f>$C$16&lt;&gt;""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G16</xm:sqref>
        </x14:conditionalFormatting>
        <x14:conditionalFormatting xmlns:xm="http://schemas.microsoft.com/office/excel/2006/main">
          <x14:cfRule type="expression" priority="13" id="{0007004A-0008-4E8C-B3CD-009400200086}">
            <xm:f>$C$17&lt;&gt;""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medium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C17:D17</xm:sqref>
        </x14:conditionalFormatting>
        <x14:conditionalFormatting xmlns:xm="http://schemas.microsoft.com/office/excel/2006/main">
          <x14:cfRule type="expression" priority="14" id="{009B00BC-0010-4641-874F-007B00DA005D}">
            <xm:f>$C$17&lt;&gt;""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E17:F17</xm:sqref>
        </x14:conditionalFormatting>
        <x14:conditionalFormatting xmlns:xm="http://schemas.microsoft.com/office/excel/2006/main">
          <x14:cfRule type="expression" priority="15" id="{00FC00A2-009D-47D6-B577-0014000F00CB}">
            <xm:f>$C$17&lt;&gt;""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G17</xm:sqref>
        </x14:conditionalFormatting>
        <x14:conditionalFormatting xmlns:xm="http://schemas.microsoft.com/office/excel/2006/main">
          <x14:cfRule type="expression" priority="16" id="{00D00067-00B2-4C49-AC8C-0040007D003F}">
            <xm:f>$C$18&lt;&gt;""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medium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C18:D18</xm:sqref>
        </x14:conditionalFormatting>
        <x14:conditionalFormatting xmlns:xm="http://schemas.microsoft.com/office/excel/2006/main">
          <x14:cfRule type="expression" priority="17" id="{00610067-0051-4A04-904C-000700FB00D3}">
            <xm:f>$C$18&lt;&gt;""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E18:F18</xm:sqref>
        </x14:conditionalFormatting>
        <x14:conditionalFormatting xmlns:xm="http://schemas.microsoft.com/office/excel/2006/main">
          <x14:cfRule type="expression" priority="18" id="{00BD0008-006A-43F2-A1B7-00AE00E2002C}">
            <xm:f>$C$18&lt;&gt;""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G18</xm:sqref>
        </x14:conditionalFormatting>
        <x14:conditionalFormatting xmlns:xm="http://schemas.microsoft.com/office/excel/2006/main">
          <x14:cfRule type="expression" priority="19" id="{00F9004C-003D-47BA-B318-009B001C0079}">
            <xm:f>$F$23="Kein Abzug"</xm:f>
            <x14:dxf>
              <font>
                <color rgb="FFA0A0A0"/>
                <name val="Segoe UI"/>
              </font>
              <numFmt numFmtId="165" formatCode="#,##0.00&quot; €&quot;"/>
              <fill>
                <patternFill patternType="solid">
                  <fgColor rgb="FFD9D9D9"/>
                  <bgColor rgb="FFD9D9D9"/>
                </patternFill>
              </fill>
              <alignment horizontal="right" indent="0" relativeIndent="0" shrinkToFit="0" textRotation="0" vertical="center" wrapText="0"/>
              <border>
                <left style="thin">
                  <color rgb="FFD3D3D3"/>
                </left>
                <right style="none"/>
                <top style="thin">
                  <color rgb="FFD3D3D3"/>
                </top>
                <bottom style="thin">
                  <color rgb="FFD3D3D3"/>
                </bottom>
                <diagonal style="none"/>
              </border>
            </x14:dxf>
          </x14:cfRule>
          <xm:sqref>I23</xm:sqref>
        </x14:conditionalFormatting>
        <x14:conditionalFormatting xmlns:xm="http://schemas.microsoft.com/office/excel/2006/main">
          <x14:cfRule type="expression" priority="20" id="{001200D4-0050-483F-BD05-00E8008C00BB}">
            <xm:f>$F$23="Kein Abzug"</xm:f>
            <x14:dxf>
              <font>
                <name val="Segoe UI"/>
              </font>
              <alignment indent="0" relativeIndent="0" shrinkToFit="0" textRotation="0" vertical="bottom" wrapText="0"/>
              <border>
                <left style="none"/>
                <right style="medium">
                  <color indexed="23"/>
                </right>
                <top style="none"/>
                <bottom style="none"/>
                <diagonal style="none"/>
              </border>
            </x14:dxf>
          </x14:cfRule>
          <xm:sqref>I23</xm:sqref>
        </x14:conditionalFormatting>
        <x14:conditionalFormatting xmlns:xm="http://schemas.microsoft.com/office/excel/2006/main">
          <x14:cfRule type="expression" priority="21" id="{005900B1-00D8-492D-9ACF-007100DC004B}">
            <xm:f>$F$24="Kein Abzug"</xm:f>
            <x14:dxf>
              <font>
                <color rgb="FFA0A0A0"/>
                <name val="Segoe UI"/>
              </font>
              <numFmt numFmtId="165" formatCode="#,##0.00&quot; €&quot;"/>
              <fill>
                <patternFill patternType="solid">
                  <fgColor rgb="FFD9D9D9"/>
                  <bgColor rgb="FFD9D9D9"/>
                </patternFill>
              </fill>
              <alignment horizontal="right" indent="0" relativeIndent="0" shrinkToFit="0" textRotation="0" vertical="center" wrapText="0"/>
              <border>
                <left style="thin">
                  <color rgb="FFD3D3D3"/>
                </left>
                <right style="none"/>
                <top style="thin">
                  <color rgb="FFD3D3D3"/>
                </top>
                <bottom style="thin">
                  <color rgb="FFD3D3D3"/>
                </bottom>
                <diagonal style="none"/>
              </border>
            </x14:dxf>
          </x14:cfRule>
          <xm:sqref>I24</xm:sqref>
        </x14:conditionalFormatting>
        <x14:conditionalFormatting xmlns:xm="http://schemas.microsoft.com/office/excel/2006/main">
          <x14:cfRule type="expression" priority="22" id="{0042006A-00CE-45C9-963D-00C6005F00BA}">
            <xm:f>$F$24="Kein Abzug"</xm:f>
            <x14:dxf>
              <font>
                <name val="Segoe UI"/>
              </font>
              <alignment indent="0" relativeIndent="0" shrinkToFit="0" textRotation="0" vertical="bottom" wrapText="0"/>
              <border>
                <left style="none"/>
                <right style="medium">
                  <color indexed="23"/>
                </right>
                <top style="none"/>
                <bottom style="none"/>
                <diagonal style="none"/>
              </border>
            </x14:dxf>
          </x14:cfRule>
          <xm:sqref>I24</xm:sqref>
        </x14:conditionalFormatting>
        <x14:conditionalFormatting xmlns:xm="http://schemas.microsoft.com/office/excel/2006/main">
          <x14:cfRule type="expression" priority="23" id="{00FE009E-00DE-4B43-8E83-0092000600EB}">
            <xm:f>$F$25="Kein Abzug"</xm:f>
            <x14:dxf>
              <font>
                <color rgb="FFA0A0A0"/>
                <name val="Segoe UI"/>
              </font>
              <numFmt numFmtId="165" formatCode="#,##0.00&quot; €&quot;"/>
              <fill>
                <patternFill patternType="solid">
                  <fgColor rgb="FFD9D9D9"/>
                  <bgColor rgb="FFD9D9D9"/>
                </patternFill>
              </fill>
              <alignment horizontal="right" indent="0" relativeIndent="0" shrinkToFit="0" textRotation="0" vertical="center" wrapText="0"/>
              <border>
                <left style="thin">
                  <color rgb="FFD3D3D3"/>
                </left>
                <right style="none"/>
                <top style="thin">
                  <color rgb="FFD3D3D3"/>
                </top>
                <bottom style="thin">
                  <color rgb="FFD3D3D3"/>
                </bottom>
                <diagonal style="none"/>
              </border>
            </x14:dxf>
          </x14:cfRule>
          <xm:sqref>I25</xm:sqref>
        </x14:conditionalFormatting>
        <x14:conditionalFormatting xmlns:xm="http://schemas.microsoft.com/office/excel/2006/main">
          <x14:cfRule type="expression" priority="24" id="{002200BC-00D7-4CD7-83E2-00030087006B}">
            <xm:f>$F$25="Kein Abzug"</xm:f>
            <x14:dxf>
              <font>
                <name val="Segoe UI"/>
              </font>
              <alignment indent="0" relativeIndent="0" shrinkToFit="0" textRotation="0" vertical="bottom" wrapText="0"/>
              <border>
                <left style="none"/>
                <right style="medium">
                  <color indexed="23"/>
                </right>
                <top style="none"/>
                <bottom style="none"/>
                <diagonal style="none"/>
              </border>
            </x14:dxf>
          </x14:cfRule>
          <xm:sqref>I25</xm:sqref>
        </x14:conditionalFormatting>
        <x14:conditionalFormatting xmlns:xm="http://schemas.microsoft.com/office/excel/2006/main">
          <x14:cfRule type="expression" priority="25" id="{00C0003A-0023-4006-B0B5-0072002D00B3}">
            <xm:f>$C$46="OK"</xm:f>
            <x14:dxf>
              <font>
                <b/>
                <color rgb="FF006100"/>
                <name val="Segoe UI"/>
              </font>
              <fill>
                <patternFill patternType="solid">
                  <fgColor rgb="FFC6EFCE"/>
                  <bgColor rgb="FFC6EFCE"/>
                </patternFill>
              </fill>
              <alignment horizontal="center" indent="0" relativeIndent="0" shrinkToFit="0" textRotation="0" vertical="center" wrapText="0"/>
            </x14:dxf>
          </x14:cfRule>
          <xm:sqref>C46</xm:sqref>
        </x14:conditionalFormatting>
        <x14:conditionalFormatting xmlns:xm="http://schemas.microsoft.com/office/excel/2006/main">
          <x14:cfRule type="expression" priority="26" id="{00BA008D-00D8-4ECF-A7AA-006D00010082}">
            <xm:f>$C$46&lt;&gt;"OK"</xm:f>
            <x14:dxf>
              <font>
                <b/>
                <color rgb="FF9C0006"/>
                <name val="Segoe UI"/>
              </font>
              <fill>
                <patternFill patternType="solid">
                  <fgColor rgb="FFFFC7CE"/>
                  <bgColor rgb="FFFFC7CE"/>
                </patternFill>
              </fill>
              <alignment horizontal="center" indent="0" relativeIndent="0" shrinkToFit="0" textRotation="0" vertical="center" wrapText="0"/>
            </x14:dxf>
          </x14:cfRule>
          <xm:sqref>C46</xm:sqref>
        </x14:conditionalFormatting>
        <x14:conditionalFormatting xmlns:xm="http://schemas.microsoft.com/office/excel/2006/main">
          <x14:cfRule type="expression" priority="27" id="{00690020-00FE-42FE-98FC-005F002000DE}">
            <xm:f>$E$46="OK"</xm:f>
            <x14:dxf>
              <font>
                <b/>
                <color rgb="FF006100"/>
                <name val="Segoe UI"/>
              </font>
              <fill>
                <patternFill patternType="solid">
                  <fgColor rgb="FFC6EFCE"/>
                  <bgColor rgb="FFC6EFCE"/>
                </patternFill>
              </fill>
              <alignment horizontal="center" indent="0" relativeIndent="0" shrinkToFit="0" textRotation="0" vertical="center" wrapText="0"/>
            </x14:dxf>
          </x14:cfRule>
          <xm:sqref>E46</xm:sqref>
        </x14:conditionalFormatting>
        <x14:conditionalFormatting xmlns:xm="http://schemas.microsoft.com/office/excel/2006/main">
          <x14:cfRule type="expression" priority="28" id="{00AE007E-00CF-40FA-91E9-001300230085}">
            <xm:f>$E$46&lt;&gt;"OK"</xm:f>
            <x14:dxf>
              <font>
                <b/>
                <color rgb="FF9C0006"/>
                <name val="Segoe UI"/>
              </font>
              <fill>
                <patternFill patternType="solid">
                  <fgColor rgb="FFFFC7CE"/>
                  <bgColor rgb="FFFFC7CE"/>
                </patternFill>
              </fill>
              <alignment horizontal="center" indent="0" relativeIndent="0" shrinkToFit="0" textRotation="0" vertical="center" wrapText="0"/>
            </x14:dxf>
          </x14:cfRule>
          <xm:sqref>E46</xm:sqref>
        </x14:conditionalFormatting>
        <x14:conditionalFormatting xmlns:xm="http://schemas.microsoft.com/office/excel/2006/main">
          <x14:cfRule type="expression" priority="29" id="{009500C3-00C9-4D13-9AD1-008F00F000FD}">
            <xm:f>$C$47&gt;0</xm:f>
            <x14:dxf>
              <font>
                <b/>
                <color rgb="FF9C0006"/>
                <name val="Segoe UI"/>
              </font>
              <numFmt numFmtId="4" formatCode="#,##0.00"/>
              <fill>
                <patternFill patternType="solid">
                  <fgColor rgb="FFFFC7CE"/>
                  <bgColor rgb="FFFFC7CE"/>
                </patternFill>
              </fill>
              <alignment horizontal="right" indent="0" relativeIndent="0" shrinkToFit="0" textRotation="0" vertical="center" wrapText="0"/>
            </x14:dxf>
          </x14:cfRule>
          <xm:sqref>C47</xm:sqref>
        </x14:conditionalFormatting>
        <x14:conditionalFormatting xmlns:xm="http://schemas.microsoft.com/office/excel/2006/main">
          <x14:cfRule type="expression" priority="30" id="{00E70054-006E-4409-87AD-00E0003100CA}">
            <xm:f>$E$47&gt;0</xm:f>
            <x14:dxf>
              <font>
                <b/>
                <color rgb="FF9C0006"/>
                <name val="Segoe UI"/>
              </font>
              <numFmt numFmtId="165" formatCode="#,##0.00&quot; €&quot;"/>
              <fill>
                <patternFill patternType="solid">
                  <fgColor rgb="FFFFC7CE"/>
                  <bgColor rgb="FFFFC7CE"/>
                </patternFill>
              </fill>
              <alignment horizontal="right" indent="0" relativeIndent="0" shrinkToFit="0" textRotation="0" vertical="center" wrapText="0"/>
            </x14:dxf>
          </x14:cfRule>
          <xm:sqref>E47</xm:sqref>
        </x14:conditionalFormatting>
        <x14:conditionalFormatting xmlns:xm="http://schemas.microsoft.com/office/excel/2006/main">
          <x14:cfRule type="expression" priority="31" id="{003700F6-0028-45B2-9573-000800B4008E}">
            <xm:f>F53&gt;=0.2</xm:f>
            <x14:dxf>
              <font>
                <b/>
                <color rgb="FF9C0006"/>
                <name val="Segoe UI"/>
              </font>
              <numFmt numFmtId="169" formatCode="0.0%"/>
              <fill>
                <patternFill patternType="solid">
                  <fgColor rgb="FFFFC7CE"/>
                  <bgColor rgb="FFFFC7CE"/>
                </patternFill>
              </fill>
              <alignment horizontal="right" indent="0" relativeIndent="0" shrinkToFit="0" textRotation="0" vertical="center" wrapText="0"/>
            </x14:dxf>
          </x14:cfRule>
          <xm:sqref>F53:F56</xm:sqref>
        </x14:conditionalFormatting>
        <x14:conditionalFormatting xmlns:xm="http://schemas.microsoft.com/office/excel/2006/main">
          <x14:cfRule type="expression" priority="32" id="{00D600F4-0011-41D9-B8F6-00930009004B}">
            <xm:f>AND(F53&gt;=0.1,F53&lt;0.2)</xm:f>
            <x14:dxf>
              <font>
                <b/>
                <color rgb="FF9C640C"/>
                <name val="Segoe UI"/>
              </font>
              <numFmt numFmtId="169" formatCode="0.0%"/>
              <fill>
                <patternFill patternType="solid">
                  <fgColor rgb="FFFCF3CF"/>
                  <bgColor rgb="FFFCF3CF"/>
                </patternFill>
              </fill>
              <alignment horizontal="right" indent="0" relativeIndent="0" shrinkToFit="0" textRotation="0" vertical="center" wrapText="0"/>
            </x14:dxf>
          </x14:cfRule>
          <xm:sqref>F53:F56</xm:sqref>
        </x14:conditionalFormatting>
        <x14:conditionalFormatting xmlns:xm="http://schemas.microsoft.com/office/excel/2006/main">
          <x14:cfRule type="expression" priority="33" id="{001700AB-009C-4F4C-AD4F-00D900830002}">
            <xm:f>J53&gt;=0.2</xm:f>
            <x14:dxf>
              <font>
                <b/>
                <color rgb="FF9C0006"/>
                <name val="Segoe UI"/>
              </font>
              <numFmt numFmtId="169" formatCode="0.0%"/>
              <fill>
                <patternFill patternType="solid">
                  <fgColor rgb="FFFFC7CE"/>
                  <bgColor rgb="FFFFC7CE"/>
                </patternFill>
              </fill>
              <alignment horizontal="right" indent="0" relativeIndent="0" shrinkToFit="0" textRotation="0" vertical="center" wrapText="0"/>
            </x14:dxf>
          </x14:cfRule>
          <xm:sqref>J53:J56</xm:sqref>
        </x14:conditionalFormatting>
        <x14:conditionalFormatting xmlns:xm="http://schemas.microsoft.com/office/excel/2006/main">
          <x14:cfRule type="expression" priority="34" id="{008700BD-0005-4CF9-B5B9-00B1008B00CD}">
            <xm:f>AND(J53&gt;=0.1,J53&lt;0.2)</xm:f>
            <x14:dxf>
              <font>
                <b/>
                <color rgb="FF9C640C"/>
                <name val="Segoe UI"/>
              </font>
              <numFmt numFmtId="169" formatCode="0.0%"/>
              <fill>
                <patternFill patternType="solid">
                  <fgColor rgb="FFFCF3CF"/>
                  <bgColor rgb="FFFCF3CF"/>
                </patternFill>
              </fill>
              <alignment horizontal="right" indent="0" relativeIndent="0" shrinkToFit="0" textRotation="0" vertical="center" wrapText="0"/>
            </x14:dxf>
          </x14:cfRule>
          <xm:sqref>J53:J56</xm:sqref>
        </x14:conditionalFormatting>
        <x14:conditionalFormatting xmlns:xm="http://schemas.microsoft.com/office/excel/2006/main">
          <x14:cfRule type="expression" priority="35" id="{003A00A2-000A-40EE-A71B-001400C600B9}">
            <xm:f>F62&gt;=0.2</xm:f>
            <x14:dxf>
              <font>
                <b/>
                <color rgb="FF9C0006"/>
                <name val="Segoe UI"/>
              </font>
              <numFmt numFmtId="169" formatCode="0.0%"/>
              <fill>
                <patternFill patternType="solid">
                  <fgColor rgb="FFFFC7CE"/>
                  <bgColor rgb="FFFFC7CE"/>
                </patternFill>
              </fill>
              <alignment horizontal="right" indent="0" relativeIndent="0" shrinkToFit="0" textRotation="0" vertical="center" wrapText="0"/>
            </x14:dxf>
          </x14:cfRule>
          <xm:sqref>F62:F69</xm:sqref>
        </x14:conditionalFormatting>
        <x14:conditionalFormatting xmlns:xm="http://schemas.microsoft.com/office/excel/2006/main">
          <x14:cfRule type="expression" priority="36" id="{004900C2-0074-4147-B14D-008000350013}">
            <xm:f>AND(F62&gt;=0.1,F62&lt;0.2)</xm:f>
            <x14:dxf>
              <font>
                <b/>
                <color rgb="FF9C640C"/>
                <name val="Segoe UI"/>
              </font>
              <numFmt numFmtId="169" formatCode="0.0%"/>
              <fill>
                <patternFill patternType="solid">
                  <fgColor rgb="FFFCF3CF"/>
                  <bgColor rgb="FFFCF3CF"/>
                </patternFill>
              </fill>
              <alignment horizontal="right" indent="0" relativeIndent="0" shrinkToFit="0" textRotation="0" vertical="center" wrapText="0"/>
            </x14:dxf>
          </x14:cfRule>
          <xm:sqref>F62:F69</xm:sqref>
        </x14:conditionalFormatting>
        <x14:conditionalFormatting xmlns:xm="http://schemas.microsoft.com/office/excel/2006/main">
          <x14:cfRule type="expression" priority="37" id="{0005005A-0009-4038-A83E-005E009B00F7}">
            <xm:f>J62&gt;=0.2</xm:f>
            <x14:dxf>
              <font>
                <b/>
                <color rgb="FF9C0006"/>
                <name val="Segoe UI"/>
              </font>
              <numFmt numFmtId="169" formatCode="0.0%"/>
              <fill>
                <patternFill patternType="solid">
                  <fgColor rgb="FFFFC7CE"/>
                  <bgColor rgb="FFFFC7CE"/>
                </patternFill>
              </fill>
              <alignment horizontal="right" indent="0" relativeIndent="0" shrinkToFit="0" textRotation="0" vertical="center" wrapText="0"/>
            </x14:dxf>
          </x14:cfRule>
          <xm:sqref>J62:J69</xm:sqref>
        </x14:conditionalFormatting>
        <x14:conditionalFormatting xmlns:xm="http://schemas.microsoft.com/office/excel/2006/main">
          <x14:cfRule type="expression" priority="38" id="{00CA0016-0099-4311-BBEB-00DC000B0095}">
            <xm:f>AND(J62&gt;=0.1,J62&lt;0.2)</xm:f>
            <x14:dxf>
              <font>
                <b/>
                <color rgb="FF9C640C"/>
                <name val="Segoe UI"/>
              </font>
              <numFmt numFmtId="169" formatCode="0.0%"/>
              <fill>
                <patternFill patternType="solid">
                  <fgColor rgb="FFFCF3CF"/>
                  <bgColor rgb="FFFCF3CF"/>
                </patternFill>
              </fill>
              <alignment horizontal="right" indent="0" relativeIndent="0" shrinkToFit="0" textRotation="0" vertical="center" wrapText="0"/>
            </x14:dxf>
          </x14:cfRule>
          <xm:sqref>J62:J69</xm:sqref>
        </x14:conditionalFormatting>
        <x14:conditionalFormatting xmlns:xm="http://schemas.microsoft.com/office/excel/2006/main">
          <x14:cfRule type="expression" priority="39" id="{00470088-00D8-4A34-8B4A-0036002A005F}">
            <xm:f>$F$86="Kein Abzug"</xm:f>
            <x14:dxf>
              <font>
                <color rgb="FFA0A0A0"/>
                <name val="Segoe UI"/>
              </font>
              <numFmt numFmtId="165" formatCode="#,##0.00&quot; €&quot;"/>
              <fill>
                <patternFill patternType="solid">
                  <fgColor rgb="FFD9D9D9"/>
                  <bgColor rgb="FFD9D9D9"/>
                </patternFill>
              </fill>
              <alignment horizontal="right" indent="0" relativeIndent="0" shrinkToFit="0" textRotation="0" vertical="center" wrapText="0"/>
              <border>
                <left style="thin">
                  <color rgb="FFD3D3D3"/>
                </left>
                <right style="none"/>
                <top style="thin">
                  <color rgb="FFD3D3D3"/>
                </top>
                <bottom style="thin">
                  <color rgb="FFD3D3D3"/>
                </bottom>
                <diagonal style="none"/>
              </border>
            </x14:dxf>
          </x14:cfRule>
          <xm:sqref>I86</xm:sqref>
        </x14:conditionalFormatting>
        <x14:conditionalFormatting xmlns:xm="http://schemas.microsoft.com/office/excel/2006/main">
          <x14:cfRule type="expression" priority="40" id="{0073009E-00F6-467C-92CF-00340008000E}">
            <xm:f>$F$86="Kein Abzug"</xm:f>
            <x14:dxf>
              <font>
                <name val="Segoe UI"/>
              </font>
              <alignment indent="0" relativeIndent="0" shrinkToFit="0" textRotation="0" vertical="bottom" wrapText="0"/>
              <border>
                <left style="none"/>
                <right style="medium">
                  <color indexed="23"/>
                </right>
                <top style="none"/>
                <bottom style="none"/>
                <diagonal style="none"/>
              </border>
            </x14:dxf>
          </x14:cfRule>
          <xm:sqref>I86</xm:sqref>
        </x14:conditionalFormatting>
        <x14:conditionalFormatting xmlns:xm="http://schemas.microsoft.com/office/excel/2006/main">
          <x14:cfRule type="expression" priority="41" id="{009B00CF-0011-4606-9723-00B600FC0092}">
            <xm:f>$F$87="Kein Abzug"</xm:f>
            <x14:dxf>
              <font>
                <color rgb="FFA0A0A0"/>
                <name val="Segoe UI"/>
              </font>
              <numFmt numFmtId="165" formatCode="#,##0.00&quot; €&quot;"/>
              <fill>
                <patternFill patternType="solid">
                  <fgColor rgb="FFD9D9D9"/>
                  <bgColor rgb="FFD9D9D9"/>
                </patternFill>
              </fill>
              <alignment horizontal="right" indent="0" relativeIndent="0" shrinkToFit="0" textRotation="0" vertical="center" wrapText="0"/>
              <border>
                <left style="thin">
                  <color rgb="FFD3D3D3"/>
                </left>
                <right style="none"/>
                <top style="thin">
                  <color rgb="FFD3D3D3"/>
                </top>
                <bottom style="thin">
                  <color rgb="FFD3D3D3"/>
                </bottom>
                <diagonal style="none"/>
              </border>
            </x14:dxf>
          </x14:cfRule>
          <xm:sqref>I87</xm:sqref>
        </x14:conditionalFormatting>
        <x14:conditionalFormatting xmlns:xm="http://schemas.microsoft.com/office/excel/2006/main">
          <x14:cfRule type="expression" priority="42" id="{00A400F8-003F-4B45-865B-002900AB001C}">
            <xm:f>$F$87="Kein Abzug"</xm:f>
            <x14:dxf>
              <font>
                <name val="Segoe UI"/>
              </font>
              <alignment indent="0" relativeIndent="0" shrinkToFit="0" textRotation="0" vertical="bottom" wrapText="0"/>
              <border>
                <left style="none"/>
                <right style="medium">
                  <color indexed="23"/>
                </right>
                <top style="none"/>
                <bottom style="none"/>
                <diagonal style="none"/>
              </border>
            </x14:dxf>
          </x14:cfRule>
          <xm:sqref>I87</xm:sqref>
        </x14:conditionalFormatting>
        <x14:conditionalFormatting xmlns:xm="http://schemas.microsoft.com/office/excel/2006/main">
          <x14:cfRule type="expression" priority="43" id="{001400E5-007A-4406-9668-00F2002E0069}">
            <xm:f>F96&gt;=0.2</xm:f>
            <x14:dxf>
              <font>
                <b/>
                <color rgb="FF9C0006"/>
                <name val="Segoe UI"/>
              </font>
              <numFmt numFmtId="169" formatCode="0.0%"/>
              <fill>
                <patternFill patternType="solid">
                  <fgColor rgb="FFFFC7CE"/>
                  <bgColor rgb="FFFFC7CE"/>
                </patternFill>
              </fill>
              <alignment horizontal="right" indent="0" relativeIndent="0" shrinkToFit="0" textRotation="0" vertical="center" wrapText="0"/>
            </x14:dxf>
          </x14:cfRule>
          <xm:sqref>F96:F99</xm:sqref>
        </x14:conditionalFormatting>
        <x14:conditionalFormatting xmlns:xm="http://schemas.microsoft.com/office/excel/2006/main">
          <x14:cfRule type="expression" priority="44" id="{00A10071-0007-420F-B7EB-006900190082}">
            <xm:f>AND(F96&gt;=0.1,F96&lt;0.2)</xm:f>
            <x14:dxf>
              <font>
                <b/>
                <color rgb="FF9C640C"/>
                <name val="Segoe UI"/>
              </font>
              <numFmt numFmtId="169" formatCode="0.0%"/>
              <fill>
                <patternFill patternType="solid">
                  <fgColor rgb="FFFCF3CF"/>
                  <bgColor rgb="FFFCF3CF"/>
                </patternFill>
              </fill>
              <alignment horizontal="right" indent="0" relativeIndent="0" shrinkToFit="0" textRotation="0" vertical="center" wrapText="0"/>
            </x14:dxf>
          </x14:cfRule>
          <xm:sqref>F96:F99</xm:sqref>
        </x14:conditionalFormatting>
        <x14:conditionalFormatting xmlns:xm="http://schemas.microsoft.com/office/excel/2006/main">
          <x14:cfRule type="expression" priority="45" id="{005500A5-003B-4D39-B256-006B00280004}">
            <xm:f>J96&gt;=0.2</xm:f>
            <x14:dxf>
              <font>
                <b/>
                <color rgb="FF9C0006"/>
                <name val="Segoe UI"/>
              </font>
              <numFmt numFmtId="169" formatCode="0.0%"/>
              <fill>
                <patternFill patternType="solid">
                  <fgColor rgb="FFFFC7CE"/>
                  <bgColor rgb="FFFFC7CE"/>
                </patternFill>
              </fill>
              <alignment horizontal="right" indent="0" relativeIndent="0" shrinkToFit="0" textRotation="0" vertical="center" wrapText="0"/>
            </x14:dxf>
          </x14:cfRule>
          <xm:sqref>J96:J99</xm:sqref>
        </x14:conditionalFormatting>
        <x14:conditionalFormatting xmlns:xm="http://schemas.microsoft.com/office/excel/2006/main">
          <x14:cfRule type="expression" priority="46" id="{007700D0-007B-460E-B55F-008300CE00E6}">
            <xm:f>AND(J96&gt;=0.1,J96&lt;0.2)</xm:f>
            <x14:dxf>
              <font>
                <b/>
                <color rgb="FF9C640C"/>
                <name val="Segoe UI"/>
              </font>
              <numFmt numFmtId="169" formatCode="0.0%"/>
              <fill>
                <patternFill patternType="solid">
                  <fgColor rgb="FFFCF3CF"/>
                  <bgColor rgb="FFFCF3CF"/>
                </patternFill>
              </fill>
              <alignment horizontal="right" indent="0" relativeIndent="0" shrinkToFit="0" textRotation="0" vertical="center" wrapText="0"/>
            </x14:dxf>
          </x14:cfRule>
          <xm:sqref>J96:J99</xm:sqref>
        </x14:conditionalFormatting>
        <x14:conditionalFormatting xmlns:xm="http://schemas.microsoft.com/office/excel/2006/main">
          <x14:cfRule type="expression" priority="47" id="{00BF00C4-00FA-4A3D-A2C3-001500C200A9}">
            <xm:f>F105&gt;=0.2</xm:f>
            <x14:dxf>
              <font>
                <b/>
                <color rgb="FF9C0006"/>
                <name val="Segoe UI"/>
              </font>
              <numFmt numFmtId="169" formatCode="0.0%"/>
              <fill>
                <patternFill patternType="solid">
                  <fgColor rgb="FFFFC7CE"/>
                  <bgColor rgb="FFFFC7CE"/>
                </patternFill>
              </fill>
              <alignment horizontal="right" indent="0" relativeIndent="0" shrinkToFit="0" textRotation="0" vertical="center" wrapText="0"/>
            </x14:dxf>
          </x14:cfRule>
          <xm:sqref>F105:F112</xm:sqref>
        </x14:conditionalFormatting>
        <x14:conditionalFormatting xmlns:xm="http://schemas.microsoft.com/office/excel/2006/main">
          <x14:cfRule type="expression" priority="48" id="{003900C4-002F-4435-8179-00BE002D0013}">
            <xm:f>AND(F105&gt;=0.1,F105&lt;0.2)</xm:f>
            <x14:dxf>
              <font>
                <b/>
                <color rgb="FF9C640C"/>
                <name val="Segoe UI"/>
              </font>
              <numFmt numFmtId="169" formatCode="0.0%"/>
              <fill>
                <patternFill patternType="solid">
                  <fgColor rgb="FFFCF3CF"/>
                  <bgColor rgb="FFFCF3CF"/>
                </patternFill>
              </fill>
              <alignment horizontal="right" indent="0" relativeIndent="0" shrinkToFit="0" textRotation="0" vertical="center" wrapText="0"/>
            </x14:dxf>
          </x14:cfRule>
          <xm:sqref>F105:F112</xm:sqref>
        </x14:conditionalFormatting>
        <x14:conditionalFormatting xmlns:xm="http://schemas.microsoft.com/office/excel/2006/main">
          <x14:cfRule type="expression" priority="49" id="{005100E6-00E8-4E6A-BE0C-0043002F0057}">
            <xm:f>J105&gt;=0.2</xm:f>
            <x14:dxf>
              <font>
                <b/>
                <color rgb="FF9C0006"/>
                <name val="Segoe UI"/>
              </font>
              <numFmt numFmtId="169" formatCode="0.0%"/>
              <fill>
                <patternFill patternType="solid">
                  <fgColor rgb="FFFFC7CE"/>
                  <bgColor rgb="FFFFC7CE"/>
                </patternFill>
              </fill>
              <alignment horizontal="right" indent="0" relativeIndent="0" shrinkToFit="0" textRotation="0" vertical="center" wrapText="0"/>
            </x14:dxf>
          </x14:cfRule>
          <xm:sqref>J105:J112</xm:sqref>
        </x14:conditionalFormatting>
        <x14:conditionalFormatting xmlns:xm="http://schemas.microsoft.com/office/excel/2006/main">
          <x14:cfRule type="expression" priority="50" id="{008D003C-004C-4AE4-ADCF-007C006900B6}">
            <xm:f>AND(J105&gt;=0.1,J105&lt;0.2)</xm:f>
            <x14:dxf>
              <font>
                <b/>
                <color rgb="FF9C640C"/>
                <name val="Segoe UI"/>
              </font>
              <numFmt numFmtId="169" formatCode="0.0%"/>
              <fill>
                <patternFill patternType="solid">
                  <fgColor rgb="FFFCF3CF"/>
                  <bgColor rgb="FFFCF3CF"/>
                </patternFill>
              </fill>
              <alignment horizontal="right" indent="0" relativeIndent="0" shrinkToFit="0" textRotation="0" vertical="center" wrapText="0"/>
            </x14:dxf>
          </x14:cfRule>
          <xm:sqref>J105:J112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0" disablePrompts="0">
        <x14:dataValidation xr:uid="{005E000B-0000-484B-8591-003C0051000F}" type="list" allowBlank="1" errorStyle="stop" imeMode="noControl" operator="between" showDropDown="0" showErrorMessage="0" showInputMessage="0">
          <x14:formula1>
            <xm:f>=MA_Auswahl_Liste</xm:f>
          </x14:formula1>
          <xm:sqref>E9</xm:sqref>
        </x14:dataValidation>
        <x14:dataValidation xr:uid="{0050009C-0044-41F9-8EAD-008000C9002E}" type="list" allowBlank="1" errorStyle="stop" imeMode="noControl" operator="between" showDropDown="0" showErrorMessage="0" showInputMessage="0">
          <x14:formula1>
            <xm:f>"Abzug,Kein Abzug"</xm:f>
          </x14:formula1>
          <xm:sqref>F23</xm:sqref>
        </x14:dataValidation>
        <x14:dataValidation xr:uid="{007D002F-00C7-45C7-ABB0-00E100DF0074}" type="list" allowBlank="1" errorStyle="stop" imeMode="noControl" operator="between" showDropDown="0" showErrorMessage="0" showInputMessage="0">
          <x14:formula1>
            <xm:f>"Abzug,Kein Abzug"</xm:f>
          </x14:formula1>
          <xm:sqref>F24</xm:sqref>
        </x14:dataValidation>
        <x14:dataValidation xr:uid="{000700A1-007E-49F8-AA49-004200AC0030}" type="list" allowBlank="1" errorStyle="stop" imeMode="noControl" operator="between" showDropDown="0" showErrorMessage="0" showInputMessage="0">
          <x14:formula1>
            <xm:f>"Abzug,Kein Abzug"</xm:f>
          </x14:formula1>
          <xm:sqref>F25</xm:sqref>
        </x14:dataValidation>
        <x14:dataValidation xr:uid="{000C0078-005F-4CDE-BC57-005300DD00CF}" type="whole" allowBlank="1" errorStyle="stop" imeMode="noControl" operator="between" showDropDown="0" showErrorMessage="0" showInputMessage="0">
          <x14:formula1>
            <xm:f>0</xm:f>
          </x14:formula1>
          <x14:formula2>
            <xm:f>12</xm:f>
          </x14:formula2>
          <xm:sqref>D40</xm:sqref>
        </x14:dataValidation>
        <x14:dataValidation xr:uid="{00B10072-000B-463D-925A-006F00F80028}" type="whole" allowBlank="1" errorStyle="stop" imeMode="noControl" operator="between" showDropDown="0" showErrorMessage="0" showInputMessage="0">
          <x14:formula1>
            <xm:f>0</xm:f>
          </x14:formula1>
          <x14:formula2>
            <xm:f>12</xm:f>
          </x14:formula2>
          <xm:sqref>D41</xm:sqref>
        </x14:dataValidation>
        <x14:dataValidation xr:uid="{004A002E-00BF-431A-8A5F-008F005300EA}" type="whole" allowBlank="1" errorStyle="stop" imeMode="noControl" operator="between" showDropDown="0" showErrorMessage="0" showInputMessage="0">
          <x14:formula1>
            <xm:f>0</xm:f>
          </x14:formula1>
          <x14:formula2>
            <xm:f>12</xm:f>
          </x14:formula2>
          <xm:sqref>D42</xm:sqref>
        </x14:dataValidation>
        <x14:dataValidation xr:uid="{00BD006B-00FF-4DEE-8BB5-005E0070006B}" type="list" allowBlank="1" errorStyle="stop" imeMode="noControl" operator="between" showDropDown="0" showErrorMessage="0" showInputMessage="0">
          <x14:formula1>
            <xm:f>=FB_Auswahl_Liste</xm:f>
          </x14:formula1>
          <xm:sqref>E80</xm:sqref>
        </x14:dataValidation>
        <x14:dataValidation xr:uid="{004600C6-004F-4F1D-9DF8-00D700BE00DC}" type="list" allowBlank="1" errorStyle="stop" imeMode="noControl" operator="between" showDropDown="0" showErrorMessage="0" showInputMessage="0">
          <x14:formula1>
            <xm:f>"Abzug,Kein Abzug"</xm:f>
          </x14:formula1>
          <xm:sqref>F86</xm:sqref>
        </x14:dataValidation>
        <x14:dataValidation xr:uid="{002A0036-00D9-4040-9D77-006700350048}" type="list" allowBlank="1" errorStyle="stop" imeMode="noControl" operator="between" showDropDown="0" showErrorMessage="0" showInputMessage="0">
          <x14:formula1>
            <xm:f>"Abzug,Kein Abzug"</xm:f>
          </x14:formula1>
          <xm:sqref>F87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0" style="278" width="9.140625"/>
    <col min="11" max="52" style="1" width="9.140625"/>
    <col min="53" max="74" style="1" customWidth="1" hidden="1" width="9.140625"/>
    <col min="75" max="16384" style="1" width="9.140625"/>
  </cols>
  <sheetData>
    <row r="1">
      <c r="A1" s="1" t="s">
        <v>331</v>
      </c>
      <c r="C1" s="277" t="s">
        <v>485</v>
      </c>
      <c r="I1" s="277" t="s">
        <v>486</v>
      </c>
      <c r="O1" s="277" t="s">
        <v>487</v>
      </c>
      <c r="U1" s="277" t="s">
        <v>488</v>
      </c>
      <c r="BA1" s="1">
        <v>1</v>
      </c>
      <c r="BB1" s="1">
        <f>IFERROR(VALUE(TRIM(MID('IV. MA'!C4,9,5))),0)</f>
        <v>1</v>
      </c>
      <c r="BC1" s="1">
        <f>IF(IFERROR(SUBTOTAL(109,MA_1[Angefordert (LC)]),0)&lt;&gt;0,1,0)</f>
        <v>0</v>
      </c>
      <c r="BD1" s="1">
        <f t="shared" ref="BD1:BD9" si="250">IF(BC1=1,SUMPRODUCT(($BB$1:$BB1=BB1)*($BC$1:$BC1=1)),0)</f>
        <v>0</v>
      </c>
      <c r="BE1" s="1" t="str">
        <f t="shared" ref="BE1:BE9" si="251">IF(AND(BC1=1,BB1&gt;0),"Periode "&amp;BB1&amp;" (#"&amp;BD1&amp;")","")</f>
        <v/>
      </c>
      <c r="BF1" s="1">
        <f>IFERROR(ROUND(SUBTOTAL(109,MA_1[Angefordert (LC)]),2),0)</f>
        <v>0</v>
      </c>
      <c r="BG1" s="1">
        <f>IFERROR(ROUND(SUBTOTAL(109,MA_1[Angefordert (EUR)]),2),0)</f>
        <v>0</v>
      </c>
      <c r="BH1" s="1">
        <f>IFERROR(ROUND('IV. MA'!D21+'IV. MA'!D22,2),0)</f>
        <v>0</v>
      </c>
      <c r="BJ1" s="1">
        <v>1</v>
      </c>
      <c r="BK1" s="1">
        <f>IF((IFERROR(SUBTOTAL(109,Ausgaben_1[Ausgaben (LC)]),0)&lt;&gt;0)+(IFERROR(SUM('III. Finanzberichte'!C12:C15),0)&lt;&gt;0)&gt;0,1,0)</f>
        <v>0</v>
      </c>
      <c r="BL1" s="1" t="str">
        <f t="shared" ref="BL1:BL9" si="252">IF(BK1=1,"Periode "&amp;BJ1,"")</f>
        <v/>
      </c>
      <c r="BN1" s="2" t="str">
        <f t="array" ref="BN1">_xlfn.VSTACK(_xlfn._xlws.FILTER($BE$1:$BE$18,($BB$1:$BB$18='V. AUSWERTUNG'!E81+1)*($BC$1:$BC$18=1),""),"Neuste MA")</f>
        <v/>
      </c>
      <c r="BP1" s="2" t="str">
        <f t="array" ref="BP1">_xlfn.VSTACK("Kein Finanzbericht (Projektbeginn)",_xlfn._xlws.FILTER($BL$1:$BL$18,$BK$1:$BK$18=1,""),"Neuester FB")</f>
        <v xml:space="preserve">Kein Finanzbericht (Projektbeginn)</v>
      </c>
      <c r="BR1" s="1">
        <f t="shared" ref="BR1:BR11" si="253">$BB$1</f>
        <v>1</v>
      </c>
      <c r="BS1" s="1">
        <f t="shared" ref="BS1:BS11" si="254">$BD$1</f>
        <v>0</v>
      </c>
      <c r="BT1" s="1" t="s">
        <v>212</v>
      </c>
      <c r="BU1" s="1">
        <f>IFERROR('IV. MA'!C10,0)</f>
        <v>0</v>
      </c>
      <c r="BV1" s="1">
        <f>IFERROR('IV. MA'!D10,0)</f>
        <v>0</v>
      </c>
    </row>
    <row r="2">
      <c r="A2" s="1" t="s">
        <v>333</v>
      </c>
      <c r="C2" s="2">
        <f t="array" ref="C2">_xlfn._xlws.FILTER(_xlfn.ANCHORARRAY(AA2), (_xlfn.CHOOSECOLS(_xlfn.ANCHORARRAY(AA2),3)&lt;&gt;0)+(_xlfn.CHOOSECOLS(_xlfn.ANCHORARRAY(AA2),4)&lt;&gt;0), "")</f>
        <v>0</v>
      </c>
      <c r="I2" s="2">
        <f t="array" ref="I2">_xlfn._xlws.FILTER(_xlfn.ANCHORARRAY(AG2), (_xlfn.CHOOSECOLS(_xlfn.ANCHORARRAY(AG2),3)&lt;&gt;0)+(_xlfn.CHOOSECOLS(_xlfn.ANCHORARRAY(AG2),4)&lt;&gt;0), "")</f>
        <v>0</v>
      </c>
      <c r="O2" s="2">
        <f t="array" ref="O2">_xlfn._xlws.FILTER(_xlfn.ANCHORARRAY(AM2), (_xlfn.CHOOSECOLS(_xlfn.ANCHORARRAY(AM2),2)&lt;&gt;0)+(_xlfn.CHOOSECOLS(_xlfn.ANCHORARRAY(AM2),3)&lt;&gt;0), "")</f>
        <v>0</v>
      </c>
      <c r="U2" s="2">
        <f t="array" ref="U2">_xlfn._xlws.FILTER(_xlfn.ANCHORARRAY(AS2), (_xlfn.CHOOSECOLS(_xlfn.ANCHORARRAY(AS2),2)&lt;&gt;0)+(_xlfn.CHOOSECOLS(_xlfn.ANCHORARRAY(AS2),3)&lt;&gt;0), "")</f>
        <v>0</v>
      </c>
      <c r="AA2" s="2" t="str">
        <f t="array" ref="AA2">_xlfn.VSTACK('III. Finanzberichte'!$B$116:$F$120,'III. Finanzberichte'!$I$116:$M$120,'III. Finanzberichte'!$P$116:$T$120,'III. Finanzberichte'!$W$116:$AA$120,'III. Finanzberichte'!$AD$116:$AH$120,'III. Finanzberichte'!$AK$116:$AO$120,'III. Finanzberichte'!$AR$116:$AV$120,'III. Finanzberichte'!$AY$116:$BC$120,'III. Finanzberichte'!$BF$116:$BJ$120,'III. Finanzberichte'!$BM$116:$BQ$120,'III. Finanzberichte'!$BT$116:$BX$120,'III. Finanzberichte'!$CA$116:$CE$120,'III. Finanzberichte'!$CH$116:$CL$120,'III. Finanzberichte'!$CO$116:$CS$120,'III. Finanzberichte'!$CV$116:$CZ$120,'III. Finanzberichte'!$DC$116:$DG$120,'III. Finanzberichte'!$DJ$116:$DN$120,'III. Finanzberichte'!$DQ$116:$DU$120)</f>
        <v xml:space="preserve">Saldo des Vorprojekts</v>
      </c>
      <c r="AG2" s="2" t="str">
        <f t="array" ref="AG2">_xlfn.VSTACK('III. Finanzberichte'!$B$125:$F$130,'III. Finanzberichte'!$I$125:$M$130,'III. Finanzberichte'!$P$125:$T$130,'III. Finanzberichte'!$W$125:$AA$130,'III. Finanzberichte'!$AD$125:$AH$130,'III. Finanzberichte'!$AK$125:$AO$130,'III. Finanzberichte'!$AR$125:$AV$130,'III. Finanzberichte'!$AY$125:$BC$130,'III. Finanzberichte'!$BF$125:$BJ$130,'III. Finanzberichte'!$BM$125:$BQ$130,'III. Finanzberichte'!$BT$125:$BX$130,'III. Finanzberichte'!$CA$125:$CE$130,'III. Finanzberichte'!$CH$125:$CL$130,'III. Finanzberichte'!$CO$125:$CS$130,'III. Finanzberichte'!$CV$125:$CZ$130,'III. Finanzberichte'!$DC$125:$DG$130,'III. Finanzberichte'!$DJ$125:$DN$130,'III. Finanzberichte'!$DQ$125:$DU$130)</f>
        <v>Eigenmittel</v>
      </c>
      <c r="AM2" s="2" t="str">
        <f t="array" ref="AM2">_xlfn.VSTACK('III. Finanzberichte'!$B$19:$F$101,'III. Finanzberichte'!$I$19:$M$101,'III. Finanzberichte'!$P$19:$T$101,'III. Finanzberichte'!$W$19:$AA$101,'III. Finanzberichte'!$AD$19:$AH$101,'III. Finanzberichte'!$AK$19:$AO$101,'III. Finanzberichte'!$AR$19:$AV$101,'III. Finanzberichte'!$AY$19:$BC$101,'III. Finanzberichte'!$BF$19:$BJ$101,'III. Finanzberichte'!$BM$19:$BQ$101,'III. Finanzberichte'!$BT$19:$BX$101,'III. Finanzberichte'!$CA$19:$CE$101,'III. Finanzberichte'!$CH$19:$CL$101,'III. Finanzberichte'!$CO$19:$CS$101,'III. Finanzberichte'!$CV$19:$CZ$101,'III. Finanzberichte'!$DC$19:$DG$101,'III. Finanzberichte'!$DJ$19:$DN$101,'III. Finanzberichte'!$DQ$19:$DU$101)</f>
        <v>1.1</v>
      </c>
      <c r="AS2" s="2" t="str">
        <f t="array" ref="AS2">_xlfn.VSTACK('IV. MA'!$B$10:$D$17,'IV. MA'!$F$10:$H$17,'IV. MA'!$J$10:$L$17,'IV. MA'!$N$10:$P$17,'IV. MA'!$R$10:$T$17,'IV. MA'!$V$10:$X$17,'IV. MA'!$Z$10:$AB$17,'IV. MA'!$AD$10:$AF$17,'IV. MA'!$AH$10:$AJ$17,'IV. MA'!$AL$10:$AN$17,'IV. MA'!$AP$10:$AR$17,'IV. MA'!$AT$10:$AV$17,'IV. MA'!$AX$10:$AZ$17,'IV. MA'!$BB$10:$BD$17,'IV. MA'!$BF$10:$BH$17,'IV. MA'!$BJ$10:$BL$17,'IV. MA'!$BN$10:$BP$17,'IV. MA'!$BR$10:$BT$17)</f>
        <v>Bauausgaben</v>
      </c>
      <c r="BA2" s="1">
        <v>2</v>
      </c>
      <c r="BB2" s="1">
        <f>IFERROR(VALUE(TRIM(MID('IV. MA'!G4,9,5))),0)</f>
        <v>2</v>
      </c>
      <c r="BC2" s="1">
        <f>IF(IFERROR(SUBTOTAL(109,MA_2[Angefordert (LC)]),0)&lt;&gt;0,1,0)</f>
        <v>0</v>
      </c>
      <c r="BD2" s="1">
        <f t="shared" si="250"/>
        <v>0</v>
      </c>
      <c r="BE2" s="1" t="str">
        <f t="shared" si="251"/>
        <v/>
      </c>
      <c r="BF2" s="1">
        <f>IFERROR(ROUND(SUBTOTAL(109,MA_2[Angefordert (LC)]),2),0)</f>
        <v>0</v>
      </c>
      <c r="BG2" s="1">
        <f>IFERROR(ROUND(SUBTOTAL(109,MA_2[Angefordert (EUR)]),2),0)</f>
        <v>0</v>
      </c>
      <c r="BH2" s="1">
        <f>IFERROR(ROUND('IV. MA'!H21+'IV. MA'!H22,2),0)</f>
        <v>0</v>
      </c>
      <c r="BJ2" s="1">
        <v>2</v>
      </c>
      <c r="BK2" s="1">
        <f>IF((IFERROR(SUBTOTAL(109,Ausgaben_2[Ausgaben (LC)]),0)&lt;&gt;0)+(IFERROR(SUM('III. Finanzberichte'!J12:J15),0)&lt;&gt;0)&gt;0,1,0)</f>
        <v>0</v>
      </c>
      <c r="BL2" s="1" t="str">
        <f t="shared" si="252"/>
        <v/>
      </c>
      <c r="BR2" s="1">
        <f t="shared" si="253"/>
        <v>1</v>
      </c>
      <c r="BS2" s="1">
        <f t="shared" si="254"/>
        <v>0</v>
      </c>
      <c r="BT2" s="1" t="s">
        <v>254</v>
      </c>
      <c r="BU2" s="1">
        <f>IFERROR('IV. MA'!C11,0)</f>
        <v>0</v>
      </c>
      <c r="BV2" s="1">
        <f>IFERROR('IV. MA'!D11,0)</f>
        <v>0</v>
      </c>
    </row>
    <row r="3">
      <c r="A3" s="1" t="s">
        <v>334</v>
      </c>
      <c r="BA3" s="1">
        <v>3</v>
      </c>
      <c r="BB3" s="1">
        <f>IFERROR(VALUE(TRIM(MID('IV. MA'!K4,9,5))),0)</f>
        <v>3</v>
      </c>
      <c r="BC3" s="1">
        <f>IF(IFERROR(SUBTOTAL(109,MA_3[Angefordert (LC)]),0)&lt;&gt;0,1,0)</f>
        <v>0</v>
      </c>
      <c r="BD3" s="1">
        <f t="shared" si="250"/>
        <v>0</v>
      </c>
      <c r="BE3" s="1" t="str">
        <f t="shared" si="251"/>
        <v/>
      </c>
      <c r="BF3" s="1">
        <f>IFERROR(ROUND(SUBTOTAL(109,MA_3[Angefordert (LC)]),2),0)</f>
        <v>0</v>
      </c>
      <c r="BG3" s="1">
        <f>IFERROR(ROUND(SUBTOTAL(109,MA_3[Angefordert (EUR)]),2),0)</f>
        <v>0</v>
      </c>
      <c r="BH3" s="1">
        <f>IFERROR(ROUND('IV. MA'!L21+'IV. MA'!L22,2),0)</f>
        <v>0</v>
      </c>
      <c r="BJ3" s="1">
        <v>3</v>
      </c>
      <c r="BK3" s="1">
        <f>IF((IFERROR(SUBTOTAL(109,Ausgaben_3[Ausgaben (LC)]),0)&lt;&gt;0)+(IFERROR(SUM('III. Finanzberichte'!Q12:Q15),0)&lt;&gt;0)&gt;0,1,0)</f>
        <v>0</v>
      </c>
      <c r="BL3" s="1" t="str">
        <f t="shared" si="252"/>
        <v/>
      </c>
      <c r="BR3" s="1">
        <f t="shared" si="253"/>
        <v>1</v>
      </c>
      <c r="BS3" s="1">
        <f t="shared" si="254"/>
        <v>0</v>
      </c>
      <c r="BT3" s="1" t="s">
        <v>414</v>
      </c>
      <c r="BU3" s="1">
        <f>IFERROR('IV. MA'!C12,0)</f>
        <v>0</v>
      </c>
      <c r="BV3" s="1">
        <f>IFERROR('IV. MA'!D12,0)</f>
        <v>0</v>
      </c>
    </row>
    <row r="4">
      <c r="A4" s="1" t="s">
        <v>339</v>
      </c>
      <c r="BA4" s="1">
        <v>4</v>
      </c>
      <c r="BB4" s="1">
        <f>IFERROR(VALUE(TRIM(MID('IV. MA'!O4,9,5))),0)</f>
        <v>4</v>
      </c>
      <c r="BC4" s="1">
        <f>IF(IFERROR(SUBTOTAL(109,MA_4[Angefordert (LC)]),0)&lt;&gt;0,1,0)</f>
        <v>0</v>
      </c>
      <c r="BD4" s="1">
        <f t="shared" si="250"/>
        <v>0</v>
      </c>
      <c r="BE4" s="1" t="str">
        <f t="shared" si="251"/>
        <v/>
      </c>
      <c r="BF4" s="1">
        <f>IFERROR(ROUND(SUBTOTAL(109,MA_4[Angefordert (LC)]),2),0)</f>
        <v>0</v>
      </c>
      <c r="BG4" s="1">
        <f>IFERROR(ROUND(SUBTOTAL(109,MA_4[Angefordert (EUR)]),2),0)</f>
        <v>0</v>
      </c>
      <c r="BH4" s="1">
        <f>IFERROR(ROUND('IV. MA'!P21+'IV. MA'!P22,2),0)</f>
        <v>0</v>
      </c>
      <c r="BJ4" s="1">
        <v>4</v>
      </c>
      <c r="BK4" s="1">
        <f>IF((IFERROR(SUBTOTAL(109,Ausgaben_4[Ausgaben (LC)]),0)&lt;&gt;0)+(IFERROR(SUM('III. Finanzberichte'!X12:X15),0)&lt;&gt;0)&gt;0,1,0)</f>
        <v>0</v>
      </c>
      <c r="BL4" s="1" t="str">
        <f t="shared" si="252"/>
        <v/>
      </c>
      <c r="BR4" s="1">
        <f t="shared" si="253"/>
        <v>1</v>
      </c>
      <c r="BS4" s="1">
        <f t="shared" si="254"/>
        <v>0</v>
      </c>
      <c r="BT4" s="1" t="s">
        <v>275</v>
      </c>
      <c r="BU4" s="1">
        <f>IFERROR('IV. MA'!C13,0)</f>
        <v>0</v>
      </c>
      <c r="BV4" s="1">
        <f>IFERROR('IV. MA'!D13,0)</f>
        <v>0</v>
      </c>
    </row>
    <row r="5">
      <c r="A5" s="1" t="s">
        <v>340</v>
      </c>
      <c r="BA5" s="1">
        <v>5</v>
      </c>
      <c r="BB5" s="1">
        <f>IFERROR(VALUE(TRIM(MID('IV. MA'!S4,9,5))),0)</f>
        <v>5</v>
      </c>
      <c r="BC5" s="1">
        <f>IF(IFERROR(SUBTOTAL(109,MA_5[Angefordert (LC)]),0)&lt;&gt;0,1,0)</f>
        <v>0</v>
      </c>
      <c r="BD5" s="1">
        <f t="shared" si="250"/>
        <v>0</v>
      </c>
      <c r="BE5" s="1" t="str">
        <f t="shared" si="251"/>
        <v/>
      </c>
      <c r="BF5" s="1">
        <f>IFERROR(ROUND(SUBTOTAL(109,MA_5[Angefordert (LC)]),2),0)</f>
        <v>0</v>
      </c>
      <c r="BG5" s="1">
        <f>IFERROR(ROUND(SUBTOTAL(109,MA_5[Angefordert (EUR)]),2),0)</f>
        <v>0</v>
      </c>
      <c r="BH5" s="1">
        <f>IFERROR(ROUND('IV. MA'!T21+'IV. MA'!T22,2),0)</f>
        <v>0</v>
      </c>
      <c r="BJ5" s="1">
        <v>5</v>
      </c>
      <c r="BK5" s="1">
        <f>IF((IFERROR(SUBTOTAL(109,Ausgaben_5[Ausgaben (LC)]),0)&lt;&gt;0)+(IFERROR(SUM('III. Finanzberichte'!AE12:AE15),0)&lt;&gt;0)&gt;0,1,0)</f>
        <v>0</v>
      </c>
      <c r="BL5" s="1" t="str">
        <f t="shared" si="252"/>
        <v/>
      </c>
      <c r="BR5" s="1">
        <f t="shared" si="253"/>
        <v>1</v>
      </c>
      <c r="BS5" s="1">
        <f t="shared" si="254"/>
        <v>0</v>
      </c>
      <c r="BT5" s="1" t="s">
        <v>296</v>
      </c>
      <c r="BU5" s="1">
        <f>IFERROR('IV. MA'!C14,0)</f>
        <v>0</v>
      </c>
      <c r="BV5" s="1">
        <f>IFERROR('IV. MA'!D14,0)</f>
        <v>0</v>
      </c>
    </row>
    <row r="6">
      <c r="A6" s="1" t="s">
        <v>341</v>
      </c>
      <c r="BA6" s="1">
        <v>6</v>
      </c>
      <c r="BB6" s="1">
        <f>IFERROR(VALUE(TRIM(MID('IV. MA'!W4,9,5))),0)</f>
        <v>6</v>
      </c>
      <c r="BC6" s="1">
        <f>IF(IFERROR(SUBTOTAL(109,MA_6[Angefordert (LC)]),0)&lt;&gt;0,1,0)</f>
        <v>0</v>
      </c>
      <c r="BD6" s="1">
        <f t="shared" si="250"/>
        <v>0</v>
      </c>
      <c r="BE6" s="1" t="str">
        <f t="shared" si="251"/>
        <v/>
      </c>
      <c r="BF6" s="1">
        <f>IFERROR(ROUND(SUBTOTAL(109,MA_6[Angefordert (LC)]),2),0)</f>
        <v>0</v>
      </c>
      <c r="BG6" s="1">
        <f>IFERROR(ROUND(SUBTOTAL(109,MA_6[Angefordert (EUR)]),2),0)</f>
        <v>0</v>
      </c>
      <c r="BH6" s="1">
        <f>IFERROR(ROUND('IV. MA'!X21+'IV. MA'!X22,2),0)</f>
        <v>0</v>
      </c>
      <c r="BJ6" s="1">
        <v>6</v>
      </c>
      <c r="BK6" s="1">
        <f>IF((IFERROR(SUBTOTAL(109,Ausgaben_6[Ausgaben (LC)]),0)&lt;&gt;0)+(IFERROR(SUM('III. Finanzberichte'!AL12:AL15),0)&lt;&gt;0)&gt;0,1,0)</f>
        <v>0</v>
      </c>
      <c r="BL6" s="1" t="str">
        <f t="shared" si="252"/>
        <v/>
      </c>
      <c r="BR6" s="1">
        <f t="shared" si="253"/>
        <v>1</v>
      </c>
      <c r="BS6" s="1">
        <f t="shared" si="254"/>
        <v>0</v>
      </c>
      <c r="BT6" s="1" t="s">
        <v>317</v>
      </c>
      <c r="BU6" s="1">
        <f>IFERROR('IV. MA'!C15,0)</f>
        <v>0</v>
      </c>
      <c r="BV6" s="1">
        <f>IFERROR('IV. MA'!D15,0)</f>
        <v>0</v>
      </c>
    </row>
    <row r="7">
      <c r="A7" s="1" t="s">
        <v>342</v>
      </c>
      <c r="BA7" s="1">
        <v>7</v>
      </c>
      <c r="BB7" s="1">
        <f>IFERROR(VALUE(TRIM(MID('IV. MA'!AA4,9,5))),0)</f>
        <v>7</v>
      </c>
      <c r="BC7" s="1">
        <f>IF(IFERROR(SUBTOTAL(109,MA_7[Angefordert (LC)]),0)&lt;&gt;0,1,0)</f>
        <v>0</v>
      </c>
      <c r="BD7" s="1">
        <f t="shared" si="250"/>
        <v>0</v>
      </c>
      <c r="BE7" s="1" t="str">
        <f t="shared" si="251"/>
        <v/>
      </c>
      <c r="BF7" s="1">
        <f>IFERROR(ROUND(SUBTOTAL(109,MA_7[Angefordert (LC)]),2),0)</f>
        <v>0</v>
      </c>
      <c r="BG7" s="1">
        <f>IFERROR(ROUND(SUBTOTAL(109,MA_7[Angefordert (EUR)]),2),0)</f>
        <v>0</v>
      </c>
      <c r="BH7" s="1">
        <f>IFERROR(ROUND('IV. MA'!AB21+'IV. MA'!AB22,2),0)</f>
        <v>0</v>
      </c>
      <c r="BJ7" s="1">
        <v>7</v>
      </c>
      <c r="BK7" s="1">
        <f>IF((IFERROR(SUBTOTAL(109,Ausgaben_7[Ausgaben (LC)]),0)&lt;&gt;0)+(IFERROR(SUM('III. Finanzberichte'!AS12:AS15),0)&lt;&gt;0)&gt;0,1,0)</f>
        <v>0</v>
      </c>
      <c r="BL7" s="1" t="str">
        <f t="shared" si="252"/>
        <v/>
      </c>
      <c r="BR7" s="1">
        <f t="shared" si="253"/>
        <v>1</v>
      </c>
      <c r="BS7" s="1">
        <f t="shared" si="254"/>
        <v>0</v>
      </c>
      <c r="BT7" s="1" t="s">
        <v>319</v>
      </c>
      <c r="BU7" s="1">
        <f>IFERROR('IV. MA'!C16,0)</f>
        <v>0</v>
      </c>
      <c r="BV7" s="1">
        <f>IFERROR('IV. MA'!D16,0)</f>
        <v>0</v>
      </c>
    </row>
    <row r="8">
      <c r="A8" s="1" t="s">
        <v>343</v>
      </c>
      <c r="BA8" s="1">
        <v>8</v>
      </c>
      <c r="BB8" s="1">
        <f>IFERROR(VALUE(TRIM(MID('IV. MA'!AE4,9,5))),0)</f>
        <v>8</v>
      </c>
      <c r="BC8" s="1">
        <f>IF(IFERROR(SUBTOTAL(109,MA_8[Angefordert (LC)]),0)&lt;&gt;0,1,0)</f>
        <v>0</v>
      </c>
      <c r="BD8" s="1">
        <f t="shared" si="250"/>
        <v>0</v>
      </c>
      <c r="BE8" s="1" t="str">
        <f t="shared" si="251"/>
        <v/>
      </c>
      <c r="BF8" s="1">
        <f>IFERROR(ROUND(SUBTOTAL(109,MA_8[Angefordert (LC)]),2),0)</f>
        <v>0</v>
      </c>
      <c r="BG8" s="1">
        <f>IFERROR(ROUND(SUBTOTAL(109,MA_8[Angefordert (EUR)]),2),0)</f>
        <v>0</v>
      </c>
      <c r="BH8" s="1">
        <f>IFERROR(ROUND('IV. MA'!AF21+'IV. MA'!AF22,2),0)</f>
        <v>0</v>
      </c>
      <c r="BJ8" s="1">
        <v>8</v>
      </c>
      <c r="BK8" s="1">
        <f>IF((IFERROR(SUBTOTAL(109,Ausgaben_8[Ausgaben (LC)]),0)&lt;&gt;0)+(IFERROR(SUM('III. Finanzberichte'!AZ12:AZ15),0)&lt;&gt;0)&gt;0,1,0)</f>
        <v>0</v>
      </c>
      <c r="BL8" s="1" t="str">
        <f t="shared" si="252"/>
        <v/>
      </c>
      <c r="BR8" s="1">
        <f t="shared" si="253"/>
        <v>1</v>
      </c>
      <c r="BS8" s="1">
        <f t="shared" si="254"/>
        <v>0</v>
      </c>
      <c r="BT8" s="1" t="s">
        <v>321</v>
      </c>
      <c r="BU8" s="1">
        <f>IFERROR('IV. MA'!C17,0)</f>
        <v>0</v>
      </c>
      <c r="BV8" s="1">
        <f>IFERROR('IV. MA'!D17,0)</f>
        <v>0</v>
      </c>
    </row>
    <row r="9">
      <c r="A9" s="1" t="s">
        <v>344</v>
      </c>
      <c r="BA9" s="1">
        <v>9</v>
      </c>
      <c r="BB9" s="1">
        <f>IFERROR(VALUE(TRIM(MID('IV. MA'!AI4,9,5))),0)</f>
        <v>9</v>
      </c>
      <c r="BC9" s="1">
        <f>IF(IFERROR(SUBTOTAL(109,MA_9[Angefordert (LC)]),0)&lt;&gt;0,1,0)</f>
        <v>0</v>
      </c>
      <c r="BD9" s="1">
        <f t="shared" si="250"/>
        <v>0</v>
      </c>
      <c r="BE9" s="1" t="str">
        <f t="shared" si="251"/>
        <v/>
      </c>
      <c r="BF9" s="1">
        <f>IFERROR(ROUND(SUBTOTAL(109,MA_9[Angefordert (LC)]),2),0)</f>
        <v>0</v>
      </c>
      <c r="BG9" s="1">
        <f>IFERROR(ROUND(SUBTOTAL(109,MA_9[Angefordert (EUR)]),2),0)</f>
        <v>0</v>
      </c>
      <c r="BH9" s="1">
        <f>IFERROR(ROUND('IV. MA'!AJ21+'IV. MA'!AJ22,2),0)</f>
        <v>0</v>
      </c>
      <c r="BJ9" s="1">
        <v>9</v>
      </c>
      <c r="BK9" s="1">
        <f>IF((IFERROR(SUBTOTAL(109,Ausgaben_9[Ausgaben (LC)]),0)&lt;&gt;0)+(IFERROR(SUM('III. Finanzberichte'!BG12:BG15),0)&lt;&gt;0)&gt;0,1,0)</f>
        <v>0</v>
      </c>
      <c r="BL9" s="1" t="str">
        <f t="shared" si="252"/>
        <v/>
      </c>
      <c r="BR9" s="1">
        <f t="shared" si="253"/>
        <v>1</v>
      </c>
      <c r="BS9" s="1">
        <f t="shared" si="254"/>
        <v>0</v>
      </c>
      <c r="BT9" s="1" t="s">
        <v>198</v>
      </c>
      <c r="BU9" s="1">
        <f>IFERROR('IV. MA'!C21,0)</f>
        <v>0</v>
      </c>
      <c r="BV9" s="1">
        <f>IFERROR('IV. MA'!D21,0)</f>
        <v>0</v>
      </c>
    </row>
    <row r="10">
      <c r="A10" s="1" t="s">
        <v>345</v>
      </c>
      <c r="BA10" s="1">
        <v>10</v>
      </c>
      <c r="BB10" s="1">
        <f>IFERROR(VALUE(TRIM(MID('IV. MA'!AM4,9,5))),0)</f>
        <v>10</v>
      </c>
      <c r="BC10" s="1">
        <f>IF(IFERROR(SUBTOTAL(109,MA_10[Angefordert (LC)]),0)&lt;&gt;0,1,0)</f>
        <v>0</v>
      </c>
      <c r="BD10" s="1">
        <f t="shared" ref="BD10:BD18" si="255">IF(BC10=1,SUMPRODUCT(($BB$1:$BB10=BB10)*($BC$1:$BC10=1)),0)</f>
        <v>0</v>
      </c>
      <c r="BE10" s="1" t="str">
        <f t="shared" ref="BE10:BE18" si="256">IF(AND(BC10=1,BB10&gt;0),"Periode "&amp;BB10&amp;" (#"&amp;BD10&amp;")","")</f>
        <v/>
      </c>
      <c r="BF10" s="1">
        <f>IFERROR(ROUND(SUBTOTAL(109,MA_10[Angefordert (LC)]),2),0)</f>
        <v>0</v>
      </c>
      <c r="BG10" s="1">
        <f>IFERROR(ROUND(SUBTOTAL(109,MA_10[Angefordert (EUR)]),2),0)</f>
        <v>0</v>
      </c>
      <c r="BH10" s="1">
        <f>IFERROR(ROUND('IV. MA'!AN21+'IV. MA'!AN22,2),0)</f>
        <v>0</v>
      </c>
      <c r="BJ10" s="1">
        <v>10</v>
      </c>
      <c r="BK10" s="1">
        <f>IF((IFERROR(SUBTOTAL(109,Ausgaben_10[Ausgaben (LC)]),0)&lt;&gt;0)+(IFERROR(SUM('III. Finanzberichte'!BN12:BN15),0)&lt;&gt;0)&gt;0,1,0)</f>
        <v>0</v>
      </c>
      <c r="BL10" s="1" t="str">
        <f t="shared" ref="BL10:BL18" si="257">IF(BK10=1,"Periode "&amp;BJ10,"")</f>
        <v/>
      </c>
      <c r="BR10" s="1">
        <f t="shared" si="253"/>
        <v>1</v>
      </c>
      <c r="BS10" s="1">
        <f t="shared" si="254"/>
        <v>0</v>
      </c>
      <c r="BT10" s="1" t="s">
        <v>387</v>
      </c>
      <c r="BU10" s="1">
        <f>IFERROR('IV. MA'!C22,0)</f>
        <v>0</v>
      </c>
      <c r="BV10" s="1">
        <f>IFERROR('IV. MA'!D22,0)</f>
        <v>0</v>
      </c>
    </row>
    <row r="11">
      <c r="A11" s="1" t="s">
        <v>346</v>
      </c>
      <c r="BA11" s="1">
        <v>11</v>
      </c>
      <c r="BB11" s="1">
        <f>IFERROR(VALUE(TRIM(MID('IV. MA'!AQ4,9,5))),0)</f>
        <v>11</v>
      </c>
      <c r="BC11" s="1">
        <f>IF(IFERROR(SUBTOTAL(109,MA_11[Angefordert (LC)]),0)&lt;&gt;0,1,0)</f>
        <v>0</v>
      </c>
      <c r="BD11" s="1">
        <f t="shared" si="255"/>
        <v>0</v>
      </c>
      <c r="BE11" s="1" t="str">
        <f t="shared" si="256"/>
        <v/>
      </c>
      <c r="BF11" s="1">
        <f>IFERROR(ROUND(SUBTOTAL(109,MA_11[Angefordert (LC)]),2),0)</f>
        <v>0</v>
      </c>
      <c r="BG11" s="1">
        <f>IFERROR(ROUND(SUBTOTAL(109,MA_11[Angefordert (EUR)]),2),0)</f>
        <v>0</v>
      </c>
      <c r="BH11" s="1">
        <f>IFERROR(ROUND('IV. MA'!AR21+'IV. MA'!AR22,2),0)</f>
        <v>0</v>
      </c>
      <c r="BJ11" s="1">
        <v>11</v>
      </c>
      <c r="BK11" s="1">
        <f>IF((IFERROR(SUBTOTAL(109,Ausgaben_11[Ausgaben (LC)]),0)&lt;&gt;0)+(IFERROR(SUM('III. Finanzberichte'!BU12:BU15),0)&lt;&gt;0)&gt;0,1,0)</f>
        <v>0</v>
      </c>
      <c r="BL11" s="1" t="str">
        <f t="shared" si="257"/>
        <v/>
      </c>
      <c r="BR11" s="1">
        <f t="shared" si="253"/>
        <v>1</v>
      </c>
      <c r="BS11" s="1">
        <f t="shared" si="254"/>
        <v>0</v>
      </c>
      <c r="BT11" s="1" t="s">
        <v>204</v>
      </c>
      <c r="BU11" s="1">
        <f>IFERROR('IV. MA'!C25,0)</f>
        <v>0</v>
      </c>
      <c r="BV11" s="1">
        <f>IFERROR('IV. MA'!D25,0)</f>
        <v>0</v>
      </c>
    </row>
    <row r="12">
      <c r="A12" s="1" t="s">
        <v>347</v>
      </c>
      <c r="BA12" s="1">
        <v>12</v>
      </c>
      <c r="BB12" s="1">
        <f>IFERROR(VALUE(TRIM(MID('IV. MA'!AU4,9,5))),0)</f>
        <v>12</v>
      </c>
      <c r="BC12" s="1">
        <f>IF(IFERROR(SUBTOTAL(109,MA_12[Angefordert (LC)]),0)&lt;&gt;0,1,0)</f>
        <v>0</v>
      </c>
      <c r="BD12" s="1">
        <f t="shared" si="255"/>
        <v>0</v>
      </c>
      <c r="BE12" s="1" t="str">
        <f t="shared" si="256"/>
        <v/>
      </c>
      <c r="BF12" s="1">
        <f>IFERROR(ROUND(SUBTOTAL(109,MA_12[Angefordert (LC)]),2),0)</f>
        <v>0</v>
      </c>
      <c r="BG12" s="1">
        <f>IFERROR(ROUND(SUBTOTAL(109,MA_12[Angefordert (EUR)]),2),0)</f>
        <v>0</v>
      </c>
      <c r="BH12" s="1">
        <f>IFERROR(ROUND('IV. MA'!AV21+'IV. MA'!AV22,2),0)</f>
        <v>0</v>
      </c>
      <c r="BJ12" s="1">
        <v>12</v>
      </c>
      <c r="BK12" s="1">
        <f>IF((IFERROR(SUBTOTAL(109,Ausgaben_12[Ausgaben (LC)]),0)&lt;&gt;0)+(IFERROR(SUM('III. Finanzberichte'!CB12:CB15),0)&lt;&gt;0)&gt;0,1,0)</f>
        <v>0</v>
      </c>
      <c r="BL12" s="1" t="str">
        <f t="shared" si="257"/>
        <v/>
      </c>
      <c r="BR12" s="1">
        <f t="shared" ref="BR12:BR22" si="258">$BB$2</f>
        <v>2</v>
      </c>
      <c r="BS12" s="1">
        <f t="shared" ref="BS12:BS22" si="259">$BD$2</f>
        <v>0</v>
      </c>
      <c r="BT12" s="1" t="s">
        <v>212</v>
      </c>
      <c r="BU12" s="1">
        <f>IFERROR('IV. MA'!G10,0)</f>
        <v>0</v>
      </c>
      <c r="BV12" s="1">
        <f>IFERROR('IV. MA'!H10,0)</f>
        <v>0</v>
      </c>
    </row>
    <row r="13">
      <c r="A13" s="1" t="s">
        <v>348</v>
      </c>
      <c r="BA13" s="1">
        <v>13</v>
      </c>
      <c r="BB13" s="1">
        <f>IFERROR(VALUE(TRIM(MID('IV. MA'!AY4,9,5))),0)</f>
        <v>13</v>
      </c>
      <c r="BC13" s="1">
        <f>IF(IFERROR(SUBTOTAL(109,MA_13[Angefordert (LC)]),0)&lt;&gt;0,1,0)</f>
        <v>0</v>
      </c>
      <c r="BD13" s="1">
        <f t="shared" si="255"/>
        <v>0</v>
      </c>
      <c r="BE13" s="1" t="str">
        <f t="shared" si="256"/>
        <v/>
      </c>
      <c r="BF13" s="1">
        <f>IFERROR(ROUND(SUBTOTAL(109,MA_13[Angefordert (LC)]),2),0)</f>
        <v>0</v>
      </c>
      <c r="BG13" s="1">
        <f>IFERROR(ROUND(SUBTOTAL(109,MA_13[Angefordert (EUR)]),2),0)</f>
        <v>0</v>
      </c>
      <c r="BH13" s="1">
        <f>IFERROR(ROUND('IV. MA'!AZ21+'IV. MA'!AZ22,2),0)</f>
        <v>0</v>
      </c>
      <c r="BJ13" s="1">
        <v>13</v>
      </c>
      <c r="BK13" s="1">
        <f>IF((IFERROR(SUBTOTAL(109,Ausgaben_13[Ausgaben (LC)]),0)&lt;&gt;0)+(IFERROR(SUM('III. Finanzberichte'!CI12:CI15),0)&lt;&gt;0)&gt;0,1,0)</f>
        <v>0</v>
      </c>
      <c r="BL13" s="1" t="str">
        <f t="shared" si="257"/>
        <v/>
      </c>
      <c r="BR13" s="1">
        <f t="shared" si="258"/>
        <v>2</v>
      </c>
      <c r="BS13" s="1">
        <f t="shared" si="259"/>
        <v>0</v>
      </c>
      <c r="BT13" s="1" t="s">
        <v>254</v>
      </c>
      <c r="BU13" s="1">
        <f>IFERROR('IV. MA'!G11,0)</f>
        <v>0</v>
      </c>
      <c r="BV13" s="1">
        <f>IFERROR('IV. MA'!H11,0)</f>
        <v>0</v>
      </c>
    </row>
    <row r="14">
      <c r="A14" s="1" t="s">
        <v>349</v>
      </c>
      <c r="BA14" s="1">
        <v>14</v>
      </c>
      <c r="BB14" s="1">
        <f>IFERROR(VALUE(TRIM(MID('IV. MA'!BC4,9,5))),0)</f>
        <v>14</v>
      </c>
      <c r="BC14" s="1">
        <f>IF(IFERROR(SUBTOTAL(109,MA_14[Angefordert (LC)]),0)&lt;&gt;0,1,0)</f>
        <v>0</v>
      </c>
      <c r="BD14" s="1">
        <f t="shared" si="255"/>
        <v>0</v>
      </c>
      <c r="BE14" s="1" t="str">
        <f t="shared" si="256"/>
        <v/>
      </c>
      <c r="BF14" s="1">
        <f>IFERROR(ROUND(SUBTOTAL(109,MA_14[Angefordert (LC)]),2),0)</f>
        <v>0</v>
      </c>
      <c r="BG14" s="1">
        <f>IFERROR(ROUND(SUBTOTAL(109,MA_14[Angefordert (EUR)]),2),0)</f>
        <v>0</v>
      </c>
      <c r="BH14" s="1">
        <f>IFERROR(ROUND('IV. MA'!BD21+'IV. MA'!BD22,2),0)</f>
        <v>0</v>
      </c>
      <c r="BJ14" s="1">
        <v>14</v>
      </c>
      <c r="BK14" s="1">
        <f>IF((IFERROR(SUBTOTAL(109,Ausgaben_14[Ausgaben (LC)]),0)&lt;&gt;0)+(IFERROR(SUM('III. Finanzberichte'!CP12:CP15),0)&lt;&gt;0)&gt;0,1,0)</f>
        <v>0</v>
      </c>
      <c r="BL14" s="1" t="str">
        <f t="shared" si="257"/>
        <v/>
      </c>
      <c r="BR14" s="1">
        <f t="shared" si="258"/>
        <v>2</v>
      </c>
      <c r="BS14" s="1">
        <f t="shared" si="259"/>
        <v>0</v>
      </c>
      <c r="BT14" s="1" t="s">
        <v>414</v>
      </c>
      <c r="BU14" s="1">
        <f>IFERROR('IV. MA'!G12,0)</f>
        <v>0</v>
      </c>
      <c r="BV14" s="1">
        <f>IFERROR('IV. MA'!H12,0)</f>
        <v>0</v>
      </c>
    </row>
    <row r="15">
      <c r="A15" s="1" t="s">
        <v>350</v>
      </c>
      <c r="BA15" s="1">
        <v>15</v>
      </c>
      <c r="BB15" s="1">
        <f>IFERROR(VALUE(TRIM(MID('IV. MA'!BG4,9,5))),0)</f>
        <v>15</v>
      </c>
      <c r="BC15" s="1">
        <f>IF(IFERROR(SUBTOTAL(109,MA_15[Angefordert (LC)]),0)&lt;&gt;0,1,0)</f>
        <v>0</v>
      </c>
      <c r="BD15" s="1">
        <f t="shared" si="255"/>
        <v>0</v>
      </c>
      <c r="BE15" s="1" t="str">
        <f t="shared" si="256"/>
        <v/>
      </c>
      <c r="BF15" s="1">
        <f>IFERROR(ROUND(SUBTOTAL(109,MA_15[Angefordert (LC)]),2),0)</f>
        <v>0</v>
      </c>
      <c r="BG15" s="1">
        <f>IFERROR(ROUND(SUBTOTAL(109,MA_15[Angefordert (EUR)]),2),0)</f>
        <v>0</v>
      </c>
      <c r="BH15" s="1">
        <f>IFERROR(ROUND('IV. MA'!BH21+'IV. MA'!BH22,2),0)</f>
        <v>0</v>
      </c>
      <c r="BJ15" s="1">
        <v>15</v>
      </c>
      <c r="BK15" s="1">
        <f>IF((IFERROR(SUBTOTAL(109,Ausgaben_15[Ausgaben (LC)]),0)&lt;&gt;0)+(IFERROR(SUM('III. Finanzberichte'!CW12:CW15),0)&lt;&gt;0)&gt;0,1,0)</f>
        <v>0</v>
      </c>
      <c r="BL15" s="1" t="str">
        <f t="shared" si="257"/>
        <v/>
      </c>
      <c r="BR15" s="1">
        <f t="shared" si="258"/>
        <v>2</v>
      </c>
      <c r="BS15" s="1">
        <f t="shared" si="259"/>
        <v>0</v>
      </c>
      <c r="BT15" s="1" t="s">
        <v>275</v>
      </c>
      <c r="BU15" s="1">
        <f>IFERROR('IV. MA'!G13,0)</f>
        <v>0</v>
      </c>
      <c r="BV15" s="1">
        <f>IFERROR('IV. MA'!H13,0)</f>
        <v>0</v>
      </c>
    </row>
    <row r="16">
      <c r="A16" s="1" t="s">
        <v>351</v>
      </c>
      <c r="BA16" s="1">
        <v>16</v>
      </c>
      <c r="BB16" s="1">
        <f>IFERROR(VALUE(TRIM(MID('IV. MA'!BK4,9,5))),0)</f>
        <v>16</v>
      </c>
      <c r="BC16" s="1">
        <f>IF(IFERROR(SUBTOTAL(109,MA_16[Angefordert (LC)]),0)&lt;&gt;0,1,0)</f>
        <v>0</v>
      </c>
      <c r="BD16" s="1">
        <f t="shared" si="255"/>
        <v>0</v>
      </c>
      <c r="BE16" s="1" t="str">
        <f t="shared" si="256"/>
        <v/>
      </c>
      <c r="BF16" s="1">
        <f>IFERROR(ROUND(SUBTOTAL(109,MA_16[Angefordert (LC)]),2),0)</f>
        <v>0</v>
      </c>
      <c r="BG16" s="1">
        <f>IFERROR(ROUND(SUBTOTAL(109,MA_16[Angefordert (EUR)]),2),0)</f>
        <v>0</v>
      </c>
      <c r="BH16" s="1">
        <f>IFERROR(ROUND('IV. MA'!BL21+'IV. MA'!BL22,2),0)</f>
        <v>0</v>
      </c>
      <c r="BJ16" s="1">
        <v>16</v>
      </c>
      <c r="BK16" s="1">
        <f>IF((IFERROR(SUBTOTAL(109,Ausgaben_16[Ausgaben (LC)]),0)&lt;&gt;0)+(IFERROR(SUM('III. Finanzberichte'!DD12:DD15),0)&lt;&gt;0)&gt;0,1,0)</f>
        <v>0</v>
      </c>
      <c r="BL16" s="1" t="str">
        <f t="shared" si="257"/>
        <v/>
      </c>
      <c r="BR16" s="1">
        <f t="shared" si="258"/>
        <v>2</v>
      </c>
      <c r="BS16" s="1">
        <f t="shared" si="259"/>
        <v>0</v>
      </c>
      <c r="BT16" s="1" t="s">
        <v>296</v>
      </c>
      <c r="BU16" s="1">
        <f>IFERROR('IV. MA'!G14,0)</f>
        <v>0</v>
      </c>
      <c r="BV16" s="1">
        <f>IFERROR('IV. MA'!H14,0)</f>
        <v>0</v>
      </c>
    </row>
    <row r="17">
      <c r="A17" s="1" t="s">
        <v>352</v>
      </c>
      <c r="BA17" s="1">
        <v>17</v>
      </c>
      <c r="BB17" s="1">
        <f>IFERROR(VALUE(TRIM(MID('IV. MA'!BO4,9,5))),0)</f>
        <v>17</v>
      </c>
      <c r="BC17" s="1">
        <f>IF(IFERROR(SUBTOTAL(109,MA_17[Angefordert (LC)]),0)&lt;&gt;0,1,0)</f>
        <v>0</v>
      </c>
      <c r="BD17" s="1">
        <f t="shared" si="255"/>
        <v>0</v>
      </c>
      <c r="BE17" s="1" t="str">
        <f t="shared" si="256"/>
        <v/>
      </c>
      <c r="BF17" s="1">
        <f>IFERROR(ROUND(SUBTOTAL(109,MA_17[Angefordert (LC)]),2),0)</f>
        <v>0</v>
      </c>
      <c r="BG17" s="1">
        <f>IFERROR(ROUND(SUBTOTAL(109,MA_17[Angefordert (EUR)]),2),0)</f>
        <v>0</v>
      </c>
      <c r="BH17" s="1">
        <f>IFERROR(ROUND('IV. MA'!BP21+'IV. MA'!BP22,2),0)</f>
        <v>0</v>
      </c>
      <c r="BJ17" s="1">
        <v>17</v>
      </c>
      <c r="BK17" s="1">
        <f>IF((IFERROR(SUBTOTAL(109,Ausgaben_17[Ausgaben (LC)]),0)&lt;&gt;0)+(IFERROR(SUM('III. Finanzberichte'!DK12:DK15),0)&lt;&gt;0)&gt;0,1,0)</f>
        <v>0</v>
      </c>
      <c r="BL17" s="1" t="str">
        <f t="shared" si="257"/>
        <v/>
      </c>
      <c r="BR17" s="1">
        <f t="shared" si="258"/>
        <v>2</v>
      </c>
      <c r="BS17" s="1">
        <f t="shared" si="259"/>
        <v>0</v>
      </c>
      <c r="BT17" s="1" t="s">
        <v>317</v>
      </c>
      <c r="BU17" s="1">
        <f>IFERROR('IV. MA'!G15,0)</f>
        <v>0</v>
      </c>
      <c r="BV17" s="1">
        <f>IFERROR('IV. MA'!H15,0)</f>
        <v>0</v>
      </c>
    </row>
    <row r="18">
      <c r="A18" s="1" t="s">
        <v>353</v>
      </c>
      <c r="BA18" s="1">
        <v>18</v>
      </c>
      <c r="BB18" s="1">
        <f>IFERROR(VALUE(TRIM(MID('IV. MA'!BS4,9,5))),0)</f>
        <v>18</v>
      </c>
      <c r="BC18" s="1">
        <f>IF(IFERROR(SUBTOTAL(109,MA_18[Angefordert (LC)]),0)&lt;&gt;0,1,0)</f>
        <v>0</v>
      </c>
      <c r="BD18" s="1">
        <f t="shared" si="255"/>
        <v>0</v>
      </c>
      <c r="BE18" s="1" t="str">
        <f t="shared" si="256"/>
        <v/>
      </c>
      <c r="BF18" s="1">
        <f>IFERROR(ROUND(SUBTOTAL(109,MA_18[Angefordert (LC)]),2),0)</f>
        <v>0</v>
      </c>
      <c r="BG18" s="1">
        <f>IFERROR(ROUND(SUBTOTAL(109,MA_18[Angefordert (EUR)]),2),0)</f>
        <v>0</v>
      </c>
      <c r="BH18" s="1">
        <f>IFERROR(ROUND('IV. MA'!BT21+'IV. MA'!BT22,2),0)</f>
        <v>0</v>
      </c>
      <c r="BJ18" s="1">
        <v>18</v>
      </c>
      <c r="BK18" s="1">
        <f>IF((IFERROR(SUBTOTAL(109,Ausgaben_18[Ausgaben (LC)]),0)&lt;&gt;0)+(IFERROR(SUM('III. Finanzberichte'!DR12:DR15),0)&lt;&gt;0)&gt;0,1,0)</f>
        <v>0</v>
      </c>
      <c r="BL18" s="1" t="str">
        <f t="shared" si="257"/>
        <v/>
      </c>
      <c r="BR18" s="1">
        <f t="shared" si="258"/>
        <v>2</v>
      </c>
      <c r="BS18" s="1">
        <f t="shared" si="259"/>
        <v>0</v>
      </c>
      <c r="BT18" s="1" t="s">
        <v>319</v>
      </c>
      <c r="BU18" s="1">
        <f>IFERROR('IV. MA'!G16,0)</f>
        <v>0</v>
      </c>
      <c r="BV18" s="1">
        <f>IFERROR('IV. MA'!H16,0)</f>
        <v>0</v>
      </c>
    </row>
    <row r="19">
      <c r="BR19" s="1">
        <f t="shared" si="258"/>
        <v>2</v>
      </c>
      <c r="BS19" s="1">
        <f t="shared" si="259"/>
        <v>0</v>
      </c>
      <c r="BT19" s="1" t="s">
        <v>321</v>
      </c>
      <c r="BU19" s="1">
        <f>IFERROR('IV. MA'!G17,0)</f>
        <v>0</v>
      </c>
      <c r="BV19" s="1">
        <f>IFERROR('IV. MA'!H17,0)</f>
        <v>0</v>
      </c>
    </row>
    <row r="20">
      <c r="BR20" s="1">
        <f t="shared" si="258"/>
        <v>2</v>
      </c>
      <c r="BS20" s="1">
        <f t="shared" si="259"/>
        <v>0</v>
      </c>
      <c r="BT20" s="1" t="s">
        <v>198</v>
      </c>
      <c r="BU20" s="1">
        <f>IFERROR('IV. MA'!G21,0)</f>
        <v>0</v>
      </c>
      <c r="BV20" s="1">
        <f>IFERROR('IV. MA'!H21,0)</f>
        <v>0</v>
      </c>
    </row>
    <row r="21">
      <c r="BR21" s="1">
        <f t="shared" si="258"/>
        <v>2</v>
      </c>
      <c r="BS21" s="1">
        <f t="shared" si="259"/>
        <v>0</v>
      </c>
      <c r="BT21" s="1" t="s">
        <v>387</v>
      </c>
      <c r="BU21" s="1">
        <f>IFERROR('IV. MA'!G22,0)</f>
        <v>0</v>
      </c>
      <c r="BV21" s="1">
        <f>IFERROR('IV. MA'!H22,0)</f>
        <v>0</v>
      </c>
    </row>
    <row r="22">
      <c r="BR22" s="1">
        <f t="shared" si="258"/>
        <v>2</v>
      </c>
      <c r="BS22" s="1">
        <f t="shared" si="259"/>
        <v>0</v>
      </c>
      <c r="BT22" s="1" t="s">
        <v>204</v>
      </c>
      <c r="BU22" s="1">
        <f>IFERROR('IV. MA'!G25,0)</f>
        <v>0</v>
      </c>
      <c r="BV22" s="1">
        <f>IFERROR('IV. MA'!H25,0)</f>
        <v>0</v>
      </c>
    </row>
    <row r="23">
      <c r="BR23" s="1">
        <f t="shared" ref="BR23:BR33" si="260">$BB$3</f>
        <v>3</v>
      </c>
      <c r="BS23" s="1">
        <f t="shared" ref="BS23:BS33" si="261">$BD$3</f>
        <v>0</v>
      </c>
      <c r="BT23" s="1" t="s">
        <v>212</v>
      </c>
      <c r="BU23" s="1">
        <f>IFERROR('IV. MA'!K10,0)</f>
        <v>0</v>
      </c>
      <c r="BV23" s="1">
        <f>IFERROR('IV. MA'!L10,0)</f>
        <v>0</v>
      </c>
    </row>
    <row r="24">
      <c r="BR24" s="1">
        <f t="shared" si="260"/>
        <v>3</v>
      </c>
      <c r="BS24" s="1">
        <f t="shared" si="261"/>
        <v>0</v>
      </c>
      <c r="BT24" s="1" t="s">
        <v>254</v>
      </c>
      <c r="BU24" s="1">
        <f>IFERROR('IV. MA'!K11,0)</f>
        <v>0</v>
      </c>
      <c r="BV24" s="1">
        <f>IFERROR('IV. MA'!L11,0)</f>
        <v>0</v>
      </c>
    </row>
    <row r="25">
      <c r="BR25" s="1">
        <f t="shared" si="260"/>
        <v>3</v>
      </c>
      <c r="BS25" s="1">
        <f t="shared" si="261"/>
        <v>0</v>
      </c>
      <c r="BT25" s="1" t="s">
        <v>414</v>
      </c>
      <c r="BU25" s="1">
        <f>IFERROR('IV. MA'!K12,0)</f>
        <v>0</v>
      </c>
      <c r="BV25" s="1">
        <f>IFERROR('IV. MA'!L12,0)</f>
        <v>0</v>
      </c>
    </row>
    <row r="26">
      <c r="BR26" s="1">
        <f t="shared" si="260"/>
        <v>3</v>
      </c>
      <c r="BS26" s="1">
        <f t="shared" si="261"/>
        <v>0</v>
      </c>
      <c r="BT26" s="1" t="s">
        <v>275</v>
      </c>
      <c r="BU26" s="1">
        <f>IFERROR('IV. MA'!K13,0)</f>
        <v>0</v>
      </c>
      <c r="BV26" s="1">
        <f>IFERROR('IV. MA'!L13,0)</f>
        <v>0</v>
      </c>
    </row>
    <row r="27">
      <c r="BR27" s="1">
        <f t="shared" si="260"/>
        <v>3</v>
      </c>
      <c r="BS27" s="1">
        <f t="shared" si="261"/>
        <v>0</v>
      </c>
      <c r="BT27" s="1" t="s">
        <v>296</v>
      </c>
      <c r="BU27" s="1">
        <f>IFERROR('IV. MA'!K14,0)</f>
        <v>0</v>
      </c>
      <c r="BV27" s="1">
        <f>IFERROR('IV. MA'!L14,0)</f>
        <v>0</v>
      </c>
    </row>
    <row r="28">
      <c r="BR28" s="1">
        <f t="shared" si="260"/>
        <v>3</v>
      </c>
      <c r="BS28" s="1">
        <f t="shared" si="261"/>
        <v>0</v>
      </c>
      <c r="BT28" s="1" t="s">
        <v>317</v>
      </c>
      <c r="BU28" s="1">
        <f>IFERROR('IV. MA'!K15,0)</f>
        <v>0</v>
      </c>
      <c r="BV28" s="1">
        <f>IFERROR('IV. MA'!L15,0)</f>
        <v>0</v>
      </c>
    </row>
    <row r="29">
      <c r="BR29" s="1">
        <f t="shared" si="260"/>
        <v>3</v>
      </c>
      <c r="BS29" s="1">
        <f t="shared" si="261"/>
        <v>0</v>
      </c>
      <c r="BT29" s="1" t="s">
        <v>319</v>
      </c>
      <c r="BU29" s="1">
        <f>IFERROR('IV. MA'!K16,0)</f>
        <v>0</v>
      </c>
      <c r="BV29" s="1">
        <f>IFERROR('IV. MA'!L16,0)</f>
        <v>0</v>
      </c>
    </row>
    <row r="30">
      <c r="BR30" s="1">
        <f t="shared" si="260"/>
        <v>3</v>
      </c>
      <c r="BS30" s="1">
        <f t="shared" si="261"/>
        <v>0</v>
      </c>
      <c r="BT30" s="1" t="s">
        <v>321</v>
      </c>
      <c r="BU30" s="1">
        <f>IFERROR('IV. MA'!K17,0)</f>
        <v>0</v>
      </c>
      <c r="BV30" s="1">
        <f>IFERROR('IV. MA'!L17,0)</f>
        <v>0</v>
      </c>
    </row>
    <row r="31">
      <c r="BR31" s="1">
        <f t="shared" si="260"/>
        <v>3</v>
      </c>
      <c r="BS31" s="1">
        <f t="shared" si="261"/>
        <v>0</v>
      </c>
      <c r="BT31" s="1" t="s">
        <v>198</v>
      </c>
      <c r="BU31" s="1">
        <f>IFERROR('IV. MA'!K21,0)</f>
        <v>0</v>
      </c>
      <c r="BV31" s="1">
        <f>IFERROR('IV. MA'!L21,0)</f>
        <v>0</v>
      </c>
    </row>
    <row r="32">
      <c r="BR32" s="1">
        <f t="shared" si="260"/>
        <v>3</v>
      </c>
      <c r="BS32" s="1">
        <f t="shared" si="261"/>
        <v>0</v>
      </c>
      <c r="BT32" s="1" t="s">
        <v>387</v>
      </c>
      <c r="BU32" s="1">
        <f>IFERROR('IV. MA'!K22,0)</f>
        <v>0</v>
      </c>
      <c r="BV32" s="1">
        <f>IFERROR('IV. MA'!L22,0)</f>
        <v>0</v>
      </c>
    </row>
    <row r="33">
      <c r="BR33" s="1">
        <f t="shared" si="260"/>
        <v>3</v>
      </c>
      <c r="BS33" s="1">
        <f t="shared" si="261"/>
        <v>0</v>
      </c>
      <c r="BT33" s="1" t="s">
        <v>204</v>
      </c>
      <c r="BU33" s="1">
        <f>IFERROR('IV. MA'!K25,0)</f>
        <v>0</v>
      </c>
      <c r="BV33" s="1">
        <f>IFERROR('IV. MA'!L25,0)</f>
        <v>0</v>
      </c>
    </row>
    <row r="34">
      <c r="BR34" s="1">
        <f t="shared" ref="BR34:BR44" si="262">$BB$4</f>
        <v>4</v>
      </c>
      <c r="BS34" s="1">
        <f t="shared" ref="BS34:BS44" si="263">$BD$4</f>
        <v>0</v>
      </c>
      <c r="BT34" s="1" t="s">
        <v>212</v>
      </c>
      <c r="BU34" s="1">
        <f>IFERROR('IV. MA'!O10,0)</f>
        <v>0</v>
      </c>
      <c r="BV34" s="1">
        <f>IFERROR('IV. MA'!P10,0)</f>
        <v>0</v>
      </c>
    </row>
    <row r="35">
      <c r="BR35" s="1">
        <f t="shared" si="262"/>
        <v>4</v>
      </c>
      <c r="BS35" s="1">
        <f t="shared" si="263"/>
        <v>0</v>
      </c>
      <c r="BT35" s="1" t="s">
        <v>254</v>
      </c>
      <c r="BU35" s="1">
        <f>IFERROR('IV. MA'!O11,0)</f>
        <v>0</v>
      </c>
      <c r="BV35" s="1">
        <f>IFERROR('IV. MA'!P11,0)</f>
        <v>0</v>
      </c>
    </row>
    <row r="36">
      <c r="BR36" s="1">
        <f t="shared" si="262"/>
        <v>4</v>
      </c>
      <c r="BS36" s="1">
        <f t="shared" si="263"/>
        <v>0</v>
      </c>
      <c r="BT36" s="1" t="s">
        <v>414</v>
      </c>
      <c r="BU36" s="1">
        <f>IFERROR('IV. MA'!O12,0)</f>
        <v>0</v>
      </c>
      <c r="BV36" s="1">
        <f>IFERROR('IV. MA'!P12,0)</f>
        <v>0</v>
      </c>
    </row>
    <row r="37">
      <c r="BR37" s="1">
        <f t="shared" si="262"/>
        <v>4</v>
      </c>
      <c r="BS37" s="1">
        <f t="shared" si="263"/>
        <v>0</v>
      </c>
      <c r="BT37" s="1" t="s">
        <v>275</v>
      </c>
      <c r="BU37" s="1">
        <f>IFERROR('IV. MA'!O13,0)</f>
        <v>0</v>
      </c>
      <c r="BV37" s="1">
        <f>IFERROR('IV. MA'!P13,0)</f>
        <v>0</v>
      </c>
    </row>
    <row r="38">
      <c r="BR38" s="1">
        <f t="shared" si="262"/>
        <v>4</v>
      </c>
      <c r="BS38" s="1">
        <f t="shared" si="263"/>
        <v>0</v>
      </c>
      <c r="BT38" s="1" t="s">
        <v>296</v>
      </c>
      <c r="BU38" s="1">
        <f>IFERROR('IV. MA'!O14,0)</f>
        <v>0</v>
      </c>
      <c r="BV38" s="1">
        <f>IFERROR('IV. MA'!P14,0)</f>
        <v>0</v>
      </c>
    </row>
    <row r="39">
      <c r="BR39" s="1">
        <f t="shared" si="262"/>
        <v>4</v>
      </c>
      <c r="BS39" s="1">
        <f t="shared" si="263"/>
        <v>0</v>
      </c>
      <c r="BT39" s="1" t="s">
        <v>317</v>
      </c>
      <c r="BU39" s="1">
        <f>IFERROR('IV. MA'!O15,0)</f>
        <v>0</v>
      </c>
      <c r="BV39" s="1">
        <f>IFERROR('IV. MA'!P15,0)</f>
        <v>0</v>
      </c>
    </row>
    <row r="40">
      <c r="BR40" s="1">
        <f t="shared" si="262"/>
        <v>4</v>
      </c>
      <c r="BS40" s="1">
        <f t="shared" si="263"/>
        <v>0</v>
      </c>
      <c r="BT40" s="1" t="s">
        <v>319</v>
      </c>
      <c r="BU40" s="1">
        <f>IFERROR('IV. MA'!O16,0)</f>
        <v>0</v>
      </c>
      <c r="BV40" s="1">
        <f>IFERROR('IV. MA'!P16,0)</f>
        <v>0</v>
      </c>
    </row>
    <row r="41">
      <c r="BR41" s="1">
        <f t="shared" si="262"/>
        <v>4</v>
      </c>
      <c r="BS41" s="1">
        <f t="shared" si="263"/>
        <v>0</v>
      </c>
      <c r="BT41" s="1" t="s">
        <v>321</v>
      </c>
      <c r="BU41" s="1">
        <f>IFERROR('IV. MA'!O17,0)</f>
        <v>0</v>
      </c>
      <c r="BV41" s="1">
        <f>IFERROR('IV. MA'!P17,0)</f>
        <v>0</v>
      </c>
    </row>
    <row r="42">
      <c r="BR42" s="1">
        <f t="shared" si="262"/>
        <v>4</v>
      </c>
      <c r="BS42" s="1">
        <f t="shared" si="263"/>
        <v>0</v>
      </c>
      <c r="BT42" s="1" t="s">
        <v>198</v>
      </c>
      <c r="BU42" s="1">
        <f>IFERROR('IV. MA'!O21,0)</f>
        <v>0</v>
      </c>
      <c r="BV42" s="1">
        <f>IFERROR('IV. MA'!P21,0)</f>
        <v>0</v>
      </c>
    </row>
    <row r="43">
      <c r="BR43" s="1">
        <f t="shared" si="262"/>
        <v>4</v>
      </c>
      <c r="BS43" s="1">
        <f t="shared" si="263"/>
        <v>0</v>
      </c>
      <c r="BT43" s="1" t="s">
        <v>387</v>
      </c>
      <c r="BU43" s="1">
        <f>IFERROR('IV. MA'!O22,0)</f>
        <v>0</v>
      </c>
      <c r="BV43" s="1">
        <f>IFERROR('IV. MA'!P22,0)</f>
        <v>0</v>
      </c>
    </row>
    <row r="44">
      <c r="BR44" s="1">
        <f t="shared" si="262"/>
        <v>4</v>
      </c>
      <c r="BS44" s="1">
        <f t="shared" si="263"/>
        <v>0</v>
      </c>
      <c r="BT44" s="1" t="s">
        <v>204</v>
      </c>
      <c r="BU44" s="1">
        <f>IFERROR('IV. MA'!O25,0)</f>
        <v>0</v>
      </c>
      <c r="BV44" s="1">
        <f>IFERROR('IV. MA'!P25,0)</f>
        <v>0</v>
      </c>
    </row>
    <row r="45">
      <c r="BR45" s="1">
        <f t="shared" ref="BR45:BR55" si="264">$BB$5</f>
        <v>5</v>
      </c>
      <c r="BS45" s="1">
        <f t="shared" ref="BS45:BS55" si="265">$BD$5</f>
        <v>0</v>
      </c>
      <c r="BT45" s="1" t="s">
        <v>212</v>
      </c>
      <c r="BU45" s="1">
        <f>IFERROR('IV. MA'!S10,0)</f>
        <v>0</v>
      </c>
      <c r="BV45" s="1">
        <f>IFERROR('IV. MA'!T10,0)</f>
        <v>0</v>
      </c>
    </row>
    <row r="46">
      <c r="BR46" s="1">
        <f t="shared" si="264"/>
        <v>5</v>
      </c>
      <c r="BS46" s="1">
        <f t="shared" si="265"/>
        <v>0</v>
      </c>
      <c r="BT46" s="1" t="s">
        <v>254</v>
      </c>
      <c r="BU46" s="1">
        <f>IFERROR('IV. MA'!S11,0)</f>
        <v>0</v>
      </c>
      <c r="BV46" s="1">
        <f>IFERROR('IV. MA'!T11,0)</f>
        <v>0</v>
      </c>
    </row>
    <row r="47">
      <c r="BR47" s="1">
        <f t="shared" si="264"/>
        <v>5</v>
      </c>
      <c r="BS47" s="1">
        <f t="shared" si="265"/>
        <v>0</v>
      </c>
      <c r="BT47" s="1" t="s">
        <v>414</v>
      </c>
      <c r="BU47" s="1">
        <f>IFERROR('IV. MA'!S12,0)</f>
        <v>0</v>
      </c>
      <c r="BV47" s="1">
        <f>IFERROR('IV. MA'!T12,0)</f>
        <v>0</v>
      </c>
    </row>
    <row r="48">
      <c r="BR48" s="1">
        <f t="shared" si="264"/>
        <v>5</v>
      </c>
      <c r="BS48" s="1">
        <f t="shared" si="265"/>
        <v>0</v>
      </c>
      <c r="BT48" s="1" t="s">
        <v>275</v>
      </c>
      <c r="BU48" s="1">
        <f>IFERROR('IV. MA'!S13,0)</f>
        <v>0</v>
      </c>
      <c r="BV48" s="1">
        <f>IFERROR('IV. MA'!T13,0)</f>
        <v>0</v>
      </c>
    </row>
    <row r="49">
      <c r="BR49" s="1">
        <f t="shared" si="264"/>
        <v>5</v>
      </c>
      <c r="BS49" s="1">
        <f t="shared" si="265"/>
        <v>0</v>
      </c>
      <c r="BT49" s="1" t="s">
        <v>296</v>
      </c>
      <c r="BU49" s="1">
        <f>IFERROR('IV. MA'!S14,0)</f>
        <v>0</v>
      </c>
      <c r="BV49" s="1">
        <f>IFERROR('IV. MA'!T14,0)</f>
        <v>0</v>
      </c>
    </row>
    <row r="50">
      <c r="BR50" s="1">
        <f t="shared" si="264"/>
        <v>5</v>
      </c>
      <c r="BS50" s="1">
        <f t="shared" si="265"/>
        <v>0</v>
      </c>
      <c r="BT50" s="1" t="s">
        <v>317</v>
      </c>
      <c r="BU50" s="1">
        <f>IFERROR('IV. MA'!S15,0)</f>
        <v>0</v>
      </c>
      <c r="BV50" s="1">
        <f>IFERROR('IV. MA'!T15,0)</f>
        <v>0</v>
      </c>
    </row>
    <row r="51">
      <c r="BR51" s="1">
        <f t="shared" si="264"/>
        <v>5</v>
      </c>
      <c r="BS51" s="1">
        <f t="shared" si="265"/>
        <v>0</v>
      </c>
      <c r="BT51" s="1" t="s">
        <v>319</v>
      </c>
      <c r="BU51" s="1">
        <f>IFERROR('IV. MA'!S16,0)</f>
        <v>0</v>
      </c>
      <c r="BV51" s="1">
        <f>IFERROR('IV. MA'!T16,0)</f>
        <v>0</v>
      </c>
    </row>
    <row r="52">
      <c r="BR52" s="1">
        <f t="shared" si="264"/>
        <v>5</v>
      </c>
      <c r="BS52" s="1">
        <f t="shared" si="265"/>
        <v>0</v>
      </c>
      <c r="BT52" s="1" t="s">
        <v>321</v>
      </c>
      <c r="BU52" s="1">
        <f>IFERROR('IV. MA'!S17,0)</f>
        <v>0</v>
      </c>
      <c r="BV52" s="1">
        <f>IFERROR('IV. MA'!T17,0)</f>
        <v>0</v>
      </c>
    </row>
    <row r="53">
      <c r="BR53" s="1">
        <f t="shared" si="264"/>
        <v>5</v>
      </c>
      <c r="BS53" s="1">
        <f t="shared" si="265"/>
        <v>0</v>
      </c>
      <c r="BT53" s="1" t="s">
        <v>198</v>
      </c>
      <c r="BU53" s="1">
        <f>IFERROR('IV. MA'!S21,0)</f>
        <v>0</v>
      </c>
      <c r="BV53" s="1">
        <f>IFERROR('IV. MA'!T21,0)</f>
        <v>0</v>
      </c>
    </row>
    <row r="54">
      <c r="BR54" s="1">
        <f t="shared" si="264"/>
        <v>5</v>
      </c>
      <c r="BS54" s="1">
        <f t="shared" si="265"/>
        <v>0</v>
      </c>
      <c r="BT54" s="1" t="s">
        <v>387</v>
      </c>
      <c r="BU54" s="1">
        <f>IFERROR('IV. MA'!S22,0)</f>
        <v>0</v>
      </c>
      <c r="BV54" s="1">
        <f>IFERROR('IV. MA'!T22,0)</f>
        <v>0</v>
      </c>
    </row>
    <row r="55">
      <c r="BR55" s="1">
        <f t="shared" si="264"/>
        <v>5</v>
      </c>
      <c r="BS55" s="1">
        <f t="shared" si="265"/>
        <v>0</v>
      </c>
      <c r="BT55" s="1" t="s">
        <v>204</v>
      </c>
      <c r="BU55" s="1">
        <f>IFERROR('IV. MA'!S25,0)</f>
        <v>0</v>
      </c>
      <c r="BV55" s="1">
        <f>IFERROR('IV. MA'!T25,0)</f>
        <v>0</v>
      </c>
    </row>
    <row r="56">
      <c r="BR56" s="1">
        <f t="shared" ref="BR56:BR66" si="266">$BB$6</f>
        <v>6</v>
      </c>
      <c r="BS56" s="1">
        <f t="shared" ref="BS56:BS66" si="267">$BD$6</f>
        <v>0</v>
      </c>
      <c r="BT56" s="1" t="s">
        <v>212</v>
      </c>
      <c r="BU56" s="1">
        <f>IFERROR('IV. MA'!W10,0)</f>
        <v>0</v>
      </c>
      <c r="BV56" s="1">
        <f>IFERROR('IV. MA'!X10,0)</f>
        <v>0</v>
      </c>
    </row>
    <row r="57">
      <c r="BR57" s="1">
        <f t="shared" si="266"/>
        <v>6</v>
      </c>
      <c r="BS57" s="1">
        <f t="shared" si="267"/>
        <v>0</v>
      </c>
      <c r="BT57" s="1" t="s">
        <v>254</v>
      </c>
      <c r="BU57" s="1">
        <f>IFERROR('IV. MA'!W11,0)</f>
        <v>0</v>
      </c>
      <c r="BV57" s="1">
        <f>IFERROR('IV. MA'!X11,0)</f>
        <v>0</v>
      </c>
    </row>
    <row r="58">
      <c r="BR58" s="1">
        <f t="shared" si="266"/>
        <v>6</v>
      </c>
      <c r="BS58" s="1">
        <f t="shared" si="267"/>
        <v>0</v>
      </c>
      <c r="BT58" s="1" t="s">
        <v>414</v>
      </c>
      <c r="BU58" s="1">
        <f>IFERROR('IV. MA'!W12,0)</f>
        <v>0</v>
      </c>
      <c r="BV58" s="1">
        <f>IFERROR('IV. MA'!X12,0)</f>
        <v>0</v>
      </c>
    </row>
    <row r="59">
      <c r="BR59" s="1">
        <f t="shared" si="266"/>
        <v>6</v>
      </c>
      <c r="BS59" s="1">
        <f t="shared" si="267"/>
        <v>0</v>
      </c>
      <c r="BT59" s="1" t="s">
        <v>275</v>
      </c>
      <c r="BU59" s="1">
        <f>IFERROR('IV. MA'!W13,0)</f>
        <v>0</v>
      </c>
      <c r="BV59" s="1">
        <f>IFERROR('IV. MA'!X13,0)</f>
        <v>0</v>
      </c>
    </row>
    <row r="60">
      <c r="BR60" s="1">
        <f t="shared" si="266"/>
        <v>6</v>
      </c>
      <c r="BS60" s="1">
        <f t="shared" si="267"/>
        <v>0</v>
      </c>
      <c r="BT60" s="1" t="s">
        <v>296</v>
      </c>
      <c r="BU60" s="1">
        <f>IFERROR('IV. MA'!W14,0)</f>
        <v>0</v>
      </c>
      <c r="BV60" s="1">
        <f>IFERROR('IV. MA'!X14,0)</f>
        <v>0</v>
      </c>
    </row>
    <row r="61">
      <c r="BR61" s="1">
        <f t="shared" si="266"/>
        <v>6</v>
      </c>
      <c r="BS61" s="1">
        <f t="shared" si="267"/>
        <v>0</v>
      </c>
      <c r="BT61" s="1" t="s">
        <v>317</v>
      </c>
      <c r="BU61" s="1">
        <f>IFERROR('IV. MA'!W15,0)</f>
        <v>0</v>
      </c>
      <c r="BV61" s="1">
        <f>IFERROR('IV. MA'!X15,0)</f>
        <v>0</v>
      </c>
    </row>
    <row r="62">
      <c r="BR62" s="1">
        <f t="shared" si="266"/>
        <v>6</v>
      </c>
      <c r="BS62" s="1">
        <f t="shared" si="267"/>
        <v>0</v>
      </c>
      <c r="BT62" s="1" t="s">
        <v>319</v>
      </c>
      <c r="BU62" s="1">
        <f>IFERROR('IV. MA'!W16,0)</f>
        <v>0</v>
      </c>
      <c r="BV62" s="1">
        <f>IFERROR('IV. MA'!X16,0)</f>
        <v>0</v>
      </c>
    </row>
    <row r="63">
      <c r="BR63" s="1">
        <f t="shared" si="266"/>
        <v>6</v>
      </c>
      <c r="BS63" s="1">
        <f t="shared" si="267"/>
        <v>0</v>
      </c>
      <c r="BT63" s="1" t="s">
        <v>321</v>
      </c>
      <c r="BU63" s="1">
        <f>IFERROR('IV. MA'!W17,0)</f>
        <v>0</v>
      </c>
      <c r="BV63" s="1">
        <f>IFERROR('IV. MA'!X17,0)</f>
        <v>0</v>
      </c>
    </row>
    <row r="64">
      <c r="BR64" s="1">
        <f t="shared" si="266"/>
        <v>6</v>
      </c>
      <c r="BS64" s="1">
        <f t="shared" si="267"/>
        <v>0</v>
      </c>
      <c r="BT64" s="1" t="s">
        <v>198</v>
      </c>
      <c r="BU64" s="1">
        <f>IFERROR('IV. MA'!W21,0)</f>
        <v>0</v>
      </c>
      <c r="BV64" s="1">
        <f>IFERROR('IV. MA'!X21,0)</f>
        <v>0</v>
      </c>
    </row>
    <row r="65">
      <c r="BR65" s="1">
        <f t="shared" si="266"/>
        <v>6</v>
      </c>
      <c r="BS65" s="1">
        <f t="shared" si="267"/>
        <v>0</v>
      </c>
      <c r="BT65" s="1" t="s">
        <v>387</v>
      </c>
      <c r="BU65" s="1">
        <f>IFERROR('IV. MA'!W22,0)</f>
        <v>0</v>
      </c>
      <c r="BV65" s="1">
        <f>IFERROR('IV. MA'!X22,0)</f>
        <v>0</v>
      </c>
    </row>
    <row r="66">
      <c r="BR66" s="1">
        <f t="shared" si="266"/>
        <v>6</v>
      </c>
      <c r="BS66" s="1">
        <f t="shared" si="267"/>
        <v>0</v>
      </c>
      <c r="BT66" s="1" t="s">
        <v>204</v>
      </c>
      <c r="BU66" s="1">
        <f>IFERROR('IV. MA'!W25,0)</f>
        <v>0</v>
      </c>
      <c r="BV66" s="1">
        <f>IFERROR('IV. MA'!X25,0)</f>
        <v>0</v>
      </c>
    </row>
    <row r="67">
      <c r="BR67" s="1">
        <f t="shared" ref="BR67:BR77" si="268">$BB$7</f>
        <v>7</v>
      </c>
      <c r="BS67" s="1">
        <f t="shared" ref="BS67:BS77" si="269">$BD$7</f>
        <v>0</v>
      </c>
      <c r="BT67" s="1" t="s">
        <v>212</v>
      </c>
      <c r="BU67" s="1">
        <f>IFERROR('IV. MA'!AA10,0)</f>
        <v>0</v>
      </c>
      <c r="BV67" s="1">
        <f>IFERROR('IV. MA'!AB10,0)</f>
        <v>0</v>
      </c>
    </row>
    <row r="68">
      <c r="BR68" s="1">
        <f t="shared" si="268"/>
        <v>7</v>
      </c>
      <c r="BS68" s="1">
        <f t="shared" si="269"/>
        <v>0</v>
      </c>
      <c r="BT68" s="1" t="s">
        <v>254</v>
      </c>
      <c r="BU68" s="1">
        <f>IFERROR('IV. MA'!AA11,0)</f>
        <v>0</v>
      </c>
      <c r="BV68" s="1">
        <f>IFERROR('IV. MA'!AB11,0)</f>
        <v>0</v>
      </c>
    </row>
    <row r="69">
      <c r="BR69" s="1">
        <f t="shared" si="268"/>
        <v>7</v>
      </c>
      <c r="BS69" s="1">
        <f t="shared" si="269"/>
        <v>0</v>
      </c>
      <c r="BT69" s="1" t="s">
        <v>414</v>
      </c>
      <c r="BU69" s="1">
        <f>IFERROR('IV. MA'!AA12,0)</f>
        <v>0</v>
      </c>
      <c r="BV69" s="1">
        <f>IFERROR('IV. MA'!AB12,0)</f>
        <v>0</v>
      </c>
    </row>
    <row r="70">
      <c r="BR70" s="1">
        <f t="shared" si="268"/>
        <v>7</v>
      </c>
      <c r="BS70" s="1">
        <f t="shared" si="269"/>
        <v>0</v>
      </c>
      <c r="BT70" s="1" t="s">
        <v>275</v>
      </c>
      <c r="BU70" s="1">
        <f>IFERROR('IV. MA'!AA13,0)</f>
        <v>0</v>
      </c>
      <c r="BV70" s="1">
        <f>IFERROR('IV. MA'!AB13,0)</f>
        <v>0</v>
      </c>
    </row>
    <row r="71">
      <c r="BR71" s="1">
        <f t="shared" si="268"/>
        <v>7</v>
      </c>
      <c r="BS71" s="1">
        <f t="shared" si="269"/>
        <v>0</v>
      </c>
      <c r="BT71" s="1" t="s">
        <v>296</v>
      </c>
      <c r="BU71" s="1">
        <f>IFERROR('IV. MA'!AA14,0)</f>
        <v>0</v>
      </c>
      <c r="BV71" s="1">
        <f>IFERROR('IV. MA'!AB14,0)</f>
        <v>0</v>
      </c>
    </row>
    <row r="72">
      <c r="BR72" s="1">
        <f t="shared" si="268"/>
        <v>7</v>
      </c>
      <c r="BS72" s="1">
        <f t="shared" si="269"/>
        <v>0</v>
      </c>
      <c r="BT72" s="1" t="s">
        <v>317</v>
      </c>
      <c r="BU72" s="1">
        <f>IFERROR('IV. MA'!AA15,0)</f>
        <v>0</v>
      </c>
      <c r="BV72" s="1">
        <f>IFERROR('IV. MA'!AB15,0)</f>
        <v>0</v>
      </c>
    </row>
    <row r="73">
      <c r="BR73" s="1">
        <f t="shared" si="268"/>
        <v>7</v>
      </c>
      <c r="BS73" s="1">
        <f t="shared" si="269"/>
        <v>0</v>
      </c>
      <c r="BT73" s="1" t="s">
        <v>319</v>
      </c>
      <c r="BU73" s="1">
        <f>IFERROR('IV. MA'!AA16,0)</f>
        <v>0</v>
      </c>
      <c r="BV73" s="1">
        <f>IFERROR('IV. MA'!AB16,0)</f>
        <v>0</v>
      </c>
    </row>
    <row r="74">
      <c r="BR74" s="1">
        <f t="shared" si="268"/>
        <v>7</v>
      </c>
      <c r="BS74" s="1">
        <f t="shared" si="269"/>
        <v>0</v>
      </c>
      <c r="BT74" s="1" t="s">
        <v>321</v>
      </c>
      <c r="BU74" s="1">
        <f>IFERROR('IV. MA'!AA17,0)</f>
        <v>0</v>
      </c>
      <c r="BV74" s="1">
        <f>IFERROR('IV. MA'!AB17,0)</f>
        <v>0</v>
      </c>
    </row>
    <row r="75">
      <c r="BR75" s="1">
        <f t="shared" si="268"/>
        <v>7</v>
      </c>
      <c r="BS75" s="1">
        <f t="shared" si="269"/>
        <v>0</v>
      </c>
      <c r="BT75" s="1" t="s">
        <v>198</v>
      </c>
      <c r="BU75" s="1">
        <f>IFERROR('IV. MA'!AA21,0)</f>
        <v>0</v>
      </c>
      <c r="BV75" s="1">
        <f>IFERROR('IV. MA'!AB21,0)</f>
        <v>0</v>
      </c>
    </row>
    <row r="76">
      <c r="BR76" s="1">
        <f t="shared" si="268"/>
        <v>7</v>
      </c>
      <c r="BS76" s="1">
        <f t="shared" si="269"/>
        <v>0</v>
      </c>
      <c r="BT76" s="1" t="s">
        <v>387</v>
      </c>
      <c r="BU76" s="1">
        <f>IFERROR('IV. MA'!AA22,0)</f>
        <v>0</v>
      </c>
      <c r="BV76" s="1">
        <f>IFERROR('IV. MA'!AB22,0)</f>
        <v>0</v>
      </c>
    </row>
    <row r="77">
      <c r="BR77" s="1">
        <f t="shared" si="268"/>
        <v>7</v>
      </c>
      <c r="BS77" s="1">
        <f t="shared" si="269"/>
        <v>0</v>
      </c>
      <c r="BT77" s="1" t="s">
        <v>204</v>
      </c>
      <c r="BU77" s="1">
        <f>IFERROR('IV. MA'!AA25,0)</f>
        <v>0</v>
      </c>
      <c r="BV77" s="1">
        <f>IFERROR('IV. MA'!AB25,0)</f>
        <v>0</v>
      </c>
    </row>
    <row r="78">
      <c r="BR78" s="1">
        <f t="shared" ref="BR78:BR88" si="270">$BB$8</f>
        <v>8</v>
      </c>
      <c r="BS78" s="1">
        <f t="shared" ref="BS78:BS88" si="271">$BD$8</f>
        <v>0</v>
      </c>
      <c r="BT78" s="1" t="s">
        <v>212</v>
      </c>
      <c r="BU78" s="1">
        <f>IFERROR('IV. MA'!AE10,0)</f>
        <v>0</v>
      </c>
      <c r="BV78" s="1">
        <f>IFERROR('IV. MA'!AF10,0)</f>
        <v>0</v>
      </c>
    </row>
    <row r="79">
      <c r="BR79" s="1">
        <f t="shared" si="270"/>
        <v>8</v>
      </c>
      <c r="BS79" s="1">
        <f t="shared" si="271"/>
        <v>0</v>
      </c>
      <c r="BT79" s="1" t="s">
        <v>254</v>
      </c>
      <c r="BU79" s="1">
        <f>IFERROR('IV. MA'!AE11,0)</f>
        <v>0</v>
      </c>
      <c r="BV79" s="1">
        <f>IFERROR('IV. MA'!AF11,0)</f>
        <v>0</v>
      </c>
    </row>
    <row r="80">
      <c r="BR80" s="1">
        <f t="shared" si="270"/>
        <v>8</v>
      </c>
      <c r="BS80" s="1">
        <f t="shared" si="271"/>
        <v>0</v>
      </c>
      <c r="BT80" s="1" t="s">
        <v>414</v>
      </c>
      <c r="BU80" s="1">
        <f>IFERROR('IV. MA'!AE12,0)</f>
        <v>0</v>
      </c>
      <c r="BV80" s="1">
        <f>IFERROR('IV. MA'!AF12,0)</f>
        <v>0</v>
      </c>
    </row>
    <row r="81">
      <c r="BR81" s="1">
        <f t="shared" si="270"/>
        <v>8</v>
      </c>
      <c r="BS81" s="1">
        <f t="shared" si="271"/>
        <v>0</v>
      </c>
      <c r="BT81" s="1" t="s">
        <v>275</v>
      </c>
      <c r="BU81" s="1">
        <f>IFERROR('IV. MA'!AE13,0)</f>
        <v>0</v>
      </c>
      <c r="BV81" s="1">
        <f>IFERROR('IV. MA'!AF13,0)</f>
        <v>0</v>
      </c>
    </row>
    <row r="82">
      <c r="BR82" s="1">
        <f t="shared" si="270"/>
        <v>8</v>
      </c>
      <c r="BS82" s="1">
        <f t="shared" si="271"/>
        <v>0</v>
      </c>
      <c r="BT82" s="1" t="s">
        <v>296</v>
      </c>
      <c r="BU82" s="1">
        <f>IFERROR('IV. MA'!AE14,0)</f>
        <v>0</v>
      </c>
      <c r="BV82" s="1">
        <f>IFERROR('IV. MA'!AF14,0)</f>
        <v>0</v>
      </c>
    </row>
    <row r="83">
      <c r="BR83" s="1">
        <f t="shared" si="270"/>
        <v>8</v>
      </c>
      <c r="BS83" s="1">
        <f t="shared" si="271"/>
        <v>0</v>
      </c>
      <c r="BT83" s="1" t="s">
        <v>317</v>
      </c>
      <c r="BU83" s="1">
        <f>IFERROR('IV. MA'!AE15,0)</f>
        <v>0</v>
      </c>
      <c r="BV83" s="1">
        <f>IFERROR('IV. MA'!AF15,0)</f>
        <v>0</v>
      </c>
    </row>
    <row r="84">
      <c r="BR84" s="1">
        <f t="shared" si="270"/>
        <v>8</v>
      </c>
      <c r="BS84" s="1">
        <f t="shared" si="271"/>
        <v>0</v>
      </c>
      <c r="BT84" s="1" t="s">
        <v>319</v>
      </c>
      <c r="BU84" s="1">
        <f>IFERROR('IV. MA'!AE16,0)</f>
        <v>0</v>
      </c>
      <c r="BV84" s="1">
        <f>IFERROR('IV. MA'!AF16,0)</f>
        <v>0</v>
      </c>
    </row>
    <row r="85">
      <c r="BR85" s="1">
        <f t="shared" si="270"/>
        <v>8</v>
      </c>
      <c r="BS85" s="1">
        <f t="shared" si="271"/>
        <v>0</v>
      </c>
      <c r="BT85" s="1" t="s">
        <v>321</v>
      </c>
      <c r="BU85" s="1">
        <f>IFERROR('IV. MA'!AE17,0)</f>
        <v>0</v>
      </c>
      <c r="BV85" s="1">
        <f>IFERROR('IV. MA'!AF17,0)</f>
        <v>0</v>
      </c>
    </row>
    <row r="86">
      <c r="BR86" s="1">
        <f t="shared" si="270"/>
        <v>8</v>
      </c>
      <c r="BS86" s="1">
        <f t="shared" si="271"/>
        <v>0</v>
      </c>
      <c r="BT86" s="1" t="s">
        <v>198</v>
      </c>
      <c r="BU86" s="1">
        <f>IFERROR('IV. MA'!AE21,0)</f>
        <v>0</v>
      </c>
      <c r="BV86" s="1">
        <f>IFERROR('IV. MA'!AF21,0)</f>
        <v>0</v>
      </c>
    </row>
    <row r="87">
      <c r="BR87" s="1">
        <f t="shared" si="270"/>
        <v>8</v>
      </c>
      <c r="BS87" s="1">
        <f t="shared" si="271"/>
        <v>0</v>
      </c>
      <c r="BT87" s="1" t="s">
        <v>387</v>
      </c>
      <c r="BU87" s="1">
        <f>IFERROR('IV. MA'!AE22,0)</f>
        <v>0</v>
      </c>
      <c r="BV87" s="1">
        <f>IFERROR('IV. MA'!AF22,0)</f>
        <v>0</v>
      </c>
    </row>
    <row r="88">
      <c r="BR88" s="1">
        <f t="shared" si="270"/>
        <v>8</v>
      </c>
      <c r="BS88" s="1">
        <f t="shared" si="271"/>
        <v>0</v>
      </c>
      <c r="BT88" s="1" t="s">
        <v>204</v>
      </c>
      <c r="BU88" s="1">
        <f>IFERROR('IV. MA'!AE25,0)</f>
        <v>0</v>
      </c>
      <c r="BV88" s="1">
        <f>IFERROR('IV. MA'!AF25,0)</f>
        <v>0</v>
      </c>
    </row>
    <row r="89">
      <c r="BR89" s="1">
        <f t="shared" ref="BR89:BR99" si="272">$BB$9</f>
        <v>9</v>
      </c>
      <c r="BS89" s="1">
        <f t="shared" ref="BS89:BS99" si="273">$BD$9</f>
        <v>0</v>
      </c>
      <c r="BT89" s="1" t="s">
        <v>212</v>
      </c>
      <c r="BU89" s="1">
        <f>IFERROR('IV. MA'!AI10,0)</f>
        <v>0</v>
      </c>
      <c r="BV89" s="1">
        <f>IFERROR('IV. MA'!AJ10,0)</f>
        <v>0</v>
      </c>
    </row>
    <row r="90">
      <c r="BR90" s="1">
        <f t="shared" si="272"/>
        <v>9</v>
      </c>
      <c r="BS90" s="1">
        <f t="shared" si="273"/>
        <v>0</v>
      </c>
      <c r="BT90" s="1" t="s">
        <v>254</v>
      </c>
      <c r="BU90" s="1">
        <f>IFERROR('IV. MA'!AI11,0)</f>
        <v>0</v>
      </c>
      <c r="BV90" s="1">
        <f>IFERROR('IV. MA'!AJ11,0)</f>
        <v>0</v>
      </c>
    </row>
    <row r="91">
      <c r="BR91" s="1">
        <f t="shared" si="272"/>
        <v>9</v>
      </c>
      <c r="BS91" s="1">
        <f t="shared" si="273"/>
        <v>0</v>
      </c>
      <c r="BT91" s="1" t="s">
        <v>414</v>
      </c>
      <c r="BU91" s="1">
        <f>IFERROR('IV. MA'!AI12,0)</f>
        <v>0</v>
      </c>
      <c r="BV91" s="1">
        <f>IFERROR('IV. MA'!AJ12,0)</f>
        <v>0</v>
      </c>
    </row>
    <row r="92">
      <c r="BR92" s="1">
        <f t="shared" si="272"/>
        <v>9</v>
      </c>
      <c r="BS92" s="1">
        <f t="shared" si="273"/>
        <v>0</v>
      </c>
      <c r="BT92" s="1" t="s">
        <v>275</v>
      </c>
      <c r="BU92" s="1">
        <f>IFERROR('IV. MA'!AI13,0)</f>
        <v>0</v>
      </c>
      <c r="BV92" s="1">
        <f>IFERROR('IV. MA'!AJ13,0)</f>
        <v>0</v>
      </c>
    </row>
    <row r="93">
      <c r="BR93" s="1">
        <f t="shared" si="272"/>
        <v>9</v>
      </c>
      <c r="BS93" s="1">
        <f t="shared" si="273"/>
        <v>0</v>
      </c>
      <c r="BT93" s="1" t="s">
        <v>296</v>
      </c>
      <c r="BU93" s="1">
        <f>IFERROR('IV. MA'!AI14,0)</f>
        <v>0</v>
      </c>
      <c r="BV93" s="1">
        <f>IFERROR('IV. MA'!AJ14,0)</f>
        <v>0</v>
      </c>
    </row>
    <row r="94">
      <c r="BR94" s="1">
        <f t="shared" si="272"/>
        <v>9</v>
      </c>
      <c r="BS94" s="1">
        <f t="shared" si="273"/>
        <v>0</v>
      </c>
      <c r="BT94" s="1" t="s">
        <v>317</v>
      </c>
      <c r="BU94" s="1">
        <f>IFERROR('IV. MA'!AI15,0)</f>
        <v>0</v>
      </c>
      <c r="BV94" s="1">
        <f>IFERROR('IV. MA'!AJ15,0)</f>
        <v>0</v>
      </c>
    </row>
    <row r="95">
      <c r="BR95" s="1">
        <f t="shared" si="272"/>
        <v>9</v>
      </c>
      <c r="BS95" s="1">
        <f t="shared" si="273"/>
        <v>0</v>
      </c>
      <c r="BT95" s="1" t="s">
        <v>319</v>
      </c>
      <c r="BU95" s="1">
        <f>IFERROR('IV. MA'!AI16,0)</f>
        <v>0</v>
      </c>
      <c r="BV95" s="1">
        <f>IFERROR('IV. MA'!AJ16,0)</f>
        <v>0</v>
      </c>
    </row>
    <row r="96">
      <c r="BR96" s="1">
        <f t="shared" si="272"/>
        <v>9</v>
      </c>
      <c r="BS96" s="1">
        <f t="shared" si="273"/>
        <v>0</v>
      </c>
      <c r="BT96" s="1" t="s">
        <v>321</v>
      </c>
      <c r="BU96" s="1">
        <f>IFERROR('IV. MA'!AI17,0)</f>
        <v>0</v>
      </c>
      <c r="BV96" s="1">
        <f>IFERROR('IV. MA'!AJ17,0)</f>
        <v>0</v>
      </c>
    </row>
    <row r="97">
      <c r="BR97" s="1">
        <f t="shared" si="272"/>
        <v>9</v>
      </c>
      <c r="BS97" s="1">
        <f t="shared" si="273"/>
        <v>0</v>
      </c>
      <c r="BT97" s="1" t="s">
        <v>198</v>
      </c>
      <c r="BU97" s="1">
        <f>IFERROR('IV. MA'!AI21,0)</f>
        <v>0</v>
      </c>
      <c r="BV97" s="1">
        <f>IFERROR('IV. MA'!AJ21,0)</f>
        <v>0</v>
      </c>
    </row>
    <row r="98">
      <c r="BR98" s="1">
        <f t="shared" si="272"/>
        <v>9</v>
      </c>
      <c r="BS98" s="1">
        <f t="shared" si="273"/>
        <v>0</v>
      </c>
      <c r="BT98" s="1" t="s">
        <v>387</v>
      </c>
      <c r="BU98" s="1">
        <f>IFERROR('IV. MA'!AI22,0)</f>
        <v>0</v>
      </c>
      <c r="BV98" s="1">
        <f>IFERROR('IV. MA'!AJ22,0)</f>
        <v>0</v>
      </c>
    </row>
    <row r="99">
      <c r="BR99" s="1">
        <f t="shared" si="272"/>
        <v>9</v>
      </c>
      <c r="BS99" s="1">
        <f t="shared" si="273"/>
        <v>0</v>
      </c>
      <c r="BT99" s="1" t="s">
        <v>204</v>
      </c>
      <c r="BU99" s="1">
        <f>IFERROR('IV. MA'!AI25,0)</f>
        <v>0</v>
      </c>
      <c r="BV99" s="1">
        <f>IFERROR('IV. MA'!AJ25,0)</f>
        <v>0</v>
      </c>
    </row>
    <row r="100">
      <c r="BR100" s="1">
        <f t="shared" ref="BR100:BR110" si="274">$BB$10</f>
        <v>10</v>
      </c>
      <c r="BS100" s="1">
        <f t="shared" ref="BS100:BS110" si="275">$BD$10</f>
        <v>0</v>
      </c>
      <c r="BT100" s="1" t="s">
        <v>212</v>
      </c>
      <c r="BU100" s="1">
        <f>IFERROR('IV. MA'!AM10,0)</f>
        <v>0</v>
      </c>
      <c r="BV100" s="1">
        <f>IFERROR('IV. MA'!AN10,0)</f>
        <v>0</v>
      </c>
    </row>
    <row r="101">
      <c r="BR101" s="1">
        <f t="shared" si="274"/>
        <v>10</v>
      </c>
      <c r="BS101" s="1">
        <f t="shared" si="275"/>
        <v>0</v>
      </c>
      <c r="BT101" s="1" t="s">
        <v>254</v>
      </c>
      <c r="BU101" s="1">
        <f>IFERROR('IV. MA'!AM11,0)</f>
        <v>0</v>
      </c>
      <c r="BV101" s="1">
        <f>IFERROR('IV. MA'!AN11,0)</f>
        <v>0</v>
      </c>
    </row>
    <row r="102">
      <c r="BR102" s="1">
        <f t="shared" si="274"/>
        <v>10</v>
      </c>
      <c r="BS102" s="1">
        <f t="shared" si="275"/>
        <v>0</v>
      </c>
      <c r="BT102" s="1" t="s">
        <v>414</v>
      </c>
      <c r="BU102" s="1">
        <f>IFERROR('IV. MA'!AM12,0)</f>
        <v>0</v>
      </c>
      <c r="BV102" s="1">
        <f>IFERROR('IV. MA'!AN12,0)</f>
        <v>0</v>
      </c>
    </row>
    <row r="103">
      <c r="BR103" s="1">
        <f t="shared" si="274"/>
        <v>10</v>
      </c>
      <c r="BS103" s="1">
        <f t="shared" si="275"/>
        <v>0</v>
      </c>
      <c r="BT103" s="1" t="s">
        <v>275</v>
      </c>
      <c r="BU103" s="1">
        <f>IFERROR('IV. MA'!AM13,0)</f>
        <v>0</v>
      </c>
      <c r="BV103" s="1">
        <f>IFERROR('IV. MA'!AN13,0)</f>
        <v>0</v>
      </c>
    </row>
    <row r="104">
      <c r="BR104" s="1">
        <f t="shared" si="274"/>
        <v>10</v>
      </c>
      <c r="BS104" s="1">
        <f t="shared" si="275"/>
        <v>0</v>
      </c>
      <c r="BT104" s="1" t="s">
        <v>296</v>
      </c>
      <c r="BU104" s="1">
        <f>IFERROR('IV. MA'!AM14,0)</f>
        <v>0</v>
      </c>
      <c r="BV104" s="1">
        <f>IFERROR('IV. MA'!AN14,0)</f>
        <v>0</v>
      </c>
    </row>
    <row r="105">
      <c r="BR105" s="1">
        <f t="shared" si="274"/>
        <v>10</v>
      </c>
      <c r="BS105" s="1">
        <f t="shared" si="275"/>
        <v>0</v>
      </c>
      <c r="BT105" s="1" t="s">
        <v>317</v>
      </c>
      <c r="BU105" s="1">
        <f>IFERROR('IV. MA'!AM15,0)</f>
        <v>0</v>
      </c>
      <c r="BV105" s="1">
        <f>IFERROR('IV. MA'!AN15,0)</f>
        <v>0</v>
      </c>
    </row>
    <row r="106">
      <c r="BR106" s="1">
        <f t="shared" si="274"/>
        <v>10</v>
      </c>
      <c r="BS106" s="1">
        <f t="shared" si="275"/>
        <v>0</v>
      </c>
      <c r="BT106" s="1" t="s">
        <v>319</v>
      </c>
      <c r="BU106" s="1">
        <f>IFERROR('IV. MA'!AM16,0)</f>
        <v>0</v>
      </c>
      <c r="BV106" s="1">
        <f>IFERROR('IV. MA'!AN16,0)</f>
        <v>0</v>
      </c>
    </row>
    <row r="107">
      <c r="BR107" s="1">
        <f t="shared" si="274"/>
        <v>10</v>
      </c>
      <c r="BS107" s="1">
        <f t="shared" si="275"/>
        <v>0</v>
      </c>
      <c r="BT107" s="1" t="s">
        <v>321</v>
      </c>
      <c r="BU107" s="1">
        <f>IFERROR('IV. MA'!AM17,0)</f>
        <v>0</v>
      </c>
      <c r="BV107" s="1">
        <f>IFERROR('IV. MA'!AN17,0)</f>
        <v>0</v>
      </c>
    </row>
    <row r="108">
      <c r="BR108" s="1">
        <f t="shared" si="274"/>
        <v>10</v>
      </c>
      <c r="BS108" s="1">
        <f t="shared" si="275"/>
        <v>0</v>
      </c>
      <c r="BT108" s="1" t="s">
        <v>198</v>
      </c>
      <c r="BU108" s="1">
        <f>IFERROR('IV. MA'!AM21,0)</f>
        <v>0</v>
      </c>
      <c r="BV108" s="1">
        <f>IFERROR('IV. MA'!AN21,0)</f>
        <v>0</v>
      </c>
    </row>
    <row r="109">
      <c r="BR109" s="1">
        <f t="shared" si="274"/>
        <v>10</v>
      </c>
      <c r="BS109" s="1">
        <f t="shared" si="275"/>
        <v>0</v>
      </c>
      <c r="BT109" s="1" t="s">
        <v>387</v>
      </c>
      <c r="BU109" s="1">
        <f>IFERROR('IV. MA'!AM22,0)</f>
        <v>0</v>
      </c>
      <c r="BV109" s="1">
        <f>IFERROR('IV. MA'!AN22,0)</f>
        <v>0</v>
      </c>
    </row>
    <row r="110">
      <c r="BR110" s="1">
        <f t="shared" si="274"/>
        <v>10</v>
      </c>
      <c r="BS110" s="1">
        <f t="shared" si="275"/>
        <v>0</v>
      </c>
      <c r="BT110" s="1" t="s">
        <v>204</v>
      </c>
      <c r="BU110" s="1">
        <f>IFERROR('IV. MA'!AM25,0)</f>
        <v>0</v>
      </c>
      <c r="BV110" s="1">
        <f>IFERROR('IV. MA'!AN25,0)</f>
        <v>0</v>
      </c>
    </row>
    <row r="111">
      <c r="BR111" s="1">
        <f t="shared" ref="BR111:BR121" si="276">$BB$11</f>
        <v>11</v>
      </c>
      <c r="BS111" s="1">
        <f t="shared" ref="BS111:BS121" si="277">$BD$11</f>
        <v>0</v>
      </c>
      <c r="BT111" s="1" t="s">
        <v>212</v>
      </c>
      <c r="BU111" s="1">
        <f>IFERROR('IV. MA'!AQ10,0)</f>
        <v>0</v>
      </c>
      <c r="BV111" s="1">
        <f>IFERROR('IV. MA'!AR10,0)</f>
        <v>0</v>
      </c>
    </row>
    <row r="112">
      <c r="BR112" s="1">
        <f t="shared" si="276"/>
        <v>11</v>
      </c>
      <c r="BS112" s="1">
        <f t="shared" si="277"/>
        <v>0</v>
      </c>
      <c r="BT112" s="1" t="s">
        <v>254</v>
      </c>
      <c r="BU112" s="1">
        <f>IFERROR('IV. MA'!AQ11,0)</f>
        <v>0</v>
      </c>
      <c r="BV112" s="1">
        <f>IFERROR('IV. MA'!AR11,0)</f>
        <v>0</v>
      </c>
    </row>
    <row r="113">
      <c r="BR113" s="1">
        <f t="shared" si="276"/>
        <v>11</v>
      </c>
      <c r="BS113" s="1">
        <f t="shared" si="277"/>
        <v>0</v>
      </c>
      <c r="BT113" s="1" t="s">
        <v>414</v>
      </c>
      <c r="BU113" s="1">
        <f>IFERROR('IV. MA'!AQ12,0)</f>
        <v>0</v>
      </c>
      <c r="BV113" s="1">
        <f>IFERROR('IV. MA'!AR12,0)</f>
        <v>0</v>
      </c>
    </row>
    <row r="114">
      <c r="BR114" s="1">
        <f t="shared" si="276"/>
        <v>11</v>
      </c>
      <c r="BS114" s="1">
        <f t="shared" si="277"/>
        <v>0</v>
      </c>
      <c r="BT114" s="1" t="s">
        <v>275</v>
      </c>
      <c r="BU114" s="1">
        <f>IFERROR('IV. MA'!AQ13,0)</f>
        <v>0</v>
      </c>
      <c r="BV114" s="1">
        <f>IFERROR('IV. MA'!AR13,0)</f>
        <v>0</v>
      </c>
    </row>
    <row r="115">
      <c r="BR115" s="1">
        <f t="shared" si="276"/>
        <v>11</v>
      </c>
      <c r="BS115" s="1">
        <f t="shared" si="277"/>
        <v>0</v>
      </c>
      <c r="BT115" s="1" t="s">
        <v>296</v>
      </c>
      <c r="BU115" s="1">
        <f>IFERROR('IV. MA'!AQ14,0)</f>
        <v>0</v>
      </c>
      <c r="BV115" s="1">
        <f>IFERROR('IV. MA'!AR14,0)</f>
        <v>0</v>
      </c>
    </row>
    <row r="116">
      <c r="BR116" s="1">
        <f t="shared" si="276"/>
        <v>11</v>
      </c>
      <c r="BS116" s="1">
        <f t="shared" si="277"/>
        <v>0</v>
      </c>
      <c r="BT116" s="1" t="s">
        <v>317</v>
      </c>
      <c r="BU116" s="1">
        <f>IFERROR('IV. MA'!AQ15,0)</f>
        <v>0</v>
      </c>
      <c r="BV116" s="1">
        <f>IFERROR('IV. MA'!AR15,0)</f>
        <v>0</v>
      </c>
    </row>
    <row r="117">
      <c r="BR117" s="1">
        <f t="shared" si="276"/>
        <v>11</v>
      </c>
      <c r="BS117" s="1">
        <f t="shared" si="277"/>
        <v>0</v>
      </c>
      <c r="BT117" s="1" t="s">
        <v>319</v>
      </c>
      <c r="BU117" s="1">
        <f>IFERROR('IV. MA'!AQ16,0)</f>
        <v>0</v>
      </c>
      <c r="BV117" s="1">
        <f>IFERROR('IV. MA'!AR16,0)</f>
        <v>0</v>
      </c>
    </row>
    <row r="118">
      <c r="BR118" s="1">
        <f t="shared" si="276"/>
        <v>11</v>
      </c>
      <c r="BS118" s="1">
        <f t="shared" si="277"/>
        <v>0</v>
      </c>
      <c r="BT118" s="1" t="s">
        <v>321</v>
      </c>
      <c r="BU118" s="1">
        <f>IFERROR('IV. MA'!AQ17,0)</f>
        <v>0</v>
      </c>
      <c r="BV118" s="1">
        <f>IFERROR('IV. MA'!AR17,0)</f>
        <v>0</v>
      </c>
    </row>
    <row r="119">
      <c r="BR119" s="1">
        <f t="shared" si="276"/>
        <v>11</v>
      </c>
      <c r="BS119" s="1">
        <f t="shared" si="277"/>
        <v>0</v>
      </c>
      <c r="BT119" s="1" t="s">
        <v>198</v>
      </c>
      <c r="BU119" s="1">
        <f>IFERROR('IV. MA'!AQ21,0)</f>
        <v>0</v>
      </c>
      <c r="BV119" s="1">
        <f>IFERROR('IV. MA'!AR21,0)</f>
        <v>0</v>
      </c>
    </row>
    <row r="120">
      <c r="BR120" s="1">
        <f t="shared" si="276"/>
        <v>11</v>
      </c>
      <c r="BS120" s="1">
        <f t="shared" si="277"/>
        <v>0</v>
      </c>
      <c r="BT120" s="1" t="s">
        <v>387</v>
      </c>
      <c r="BU120" s="1">
        <f>IFERROR('IV. MA'!AQ22,0)</f>
        <v>0</v>
      </c>
      <c r="BV120" s="1">
        <f>IFERROR('IV. MA'!AR22,0)</f>
        <v>0</v>
      </c>
    </row>
    <row r="121">
      <c r="BR121" s="1">
        <f t="shared" si="276"/>
        <v>11</v>
      </c>
      <c r="BS121" s="1">
        <f t="shared" si="277"/>
        <v>0</v>
      </c>
      <c r="BT121" s="1" t="s">
        <v>204</v>
      </c>
      <c r="BU121" s="1">
        <f>IFERROR('IV. MA'!AQ25,0)</f>
        <v>0</v>
      </c>
      <c r="BV121" s="1">
        <f>IFERROR('IV. MA'!AR25,0)</f>
        <v>0</v>
      </c>
    </row>
    <row r="122">
      <c r="BR122" s="1">
        <f t="shared" ref="BR122:BR132" si="278">$BB$12</f>
        <v>12</v>
      </c>
      <c r="BS122" s="1">
        <f t="shared" ref="BS122:BS132" si="279">$BD$12</f>
        <v>0</v>
      </c>
      <c r="BT122" s="1" t="s">
        <v>212</v>
      </c>
      <c r="BU122" s="1">
        <f>IFERROR('IV. MA'!AU10,0)</f>
        <v>0</v>
      </c>
      <c r="BV122" s="1">
        <f>IFERROR('IV. MA'!AV10,0)</f>
        <v>0</v>
      </c>
    </row>
    <row r="123">
      <c r="BR123" s="1">
        <f t="shared" si="278"/>
        <v>12</v>
      </c>
      <c r="BS123" s="1">
        <f t="shared" si="279"/>
        <v>0</v>
      </c>
      <c r="BT123" s="1" t="s">
        <v>254</v>
      </c>
      <c r="BU123" s="1">
        <f>IFERROR('IV. MA'!AU11,0)</f>
        <v>0</v>
      </c>
      <c r="BV123" s="1">
        <f>IFERROR('IV. MA'!AV11,0)</f>
        <v>0</v>
      </c>
    </row>
    <row r="124">
      <c r="BR124" s="1">
        <f t="shared" si="278"/>
        <v>12</v>
      </c>
      <c r="BS124" s="1">
        <f t="shared" si="279"/>
        <v>0</v>
      </c>
      <c r="BT124" s="1" t="s">
        <v>414</v>
      </c>
      <c r="BU124" s="1">
        <f>IFERROR('IV. MA'!AU12,0)</f>
        <v>0</v>
      </c>
      <c r="BV124" s="1">
        <f>IFERROR('IV. MA'!AV12,0)</f>
        <v>0</v>
      </c>
    </row>
    <row r="125">
      <c r="BR125" s="1">
        <f t="shared" si="278"/>
        <v>12</v>
      </c>
      <c r="BS125" s="1">
        <f t="shared" si="279"/>
        <v>0</v>
      </c>
      <c r="BT125" s="1" t="s">
        <v>275</v>
      </c>
      <c r="BU125" s="1">
        <f>IFERROR('IV. MA'!AU13,0)</f>
        <v>0</v>
      </c>
      <c r="BV125" s="1">
        <f>IFERROR('IV. MA'!AV13,0)</f>
        <v>0</v>
      </c>
    </row>
    <row r="126">
      <c r="BR126" s="1">
        <f t="shared" si="278"/>
        <v>12</v>
      </c>
      <c r="BS126" s="1">
        <f t="shared" si="279"/>
        <v>0</v>
      </c>
      <c r="BT126" s="1" t="s">
        <v>296</v>
      </c>
      <c r="BU126" s="1">
        <f>IFERROR('IV. MA'!AU14,0)</f>
        <v>0</v>
      </c>
      <c r="BV126" s="1">
        <f>IFERROR('IV. MA'!AV14,0)</f>
        <v>0</v>
      </c>
    </row>
    <row r="127">
      <c r="BR127" s="1">
        <f t="shared" si="278"/>
        <v>12</v>
      </c>
      <c r="BS127" s="1">
        <f t="shared" si="279"/>
        <v>0</v>
      </c>
      <c r="BT127" s="1" t="s">
        <v>317</v>
      </c>
      <c r="BU127" s="1">
        <f>IFERROR('IV. MA'!AU15,0)</f>
        <v>0</v>
      </c>
      <c r="BV127" s="1">
        <f>IFERROR('IV. MA'!AV15,0)</f>
        <v>0</v>
      </c>
    </row>
    <row r="128">
      <c r="BR128" s="1">
        <f t="shared" si="278"/>
        <v>12</v>
      </c>
      <c r="BS128" s="1">
        <f t="shared" si="279"/>
        <v>0</v>
      </c>
      <c r="BT128" s="1" t="s">
        <v>319</v>
      </c>
      <c r="BU128" s="1">
        <f>IFERROR('IV. MA'!AU16,0)</f>
        <v>0</v>
      </c>
      <c r="BV128" s="1">
        <f>IFERROR('IV. MA'!AV16,0)</f>
        <v>0</v>
      </c>
    </row>
    <row r="129">
      <c r="BR129" s="1">
        <f t="shared" si="278"/>
        <v>12</v>
      </c>
      <c r="BS129" s="1">
        <f t="shared" si="279"/>
        <v>0</v>
      </c>
      <c r="BT129" s="1" t="s">
        <v>321</v>
      </c>
      <c r="BU129" s="1">
        <f>IFERROR('IV. MA'!AU17,0)</f>
        <v>0</v>
      </c>
      <c r="BV129" s="1">
        <f>IFERROR('IV. MA'!AV17,0)</f>
        <v>0</v>
      </c>
    </row>
    <row r="130">
      <c r="BR130" s="1">
        <f t="shared" si="278"/>
        <v>12</v>
      </c>
      <c r="BS130" s="1">
        <f t="shared" si="279"/>
        <v>0</v>
      </c>
      <c r="BT130" s="1" t="s">
        <v>198</v>
      </c>
      <c r="BU130" s="1">
        <f>IFERROR('IV. MA'!AU21,0)</f>
        <v>0</v>
      </c>
      <c r="BV130" s="1">
        <f>IFERROR('IV. MA'!AV21,0)</f>
        <v>0</v>
      </c>
    </row>
    <row r="131">
      <c r="BR131" s="1">
        <f t="shared" si="278"/>
        <v>12</v>
      </c>
      <c r="BS131" s="1">
        <f t="shared" si="279"/>
        <v>0</v>
      </c>
      <c r="BT131" s="1" t="s">
        <v>387</v>
      </c>
      <c r="BU131" s="1">
        <f>IFERROR('IV. MA'!AU22,0)</f>
        <v>0</v>
      </c>
      <c r="BV131" s="1">
        <f>IFERROR('IV. MA'!AV22,0)</f>
        <v>0</v>
      </c>
    </row>
    <row r="132">
      <c r="BR132" s="1">
        <f t="shared" si="278"/>
        <v>12</v>
      </c>
      <c r="BS132" s="1">
        <f t="shared" si="279"/>
        <v>0</v>
      </c>
      <c r="BT132" s="1" t="s">
        <v>204</v>
      </c>
      <c r="BU132" s="1">
        <f>IFERROR('IV. MA'!AU25,0)</f>
        <v>0</v>
      </c>
      <c r="BV132" s="1">
        <f>IFERROR('IV. MA'!AV25,0)</f>
        <v>0</v>
      </c>
    </row>
    <row r="133">
      <c r="BR133" s="1">
        <f t="shared" ref="BR133:BR143" si="280">$BB$13</f>
        <v>13</v>
      </c>
      <c r="BS133" s="1">
        <f t="shared" ref="BS133:BS143" si="281">$BD$13</f>
        <v>0</v>
      </c>
      <c r="BT133" s="1" t="s">
        <v>212</v>
      </c>
      <c r="BU133" s="1">
        <f>IFERROR('IV. MA'!AY10,0)</f>
        <v>0</v>
      </c>
      <c r="BV133" s="1">
        <f>IFERROR('IV. MA'!AZ10,0)</f>
        <v>0</v>
      </c>
    </row>
    <row r="134">
      <c r="BR134" s="1">
        <f t="shared" si="280"/>
        <v>13</v>
      </c>
      <c r="BS134" s="1">
        <f t="shared" si="281"/>
        <v>0</v>
      </c>
      <c r="BT134" s="1" t="s">
        <v>254</v>
      </c>
      <c r="BU134" s="1">
        <f>IFERROR('IV. MA'!AY11,0)</f>
        <v>0</v>
      </c>
      <c r="BV134" s="1">
        <f>IFERROR('IV. MA'!AZ11,0)</f>
        <v>0</v>
      </c>
    </row>
    <row r="135">
      <c r="BR135" s="1">
        <f t="shared" si="280"/>
        <v>13</v>
      </c>
      <c r="BS135" s="1">
        <f t="shared" si="281"/>
        <v>0</v>
      </c>
      <c r="BT135" s="1" t="s">
        <v>414</v>
      </c>
      <c r="BU135" s="1">
        <f>IFERROR('IV. MA'!AY12,0)</f>
        <v>0</v>
      </c>
      <c r="BV135" s="1">
        <f>IFERROR('IV. MA'!AZ12,0)</f>
        <v>0</v>
      </c>
    </row>
    <row r="136">
      <c r="BR136" s="1">
        <f t="shared" si="280"/>
        <v>13</v>
      </c>
      <c r="BS136" s="1">
        <f t="shared" si="281"/>
        <v>0</v>
      </c>
      <c r="BT136" s="1" t="s">
        <v>275</v>
      </c>
      <c r="BU136" s="1">
        <f>IFERROR('IV. MA'!AY13,0)</f>
        <v>0</v>
      </c>
      <c r="BV136" s="1">
        <f>IFERROR('IV. MA'!AZ13,0)</f>
        <v>0</v>
      </c>
    </row>
    <row r="137">
      <c r="BR137" s="1">
        <f t="shared" si="280"/>
        <v>13</v>
      </c>
      <c r="BS137" s="1">
        <f t="shared" si="281"/>
        <v>0</v>
      </c>
      <c r="BT137" s="1" t="s">
        <v>296</v>
      </c>
      <c r="BU137" s="1">
        <f>IFERROR('IV. MA'!AY14,0)</f>
        <v>0</v>
      </c>
      <c r="BV137" s="1">
        <f>IFERROR('IV. MA'!AZ14,0)</f>
        <v>0</v>
      </c>
    </row>
    <row r="138">
      <c r="BR138" s="1">
        <f t="shared" si="280"/>
        <v>13</v>
      </c>
      <c r="BS138" s="1">
        <f t="shared" si="281"/>
        <v>0</v>
      </c>
      <c r="BT138" s="1" t="s">
        <v>317</v>
      </c>
      <c r="BU138" s="1">
        <f>IFERROR('IV. MA'!AY15,0)</f>
        <v>0</v>
      </c>
      <c r="BV138" s="1">
        <f>IFERROR('IV. MA'!AZ15,0)</f>
        <v>0</v>
      </c>
    </row>
    <row r="139">
      <c r="BR139" s="1">
        <f t="shared" si="280"/>
        <v>13</v>
      </c>
      <c r="BS139" s="1">
        <f t="shared" si="281"/>
        <v>0</v>
      </c>
      <c r="BT139" s="1" t="s">
        <v>319</v>
      </c>
      <c r="BU139" s="1">
        <f>IFERROR('IV. MA'!AY16,0)</f>
        <v>0</v>
      </c>
      <c r="BV139" s="1">
        <f>IFERROR('IV. MA'!AZ16,0)</f>
        <v>0</v>
      </c>
    </row>
    <row r="140">
      <c r="BR140" s="1">
        <f t="shared" si="280"/>
        <v>13</v>
      </c>
      <c r="BS140" s="1">
        <f t="shared" si="281"/>
        <v>0</v>
      </c>
      <c r="BT140" s="1" t="s">
        <v>321</v>
      </c>
      <c r="BU140" s="1">
        <f>IFERROR('IV. MA'!AY17,0)</f>
        <v>0</v>
      </c>
      <c r="BV140" s="1">
        <f>IFERROR('IV. MA'!AZ17,0)</f>
        <v>0</v>
      </c>
    </row>
    <row r="141">
      <c r="BR141" s="1">
        <f t="shared" si="280"/>
        <v>13</v>
      </c>
      <c r="BS141" s="1">
        <f t="shared" si="281"/>
        <v>0</v>
      </c>
      <c r="BT141" s="1" t="s">
        <v>198</v>
      </c>
      <c r="BU141" s="1">
        <f>IFERROR('IV. MA'!AY21,0)</f>
        <v>0</v>
      </c>
      <c r="BV141" s="1">
        <f>IFERROR('IV. MA'!AZ21,0)</f>
        <v>0</v>
      </c>
    </row>
    <row r="142">
      <c r="BR142" s="1">
        <f t="shared" si="280"/>
        <v>13</v>
      </c>
      <c r="BS142" s="1">
        <f t="shared" si="281"/>
        <v>0</v>
      </c>
      <c r="BT142" s="1" t="s">
        <v>387</v>
      </c>
      <c r="BU142" s="1">
        <f>IFERROR('IV. MA'!AY22,0)</f>
        <v>0</v>
      </c>
      <c r="BV142" s="1">
        <f>IFERROR('IV. MA'!AZ22,0)</f>
        <v>0</v>
      </c>
    </row>
    <row r="143">
      <c r="BR143" s="1">
        <f t="shared" si="280"/>
        <v>13</v>
      </c>
      <c r="BS143" s="1">
        <f t="shared" si="281"/>
        <v>0</v>
      </c>
      <c r="BT143" s="1" t="s">
        <v>204</v>
      </c>
      <c r="BU143" s="1">
        <f>IFERROR('IV. MA'!AY25,0)</f>
        <v>0</v>
      </c>
      <c r="BV143" s="1">
        <f>IFERROR('IV. MA'!AZ25,0)</f>
        <v>0</v>
      </c>
    </row>
    <row r="144">
      <c r="BR144" s="1">
        <f t="shared" ref="BR144:BR154" si="282">$BB$14</f>
        <v>14</v>
      </c>
      <c r="BS144" s="1">
        <f t="shared" ref="BS144:BS154" si="283">$BD$14</f>
        <v>0</v>
      </c>
      <c r="BT144" s="1" t="s">
        <v>212</v>
      </c>
      <c r="BU144" s="1">
        <f>IFERROR('IV. MA'!BC10,0)</f>
        <v>0</v>
      </c>
      <c r="BV144" s="1">
        <f>IFERROR('IV. MA'!BD10,0)</f>
        <v>0</v>
      </c>
    </row>
    <row r="145">
      <c r="BR145" s="1">
        <f t="shared" si="282"/>
        <v>14</v>
      </c>
      <c r="BS145" s="1">
        <f t="shared" si="283"/>
        <v>0</v>
      </c>
      <c r="BT145" s="1" t="s">
        <v>254</v>
      </c>
      <c r="BU145" s="1">
        <f>IFERROR('IV. MA'!BC11,0)</f>
        <v>0</v>
      </c>
      <c r="BV145" s="1">
        <f>IFERROR('IV. MA'!BD11,0)</f>
        <v>0</v>
      </c>
    </row>
    <row r="146">
      <c r="BR146" s="1">
        <f t="shared" si="282"/>
        <v>14</v>
      </c>
      <c r="BS146" s="1">
        <f t="shared" si="283"/>
        <v>0</v>
      </c>
      <c r="BT146" s="1" t="s">
        <v>414</v>
      </c>
      <c r="BU146" s="1">
        <f>IFERROR('IV. MA'!BC12,0)</f>
        <v>0</v>
      </c>
      <c r="BV146" s="1">
        <f>IFERROR('IV. MA'!BD12,0)</f>
        <v>0</v>
      </c>
    </row>
    <row r="147">
      <c r="BR147" s="1">
        <f t="shared" si="282"/>
        <v>14</v>
      </c>
      <c r="BS147" s="1">
        <f t="shared" si="283"/>
        <v>0</v>
      </c>
      <c r="BT147" s="1" t="s">
        <v>275</v>
      </c>
      <c r="BU147" s="1">
        <f>IFERROR('IV. MA'!BC13,0)</f>
        <v>0</v>
      </c>
      <c r="BV147" s="1">
        <f>IFERROR('IV. MA'!BD13,0)</f>
        <v>0</v>
      </c>
    </row>
    <row r="148">
      <c r="BR148" s="1">
        <f t="shared" si="282"/>
        <v>14</v>
      </c>
      <c r="BS148" s="1">
        <f t="shared" si="283"/>
        <v>0</v>
      </c>
      <c r="BT148" s="1" t="s">
        <v>296</v>
      </c>
      <c r="BU148" s="1">
        <f>IFERROR('IV. MA'!BC14,0)</f>
        <v>0</v>
      </c>
      <c r="BV148" s="1">
        <f>IFERROR('IV. MA'!BD14,0)</f>
        <v>0</v>
      </c>
    </row>
    <row r="149">
      <c r="BR149" s="1">
        <f t="shared" si="282"/>
        <v>14</v>
      </c>
      <c r="BS149" s="1">
        <f t="shared" si="283"/>
        <v>0</v>
      </c>
      <c r="BT149" s="1" t="s">
        <v>317</v>
      </c>
      <c r="BU149" s="1">
        <f>IFERROR('IV. MA'!BC15,0)</f>
        <v>0</v>
      </c>
      <c r="BV149" s="1">
        <f>IFERROR('IV. MA'!BD15,0)</f>
        <v>0</v>
      </c>
    </row>
    <row r="150">
      <c r="BR150" s="1">
        <f t="shared" si="282"/>
        <v>14</v>
      </c>
      <c r="BS150" s="1">
        <f t="shared" si="283"/>
        <v>0</v>
      </c>
      <c r="BT150" s="1" t="s">
        <v>319</v>
      </c>
      <c r="BU150" s="1">
        <f>IFERROR('IV. MA'!BC16,0)</f>
        <v>0</v>
      </c>
      <c r="BV150" s="1">
        <f>IFERROR('IV. MA'!BD16,0)</f>
        <v>0</v>
      </c>
    </row>
    <row r="151">
      <c r="BR151" s="1">
        <f t="shared" si="282"/>
        <v>14</v>
      </c>
      <c r="BS151" s="1">
        <f t="shared" si="283"/>
        <v>0</v>
      </c>
      <c r="BT151" s="1" t="s">
        <v>321</v>
      </c>
      <c r="BU151" s="1">
        <f>IFERROR('IV. MA'!BC17,0)</f>
        <v>0</v>
      </c>
      <c r="BV151" s="1">
        <f>IFERROR('IV. MA'!BD17,0)</f>
        <v>0</v>
      </c>
    </row>
    <row r="152">
      <c r="BR152" s="1">
        <f t="shared" si="282"/>
        <v>14</v>
      </c>
      <c r="BS152" s="1">
        <f t="shared" si="283"/>
        <v>0</v>
      </c>
      <c r="BT152" s="1" t="s">
        <v>198</v>
      </c>
      <c r="BU152" s="1">
        <f>IFERROR('IV. MA'!BC21,0)</f>
        <v>0</v>
      </c>
      <c r="BV152" s="1">
        <f>IFERROR('IV. MA'!BD21,0)</f>
        <v>0</v>
      </c>
    </row>
    <row r="153">
      <c r="BR153" s="1">
        <f t="shared" si="282"/>
        <v>14</v>
      </c>
      <c r="BS153" s="1">
        <f t="shared" si="283"/>
        <v>0</v>
      </c>
      <c r="BT153" s="1" t="s">
        <v>387</v>
      </c>
      <c r="BU153" s="1">
        <f>IFERROR('IV. MA'!BC22,0)</f>
        <v>0</v>
      </c>
      <c r="BV153" s="1">
        <f>IFERROR('IV. MA'!BD22,0)</f>
        <v>0</v>
      </c>
    </row>
    <row r="154">
      <c r="BR154" s="1">
        <f t="shared" si="282"/>
        <v>14</v>
      </c>
      <c r="BS154" s="1">
        <f t="shared" si="283"/>
        <v>0</v>
      </c>
      <c r="BT154" s="1" t="s">
        <v>204</v>
      </c>
      <c r="BU154" s="1">
        <f>IFERROR('IV. MA'!BC25,0)</f>
        <v>0</v>
      </c>
      <c r="BV154" s="1">
        <f>IFERROR('IV. MA'!BD25,0)</f>
        <v>0</v>
      </c>
    </row>
    <row r="155">
      <c r="BR155" s="1">
        <f t="shared" ref="BR155:BR165" si="284">$BB$15</f>
        <v>15</v>
      </c>
      <c r="BS155" s="1">
        <f t="shared" ref="BS155:BS165" si="285">$BD$15</f>
        <v>0</v>
      </c>
      <c r="BT155" s="1" t="s">
        <v>212</v>
      </c>
      <c r="BU155" s="1">
        <f>IFERROR('IV. MA'!BG10,0)</f>
        <v>0</v>
      </c>
      <c r="BV155" s="1">
        <f>IFERROR('IV. MA'!BH10,0)</f>
        <v>0</v>
      </c>
    </row>
    <row r="156">
      <c r="BR156" s="1">
        <f t="shared" si="284"/>
        <v>15</v>
      </c>
      <c r="BS156" s="1">
        <f t="shared" si="285"/>
        <v>0</v>
      </c>
      <c r="BT156" s="1" t="s">
        <v>254</v>
      </c>
      <c r="BU156" s="1">
        <f>IFERROR('IV. MA'!BG11,0)</f>
        <v>0</v>
      </c>
      <c r="BV156" s="1">
        <f>IFERROR('IV. MA'!BH11,0)</f>
        <v>0</v>
      </c>
    </row>
    <row r="157">
      <c r="BR157" s="1">
        <f t="shared" si="284"/>
        <v>15</v>
      </c>
      <c r="BS157" s="1">
        <f t="shared" si="285"/>
        <v>0</v>
      </c>
      <c r="BT157" s="1" t="s">
        <v>414</v>
      </c>
      <c r="BU157" s="1">
        <f>IFERROR('IV. MA'!BG12,0)</f>
        <v>0</v>
      </c>
      <c r="BV157" s="1">
        <f>IFERROR('IV. MA'!BH12,0)</f>
        <v>0</v>
      </c>
    </row>
    <row r="158">
      <c r="BR158" s="1">
        <f t="shared" si="284"/>
        <v>15</v>
      </c>
      <c r="BS158" s="1">
        <f t="shared" si="285"/>
        <v>0</v>
      </c>
      <c r="BT158" s="1" t="s">
        <v>275</v>
      </c>
      <c r="BU158" s="1">
        <f>IFERROR('IV. MA'!BG13,0)</f>
        <v>0</v>
      </c>
      <c r="BV158" s="1">
        <f>IFERROR('IV. MA'!BH13,0)</f>
        <v>0</v>
      </c>
    </row>
    <row r="159">
      <c r="BR159" s="1">
        <f t="shared" si="284"/>
        <v>15</v>
      </c>
      <c r="BS159" s="1">
        <f t="shared" si="285"/>
        <v>0</v>
      </c>
      <c r="BT159" s="1" t="s">
        <v>296</v>
      </c>
      <c r="BU159" s="1">
        <f>IFERROR('IV. MA'!BG14,0)</f>
        <v>0</v>
      </c>
      <c r="BV159" s="1">
        <f>IFERROR('IV. MA'!BH14,0)</f>
        <v>0</v>
      </c>
    </row>
    <row r="160">
      <c r="BR160" s="1">
        <f t="shared" si="284"/>
        <v>15</v>
      </c>
      <c r="BS160" s="1">
        <f t="shared" si="285"/>
        <v>0</v>
      </c>
      <c r="BT160" s="1" t="s">
        <v>317</v>
      </c>
      <c r="BU160" s="1">
        <f>IFERROR('IV. MA'!BG15,0)</f>
        <v>0</v>
      </c>
      <c r="BV160" s="1">
        <f>IFERROR('IV. MA'!BH15,0)</f>
        <v>0</v>
      </c>
    </row>
    <row r="161">
      <c r="BR161" s="1">
        <f t="shared" si="284"/>
        <v>15</v>
      </c>
      <c r="BS161" s="1">
        <f t="shared" si="285"/>
        <v>0</v>
      </c>
      <c r="BT161" s="1" t="s">
        <v>319</v>
      </c>
      <c r="BU161" s="1">
        <f>IFERROR('IV. MA'!BG16,0)</f>
        <v>0</v>
      </c>
      <c r="BV161" s="1">
        <f>IFERROR('IV. MA'!BH16,0)</f>
        <v>0</v>
      </c>
    </row>
    <row r="162">
      <c r="BR162" s="1">
        <f t="shared" si="284"/>
        <v>15</v>
      </c>
      <c r="BS162" s="1">
        <f t="shared" si="285"/>
        <v>0</v>
      </c>
      <c r="BT162" s="1" t="s">
        <v>321</v>
      </c>
      <c r="BU162" s="1">
        <f>IFERROR('IV. MA'!BG17,0)</f>
        <v>0</v>
      </c>
      <c r="BV162" s="1">
        <f>IFERROR('IV. MA'!BH17,0)</f>
        <v>0</v>
      </c>
    </row>
    <row r="163">
      <c r="BR163" s="1">
        <f t="shared" si="284"/>
        <v>15</v>
      </c>
      <c r="BS163" s="1">
        <f t="shared" si="285"/>
        <v>0</v>
      </c>
      <c r="BT163" s="1" t="s">
        <v>198</v>
      </c>
      <c r="BU163" s="1">
        <f>IFERROR('IV. MA'!BG21,0)</f>
        <v>0</v>
      </c>
      <c r="BV163" s="1">
        <f>IFERROR('IV. MA'!BH21,0)</f>
        <v>0</v>
      </c>
    </row>
    <row r="164">
      <c r="BR164" s="1">
        <f t="shared" si="284"/>
        <v>15</v>
      </c>
      <c r="BS164" s="1">
        <f t="shared" si="285"/>
        <v>0</v>
      </c>
      <c r="BT164" s="1" t="s">
        <v>387</v>
      </c>
      <c r="BU164" s="1">
        <f>IFERROR('IV. MA'!BG22,0)</f>
        <v>0</v>
      </c>
      <c r="BV164" s="1">
        <f>IFERROR('IV. MA'!BH22,0)</f>
        <v>0</v>
      </c>
    </row>
    <row r="165">
      <c r="BR165" s="1">
        <f t="shared" si="284"/>
        <v>15</v>
      </c>
      <c r="BS165" s="1">
        <f t="shared" si="285"/>
        <v>0</v>
      </c>
      <c r="BT165" s="1" t="s">
        <v>204</v>
      </c>
      <c r="BU165" s="1">
        <f>IFERROR('IV. MA'!BG25,0)</f>
        <v>0</v>
      </c>
      <c r="BV165" s="1">
        <f>IFERROR('IV. MA'!BH25,0)</f>
        <v>0</v>
      </c>
    </row>
    <row r="166">
      <c r="BR166" s="1">
        <f t="shared" ref="BR166:BR176" si="286">$BB$16</f>
        <v>16</v>
      </c>
      <c r="BS166" s="1">
        <f t="shared" ref="BS166:BS176" si="287">$BD$16</f>
        <v>0</v>
      </c>
      <c r="BT166" s="1" t="s">
        <v>212</v>
      </c>
      <c r="BU166" s="1">
        <f>IFERROR('IV. MA'!BK10,0)</f>
        <v>0</v>
      </c>
      <c r="BV166" s="1">
        <f>IFERROR('IV. MA'!BL10,0)</f>
        <v>0</v>
      </c>
    </row>
    <row r="167">
      <c r="BR167" s="1">
        <f t="shared" si="286"/>
        <v>16</v>
      </c>
      <c r="BS167" s="1">
        <f t="shared" si="287"/>
        <v>0</v>
      </c>
      <c r="BT167" s="1" t="s">
        <v>254</v>
      </c>
      <c r="BU167" s="1">
        <f>IFERROR('IV. MA'!BK11,0)</f>
        <v>0</v>
      </c>
      <c r="BV167" s="1">
        <f>IFERROR('IV. MA'!BL11,0)</f>
        <v>0</v>
      </c>
    </row>
    <row r="168">
      <c r="BR168" s="1">
        <f t="shared" si="286"/>
        <v>16</v>
      </c>
      <c r="BS168" s="1">
        <f t="shared" si="287"/>
        <v>0</v>
      </c>
      <c r="BT168" s="1" t="s">
        <v>414</v>
      </c>
      <c r="BU168" s="1">
        <f>IFERROR('IV. MA'!BK12,0)</f>
        <v>0</v>
      </c>
      <c r="BV168" s="1">
        <f>IFERROR('IV. MA'!BL12,0)</f>
        <v>0</v>
      </c>
    </row>
    <row r="169">
      <c r="BR169" s="1">
        <f t="shared" si="286"/>
        <v>16</v>
      </c>
      <c r="BS169" s="1">
        <f t="shared" si="287"/>
        <v>0</v>
      </c>
      <c r="BT169" s="1" t="s">
        <v>275</v>
      </c>
      <c r="BU169" s="1">
        <f>IFERROR('IV. MA'!BK13,0)</f>
        <v>0</v>
      </c>
      <c r="BV169" s="1">
        <f>IFERROR('IV. MA'!BL13,0)</f>
        <v>0</v>
      </c>
    </row>
    <row r="170">
      <c r="BR170" s="1">
        <f t="shared" si="286"/>
        <v>16</v>
      </c>
      <c r="BS170" s="1">
        <f t="shared" si="287"/>
        <v>0</v>
      </c>
      <c r="BT170" s="1" t="s">
        <v>296</v>
      </c>
      <c r="BU170" s="1">
        <f>IFERROR('IV. MA'!BK14,0)</f>
        <v>0</v>
      </c>
      <c r="BV170" s="1">
        <f>IFERROR('IV. MA'!BL14,0)</f>
        <v>0</v>
      </c>
    </row>
    <row r="171">
      <c r="BR171" s="1">
        <f t="shared" si="286"/>
        <v>16</v>
      </c>
      <c r="BS171" s="1">
        <f t="shared" si="287"/>
        <v>0</v>
      </c>
      <c r="BT171" s="1" t="s">
        <v>317</v>
      </c>
      <c r="BU171" s="1">
        <f>IFERROR('IV. MA'!BK15,0)</f>
        <v>0</v>
      </c>
      <c r="BV171" s="1">
        <f>IFERROR('IV. MA'!BL15,0)</f>
        <v>0</v>
      </c>
    </row>
    <row r="172">
      <c r="BR172" s="1">
        <f t="shared" si="286"/>
        <v>16</v>
      </c>
      <c r="BS172" s="1">
        <f t="shared" si="287"/>
        <v>0</v>
      </c>
      <c r="BT172" s="1" t="s">
        <v>319</v>
      </c>
      <c r="BU172" s="1">
        <f>IFERROR('IV. MA'!BK16,0)</f>
        <v>0</v>
      </c>
      <c r="BV172" s="1">
        <f>IFERROR('IV. MA'!BL16,0)</f>
        <v>0</v>
      </c>
    </row>
    <row r="173">
      <c r="BR173" s="1">
        <f t="shared" si="286"/>
        <v>16</v>
      </c>
      <c r="BS173" s="1">
        <f t="shared" si="287"/>
        <v>0</v>
      </c>
      <c r="BT173" s="1" t="s">
        <v>321</v>
      </c>
      <c r="BU173" s="1">
        <f>IFERROR('IV. MA'!BK17,0)</f>
        <v>0</v>
      </c>
      <c r="BV173" s="1">
        <f>IFERROR('IV. MA'!BL17,0)</f>
        <v>0</v>
      </c>
    </row>
    <row r="174">
      <c r="BR174" s="1">
        <f t="shared" si="286"/>
        <v>16</v>
      </c>
      <c r="BS174" s="1">
        <f t="shared" si="287"/>
        <v>0</v>
      </c>
      <c r="BT174" s="1" t="s">
        <v>198</v>
      </c>
      <c r="BU174" s="1">
        <f>IFERROR('IV. MA'!BK21,0)</f>
        <v>0</v>
      </c>
      <c r="BV174" s="1">
        <f>IFERROR('IV. MA'!BL21,0)</f>
        <v>0</v>
      </c>
    </row>
    <row r="175">
      <c r="BR175" s="1">
        <f t="shared" si="286"/>
        <v>16</v>
      </c>
      <c r="BS175" s="1">
        <f t="shared" si="287"/>
        <v>0</v>
      </c>
      <c r="BT175" s="1" t="s">
        <v>387</v>
      </c>
      <c r="BU175" s="1">
        <f>IFERROR('IV. MA'!BK22,0)</f>
        <v>0</v>
      </c>
      <c r="BV175" s="1">
        <f>IFERROR('IV. MA'!BL22,0)</f>
        <v>0</v>
      </c>
    </row>
    <row r="176">
      <c r="BR176" s="1">
        <f t="shared" si="286"/>
        <v>16</v>
      </c>
      <c r="BS176" s="1">
        <f t="shared" si="287"/>
        <v>0</v>
      </c>
      <c r="BT176" s="1" t="s">
        <v>204</v>
      </c>
      <c r="BU176" s="1">
        <f>IFERROR('IV. MA'!BK25,0)</f>
        <v>0</v>
      </c>
      <c r="BV176" s="1">
        <f>IFERROR('IV. MA'!BL25,0)</f>
        <v>0</v>
      </c>
    </row>
    <row r="177">
      <c r="BR177" s="1">
        <f t="shared" ref="BR177:BR187" si="288">$BB$17</f>
        <v>17</v>
      </c>
      <c r="BS177" s="1">
        <f t="shared" ref="BS177:BS187" si="289">$BD$17</f>
        <v>0</v>
      </c>
      <c r="BT177" s="1" t="s">
        <v>212</v>
      </c>
      <c r="BU177" s="1">
        <f>IFERROR('IV. MA'!BO10,0)</f>
        <v>0</v>
      </c>
      <c r="BV177" s="1">
        <f>IFERROR('IV. MA'!BP10,0)</f>
        <v>0</v>
      </c>
    </row>
    <row r="178">
      <c r="BR178" s="1">
        <f t="shared" si="288"/>
        <v>17</v>
      </c>
      <c r="BS178" s="1">
        <f t="shared" si="289"/>
        <v>0</v>
      </c>
      <c r="BT178" s="1" t="s">
        <v>254</v>
      </c>
      <c r="BU178" s="1">
        <f>IFERROR('IV. MA'!BO11,0)</f>
        <v>0</v>
      </c>
      <c r="BV178" s="1">
        <f>IFERROR('IV. MA'!BP11,0)</f>
        <v>0</v>
      </c>
    </row>
    <row r="179">
      <c r="BR179" s="1">
        <f t="shared" si="288"/>
        <v>17</v>
      </c>
      <c r="BS179" s="1">
        <f t="shared" si="289"/>
        <v>0</v>
      </c>
      <c r="BT179" s="1" t="s">
        <v>414</v>
      </c>
      <c r="BU179" s="1">
        <f>IFERROR('IV. MA'!BO12,0)</f>
        <v>0</v>
      </c>
      <c r="BV179" s="1">
        <f>IFERROR('IV. MA'!BP12,0)</f>
        <v>0</v>
      </c>
    </row>
    <row r="180">
      <c r="BR180" s="1">
        <f t="shared" si="288"/>
        <v>17</v>
      </c>
      <c r="BS180" s="1">
        <f t="shared" si="289"/>
        <v>0</v>
      </c>
      <c r="BT180" s="1" t="s">
        <v>275</v>
      </c>
      <c r="BU180" s="1">
        <f>IFERROR('IV. MA'!BO13,0)</f>
        <v>0</v>
      </c>
      <c r="BV180" s="1">
        <f>IFERROR('IV. MA'!BP13,0)</f>
        <v>0</v>
      </c>
    </row>
    <row r="181">
      <c r="BR181" s="1">
        <f t="shared" si="288"/>
        <v>17</v>
      </c>
      <c r="BS181" s="1">
        <f t="shared" si="289"/>
        <v>0</v>
      </c>
      <c r="BT181" s="1" t="s">
        <v>296</v>
      </c>
      <c r="BU181" s="1">
        <f>IFERROR('IV. MA'!BO14,0)</f>
        <v>0</v>
      </c>
      <c r="BV181" s="1">
        <f>IFERROR('IV. MA'!BP14,0)</f>
        <v>0</v>
      </c>
    </row>
    <row r="182">
      <c r="BR182" s="1">
        <f t="shared" si="288"/>
        <v>17</v>
      </c>
      <c r="BS182" s="1">
        <f t="shared" si="289"/>
        <v>0</v>
      </c>
      <c r="BT182" s="1" t="s">
        <v>317</v>
      </c>
      <c r="BU182" s="1">
        <f>IFERROR('IV. MA'!BO15,0)</f>
        <v>0</v>
      </c>
      <c r="BV182" s="1">
        <f>IFERROR('IV. MA'!BP15,0)</f>
        <v>0</v>
      </c>
    </row>
    <row r="183">
      <c r="BR183" s="1">
        <f t="shared" si="288"/>
        <v>17</v>
      </c>
      <c r="BS183" s="1">
        <f t="shared" si="289"/>
        <v>0</v>
      </c>
      <c r="BT183" s="1" t="s">
        <v>319</v>
      </c>
      <c r="BU183" s="1">
        <f>IFERROR('IV. MA'!BO16,0)</f>
        <v>0</v>
      </c>
      <c r="BV183" s="1">
        <f>IFERROR('IV. MA'!BP16,0)</f>
        <v>0</v>
      </c>
    </row>
    <row r="184">
      <c r="BR184" s="1">
        <f t="shared" si="288"/>
        <v>17</v>
      </c>
      <c r="BS184" s="1">
        <f t="shared" si="289"/>
        <v>0</v>
      </c>
      <c r="BT184" s="1" t="s">
        <v>321</v>
      </c>
      <c r="BU184" s="1">
        <f>IFERROR('IV. MA'!BO17,0)</f>
        <v>0</v>
      </c>
      <c r="BV184" s="1">
        <f>IFERROR('IV. MA'!BP17,0)</f>
        <v>0</v>
      </c>
    </row>
    <row r="185">
      <c r="BR185" s="1">
        <f t="shared" si="288"/>
        <v>17</v>
      </c>
      <c r="BS185" s="1">
        <f t="shared" si="289"/>
        <v>0</v>
      </c>
      <c r="BT185" s="1" t="s">
        <v>198</v>
      </c>
      <c r="BU185" s="1">
        <f>IFERROR('IV. MA'!BO21,0)</f>
        <v>0</v>
      </c>
      <c r="BV185" s="1">
        <f>IFERROR('IV. MA'!BP21,0)</f>
        <v>0</v>
      </c>
    </row>
    <row r="186">
      <c r="BR186" s="1">
        <f t="shared" si="288"/>
        <v>17</v>
      </c>
      <c r="BS186" s="1">
        <f t="shared" si="289"/>
        <v>0</v>
      </c>
      <c r="BT186" s="1" t="s">
        <v>387</v>
      </c>
      <c r="BU186" s="1">
        <f>IFERROR('IV. MA'!BO22,0)</f>
        <v>0</v>
      </c>
      <c r="BV186" s="1">
        <f>IFERROR('IV. MA'!BP22,0)</f>
        <v>0</v>
      </c>
    </row>
    <row r="187">
      <c r="BR187" s="1">
        <f t="shared" si="288"/>
        <v>17</v>
      </c>
      <c r="BS187" s="1">
        <f t="shared" si="289"/>
        <v>0</v>
      </c>
      <c r="BT187" s="1" t="s">
        <v>204</v>
      </c>
      <c r="BU187" s="1">
        <f>IFERROR('IV. MA'!BO25,0)</f>
        <v>0</v>
      </c>
      <c r="BV187" s="1">
        <f>IFERROR('IV. MA'!BP25,0)</f>
        <v>0</v>
      </c>
    </row>
    <row r="188">
      <c r="BR188" s="1">
        <f t="shared" ref="BR188:BR198" si="290">$BB$18</f>
        <v>18</v>
      </c>
      <c r="BS188" s="1">
        <f t="shared" ref="BS188:BS198" si="291">$BD$18</f>
        <v>0</v>
      </c>
      <c r="BT188" s="1" t="s">
        <v>212</v>
      </c>
      <c r="BU188" s="1">
        <f>IFERROR('IV. MA'!BS10,0)</f>
        <v>0</v>
      </c>
      <c r="BV188" s="1">
        <f>IFERROR('IV. MA'!BT10,0)</f>
        <v>0</v>
      </c>
    </row>
    <row r="189">
      <c r="BR189" s="1">
        <f t="shared" si="290"/>
        <v>18</v>
      </c>
      <c r="BS189" s="1">
        <f t="shared" si="291"/>
        <v>0</v>
      </c>
      <c r="BT189" s="1" t="s">
        <v>254</v>
      </c>
      <c r="BU189" s="1">
        <f>IFERROR('IV. MA'!BS11,0)</f>
        <v>0</v>
      </c>
      <c r="BV189" s="1">
        <f>IFERROR('IV. MA'!BT11,0)</f>
        <v>0</v>
      </c>
    </row>
    <row r="190">
      <c r="BR190" s="1">
        <f t="shared" si="290"/>
        <v>18</v>
      </c>
      <c r="BS190" s="1">
        <f t="shared" si="291"/>
        <v>0</v>
      </c>
      <c r="BT190" s="1" t="s">
        <v>414</v>
      </c>
      <c r="BU190" s="1">
        <f>IFERROR('IV. MA'!BS12,0)</f>
        <v>0</v>
      </c>
      <c r="BV190" s="1">
        <f>IFERROR('IV. MA'!BT12,0)</f>
        <v>0</v>
      </c>
    </row>
    <row r="191">
      <c r="BR191" s="1">
        <f t="shared" si="290"/>
        <v>18</v>
      </c>
      <c r="BS191" s="1">
        <f t="shared" si="291"/>
        <v>0</v>
      </c>
      <c r="BT191" s="1" t="s">
        <v>275</v>
      </c>
      <c r="BU191" s="1">
        <f>IFERROR('IV. MA'!BS13,0)</f>
        <v>0</v>
      </c>
      <c r="BV191" s="1">
        <f>IFERROR('IV. MA'!BT13,0)</f>
        <v>0</v>
      </c>
    </row>
    <row r="192">
      <c r="BR192" s="1">
        <f t="shared" si="290"/>
        <v>18</v>
      </c>
      <c r="BS192" s="1">
        <f t="shared" si="291"/>
        <v>0</v>
      </c>
      <c r="BT192" s="1" t="s">
        <v>296</v>
      </c>
      <c r="BU192" s="1">
        <f>IFERROR('IV. MA'!BS14,0)</f>
        <v>0</v>
      </c>
      <c r="BV192" s="1">
        <f>IFERROR('IV. MA'!BT14,0)</f>
        <v>0</v>
      </c>
    </row>
    <row r="193">
      <c r="BR193" s="1">
        <f t="shared" si="290"/>
        <v>18</v>
      </c>
      <c r="BS193" s="1">
        <f t="shared" si="291"/>
        <v>0</v>
      </c>
      <c r="BT193" s="1" t="s">
        <v>317</v>
      </c>
      <c r="BU193" s="1">
        <f>IFERROR('IV. MA'!BS15,0)</f>
        <v>0</v>
      </c>
      <c r="BV193" s="1">
        <f>IFERROR('IV. MA'!BT15,0)</f>
        <v>0</v>
      </c>
    </row>
    <row r="194">
      <c r="BR194" s="1">
        <f t="shared" si="290"/>
        <v>18</v>
      </c>
      <c r="BS194" s="1">
        <f t="shared" si="291"/>
        <v>0</v>
      </c>
      <c r="BT194" s="1" t="s">
        <v>319</v>
      </c>
      <c r="BU194" s="1">
        <f>IFERROR('IV. MA'!BS16,0)</f>
        <v>0</v>
      </c>
      <c r="BV194" s="1">
        <f>IFERROR('IV. MA'!BT16,0)</f>
        <v>0</v>
      </c>
    </row>
    <row r="195">
      <c r="BR195" s="1">
        <f t="shared" si="290"/>
        <v>18</v>
      </c>
      <c r="BS195" s="1">
        <f t="shared" si="291"/>
        <v>0</v>
      </c>
      <c r="BT195" s="1" t="s">
        <v>321</v>
      </c>
      <c r="BU195" s="1">
        <f>IFERROR('IV. MA'!BS17,0)</f>
        <v>0</v>
      </c>
      <c r="BV195" s="1">
        <f>IFERROR('IV. MA'!BT17,0)</f>
        <v>0</v>
      </c>
    </row>
    <row r="196">
      <c r="BR196" s="1">
        <f t="shared" si="290"/>
        <v>18</v>
      </c>
      <c r="BS196" s="1">
        <f t="shared" si="291"/>
        <v>0</v>
      </c>
      <c r="BT196" s="1" t="s">
        <v>198</v>
      </c>
      <c r="BU196" s="1">
        <f>IFERROR('IV. MA'!BS21,0)</f>
        <v>0</v>
      </c>
      <c r="BV196" s="1">
        <f>IFERROR('IV. MA'!BT21,0)</f>
        <v>0</v>
      </c>
    </row>
    <row r="197">
      <c r="BR197" s="1">
        <f t="shared" si="290"/>
        <v>18</v>
      </c>
      <c r="BS197" s="1">
        <f t="shared" si="291"/>
        <v>0</v>
      </c>
      <c r="BT197" s="1" t="s">
        <v>387</v>
      </c>
      <c r="BU197" s="1">
        <f>IFERROR('IV. MA'!BS22,0)</f>
        <v>0</v>
      </c>
      <c r="BV197" s="1">
        <f>IFERROR('IV. MA'!BT22,0)</f>
        <v>0</v>
      </c>
    </row>
    <row r="198">
      <c r="BR198" s="1">
        <f t="shared" si="290"/>
        <v>18</v>
      </c>
      <c r="BS198" s="1">
        <f t="shared" si="291"/>
        <v>0</v>
      </c>
      <c r="BT198" s="1" t="s">
        <v>204</v>
      </c>
      <c r="BU198" s="1">
        <f>IFERROR('IV. MA'!BS25,0)</f>
        <v>0</v>
      </c>
      <c r="BV198" s="1">
        <f>IFERROR('IV. MA'!BT25,0)</f>
        <v>0</v>
      </c>
    </row>
  </sheetData>
  <sheetProtection algorithmName="SHA-512" hashValue="vYGS9ri6ksHlA32xbvWGhZg/8+pbfkEh8tIBbXfwjg5T5u13Mhqm2octwDFb2BZsukWeev7c3xvaa0lbGR97gQ==" saltValue="a213ZmJfcnB0X3YxXyEhAA==" spinCount="100000" sheet="1" selectLockedCells="0" selectUnlockedCells="0" formatCells="1" formatColumns="1" formatRows="1" insertColumns="1" insertRows="1" insertHyperlinks="1" deleteColumns="1" deleteRows="1" sort="1" autoFilter="0" pivotTables="1" objects="1" scenarios="1"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revision>2</cp:revision>
  <dcterms:created xsi:type="dcterms:W3CDTF">2006-09-16T00:00:00Z</dcterms:created>
  <dcterms:modified xsi:type="dcterms:W3CDTF">2026-06-27T23:52:11Z</dcterms:modified>
</cp:coreProperties>
</file>