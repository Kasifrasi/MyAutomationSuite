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6.xml" ContentType="application/vnd.openxmlformats-officedocument.spreadsheetml.worksheet+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shboard" sheetId="2" r:id="rId4"/>
    <sheet name="I. Budget" sheetId="3" r:id="rId6"/>
    <sheet name="II. KMW-Mittel" sheetId="4" r:id="rId7"/>
    <sheet name="III. Finanzberichte" sheetId="5" r:id="rId8"/>
    <sheet name="IV. MA" sheetId="6" r:id="rId9"/>
    <sheet name="Daten" sheetId="7" r:id="rId10" state="hidden"/>
  </sheets>
  <definedNames>
    <definedName name="Saldovortrag_LW">'Dashboard'!$C$13</definedName>
    <definedName name="Saldovortrag_EUR">'Dashboard'!$E$13</definedName>
    <definedName name="Budget_Kurs">'I. Budget'!$H$4</definedName>
    <definedName name="Eigenmittel_LW">'I. Budget'!$E$7</definedName>
    <definedName name="Eigenmittel_EUR">'I. Budget'!$I$7</definedName>
    <definedName name="Drittmittel_LW">'I. Budget'!$E$10</definedName>
    <definedName name="Drittmittel_EUR">'I. Budget'!$I$10</definedName>
    <definedName name="KMW_Mittel_LW">'I. Budget'!$E$13</definedName>
    <definedName name="KMW_Mittel_EUR">'I. Budget'!$I$13</definedName>
    <definedName name="Gesamtprojektmittel_LW">'I. Budget'!$E$15</definedName>
    <definedName name="Gesamtprojektmittel_EUR">'I. Budget'!$I$15</definedName>
    <definedName name="Kosten_Bauausgaben_LW">'I. Budget'!$O$4</definedName>
    <definedName name="Kosten_Bauausgaben_EUR">'I. Budget'!$P$4</definedName>
    <definedName name="Kosten_Investitionen_LW">'I. Budget'!$O$5</definedName>
    <definedName name="Kosten_Investitionen_EUR">'I. Budget'!$P$5</definedName>
    <definedName name="Kosten_Personalkosten_LW">'I. Budget'!$O$6</definedName>
    <definedName name="Kosten_Personalkosten_EUR">'I. Budget'!$P$6</definedName>
    <definedName name="Kosten_Projektaktivitaeten_LW">'I. Budget'!$O$7</definedName>
    <definedName name="Kosten_Projektaktivitaeten_EUR">'I. Budget'!$P$7</definedName>
    <definedName name="Kosten_Projektverwaltung_LW">'I. Budget'!$O$8</definedName>
    <definedName name="Kosten_Projektverwaltung_EUR">'I. Budget'!$P$8</definedName>
    <definedName name="Kosten_Evaluierung_LW">'I. Budget'!$O$9</definedName>
    <definedName name="Kosten_Evaluierung_EUR">'I. Budget'!$P$9</definedName>
    <definedName name="Kosten_Audit_LW">'I. Budget'!$O$10</definedName>
    <definedName name="Kosten_Audit_EUR">'I. Budget'!$P$10</definedName>
    <definedName name="Kosten_Reserve_LW">'I. Budget'!$O$11</definedName>
    <definedName name="Kosten_Reserve_EUR">'I. Budget'!$P$11</definedName>
    <definedName name="Gesamtausgaben_LW">'I. Budget'!$O$12</definedName>
    <definedName name="Gesamtausgaben_EUR">'I. Budget'!$P$12</definedName>
    <definedName name="Geber_Liste">OFFSET('I. Budget'!$R$1, 0, 0, COUNTA('I. Budget'!R:R), 1)</definedName>
    <definedName name="Budget_ID_Liste">OFFSET('I. Budget'!$S$1, 0, 0, COUNTA('I. Budget'!S:S), 1)</definedName>
    <definedName name="Reserve_Freigabe">'I. Budget'!$K$5</definedName>
    <definedName name="FB_Kurs_1">'III. Finanzberichte'!$C$7</definedName>
    <definedName name="FB_SaldoLC_1">'III. Finanzberichte'!$C$29</definedName>
    <definedName name="FB_SaldoEUR_1">'III. Finanzberichte'!$D$29</definedName>
    <definedName name="FB_Kurs_2">'III. Finanzberichte'!$J$7</definedName>
    <definedName name="FB_SaldoLC_2">'III. Finanzberichte'!$J$29</definedName>
    <definedName name="FB_SaldoEUR_2">'III. Finanzberichte'!$K$29</definedName>
    <definedName name="FB_Kurs_3">'III. Finanzberichte'!$Q$7</definedName>
    <definedName name="FB_SaldoLC_3">'III. Finanzberichte'!$Q$29</definedName>
    <definedName name="FB_SaldoEUR_3">'III. Finanzberichte'!$R$29</definedName>
    <definedName name="FB_Kurs_4">'III. Finanzberichte'!$X$7</definedName>
    <definedName name="FB_SaldoLC_4">'III. Finanzberichte'!$X$29</definedName>
    <definedName name="FB_SaldoEUR_4">'III. Finanzberichte'!$Y$29</definedName>
    <definedName name="FB_Kurs_5">'III. Finanzberichte'!$AE$7</definedName>
    <definedName name="FB_SaldoLC_5">'III. Finanzberichte'!$AE$29</definedName>
    <definedName name="FB_SaldoEUR_5">'III. Finanzberichte'!$AF$29</definedName>
    <definedName name="FB_Kurs_6">'III. Finanzberichte'!$AL$7</definedName>
    <definedName name="FB_SaldoLC_6">'III. Finanzberichte'!$AL$29</definedName>
    <definedName name="FB_SaldoEUR_6">'III. Finanzberichte'!$AM$29</definedName>
    <definedName name="FB_Kurs_7">'III. Finanzberichte'!$AS$7</definedName>
    <definedName name="FB_SaldoLC_7">'III. Finanzberichte'!$AS$29</definedName>
    <definedName name="FB_SaldoEUR_7">'III. Finanzberichte'!$AT$29</definedName>
    <definedName name="FB_Kurs_8">'III. Finanzberichte'!$AZ$7</definedName>
    <definedName name="FB_SaldoLC_8">'III. Finanzberichte'!$AZ$29</definedName>
    <definedName name="FB_SaldoEUR_8">'III. Finanzberichte'!$BA$29</definedName>
    <definedName name="FB_Kurs_9">'III. Finanzberichte'!$BG$7</definedName>
    <definedName name="FB_SaldoLC_9">'III. Finanzberichte'!$BG$29</definedName>
    <definedName name="FB_SaldoEUR_9">'III. Finanzberichte'!$BH$29</definedName>
    <definedName name="FB_Kurs_10">'III. Finanzberichte'!$BN$7</definedName>
    <definedName name="FB_SaldoLC_10">'III. Finanzberichte'!$BN$29</definedName>
    <definedName name="FB_SaldoEUR_10">'III. Finanzberichte'!$BO$29</definedName>
    <definedName name="FB_Kurs_11">'III. Finanzberichte'!$BU$7</definedName>
    <definedName name="FB_SaldoLC_11">'III. Finanzberichte'!$BU$29</definedName>
    <definedName name="FB_SaldoEUR_11">'III. Finanzberichte'!$BV$29</definedName>
    <definedName name="FB_Kurs_12">'III. Finanzberichte'!$CB$7</definedName>
    <definedName name="FB_SaldoLC_12">'III. Finanzberichte'!$CB$29</definedName>
    <definedName name="FB_SaldoEUR_12">'III. Finanzberichte'!$CC$29</definedName>
    <definedName name="FB_Kurs_13">'III. Finanzberichte'!$CI$7</definedName>
    <definedName name="FB_SaldoLC_13">'III. Finanzberichte'!$CI$29</definedName>
    <definedName name="FB_SaldoEUR_13">'III. Finanzberichte'!$CJ$29</definedName>
    <definedName name="FB_Kurs_14">'III. Finanzberichte'!$CP$7</definedName>
    <definedName name="FB_SaldoLC_14">'III. Finanzberichte'!$CP$29</definedName>
    <definedName name="FB_SaldoEUR_14">'III. Finanzberichte'!$CQ$29</definedName>
    <definedName name="FB_Kurs_15">'III. Finanzberichte'!$CW$7</definedName>
    <definedName name="FB_SaldoLC_15">'III. Finanzberichte'!$CW$29</definedName>
    <definedName name="FB_SaldoEUR_15">'III. Finanzberichte'!$CX$29</definedName>
    <definedName name="FB_Kurs_16">'III. Finanzberichte'!$DD$7</definedName>
    <definedName name="FB_SaldoLC_16">'III. Finanzberichte'!$DD$29</definedName>
    <definedName name="FB_SaldoEUR_16">'III. Finanzberichte'!$DE$29</definedName>
    <definedName name="FB_Kurs_17">'III. Finanzberichte'!$DK$7</definedName>
    <definedName name="FB_SaldoLC_17">'III. Finanzberichte'!$DK$29</definedName>
    <definedName name="FB_SaldoEUR_17">'III. Finanzberichte'!$DL$29</definedName>
    <definedName name="FB_Kurs_18">'III. Finanzberichte'!$DR$7</definedName>
    <definedName name="FB_SaldoLC_18">'III. Finanzberichte'!$DR$29</definedName>
    <definedName name="FB_SaldoEUR_18">'III. Finanzberichte'!$DS$29</definedName>
    <definedName name="MA_Kurs_1">'IV. MA'!$C$7</definedName>
    <definedName name="MA_Kurs_2">'IV. MA'!$G$7</definedName>
    <definedName name="MA_Kurs_3">'IV. MA'!$K$7</definedName>
    <definedName name="MA_Kurs_4">'IV. MA'!$O$7</definedName>
    <definedName name="MA_Kurs_5">'IV. MA'!$S$7</definedName>
    <definedName name="MA_Kurs_6">'IV. MA'!$W$7</definedName>
    <definedName name="MA_Kurs_7">'IV. MA'!$AA$7</definedName>
    <definedName name="MA_Kurs_8">'IV. MA'!$AE$7</definedName>
    <definedName name="MA_Kurs_9">'IV. MA'!$AI$7</definedName>
    <definedName name="MA_Kurs_10">'IV. MA'!$AM$7</definedName>
    <definedName name="MA_Kurs_11">'IV. MA'!$AQ$7</definedName>
    <definedName name="MA_Kurs_12">'IV. MA'!$AU$7</definedName>
    <definedName name="MA_Kurs_13">'IV. MA'!$AY$7</definedName>
    <definedName name="MA_Kurs_14">'IV. MA'!$BC$7</definedName>
    <definedName name="MA_Kurs_15">'IV. MA'!$BG$7</definedName>
    <definedName name="MA_Kurs_16">'IV. MA'!$BK$7</definedName>
    <definedName name="MA_Kurs_17">'IV. MA'!$BO$7</definedName>
    <definedName name="MA_Kurs_18">'IV. MA'!$BS$7</definedName>
  </definedNames>
  <calcPr calcId="122211"/>
</workbook>
</file>

<file path=xl/sharedStrings.xml><?xml version="1.0" encoding="utf-8"?>
<sst xmlns="http://schemas.openxmlformats.org/spreadsheetml/2006/main" count="319" uniqueCount="319">
  <si>
    <t xml:space="preserve">  DASHBOARD (v1.0)</t>
  </si>
  <si>
    <t>Statische Projektinformationen</t>
  </si>
  <si>
    <t>AED</t>
  </si>
  <si>
    <t>AFN</t>
  </si>
  <si>
    <t>ALL</t>
  </si>
  <si>
    <t>AMD</t>
  </si>
  <si>
    <t>AOA</t>
  </si>
  <si>
    <t>ARS</t>
  </si>
  <si>
    <t>AUD</t>
  </si>
  <si>
    <t>AWG</t>
  </si>
  <si>
    <t>AZN</t>
  </si>
  <si>
    <t>BAM</t>
  </si>
  <si>
    <t>BBD</t>
  </si>
  <si>
    <t>BDT</t>
  </si>
  <si>
    <t>BHD</t>
  </si>
  <si>
    <t>BIF</t>
  </si>
  <si>
    <t>BMD</t>
  </si>
  <si>
    <t>BND</t>
  </si>
  <si>
    <t>BOB</t>
  </si>
  <si>
    <t>BRL</t>
  </si>
  <si>
    <t>BSD</t>
  </si>
  <si>
    <t>BTN</t>
  </si>
  <si>
    <t>BWP</t>
  </si>
  <si>
    <t>BYN</t>
  </si>
  <si>
    <t>BZD</t>
  </si>
  <si>
    <t>CAD</t>
  </si>
  <si>
    <t>CDF</t>
  </si>
  <si>
    <t>CHF</t>
  </si>
  <si>
    <t>CLP</t>
  </si>
  <si>
    <t>CNY</t>
  </si>
  <si>
    <t>COP</t>
  </si>
  <si>
    <t>CRC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</si>
  <si>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</si>
  <si>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</si>
  <si>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</si>
  <si>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</si>
  <si>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</si>
  <si>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</si>
  <si>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</si>
  <si>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</si>
  <si>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</si>
  <si>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</si>
  <si>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</si>
  <si>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</si>
  <si>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</si>
  <si>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</si>
  <si>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</si>
  <si>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</si>
  <si>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</si>
  <si>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</si>
  <si>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</si>
  <si>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</si>
  <si>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</si>
  <si>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</si>
  <si>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</si>
  <si>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</si>
  <si>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</si>
  <si>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</si>
  <si>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</si>
  <si>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</si>
  <si>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</si>
  <si>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</si>
  <si>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</si>
  <si>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</si>
  <si>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</si>
  <si>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</si>
  <si>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</si>
  <si>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</si>
  <si>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</si>
  <si>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</si>
  <si>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</si>
  <si>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</si>
  <si>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</si>
  <si>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</si>
  <si>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</si>
  <si>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</si>
  <si>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</si>
  <si>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</si>
  <si>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</si>
  <si>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</si>
  <si>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</si>
  <si>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</si>
  <si>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</si>
  <si>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</si>
  <si>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</si>
  <si>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</si>
  <si>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</si>
  <si>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</si>
  <si>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</si>
  <si>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</si>
  <si>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</si>
  <si>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</si>
  <si>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</si>
  <si>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</si>
  <si>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</si>
  <si>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</si>
  <si>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</si>
  <si>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</si>
  <si>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</si>
  <si>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</si>
  <si>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</si>
  <si>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</si>
  <si>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</si>
  <si>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</si>
  <si>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</si>
  <si>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</si>
  <si>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</si>
  <si>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</si>
  <si>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</si>
  <si>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</si>
  <si>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</si>
  <si>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</si>
  <si>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</si>
  <si>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</si>
  <si>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</si>
  <si>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</si>
  <si>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</si>
  <si>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</si>
  <si>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</si>
  <si>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</si>
  <si>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</si>
  <si>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</si>
  <si>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SOS</t>
  </si>
  <si>
    <t>SRD</t>
  </si>
  <si>
    <t>SSP</t>
  </si>
  <si>
    <t>STN</t>
  </si>
  <si>
    <t>SVC</t>
  </si>
  <si>
    <t>SYP</t>
  </si>
  <si>
    <t>SZL</t>
  </si>
  <si>
    <t>THB</t>
  </si>
  <si>
    <t>TJS</t>
  </si>
  <si>
    <t>TMT</t>
  </si>
  <si>
    <t>TND</t>
  </si>
  <si>
    <t>TOP</t>
  </si>
  <si>
    <t>TRY</t>
  </si>
  <si>
    <t>TTD</t>
  </si>
  <si>
    <t>TWD</t>
  </si>
  <si>
    <t>TZS</t>
  </si>
  <si>
    <t>UAH</t>
  </si>
  <si>
    <t>UGX</t>
  </si>
  <si>
    <t>USD</t>
  </si>
  <si>
    <t>UYU</t>
  </si>
  <si>
    <t>UZS</t>
  </si>
  <si>
    <t>VED</t>
  </si>
  <si>
    <t>VES</t>
  </si>
  <si>
    <t>VND</t>
  </si>
  <si>
    <t>VUV</t>
  </si>
  <si>
    <t>WST</t>
  </si>
  <si>
    <t>XAF</t>
  </si>
  <si>
    <t>XCD</t>
  </si>
  <si>
    <t>XCG</t>
  </si>
  <si>
    <t>XOF</t>
  </si>
  <si>
    <t>XPF</t>
  </si>
  <si>
    <t>YER</t>
  </si>
  <si>
    <t>ZAR</t>
  </si>
  <si>
    <t>ZMW</t>
  </si>
  <si>
    <t>ZWG</t>
  </si>
  <si>
    <t>Projektnummer</t>
  </si>
  <si>
    <t/>
  </si>
  <si>
    <t>Vorprojekt vorhanden</t>
  </si>
  <si>
    <t>Ja</t>
  </si>
  <si>
    <t>Projekttitel</t>
  </si>
  <si>
    <t>Projekttraeger</t>
  </si>
  <si>
    <t>Berichtswaehrung</t>
  </si>
  <si>
    <t>Projektlaufzeit (geplant)</t>
  </si>
  <si>
    <t>In Monate</t>
  </si>
  <si>
    <t>Vorprojektnummer</t>
  </si>
  <si>
    <t>VP-Berichtswaehrung</t>
  </si>
  <si>
    <t>Vorprojektende</t>
  </si>
  <si>
    <t>Wechselkurs</t>
  </si>
  <si>
    <t>Saldo (LW)</t>
  </si>
  <si>
    <t>Saldo (EUR)</t>
  </si>
  <si>
    <t>Folgeprojektstart</t>
  </si>
  <si>
    <t>Saldovortrag (LW)</t>
  </si>
  <si>
    <t>Saldovortrag (EUR)</t>
  </si>
  <si>
    <t>Folgende Dokumente liegen vor:</t>
  </si>
  <si>
    <t>Nein</t>
  </si>
  <si>
    <t>Vorprojektsaldo (Nachweis)</t>
  </si>
  <si>
    <t>Vertrag</t>
  </si>
  <si>
    <t>Budget</t>
  </si>
  <si>
    <t>Bankbelege</t>
  </si>
  <si>
    <t>Finanzbericht(e)</t>
  </si>
  <si>
    <t>Einzelbelege und Beleglisten</t>
  </si>
  <si>
    <t>Narrativer Bericht</t>
  </si>
  <si>
    <t>I. KERNDATEN BUDGET</t>
  </si>
  <si>
    <t>1. GEPLANTE EINNAHMEN / FINANZIERUNG</t>
  </si>
  <si>
    <t>€ Budget-Kurs:</t>
  </si>
  <si>
    <t>Finanzierungsquelle</t>
  </si>
  <si>
    <t>Betrag (LC)</t>
  </si>
  <si>
    <t>Jahr 1</t>
  </si>
  <si>
    <t>Jahr 2</t>
  </si>
  <si>
    <t>Jahr 3</t>
  </si>
  <si>
    <t>Betrag (EUR)</t>
  </si>
  <si>
    <t>1.1 Eigenmittel</t>
  </si>
  <si>
    <t>Eigenmittel</t>
  </si>
  <si>
    <t>1.2 Drittmittel</t>
  </si>
  <si>
    <t>Drittmittel (Summe):</t>
  </si>
  <si>
    <t>Aufstellung je Geber → Tabelle rechts</t>
  </si>
  <si>
    <t>1.3 KMW-Mittel</t>
  </si>
  <si>
    <t>KMW-Mittel</t>
  </si>
  <si>
    <t>GESAMTPROJEKTMITTEL</t>
  </si>
  <si>
    <t>2. GEPLANTE AUSGABEN</t>
  </si>
  <si>
    <t>Kostenkategorie</t>
  </si>
  <si>
    <t>ID</t>
  </si>
  <si>
    <t>Kostenposition</t>
  </si>
  <si>
    <t>Bauausgaben</t>
  </si>
  <si>
    <t>Investitionen</t>
  </si>
  <si>
    <t>Personalkosten</t>
  </si>
  <si>
    <t>Projektaktivitaeten</t>
  </si>
  <si>
    <t>Projektverwaltung</t>
  </si>
  <si>
    <t>Evaluierung</t>
  </si>
  <si>
    <t>Audit</t>
  </si>
  <si>
    <t>Reserve</t>
  </si>
  <si>
    <t>Geplante Gesamtausgaben</t>
  </si>
  <si>
    <t>Drittmittel – Aufstellung je Geber</t>
  </si>
  <si>
    <t>Name des Gebers</t>
  </si>
  <si>
    <t>Reserve Freigabe</t>
  </si>
  <si>
    <t>Reserve freigeben:</t>
  </si>
  <si>
    <t>Begruendung</t>
  </si>
  <si>
    <t>Budgetpruefung</t>
  </si>
  <si>
    <t>Einnahmen = Ausgaben (LC)</t>
  </si>
  <si>
    <t>Einnahmen = Ausgaben (EUR)</t>
  </si>
  <si>
    <t>Gleicher Budget-Kurs</t>
  </si>
  <si>
    <t>Einnahmen: Jahre = Gesamt (LC)</t>
  </si>
  <si>
    <t>Ausgaben: Jahre = Gesamt (LC)</t>
  </si>
  <si>
    <t>II. KMW-MITTEL BEREITGESTELLT</t>
  </si>
  <si>
    <t>Periode 1</t>
  </si>
  <si>
    <t>Periode 2</t>
  </si>
  <si>
    <t>Periode 3</t>
  </si>
  <si>
    <t>Periode 4</t>
  </si>
  <si>
    <t>Periode 5</t>
  </si>
  <si>
    <t>Periode 6</t>
  </si>
  <si>
    <t>Periode 7</t>
  </si>
  <si>
    <t>Periode 8</t>
  </si>
  <si>
    <t>Periode 9</t>
  </si>
  <si>
    <t>Periode 10</t>
  </si>
  <si>
    <t>Periode 11</t>
  </si>
  <si>
    <t>Periode 12</t>
  </si>
  <si>
    <t>Periode 13</t>
  </si>
  <si>
    <t>Periode 14</t>
  </si>
  <si>
    <t>Periode 15</t>
  </si>
  <si>
    <t>Periode 16</t>
  </si>
  <si>
    <t>Periode 17</t>
  </si>
  <si>
    <t>Periode 18</t>
  </si>
  <si>
    <t>Periode 19</t>
  </si>
  <si>
    <t>Periode 20</t>
  </si>
  <si>
    <t>Periode 21</t>
  </si>
  <si>
    <t>Periode 22</t>
  </si>
  <si>
    <t>Periode 23</t>
  </si>
  <si>
    <t>Periode 24</t>
  </si>
  <si>
    <t>Periode 25</t>
  </si>
  <si>
    <t>Periode 26</t>
  </si>
  <si>
    <t>Periode 27</t>
  </si>
  <si>
    <t>Periode 28</t>
  </si>
  <si>
    <t>Periode 29</t>
  </si>
  <si>
    <t>Periode 30</t>
  </si>
  <si>
    <t>Periode 31</t>
  </si>
  <si>
    <t>Periode 32</t>
  </si>
  <si>
    <t>Periode 33</t>
  </si>
  <si>
    <t>Periode 34</t>
  </si>
  <si>
    <t>Periode 35</t>
  </si>
  <si>
    <t>Periode 36</t>
  </si>
  <si>
    <t>Periode</t>
  </si>
  <si>
    <t>Waehrung</t>
  </si>
  <si>
    <t>Betrag</t>
  </si>
  <si>
    <t>Datum</t>
  </si>
  <si>
    <t>GESAMT</t>
  </si>
  <si>
    <t>Periode:</t>
  </si>
  <si>
    <t>Zeitraum:</t>
  </si>
  <si>
    <t>Durchschnittskurs:</t>
  </si>
  <si>
    <t>Einnahmen</t>
  </si>
  <si>
    <t>Typ / ID</t>
  </si>
  <si>
    <t>Einnahmen (LC)</t>
  </si>
  <si>
    <t>Einnahmen (EUR)</t>
  </si>
  <si>
    <t>Kum. Einnahmen (LC)</t>
  </si>
  <si>
    <t>Kum. Einnahmen (EUR)</t>
  </si>
  <si>
    <t>Vorprojektsaldo</t>
  </si>
  <si>
    <t>Drittmittel</t>
  </si>
  <si>
    <t>Zinsertraege</t>
  </si>
  <si>
    <t>Gesamteinnahmen</t>
  </si>
  <si>
    <t>Ausgaben</t>
  </si>
  <si>
    <t>Ausgaben (LC)</t>
  </si>
  <si>
    <t>Ausgaben (EUR)</t>
  </si>
  <si>
    <t>Kum. Ausgaben (LC)</t>
  </si>
  <si>
    <t>Kum. Ausgaben (EUR)</t>
  </si>
  <si>
    <t>Gesamtausgaben</t>
  </si>
  <si>
    <t>Saldo des Finanzberichts</t>
  </si>
  <si>
    <t>Aufschluesselung:</t>
  </si>
  <si>
    <t>Bank</t>
  </si>
  <si>
    <t>Kasse</t>
  </si>
  <si>
    <t>Sonstiges</t>
  </si>
  <si>
    <t>Differenz (Pruefung):</t>
  </si>
  <si>
    <t>Einnahmen (Explizite Kurseingabe)</t>
  </si>
  <si>
    <t>Typ</t>
  </si>
  <si>
    <t>Geber</t>
  </si>
  <si>
    <t>Kurs</t>
  </si>
  <si>
    <t>Saldo des Vorprojekts</t>
  </si>
  <si>
    <t>KMW</t>
  </si>
  <si>
    <t>Gesamteinnahmen in Periode</t>
  </si>
  <si>
    <t>Einnahmen (Durchschnittskurs)</t>
  </si>
  <si>
    <t>Projektpartner</t>
  </si>
  <si>
    <t>Gesamt (Durchschnittskurs)</t>
  </si>
  <si>
    <t>➤</t>
  </si>
  <si>
    <t>Vorperiodensaldo</t>
  </si>
  <si>
    <t>Saldo der Vorperiode</t>
  </si>
  <si>
    <t>OANDA-Kurs:</t>
  </si>
  <si>
    <t>Angefordert (LC)</t>
  </si>
  <si>
    <t>Angefordert (EUR)</t>
  </si>
  <si>
    <t>SUMME</t>
  </si>
  <si>
    <t>Gesamtbedarf an Mitteln:</t>
  </si>
  <si>
    <t>abzueglich Eigenmittel:</t>
  </si>
  <si>
    <t>abzueglich Drittmittel:</t>
  </si>
  <si>
    <t>abzueglich Saldo Vorprojekt:</t>
  </si>
  <si>
    <t>KMW-Mittel Anforderung:</t>
  </si>
  <si>
    <t>abzueglich Saldo Vorperiode (FB):</t>
  </si>
  <si>
    <t>Einnahmen_Explizit_Stack</t>
  </si>
  <si>
    <t>Einnahmen_Durchschnittskurs_Stack</t>
  </si>
  <si>
    <t>Ausgaben_Finanzbericht_Stack</t>
  </si>
  <si>
    <t>Mittelanforderung_Stack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</si>
</sst>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dd.mm.yyyy"/>
    <numFmt numFmtId="165" formatCode="0.0000"/>
    <numFmt numFmtId="166" formatCode="#,##0.00"/>
    <numFmt numFmtId="167" formatCode="#,##0.00&quot; €&quot;"/>
    <numFmt numFmtId="168" formatCode="0.000000"/>
    <numFmt numFmtId="169" formatCode="@"/>
    <numFmt numFmtId="170" formatCode="DD.MM.YYYY"/>
  </numFmts>
  <fonts count="21">
    <font>
      <name val="Calibri"/>
      <family val="2"/>
      <color theme="1"/>
      <sz val="11"/>
    </font>
    <font>
      <name val="Segoe UI"/>
      <family val="2"/>
      <b val="1"/>
      <color rgb="FFFFFFFF"/>
      <sz val="18"/>
    </font>
    <font>
      <name val="Segoe UI"/>
      <family val="2"/>
      <b val="1"/>
      <color rgb="FF000000"/>
      <sz val="13"/>
    </font>
    <font>
      <name val="Segoe UI"/>
      <family val="2"/>
      <color rgb="FF000000"/>
    </font>
    <font>
      <name val="Segoe UI"/>
      <family val="2"/>
      <b val="1"/>
      <color rgb="FF000000"/>
      <sz val="10"/>
    </font>
    <font>
      <name val="Segoe UI"/>
      <family val="2"/>
      <b val="1"/>
      <color rgb="FF000000"/>
      <sz val="14"/>
    </font>
    <font>
      <name val="Segoe UI"/>
      <family val="2"/>
      <b val="1"/>
      <color rgb="FF000000"/>
      <sz val="11"/>
    </font>
    <font>
      <name val="Segoe UI"/>
      <family val="2"/>
      <color rgb="FF000000"/>
      <sz val="9"/>
    </font>
    <font>
      <name val="Segoe UI"/>
      <family val="2"/>
      <i val="1"/>
      <color rgb="FF000000"/>
    </font>
    <font>
      <name val="Segoe UI"/>
      <family val="2"/>
      <b val="1"/>
      <color rgb="FF3C3C3C"/>
      <sz val="9"/>
    </font>
    <font>
      <name val="Segoe UI"/>
      <family val="2"/>
      <color rgb="FF000000"/>
      <sz val="10"/>
    </font>
    <font>
      <name val="Segoe UI"/>
      <family val="2"/>
      <i val="1"/>
      <color rgb="FF595959"/>
      <sz val="8"/>
    </font>
    <font>
      <name val="Segoe UI"/>
      <family val="2"/>
      <b val="1"/>
      <color rgb="FF000000"/>
    </font>
    <font>
      <name val="Segoe UI"/>
      <family val="2"/>
      <b val="1"/>
      <color rgb="FF000000"/>
      <sz val="9"/>
    </font>
    <font>
      <name val="Segoe UI"/>
      <family val="2"/>
      <i val="1"/>
      <color rgb="FF595959"/>
      <sz val="9"/>
    </font>
    <font>
      <name val="Segoe UI"/>
      <family val="2"/>
      <b val="1"/>
      <color rgb="FF595959"/>
      <sz val="9"/>
    </font>
    <font>
      <name val="Segoe UI"/>
      <family val="2"/>
      <b val="1"/>
      <color rgb="FF7F7F7F"/>
      <sz val="9"/>
    </font>
    <font>
      <name val="Segoe UI"/>
      <family val="2"/>
      <color rgb="FF595959"/>
      <sz val="9"/>
    </font>
    <font>
      <name val="Segoe UI"/>
      <family val="2"/>
      <color rgb="FF808080"/>
      <sz val="8"/>
    </font>
    <font>
      <name val="Segoe UI"/>
      <family val="2"/>
      <b val="1"/>
      <color rgb="FF808080"/>
      <sz val="24"/>
    </font>
    <font>
      <name val="Segoe UI"/>
      <family val="2"/>
      <b val="1"/>
      <color rgb="FF000000"/>
      <sz val="12"/>
    </font>
  </fonts>
  <fills count="11">
    <fill>
      <patternFill patternType="none"/>
    </fill>
    <fill>
      <patternFill patternType="gray125"/>
    </fill>
    <fill>
      <patternFill patternType="solid">
        <fgColor rgb="FF6C7A50"/>
      </patternFill>
    </fill>
    <fill>
      <patternFill patternType="solid">
        <fgColor rgb="FFDCDCDC"/>
      </patternFill>
    </fill>
    <fill>
      <patternFill patternType="solid">
        <fgColor rgb="FFF5F5F5"/>
      </patternFill>
    </fill>
    <fill>
      <patternFill patternType="solid">
        <fgColor rgb="FFFFFAE5"/>
      </patternFill>
    </fill>
    <fill>
      <patternFill patternType="solid">
        <fgColor rgb="FFF0F0F0"/>
      </patternFill>
    </fill>
    <fill>
      <patternFill patternType="solid">
        <fgColor rgb="FFD3D3D3"/>
      </patternFill>
    </fill>
    <fill>
      <patternFill patternType="solid">
        <fgColor rgb="FFF2F2F2"/>
      </patternFill>
    </fill>
    <fill>
      <patternFill patternType="solid">
        <fgColor rgb="FFFFFFFF"/>
      </patternFill>
    </fill>
    <fill>
      <patternFill patternType="solid">
        <fgColor rgb="FFDCE6F1"/>
      </patternFill>
    </fill>
  </fills>
  <borders count="51">
    <border>
      <left/>
      <right/>
      <top/>
      <bottom/>
      <diagonal/>
    </border>
    <border>
      <bottom style="thick">
        <color rgb="FF667022"/>
      </bottom>
    </border>
    <border>
      <bottom style="thin">
        <color rgb="FF969696"/>
      </bottom>
    </border>
    <border>
      <left style="thin">
        <color rgb="FF969696"/>
      </left>
      <right style="thin">
        <color rgb="FF969696"/>
      </right>
      <top style="thin">
        <color rgb="FF969696"/>
      </top>
      <bottom style="thin">
        <color rgb="FF969696"/>
      </bottom>
    </border>
    <border>
      <left style="thin">
        <color rgb="FF969696"/>
      </left>
      <right style="thin">
        <color rgb="FF969696"/>
      </right>
      <top style="double">
        <color rgb="FF969696"/>
      </top>
      <bottom style="thin">
        <color rgb="FF969696"/>
      </bottom>
    </border>
    <border>
      <top style="medium">
        <color rgb="FF808080"/>
      </top>
      <bottom style="medium">
        <color rgb="FF808080"/>
      </bottom>
    </border>
    <border>
      <top style="medium">
        <color rgb="FF808080"/>
      </top>
      <bottom style="thin">
        <color rgb="FF808080"/>
      </bottom>
    </border>
    <border>
      <left style="thin">
        <color rgb="FF808080"/>
      </left>
      <right style="thin">
        <color rgb="FF808080"/>
      </right>
      <top style="medium">
        <color rgb="FF808080"/>
      </top>
      <bottom style="thin">
        <color rgb="FF808080"/>
      </bottom>
    </border>
    <border>
      <bottom style="medium">
        <color rgb="FF808080"/>
      </bottom>
    </border>
    <border>
      <top style="thin">
        <color rgb="FF808080"/>
      </top>
      <bottom style="thin">
        <color rgb="FF808080"/>
      </bottom>
    </border>
    <border>
      <left style="thin">
        <color rgb="FFD3D3D3"/>
      </left>
      <right style="thin">
        <color rgb="FFD3D3D3"/>
      </right>
      <top style="thin">
        <color rgb="FFD3D3D3"/>
      </top>
      <bottom style="thin">
        <color rgb="FFD3D3D3"/>
      </bottom>
    </border>
    <border>
      <left style="thin">
        <color rgb="FF808080"/>
      </left>
      <right style="thin">
        <color rgb="FF808080"/>
      </right>
      <top style="thin">
        <color rgb="FF808080"/>
      </top>
      <bottom style="thin">
        <color rgb="FF808080"/>
      </bottom>
    </border>
    <border>
      <left style="medium">
        <color rgb="FF808080"/>
      </left>
      <top style="medium">
        <color rgb="FF808080"/>
      </top>
    </border>
    <border>
      <top style="medium">
        <color rgb="FF808080"/>
      </top>
    </border>
    <border>
      <right style="medium">
        <color rgb="FF808080"/>
      </right>
      <top style="medium">
        <color rgb="FF808080"/>
      </top>
    </border>
    <border>
      <left style="medium">
        <color rgb="FF808080"/>
      </left>
      <bottom style="medium">
        <color rgb="FF808080"/>
      </bottom>
    </border>
    <border>
      <right style="medium">
        <color rgb="FF808080"/>
      </right>
      <bottom style="medium">
        <color rgb="FF808080"/>
      </bottom>
    </border>
    <border>
      <left style="medium">
        <color rgb="FF808080"/>
      </left>
      <right style="thin">
        <color rgb="FFD3D3D3"/>
      </right>
      <top style="thin">
        <color rgb="FFD3D3D3"/>
      </top>
      <bottom style="thin">
        <color rgb="FFD3D3D3"/>
      </bottom>
    </border>
    <border>
      <left style="thin">
        <color rgb="FFD3D3D3"/>
      </left>
      <right style="medium">
        <color rgb="FF808080"/>
      </right>
      <top style="thin">
        <color rgb="FFD3D3D3"/>
      </top>
      <bottom style="thin">
        <color rgb="FFD3D3D3"/>
      </bottom>
    </border>
    <border>
      <left style="medium">
        <color rgb="FF808080"/>
      </left>
      <right style="thin">
        <color rgb="FFD3D3D3"/>
      </right>
      <top style="thin">
        <color rgb="FFD3D3D3"/>
      </top>
      <bottom style="medium">
        <color rgb="FF808080"/>
      </bottom>
    </border>
    <border>
      <left style="thin">
        <color rgb="FFD3D3D3"/>
      </left>
      <right style="thin">
        <color rgb="FFD3D3D3"/>
      </right>
      <top style="thin">
        <color rgb="FFD3D3D3"/>
      </top>
      <bottom style="medium">
        <color rgb="FF808080"/>
      </bottom>
    </border>
    <border>
      <left style="thin">
        <color rgb="FFD3D3D3"/>
      </left>
      <right style="medium">
        <color rgb="FF808080"/>
      </right>
      <top style="thin">
        <color rgb="FFD3D3D3"/>
      </top>
      <bottom style="medium">
        <color rgb="FF808080"/>
      </bottom>
    </border>
    <border>
      <left style="medium">
        <color rgb="FF808080"/>
      </left>
      <top style="medium">
        <color rgb="FF808080"/>
      </top>
      <bottom style="medium">
        <color rgb="FF808080"/>
      </bottom>
    </border>
    <border>
      <right style="medium">
        <color rgb="FF808080"/>
      </right>
      <top style="medium">
        <color rgb="FF808080"/>
      </top>
      <bottom style="medium">
        <color rgb="FF808080"/>
      </bottom>
    </border>
    <border>
      <left style="medium">
        <color rgb="FF808080"/>
      </left>
    </border>
    <border>
      <right style="medium">
        <color rgb="FF808080"/>
      </right>
    </border>
    <border>
      <left style="medium">
        <color rgb="FF808080"/>
      </left>
      <top style="medium">
        <color rgb="FF808080"/>
      </top>
      <bottom style="thin">
        <color rgb="FF808080"/>
      </bottom>
    </border>
    <border>
      <right style="medium">
        <color rgb="FF808080"/>
      </right>
      <top style="medium">
        <color rgb="FF808080"/>
      </top>
      <bottom style="thin">
        <color rgb="FF808080"/>
      </bottom>
    </border>
    <border>
      <left style="medium">
        <color rgb="FF808080"/>
      </left>
      <top style="thin">
        <color rgb="FF808080"/>
      </top>
      <bottom style="thin">
        <color rgb="FF808080"/>
      </bottom>
    </border>
    <border>
      <right style="medium">
        <color rgb="FF808080"/>
      </right>
      <top style="thin">
        <color rgb="FF808080"/>
      </top>
      <bottom style="thin">
        <color rgb="FF808080"/>
      </bottom>
    </border>
    <border>
      <left style="medium">
        <color rgb="FF808080"/>
      </left>
      <right style="thin">
        <color rgb="FF808080"/>
      </right>
      <top style="thin">
        <color rgb="FF808080"/>
      </top>
      <bottom style="thin">
        <color rgb="FF808080"/>
      </bottom>
    </border>
    <border>
      <left style="thin">
        <color rgb="FF808080"/>
      </left>
      <right style="medium">
        <color rgb="FF808080"/>
      </right>
      <top style="thin">
        <color rgb="FF808080"/>
      </top>
      <bottom style="thin">
        <color rgb="FF808080"/>
      </bottom>
    </border>
    <border>
      <left style="medium">
        <color rgb="FF808080"/>
      </left>
      <right style="thin">
        <color rgb="FF808080"/>
      </right>
      <top style="thin">
        <color rgb="FF808080"/>
      </top>
      <bottom style="medium">
        <color rgb="FF808080"/>
      </bottom>
    </border>
    <border>
      <left style="thin">
        <color rgb="FF808080"/>
      </left>
      <right style="thin">
        <color rgb="FF808080"/>
      </right>
      <top style="thin">
        <color rgb="FF808080"/>
      </top>
      <bottom style="medium">
        <color rgb="FF808080"/>
      </bottom>
    </border>
    <border>
      <left style="thin">
        <color rgb="FF808080"/>
      </left>
      <right style="medium">
        <color rgb="FF808080"/>
      </right>
      <top style="thin">
        <color rgb="FF808080"/>
      </top>
      <bottom style="medium">
        <color rgb="FF808080"/>
      </bottom>
    </border>
    <border>
      <left style="medium">
        <color rgb="FF808080"/>
      </left>
      <right style="medium">
        <color rgb="FF808080"/>
      </right>
      <top style="medium">
        <color rgb="FF808080"/>
      </top>
      <bottom style="thin">
        <color rgb="FFD3D3D3"/>
      </bottom>
    </border>
    <border>
      <left style="medium">
        <color rgb="FF808080"/>
      </left>
      <right style="medium">
        <color rgb="FF808080"/>
      </right>
      <top style="thin">
        <color rgb="FFD3D3D3"/>
      </top>
      <bottom style="thin">
        <color rgb="FFD3D3D3"/>
      </bottom>
    </border>
    <border>
      <left style="medium">
        <color rgb="FF808080"/>
      </left>
      <right style="medium">
        <color rgb="FF808080"/>
      </right>
      <top style="thin">
        <color rgb="FFD3D3D3"/>
      </top>
      <bottom style="medium">
        <color rgb="FF808080"/>
      </bottom>
    </border>
    <border>
      <left style="medium">
        <color rgb="FF808080"/>
      </left>
      <right style="thin">
        <color rgb="FFD3D3D3"/>
      </right>
      <top style="medium">
        <color rgb="FF808080"/>
      </top>
      <bottom style="thin">
        <color rgb="FFD3D3D3"/>
      </bottom>
    </border>
    <border>
      <left style="thin">
        <color rgb="FFD3D3D3"/>
      </left>
      <right style="thin">
        <color rgb="FFD3D3D3"/>
      </right>
      <top style="medium">
        <color rgb="FF808080"/>
      </top>
      <bottom style="thin">
        <color rgb="FFD3D3D3"/>
      </bottom>
    </border>
    <border>
      <left style="thin">
        <color rgb="FFD3D3D3"/>
      </left>
      <right style="medium">
        <color rgb="FF808080"/>
      </right>
      <top style="medium">
        <color rgb="FF808080"/>
      </top>
      <bottom style="thin">
        <color rgb="FFD3D3D3"/>
      </bottom>
    </border>
    <border>
      <left style="medium">
        <color rgb="FF808080"/>
      </left>
      <right style="thin">
        <color rgb="FFD3D3D3"/>
      </right>
      <top style="medium">
        <color rgb="FF808080"/>
      </top>
      <bottom style="medium">
        <color rgb="FF808080"/>
      </bottom>
    </border>
    <border>
      <left style="thin">
        <color rgb="FFD3D3D3"/>
      </left>
      <right style="thin">
        <color rgb="FFD3D3D3"/>
      </right>
      <top style="medium">
        <color rgb="FF808080"/>
      </top>
      <bottom style="medium">
        <color rgb="FF808080"/>
      </bottom>
    </border>
    <border>
      <left style="thin">
        <color rgb="FFD3D3D3"/>
      </left>
      <right style="medium">
        <color rgb="FF808080"/>
      </right>
      <top style="medium">
        <color rgb="FF808080"/>
      </top>
      <bottom style="medium">
        <color rgb="FF808080"/>
      </bottom>
    </border>
    <border>
      <bottom style="thin">
        <color rgb="FFD3D3D3"/>
      </bottom>
    </border>
    <border>
      <top style="double">
        <color rgb="FF808080"/>
      </top>
      <bottom style="double">
        <color rgb="FF808080"/>
      </bottom>
    </border>
    <border>
      <top style="medium">
        <color rgb="FF808080"/>
      </top>
      <bottom style="thin">
        <color rgb="FFD3D3D3"/>
      </bottom>
    </border>
    <border>
      <right style="medium">
        <color rgb="FF808080"/>
      </right>
      <top style="double">
        <color rgb="FF808080"/>
      </top>
      <bottom style="double">
        <color rgb="FF808080"/>
      </bottom>
    </border>
    <border>
      <left style="medium">
        <color rgb="FF808080"/>
      </left>
      <bottom style="thin">
        <color rgb="FFD3D3D3"/>
      </bottom>
    </border>
    <border>
      <left style="thin">
        <color rgb="FF808080"/>
      </left>
      <right style="thin">
        <color rgb="FF808080"/>
      </right>
      <top style="double">
        <color rgb="FF808080"/>
      </top>
      <bottom style="thin">
        <color rgb="FF808080"/>
      </bottom>
    </border>
    <border>
      <top style="double">
        <color rgb="FF808080"/>
      </top>
    </border>
  </borders>
  <cellStyleXfs count="1">
    <xf numFmtId="0" fontId="0" fillId="0" borderId="0"/>
  </cellStyleXfs>
  <cellXfs count="192">
    <xf numFmtId="0" fontId="0" fillId="0" borderId="0" xfId="0"/>
    <xf numFmtId="0" fontId="1" fillId="2" borderId="1" xfId="0" applyFont="true" applyFill="true" applyBorder="true" applyAlignment="true">
      <alignment horizontal="left" vertical="center"/>
    </xf>
    <xf numFmtId="0" fontId="2" fillId="3" borderId="2" xfId="0" applyFont="true" applyFill="true" applyBorder="true" applyAlignment="true">
      <alignment horizontal="center" vertical="center"/>
    </xf>
    <xf numFmtId="0" fontId="3" fillId="0" borderId="0" xfId="0" applyFont="true" applyAlignment="true">
      <alignment/>
    </xf>
    <xf numFmtId="0" fontId="4" fillId="4" borderId="3" xfId="0" applyFont="true" applyFill="true" applyBorder="true" applyAlignment="true">
      <alignment horizontal="left" vertical="center" wrapText="true"/>
    </xf>
    <xf numFmtId="0" fontId="3" fillId="5" borderId="3" xfId="0" applyFont="true" applyFill="true" applyBorder="true" applyAlignment="true">
      <alignment horizontal="left" vertical="center"/>
    </xf>
    <xf numFmtId="0" fontId="3" fillId="5" borderId="3" xfId="0" applyFont="true" applyFill="true" applyBorder="true" applyAlignment="true">
      <alignment horizontal="center" vertical="center"/>
    </xf>
    <xf numFmtId="0" fontId="3" fillId="6" borderId="3" xfId="0" applyFont="true" applyFill="true" applyBorder="true" applyAlignment="true">
      <alignment horizontal="left" vertical="center"/>
    </xf>
    <xf numFmtId="0" fontId="4" fillId="4" borderId="4" xfId="0" applyFont="true" applyFill="true" applyBorder="true" applyAlignment="true">
      <alignment horizontal="left" vertical="center" wrapText="true"/>
    </xf>
    <xf numFmtId="0" fontId="3" fillId="5" borderId="4" xfId="0" applyFont="true" applyFill="true" applyBorder="true" applyAlignment="true">
      <alignment horizontal="left" vertical="center"/>
    </xf>
    <xf numFmtId="164" fontId="3" fillId="5" borderId="3" xfId="0" applyNumberFormat="true" applyFont="true" applyFill="true" applyBorder="true" applyAlignment="true">
      <alignment horizontal="left" vertical="center"/>
    </xf>
    <xf numFmtId="165" fontId="3" fillId="5" borderId="3" xfId="0" applyNumberFormat="true" applyFont="true" applyFill="true" applyBorder="true" applyAlignment="true">
      <alignment horizontal="left" vertical="center"/>
    </xf>
    <xf numFmtId="166" fontId="3" fillId="5" borderId="3" xfId="0" applyNumberFormat="true" applyFont="true" applyFill="true" applyBorder="true" applyAlignment="true">
      <alignment horizontal="left" vertical="center"/>
    </xf>
    <xf numFmtId="167" fontId="3" fillId="5" borderId="3" xfId="0" applyNumberFormat="true" applyFont="true" applyFill="true" applyBorder="true" applyAlignment="true">
      <alignment horizontal="left" vertical="center"/>
    </xf>
    <xf numFmtId="0" fontId="4" fillId="0" borderId="3" xfId="0" applyFont="true" applyBorder="true" applyAlignment="true">
      <alignment horizontal="left" vertical="center" wrapText="true"/>
    </xf>
    <xf numFmtId="0" fontId="3" fillId="0" borderId="3" xfId="0" applyFont="true" applyBorder="true" applyAlignment="true">
      <alignment horizontal="center" vertical="center"/>
    </xf>
    <xf numFmtId="0" fontId="3" fillId="0" borderId="3" xfId="0" applyFont="true" applyBorder="true" applyAlignment="true">
      <alignment horizontal="left" vertical="center"/>
    </xf>
    <xf numFmtId="0" fontId="5" fillId="7" borderId="5" xfId="0" applyFont="true" applyFill="true" applyBorder="true" applyAlignment="true">
      <alignment vertical="center"/>
    </xf>
    <xf numFmtId="0" fontId="6" fillId="7" borderId="6" xfId="0" applyFont="true" applyFill="true" applyBorder="true" applyAlignment="true">
      <alignment horizontal="left" vertical="center"/>
    </xf>
    <xf numFmtId="0" fontId="7" fillId="7" borderId="6" xfId="0" applyFont="true" applyFill="true" applyBorder="true" applyAlignment="true">
      <alignment horizontal="right" vertical="center"/>
    </xf>
    <xf numFmtId="165" fontId="8" fillId="0" borderId="7" xfId="0" applyNumberFormat="true" applyFont="true" applyBorder="true" applyAlignment="true">
      <alignment/>
    </xf>
    <xf numFmtId="0" fontId="9" fillId="7" borderId="8" xfId="0" applyFont="true" applyFill="true" applyBorder="true" applyAlignment="true">
      <alignment horizontal="center" vertical="center"/>
    </xf>
    <xf numFmtId="0" fontId="4" fillId="6" borderId="9" xfId="0" applyFont="true" applyFill="true" applyBorder="true" applyAlignment="true">
      <alignment horizontal="left" vertical="center"/>
    </xf>
    <xf numFmtId="0" fontId="10" fillId="0" borderId="0" xfId="0" applyFont="true" applyAlignment="true">
      <alignment/>
    </xf>
    <xf numFmtId="166" fontId="3" fillId="5" borderId="10" xfId="0" applyNumberFormat="true" applyFont="true" applyFill="true" applyBorder="true" applyAlignment="true">
      <alignment horizontal="right" vertical="center"/>
    </xf>
    <xf numFmtId="167" fontId="3" fillId="5" borderId="10" xfId="0" applyNumberFormat="true" applyFont="true" applyFill="true" applyBorder="true" applyAlignment="true">
      <alignment horizontal="right" vertical="center"/>
    </xf>
    <xf numFmtId="0" fontId="11" fillId="0" borderId="0" xfId="0" applyFont="true" applyAlignment="true">
      <alignment/>
    </xf>
    <xf numFmtId="166" fontId="12" fillId="0" borderId="0" xfId="0" applyNumberFormat="true" applyFont="true" applyAlignment="true">
      <alignment horizontal="right" vertical="center"/>
    </xf>
    <xf numFmtId="167" fontId="12" fillId="0" borderId="0" xfId="0" applyNumberFormat="true" applyFont="true" applyAlignment="true">
      <alignment horizontal="right" vertical="center"/>
    </xf>
    <xf numFmtId="166" fontId="3" fillId="0" borderId="0" xfId="0" applyNumberFormat="true" applyFont="true" applyAlignment="true">
      <alignment/>
    </xf>
    <xf numFmtId="167" fontId="3" fillId="0" borderId="0" xfId="0" applyNumberFormat="true" applyFont="true" applyAlignment="true">
      <alignment/>
    </xf>
    <xf numFmtId="0" fontId="4" fillId="6" borderId="11" xfId="0" applyFont="true" applyFill="true" applyBorder="true" applyAlignment="true">
      <alignment vertical="center"/>
    </xf>
    <xf numFmtId="0" fontId="3" fillId="5" borderId="10" xfId="0" applyFont="true" applyFill="true" applyBorder="true" applyAlignment="true">
      <alignment horizontal="left" vertical="center"/>
    </xf>
    <xf numFmtId="0" fontId="3" fillId="5" borderId="10" xfId="0" applyFont="true" applyFill="true" applyBorder="true" applyAlignment="true">
      <alignment horizontal="center" vertical="center"/>
    </xf>
    <xf numFmtId="0" fontId="12" fillId="7" borderId="0" xfId="0" applyFont="true" applyFill="true" applyAlignment="true">
      <alignment horizontal="center" vertical="center"/>
    </xf>
    <xf numFmtId="0" fontId="12" fillId="7" borderId="12" xfId="0" applyFont="true" applyFill="true" applyBorder="true" applyAlignment="true">
      <alignment horizontal="center" vertical="center"/>
    </xf>
    <xf numFmtId="0" fontId="12" fillId="7" borderId="13" xfId="0" applyFont="true" applyFill="true" applyBorder="true" applyAlignment="true">
      <alignment horizontal="center" vertical="center"/>
    </xf>
    <xf numFmtId="0" fontId="12" fillId="7" borderId="14" xfId="0" applyFont="true" applyFill="true" applyBorder="true" applyAlignment="true">
      <alignment horizontal="center" vertical="center"/>
    </xf>
    <xf numFmtId="0" fontId="9" fillId="7" borderId="15" xfId="0" applyFont="true" applyFill="true" applyBorder="true" applyAlignment="true">
      <alignment horizontal="center" vertical="center"/>
    </xf>
    <xf numFmtId="0" fontId="9" fillId="7" borderId="16" xfId="0" applyFont="true" applyFill="true" applyBorder="true" applyAlignment="true">
      <alignment horizontal="center" vertical="center"/>
    </xf>
    <xf numFmtId="0" fontId="3" fillId="5" borderId="17" xfId="0" applyFont="true" applyFill="true" applyBorder="true" applyAlignment="true">
      <alignment horizontal="left" vertical="center"/>
    </xf>
    <xf numFmtId="167" fontId="3" fillId="5" borderId="18" xfId="0" applyNumberFormat="true" applyFont="true" applyFill="true" applyBorder="true" applyAlignment="true">
      <alignment horizontal="right" vertical="center"/>
    </xf>
    <xf numFmtId="0" fontId="3" fillId="5" borderId="19" xfId="0" applyFont="true" applyFill="true" applyBorder="true" applyAlignment="true">
      <alignment horizontal="left" vertical="center"/>
    </xf>
    <xf numFmtId="166" fontId="3" fillId="5" borderId="20" xfId="0" applyNumberFormat="true" applyFont="true" applyFill="true" applyBorder="true" applyAlignment="true">
      <alignment horizontal="right" vertical="center"/>
    </xf>
    <xf numFmtId="167" fontId="3" fillId="5" borderId="21" xfId="0" applyNumberFormat="true" applyFont="true" applyFill="true" applyBorder="true" applyAlignment="true">
      <alignment horizontal="right" vertical="center"/>
    </xf>
    <xf numFmtId="0" fontId="5" fillId="7" borderId="22" xfId="0" applyFont="true" applyFill="true" applyBorder="true" applyAlignment="true">
      <alignment vertical="center"/>
    </xf>
    <xf numFmtId="0" fontId="5" fillId="7" borderId="23" xfId="0" applyFont="true" applyFill="true" applyBorder="true" applyAlignment="true">
      <alignment vertical="center"/>
    </xf>
    <xf numFmtId="0" fontId="0" fillId="0" borderId="24" xfId="0" applyBorder="true" applyAlignment="false">
      <alignment/>
    </xf>
    <xf numFmtId="0" fontId="0" fillId="0" borderId="25" xfId="0" applyBorder="true" applyAlignment="false">
      <alignment/>
    </xf>
    <xf numFmtId="0" fontId="6" fillId="7" borderId="26" xfId="0" applyFont="true" applyFill="true" applyBorder="true" applyAlignment="true">
      <alignment horizontal="left" vertical="center"/>
    </xf>
    <xf numFmtId="0" fontId="6" fillId="7" borderId="27" xfId="0" applyFont="true" applyFill="true" applyBorder="true" applyAlignment="true">
      <alignment horizontal="left" vertical="center"/>
    </xf>
    <xf numFmtId="0" fontId="4" fillId="6" borderId="28" xfId="0" applyFont="true" applyFill="true" applyBorder="true" applyAlignment="true">
      <alignment horizontal="left" vertical="center"/>
    </xf>
    <xf numFmtId="0" fontId="4" fillId="6" borderId="29" xfId="0" applyFont="true" applyFill="true" applyBorder="true" applyAlignment="true">
      <alignment horizontal="left" vertical="center"/>
    </xf>
    <xf numFmtId="0" fontId="10" fillId="0" borderId="24" xfId="0" applyFont="true" applyBorder="true" applyAlignment="true">
      <alignment/>
    </xf>
    <xf numFmtId="167" fontId="12" fillId="0" borderId="25" xfId="0" applyNumberFormat="true" applyFont="true" applyBorder="true" applyAlignment="true">
      <alignment horizontal="right" vertical="center"/>
    </xf>
    <xf numFmtId="0" fontId="4" fillId="6" borderId="30" xfId="0" applyFont="true" applyFill="true" applyBorder="true" applyAlignment="true">
      <alignment vertical="center"/>
    </xf>
    <xf numFmtId="0" fontId="4" fillId="6" borderId="31" xfId="0" applyFont="true" applyFill="true" applyBorder="true" applyAlignment="true">
      <alignment vertical="center"/>
    </xf>
    <xf numFmtId="0" fontId="4" fillId="6" borderId="32" xfId="0" applyFont="true" applyFill="true" applyBorder="true" applyAlignment="true">
      <alignment vertical="center"/>
    </xf>
    <xf numFmtId="0" fontId="4" fillId="6" borderId="33" xfId="0" applyFont="true" applyFill="true" applyBorder="true" applyAlignment="true">
      <alignment vertical="center"/>
    </xf>
    <xf numFmtId="0" fontId="4" fillId="6" borderId="34" xfId="0" applyFont="true" applyFill="true" applyBorder="true" applyAlignment="true">
      <alignment vertical="center"/>
    </xf>
    <xf numFmtId="0" fontId="13" fillId="7" borderId="10" xfId="0" applyFont="true" applyFill="true" applyBorder="true" applyAlignment="true">
      <alignment horizontal="center" vertical="center"/>
    </xf>
    <xf numFmtId="167" fontId="9" fillId="0" borderId="10" xfId="0" applyNumberFormat="true" applyFont="true" applyBorder="true" applyAlignment="true">
      <alignment horizontal="center" vertical="center"/>
    </xf>
    <xf numFmtId="0" fontId="14" fillId="0" borderId="10" xfId="0" applyFont="true" applyBorder="true" applyAlignment="true">
      <alignment horizontal="center" vertical="center"/>
    </xf>
    <xf numFmtId="0" fontId="15" fillId="8" borderId="10" xfId="0" applyFont="true" applyFill="true" applyBorder="true" applyAlignment="true">
      <alignment horizontal="center" vertical="center"/>
    </xf>
    <xf numFmtId="0" fontId="13" fillId="7" borderId="35" xfId="0" applyFont="true" applyFill="true" applyBorder="true" applyAlignment="true">
      <alignment horizontal="center" vertical="center"/>
    </xf>
    <xf numFmtId="167" fontId="9" fillId="0" borderId="36" xfId="0" applyNumberFormat="true" applyFont="true" applyBorder="true" applyAlignment="true">
      <alignment horizontal="center" vertical="center"/>
    </xf>
    <xf numFmtId="0" fontId="14" fillId="0" borderId="36" xfId="0" applyFont="true" applyBorder="true" applyAlignment="true">
      <alignment horizontal="center" vertical="center"/>
    </xf>
    <xf numFmtId="0" fontId="3" fillId="5" borderId="36" xfId="0" applyFont="true" applyFill="true" applyBorder="true" applyAlignment="true">
      <alignment horizontal="center" vertical="center"/>
    </xf>
    <xf numFmtId="0" fontId="15" fillId="8" borderId="37" xfId="0" applyFont="true" applyFill="true" applyBorder="true" applyAlignment="true">
      <alignment horizontal="center" vertical="center"/>
    </xf>
    <xf numFmtId="0" fontId="16" fillId="8" borderId="10" xfId="0" applyFont="true" applyFill="true" applyBorder="true" applyAlignment="true">
      <alignment horizontal="center" vertical="center"/>
    </xf>
    <xf numFmtId="0" fontId="3" fillId="8" borderId="10" xfId="0" applyFont="true" applyFill="true" applyBorder="true" applyAlignment="true">
      <alignment horizontal="left" vertical="top" wrapText="true"/>
    </xf>
    <xf numFmtId="0" fontId="17" fillId="0" borderId="10" xfId="0" applyFont="true" applyBorder="true" applyAlignment="true">
      <alignment horizontal="left" vertical="center"/>
    </xf>
    <xf numFmtId="0" fontId="13" fillId="7" borderId="38" xfId="0" applyFont="true" applyFill="true" applyBorder="true" applyAlignment="true">
      <alignment horizontal="center" vertical="center"/>
    </xf>
    <xf numFmtId="0" fontId="13" fillId="7" borderId="39" xfId="0" applyFont="true" applyFill="true" applyBorder="true" applyAlignment="true">
      <alignment horizontal="center" vertical="center"/>
    </xf>
    <xf numFmtId="0" fontId="13" fillId="7" borderId="40" xfId="0" applyFont="true" applyFill="true" applyBorder="true" applyAlignment="true">
      <alignment horizontal="center" vertical="center"/>
    </xf>
    <xf numFmtId="0" fontId="17" fillId="0" borderId="17" xfId="0" applyFont="true" applyBorder="true" applyAlignment="true">
      <alignment horizontal="left" vertical="center"/>
    </xf>
    <xf numFmtId="0" fontId="15" fillId="8" borderId="18" xfId="0" applyFont="true" applyFill="true" applyBorder="true" applyAlignment="true">
      <alignment horizontal="center" vertical="center"/>
    </xf>
    <xf numFmtId="0" fontId="17" fillId="0" borderId="19" xfId="0" applyFont="true" applyBorder="true" applyAlignment="true">
      <alignment horizontal="left" vertical="center"/>
    </xf>
    <xf numFmtId="0" fontId="17" fillId="0" borderId="20" xfId="0" applyFont="true" applyBorder="true" applyAlignment="true">
      <alignment horizontal="left" vertical="center"/>
    </xf>
    <xf numFmtId="0" fontId="15" fillId="8" borderId="21" xfId="0" applyFont="true" applyFill="true" applyBorder="true" applyAlignment="true">
      <alignment horizontal="center" vertical="center"/>
    </xf>
    <xf numFmtId="0" fontId="5" fillId="7" borderId="0" xfId="0" applyFont="true" applyFill="true" applyAlignment="true">
      <alignment horizontal="center" vertical="center"/>
    </xf>
    <xf numFmtId="0" fontId="3" fillId="5" borderId="10" xfId="0" applyFont="true" applyFill="true" applyBorder="true" applyAlignment="true">
      <alignment vertical="center"/>
    </xf>
    <xf numFmtId="166" fontId="3" fillId="5" borderId="10" xfId="0" applyNumberFormat="true" applyFont="true" applyFill="true" applyBorder="true" applyAlignment="true">
      <alignment vertical="center"/>
    </xf>
    <xf numFmtId="164" fontId="3" fillId="5" borderId="10" xfId="0" applyNumberFormat="true" applyFont="true" applyFill="true" applyBorder="true" applyAlignment="true">
      <alignment horizontal="center" vertical="center"/>
    </xf>
    <xf numFmtId="0" fontId="9" fillId="7" borderId="10" xfId="0" applyFont="true" applyFill="true" applyBorder="true" applyAlignment="true">
      <alignment horizontal="center" vertical="center"/>
    </xf>
    <xf numFmtId="0" fontId="9" fillId="7" borderId="10" xfId="0" applyFont="true" applyFill="true" applyBorder="true" applyAlignment="true">
      <alignment vertical="center"/>
    </xf>
    <xf numFmtId="166" fontId="9" fillId="7" borderId="10" xfId="0" applyNumberFormat="true" applyFont="true" applyFill="true" applyBorder="true" applyAlignment="true">
      <alignment vertical="center"/>
    </xf>
    <xf numFmtId="0" fontId="9" fillId="7" borderId="41" xfId="0" applyFont="true" applyFill="true" applyBorder="true" applyAlignment="true">
      <alignment horizontal="center" vertical="center"/>
    </xf>
    <xf numFmtId="0" fontId="9" fillId="7" borderId="42" xfId="0" applyFont="true" applyFill="true" applyBorder="true" applyAlignment="true">
      <alignment horizontal="center" vertical="center"/>
    </xf>
    <xf numFmtId="0" fontId="9" fillId="7" borderId="43" xfId="0" applyFont="true" applyFill="true" applyBorder="true" applyAlignment="true">
      <alignment horizontal="center" vertical="center"/>
    </xf>
    <xf numFmtId="0" fontId="3" fillId="5" borderId="38" xfId="0" applyFont="true" applyFill="true" applyBorder="true" applyAlignment="true">
      <alignment vertical="center"/>
    </xf>
    <xf numFmtId="0" fontId="3" fillId="5" borderId="39" xfId="0" applyFont="true" applyFill="true" applyBorder="true" applyAlignment="true">
      <alignment vertical="center"/>
    </xf>
    <xf numFmtId="166" fontId="3" fillId="5" borderId="39" xfId="0" applyNumberFormat="true" applyFont="true" applyFill="true" applyBorder="true" applyAlignment="true">
      <alignment vertical="center"/>
    </xf>
    <xf numFmtId="164" fontId="3" fillId="5" borderId="40" xfId="0" applyNumberFormat="true" applyFont="true" applyFill="true" applyBorder="true" applyAlignment="true">
      <alignment horizontal="center" vertical="center"/>
    </xf>
    <xf numFmtId="0" fontId="3" fillId="5" borderId="17" xfId="0" applyFont="true" applyFill="true" applyBorder="true" applyAlignment="true">
      <alignment vertical="center"/>
    </xf>
    <xf numFmtId="164" fontId="3" fillId="5" borderId="18" xfId="0" applyNumberFormat="true" applyFont="true" applyFill="true" applyBorder="true" applyAlignment="true">
      <alignment horizontal="center" vertical="center"/>
    </xf>
    <xf numFmtId="0" fontId="3" fillId="5" borderId="19" xfId="0" applyFont="true" applyFill="true" applyBorder="true" applyAlignment="true">
      <alignment vertical="center"/>
    </xf>
    <xf numFmtId="0" fontId="3" fillId="5" borderId="20" xfId="0" applyFont="true" applyFill="true" applyBorder="true" applyAlignment="true">
      <alignment vertical="center"/>
    </xf>
    <xf numFmtId="166" fontId="3" fillId="5" borderId="20" xfId="0" applyNumberFormat="true" applyFont="true" applyFill="true" applyBorder="true" applyAlignment="true">
      <alignment vertical="center"/>
    </xf>
    <xf numFmtId="164" fontId="3" fillId="5" borderId="21" xfId="0" applyNumberFormat="true" applyFont="true" applyFill="true" applyBorder="true" applyAlignment="true">
      <alignment horizontal="center" vertical="center"/>
    </xf>
    <xf numFmtId="0" fontId="9" fillId="7" borderId="41" xfId="0" applyFont="true" applyFill="true" applyBorder="true" applyAlignment="true">
      <alignment vertical="center"/>
    </xf>
    <xf numFmtId="0" fontId="9" fillId="7" borderId="42" xfId="0" applyFont="true" applyFill="true" applyBorder="true" applyAlignment="true">
      <alignment vertical="center"/>
    </xf>
    <xf numFmtId="166" fontId="9" fillId="7" borderId="42" xfId="0" applyNumberFormat="true" applyFont="true" applyFill="true" applyBorder="true" applyAlignment="true">
      <alignment vertical="center"/>
    </xf>
    <xf numFmtId="0" fontId="9" fillId="7" borderId="43" xfId="0" applyFont="true" applyFill="true" applyBorder="true" applyAlignment="true">
      <alignment vertical="center"/>
    </xf>
    <xf numFmtId="0" fontId="12" fillId="0" borderId="0" xfId="0" applyFont="true" applyAlignment="true">
      <alignment horizontal="left" vertical="center"/>
    </xf>
    <xf numFmtId="0" fontId="3" fillId="6" borderId="0" xfId="0" applyFont="true" applyFill="true" applyAlignment="true">
      <alignment horizontal="left" vertical="center"/>
    </xf>
    <xf numFmtId="0" fontId="3" fillId="6" borderId="44" xfId="0" applyFont="true" applyFill="true" applyBorder="true" applyAlignment="true">
      <alignment horizontal="center" vertical="center"/>
    </xf>
    <xf numFmtId="0" fontId="3" fillId="5" borderId="0" xfId="0" applyFont="true" applyFill="true" applyAlignment="true">
      <alignment horizontal="left" vertical="center"/>
    </xf>
    <xf numFmtId="0" fontId="3" fillId="5" borderId="44" xfId="0" applyFont="true" applyFill="true" applyBorder="true" applyAlignment="true">
      <alignment horizontal="right" vertical="center"/>
    </xf>
    <xf numFmtId="0" fontId="3" fillId="0" borderId="0" xfId="0" applyFont="true" applyAlignment="true">
      <alignment horizontal="left" vertical="center"/>
    </xf>
    <xf numFmtId="168" fontId="3" fillId="0" borderId="44" xfId="0" applyNumberFormat="true" applyFont="true" applyBorder="true" applyAlignment="true">
      <alignment horizontal="center" vertical="center"/>
    </xf>
    <xf numFmtId="0" fontId="12" fillId="7" borderId="6" xfId="0" applyFont="true" applyFill="true" applyBorder="true" applyAlignment="true">
      <alignment horizontal="left" vertical="center"/>
    </xf>
    <xf numFmtId="0" fontId="12" fillId="7" borderId="11" xfId="0" applyFont="true" applyFill="true" applyBorder="true" applyAlignment="true">
      <alignment horizontal="left" vertical="center"/>
    </xf>
    <xf numFmtId="0" fontId="12" fillId="7" borderId="11" xfId="0" applyFont="true" applyFill="true" applyBorder="true" applyAlignment="true">
      <alignment horizontal="center" vertical="center" wrapText="true"/>
    </xf>
    <xf numFmtId="0" fontId="3" fillId="9" borderId="10" xfId="0" applyFont="true" applyFill="true" applyBorder="true" applyAlignment="true">
      <alignment horizontal="left" vertical="center"/>
    </xf>
    <xf numFmtId="166" fontId="3" fillId="9" borderId="10" xfId="0" applyNumberFormat="true" applyFont="true" applyFill="true" applyBorder="true" applyAlignment="true">
      <alignment horizontal="right" vertical="center"/>
    </xf>
    <xf numFmtId="167" fontId="3" fillId="9" borderId="10" xfId="0" applyNumberFormat="true" applyFont="true" applyFill="true" applyBorder="true" applyAlignment="true">
      <alignment horizontal="right" vertical="center"/>
    </xf>
    <xf numFmtId="0" fontId="12" fillId="6" borderId="11" xfId="0" applyFont="true" applyFill="true" applyBorder="true" applyAlignment="true">
      <alignment horizontal="left" vertical="center"/>
    </xf>
    <xf numFmtId="166" fontId="12" fillId="6" borderId="11" xfId="0" applyNumberFormat="true" applyFont="true" applyFill="true" applyBorder="true" applyAlignment="true">
      <alignment horizontal="right" vertical="center"/>
    </xf>
    <xf numFmtId="167" fontId="12" fillId="6" borderId="11" xfId="0" applyNumberFormat="true" applyFont="true" applyFill="true" applyBorder="true" applyAlignment="true">
      <alignment horizontal="right" vertical="center"/>
    </xf>
    <xf numFmtId="0" fontId="12" fillId="7" borderId="11" xfId="0" applyFont="true" applyFill="true" applyBorder="true" applyAlignment="true">
      <alignment horizontal="center" vertical="center"/>
    </xf>
    <xf numFmtId="169" fontId="3" fillId="9" borderId="10" xfId="0" applyNumberFormat="true" applyFont="true" applyFill="true" applyBorder="true" applyAlignment="true">
      <alignment horizontal="center" vertical="center"/>
    </xf>
    <xf numFmtId="0" fontId="12" fillId="6" borderId="10" xfId="0" applyFont="true" applyFill="true" applyBorder="true" applyAlignment="true">
      <alignment horizontal="left"/>
    </xf>
    <xf numFmtId="166" fontId="12" fillId="6" borderId="10" xfId="0" applyNumberFormat="true" applyFont="true" applyFill="true" applyBorder="true" applyAlignment="true">
      <alignment horizontal="right"/>
    </xf>
    <xf numFmtId="167" fontId="12" fillId="6" borderId="10" xfId="0" applyNumberFormat="true" applyFont="true" applyFill="true" applyBorder="true" applyAlignment="true">
      <alignment horizontal="right"/>
    </xf>
    <xf numFmtId="166" fontId="12" fillId="0" borderId="45" xfId="0" applyNumberFormat="true" applyFont="true" applyBorder="true" applyAlignment="true">
      <alignment/>
    </xf>
    <xf numFmtId="167" fontId="12" fillId="0" borderId="45" xfId="0" applyNumberFormat="true" applyFont="true" applyBorder="true" applyAlignment="true">
      <alignment/>
    </xf>
    <xf numFmtId="0" fontId="3" fillId="0" borderId="44" xfId="0" applyFont="true" applyBorder="true" applyAlignment="true">
      <alignment horizontal="left" vertical="center"/>
    </xf>
    <xf numFmtId="166" fontId="3" fillId="5" borderId="44" xfId="0" applyNumberFormat="true" applyFont="true" applyFill="true" applyBorder="true" applyAlignment="true">
      <alignment horizontal="right" vertical="center"/>
    </xf>
    <xf numFmtId="167" fontId="3" fillId="9" borderId="44" xfId="0" applyNumberFormat="true" applyFont="true" applyFill="true" applyBorder="true" applyAlignment="true">
      <alignment horizontal="right" vertical="center"/>
    </xf>
    <xf numFmtId="0" fontId="18" fillId="0" borderId="0" xfId="0" applyFont="true" applyAlignment="true">
      <alignment horizontal="left" vertical="center"/>
    </xf>
    <xf numFmtId="166" fontId="18" fillId="0" borderId="0" xfId="0" applyNumberFormat="true" applyFont="true" applyAlignment="true">
      <alignment horizontal="right" vertical="center"/>
    </xf>
    <xf numFmtId="167" fontId="18" fillId="0" borderId="0" xfId="0" applyNumberFormat="true" applyFont="true" applyAlignment="true">
      <alignment horizontal="right" vertical="center"/>
    </xf>
    <xf numFmtId="0" fontId="12" fillId="0" borderId="12" xfId="0" applyFont="true" applyBorder="true" applyAlignment="true">
      <alignment horizontal="left" vertical="center"/>
    </xf>
    <xf numFmtId="0" fontId="3" fillId="6" borderId="46" xfId="0" applyFont="true" applyFill="true" applyBorder="true" applyAlignment="true">
      <alignment horizontal="center" vertical="center"/>
    </xf>
    <xf numFmtId="0" fontId="0" fillId="0" borderId="13" xfId="0" applyBorder="true" applyAlignment="false">
      <alignment/>
    </xf>
    <xf numFmtId="0" fontId="0" fillId="0" borderId="14" xfId="0" applyBorder="true" applyAlignment="false">
      <alignment/>
    </xf>
    <xf numFmtId="0" fontId="12" fillId="0" borderId="24" xfId="0" applyFont="true" applyBorder="true" applyAlignment="true">
      <alignment horizontal="left" vertical="center"/>
    </xf>
    <xf numFmtId="0" fontId="12" fillId="7" borderId="26" xfId="0" applyFont="true" applyFill="true" applyBorder="true" applyAlignment="true">
      <alignment horizontal="left" vertical="center"/>
    </xf>
    <xf numFmtId="0" fontId="12" fillId="7" borderId="27" xfId="0" applyFont="true" applyFill="true" applyBorder="true" applyAlignment="true">
      <alignment horizontal="left" vertical="center"/>
    </xf>
    <xf numFmtId="0" fontId="12" fillId="7" borderId="30" xfId="0" applyFont="true" applyFill="true" applyBorder="true" applyAlignment="true">
      <alignment horizontal="left" vertical="center"/>
    </xf>
    <xf numFmtId="0" fontId="12" fillId="7" borderId="31" xfId="0" applyFont="true" applyFill="true" applyBorder="true" applyAlignment="true">
      <alignment horizontal="center" vertical="center" wrapText="true"/>
    </xf>
    <xf numFmtId="0" fontId="3" fillId="9" borderId="17" xfId="0" applyFont="true" applyFill="true" applyBorder="true" applyAlignment="true">
      <alignment horizontal="left" vertical="center"/>
    </xf>
    <xf numFmtId="167" fontId="3" fillId="9" borderId="18" xfId="0" applyNumberFormat="true" applyFont="true" applyFill="true" applyBorder="true" applyAlignment="true">
      <alignment horizontal="right" vertical="center"/>
    </xf>
    <xf numFmtId="0" fontId="12" fillId="6" borderId="30" xfId="0" applyFont="true" applyFill="true" applyBorder="true" applyAlignment="true">
      <alignment horizontal="left" vertical="center"/>
    </xf>
    <xf numFmtId="167" fontId="12" fillId="6" borderId="31" xfId="0" applyNumberFormat="true" applyFont="true" applyFill="true" applyBorder="true" applyAlignment="true">
      <alignment horizontal="right" vertical="center"/>
    </xf>
    <xf numFmtId="0" fontId="12" fillId="7" borderId="30" xfId="0" applyFont="true" applyFill="true" applyBorder="true" applyAlignment="true">
      <alignment horizontal="center" vertical="center"/>
    </xf>
    <xf numFmtId="0" fontId="12" fillId="7" borderId="31" xfId="0" applyFont="true" applyFill="true" applyBorder="true" applyAlignment="true">
      <alignment horizontal="center" vertical="center"/>
    </xf>
    <xf numFmtId="169" fontId="3" fillId="9" borderId="17" xfId="0" applyNumberFormat="true" applyFont="true" applyFill="true" applyBorder="true" applyAlignment="true">
      <alignment horizontal="center" vertical="center"/>
    </xf>
    <xf numFmtId="0" fontId="12" fillId="6" borderId="17" xfId="0" applyFont="true" applyFill="true" applyBorder="true" applyAlignment="true">
      <alignment horizontal="left"/>
    </xf>
    <xf numFmtId="167" fontId="12" fillId="6" borderId="18" xfId="0" applyNumberFormat="true" applyFont="true" applyFill="true" applyBorder="true" applyAlignment="true">
      <alignment horizontal="right"/>
    </xf>
    <xf numFmtId="167" fontId="12" fillId="0" borderId="47" xfId="0" applyNumberFormat="true" applyFont="true" applyBorder="true" applyAlignment="true">
      <alignment/>
    </xf>
    <xf numFmtId="0" fontId="3" fillId="0" borderId="24" xfId="0" applyFont="true" applyBorder="true" applyAlignment="true">
      <alignment horizontal="left" vertical="center"/>
    </xf>
    <xf numFmtId="0" fontId="3" fillId="0" borderId="48" xfId="0" applyFont="true" applyBorder="true" applyAlignment="true">
      <alignment horizontal="left" vertical="center"/>
    </xf>
    <xf numFmtId="0" fontId="18" fillId="0" borderId="15" xfId="0" applyFont="true" applyBorder="true" applyAlignment="true">
      <alignment horizontal="left" vertical="center"/>
    </xf>
    <xf numFmtId="166" fontId="18" fillId="0" borderId="8" xfId="0" applyNumberFormat="true" applyFont="true" applyBorder="true" applyAlignment="true">
      <alignment horizontal="right" vertical="center"/>
    </xf>
    <xf numFmtId="167" fontId="18" fillId="0" borderId="8" xfId="0" applyNumberFormat="true" applyFont="true" applyBorder="true" applyAlignment="true">
      <alignment horizontal="right" vertical="center"/>
    </xf>
    <xf numFmtId="0" fontId="0" fillId="0" borderId="8" xfId="0" applyBorder="true" applyAlignment="false">
      <alignment/>
    </xf>
    <xf numFmtId="0" fontId="0" fillId="0" borderId="16" xfId="0" applyBorder="true" applyAlignment="false">
      <alignment/>
    </xf>
    <xf numFmtId="0" fontId="8" fillId="9" borderId="10" xfId="0" applyFont="true" applyFill="true" applyBorder="true" applyAlignment="true">
      <alignment horizontal="left"/>
    </xf>
    <xf numFmtId="0" fontId="8" fillId="9" borderId="10" xfId="0" applyFont="true" applyFill="true" applyBorder="true" applyAlignment="true">
      <alignment horizontal="center"/>
    </xf>
    <xf numFmtId="166" fontId="8" fillId="9" borderId="10" xfId="0" applyNumberFormat="true" applyFont="true" applyFill="true" applyBorder="true" applyAlignment="true">
      <alignment horizontal="right"/>
    </xf>
    <xf numFmtId="167" fontId="8" fillId="9" borderId="10" xfId="0" applyNumberFormat="true" applyFont="true" applyFill="true" applyBorder="true" applyAlignment="true">
      <alignment horizontal="right"/>
    </xf>
    <xf numFmtId="168" fontId="8" fillId="9" borderId="10" xfId="0" applyNumberFormat="true" applyFont="true" applyFill="true" applyBorder="true" applyAlignment="true">
      <alignment horizontal="right"/>
    </xf>
    <xf numFmtId="0" fontId="3" fillId="5" borderId="10" xfId="0" applyFont="true" applyFill="true" applyBorder="true" applyAlignment="true">
      <alignment horizontal="left"/>
    </xf>
    <xf numFmtId="0" fontId="3" fillId="5" borderId="10" xfId="0" applyFont="true" applyFill="true" applyBorder="true" applyAlignment="true">
      <alignment horizontal="center"/>
    </xf>
    <xf numFmtId="166" fontId="3" fillId="5" borderId="10" xfId="0" applyNumberFormat="true" applyFont="true" applyFill="true" applyBorder="true" applyAlignment="true">
      <alignment horizontal="right"/>
    </xf>
    <xf numFmtId="167" fontId="3" fillId="5" borderId="10" xfId="0" applyNumberFormat="true" applyFont="true" applyFill="true" applyBorder="true" applyAlignment="true">
      <alignment horizontal="right"/>
    </xf>
    <xf numFmtId="168" fontId="3" fillId="9" borderId="10" xfId="0" applyNumberFormat="true" applyFont="true" applyFill="true" applyBorder="true" applyAlignment="true">
      <alignment horizontal="right"/>
    </xf>
    <xf numFmtId="0" fontId="12" fillId="9" borderId="10" xfId="0" applyFont="true" applyFill="true" applyBorder="true" applyAlignment="true">
      <alignment horizontal="left"/>
    </xf>
    <xf numFmtId="0" fontId="12" fillId="9" borderId="10" xfId="0" applyFont="true" applyFill="true" applyBorder="true" applyAlignment="true">
      <alignment horizontal="center"/>
    </xf>
    <xf numFmtId="166" fontId="12" fillId="9" borderId="10" xfId="0" applyNumberFormat="true" applyFont="true" applyFill="true" applyBorder="true" applyAlignment="true">
      <alignment horizontal="right"/>
    </xf>
    <xf numFmtId="167" fontId="12" fillId="9" borderId="10" xfId="0" applyNumberFormat="true" applyFont="true" applyFill="true" applyBorder="true" applyAlignment="true">
      <alignment horizontal="right"/>
    </xf>
    <xf numFmtId="168" fontId="12" fillId="9" borderId="10" xfId="0" applyNumberFormat="true" applyFont="true" applyFill="true" applyBorder="true" applyAlignment="true">
      <alignment horizontal="right"/>
    </xf>
    <xf numFmtId="167" fontId="3" fillId="9" borderId="10" xfId="0" applyNumberFormat="true" applyFont="true" applyFill="true" applyBorder="true" applyAlignment="true">
      <alignment horizontal="right"/>
    </xf>
    <xf numFmtId="0" fontId="19" fillId="0" borderId="0" xfId="0" applyFont="true" applyAlignment="true">
      <alignment horizontal="center" vertical="center"/>
    </xf>
    <xf numFmtId="0" fontId="3" fillId="8" borderId="44" xfId="0" applyFont="true" applyFill="true" applyBorder="true" applyAlignment="true">
      <alignment horizontal="center" vertical="center"/>
    </xf>
    <xf numFmtId="170" fontId="3" fillId="5" borderId="44" xfId="0" applyNumberFormat="true" applyFont="true" applyFill="true" applyBorder="true" applyAlignment="true">
      <alignment horizontal="center" vertical="center"/>
    </xf>
    <xf numFmtId="165" fontId="3" fillId="5" borderId="44" xfId="0" applyNumberFormat="true" applyFont="true" applyFill="true" applyBorder="true" applyAlignment="true">
      <alignment horizontal="center" vertical="center"/>
    </xf>
    <xf numFmtId="0" fontId="12" fillId="8" borderId="11" xfId="0" applyFont="true" applyFill="true" applyBorder="true" applyAlignment="true">
      <alignment horizontal="center" vertical="center"/>
    </xf>
    <xf numFmtId="0" fontId="3" fillId="0" borderId="10" xfId="0" applyFont="true" applyBorder="true" applyAlignment="true">
      <alignment horizontal="left" vertical="center"/>
    </xf>
    <xf numFmtId="167" fontId="3" fillId="0" borderId="10" xfId="0" applyNumberFormat="true" applyFont="true" applyBorder="true" applyAlignment="true">
      <alignment horizontal="right" vertical="center"/>
    </xf>
    <xf numFmtId="0" fontId="12" fillId="8" borderId="49" xfId="0" applyFont="true" applyFill="true" applyBorder="true" applyAlignment="true">
      <alignment horizontal="left" vertical="center"/>
    </xf>
    <xf numFmtId="166" fontId="12" fillId="8" borderId="49" xfId="0" applyNumberFormat="true" applyFont="true" applyFill="true" applyBorder="true" applyAlignment="true">
      <alignment horizontal="right" vertical="center"/>
    </xf>
    <xf numFmtId="167" fontId="12" fillId="8" borderId="49" xfId="0" applyNumberFormat="true" applyFont="true" applyFill="true" applyBorder="true" applyAlignment="true">
      <alignment horizontal="right" vertical="center"/>
    </xf>
    <xf numFmtId="166" fontId="8" fillId="0" borderId="0" xfId="0" applyNumberFormat="true" applyFont="true" applyAlignment="true">
      <alignment horizontal="right" vertical="center"/>
    </xf>
    <xf numFmtId="167" fontId="3" fillId="0" borderId="0" xfId="0" applyNumberFormat="true" applyFont="true" applyAlignment="true">
      <alignment horizontal="right" vertical="center"/>
    </xf>
    <xf numFmtId="166" fontId="8" fillId="0" borderId="10" xfId="0" applyNumberFormat="true" applyFont="true" applyBorder="true" applyAlignment="true">
      <alignment horizontal="right" vertical="center"/>
    </xf>
    <xf numFmtId="0" fontId="20" fillId="0" borderId="50" xfId="0" applyFont="true" applyBorder="true" applyAlignment="true">
      <alignment horizontal="left" vertical="center"/>
    </xf>
    <xf numFmtId="166" fontId="20" fillId="10" borderId="49" xfId="0" applyNumberFormat="true" applyFont="true" applyFill="true" applyBorder="true" applyAlignment="true">
      <alignment horizontal="right" vertical="center"/>
    </xf>
    <xf numFmtId="167" fontId="20" fillId="10" borderId="49" xfId="0" applyNumberFormat="true" applyFont="true" applyFill="true" applyBorder="true" applyAlignment="true">
      <alignment horizontal="right" vertical="center"/>
    </xf>
    <xf numFmtId="0" fontId="12" fillId="7" borderId="0" xfId="0" applyFont="true" applyFill="true" applyAlignment="true">
      <alignment/>
    </xf>
  </cellXfs>
  <cellStyles count="1">
    <cellStyle name="Normal" xfId="0" builtinId="0"/>
  </cellStyles>
  <dxfs count="9">
    <dxf>
      <font>
        <name val="Segoe UI"/>
        <family val="2"/>
        <color rgb="FF646464"/>
      </font>
      <fill>
        <patternFill patternType="solid">
          <bgColor rgb="FFF0F0F0"/>
        </patternFill>
      </fill>
      <alignment/>
    </dxf>
    <dxf>
      <font>
        <name val="Segoe UI"/>
        <family val="2"/>
        <strike val="1"/>
        <color rgb="FF646464"/>
      </font>
      <alignment/>
    </dxf>
    <dxf>
      <font>
        <name val="Segoe UI"/>
        <family val="2"/>
        <b val="1"/>
        <color rgb="FF006100"/>
        <sz val="9"/>
      </font>
      <fill>
        <patternFill patternType="solid">
          <bgColor rgb="FFC6EFCE"/>
        </patternFill>
      </fill>
      <alignment/>
      <border>
        <left style="medium">
          <color rgb="FF808080"/>
        </left>
        <right style="medium">
          <color rgb="FF808080"/>
        </right>
        <top style="thin">
          <color rgb="FF808080"/>
        </top>
        <bottom style="medium">
          <color rgb="FF808080"/>
        </bottom>
      </border>
    </dxf>
    <dxf>
      <font>
        <name val="Segoe UI"/>
        <family val="2"/>
        <b val="1"/>
        <color rgb="FFFFFFFF"/>
        <sz val="9"/>
      </font>
      <fill>
        <patternFill patternType="solid">
          <bgColor rgb="FF3C3C3C"/>
        </patternFill>
      </fill>
      <alignment horizontal="center" vertical="center"/>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FFFAE5"/>
        </patternFill>
      </fill>
      <alignment/>
      <border>
        <left style="thin">
          <color rgb="FF808080"/>
        </left>
        <right style="thin">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thin">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medium">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medium">
          <color rgb="FF808080"/>
        </bottom>
      </border>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ables/table1.xml><?xml version="1.0" encoding="utf-8"?>
<table xmlns="http://schemas.openxmlformats.org/spreadsheetml/2006/main" id="1" name="TblBudgetAusgaben" displayName="TblBudgetAusgaben" ref="B18:I26">
  <autoFilter ref="B18:I26"/>
  <tableColumns count="8">
    <tableColumn id="1" name="Kostenkategorie"/>
    <tableColumn id="2" name="ID"/>
    <tableColumn id="3" name="Kostenposition"/>
    <tableColumn id="4" name="Betrag (LC)"/>
    <tableColumn id="5" name="Jahr 1"/>
    <tableColumn id="6" name="Jahr 2"/>
    <tableColumn id="7" name="Jahr 3"/>
    <tableColumn id="8" name="Betrag (EUR)"/>
  </tableColumns>
  <tableStyleInfo showFirstColumn="false" showLastColumn="false" showRowStripes="false" showColumnStripes="false"/>
</table>
</file>

<file path=xl/tables/table2.xml><?xml version="1.0" encoding="utf-8"?>
<table xmlns="http://schemas.openxmlformats.org/spreadsheetml/2006/main" id="2" name="TblDrittmittel" displayName="TblDrittmittel" ref="K18:M21">
  <autoFilter ref="K18:M21"/>
  <tableColumns count="3">
    <tableColumn id="1" name="Name des Gebers"/>
    <tableColumn id="2" name="Betrag (LC)"/>
    <tableColumn id="3" name="Betrag (EUR)"/>
  </tableColumns>
  <tableStyleInfo showFirstColumn="false" showLastColumn="false" showRowStripes="false" showColumnStripes="false"/>
</table>
</file>

<file path=xl/tables/table3.xml><?xml version="1.0" encoding="utf-8"?>
<table xmlns="http://schemas.openxmlformats.org/spreadsheetml/2006/main" id="3" name="TblKMWMittel" displayName="TblKMWMittel" ref="B4:E22">
  <autoFilter ref="B4:E22"/>
  <tableColumns count="4">
    <tableColumn id="1" name="Periode"/>
    <tableColumn id="2" name="Waehrung"/>
    <tableColumn id="3" name="Betrag"/>
    <tableColumn id="4" name="Datum"/>
  </tableColumns>
  <tableStyleInfo name="TableStyleLight1" showFirstColumn="false" showLastColumn="false" showRowStripes="false" showColumnStripes="false"/>
</table>
</file>

<file path=xl/tables/table4.xml><?xml version="1.0" encoding="utf-8"?>
<table xmlns="http://schemas.openxmlformats.org/spreadsheetml/2006/main" id="4" name="Ausgaben_1" displayName="Ausgaben_1" ref="B18:F26">
  <autoFilter ref="B18:F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xml><?xml version="1.0" encoding="utf-8"?>
<table xmlns="http://schemas.openxmlformats.org/spreadsheetml/2006/main" id="5" name="Einnahmen_1" displayName="Einnahmen_1" ref="B40:F45">
  <autoFilter ref="B40:F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6.xml><?xml version="1.0" encoding="utf-8"?>
<table xmlns="http://schemas.openxmlformats.org/spreadsheetml/2006/main" id="6" name="Einnahmen_WK_1" displayName="Einnahmen_WK_1" ref="B49:F55">
  <autoFilter ref="B49:F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7.xml><?xml version="1.0" encoding="utf-8"?>
<table xmlns="http://schemas.openxmlformats.org/spreadsheetml/2006/main" id="7" name="Ausgaben_2" displayName="Ausgaben_2" ref="I18:M26">
  <autoFilter ref="I18:M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8.xml><?xml version="1.0" encoding="utf-8"?>
<table xmlns="http://schemas.openxmlformats.org/spreadsheetml/2006/main" id="8" name="Einnahmen_2" displayName="Einnahmen_2" ref="I40:M45">
  <autoFilter ref="I40:M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9.xml><?xml version="1.0" encoding="utf-8"?>
<table xmlns="http://schemas.openxmlformats.org/spreadsheetml/2006/main" id="9" name="Einnahmen_WK_2" displayName="Einnahmen_WK_2" ref="I49:M55">
  <autoFilter ref="I49:M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0.xml><?xml version="1.0" encoding="utf-8"?>
<table xmlns="http://schemas.openxmlformats.org/spreadsheetml/2006/main" id="10" name="Ausgaben_3" displayName="Ausgaben_3" ref="P18:T26">
  <autoFilter ref="P18:T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1.xml><?xml version="1.0" encoding="utf-8"?>
<table xmlns="http://schemas.openxmlformats.org/spreadsheetml/2006/main" id="11" name="Einnahmen_3" displayName="Einnahmen_3" ref="P40:T45">
  <autoFilter ref="P40:T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2.xml><?xml version="1.0" encoding="utf-8"?>
<table xmlns="http://schemas.openxmlformats.org/spreadsheetml/2006/main" id="12" name="Einnahmen_WK_3" displayName="Einnahmen_WK_3" ref="P49:T55">
  <autoFilter ref="P49:T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3.xml><?xml version="1.0" encoding="utf-8"?>
<table xmlns="http://schemas.openxmlformats.org/spreadsheetml/2006/main" id="13" name="Ausgaben_4" displayName="Ausgaben_4" ref="W18:AA26">
  <autoFilter ref="W18:AA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4.xml><?xml version="1.0" encoding="utf-8"?>
<table xmlns="http://schemas.openxmlformats.org/spreadsheetml/2006/main" id="14" name="Einnahmen_4" displayName="Einnahmen_4" ref="W40:AA45">
  <autoFilter ref="W40:AA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5.xml><?xml version="1.0" encoding="utf-8"?>
<table xmlns="http://schemas.openxmlformats.org/spreadsheetml/2006/main" id="15" name="Einnahmen_WK_4" displayName="Einnahmen_WK_4" ref="W49:AA55">
  <autoFilter ref="W49:AA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6.xml><?xml version="1.0" encoding="utf-8"?>
<table xmlns="http://schemas.openxmlformats.org/spreadsheetml/2006/main" id="16" name="Ausgaben_5" displayName="Ausgaben_5" ref="AD18:AH26">
  <autoFilter ref="AD18:AH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7.xml><?xml version="1.0" encoding="utf-8"?>
<table xmlns="http://schemas.openxmlformats.org/spreadsheetml/2006/main" id="17" name="Einnahmen_5" displayName="Einnahmen_5" ref="AD40:AH45">
  <autoFilter ref="AD40:AH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8.xml><?xml version="1.0" encoding="utf-8"?>
<table xmlns="http://schemas.openxmlformats.org/spreadsheetml/2006/main" id="18" name="Einnahmen_WK_5" displayName="Einnahmen_WK_5" ref="AD49:AH55">
  <autoFilter ref="AD49:AH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9.xml><?xml version="1.0" encoding="utf-8"?>
<table xmlns="http://schemas.openxmlformats.org/spreadsheetml/2006/main" id="19" name="Ausgaben_6" displayName="Ausgaben_6" ref="AK18:AO26">
  <autoFilter ref="AK18:AO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0.xml><?xml version="1.0" encoding="utf-8"?>
<table xmlns="http://schemas.openxmlformats.org/spreadsheetml/2006/main" id="20" name="Einnahmen_6" displayName="Einnahmen_6" ref="AK40:AO45">
  <autoFilter ref="AK40:AO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1.xml><?xml version="1.0" encoding="utf-8"?>
<table xmlns="http://schemas.openxmlformats.org/spreadsheetml/2006/main" id="21" name="Einnahmen_WK_6" displayName="Einnahmen_WK_6" ref="AK49:AO55">
  <autoFilter ref="AK49:AO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2.xml><?xml version="1.0" encoding="utf-8"?>
<table xmlns="http://schemas.openxmlformats.org/spreadsheetml/2006/main" id="22" name="Ausgaben_7" displayName="Ausgaben_7" ref="AR18:AV26">
  <autoFilter ref="AR18:AV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3.xml><?xml version="1.0" encoding="utf-8"?>
<table xmlns="http://schemas.openxmlformats.org/spreadsheetml/2006/main" id="23" name="Einnahmen_7" displayName="Einnahmen_7" ref="AR40:AV45">
  <autoFilter ref="AR40:AV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4.xml><?xml version="1.0" encoding="utf-8"?>
<table xmlns="http://schemas.openxmlformats.org/spreadsheetml/2006/main" id="24" name="Einnahmen_WK_7" displayName="Einnahmen_WK_7" ref="AR49:AV55">
  <autoFilter ref="AR49:AV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5.xml><?xml version="1.0" encoding="utf-8"?>
<table xmlns="http://schemas.openxmlformats.org/spreadsheetml/2006/main" id="25" name="Ausgaben_8" displayName="Ausgaben_8" ref="AY18:BC26">
  <autoFilter ref="AY18:BC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6.xml><?xml version="1.0" encoding="utf-8"?>
<table xmlns="http://schemas.openxmlformats.org/spreadsheetml/2006/main" id="26" name="Einnahmen_8" displayName="Einnahmen_8" ref="AY40:BC45">
  <autoFilter ref="AY40:BC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7.xml><?xml version="1.0" encoding="utf-8"?>
<table xmlns="http://schemas.openxmlformats.org/spreadsheetml/2006/main" id="27" name="Einnahmen_WK_8" displayName="Einnahmen_WK_8" ref="AY49:BC55">
  <autoFilter ref="AY49:BC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8.xml><?xml version="1.0" encoding="utf-8"?>
<table xmlns="http://schemas.openxmlformats.org/spreadsheetml/2006/main" id="28" name="Ausgaben_9" displayName="Ausgaben_9" ref="BF18:BJ26">
  <autoFilter ref="BF18:BJ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9.xml><?xml version="1.0" encoding="utf-8"?>
<table xmlns="http://schemas.openxmlformats.org/spreadsheetml/2006/main" id="29" name="Einnahmen_9" displayName="Einnahmen_9" ref="BF40:BJ45">
  <autoFilter ref="BF40:BJ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0.xml><?xml version="1.0" encoding="utf-8"?>
<table xmlns="http://schemas.openxmlformats.org/spreadsheetml/2006/main" id="30" name="Einnahmen_WK_9" displayName="Einnahmen_WK_9" ref="BF49:BJ55">
  <autoFilter ref="BF49:BJ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1.xml><?xml version="1.0" encoding="utf-8"?>
<table xmlns="http://schemas.openxmlformats.org/spreadsheetml/2006/main" id="31" name="Ausgaben_10" displayName="Ausgaben_10" ref="BM18:BQ26">
  <autoFilter ref="BM18:BQ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2.xml><?xml version="1.0" encoding="utf-8"?>
<table xmlns="http://schemas.openxmlformats.org/spreadsheetml/2006/main" id="32" name="Einnahmen_10" displayName="Einnahmen_10" ref="BM40:BQ45">
  <autoFilter ref="BM40:BQ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3.xml><?xml version="1.0" encoding="utf-8"?>
<table xmlns="http://schemas.openxmlformats.org/spreadsheetml/2006/main" id="33" name="Einnahmen_WK_10" displayName="Einnahmen_WK_10" ref="BM49:BQ55">
  <autoFilter ref="BM49:BQ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4.xml><?xml version="1.0" encoding="utf-8"?>
<table xmlns="http://schemas.openxmlformats.org/spreadsheetml/2006/main" id="34" name="Ausgaben_11" displayName="Ausgaben_11" ref="BT18:BX26">
  <autoFilter ref="BT18:BX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5.xml><?xml version="1.0" encoding="utf-8"?>
<table xmlns="http://schemas.openxmlformats.org/spreadsheetml/2006/main" id="35" name="Einnahmen_11" displayName="Einnahmen_11" ref="BT40:BX45">
  <autoFilter ref="BT40:BX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6.xml><?xml version="1.0" encoding="utf-8"?>
<table xmlns="http://schemas.openxmlformats.org/spreadsheetml/2006/main" id="36" name="Einnahmen_WK_11" displayName="Einnahmen_WK_11" ref="BT49:BX55">
  <autoFilter ref="BT49:BX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7.xml><?xml version="1.0" encoding="utf-8"?>
<table xmlns="http://schemas.openxmlformats.org/spreadsheetml/2006/main" id="37" name="Ausgaben_12" displayName="Ausgaben_12" ref="CA18:CE26">
  <autoFilter ref="CA18:CE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8.xml><?xml version="1.0" encoding="utf-8"?>
<table xmlns="http://schemas.openxmlformats.org/spreadsheetml/2006/main" id="38" name="Einnahmen_12" displayName="Einnahmen_12" ref="CA40:CE45">
  <autoFilter ref="CA40:CE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9.xml><?xml version="1.0" encoding="utf-8"?>
<table xmlns="http://schemas.openxmlformats.org/spreadsheetml/2006/main" id="39" name="Einnahmen_WK_12" displayName="Einnahmen_WK_12" ref="CA49:CE55">
  <autoFilter ref="CA49:CE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0.xml><?xml version="1.0" encoding="utf-8"?>
<table xmlns="http://schemas.openxmlformats.org/spreadsheetml/2006/main" id="40" name="Ausgaben_13" displayName="Ausgaben_13" ref="CH18:CL26">
  <autoFilter ref="CH18:CL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1.xml><?xml version="1.0" encoding="utf-8"?>
<table xmlns="http://schemas.openxmlformats.org/spreadsheetml/2006/main" id="41" name="Einnahmen_13" displayName="Einnahmen_13" ref="CH40:CL45">
  <autoFilter ref="CH40:CL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2.xml><?xml version="1.0" encoding="utf-8"?>
<table xmlns="http://schemas.openxmlformats.org/spreadsheetml/2006/main" id="42" name="Einnahmen_WK_13" displayName="Einnahmen_WK_13" ref="CH49:CL55">
  <autoFilter ref="CH49:CL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3.xml><?xml version="1.0" encoding="utf-8"?>
<table xmlns="http://schemas.openxmlformats.org/spreadsheetml/2006/main" id="43" name="Ausgaben_14" displayName="Ausgaben_14" ref="CO18:CS26">
  <autoFilter ref="CO18:CS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4.xml><?xml version="1.0" encoding="utf-8"?>
<table xmlns="http://schemas.openxmlformats.org/spreadsheetml/2006/main" id="44" name="Einnahmen_14" displayName="Einnahmen_14" ref="CO40:CS45">
  <autoFilter ref="CO40:CS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5.xml><?xml version="1.0" encoding="utf-8"?>
<table xmlns="http://schemas.openxmlformats.org/spreadsheetml/2006/main" id="45" name="Einnahmen_WK_14" displayName="Einnahmen_WK_14" ref="CO49:CS55">
  <autoFilter ref="CO49:CS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6.xml><?xml version="1.0" encoding="utf-8"?>
<table xmlns="http://schemas.openxmlformats.org/spreadsheetml/2006/main" id="46" name="Ausgaben_15" displayName="Ausgaben_15" ref="CV18:CZ26">
  <autoFilter ref="CV18:CZ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7.xml><?xml version="1.0" encoding="utf-8"?>
<table xmlns="http://schemas.openxmlformats.org/spreadsheetml/2006/main" id="47" name="Einnahmen_15" displayName="Einnahmen_15" ref="CV40:CZ45">
  <autoFilter ref="CV40:CZ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8.xml><?xml version="1.0" encoding="utf-8"?>
<table xmlns="http://schemas.openxmlformats.org/spreadsheetml/2006/main" id="48" name="Einnahmen_WK_15" displayName="Einnahmen_WK_15" ref="CV49:CZ55">
  <autoFilter ref="CV49:CZ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9.xml><?xml version="1.0" encoding="utf-8"?>
<table xmlns="http://schemas.openxmlformats.org/spreadsheetml/2006/main" id="49" name="Ausgaben_16" displayName="Ausgaben_16" ref="DC18:DG26">
  <autoFilter ref="DC18:DG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0.xml><?xml version="1.0" encoding="utf-8"?>
<table xmlns="http://schemas.openxmlformats.org/spreadsheetml/2006/main" id="50" name="Einnahmen_16" displayName="Einnahmen_16" ref="DC40:DG45">
  <autoFilter ref="DC40:DG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1.xml><?xml version="1.0" encoding="utf-8"?>
<table xmlns="http://schemas.openxmlformats.org/spreadsheetml/2006/main" id="51" name="Einnahmen_WK_16" displayName="Einnahmen_WK_16" ref="DC49:DG55">
  <autoFilter ref="DC49:DG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2.xml><?xml version="1.0" encoding="utf-8"?>
<table xmlns="http://schemas.openxmlformats.org/spreadsheetml/2006/main" id="52" name="Ausgaben_17" displayName="Ausgaben_17" ref="DJ18:DN26">
  <autoFilter ref="DJ18:DN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3.xml><?xml version="1.0" encoding="utf-8"?>
<table xmlns="http://schemas.openxmlformats.org/spreadsheetml/2006/main" id="53" name="Einnahmen_17" displayName="Einnahmen_17" ref="DJ40:DN45">
  <autoFilter ref="DJ40:DN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4.xml><?xml version="1.0" encoding="utf-8"?>
<table xmlns="http://schemas.openxmlformats.org/spreadsheetml/2006/main" id="54" name="Einnahmen_WK_17" displayName="Einnahmen_WK_17" ref="DJ49:DN55">
  <autoFilter ref="DJ49:DN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5.xml><?xml version="1.0" encoding="utf-8"?>
<table xmlns="http://schemas.openxmlformats.org/spreadsheetml/2006/main" id="55" name="Ausgaben_18" displayName="Ausgaben_18" ref="DQ18:DU26">
  <autoFilter ref="DQ18:DU26"/>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6.xml><?xml version="1.0" encoding="utf-8"?>
<table xmlns="http://schemas.openxmlformats.org/spreadsheetml/2006/main" id="56" name="Einnahmen_18" displayName="Einnahmen_18" ref="DQ40:DU45">
  <autoFilter ref="DQ40:DU4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7.xml><?xml version="1.0" encoding="utf-8"?>
<table xmlns="http://schemas.openxmlformats.org/spreadsheetml/2006/main" id="57" name="Einnahmen_WK_18" displayName="Einnahmen_WK_18" ref="DQ49:DU55">
  <autoFilter ref="DQ49:DU55"/>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8.xml><?xml version="1.0" encoding="utf-8"?>
<table xmlns="http://schemas.openxmlformats.org/spreadsheetml/2006/main" id="58" name="MA_1" displayName="MA_1" ref="B9:D17">
  <autoFilter ref="B9:D17"/>
  <tableColumns count="3">
    <tableColumn id="1" name="Kostenkategorie"/>
    <tableColumn id="2" name="Angefordert (LC)"/>
    <tableColumn id="3" name="Angefordert (EUR)"/>
  </tableColumns>
  <tableStyleInfo showFirstColumn="false" showLastColumn="false" showRowStripes="false" showColumnStripes="false"/>
</table>
</file>

<file path=xl/tables/table59.xml><?xml version="1.0" encoding="utf-8"?>
<table xmlns="http://schemas.openxmlformats.org/spreadsheetml/2006/main" id="59" name="MA_2" displayName="MA_2" ref="F9:H17">
  <autoFilter ref="F9:H17"/>
  <tableColumns count="3">
    <tableColumn id="1" name="Kostenkategorie"/>
    <tableColumn id="2" name="Angefordert (LC)"/>
    <tableColumn id="3" name="Angefordert (EUR)"/>
  </tableColumns>
  <tableStyleInfo showFirstColumn="false" showLastColumn="false" showRowStripes="false" showColumnStripes="false"/>
</table>
</file>

<file path=xl/tables/table60.xml><?xml version="1.0" encoding="utf-8"?>
<table xmlns="http://schemas.openxmlformats.org/spreadsheetml/2006/main" id="60" name="MA_3" displayName="MA_3" ref="J9:L17">
  <autoFilter ref="J9:L17"/>
  <tableColumns count="3">
    <tableColumn id="1" name="Kostenkategorie"/>
    <tableColumn id="2" name="Angefordert (LC)"/>
    <tableColumn id="3" name="Angefordert (EUR)"/>
  </tableColumns>
  <tableStyleInfo showFirstColumn="false" showLastColumn="false" showRowStripes="false" showColumnStripes="false"/>
</table>
</file>

<file path=xl/tables/table61.xml><?xml version="1.0" encoding="utf-8"?>
<table xmlns="http://schemas.openxmlformats.org/spreadsheetml/2006/main" id="61" name="MA_4" displayName="MA_4" ref="N9:P17">
  <autoFilter ref="N9:P17"/>
  <tableColumns count="3">
    <tableColumn id="1" name="Kostenkategorie"/>
    <tableColumn id="2" name="Angefordert (LC)"/>
    <tableColumn id="3" name="Angefordert (EUR)"/>
  </tableColumns>
  <tableStyleInfo showFirstColumn="false" showLastColumn="false" showRowStripes="false" showColumnStripes="false"/>
</table>
</file>

<file path=xl/tables/table62.xml><?xml version="1.0" encoding="utf-8"?>
<table xmlns="http://schemas.openxmlformats.org/spreadsheetml/2006/main" id="62" name="MA_5" displayName="MA_5" ref="R9:T17">
  <autoFilter ref="R9:T17"/>
  <tableColumns count="3">
    <tableColumn id="1" name="Kostenkategorie"/>
    <tableColumn id="2" name="Angefordert (LC)"/>
    <tableColumn id="3" name="Angefordert (EUR)"/>
  </tableColumns>
  <tableStyleInfo showFirstColumn="false" showLastColumn="false" showRowStripes="false" showColumnStripes="false"/>
</table>
</file>

<file path=xl/tables/table63.xml><?xml version="1.0" encoding="utf-8"?>
<table xmlns="http://schemas.openxmlformats.org/spreadsheetml/2006/main" id="63" name="MA_6" displayName="MA_6" ref="V9:X17">
  <autoFilter ref="V9:X17"/>
  <tableColumns count="3">
    <tableColumn id="1" name="Kostenkategorie"/>
    <tableColumn id="2" name="Angefordert (LC)"/>
    <tableColumn id="3" name="Angefordert (EUR)"/>
  </tableColumns>
  <tableStyleInfo showFirstColumn="false" showLastColumn="false" showRowStripes="false" showColumnStripes="false"/>
</table>
</file>

<file path=xl/tables/table64.xml><?xml version="1.0" encoding="utf-8"?>
<table xmlns="http://schemas.openxmlformats.org/spreadsheetml/2006/main" id="64" name="MA_7" displayName="MA_7" ref="Z9:AB17">
  <autoFilter ref="Z9:AB17"/>
  <tableColumns count="3">
    <tableColumn id="1" name="Kostenkategorie"/>
    <tableColumn id="2" name="Angefordert (LC)"/>
    <tableColumn id="3" name="Angefordert (EUR)"/>
  </tableColumns>
  <tableStyleInfo showFirstColumn="false" showLastColumn="false" showRowStripes="false" showColumnStripes="false"/>
</table>
</file>

<file path=xl/tables/table65.xml><?xml version="1.0" encoding="utf-8"?>
<table xmlns="http://schemas.openxmlformats.org/spreadsheetml/2006/main" id="65" name="MA_8" displayName="MA_8" ref="AD9:AF17">
  <autoFilter ref="AD9:AF17"/>
  <tableColumns count="3">
    <tableColumn id="1" name="Kostenkategorie"/>
    <tableColumn id="2" name="Angefordert (LC)"/>
    <tableColumn id="3" name="Angefordert (EUR)"/>
  </tableColumns>
  <tableStyleInfo showFirstColumn="false" showLastColumn="false" showRowStripes="false" showColumnStripes="false"/>
</table>
</file>

<file path=xl/tables/table66.xml><?xml version="1.0" encoding="utf-8"?>
<table xmlns="http://schemas.openxmlformats.org/spreadsheetml/2006/main" id="66" name="MA_9" displayName="MA_9" ref="AH9:AJ17">
  <autoFilter ref="AH9:AJ17"/>
  <tableColumns count="3">
    <tableColumn id="1" name="Kostenkategorie"/>
    <tableColumn id="2" name="Angefordert (LC)"/>
    <tableColumn id="3" name="Angefordert (EUR)"/>
  </tableColumns>
  <tableStyleInfo showFirstColumn="false" showLastColumn="false" showRowStripes="false" showColumnStripes="false"/>
</table>
</file>

<file path=xl/tables/table67.xml><?xml version="1.0" encoding="utf-8"?>
<table xmlns="http://schemas.openxmlformats.org/spreadsheetml/2006/main" id="67" name="MA_10" displayName="MA_10" ref="AL9:AN17">
  <autoFilter ref="AL9:AN17"/>
  <tableColumns count="3">
    <tableColumn id="1" name="Kostenkategorie"/>
    <tableColumn id="2" name="Angefordert (LC)"/>
    <tableColumn id="3" name="Angefordert (EUR)"/>
  </tableColumns>
  <tableStyleInfo showFirstColumn="false" showLastColumn="false" showRowStripes="false" showColumnStripes="false"/>
</table>
</file>

<file path=xl/tables/table68.xml><?xml version="1.0" encoding="utf-8"?>
<table xmlns="http://schemas.openxmlformats.org/spreadsheetml/2006/main" id="68" name="MA_11" displayName="MA_11" ref="AP9:AR17">
  <autoFilter ref="AP9:AR17"/>
  <tableColumns count="3">
    <tableColumn id="1" name="Kostenkategorie"/>
    <tableColumn id="2" name="Angefordert (LC)"/>
    <tableColumn id="3" name="Angefordert (EUR)"/>
  </tableColumns>
  <tableStyleInfo showFirstColumn="false" showLastColumn="false" showRowStripes="false" showColumnStripes="false"/>
</table>
</file>

<file path=xl/tables/table69.xml><?xml version="1.0" encoding="utf-8"?>
<table xmlns="http://schemas.openxmlformats.org/spreadsheetml/2006/main" id="69" name="MA_12" displayName="MA_12" ref="AT9:AV17">
  <autoFilter ref="AT9:AV17"/>
  <tableColumns count="3">
    <tableColumn id="1" name="Kostenkategorie"/>
    <tableColumn id="2" name="Angefordert (LC)"/>
    <tableColumn id="3" name="Angefordert (EUR)"/>
  </tableColumns>
  <tableStyleInfo showFirstColumn="false" showLastColumn="false" showRowStripes="false" showColumnStripes="false"/>
</table>
</file>

<file path=xl/tables/table70.xml><?xml version="1.0" encoding="utf-8"?>
<table xmlns="http://schemas.openxmlformats.org/spreadsheetml/2006/main" id="70" name="MA_13" displayName="MA_13" ref="AX9:AZ17">
  <autoFilter ref="AX9:AZ17"/>
  <tableColumns count="3">
    <tableColumn id="1" name="Kostenkategorie"/>
    <tableColumn id="2" name="Angefordert (LC)"/>
    <tableColumn id="3" name="Angefordert (EUR)"/>
  </tableColumns>
  <tableStyleInfo showFirstColumn="false" showLastColumn="false" showRowStripes="false" showColumnStripes="false"/>
</table>
</file>

<file path=xl/tables/table71.xml><?xml version="1.0" encoding="utf-8"?>
<table xmlns="http://schemas.openxmlformats.org/spreadsheetml/2006/main" id="71" name="MA_14" displayName="MA_14" ref="BB9:BD17">
  <autoFilter ref="BB9:BD17"/>
  <tableColumns count="3">
    <tableColumn id="1" name="Kostenkategorie"/>
    <tableColumn id="2" name="Angefordert (LC)"/>
    <tableColumn id="3" name="Angefordert (EUR)"/>
  </tableColumns>
  <tableStyleInfo showFirstColumn="false" showLastColumn="false" showRowStripes="false" showColumnStripes="false"/>
</table>
</file>

<file path=xl/tables/table72.xml><?xml version="1.0" encoding="utf-8"?>
<table xmlns="http://schemas.openxmlformats.org/spreadsheetml/2006/main" id="72" name="MA_15" displayName="MA_15" ref="BF9:BH17">
  <autoFilter ref="BF9:BH17"/>
  <tableColumns count="3">
    <tableColumn id="1" name="Kostenkategorie"/>
    <tableColumn id="2" name="Angefordert (LC)"/>
    <tableColumn id="3" name="Angefordert (EUR)"/>
  </tableColumns>
  <tableStyleInfo showFirstColumn="false" showLastColumn="false" showRowStripes="false" showColumnStripes="false"/>
</table>
</file>

<file path=xl/tables/table73.xml><?xml version="1.0" encoding="utf-8"?>
<table xmlns="http://schemas.openxmlformats.org/spreadsheetml/2006/main" id="73" name="MA_16" displayName="MA_16" ref="BJ9:BL17">
  <autoFilter ref="BJ9:BL17"/>
  <tableColumns count="3">
    <tableColumn id="1" name="Kostenkategorie"/>
    <tableColumn id="2" name="Angefordert (LC)"/>
    <tableColumn id="3" name="Angefordert (EUR)"/>
  </tableColumns>
  <tableStyleInfo showFirstColumn="false" showLastColumn="false" showRowStripes="false" showColumnStripes="false"/>
</table>
</file>

<file path=xl/tables/table74.xml><?xml version="1.0" encoding="utf-8"?>
<table xmlns="http://schemas.openxmlformats.org/spreadsheetml/2006/main" id="74" name="MA_17" displayName="MA_17" ref="BN9:BP17">
  <autoFilter ref="BN9:BP17"/>
  <tableColumns count="3">
    <tableColumn id="1" name="Kostenkategorie"/>
    <tableColumn id="2" name="Angefordert (LC)"/>
    <tableColumn id="3" name="Angefordert (EUR)"/>
  </tableColumns>
  <tableStyleInfo showFirstColumn="false" showLastColumn="false" showRowStripes="false" showColumnStripes="false"/>
</table>
</file>

<file path=xl/tables/table75.xml><?xml version="1.0" encoding="utf-8"?>
<table xmlns="http://schemas.openxmlformats.org/spreadsheetml/2006/main" id="75" name="MA_18" displayName="MA_18" ref="BR9:BT17">
  <autoFilter ref="BR9:BT17"/>
  <tableColumns count="3">
    <tableColumn id="1" name="Kostenkategorie"/>
    <tableColumn id="2" name="Angefordert (LC)"/>
    <tableColumn id="3" name="Angefordert (EUR)"/>
  </tableColumns>
  <tableStyleInfo showFirstColumn="false" showLastColumn="false" showRowStripes="fals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tables/table1.xml" Type="http://schemas.openxmlformats.org/officeDocument/2006/relationships/table"></Relationship><Relationship Id="rId2" Target="../tables/table2.xml" Type="http://schemas.openxmlformats.org/officeDocument/2006/relationships/table"></Relationship></Relationships>
</file>

<file path=xl/worksheets/_rels/sheet4.xml.rels><?xml version="1.0" encoding="UTF-8"?>
<Relationships xmlns="http://schemas.openxmlformats.org/package/2006/relationships"><Relationship Id="rId1" Target="../tables/table3.xml" Type="http://schemas.openxmlformats.org/officeDocument/2006/relationships/table"></Relationship></Relationships>
</file>

<file path=xl/worksheets/_rels/sheet5.xml.rels><?xml version="1.0" encoding="UTF-8"?>
<Relationships xmlns="http://schemas.openxmlformats.org/package/2006/relationships"><Relationship Id="rId1" Target="../tables/table4.xml" Type="http://schemas.openxmlformats.org/officeDocument/2006/relationships/table"></Relationship><Relationship Id="rId2" Target="../tables/table5.xml" Type="http://schemas.openxmlformats.org/officeDocument/2006/relationships/table"></Relationship><Relationship Id="rId3" Target="../tables/table6.xml" Type="http://schemas.openxmlformats.org/officeDocument/2006/relationships/table"></Relationship><Relationship Id="rId4" Target="../tables/table7.xml" Type="http://schemas.openxmlformats.org/officeDocument/2006/relationships/table"></Relationship><Relationship Id="rId5" Target="../tables/table8.xml" Type="http://schemas.openxmlformats.org/officeDocument/2006/relationships/table"></Relationship><Relationship Id="rId6" Target="../tables/table9.xml" Type="http://schemas.openxmlformats.org/officeDocument/2006/relationships/table"></Relationship><Relationship Id="rId7" Target="../tables/table10.xml" Type="http://schemas.openxmlformats.org/officeDocument/2006/relationships/table"></Relationship><Relationship Id="rId8" Target="../tables/table11.xml" Type="http://schemas.openxmlformats.org/officeDocument/2006/relationships/table"></Relationship><Relationship Id="rId9" Target="../tables/table12.xml" Type="http://schemas.openxmlformats.org/officeDocument/2006/relationships/table"></Relationship><Relationship Id="rId10" Target="../tables/table13.xml" Type="http://schemas.openxmlformats.org/officeDocument/2006/relationships/table"></Relationship><Relationship Id="rId11" Target="../tables/table14.xml" Type="http://schemas.openxmlformats.org/officeDocument/2006/relationships/table"></Relationship><Relationship Id="rId12" Target="../tables/table15.xml" Type="http://schemas.openxmlformats.org/officeDocument/2006/relationships/table"></Relationship><Relationship Id="rId13" Target="../tables/table16.xml" Type="http://schemas.openxmlformats.org/officeDocument/2006/relationships/table"></Relationship><Relationship Id="rId14" Target="../tables/table17.xml" Type="http://schemas.openxmlformats.org/officeDocument/2006/relationships/table"></Relationship><Relationship Id="rId15" Target="../tables/table18.xml" Type="http://schemas.openxmlformats.org/officeDocument/2006/relationships/table"></Relationship><Relationship Id="rId16" Target="../tables/table19.xml" Type="http://schemas.openxmlformats.org/officeDocument/2006/relationships/table"></Relationship><Relationship Id="rId17" Target="../tables/table20.xml" Type="http://schemas.openxmlformats.org/officeDocument/2006/relationships/table"></Relationship><Relationship Id="rId18" Target="../tables/table21.xml" Type="http://schemas.openxmlformats.org/officeDocument/2006/relationships/table"></Relationship><Relationship Id="rId19" Target="../tables/table22.xml" Type="http://schemas.openxmlformats.org/officeDocument/2006/relationships/table"></Relationship><Relationship Id="rId20" Target="../tables/table23.xml" Type="http://schemas.openxmlformats.org/officeDocument/2006/relationships/table"></Relationship><Relationship Id="rId21" Target="../tables/table24.xml" Type="http://schemas.openxmlformats.org/officeDocument/2006/relationships/table"></Relationship><Relationship Id="rId22" Target="../tables/table25.xml" Type="http://schemas.openxmlformats.org/officeDocument/2006/relationships/table"></Relationship><Relationship Id="rId23" Target="../tables/table26.xml" Type="http://schemas.openxmlformats.org/officeDocument/2006/relationships/table"></Relationship><Relationship Id="rId24" Target="../tables/table27.xml" Type="http://schemas.openxmlformats.org/officeDocument/2006/relationships/table"></Relationship><Relationship Id="rId25" Target="../tables/table28.xml" Type="http://schemas.openxmlformats.org/officeDocument/2006/relationships/table"></Relationship><Relationship Id="rId26" Target="../tables/table29.xml" Type="http://schemas.openxmlformats.org/officeDocument/2006/relationships/table"></Relationship><Relationship Id="rId27" Target="../tables/table30.xml" Type="http://schemas.openxmlformats.org/officeDocument/2006/relationships/table"></Relationship><Relationship Id="rId28" Target="../tables/table31.xml" Type="http://schemas.openxmlformats.org/officeDocument/2006/relationships/table"></Relationship><Relationship Id="rId29" Target="../tables/table32.xml" Type="http://schemas.openxmlformats.org/officeDocument/2006/relationships/table"></Relationship><Relationship Id="rId30" Target="../tables/table33.xml" Type="http://schemas.openxmlformats.org/officeDocument/2006/relationships/table"></Relationship><Relationship Id="rId31" Target="../tables/table34.xml" Type="http://schemas.openxmlformats.org/officeDocument/2006/relationships/table"></Relationship><Relationship Id="rId32" Target="../tables/table35.xml" Type="http://schemas.openxmlformats.org/officeDocument/2006/relationships/table"></Relationship><Relationship Id="rId33" Target="../tables/table36.xml" Type="http://schemas.openxmlformats.org/officeDocument/2006/relationships/table"></Relationship><Relationship Id="rId34" Target="../tables/table37.xml" Type="http://schemas.openxmlformats.org/officeDocument/2006/relationships/table"></Relationship><Relationship Id="rId35" Target="../tables/table38.xml" Type="http://schemas.openxmlformats.org/officeDocument/2006/relationships/table"></Relationship><Relationship Id="rId36" Target="../tables/table39.xml" Type="http://schemas.openxmlformats.org/officeDocument/2006/relationships/table"></Relationship><Relationship Id="rId37" Target="../tables/table40.xml" Type="http://schemas.openxmlformats.org/officeDocument/2006/relationships/table"></Relationship><Relationship Id="rId38" Target="../tables/table41.xml" Type="http://schemas.openxmlformats.org/officeDocument/2006/relationships/table"></Relationship><Relationship Id="rId39" Target="../tables/table42.xml" Type="http://schemas.openxmlformats.org/officeDocument/2006/relationships/table"></Relationship><Relationship Id="rId40" Target="../tables/table43.xml" Type="http://schemas.openxmlformats.org/officeDocument/2006/relationships/table"></Relationship><Relationship Id="rId41" Target="../tables/table44.xml" Type="http://schemas.openxmlformats.org/officeDocument/2006/relationships/table"></Relationship><Relationship Id="rId42" Target="../tables/table45.xml" Type="http://schemas.openxmlformats.org/officeDocument/2006/relationships/table"></Relationship><Relationship Id="rId43" Target="../tables/table46.xml" Type="http://schemas.openxmlformats.org/officeDocument/2006/relationships/table"></Relationship><Relationship Id="rId44" Target="../tables/table47.xml" Type="http://schemas.openxmlformats.org/officeDocument/2006/relationships/table"></Relationship><Relationship Id="rId45" Target="../tables/table48.xml" Type="http://schemas.openxmlformats.org/officeDocument/2006/relationships/table"></Relationship><Relationship Id="rId46" Target="../tables/table49.xml" Type="http://schemas.openxmlformats.org/officeDocument/2006/relationships/table"></Relationship><Relationship Id="rId47" Target="../tables/table50.xml" Type="http://schemas.openxmlformats.org/officeDocument/2006/relationships/table"></Relationship><Relationship Id="rId48" Target="../tables/table51.xml" Type="http://schemas.openxmlformats.org/officeDocument/2006/relationships/table"></Relationship><Relationship Id="rId49" Target="../tables/table52.xml" Type="http://schemas.openxmlformats.org/officeDocument/2006/relationships/table"></Relationship><Relationship Id="rId50" Target="../tables/table53.xml" Type="http://schemas.openxmlformats.org/officeDocument/2006/relationships/table"></Relationship><Relationship Id="rId51" Target="../tables/table54.xml" Type="http://schemas.openxmlformats.org/officeDocument/2006/relationships/table"></Relationship><Relationship Id="rId52" Target="../tables/table55.xml" Type="http://schemas.openxmlformats.org/officeDocument/2006/relationships/table"></Relationship><Relationship Id="rId53" Target="../tables/table56.xml" Type="http://schemas.openxmlformats.org/officeDocument/2006/relationships/table"></Relationship><Relationship Id="rId54" Target="../tables/table57.xml" Type="http://schemas.openxmlformats.org/officeDocument/2006/relationships/table"></Relationship></Relationships>
</file>

<file path=xl/worksheets/_rels/sheet6.xml.rels><?xml version="1.0" encoding="UTF-8"?>
<Relationships xmlns="http://schemas.openxmlformats.org/package/2006/relationships"><Relationship Id="rId1" Target="../tables/table58.xml" Type="http://schemas.openxmlformats.org/officeDocument/2006/relationships/table"></Relationship><Relationship Id="rId2" Target="../tables/table59.xml" Type="http://schemas.openxmlformats.org/officeDocument/2006/relationships/table"></Relationship><Relationship Id="rId3" Target="../tables/table60.xml" Type="http://schemas.openxmlformats.org/officeDocument/2006/relationships/table"></Relationship><Relationship Id="rId4" Target="../tables/table61.xml" Type="http://schemas.openxmlformats.org/officeDocument/2006/relationships/table"></Relationship><Relationship Id="rId5" Target="../tables/table62.xml" Type="http://schemas.openxmlformats.org/officeDocument/2006/relationships/table"></Relationship><Relationship Id="rId6" Target="../tables/table63.xml" Type="http://schemas.openxmlformats.org/officeDocument/2006/relationships/table"></Relationship><Relationship Id="rId7" Target="../tables/table64.xml" Type="http://schemas.openxmlformats.org/officeDocument/2006/relationships/table"></Relationship><Relationship Id="rId8" Target="../tables/table65.xml" Type="http://schemas.openxmlformats.org/officeDocument/2006/relationships/table"></Relationship><Relationship Id="rId9" Target="../tables/table66.xml" Type="http://schemas.openxmlformats.org/officeDocument/2006/relationships/table"></Relationship><Relationship Id="rId10" Target="../tables/table67.xml" Type="http://schemas.openxmlformats.org/officeDocument/2006/relationships/table"></Relationship><Relationship Id="rId11" Target="../tables/table68.xml" Type="http://schemas.openxmlformats.org/officeDocument/2006/relationships/table"></Relationship><Relationship Id="rId12" Target="../tables/table69.xml" Type="http://schemas.openxmlformats.org/officeDocument/2006/relationships/table"></Relationship><Relationship Id="rId13" Target="../tables/table70.xml" Type="http://schemas.openxmlformats.org/officeDocument/2006/relationships/table"></Relationship><Relationship Id="rId14" Target="../tables/table71.xml" Type="http://schemas.openxmlformats.org/officeDocument/2006/relationships/table"></Relationship><Relationship Id="rId15" Target="../tables/table72.xml" Type="http://schemas.openxmlformats.org/officeDocument/2006/relationships/table"></Relationship><Relationship Id="rId16" Target="../tables/table73.xml" Type="http://schemas.openxmlformats.org/officeDocument/2006/relationships/table"></Relationship><Relationship Id="rId17" Target="../tables/table74.xml" Type="http://schemas.openxmlformats.org/officeDocument/2006/relationships/table"></Relationship><Relationship Id="rId18" Target="../tables/table75.xml" Type="http://schemas.openxmlformats.org/officeDocument/2006/relationships/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tabColor rgb="D3D3D3"/>
  </sheetPr>
  <dimension ref="A1"/>
  <sheetViews>
    <sheetView showGridLines="false" tabSelected="true" workbookViewId="0"/>
  </sheetViews>
  <sheetFormatPr defaultRowHeight="15"/>
  <cols>
    <col customWidth="true" max="1" min="1" width="3"/>
    <col customWidth="true" max="2" min="2" width="32"/>
    <col customWidth="true" max="3" min="3" width="25"/>
    <col customWidth="true" max="4" min="4" width="24"/>
    <col customWidth="true" max="5" min="5" width="35"/>
    <col customWidth="true" hidden="true" max="27" min="27" width="9.140625"/>
  </cols>
  <sheetData>
    <row r="1">
      <c r="AA1" s="3" t="s">
        <v>2</v>
      </c>
    </row>
    <row r="2" ht="40" customHeight="true">
      <c r="B2" s="1" t="s">
        <v>0</v>
      </c>
      <c r="C2" s="1"/>
      <c r="D2" s="1"/>
      <c r="E2" s="1"/>
      <c r="AA2" s="3" t="s">
        <v>3</v>
      </c>
    </row>
    <row r="3">
      <c r="AA3" s="3" t="s">
        <v>4</v>
      </c>
    </row>
    <row r="4" ht="24" customHeight="true">
      <c r="B4" s="2" t="s">
        <v>1</v>
      </c>
      <c r="C4" s="2"/>
      <c r="D4" s="2"/>
      <c r="E4" s="2"/>
      <c r="AA4" s="3" t="s">
        <v>5</v>
      </c>
    </row>
    <row r="5" ht="22" customHeight="true">
      <c r="B5" s="4" t="s">
        <v>157</v>
      </c>
      <c r="C5" s="5" t="s">
        <v>158</v>
      </c>
      <c r="D5" s="4" t="s">
        <v>159</v>
      </c>
      <c r="E5" s="6" t="s">
        <v>160</v>
      </c>
      <c r="AA5" s="3" t="s">
        <v>6</v>
      </c>
    </row>
    <row r="6" ht="22" customHeight="true">
      <c r="B6" s="4" t="s">
        <v>161</v>
      </c>
      <c r="C6" s="5" t="s">
        <v>158</v>
      </c>
      <c r="D6" s="5"/>
      <c r="E6" s="5"/>
      <c r="AA6" s="3" t="s">
        <v>7</v>
      </c>
    </row>
    <row r="7" ht="22" customHeight="true">
      <c r="B7" s="4" t="s">
        <v>162</v>
      </c>
      <c r="C7" s="5" t="s">
        <v>158</v>
      </c>
      <c r="D7" s="4" t="s">
        <v>163</v>
      </c>
      <c r="E7" s="5" t="s">
        <v>158</v>
      </c>
      <c r="AA7" s="3" t="s">
        <v>8</v>
      </c>
    </row>
    <row r="8" ht="22" customHeight="true">
      <c r="B8" s="4" t="s">
        <v>164</v>
      </c>
      <c r="C8" s="5" t="s">
        <v>158</v>
      </c>
      <c r="D8" s="4" t="s">
        <v>165</v>
      </c>
      <c r="E8" s="7" t="str">
        <f>=IFERROR(LET(AllNums, TEXTJOIN("", TRUE, IFERROR(MID(C8, SEQUENCE(LEN(C8)), 1) * 1, "")), StartDate, DATE(MID(AllNums, 5, 4), MID(AllNums, 3, 2), LEFT(AllNums, 2)), EndDate, DATE(MID(AllNums, 13, 4), MID(AllNums, 11, 2), MID(AllNums, 9, 2)), DATEDIF(StartDate, EndDate + 1, "M")), "")</f>
      </c>
      <c r="AA8" s="3" t="s">
        <v>9</v>
      </c>
    </row>
    <row r="9" ht="22" customHeight="true">
      <c r="B9" s="8" t="s">
        <v>166</v>
      </c>
      <c r="C9" s="9" t="s">
        <v>158</v>
      </c>
      <c r="D9" s="8" t="s">
        <v>167</v>
      </c>
      <c r="E9" s="9" t="s">
        <v>158</v>
      </c>
      <c r="AA9" s="3" t="s">
        <v>10</v>
      </c>
    </row>
    <row r="10" ht="22" customHeight="true">
      <c r="B10" s="4" t="s">
        <v>168</v>
      </c>
      <c r="C10" s="10" t="s">
        <v>158</v>
      </c>
      <c r="D10" s="4" t="s">
        <v>169</v>
      </c>
      <c r="E10" s="11" t="s">
        <v>158</v>
      </c>
      <c r="AA10" s="3" t="s">
        <v>11</v>
      </c>
    </row>
    <row r="11" ht="22" customHeight="true">
      <c r="B11" s="4" t="s">
        <v>170</v>
      </c>
      <c r="C11" s="12" t="s">
        <v>158</v>
      </c>
      <c r="D11" s="4" t="s">
        <v>171</v>
      </c>
      <c r="E11" s="13" t="s">
        <v>158</v>
      </c>
      <c r="AA11" s="3" t="s">
        <v>12</v>
      </c>
    </row>
    <row r="12" ht="22" customHeight="true">
      <c r="B12" s="4" t="s">
        <v>172</v>
      </c>
      <c r="C12" s="10" t="s">
        <v>158</v>
      </c>
      <c r="D12" s="4" t="s">
        <v>169</v>
      </c>
      <c r="E12" s="11" t="s">
        <v>158</v>
      </c>
      <c r="AA12" s="3" t="s">
        <v>13</v>
      </c>
    </row>
    <row r="13" ht="22" customHeight="true">
      <c r="B13" s="4" t="s">
        <v>173</v>
      </c>
      <c r="C13" s="12" t="s">
        <v>158</v>
      </c>
      <c r="D13" s="4" t="s">
        <v>174</v>
      </c>
      <c r="E13" s="13" t="s">
        <v>158</v>
      </c>
      <c r="AA13" s="3" t="s">
        <v>14</v>
      </c>
    </row>
    <row r="14">
      <c r="AA14" s="3" t="s">
        <v>15</v>
      </c>
    </row>
    <row r="15" ht="22" customHeight="true">
      <c r="B15" s="14" t="s">
        <v>175</v>
      </c>
      <c r="C15" s="14"/>
      <c r="D15" s="15" t="s">
        <v>176</v>
      </c>
      <c r="E15" s="16" t="s">
        <v>177</v>
      </c>
      <c r="AA15" s="3" t="s">
        <v>16</v>
      </c>
    </row>
    <row r="16" ht="22" customHeight="true">
      <c r="B16" s="14"/>
      <c r="C16" s="14"/>
      <c r="D16" s="15" t="s">
        <v>176</v>
      </c>
      <c r="E16" s="16" t="s">
        <v>178</v>
      </c>
      <c r="AA16" s="3" t="s">
        <v>17</v>
      </c>
    </row>
    <row r="17" ht="22" customHeight="true">
      <c r="B17" s="14"/>
      <c r="C17" s="14"/>
      <c r="D17" s="15" t="s">
        <v>176</v>
      </c>
      <c r="E17" s="16" t="s">
        <v>179</v>
      </c>
      <c r="AA17" s="3" t="s">
        <v>18</v>
      </c>
    </row>
    <row r="18" ht="22" customHeight="true">
      <c r="B18" s="14"/>
      <c r="C18" s="14"/>
      <c r="D18" s="15" t="s">
        <v>176</v>
      </c>
      <c r="E18" s="16" t="s">
        <v>180</v>
      </c>
      <c r="AA18" s="3" t="s">
        <v>19</v>
      </c>
    </row>
    <row r="19" ht="22" customHeight="true">
      <c r="B19" s="14"/>
      <c r="C19" s="14"/>
      <c r="D19" s="15" t="s">
        <v>176</v>
      </c>
      <c r="E19" s="16" t="s">
        <v>181</v>
      </c>
      <c r="AA19" s="3" t="s">
        <v>20</v>
      </c>
    </row>
    <row r="20" ht="22" customHeight="true">
      <c r="B20" s="14"/>
      <c r="C20" s="14"/>
      <c r="D20" s="15" t="s">
        <v>176</v>
      </c>
      <c r="E20" s="16" t="s">
        <v>182</v>
      </c>
      <c r="AA20" s="3" t="s">
        <v>21</v>
      </c>
    </row>
    <row r="21" ht="22" customHeight="true">
      <c r="B21" s="14"/>
      <c r="C21" s="14"/>
      <c r="D21" s="15" t="s">
        <v>176</v>
      </c>
      <c r="E21" s="16" t="s">
        <v>183</v>
      </c>
      <c r="AA21" s="3" t="s">
        <v>22</v>
      </c>
    </row>
    <row r="22">
      <c r="AA22" s="3" t="s">
        <v>23</v>
      </c>
    </row>
    <row r="23">
      <c r="AA23" s="3" t="s">
        <v>24</v>
      </c>
    </row>
    <row r="24">
      <c r="AA24" s="3" t="s">
        <v>25</v>
      </c>
    </row>
    <row r="25">
      <c r="AA25" s="3" t="s">
        <v>26</v>
      </c>
    </row>
    <row r="26">
      <c r="AA26" s="3" t="s">
        <v>27</v>
      </c>
    </row>
    <row r="27">
      <c r="AA27" s="3" t="s">
        <v>28</v>
      </c>
    </row>
    <row r="28">
      <c r="AA28" s="3" t="s">
        <v>29</v>
      </c>
    </row>
    <row r="29">
      <c r="AA29" s="3" t="s">
        <v>30</v>
      </c>
    </row>
    <row r="30">
      <c r="AA30" s="3" t="s">
        <v>31</v>
      </c>
    </row>
    <row r="31">
      <c r="AA31" s="3" t="s">
        <v>32</v>
      </c>
    </row>
    <row r="32">
      <c r="AA32" s="3" t="s">
        <v>33</v>
      </c>
    </row>
    <row r="33">
      <c r="AA33" s="3" t="s">
        <v>34</v>
      </c>
    </row>
    <row r="34">
      <c r="AA34" s="3" t="s">
        <v>35</v>
      </c>
    </row>
    <row r="35">
      <c r="AA35" s="3" t="s">
        <v>36</v>
      </c>
    </row>
    <row r="36">
      <c r="AA36" s="3" t="s">
        <v>37</v>
      </c>
    </row>
    <row r="37">
      <c r="AA37" s="3" t="s">
        <v>38</v>
      </c>
    </row>
    <row r="38">
      <c r="AA38" s="3" t="s">
        <v>39</v>
      </c>
    </row>
    <row r="39">
      <c r="AA39" s="3" t="s">
        <v>40</v>
      </c>
    </row>
    <row r="40">
      <c r="AA40" s="3" t="s">
        <v>41</v>
      </c>
    </row>
    <row r="41">
      <c r="AA41" s="3" t="s">
        <v>42</v>
      </c>
    </row>
    <row r="42">
      <c r="AA42" s="3" t="s">
        <v>43</v>
      </c>
    </row>
    <row r="43">
      <c r="AA43" s="3" t="s">
        <v>44</v>
      </c>
    </row>
    <row r="44">
      <c r="AA44" s="3" t="s">
        <v>45</v>
      </c>
    </row>
    <row r="45">
      <c r="AA45" s="3" t="s">
        <v>46</v>
      </c>
    </row>
    <row r="46">
      <c r="AA46" s="3" t="s">
        <v>47</v>
      </c>
    </row>
    <row r="47">
      <c r="AA47" s="3" t="s">
        <v>48</v>
      </c>
    </row>
    <row r="48">
      <c r="AA48" s="3" t="s">
        <v>49</v>
      </c>
    </row>
    <row r="49">
      <c r="AA49" s="3" t="s">
        <v>50</v>
      </c>
    </row>
    <row r="50">
      <c r="AA50" s="3" t="s">
        <v>51</v>
      </c>
    </row>
    <row r="51">
      <c r="AA51" s="3" t="s">
        <v>52</v>
      </c>
    </row>
    <row r="52">
      <c r="AA52" s="3" t="s">
        <v>53</v>
      </c>
    </row>
    <row r="53">
      <c r="AA53" s="3" t="s">
        <v>54</v>
      </c>
    </row>
    <row r="54">
      <c r="AA54" s="3" t="s">
        <v>55</v>
      </c>
    </row>
    <row r="55">
      <c r="AA55" s="3" t="s">
        <v>56</v>
      </c>
    </row>
    <row r="56">
      <c r="AA56" s="3" t="s">
        <v>57</v>
      </c>
    </row>
    <row r="57">
      <c r="AA57" s="3" t="s">
        <v>58</v>
      </c>
    </row>
    <row r="58">
      <c r="AA58" s="3" t="s">
        <v>59</v>
      </c>
    </row>
    <row r="59">
      <c r="AA59" s="3" t="s">
        <v>60</v>
      </c>
    </row>
    <row r="60">
      <c r="AA60" s="3" t="s">
        <v>61</v>
      </c>
    </row>
    <row r="61">
      <c r="AA61" s="3" t="s">
        <v>62</v>
      </c>
    </row>
    <row r="62">
      <c r="AA62" s="3" t="s">
        <v>63</v>
      </c>
    </row>
    <row r="63">
      <c r="AA63" s="3" t="s">
        <v>64</v>
      </c>
    </row>
    <row r="64">
      <c r="AA64" s="3" t="s">
        <v>65</v>
      </c>
    </row>
    <row r="65">
      <c r="AA65" s="3" t="s">
        <v>66</v>
      </c>
    </row>
    <row r="66">
      <c r="AA66" s="3" t="s">
        <v>67</v>
      </c>
    </row>
    <row r="67">
      <c r="AA67" s="3" t="s">
        <v>68</v>
      </c>
    </row>
    <row r="68">
      <c r="AA68" s="3" t="s">
        <v>69</v>
      </c>
    </row>
    <row r="69">
      <c r="AA69" s="3" t="s">
        <v>70</v>
      </c>
    </row>
    <row r="70">
      <c r="AA70" s="3" t="s">
        <v>71</v>
      </c>
    </row>
    <row r="71">
      <c r="AA71" s="3" t="s">
        <v>72</v>
      </c>
    </row>
    <row r="72">
      <c r="AA72" s="3" t="s">
        <v>73</v>
      </c>
    </row>
    <row r="73">
      <c r="AA73" s="3" t="s">
        <v>74</v>
      </c>
    </row>
    <row r="74">
      <c r="AA74" s="3" t="s">
        <v>75</v>
      </c>
    </row>
    <row r="75">
      <c r="AA75" s="3" t="s">
        <v>76</v>
      </c>
    </row>
    <row r="76">
      <c r="AA76" s="3" t="s">
        <v>77</v>
      </c>
    </row>
    <row r="77">
      <c r="AA77" s="3" t="s">
        <v>78</v>
      </c>
    </row>
    <row r="78">
      <c r="AA78" s="3" t="s">
        <v>79</v>
      </c>
    </row>
    <row r="79">
      <c r="AA79" s="3" t="s">
        <v>80</v>
      </c>
    </row>
    <row r="80">
      <c r="AA80" s="3" t="s">
        <v>81</v>
      </c>
    </row>
    <row r="81">
      <c r="AA81" s="3" t="s">
        <v>82</v>
      </c>
    </row>
    <row r="82">
      <c r="AA82" s="3" t="s">
        <v>83</v>
      </c>
    </row>
    <row r="83">
      <c r="AA83" s="3" t="s">
        <v>84</v>
      </c>
    </row>
    <row r="84">
      <c r="AA84" s="3" t="s">
        <v>85</v>
      </c>
    </row>
    <row r="85">
      <c r="AA85" s="3" t="s">
        <v>86</v>
      </c>
    </row>
    <row r="86">
      <c r="AA86" s="3" t="s">
        <v>87</v>
      </c>
    </row>
    <row r="87">
      <c r="AA87" s="3" t="s">
        <v>88</v>
      </c>
    </row>
    <row r="88">
      <c r="AA88" s="3" t="s">
        <v>89</v>
      </c>
    </row>
    <row r="89">
      <c r="AA89" s="3" t="s">
        <v>90</v>
      </c>
    </row>
    <row r="90">
      <c r="AA90" s="3" t="s">
        <v>91</v>
      </c>
    </row>
    <row r="91">
      <c r="AA91" s="3" t="s">
        <v>92</v>
      </c>
    </row>
    <row r="92">
      <c r="AA92" s="3" t="s">
        <v>93</v>
      </c>
    </row>
    <row r="93">
      <c r="AA93" s="3" t="s">
        <v>94</v>
      </c>
    </row>
    <row r="94">
      <c r="AA94" s="3" t="s">
        <v>95</v>
      </c>
    </row>
    <row r="95">
      <c r="AA95" s="3" t="s">
        <v>96</v>
      </c>
    </row>
    <row r="96">
      <c r="AA96" s="3" t="s">
        <v>97</v>
      </c>
    </row>
    <row r="97">
      <c r="AA97" s="3" t="s">
        <v>98</v>
      </c>
    </row>
    <row r="98">
      <c r="AA98" s="3" t="s">
        <v>99</v>
      </c>
    </row>
    <row r="99">
      <c r="AA99" s="3" t="s">
        <v>100</v>
      </c>
    </row>
    <row r="100">
      <c r="AA100" s="3" t="s">
        <v>101</v>
      </c>
    </row>
    <row r="101">
      <c r="AA101" s="3" t="s">
        <v>102</v>
      </c>
    </row>
    <row r="102">
      <c r="AA102" s="3" t="s">
        <v>103</v>
      </c>
    </row>
    <row r="103">
      <c r="AA103" s="3" t="s">
        <v>104</v>
      </c>
    </row>
    <row r="104">
      <c r="AA104" s="3" t="s">
        <v>105</v>
      </c>
    </row>
    <row r="105">
      <c r="AA105" s="3" t="s">
        <v>106</v>
      </c>
    </row>
    <row r="106">
      <c r="AA106" s="3" t="s">
        <v>107</v>
      </c>
    </row>
    <row r="107">
      <c r="AA107" s="3" t="s">
        <v>108</v>
      </c>
    </row>
    <row r="108">
      <c r="AA108" s="3" t="s">
        <v>109</v>
      </c>
    </row>
    <row r="109">
      <c r="AA109" s="3" t="s">
        <v>110</v>
      </c>
    </row>
    <row r="110">
      <c r="AA110" s="3" t="s">
        <v>111</v>
      </c>
    </row>
    <row r="111">
      <c r="AA111" s="3" t="s">
        <v>112</v>
      </c>
    </row>
    <row r="112">
      <c r="AA112" s="3" t="s">
        <v>113</v>
      </c>
    </row>
    <row r="113">
      <c r="AA113" s="3" t="s">
        <v>114</v>
      </c>
    </row>
    <row r="114">
      <c r="AA114" s="3" t="s">
        <v>115</v>
      </c>
    </row>
    <row r="115">
      <c r="AA115" s="3" t="s">
        <v>116</v>
      </c>
    </row>
    <row r="116">
      <c r="AA116" s="3" t="s">
        <v>117</v>
      </c>
    </row>
    <row r="117">
      <c r="AA117" s="3" t="s">
        <v>118</v>
      </c>
    </row>
    <row r="118">
      <c r="AA118" s="3" t="s">
        <v>119</v>
      </c>
    </row>
    <row r="119">
      <c r="AA119" s="3" t="s">
        <v>120</v>
      </c>
    </row>
    <row r="120">
      <c r="AA120" s="3" t="s">
        <v>121</v>
      </c>
    </row>
    <row r="121">
      <c r="AA121" s="3" t="s">
        <v>122</v>
      </c>
    </row>
    <row r="122">
      <c r="AA122" s="3" t="s">
        <v>123</v>
      </c>
    </row>
    <row r="123">
      <c r="AA123" s="3" t="s">
        <v>124</v>
      </c>
    </row>
    <row r="124">
      <c r="AA124" s="3" t="s">
        <v>125</v>
      </c>
    </row>
    <row r="125">
      <c r="AA125" s="3" t="s">
        <v>126</v>
      </c>
    </row>
    <row r="126">
      <c r="AA126" s="3" t="s">
        <v>127</v>
      </c>
    </row>
    <row r="127">
      <c r="AA127" s="3" t="s">
        <v>128</v>
      </c>
    </row>
    <row r="128">
      <c r="AA128" s="3" t="s">
        <v>129</v>
      </c>
    </row>
    <row r="129">
      <c r="AA129" s="3" t="s">
        <v>130</v>
      </c>
    </row>
    <row r="130">
      <c r="AA130" s="3" t="s">
        <v>131</v>
      </c>
    </row>
    <row r="131">
      <c r="AA131" s="3" t="s">
        <v>132</v>
      </c>
    </row>
    <row r="132">
      <c r="AA132" s="3" t="s">
        <v>133</v>
      </c>
    </row>
    <row r="133">
      <c r="AA133" s="3" t="s">
        <v>134</v>
      </c>
    </row>
    <row r="134">
      <c r="AA134" s="3" t="s">
        <v>135</v>
      </c>
    </row>
    <row r="135">
      <c r="AA135" s="3" t="s">
        <v>136</v>
      </c>
    </row>
    <row r="136">
      <c r="AA136" s="3" t="s">
        <v>137</v>
      </c>
    </row>
    <row r="137">
      <c r="AA137" s="3" t="s">
        <v>138</v>
      </c>
    </row>
    <row r="138">
      <c r="AA138" s="3" t="s">
        <v>139</v>
      </c>
    </row>
    <row r="139">
      <c r="AA139" s="3" t="s">
        <v>140</v>
      </c>
    </row>
    <row r="140">
      <c r="AA140" s="3" t="s">
        <v>141</v>
      </c>
    </row>
    <row r="141">
      <c r="AA141" s="3" t="s">
        <v>142</v>
      </c>
    </row>
    <row r="142">
      <c r="AA142" s="3" t="s">
        <v>143</v>
      </c>
    </row>
    <row r="143">
      <c r="AA143" s="3" t="s">
        <v>144</v>
      </c>
    </row>
    <row r="144">
      <c r="AA144" s="3" t="s">
        <v>145</v>
      </c>
    </row>
    <row r="145">
      <c r="AA145" s="3" t="s">
        <v>146</v>
      </c>
    </row>
    <row r="146">
      <c r="AA146" s="3" t="s">
        <v>147</v>
      </c>
    </row>
    <row r="147">
      <c r="AA147" s="3" t="s">
        <v>148</v>
      </c>
    </row>
    <row r="148">
      <c r="AA148" s="3" t="s">
        <v>149</v>
      </c>
    </row>
    <row r="149">
      <c r="AA149" s="3" t="s">
        <v>150</v>
      </c>
    </row>
    <row r="150">
      <c r="AA150" s="3" t="s">
        <v>151</v>
      </c>
    </row>
    <row r="151">
      <c r="AA151" s="3" t="s">
        <v>152</v>
      </c>
    </row>
    <row r="152">
      <c r="AA152" s="3" t="s">
        <v>153</v>
      </c>
    </row>
    <row r="153">
      <c r="AA153" s="3" t="s">
        <v>154</v>
      </c>
    </row>
    <row r="154">
      <c r="AA154" s="3" t="s">
        <v>155</v>
      </c>
    </row>
    <row r="155">
      <c r="AA155" s="3" t="s">
        <v>156</v>
      </c>
    </row>
  </sheetData>
  <mergeCells count="4">
    <mergeCell ref="B2:E2"/>
    <mergeCell ref="B4:E4"/>
    <mergeCell ref="C6:E6"/>
    <mergeCell ref="B15:C21"/>
  </mergeCells>
  <conditionalFormatting sqref="B9:E13">
    <cfRule type="expression" dxfId="0" priority="1">
      <formula>$E$5="Nein"</formula>
    </cfRule>
  </conditionalFormatting>
  <conditionalFormatting sqref="E15:E21">
    <cfRule type="expression" dxfId="1" priority="2">
      <formula>$D15="Nein"</formula>
    </cfRule>
  </conditionalFormatting>
  <conditionalFormatting sqref="D15:E15">
    <cfRule type="expression" dxfId="0" priority="3">
      <formula>$E$5="Nein"</formula>
    </cfRule>
  </conditionalFormatting>
  <dataValidations count="10">
    <dataValidation allowBlank="true" sqref="E5" type="list">
      <formula1>"Ja,Nein"</formula1>
    </dataValidation>
    <dataValidation allowBlank="true" sqref="E7" type="list">
      <formula1>'Dashboard'!$AA$1:$AA$155</formula1>
    </dataValidation>
    <dataValidation allowBlank="true" sqref="E9" type="list">
      <formula1>'Dashboard'!$AA$1:$AA$155</formula1>
    </dataValidation>
    <dataValidation allowBlank="true" sqref="D15" type="list">
      <formula1>"Ja,Nein"</formula1>
    </dataValidation>
    <dataValidation allowBlank="true" sqref="D16" type="list">
      <formula1>"Ja,Nein"</formula1>
    </dataValidation>
    <dataValidation allowBlank="true" sqref="D17" type="list">
      <formula1>"Ja,Nein"</formula1>
    </dataValidation>
    <dataValidation allowBlank="true" sqref="D18" type="list">
      <formula1>"Ja,Nein"</formula1>
    </dataValidation>
    <dataValidation allowBlank="true" sqref="D19" type="list">
      <formula1>"Ja,Nein"</formula1>
    </dataValidation>
    <dataValidation allowBlank="true" sqref="D20" type="list">
      <formula1>"Ja,Nein"</formula1>
    </dataValidation>
    <dataValidation allowBlank="true" sqref="D21" type="list">
      <formula1>"Ja,Nein"</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5B9BD5"/>
  </sheetPr>
  <dimension ref="A1"/>
  <sheetViews>
    <sheetView showGridLines="false" workbookViewId="0"/>
  </sheetViews>
  <sheetFormatPr defaultRowHeight="15"/>
  <cols>
    <col customWidth="true" max="2" min="2" width="25"/>
    <col customWidth="true" max="3" min="3" width="8"/>
    <col customWidth="true" max="4" min="4" width="30"/>
    <col customWidth="true" max="5" min="5" width="18"/>
    <col customWidth="true" max="8" min="6" width="14"/>
    <col customWidth="true" max="9" min="9" width="18"/>
    <col customWidth="true" max="10" min="10" width="3"/>
    <col customWidth="true" max="11" min="11" width="25"/>
    <col customWidth="true" max="12" min="12" width="14"/>
    <col customWidth="true" max="13" min="13" width="16"/>
    <col customWidth="true" hidden="true" max="16" min="15" width="9.140625"/>
    <col customWidth="true" hidden="true" max="19" min="18" width="9.140625"/>
  </cols>
  <sheetData>
    <row r="1">
      <c r="R1" s="3" t="str">
        <f>=_xlfn.VSTACK({"Projektpartner";"Bank"},IFERROR(_xlfn.FILTER(TblDrittmittel[Name des Gebers],TblDrittmittel[Name des Gebers]&lt;&gt;""),""))</f>
      </c>
      <c r="S1" s="3" t="str">
        <f>=IFERROR(_xlfn.FILTER(TblBudgetAusgaben[ID],TblBudgetAusgaben[ID]&lt;&gt;""),"")</f>
      </c>
    </row>
    <row r="2" ht="24" customHeight="true">
      <c r="B2" s="45" t="s">
        <v>184</v>
      </c>
      <c r="C2" s="17"/>
      <c r="D2" s="17"/>
      <c r="E2" s="17"/>
      <c r="F2" s="17"/>
      <c r="G2" s="17"/>
      <c r="H2" s="17"/>
      <c r="I2" s="46"/>
      <c r="K2" s="64" t="s">
        <v>216</v>
      </c>
    </row>
    <row r="3">
      <c r="B3" s="47"/>
      <c r="I3" s="48"/>
      <c r="K3" s="65" t="str">
        <f>=$P$11</f>
      </c>
    </row>
    <row r="4" ht="24" customHeight="true">
      <c r="B4" s="49" t="s">
        <v>185</v>
      </c>
      <c r="C4" s="18"/>
      <c r="D4" s="18"/>
      <c r="E4" s="18"/>
      <c r="F4" s="18"/>
      <c r="G4" s="19" t="s">
        <v>186</v>
      </c>
      <c r="H4" s="20" t="str">
        <f>=IFERROR($E$15/$I$15,0)</f>
      </c>
      <c r="I4" s="50"/>
      <c r="K4" s="66" t="s">
        <v>217</v>
      </c>
      <c r="O4" s="3" t="str">
        <f>=SUMIFS(TblBudgetAusgaben[Betrag (LC)],TblBudgetAusgaben[Kostenkategorie],"Bauausgaben")</f>
      </c>
      <c r="P4" s="3" t="str">
        <f>=SUMIFS(TblBudgetAusgaben[Betrag (EUR)],TblBudgetAusgaben[Kostenkategorie],"Bauausgaben")</f>
      </c>
    </row>
    <row r="5">
      <c r="B5" s="38" t="s">
        <v>187</v>
      </c>
      <c r="C5" s="21"/>
      <c r="D5" s="21"/>
      <c r="E5" s="21" t="s">
        <v>188</v>
      </c>
      <c r="F5" s="21" t="s">
        <v>189</v>
      </c>
      <c r="G5" s="21" t="s">
        <v>190</v>
      </c>
      <c r="H5" s="21" t="s">
        <v>191</v>
      </c>
      <c r="I5" s="39" t="s">
        <v>192</v>
      </c>
      <c r="K5" s="67" t="s">
        <v>176</v>
      </c>
      <c r="O5" s="3" t="str">
        <f>=SUMIFS(TblBudgetAusgaben[Betrag (LC)],TblBudgetAusgaben[Kostenkategorie],"Investitionen")</f>
      </c>
      <c r="P5" s="3" t="str">
        <f>=SUMIFS(TblBudgetAusgaben[Betrag (EUR)],TblBudgetAusgaben[Kostenkategorie],"Investitionen")</f>
      </c>
    </row>
    <row r="6" ht="20" customHeight="true">
      <c r="B6" s="51" t="s">
        <v>193</v>
      </c>
      <c r="C6" s="22"/>
      <c r="D6" s="22"/>
      <c r="E6" s="22"/>
      <c r="F6" s="22"/>
      <c r="G6" s="22"/>
      <c r="H6" s="22"/>
      <c r="I6" s="52"/>
      <c r="K6" s="68" t="str">
        <f>=IF($K$5="Ja","FREIGEGEBEN","NICHT FREIGEGEBEN")</f>
      </c>
      <c r="O6" s="3" t="str">
        <f>=SUMIFS(TblBudgetAusgaben[Betrag (LC)],TblBudgetAusgaben[Kostenkategorie],"Personalkosten")</f>
      </c>
      <c r="P6" s="3" t="str">
        <f>=SUMIFS(TblBudgetAusgaben[Betrag (EUR)],TblBudgetAusgaben[Kostenkategorie],"Personalkosten")</f>
      </c>
    </row>
    <row r="7" ht="22" customHeight="true">
      <c r="B7" s="53" t="s">
        <v>194</v>
      </c>
      <c r="E7" s="24"/>
      <c r="F7" s="24"/>
      <c r="G7" s="24"/>
      <c r="H7" s="24"/>
      <c r="I7" s="41"/>
      <c r="O7" s="3" t="str">
        <f>=SUMIFS(TblBudgetAusgaben[Betrag (LC)],TblBudgetAusgaben[Kostenkategorie],"Projektaktivitaeten")</f>
      </c>
      <c r="P7" s="3" t="str">
        <f>=SUMIFS(TblBudgetAusgaben[Betrag (EUR)],TblBudgetAusgaben[Kostenkategorie],"Projektaktivitaeten")</f>
      </c>
    </row>
    <row r="8">
      <c r="B8" s="47"/>
      <c r="I8" s="48"/>
      <c r="K8" s="69" t="s">
        <v>218</v>
      </c>
      <c r="L8" s="69"/>
      <c r="M8" s="69"/>
      <c r="O8" s="3" t="str">
        <f>=SUMIFS(TblBudgetAusgaben[Betrag (LC)],TblBudgetAusgaben[Kostenkategorie],"Projektverwaltung")</f>
      </c>
      <c r="P8" s="3" t="str">
        <f>=SUMIFS(TblBudgetAusgaben[Betrag (EUR)],TblBudgetAusgaben[Kostenkategorie],"Projektverwaltung")</f>
      </c>
    </row>
    <row r="9" ht="20" customHeight="true">
      <c r="B9" s="51" t="s">
        <v>195</v>
      </c>
      <c r="C9" s="22"/>
      <c r="D9" s="22"/>
      <c r="E9" s="22"/>
      <c r="F9" s="22"/>
      <c r="G9" s="22"/>
      <c r="H9" s="22"/>
      <c r="I9" s="52"/>
      <c r="K9" s="70" t="s">
        <v>158</v>
      </c>
      <c r="L9" s="70"/>
      <c r="M9" s="70"/>
      <c r="O9" s="3" t="str">
        <f>=SUMIFS(TblBudgetAusgaben[Betrag (LC)],TblBudgetAusgaben[Kostenkategorie],"Evaluierung")</f>
      </c>
      <c r="P9" s="3" t="str">
        <f>=SUMIFS(TblBudgetAusgaben[Betrag (EUR)],TblBudgetAusgaben[Kostenkategorie],"Evaluierung")</f>
      </c>
    </row>
    <row r="10" ht="22" customHeight="true">
      <c r="B10" s="53" t="s">
        <v>196</v>
      </c>
      <c r="D10" s="26" t="s">
        <v>197</v>
      </c>
      <c r="E10" s="27" t="str">
        <f>=SUM(TblDrittmittel[Betrag (LC)])</f>
      </c>
      <c r="F10" s="24"/>
      <c r="G10" s="24"/>
      <c r="H10" s="24"/>
      <c r="I10" s="54" t="str">
        <f>=SUM(TblDrittmittel[Betrag (EUR)])</f>
      </c>
      <c r="K10" s="70"/>
      <c r="L10" s="70"/>
      <c r="M10" s="70"/>
      <c r="O10" s="3" t="str">
        <f>=SUMIFS(TblBudgetAusgaben[Betrag (LC)],TblBudgetAusgaben[Kostenkategorie],"Audit")</f>
      </c>
      <c r="P10" s="3" t="str">
        <f>=SUMIFS(TblBudgetAusgaben[Betrag (EUR)],TblBudgetAusgaben[Kostenkategorie],"Audit")</f>
      </c>
    </row>
    <row r="11">
      <c r="B11" s="47"/>
      <c r="I11" s="48"/>
      <c r="K11" s="70"/>
      <c r="L11" s="70"/>
      <c r="M11" s="70"/>
      <c r="O11" s="3" t="str">
        <f>=SUMIFS(TblBudgetAusgaben[Betrag (LC)],TblBudgetAusgaben[Kostenkategorie],"Reserve")</f>
      </c>
      <c r="P11" s="3" t="str">
        <f>=SUMIFS(TblBudgetAusgaben[Betrag (EUR)],TblBudgetAusgaben[Kostenkategorie],"Reserve")</f>
      </c>
    </row>
    <row r="12" ht="20" customHeight="true">
      <c r="B12" s="51" t="s">
        <v>198</v>
      </c>
      <c r="C12" s="22"/>
      <c r="D12" s="22"/>
      <c r="E12" s="22"/>
      <c r="F12" s="22"/>
      <c r="G12" s="22"/>
      <c r="H12" s="22"/>
      <c r="I12" s="52"/>
      <c r="K12" s="70"/>
      <c r="L12" s="70"/>
      <c r="M12" s="70"/>
      <c r="O12" s="3" t="str">
        <f>=SUBTOTAL(109,TblBudgetAusgaben[Betrag (LC)])</f>
      </c>
      <c r="P12" s="3" t="str">
        <f>=SUBTOTAL(109,TblBudgetAusgaben[Betrag (EUR)])</f>
      </c>
    </row>
    <row r="13" ht="22" customHeight="true">
      <c r="B13" s="53" t="s">
        <v>199</v>
      </c>
      <c r="E13" s="24"/>
      <c r="F13" s="24"/>
      <c r="G13" s="24"/>
      <c r="H13" s="24"/>
      <c r="I13" s="41"/>
    </row>
    <row r="14">
      <c r="B14" s="47"/>
      <c r="I14" s="48"/>
    </row>
    <row r="15" ht="20" customHeight="true">
      <c r="B15" s="55" t="s">
        <v>200</v>
      </c>
      <c r="C15" s="31"/>
      <c r="D15" s="31"/>
      <c r="E15" s="31" t="str">
        <f>=E7+E10+E13</f>
      </c>
      <c r="F15" s="31" t="str">
        <f>=F7+F10+F13</f>
      </c>
      <c r="G15" s="31" t="str">
        <f>=G7+G10+G13</f>
      </c>
      <c r="H15" s="31" t="str">
        <f>=H7+H10+H13</f>
      </c>
      <c r="I15" s="56" t="str">
        <f>=I7+I10+I13</f>
      </c>
    </row>
    <row r="16">
      <c r="B16" s="47"/>
      <c r="I16" s="48"/>
    </row>
    <row r="17" ht="24" customHeight="true">
      <c r="B17" s="49" t="s">
        <v>201</v>
      </c>
      <c r="C17" s="18"/>
      <c r="D17" s="18"/>
      <c r="E17" s="18"/>
      <c r="F17" s="18"/>
      <c r="G17" s="18"/>
      <c r="H17" s="18"/>
      <c r="I17" s="50"/>
      <c r="K17" s="35" t="s">
        <v>214</v>
      </c>
      <c r="L17" s="36"/>
      <c r="M17" s="37"/>
    </row>
    <row r="18">
      <c r="B18" s="38" t="s">
        <v>202</v>
      </c>
      <c r="C18" s="21" t="s">
        <v>203</v>
      </c>
      <c r="D18" s="21" t="s">
        <v>204</v>
      </c>
      <c r="E18" s="21" t="s">
        <v>188</v>
      </c>
      <c r="F18" s="21" t="s">
        <v>189</v>
      </c>
      <c r="G18" s="21" t="s">
        <v>190</v>
      </c>
      <c r="H18" s="21" t="s">
        <v>191</v>
      </c>
      <c r="I18" s="39" t="s">
        <v>192</v>
      </c>
      <c r="K18" s="38" t="s">
        <v>215</v>
      </c>
      <c r="L18" s="21" t="s">
        <v>188</v>
      </c>
      <c r="M18" s="39" t="s">
        <v>192</v>
      </c>
    </row>
    <row r="19">
      <c r="B19" s="40" t="s">
        <v>205</v>
      </c>
      <c r="C19" s="33" t="str">
        <f>=IF(B19="","",MATCH(B19,{"Bauausgaben","Investitionen","Personalkosten","Projektaktivitaeten","Projektverwaltung","Evaluierung","Audit","Reserve"},0)&amp;"."&amp;COUNTIF(B$19:B19,B19))</f>
      </c>
      <c r="D19" s="32" t="s">
        <v>158</v>
      </c>
      <c r="E19" s="24"/>
      <c r="F19" s="24"/>
      <c r="G19" s="24"/>
      <c r="H19" s="24"/>
      <c r="I19" s="41"/>
      <c r="K19" s="40" t="s">
        <v>158</v>
      </c>
      <c r="L19" s="24"/>
      <c r="M19" s="41"/>
    </row>
    <row r="20">
      <c r="B20" s="40" t="s">
        <v>206</v>
      </c>
      <c r="C20" s="33" t="str">
        <f>=IF(B20="","",MATCH(B20,{"Bauausgaben","Investitionen","Personalkosten","Projektaktivitaeten","Projektverwaltung","Evaluierung","Audit","Reserve"},0)&amp;"."&amp;COUNTIF(B$19:B20,B20))</f>
      </c>
      <c r="D20" s="32" t="s">
        <v>158</v>
      </c>
      <c r="E20" s="24"/>
      <c r="F20" s="24"/>
      <c r="G20" s="24"/>
      <c r="H20" s="24"/>
      <c r="I20" s="41"/>
      <c r="K20" s="40" t="s">
        <v>158</v>
      </c>
      <c r="L20" s="24"/>
      <c r="M20" s="41"/>
    </row>
    <row r="21">
      <c r="B21" s="40" t="s">
        <v>207</v>
      </c>
      <c r="C21" s="33" t="str">
        <f>=IF(B21="","",MATCH(B21,{"Bauausgaben","Investitionen","Personalkosten","Projektaktivitaeten","Projektverwaltung","Evaluierung","Audit","Reserve"},0)&amp;"."&amp;COUNTIF(B$19:B21,B21))</f>
      </c>
      <c r="D21" s="32" t="s">
        <v>158</v>
      </c>
      <c r="E21" s="24"/>
      <c r="F21" s="24"/>
      <c r="G21" s="24"/>
      <c r="H21" s="24"/>
      <c r="I21" s="41"/>
      <c r="K21" s="42" t="s">
        <v>158</v>
      </c>
      <c r="L21" s="43"/>
      <c r="M21" s="44"/>
    </row>
    <row r="22">
      <c r="B22" s="40" t="s">
        <v>208</v>
      </c>
      <c r="C22" s="33" t="str">
        <f>=IF(B22="","",MATCH(B22,{"Bauausgaben","Investitionen","Personalkosten","Projektaktivitaeten","Projektverwaltung","Evaluierung","Audit","Reserve"},0)&amp;"."&amp;COUNTIF(B$19:B22,B22))</f>
      </c>
      <c r="D22" s="32" t="s">
        <v>158</v>
      </c>
      <c r="E22" s="24"/>
      <c r="F22" s="24"/>
      <c r="G22" s="24"/>
      <c r="H22" s="24"/>
      <c r="I22" s="41"/>
    </row>
    <row r="23">
      <c r="B23" s="40" t="s">
        <v>209</v>
      </c>
      <c r="C23" s="33" t="str">
        <f>=IF(B23="","",MATCH(B23,{"Bauausgaben","Investitionen","Personalkosten","Projektaktivitaeten","Projektverwaltung","Evaluierung","Audit","Reserve"},0)&amp;"."&amp;COUNTIF(B$19:B23,B23))</f>
      </c>
      <c r="D23" s="32" t="s">
        <v>158</v>
      </c>
      <c r="E23" s="24"/>
      <c r="F23" s="24"/>
      <c r="G23" s="24"/>
      <c r="H23" s="24"/>
      <c r="I23" s="41"/>
    </row>
    <row r="24">
      <c r="B24" s="40" t="s">
        <v>210</v>
      </c>
      <c r="C24" s="33" t="str">
        <f>=IF(B24="","",MATCH(B24,{"Bauausgaben","Investitionen","Personalkosten","Projektaktivitaeten","Projektverwaltung","Evaluierung","Audit","Reserve"},0)&amp;"."&amp;COUNTIF(B$19:B24,B24))</f>
      </c>
      <c r="D24" s="32" t="s">
        <v>158</v>
      </c>
      <c r="E24" s="24"/>
      <c r="F24" s="24"/>
      <c r="G24" s="24"/>
      <c r="H24" s="24"/>
      <c r="I24" s="41"/>
    </row>
    <row r="25">
      <c r="B25" s="40" t="s">
        <v>211</v>
      </c>
      <c r="C25" s="33" t="str">
        <f>=IF(B25="","",MATCH(B25,{"Bauausgaben","Investitionen","Personalkosten","Projektaktivitaeten","Projektverwaltung","Evaluierung","Audit","Reserve"},0)&amp;"."&amp;COUNTIF(B$19:B25,B25))</f>
      </c>
      <c r="D25" s="32" t="s">
        <v>158</v>
      </c>
      <c r="E25" s="24"/>
      <c r="F25" s="24"/>
      <c r="G25" s="24"/>
      <c r="H25" s="24"/>
      <c r="I25" s="41"/>
    </row>
    <row r="26">
      <c r="B26" s="40" t="s">
        <v>212</v>
      </c>
      <c r="C26" s="33" t="str">
        <f>=IF(B26="","",MATCH(B26,{"Bauausgaben","Investitionen","Personalkosten","Projektaktivitaeten","Projektverwaltung","Evaluierung","Audit","Reserve"},0)&amp;"."&amp;COUNTIF(B$19:B26,B26))</f>
      </c>
      <c r="D26" s="32" t="s">
        <v>158</v>
      </c>
      <c r="E26" s="24"/>
      <c r="F26" s="24"/>
      <c r="G26" s="24"/>
      <c r="H26" s="24"/>
      <c r="I26" s="41"/>
    </row>
    <row r="27" ht="20" customHeight="true">
      <c r="B27" s="57" t="s">
        <v>213</v>
      </c>
      <c r="C27" s="58"/>
      <c r="D27" s="58"/>
      <c r="E27" s="58" t="str">
        <f>=SUBTOTAL(109,TblBudgetAusgaben[Betrag (LC)])</f>
      </c>
      <c r="F27" s="58" t="str">
        <f>=SUBTOTAL(109,TblBudgetAusgaben[Jahr 1])</f>
      </c>
      <c r="G27" s="58" t="str">
        <f>=SUBTOTAL(109,TblBudgetAusgaben[Jahr 2])</f>
      </c>
      <c r="H27" s="58" t="str">
        <f>=SUBTOTAL(109,TblBudgetAusgaben[Jahr 3])</f>
      </c>
      <c r="I27" s="59" t="str">
        <f>=SUBTOTAL(109,TblBudgetAusgaben[Betrag (EUR)])</f>
      </c>
    </row>
    <row r="29">
      <c r="B29" s="72" t="s">
        <v>219</v>
      </c>
      <c r="C29" s="73"/>
      <c r="D29" s="73"/>
      <c r="E29" s="74"/>
    </row>
    <row r="30">
      <c r="B30" s="75" t="s">
        <v>220</v>
      </c>
      <c r="C30" s="71"/>
      <c r="D30" s="71"/>
      <c r="E30" s="76" t="str">
        <f>=IF(ROUND($E$15-$O$12,2)=0,"OK","Abweichung")</f>
      </c>
    </row>
    <row r="31">
      <c r="B31" s="75" t="s">
        <v>221</v>
      </c>
      <c r="C31" s="71"/>
      <c r="D31" s="71"/>
      <c r="E31" s="76" t="str">
        <f>=IF(ROUND($I$15-$P$12,2)=0,"OK","Abweichung")</f>
      </c>
    </row>
    <row r="32">
      <c r="B32" s="75" t="s">
        <v>222</v>
      </c>
      <c r="C32" s="71"/>
      <c r="D32" s="71"/>
      <c r="E32" s="76" t="str">
        <f>=IF(ROUND($H$4,4)=ROUND(IFERROR($O$12/$P$12,0),4),"OK","Abweichung")</f>
      </c>
    </row>
    <row r="33">
      <c r="B33" s="75" t="s">
        <v>223</v>
      </c>
      <c r="C33" s="71"/>
      <c r="D33" s="71"/>
      <c r="E33" s="76" t="str">
        <f>=IF(ROUND(($F$15+$G$15+$H$15)-$E$15,2)=0,"OK","Abweichung")</f>
      </c>
    </row>
    <row r="34">
      <c r="B34" s="77" t="s">
        <v>224</v>
      </c>
      <c r="C34" s="78"/>
      <c r="D34" s="78"/>
      <c r="E34" s="79" t="str">
        <f>=IF(ROUND(($F$27+$G$27+$H$27)-$O$12,2)=0,"OK","Abweichung")</f>
      </c>
    </row>
  </sheetData>
  <mergeCells count="9">
    <mergeCell ref="K17:M17"/>
    <mergeCell ref="K8:M8"/>
    <mergeCell ref="K9:M12"/>
    <mergeCell ref="B29:E29"/>
    <mergeCell ref="B30:D30"/>
    <mergeCell ref="B31:D31"/>
    <mergeCell ref="B32:D32"/>
    <mergeCell ref="B33:D33"/>
    <mergeCell ref="B34:D34"/>
  </mergeCells>
  <conditionalFormatting sqref="K6">
    <cfRule type="expression" dxfId="2" priority="1">
      <formula>$K$5="Ja"</formula>
    </cfRule>
  </conditionalFormatting>
  <conditionalFormatting sqref="K8:M8">
    <cfRule type="expression" dxfId="3" priority="2">
      <formula>$K$5="Ja"</formula>
    </cfRule>
  </conditionalFormatting>
  <conditionalFormatting sqref="K9:M12">
    <cfRule type="expression" dxfId="4" priority="3">
      <formula>$K$5="Ja"</formula>
    </cfRule>
  </conditionalFormatting>
  <conditionalFormatting sqref="E30">
    <cfRule type="expression" dxfId="5" priority="4">
      <formula>$E$30="OK"</formula>
    </cfRule>
  </conditionalFormatting>
  <conditionalFormatting sqref="E30">
    <cfRule type="expression" dxfId="6" priority="5">
      <formula>$E$30&lt;&gt;"OK"</formula>
    </cfRule>
  </conditionalFormatting>
  <conditionalFormatting sqref="E31">
    <cfRule type="expression" dxfId="5" priority="6">
      <formula>$E$31="OK"</formula>
    </cfRule>
  </conditionalFormatting>
  <conditionalFormatting sqref="E31">
    <cfRule type="expression" dxfId="6" priority="7">
      <formula>$E$31&lt;&gt;"OK"</formula>
    </cfRule>
  </conditionalFormatting>
  <conditionalFormatting sqref="E32">
    <cfRule type="expression" dxfId="5" priority="8">
      <formula>$E$32="OK"</formula>
    </cfRule>
  </conditionalFormatting>
  <conditionalFormatting sqref="E32">
    <cfRule type="expression" dxfId="6" priority="9">
      <formula>$E$32&lt;&gt;"OK"</formula>
    </cfRule>
  </conditionalFormatting>
  <conditionalFormatting sqref="E33">
    <cfRule type="expression" dxfId="5" priority="10">
      <formula>$E$33="OK"</formula>
    </cfRule>
  </conditionalFormatting>
  <conditionalFormatting sqref="E33">
    <cfRule type="expression" dxfId="6" priority="11">
      <formula>$E$33&lt;&gt;"OK"</formula>
    </cfRule>
  </conditionalFormatting>
  <conditionalFormatting sqref="E34">
    <cfRule type="expression" dxfId="7" priority="12">
      <formula>$E$34="OK"</formula>
    </cfRule>
  </conditionalFormatting>
  <conditionalFormatting sqref="E34">
    <cfRule type="expression" dxfId="8" priority="13">
      <formula>$E$34&lt;&gt;"OK"</formula>
    </cfRule>
  </conditionalFormatting>
  <dataValidations count="2">
    <dataValidation allowBlank="true" sqref="B19:B26" type="list">
      <formula1>"Bauausgaben,Investitionen,Personalkosten,Projektaktivitaeten,Projektverwaltung,Evaluierung,Audit,Reserve"</formula1>
    </dataValidation>
    <dataValidation allowBlank="true" sqref="K5" type="list">
      <formula1>"Ja,Nein"</formula1>
    </dataValidation>
  </dataValidations>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5"/>
    <col customWidth="true" max="3" min="3" width="10"/>
    <col customWidth="true" max="4" min="4" width="20"/>
    <col customWidth="true" max="5" min="5" width="15"/>
    <col customWidth="true" hidden="true" max="26" min="26" width="9.140625"/>
  </cols>
  <sheetData>
    <row r="1">
      <c r="Z1" t="s">
        <v>226</v>
      </c>
    </row>
    <row r="2" ht="24" customHeight="true">
      <c r="B2" s="80" t="s">
        <v>225</v>
      </c>
      <c r="C2" s="80"/>
      <c r="D2" s="80"/>
      <c r="E2" s="80"/>
      <c r="Z2" t="s">
        <v>227</v>
      </c>
    </row>
    <row r="3">
      <c r="Z3" t="s">
        <v>228</v>
      </c>
    </row>
    <row r="4" ht="20" customHeight="true">
      <c r="B4" s="87" t="s">
        <v>262</v>
      </c>
      <c r="C4" s="88" t="s">
        <v>263</v>
      </c>
      <c r="D4" s="88" t="s">
        <v>264</v>
      </c>
      <c r="E4" s="89" t="s">
        <v>265</v>
      </c>
      <c r="Z4" t="s">
        <v>229</v>
      </c>
    </row>
    <row r="5">
      <c r="B5" s="90"/>
      <c r="C5" s="91"/>
      <c r="D5" s="92"/>
      <c r="E5" s="93"/>
      <c r="Z5" t="s">
        <v>230</v>
      </c>
    </row>
    <row r="6">
      <c r="B6" s="94"/>
      <c r="C6" s="81"/>
      <c r="D6" s="82"/>
      <c r="E6" s="95"/>
      <c r="Z6" t="s">
        <v>231</v>
      </c>
    </row>
    <row r="7">
      <c r="B7" s="94"/>
      <c r="C7" s="81"/>
      <c r="D7" s="82"/>
      <c r="E7" s="95"/>
      <c r="Z7" t="s">
        <v>232</v>
      </c>
    </row>
    <row r="8">
      <c r="B8" s="94"/>
      <c r="C8" s="81"/>
      <c r="D8" s="82"/>
      <c r="E8" s="95"/>
      <c r="Z8" t="s">
        <v>233</v>
      </c>
    </row>
    <row r="9">
      <c r="B9" s="94"/>
      <c r="C9" s="81"/>
      <c r="D9" s="82"/>
      <c r="E9" s="95"/>
      <c r="Z9" t="s">
        <v>234</v>
      </c>
    </row>
    <row r="10">
      <c r="B10" s="94"/>
      <c r="C10" s="81"/>
      <c r="D10" s="82"/>
      <c r="E10" s="95"/>
      <c r="Z10" t="s">
        <v>235</v>
      </c>
    </row>
    <row r="11">
      <c r="B11" s="94"/>
      <c r="C11" s="81"/>
      <c r="D11" s="82"/>
      <c r="E11" s="95"/>
      <c r="Z11" t="s">
        <v>236</v>
      </c>
    </row>
    <row r="12">
      <c r="B12" s="94"/>
      <c r="C12" s="81"/>
      <c r="D12" s="82"/>
      <c r="E12" s="95"/>
      <c r="Z12" t="s">
        <v>237</v>
      </c>
    </row>
    <row r="13">
      <c r="B13" s="94"/>
      <c r="C13" s="81"/>
      <c r="D13" s="82"/>
      <c r="E13" s="95"/>
      <c r="Z13" t="s">
        <v>238</v>
      </c>
    </row>
    <row r="14">
      <c r="B14" s="94"/>
      <c r="C14" s="81"/>
      <c r="D14" s="82"/>
      <c r="E14" s="95"/>
      <c r="Z14" t="s">
        <v>239</v>
      </c>
    </row>
    <row r="15">
      <c r="B15" s="94"/>
      <c r="C15" s="81"/>
      <c r="D15" s="82"/>
      <c r="E15" s="95"/>
      <c r="Z15" t="s">
        <v>240</v>
      </c>
    </row>
    <row r="16">
      <c r="B16" s="94"/>
      <c r="C16" s="81"/>
      <c r="D16" s="82"/>
      <c r="E16" s="95"/>
      <c r="Z16" t="s">
        <v>241</v>
      </c>
    </row>
    <row r="17">
      <c r="B17" s="94"/>
      <c r="C17" s="81"/>
      <c r="D17" s="82"/>
      <c r="E17" s="95"/>
      <c r="Z17" t="s">
        <v>242</v>
      </c>
    </row>
    <row r="18">
      <c r="B18" s="94"/>
      <c r="C18" s="81"/>
      <c r="D18" s="82"/>
      <c r="E18" s="95"/>
      <c r="Z18" t="s">
        <v>243</v>
      </c>
    </row>
    <row r="19">
      <c r="B19" s="94"/>
      <c r="C19" s="81"/>
      <c r="D19" s="82"/>
      <c r="E19" s="95"/>
      <c r="Z19" t="s">
        <v>244</v>
      </c>
    </row>
    <row r="20">
      <c r="B20" s="94"/>
      <c r="C20" s="81"/>
      <c r="D20" s="82"/>
      <c r="E20" s="95"/>
      <c r="Z20" t="s">
        <v>245</v>
      </c>
    </row>
    <row r="21">
      <c r="B21" s="94"/>
      <c r="C21" s="81"/>
      <c r="D21" s="82"/>
      <c r="E21" s="95"/>
      <c r="Z21" t="s">
        <v>246</v>
      </c>
    </row>
    <row r="22">
      <c r="B22" s="96"/>
      <c r="C22" s="97"/>
      <c r="D22" s="98"/>
      <c r="E22" s="99"/>
      <c r="Z22" t="s">
        <v>247</v>
      </c>
    </row>
    <row r="23">
      <c r="B23" s="100" t="s">
        <v>266</v>
      </c>
      <c r="C23" s="101"/>
      <c r="D23" s="102" t="str">
        <f>=SUBTOTAL(109,TblKMWMittel[Betrag])</f>
      </c>
      <c r="E23" s="103"/>
      <c r="Z23" t="s">
        <v>248</v>
      </c>
    </row>
    <row r="24">
      <c r="Z24" t="s">
        <v>249</v>
      </c>
    </row>
    <row r="25">
      <c r="Z25" t="s">
        <v>250</v>
      </c>
    </row>
    <row r="26">
      <c r="Z26" t="s">
        <v>251</v>
      </c>
    </row>
    <row r="27">
      <c r="Z27" t="s">
        <v>252</v>
      </c>
    </row>
    <row r="28">
      <c r="Z28" t="s">
        <v>253</v>
      </c>
    </row>
    <row r="29">
      <c r="Z29" t="s">
        <v>254</v>
      </c>
    </row>
    <row r="30">
      <c r="Z30" t="s">
        <v>255</v>
      </c>
    </row>
    <row r="31">
      <c r="Z31" t="s">
        <v>256</v>
      </c>
    </row>
    <row r="32">
      <c r="Z32" t="s">
        <v>257</v>
      </c>
    </row>
    <row r="33">
      <c r="Z33" t="s">
        <v>258</v>
      </c>
    </row>
    <row r="34">
      <c r="Z34" t="s">
        <v>259</v>
      </c>
    </row>
    <row r="35">
      <c r="Z35" t="s">
        <v>260</v>
      </c>
    </row>
    <row r="36">
      <c r="Z36" t="s">
        <v>261</v>
      </c>
    </row>
  </sheetData>
  <mergeCells count="1">
    <mergeCell ref="B2:E2"/>
  </mergeCells>
  <dataValidations count="2">
    <dataValidation allowBlank="true" sqref="B5:B22" type="list">
      <formula1>'II. KMW-Mittel'!$Z$1:$Z$36</formula1>
    </dataValidation>
    <dataValidation allowBlank="true" sqref="C5:C22" type="list">
      <formula1>"EUR,USD"</formula1>
    </dataValidation>
  </dataValidation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6"/>
    <col customWidth="true" max="6" min="3" width="18"/>
    <col customWidth="true" max="9" min="9" width="16"/>
    <col customWidth="true" max="13" min="10" width="18"/>
    <col customWidth="true" max="16" min="16" width="16"/>
    <col customWidth="true" max="20" min="17" width="18"/>
    <col customWidth="true" max="23" min="23" width="16"/>
    <col customWidth="true" max="27" min="24" width="18"/>
    <col customWidth="true" max="30" min="30" width="16"/>
    <col customWidth="true" max="34" min="31" width="18"/>
    <col customWidth="true" max="37" min="37" width="16"/>
    <col customWidth="true" max="41" min="38" width="18"/>
    <col customWidth="true" max="44" min="44" width="16"/>
    <col customWidth="true" max="48" min="45" width="18"/>
    <col customWidth="true" max="51" min="51" width="16"/>
    <col customWidth="true" max="55" min="52" width="18"/>
    <col customWidth="true" max="58" min="58" width="16"/>
    <col customWidth="true" max="62" min="59" width="18"/>
    <col customWidth="true" max="65" min="65" width="16"/>
    <col customWidth="true" max="69" min="66" width="18"/>
    <col customWidth="true" max="72" min="72" width="16"/>
    <col customWidth="true" max="76" min="73" width="18"/>
    <col customWidth="true" max="79" min="79" width="16"/>
    <col customWidth="true" max="83" min="80" width="18"/>
    <col customWidth="true" max="86" min="86" width="16"/>
    <col customWidth="true" max="90" min="87" width="18"/>
    <col customWidth="true" max="93" min="93" width="16"/>
    <col customWidth="true" max="97" min="94" width="18"/>
    <col customWidth="true" max="100" min="100" width="16"/>
    <col customWidth="true" max="104" min="101" width="18"/>
    <col customWidth="true" max="107" min="107" width="16"/>
    <col customWidth="true" max="111" min="108" width="18"/>
    <col customWidth="true" max="114" min="114" width="16"/>
    <col customWidth="true" max="118" min="115" width="18"/>
    <col customWidth="true" max="121" min="121" width="16"/>
    <col customWidth="true" max="125" min="122" width="18"/>
  </cols>
  <sheetData>
    <row r="3">
      <c r="H3" s="175" t="s">
        <v>302</v>
      </c>
      <c r="O3" s="175" t="s">
        <v>302</v>
      </c>
      <c r="V3" s="175" t="s">
        <v>302</v>
      </c>
      <c r="AC3" s="175" t="s">
        <v>302</v>
      </c>
      <c r="AJ3" s="175" t="s">
        <v>302</v>
      </c>
      <c r="AQ3" s="175" t="s">
        <v>302</v>
      </c>
      <c r="AX3" s="175" t="s">
        <v>302</v>
      </c>
      <c r="BE3" s="175" t="s">
        <v>302</v>
      </c>
      <c r="BL3" s="175" t="s">
        <v>302</v>
      </c>
      <c r="BS3" s="175" t="s">
        <v>302</v>
      </c>
      <c r="BZ3" s="175" t="s">
        <v>302</v>
      </c>
      <c r="CG3" s="175" t="s">
        <v>302</v>
      </c>
      <c r="CN3" s="175" t="s">
        <v>302</v>
      </c>
      <c r="CU3" s="175" t="s">
        <v>302</v>
      </c>
      <c r="DB3" s="175" t="s">
        <v>302</v>
      </c>
      <c r="DI3" s="175" t="s">
        <v>302</v>
      </c>
      <c r="DP3" s="175" t="s">
        <v>302</v>
      </c>
    </row>
    <row r="5">
      <c r="B5" s="133" t="s">
        <v>267</v>
      </c>
      <c r="C5" s="134" t="s">
        <v>226</v>
      </c>
      <c r="D5" s="134"/>
      <c r="E5" s="135"/>
      <c r="F5" s="136"/>
      <c r="I5" s="133" t="s">
        <v>267</v>
      </c>
      <c r="J5" s="134" t="s">
        <v>227</v>
      </c>
      <c r="K5" s="134"/>
      <c r="L5" s="135"/>
      <c r="M5" s="136"/>
      <c r="P5" s="133" t="s">
        <v>267</v>
      </c>
      <c r="Q5" s="134" t="s">
        <v>228</v>
      </c>
      <c r="R5" s="134"/>
      <c r="S5" s="135"/>
      <c r="T5" s="136"/>
      <c r="W5" s="133" t="s">
        <v>267</v>
      </c>
      <c r="X5" s="134" t="s">
        <v>229</v>
      </c>
      <c r="Y5" s="134"/>
      <c r="Z5" s="135"/>
      <c r="AA5" s="136"/>
      <c r="AD5" s="133" t="s">
        <v>267</v>
      </c>
      <c r="AE5" s="134" t="s">
        <v>230</v>
      </c>
      <c r="AF5" s="134"/>
      <c r="AG5" s="135"/>
      <c r="AH5" s="136"/>
      <c r="AK5" s="133" t="s">
        <v>267</v>
      </c>
      <c r="AL5" s="134" t="s">
        <v>231</v>
      </c>
      <c r="AM5" s="134"/>
      <c r="AN5" s="135"/>
      <c r="AO5" s="136"/>
      <c r="AR5" s="133" t="s">
        <v>267</v>
      </c>
      <c r="AS5" s="134" t="s">
        <v>232</v>
      </c>
      <c r="AT5" s="134"/>
      <c r="AU5" s="135"/>
      <c r="AV5" s="136"/>
      <c r="AY5" s="133" t="s">
        <v>267</v>
      </c>
      <c r="AZ5" s="134" t="s">
        <v>233</v>
      </c>
      <c r="BA5" s="134"/>
      <c r="BB5" s="135"/>
      <c r="BC5" s="136"/>
      <c r="BF5" s="133" t="s">
        <v>267</v>
      </c>
      <c r="BG5" s="134" t="s">
        <v>234</v>
      </c>
      <c r="BH5" s="134"/>
      <c r="BI5" s="135"/>
      <c r="BJ5" s="136"/>
      <c r="BM5" s="133" t="s">
        <v>267</v>
      </c>
      <c r="BN5" s="134" t="s">
        <v>235</v>
      </c>
      <c r="BO5" s="134"/>
      <c r="BP5" s="135"/>
      <c r="BQ5" s="136"/>
      <c r="BT5" s="133" t="s">
        <v>267</v>
      </c>
      <c r="BU5" s="134" t="s">
        <v>236</v>
      </c>
      <c r="BV5" s="134"/>
      <c r="BW5" s="135"/>
      <c r="BX5" s="136"/>
      <c r="CA5" s="133" t="s">
        <v>267</v>
      </c>
      <c r="CB5" s="134" t="s">
        <v>237</v>
      </c>
      <c r="CC5" s="134"/>
      <c r="CD5" s="135"/>
      <c r="CE5" s="136"/>
      <c r="CH5" s="133" t="s">
        <v>267</v>
      </c>
      <c r="CI5" s="134" t="s">
        <v>238</v>
      </c>
      <c r="CJ5" s="134"/>
      <c r="CK5" s="135"/>
      <c r="CL5" s="136"/>
      <c r="CO5" s="133" t="s">
        <v>267</v>
      </c>
      <c r="CP5" s="134" t="s">
        <v>239</v>
      </c>
      <c r="CQ5" s="134"/>
      <c r="CR5" s="135"/>
      <c r="CS5" s="136"/>
      <c r="CV5" s="133" t="s">
        <v>267</v>
      </c>
      <c r="CW5" s="134" t="s">
        <v>240</v>
      </c>
      <c r="CX5" s="134"/>
      <c r="CY5" s="135"/>
      <c r="CZ5" s="136"/>
      <c r="DC5" s="133" t="s">
        <v>267</v>
      </c>
      <c r="DD5" s="134" t="s">
        <v>241</v>
      </c>
      <c r="DE5" s="134"/>
      <c r="DF5" s="135"/>
      <c r="DG5" s="136"/>
      <c r="DJ5" s="133" t="s">
        <v>267</v>
      </c>
      <c r="DK5" s="134" t="s">
        <v>242</v>
      </c>
      <c r="DL5" s="134"/>
      <c r="DM5" s="135"/>
      <c r="DN5" s="136"/>
      <c r="DQ5" s="133" t="s">
        <v>267</v>
      </c>
      <c r="DR5" s="134" t="s">
        <v>243</v>
      </c>
      <c r="DS5" s="134"/>
      <c r="DT5" s="135"/>
      <c r="DU5" s="136"/>
    </row>
    <row r="6">
      <c r="B6" s="137" t="s">
        <v>268</v>
      </c>
      <c r="C6" s="108" t="s">
        <v>158</v>
      </c>
      <c r="D6" s="108"/>
      <c r="F6" s="48"/>
      <c r="I6" s="137" t="s">
        <v>268</v>
      </c>
      <c r="J6" s="108" t="s">
        <v>158</v>
      </c>
      <c r="K6" s="108"/>
      <c r="M6" s="48"/>
      <c r="P6" s="137" t="s">
        <v>268</v>
      </c>
      <c r="Q6" s="108" t="s">
        <v>158</v>
      </c>
      <c r="R6" s="108"/>
      <c r="T6" s="48"/>
      <c r="W6" s="137" t="s">
        <v>268</v>
      </c>
      <c r="X6" s="108" t="s">
        <v>158</v>
      </c>
      <c r="Y6" s="108"/>
      <c r="AA6" s="48"/>
      <c r="AD6" s="137" t="s">
        <v>268</v>
      </c>
      <c r="AE6" s="108" t="s">
        <v>158</v>
      </c>
      <c r="AF6" s="108"/>
      <c r="AH6" s="48"/>
      <c r="AK6" s="137" t="s">
        <v>268</v>
      </c>
      <c r="AL6" s="108" t="s">
        <v>158</v>
      </c>
      <c r="AM6" s="108"/>
      <c r="AO6" s="48"/>
      <c r="AR6" s="137" t="s">
        <v>268</v>
      </c>
      <c r="AS6" s="108" t="s">
        <v>158</v>
      </c>
      <c r="AT6" s="108"/>
      <c r="AV6" s="48"/>
      <c r="AY6" s="137" t="s">
        <v>268</v>
      </c>
      <c r="AZ6" s="108" t="s">
        <v>158</v>
      </c>
      <c r="BA6" s="108"/>
      <c r="BC6" s="48"/>
      <c r="BF6" s="137" t="s">
        <v>268</v>
      </c>
      <c r="BG6" s="108" t="s">
        <v>158</v>
      </c>
      <c r="BH6" s="108"/>
      <c r="BJ6" s="48"/>
      <c r="BM6" s="137" t="s">
        <v>268</v>
      </c>
      <c r="BN6" s="108" t="s">
        <v>158</v>
      </c>
      <c r="BO6" s="108"/>
      <c r="BQ6" s="48"/>
      <c r="BT6" s="137" t="s">
        <v>268</v>
      </c>
      <c r="BU6" s="108" t="s">
        <v>158</v>
      </c>
      <c r="BV6" s="108"/>
      <c r="BX6" s="48"/>
      <c r="CA6" s="137" t="s">
        <v>268</v>
      </c>
      <c r="CB6" s="108" t="s">
        <v>158</v>
      </c>
      <c r="CC6" s="108"/>
      <c r="CE6" s="48"/>
      <c r="CH6" s="137" t="s">
        <v>268</v>
      </c>
      <c r="CI6" s="108" t="s">
        <v>158</v>
      </c>
      <c r="CJ6" s="108"/>
      <c r="CL6" s="48"/>
      <c r="CO6" s="137" t="s">
        <v>268</v>
      </c>
      <c r="CP6" s="108" t="s">
        <v>158</v>
      </c>
      <c r="CQ6" s="108"/>
      <c r="CS6" s="48"/>
      <c r="CV6" s="137" t="s">
        <v>268</v>
      </c>
      <c r="CW6" s="108" t="s">
        <v>158</v>
      </c>
      <c r="CX6" s="108"/>
      <c r="CZ6" s="48"/>
      <c r="DC6" s="137" t="s">
        <v>268</v>
      </c>
      <c r="DD6" s="108" t="s">
        <v>158</v>
      </c>
      <c r="DE6" s="108"/>
      <c r="DG6" s="48"/>
      <c r="DJ6" s="137" t="s">
        <v>268</v>
      </c>
      <c r="DK6" s="108" t="s">
        <v>158</v>
      </c>
      <c r="DL6" s="108"/>
      <c r="DN6" s="48"/>
      <c r="DQ6" s="137" t="s">
        <v>268</v>
      </c>
      <c r="DR6" s="108" t="s">
        <v>158</v>
      </c>
      <c r="DS6" s="108"/>
      <c r="DU6" s="48"/>
    </row>
    <row r="7">
      <c r="B7" s="137" t="s">
        <v>269</v>
      </c>
      <c r="C7" s="110" t="str">
        <f>=ROUND(IFERROR(F46,0),6)</f>
        <v>158</v>
      </c>
      <c r="D7" s="110"/>
      <c r="F7" s="48"/>
      <c r="I7" s="137" t="s">
        <v>269</v>
      </c>
      <c r="J7" s="110" t="str">
        <f>=ROUND(IFERROR(M46,0),6)</f>
        <v>158</v>
      </c>
      <c r="K7" s="110"/>
      <c r="M7" s="48"/>
      <c r="P7" s="137" t="s">
        <v>269</v>
      </c>
      <c r="Q7" s="110" t="str">
        <f>=ROUND(IFERROR(T46,0),6)</f>
        <v>158</v>
      </c>
      <c r="R7" s="110"/>
      <c r="T7" s="48"/>
      <c r="W7" s="137" t="s">
        <v>269</v>
      </c>
      <c r="X7" s="110" t="str">
        <f>=ROUND(IFERROR(AA46,0),6)</f>
        <v>158</v>
      </c>
      <c r="Y7" s="110"/>
      <c r="AA7" s="48"/>
      <c r="AD7" s="137" t="s">
        <v>269</v>
      </c>
      <c r="AE7" s="110" t="str">
        <f>=ROUND(IFERROR(AH46,0),6)</f>
        <v>158</v>
      </c>
      <c r="AF7" s="110"/>
      <c r="AH7" s="48"/>
      <c r="AK7" s="137" t="s">
        <v>269</v>
      </c>
      <c r="AL7" s="110" t="str">
        <f>=ROUND(IFERROR(AO46,0),6)</f>
        <v>158</v>
      </c>
      <c r="AM7" s="110"/>
      <c r="AO7" s="48"/>
      <c r="AR7" s="137" t="s">
        <v>269</v>
      </c>
      <c r="AS7" s="110" t="str">
        <f>=ROUND(IFERROR(AV46,0),6)</f>
        <v>158</v>
      </c>
      <c r="AT7" s="110"/>
      <c r="AV7" s="48"/>
      <c r="AY7" s="137" t="s">
        <v>269</v>
      </c>
      <c r="AZ7" s="110" t="str">
        <f>=ROUND(IFERROR(BC46,0),6)</f>
        <v>158</v>
      </c>
      <c r="BA7" s="110"/>
      <c r="BC7" s="48"/>
      <c r="BF7" s="137" t="s">
        <v>269</v>
      </c>
      <c r="BG7" s="110" t="str">
        <f>=ROUND(IFERROR(BJ46,0),6)</f>
        <v>158</v>
      </c>
      <c r="BH7" s="110"/>
      <c r="BJ7" s="48"/>
      <c r="BM7" s="137" t="s">
        <v>269</v>
      </c>
      <c r="BN7" s="110" t="str">
        <f>=ROUND(IFERROR(BQ46,0),6)</f>
        <v>158</v>
      </c>
      <c r="BO7" s="110"/>
      <c r="BQ7" s="48"/>
      <c r="BT7" s="137" t="s">
        <v>269</v>
      </c>
      <c r="BU7" s="110" t="str">
        <f>=ROUND(IFERROR(BX46,0),6)</f>
        <v>158</v>
      </c>
      <c r="BV7" s="110"/>
      <c r="BX7" s="48"/>
      <c r="CA7" s="137" t="s">
        <v>269</v>
      </c>
      <c r="CB7" s="110" t="str">
        <f>=ROUND(IFERROR(CE46,0),6)</f>
        <v>158</v>
      </c>
      <c r="CC7" s="110"/>
      <c r="CE7" s="48"/>
      <c r="CH7" s="137" t="s">
        <v>269</v>
      </c>
      <c r="CI7" s="110" t="str">
        <f>=ROUND(IFERROR(CL46,0),6)</f>
        <v>158</v>
      </c>
      <c r="CJ7" s="110"/>
      <c r="CL7" s="48"/>
      <c r="CO7" s="137" t="s">
        <v>269</v>
      </c>
      <c r="CP7" s="110" t="str">
        <f>=ROUND(IFERROR(CS46,0),6)</f>
        <v>158</v>
      </c>
      <c r="CQ7" s="110"/>
      <c r="CS7" s="48"/>
      <c r="CV7" s="137" t="s">
        <v>269</v>
      </c>
      <c r="CW7" s="110" t="str">
        <f>=ROUND(IFERROR(CZ46,0),6)</f>
        <v>158</v>
      </c>
      <c r="CX7" s="110"/>
      <c r="CZ7" s="48"/>
      <c r="DC7" s="137" t="s">
        <v>269</v>
      </c>
      <c r="DD7" s="110" t="str">
        <f>=ROUND(IFERROR(DG46,0),6)</f>
        <v>158</v>
      </c>
      <c r="DE7" s="110"/>
      <c r="DG7" s="48"/>
      <c r="DJ7" s="137" t="s">
        <v>269</v>
      </c>
      <c r="DK7" s="110" t="str">
        <f>=ROUND(IFERROR(DN46,0),6)</f>
        <v>158</v>
      </c>
      <c r="DL7" s="110"/>
      <c r="DN7" s="48"/>
      <c r="DQ7" s="137" t="s">
        <v>269</v>
      </c>
      <c r="DR7" s="110" t="str">
        <f>=ROUND(IFERROR(DU46,0),6)</f>
        <v>158</v>
      </c>
      <c r="DS7" s="110"/>
      <c r="DU7" s="48"/>
    </row>
    <row r="8">
      <c r="B8" s="47"/>
      <c r="F8" s="48"/>
      <c r="I8" s="47"/>
      <c r="M8" s="48"/>
      <c r="P8" s="47"/>
      <c r="T8" s="48"/>
      <c r="W8" s="47"/>
      <c r="AA8" s="48"/>
      <c r="AD8" s="47"/>
      <c r="AH8" s="48"/>
      <c r="AK8" s="47"/>
      <c r="AO8" s="48"/>
      <c r="AR8" s="47"/>
      <c r="AV8" s="48"/>
      <c r="AY8" s="47"/>
      <c r="BC8" s="48"/>
      <c r="BF8" s="47"/>
      <c r="BJ8" s="48"/>
      <c r="BM8" s="47"/>
      <c r="BQ8" s="48"/>
      <c r="BT8" s="47"/>
      <c r="BX8" s="48"/>
      <c r="CA8" s="47"/>
      <c r="CE8" s="48"/>
      <c r="CH8" s="47"/>
      <c r="CL8" s="48"/>
      <c r="CO8" s="47"/>
      <c r="CS8" s="48"/>
      <c r="CV8" s="47"/>
      <c r="CZ8" s="48"/>
      <c r="DC8" s="47"/>
      <c r="DG8" s="48"/>
      <c r="DJ8" s="47"/>
      <c r="DN8" s="48"/>
      <c r="DQ8" s="47"/>
      <c r="DU8" s="48"/>
    </row>
    <row r="9">
      <c r="B9" s="138" t="s">
        <v>270</v>
      </c>
      <c r="C9" s="111"/>
      <c r="D9" s="111"/>
      <c r="E9" s="111"/>
      <c r="F9" s="139"/>
      <c r="I9" s="138" t="s">
        <v>270</v>
      </c>
      <c r="J9" s="111"/>
      <c r="K9" s="111"/>
      <c r="L9" s="111"/>
      <c r="M9" s="139"/>
      <c r="P9" s="138" t="s">
        <v>270</v>
      </c>
      <c r="Q9" s="111"/>
      <c r="R9" s="111"/>
      <c r="S9" s="111"/>
      <c r="T9" s="139"/>
      <c r="W9" s="138" t="s">
        <v>270</v>
      </c>
      <c r="X9" s="111"/>
      <c r="Y9" s="111"/>
      <c r="Z9" s="111"/>
      <c r="AA9" s="139"/>
      <c r="AD9" s="138" t="s">
        <v>270</v>
      </c>
      <c r="AE9" s="111"/>
      <c r="AF9" s="111"/>
      <c r="AG9" s="111"/>
      <c r="AH9" s="139"/>
      <c r="AK9" s="138" t="s">
        <v>270</v>
      </c>
      <c r="AL9" s="111"/>
      <c r="AM9" s="111"/>
      <c r="AN9" s="111"/>
      <c r="AO9" s="139"/>
      <c r="AR9" s="138" t="s">
        <v>270</v>
      </c>
      <c r="AS9" s="111"/>
      <c r="AT9" s="111"/>
      <c r="AU9" s="111"/>
      <c r="AV9" s="139"/>
      <c r="AY9" s="138" t="s">
        <v>270</v>
      </c>
      <c r="AZ9" s="111"/>
      <c r="BA9" s="111"/>
      <c r="BB9" s="111"/>
      <c r="BC9" s="139"/>
      <c r="BF9" s="138" t="s">
        <v>270</v>
      </c>
      <c r="BG9" s="111"/>
      <c r="BH9" s="111"/>
      <c r="BI9" s="111"/>
      <c r="BJ9" s="139"/>
      <c r="BM9" s="138" t="s">
        <v>270</v>
      </c>
      <c r="BN9" s="111"/>
      <c r="BO9" s="111"/>
      <c r="BP9" s="111"/>
      <c r="BQ9" s="139"/>
      <c r="BT9" s="138" t="s">
        <v>270</v>
      </c>
      <c r="BU9" s="111"/>
      <c r="BV9" s="111"/>
      <c r="BW9" s="111"/>
      <c r="BX9" s="139"/>
      <c r="CA9" s="138" t="s">
        <v>270</v>
      </c>
      <c r="CB9" s="111"/>
      <c r="CC9" s="111"/>
      <c r="CD9" s="111"/>
      <c r="CE9" s="139"/>
      <c r="CH9" s="138" t="s">
        <v>270</v>
      </c>
      <c r="CI9" s="111"/>
      <c r="CJ9" s="111"/>
      <c r="CK9" s="111"/>
      <c r="CL9" s="139"/>
      <c r="CO9" s="138" t="s">
        <v>270</v>
      </c>
      <c r="CP9" s="111"/>
      <c r="CQ9" s="111"/>
      <c r="CR9" s="111"/>
      <c r="CS9" s="139"/>
      <c r="CV9" s="138" t="s">
        <v>270</v>
      </c>
      <c r="CW9" s="111"/>
      <c r="CX9" s="111"/>
      <c r="CY9" s="111"/>
      <c r="CZ9" s="139"/>
      <c r="DC9" s="138" t="s">
        <v>270</v>
      </c>
      <c r="DD9" s="111"/>
      <c r="DE9" s="111"/>
      <c r="DF9" s="111"/>
      <c r="DG9" s="139"/>
      <c r="DJ9" s="138" t="s">
        <v>270</v>
      </c>
      <c r="DK9" s="111"/>
      <c r="DL9" s="111"/>
      <c r="DM9" s="111"/>
      <c r="DN9" s="139"/>
      <c r="DQ9" s="138" t="s">
        <v>270</v>
      </c>
      <c r="DR9" s="111"/>
      <c r="DS9" s="111"/>
      <c r="DT9" s="111"/>
      <c r="DU9" s="139"/>
    </row>
    <row r="10">
      <c r="B10" s="140" t="s">
        <v>271</v>
      </c>
      <c r="C10" s="113" t="s">
        <v>272</v>
      </c>
      <c r="D10" s="113" t="s">
        <v>273</v>
      </c>
      <c r="E10" s="113" t="s">
        <v>274</v>
      </c>
      <c r="F10" s="141" t="s">
        <v>275</v>
      </c>
      <c r="I10" s="140" t="s">
        <v>271</v>
      </c>
      <c r="J10" s="113" t="s">
        <v>272</v>
      </c>
      <c r="K10" s="113" t="s">
        <v>273</v>
      </c>
      <c r="L10" s="113" t="s">
        <v>274</v>
      </c>
      <c r="M10" s="141" t="s">
        <v>275</v>
      </c>
      <c r="P10" s="140" t="s">
        <v>271</v>
      </c>
      <c r="Q10" s="113" t="s">
        <v>272</v>
      </c>
      <c r="R10" s="113" t="s">
        <v>273</v>
      </c>
      <c r="S10" s="113" t="s">
        <v>274</v>
      </c>
      <c r="T10" s="141" t="s">
        <v>275</v>
      </c>
      <c r="W10" s="140" t="s">
        <v>271</v>
      </c>
      <c r="X10" s="113" t="s">
        <v>272</v>
      </c>
      <c r="Y10" s="113" t="s">
        <v>273</v>
      </c>
      <c r="Z10" s="113" t="s">
        <v>274</v>
      </c>
      <c r="AA10" s="141" t="s">
        <v>275</v>
      </c>
      <c r="AD10" s="140" t="s">
        <v>271</v>
      </c>
      <c r="AE10" s="113" t="s">
        <v>272</v>
      </c>
      <c r="AF10" s="113" t="s">
        <v>273</v>
      </c>
      <c r="AG10" s="113" t="s">
        <v>274</v>
      </c>
      <c r="AH10" s="141" t="s">
        <v>275</v>
      </c>
      <c r="AK10" s="140" t="s">
        <v>271</v>
      </c>
      <c r="AL10" s="113" t="s">
        <v>272</v>
      </c>
      <c r="AM10" s="113" t="s">
        <v>273</v>
      </c>
      <c r="AN10" s="113" t="s">
        <v>274</v>
      </c>
      <c r="AO10" s="141" t="s">
        <v>275</v>
      </c>
      <c r="AR10" s="140" t="s">
        <v>271</v>
      </c>
      <c r="AS10" s="113" t="s">
        <v>272</v>
      </c>
      <c r="AT10" s="113" t="s">
        <v>273</v>
      </c>
      <c r="AU10" s="113" t="s">
        <v>274</v>
      </c>
      <c r="AV10" s="141" t="s">
        <v>275</v>
      </c>
      <c r="AY10" s="140" t="s">
        <v>271</v>
      </c>
      <c r="AZ10" s="113" t="s">
        <v>272</v>
      </c>
      <c r="BA10" s="113" t="s">
        <v>273</v>
      </c>
      <c r="BB10" s="113" t="s">
        <v>274</v>
      </c>
      <c r="BC10" s="141" t="s">
        <v>275</v>
      </c>
      <c r="BF10" s="140" t="s">
        <v>271</v>
      </c>
      <c r="BG10" s="113" t="s">
        <v>272</v>
      </c>
      <c r="BH10" s="113" t="s">
        <v>273</v>
      </c>
      <c r="BI10" s="113" t="s">
        <v>274</v>
      </c>
      <c r="BJ10" s="141" t="s">
        <v>275</v>
      </c>
      <c r="BM10" s="140" t="s">
        <v>271</v>
      </c>
      <c r="BN10" s="113" t="s">
        <v>272</v>
      </c>
      <c r="BO10" s="113" t="s">
        <v>273</v>
      </c>
      <c r="BP10" s="113" t="s">
        <v>274</v>
      </c>
      <c r="BQ10" s="141" t="s">
        <v>275</v>
      </c>
      <c r="BT10" s="140" t="s">
        <v>271</v>
      </c>
      <c r="BU10" s="113" t="s">
        <v>272</v>
      </c>
      <c r="BV10" s="113" t="s">
        <v>273</v>
      </c>
      <c r="BW10" s="113" t="s">
        <v>274</v>
      </c>
      <c r="BX10" s="141" t="s">
        <v>275</v>
      </c>
      <c r="CA10" s="140" t="s">
        <v>271</v>
      </c>
      <c r="CB10" s="113" t="s">
        <v>272</v>
      </c>
      <c r="CC10" s="113" t="s">
        <v>273</v>
      </c>
      <c r="CD10" s="113" t="s">
        <v>274</v>
      </c>
      <c r="CE10" s="141" t="s">
        <v>275</v>
      </c>
      <c r="CH10" s="140" t="s">
        <v>271</v>
      </c>
      <c r="CI10" s="113" t="s">
        <v>272</v>
      </c>
      <c r="CJ10" s="113" t="s">
        <v>273</v>
      </c>
      <c r="CK10" s="113" t="s">
        <v>274</v>
      </c>
      <c r="CL10" s="141" t="s">
        <v>275</v>
      </c>
      <c r="CO10" s="140" t="s">
        <v>271</v>
      </c>
      <c r="CP10" s="113" t="s">
        <v>272</v>
      </c>
      <c r="CQ10" s="113" t="s">
        <v>273</v>
      </c>
      <c r="CR10" s="113" t="s">
        <v>274</v>
      </c>
      <c r="CS10" s="141" t="s">
        <v>275</v>
      </c>
      <c r="CV10" s="140" t="s">
        <v>271</v>
      </c>
      <c r="CW10" s="113" t="s">
        <v>272</v>
      </c>
      <c r="CX10" s="113" t="s">
        <v>273</v>
      </c>
      <c r="CY10" s="113" t="s">
        <v>274</v>
      </c>
      <c r="CZ10" s="141" t="s">
        <v>275</v>
      </c>
      <c r="DC10" s="140" t="s">
        <v>271</v>
      </c>
      <c r="DD10" s="113" t="s">
        <v>272</v>
      </c>
      <c r="DE10" s="113" t="s">
        <v>273</v>
      </c>
      <c r="DF10" s="113" t="s">
        <v>274</v>
      </c>
      <c r="DG10" s="141" t="s">
        <v>275</v>
      </c>
      <c r="DJ10" s="140" t="s">
        <v>271</v>
      </c>
      <c r="DK10" s="113" t="s">
        <v>272</v>
      </c>
      <c r="DL10" s="113" t="s">
        <v>273</v>
      </c>
      <c r="DM10" s="113" t="s">
        <v>274</v>
      </c>
      <c r="DN10" s="141" t="s">
        <v>275</v>
      </c>
      <c r="DQ10" s="140" t="s">
        <v>271</v>
      </c>
      <c r="DR10" s="113" t="s">
        <v>272</v>
      </c>
      <c r="DS10" s="113" t="s">
        <v>273</v>
      </c>
      <c r="DT10" s="113" t="s">
        <v>274</v>
      </c>
      <c r="DU10" s="141" t="s">
        <v>275</v>
      </c>
    </row>
    <row r="11">
      <c r="B11" s="142" t="s">
        <v>276</v>
      </c>
      <c r="C11" s="115" t="str">
        <f>=ROUND(IF(Saldovortrag_LW="",0,Saldovortrag_LW),2)</f>
      </c>
      <c r="D11" s="116" t="str">
        <f>=ROUND(IF(Saldovortrag_EUR="",0,Saldovortrag_EUR),2)</f>
      </c>
      <c r="E11" s="115" t="str">
        <f>=ROUND(IF(Saldovortrag_LW="",0,Saldovortrag_LW),2)</f>
      </c>
      <c r="F11" s="143" t="str">
        <f>=ROUND(IF(Saldovortrag_EUR="",0,Saldovortrag_EUR),2)</f>
      </c>
      <c r="I11" s="142" t="s">
        <v>303</v>
      </c>
      <c r="J11" s="115" t="str">
        <f>=ROUND(FB_SaldoLC_1,2)</f>
      </c>
      <c r="K11" s="116" t="str">
        <f>=ROUND(FB_SaldoEUR_1,2)</f>
      </c>
      <c r="L11" s="115" t="str">
        <f>=ROUND(FB_SaldoLC_1,2)</f>
      </c>
      <c r="M11" s="143" t="str">
        <f>=ROUND(FB_SaldoEUR_1,2)</f>
      </c>
      <c r="P11" s="142" t="s">
        <v>303</v>
      </c>
      <c r="Q11" s="115" t="str">
        <f>=ROUND(FB_SaldoLC_2,2)</f>
      </c>
      <c r="R11" s="116" t="str">
        <f>=ROUND(FB_SaldoEUR_2,2)</f>
      </c>
      <c r="S11" s="115" t="str">
        <f>=ROUND(FB_SaldoLC_2,2)</f>
      </c>
      <c r="T11" s="143" t="str">
        <f>=ROUND(FB_SaldoEUR_2,2)</f>
      </c>
      <c r="W11" s="142" t="s">
        <v>303</v>
      </c>
      <c r="X11" s="115" t="str">
        <f>=ROUND(FB_SaldoLC_3,2)</f>
      </c>
      <c r="Y11" s="116" t="str">
        <f>=ROUND(FB_SaldoEUR_3,2)</f>
      </c>
      <c r="Z11" s="115" t="str">
        <f>=ROUND(FB_SaldoLC_3,2)</f>
      </c>
      <c r="AA11" s="143" t="str">
        <f>=ROUND(FB_SaldoEUR_3,2)</f>
      </c>
      <c r="AD11" s="142" t="s">
        <v>303</v>
      </c>
      <c r="AE11" s="115" t="str">
        <f>=ROUND(FB_SaldoLC_4,2)</f>
      </c>
      <c r="AF11" s="116" t="str">
        <f>=ROUND(FB_SaldoEUR_4,2)</f>
      </c>
      <c r="AG11" s="115" t="str">
        <f>=ROUND(FB_SaldoLC_4,2)</f>
      </c>
      <c r="AH11" s="143" t="str">
        <f>=ROUND(FB_SaldoEUR_4,2)</f>
      </c>
      <c r="AK11" s="142" t="s">
        <v>303</v>
      </c>
      <c r="AL11" s="115" t="str">
        <f>=ROUND(FB_SaldoLC_5,2)</f>
      </c>
      <c r="AM11" s="116" t="str">
        <f>=ROUND(FB_SaldoEUR_5,2)</f>
      </c>
      <c r="AN11" s="115" t="str">
        <f>=ROUND(FB_SaldoLC_5,2)</f>
      </c>
      <c r="AO11" s="143" t="str">
        <f>=ROUND(FB_SaldoEUR_5,2)</f>
      </c>
      <c r="AR11" s="142" t="s">
        <v>303</v>
      </c>
      <c r="AS11" s="115" t="str">
        <f>=ROUND(FB_SaldoLC_6,2)</f>
      </c>
      <c r="AT11" s="116" t="str">
        <f>=ROUND(FB_SaldoEUR_6,2)</f>
      </c>
      <c r="AU11" s="115" t="str">
        <f>=ROUND(FB_SaldoLC_6,2)</f>
      </c>
      <c r="AV11" s="143" t="str">
        <f>=ROUND(FB_SaldoEUR_6,2)</f>
      </c>
      <c r="AY11" s="142" t="s">
        <v>303</v>
      </c>
      <c r="AZ11" s="115" t="str">
        <f>=ROUND(FB_SaldoLC_7,2)</f>
      </c>
      <c r="BA11" s="116" t="str">
        <f>=ROUND(FB_SaldoEUR_7,2)</f>
      </c>
      <c r="BB11" s="115" t="str">
        <f>=ROUND(FB_SaldoLC_7,2)</f>
      </c>
      <c r="BC11" s="143" t="str">
        <f>=ROUND(FB_SaldoEUR_7,2)</f>
      </c>
      <c r="BF11" s="142" t="s">
        <v>303</v>
      </c>
      <c r="BG11" s="115" t="str">
        <f>=ROUND(FB_SaldoLC_8,2)</f>
      </c>
      <c r="BH11" s="116" t="str">
        <f>=ROUND(FB_SaldoEUR_8,2)</f>
      </c>
      <c r="BI11" s="115" t="str">
        <f>=ROUND(FB_SaldoLC_8,2)</f>
      </c>
      <c r="BJ11" s="143" t="str">
        <f>=ROUND(FB_SaldoEUR_8,2)</f>
      </c>
      <c r="BM11" s="142" t="s">
        <v>303</v>
      </c>
      <c r="BN11" s="115" t="str">
        <f>=ROUND(FB_SaldoLC_9,2)</f>
      </c>
      <c r="BO11" s="116" t="str">
        <f>=ROUND(FB_SaldoEUR_9,2)</f>
      </c>
      <c r="BP11" s="115" t="str">
        <f>=ROUND(FB_SaldoLC_9,2)</f>
      </c>
      <c r="BQ11" s="143" t="str">
        <f>=ROUND(FB_SaldoEUR_9,2)</f>
      </c>
      <c r="BT11" s="142" t="s">
        <v>303</v>
      </c>
      <c r="BU11" s="115" t="str">
        <f>=ROUND(FB_SaldoLC_10,2)</f>
      </c>
      <c r="BV11" s="116" t="str">
        <f>=ROUND(FB_SaldoEUR_10,2)</f>
      </c>
      <c r="BW11" s="115" t="str">
        <f>=ROUND(FB_SaldoLC_10,2)</f>
      </c>
      <c r="BX11" s="143" t="str">
        <f>=ROUND(FB_SaldoEUR_10,2)</f>
      </c>
      <c r="CA11" s="142" t="s">
        <v>303</v>
      </c>
      <c r="CB11" s="115" t="str">
        <f>=ROUND(FB_SaldoLC_11,2)</f>
      </c>
      <c r="CC11" s="116" t="str">
        <f>=ROUND(FB_SaldoEUR_11,2)</f>
      </c>
      <c r="CD11" s="115" t="str">
        <f>=ROUND(FB_SaldoLC_11,2)</f>
      </c>
      <c r="CE11" s="143" t="str">
        <f>=ROUND(FB_SaldoEUR_11,2)</f>
      </c>
      <c r="CH11" s="142" t="s">
        <v>303</v>
      </c>
      <c r="CI11" s="115" t="str">
        <f>=ROUND(FB_SaldoLC_12,2)</f>
      </c>
      <c r="CJ11" s="116" t="str">
        <f>=ROUND(FB_SaldoEUR_12,2)</f>
      </c>
      <c r="CK11" s="115" t="str">
        <f>=ROUND(FB_SaldoLC_12,2)</f>
      </c>
      <c r="CL11" s="143" t="str">
        <f>=ROUND(FB_SaldoEUR_12,2)</f>
      </c>
      <c r="CO11" s="142" t="s">
        <v>303</v>
      </c>
      <c r="CP11" s="115" t="str">
        <f>=ROUND(FB_SaldoLC_13,2)</f>
      </c>
      <c r="CQ11" s="116" t="str">
        <f>=ROUND(FB_SaldoEUR_13,2)</f>
      </c>
      <c r="CR11" s="115" t="str">
        <f>=ROUND(FB_SaldoLC_13,2)</f>
      </c>
      <c r="CS11" s="143" t="str">
        <f>=ROUND(FB_SaldoEUR_13,2)</f>
      </c>
      <c r="CV11" s="142" t="s">
        <v>303</v>
      </c>
      <c r="CW11" s="115" t="str">
        <f>=ROUND(FB_SaldoLC_14,2)</f>
      </c>
      <c r="CX11" s="116" t="str">
        <f>=ROUND(FB_SaldoEUR_14,2)</f>
      </c>
      <c r="CY11" s="115" t="str">
        <f>=ROUND(FB_SaldoLC_14,2)</f>
      </c>
      <c r="CZ11" s="143" t="str">
        <f>=ROUND(FB_SaldoEUR_14,2)</f>
      </c>
      <c r="DC11" s="142" t="s">
        <v>303</v>
      </c>
      <c r="DD11" s="115" t="str">
        <f>=ROUND(FB_SaldoLC_15,2)</f>
      </c>
      <c r="DE11" s="116" t="str">
        <f>=ROUND(FB_SaldoEUR_15,2)</f>
      </c>
      <c r="DF11" s="115" t="str">
        <f>=ROUND(FB_SaldoLC_15,2)</f>
      </c>
      <c r="DG11" s="143" t="str">
        <f>=ROUND(FB_SaldoEUR_15,2)</f>
      </c>
      <c r="DJ11" s="142" t="s">
        <v>303</v>
      </c>
      <c r="DK11" s="115" t="str">
        <f>=ROUND(FB_SaldoLC_16,2)</f>
      </c>
      <c r="DL11" s="116" t="str">
        <f>=ROUND(FB_SaldoEUR_16,2)</f>
      </c>
      <c r="DM11" s="115" t="str">
        <f>=ROUND(FB_SaldoLC_16,2)</f>
      </c>
      <c r="DN11" s="143" t="str">
        <f>=ROUND(FB_SaldoEUR_16,2)</f>
      </c>
      <c r="DQ11" s="142" t="s">
        <v>303</v>
      </c>
      <c r="DR11" s="115" t="str">
        <f>=ROUND(FB_SaldoLC_17,2)</f>
      </c>
      <c r="DS11" s="116" t="str">
        <f>=ROUND(FB_SaldoEUR_17,2)</f>
      </c>
      <c r="DT11" s="115" t="str">
        <f>=ROUND(FB_SaldoLC_17,2)</f>
      </c>
      <c r="DU11" s="143" t="str">
        <f>=ROUND(FB_SaldoEUR_17,2)</f>
      </c>
    </row>
    <row r="12">
      <c r="B12" s="142" t="s">
        <v>194</v>
      </c>
      <c r="C12" s="115" t="str">
        <f>=ROUND(SUMIF($B$41:$B$45,"Eigenmittel",$D$41:$D$45)+SUMIF($B$50:$B$55,"Eigenmittel",$D$50:$D$55),2)</f>
      </c>
      <c r="D12" s="116" t="str">
        <f>=ROUND(SUMIF($B$41:$B$45,"Eigenmittel",$E$41:$E$45)+SUMIF($B$50:$B$55,"Eigenmittel",$E$50:$E$55),2)</f>
      </c>
      <c r="E12" s="115" t="str">
        <f>=ROUND(SUMIF($B$41:$B$45,"Eigenmittel",$D$41:$D$45)+SUMIF($B$50:$B$55,"Eigenmittel",$D$50:$D$55),2)</f>
      </c>
      <c r="F12" s="143" t="str">
        <f>=ROUND(SUMIF($B$41:$B$45,"Eigenmittel",$E$41:$E$45)+SUMIF($B$50:$B$55,"Eigenmittel",$E$50:$E$55),2)</f>
      </c>
      <c r="I12" s="142" t="s">
        <v>194</v>
      </c>
      <c r="J12" s="115" t="str">
        <f>=ROUND(SUMIF($I$41:$I$45,"Eigenmittel",$K$41:$K$45)+SUMIF($I$50:$I$55,"Eigenmittel",$K$50:$K$55),2)</f>
      </c>
      <c r="K12" s="116" t="str">
        <f>=ROUND(SUMIF($I$41:$I$45,"Eigenmittel",$L$41:$L$45)+SUMIF($I$50:$I$55,"Eigenmittel",$L$50:$L$55),2)</f>
      </c>
      <c r="L12" s="115" t="str">
        <f>=IFERROR(ROUND(E12 + J12, 2), J12)</f>
      </c>
      <c r="M12" s="143" t="str">
        <f>=IFERROR(ROUND(F12 + K12, 2), K12)</f>
      </c>
      <c r="P12" s="142" t="s">
        <v>194</v>
      </c>
      <c r="Q12" s="115" t="str">
        <f>=ROUND(SUMIF($P$41:$P$45,"Eigenmittel",$R$41:$R$45)+SUMIF($P$50:$P$55,"Eigenmittel",$R$50:$R$55),2)</f>
      </c>
      <c r="R12" s="116" t="str">
        <f>=ROUND(SUMIF($P$41:$P$45,"Eigenmittel",$S$41:$S$45)+SUMIF($P$50:$P$55,"Eigenmittel",$S$50:$S$55),2)</f>
      </c>
      <c r="S12" s="115" t="str">
        <f>=IFERROR(ROUND(L12 + Q12, 2), Q12)</f>
      </c>
      <c r="T12" s="143" t="str">
        <f>=IFERROR(ROUND(M12 + R12, 2), R12)</f>
      </c>
      <c r="W12" s="142" t="s">
        <v>194</v>
      </c>
      <c r="X12" s="115" t="str">
        <f>=ROUND(SUMIF($W$41:$W$45,"Eigenmittel",$Y$41:$Y$45)+SUMIF($W$50:$W$55,"Eigenmittel",$Y$50:$Y$55),2)</f>
      </c>
      <c r="Y12" s="116" t="str">
        <f>=ROUND(SUMIF($W$41:$W$45,"Eigenmittel",$Z$41:$Z$45)+SUMIF($W$50:$W$55,"Eigenmittel",$Z$50:$Z$55),2)</f>
      </c>
      <c r="Z12" s="115" t="str">
        <f>=IFERROR(ROUND(S12 + X12, 2), X12)</f>
      </c>
      <c r="AA12" s="143" t="str">
        <f>=IFERROR(ROUND(T12 + Y12, 2), Y12)</f>
      </c>
      <c r="AD12" s="142" t="s">
        <v>194</v>
      </c>
      <c r="AE12" s="115" t="str">
        <f>=ROUND(SUMIF($AD$41:$AD$45,"Eigenmittel",$AF$41:$AF$45)+SUMIF($AD$50:$AD$55,"Eigenmittel",$AF$50:$AF$55),2)</f>
      </c>
      <c r="AF12" s="116" t="str">
        <f>=ROUND(SUMIF($AD$41:$AD$45,"Eigenmittel",$AG$41:$AG$45)+SUMIF($AD$50:$AD$55,"Eigenmittel",$AG$50:$AG$55),2)</f>
      </c>
      <c r="AG12" s="115" t="str">
        <f>=IFERROR(ROUND(Z12 + AE12, 2), AE12)</f>
      </c>
      <c r="AH12" s="143" t="str">
        <f>=IFERROR(ROUND(AA12 + AF12, 2), AF12)</f>
      </c>
      <c r="AK12" s="142" t="s">
        <v>194</v>
      </c>
      <c r="AL12" s="115" t="str">
        <f>=ROUND(SUMIF($AK$41:$AK$45,"Eigenmittel",$AM$41:$AM$45)+SUMIF($AK$50:$AK$55,"Eigenmittel",$AM$50:$AM$55),2)</f>
      </c>
      <c r="AM12" s="116" t="str">
        <f>=ROUND(SUMIF($AK$41:$AK$45,"Eigenmittel",$AN$41:$AN$45)+SUMIF($AK$50:$AK$55,"Eigenmittel",$AN$50:$AN$55),2)</f>
      </c>
      <c r="AN12" s="115" t="str">
        <f>=IFERROR(ROUND(AG12 + AL12, 2), AL12)</f>
      </c>
      <c r="AO12" s="143" t="str">
        <f>=IFERROR(ROUND(AH12 + AM12, 2), AM12)</f>
      </c>
      <c r="AR12" s="142" t="s">
        <v>194</v>
      </c>
      <c r="AS12" s="115" t="str">
        <f>=ROUND(SUMIF($AR$41:$AR$45,"Eigenmittel",$AT$41:$AT$45)+SUMIF($AR$50:$AR$55,"Eigenmittel",$AT$50:$AT$55),2)</f>
      </c>
      <c r="AT12" s="116" t="str">
        <f>=ROUND(SUMIF($AR$41:$AR$45,"Eigenmittel",$AU$41:$AU$45)+SUMIF($AR$50:$AR$55,"Eigenmittel",$AU$50:$AU$55),2)</f>
      </c>
      <c r="AU12" s="115" t="str">
        <f>=IFERROR(ROUND(AN12 + AS12, 2), AS12)</f>
      </c>
      <c r="AV12" s="143" t="str">
        <f>=IFERROR(ROUND(AO12 + AT12, 2), AT12)</f>
      </c>
      <c r="AY12" s="142" t="s">
        <v>194</v>
      </c>
      <c r="AZ12" s="115" t="str">
        <f>=ROUND(SUMIF($AY$41:$AY$45,"Eigenmittel",$BA$41:$BA$45)+SUMIF($AY$50:$AY$55,"Eigenmittel",$BA$50:$BA$55),2)</f>
      </c>
      <c r="BA12" s="116" t="str">
        <f>=ROUND(SUMIF($AY$41:$AY$45,"Eigenmittel",$BB$41:$BB$45)+SUMIF($AY$50:$AY$55,"Eigenmittel",$BB$50:$BB$55),2)</f>
      </c>
      <c r="BB12" s="115" t="str">
        <f>=IFERROR(ROUND(AU12 + AZ12, 2), AZ12)</f>
      </c>
      <c r="BC12" s="143" t="str">
        <f>=IFERROR(ROUND(AV12 + BA12, 2), BA12)</f>
      </c>
      <c r="BF12" s="142" t="s">
        <v>194</v>
      </c>
      <c r="BG12" s="115" t="str">
        <f>=ROUND(SUMIF($BF$41:$BF$45,"Eigenmittel",$BH$41:$BH$45)+SUMIF($BF$50:$BF$55,"Eigenmittel",$BH$50:$BH$55),2)</f>
      </c>
      <c r="BH12" s="116" t="str">
        <f>=ROUND(SUMIF($BF$41:$BF$45,"Eigenmittel",$BI$41:$BI$45)+SUMIF($BF$50:$BF$55,"Eigenmittel",$BI$50:$BI$55),2)</f>
      </c>
      <c r="BI12" s="115" t="str">
        <f>=IFERROR(ROUND(BB12 + BG12, 2), BG12)</f>
      </c>
      <c r="BJ12" s="143" t="str">
        <f>=IFERROR(ROUND(BC12 + BH12, 2), BH12)</f>
      </c>
      <c r="BM12" s="142" t="s">
        <v>194</v>
      </c>
      <c r="BN12" s="115" t="str">
        <f>=ROUND(SUMIF($BM$41:$BM$45,"Eigenmittel",$BO$41:$BO$45)+SUMIF($BM$50:$BM$55,"Eigenmittel",$BO$50:$BO$55),2)</f>
      </c>
      <c r="BO12" s="116" t="str">
        <f>=ROUND(SUMIF($BM$41:$BM$45,"Eigenmittel",$BP$41:$BP$45)+SUMIF($BM$50:$BM$55,"Eigenmittel",$BP$50:$BP$55),2)</f>
      </c>
      <c r="BP12" s="115" t="str">
        <f>=IFERROR(ROUND(BI12 + BN12, 2), BN12)</f>
      </c>
      <c r="BQ12" s="143" t="str">
        <f>=IFERROR(ROUND(BJ12 + BO12, 2), BO12)</f>
      </c>
      <c r="BT12" s="142" t="s">
        <v>194</v>
      </c>
      <c r="BU12" s="115" t="str">
        <f>=ROUND(SUMIF($BT$41:$BT$45,"Eigenmittel",$BV$41:$BV$45)+SUMIF($BT$50:$BT$55,"Eigenmittel",$BV$50:$BV$55),2)</f>
      </c>
      <c r="BV12" s="116" t="str">
        <f>=ROUND(SUMIF($BT$41:$BT$45,"Eigenmittel",$BW$41:$BW$45)+SUMIF($BT$50:$BT$55,"Eigenmittel",$BW$50:$BW$55),2)</f>
      </c>
      <c r="BW12" s="115" t="str">
        <f>=IFERROR(ROUND(BP12 + BU12, 2), BU12)</f>
      </c>
      <c r="BX12" s="143" t="str">
        <f>=IFERROR(ROUND(BQ12 + BV12, 2), BV12)</f>
      </c>
      <c r="CA12" s="142" t="s">
        <v>194</v>
      </c>
      <c r="CB12" s="115" t="str">
        <f>=ROUND(SUMIF($CA$41:$CA$45,"Eigenmittel",$CC$41:$CC$45)+SUMIF($CA$50:$CA$55,"Eigenmittel",$CC$50:$CC$55),2)</f>
      </c>
      <c r="CC12" s="116" t="str">
        <f>=ROUND(SUMIF($CA$41:$CA$45,"Eigenmittel",$CD$41:$CD$45)+SUMIF($CA$50:$CA$55,"Eigenmittel",$CD$50:$CD$55),2)</f>
      </c>
      <c r="CD12" s="115" t="str">
        <f>=IFERROR(ROUND(BW12 + CB12, 2), CB12)</f>
      </c>
      <c r="CE12" s="143" t="str">
        <f>=IFERROR(ROUND(BX12 + CC12, 2), CC12)</f>
      </c>
      <c r="CH12" s="142" t="s">
        <v>194</v>
      </c>
      <c r="CI12" s="115" t="str">
        <f>=ROUND(SUMIF($CH$41:$CH$45,"Eigenmittel",$CJ$41:$CJ$45)+SUMIF($CH$50:$CH$55,"Eigenmittel",$CJ$50:$CJ$55),2)</f>
      </c>
      <c r="CJ12" s="116" t="str">
        <f>=ROUND(SUMIF($CH$41:$CH$45,"Eigenmittel",$CK$41:$CK$45)+SUMIF($CH$50:$CH$55,"Eigenmittel",$CK$50:$CK$55),2)</f>
      </c>
      <c r="CK12" s="115" t="str">
        <f>=IFERROR(ROUND(CD12 + CI12, 2), CI12)</f>
      </c>
      <c r="CL12" s="143" t="str">
        <f>=IFERROR(ROUND(CE12 + CJ12, 2), CJ12)</f>
      </c>
      <c r="CO12" s="142" t="s">
        <v>194</v>
      </c>
      <c r="CP12" s="115" t="str">
        <f>=ROUND(SUMIF($CO$41:$CO$45,"Eigenmittel",$CQ$41:$CQ$45)+SUMIF($CO$50:$CO$55,"Eigenmittel",$CQ$50:$CQ$55),2)</f>
      </c>
      <c r="CQ12" s="116" t="str">
        <f>=ROUND(SUMIF($CO$41:$CO$45,"Eigenmittel",$CR$41:$CR$45)+SUMIF($CO$50:$CO$55,"Eigenmittel",$CR$50:$CR$55),2)</f>
      </c>
      <c r="CR12" s="115" t="str">
        <f>=IFERROR(ROUND(CK12 + CP12, 2), CP12)</f>
      </c>
      <c r="CS12" s="143" t="str">
        <f>=IFERROR(ROUND(CL12 + CQ12, 2), CQ12)</f>
      </c>
      <c r="CV12" s="142" t="s">
        <v>194</v>
      </c>
      <c r="CW12" s="115" t="str">
        <f>=ROUND(SUMIF($CV$41:$CV$45,"Eigenmittel",$CX$41:$CX$45)+SUMIF($CV$50:$CV$55,"Eigenmittel",$CX$50:$CX$55),2)</f>
      </c>
      <c r="CX12" s="116" t="str">
        <f>=ROUND(SUMIF($CV$41:$CV$45,"Eigenmittel",$CY$41:$CY$45)+SUMIF($CV$50:$CV$55,"Eigenmittel",$CY$50:$CY$55),2)</f>
      </c>
      <c r="CY12" s="115" t="str">
        <f>=IFERROR(ROUND(CR12 + CW12, 2), CW12)</f>
      </c>
      <c r="CZ12" s="143" t="str">
        <f>=IFERROR(ROUND(CS12 + CX12, 2), CX12)</f>
      </c>
      <c r="DC12" s="142" t="s">
        <v>194</v>
      </c>
      <c r="DD12" s="115" t="str">
        <f>=ROUND(SUMIF($DC$41:$DC$45,"Eigenmittel",$DE$41:$DE$45)+SUMIF($DC$50:$DC$55,"Eigenmittel",$DE$50:$DE$55),2)</f>
      </c>
      <c r="DE12" s="116" t="str">
        <f>=ROUND(SUMIF($DC$41:$DC$45,"Eigenmittel",$DF$41:$DF$45)+SUMIF($DC$50:$DC$55,"Eigenmittel",$DF$50:$DF$55),2)</f>
      </c>
      <c r="DF12" s="115" t="str">
        <f>=IFERROR(ROUND(CY12 + DD12, 2), DD12)</f>
      </c>
      <c r="DG12" s="143" t="str">
        <f>=IFERROR(ROUND(CZ12 + DE12, 2), DE12)</f>
      </c>
      <c r="DJ12" s="142" t="s">
        <v>194</v>
      </c>
      <c r="DK12" s="115" t="str">
        <f>=ROUND(SUMIF($DJ$41:$DJ$45,"Eigenmittel",$DL$41:$DL$45)+SUMIF($DJ$50:$DJ$55,"Eigenmittel",$DL$50:$DL$55),2)</f>
      </c>
      <c r="DL12" s="116" t="str">
        <f>=ROUND(SUMIF($DJ$41:$DJ$45,"Eigenmittel",$DM$41:$DM$45)+SUMIF($DJ$50:$DJ$55,"Eigenmittel",$DM$50:$DM$55),2)</f>
      </c>
      <c r="DM12" s="115" t="str">
        <f>=IFERROR(ROUND(DF12 + DK12, 2), DK12)</f>
      </c>
      <c r="DN12" s="143" t="str">
        <f>=IFERROR(ROUND(DG12 + DL12, 2), DL12)</f>
      </c>
      <c r="DQ12" s="142" t="s">
        <v>194</v>
      </c>
      <c r="DR12" s="115" t="str">
        <f>=ROUND(SUMIF($DQ$41:$DQ$45,"Eigenmittel",$DS$41:$DS$45)+SUMIF($DQ$50:$DQ$55,"Eigenmittel",$DS$50:$DS$55),2)</f>
      </c>
      <c r="DS12" s="116" t="str">
        <f>=ROUND(SUMIF($DQ$41:$DQ$45,"Eigenmittel",$DT$41:$DT$45)+SUMIF($DQ$50:$DQ$55,"Eigenmittel",$DT$50:$DT$55),2)</f>
      </c>
      <c r="DT12" s="115" t="str">
        <f>=IFERROR(ROUND(DM12 + DR12, 2), DR12)</f>
      </c>
      <c r="DU12" s="143" t="str">
        <f>=IFERROR(ROUND(DN12 + DS12, 2), DS12)</f>
      </c>
    </row>
    <row r="13">
      <c r="B13" s="142" t="s">
        <v>277</v>
      </c>
      <c r="C13" s="115" t="str">
        <f>=ROUND(SUMIF($B$41:$B$45,"Drittmittel",$D$41:$D$45)+SUMIF($B$50:$B$55,"Drittmittel",$D$50:$D$55),2)</f>
      </c>
      <c r="D13" s="116" t="str">
        <f>=ROUND(SUMIF($B$41:$B$45,"Drittmittel",$E$41:$E$45)+SUMIF($B$50:$B$55,"Drittmittel",$E$50:$E$55),2)</f>
      </c>
      <c r="E13" s="115" t="str">
        <f>=ROUND(SUMIF($B$41:$B$45,"Drittmittel",$D$41:$D$45)+SUMIF($B$50:$B$55,"Drittmittel",$D$50:$D$55),2)</f>
      </c>
      <c r="F13" s="143" t="str">
        <f>=ROUND(SUMIF($B$41:$B$45,"Drittmittel",$E$41:$E$45)+SUMIF($B$50:$B$55,"Drittmittel",$E$50:$E$55),2)</f>
      </c>
      <c r="I13" s="142" t="s">
        <v>277</v>
      </c>
      <c r="J13" s="115" t="str">
        <f>=ROUND(SUMIF($I$41:$I$45,"Drittmittel",$K$41:$K$45)+SUMIF($I$50:$I$55,"Drittmittel",$K$50:$K$55),2)</f>
      </c>
      <c r="K13" s="116" t="str">
        <f>=ROUND(SUMIF($I$41:$I$45,"Drittmittel",$L$41:$L$45)+SUMIF($I$50:$I$55,"Drittmittel",$L$50:$L$55),2)</f>
      </c>
      <c r="L13" s="115" t="str">
        <f>=IFERROR(ROUND(E13 + J13, 2), J13)</f>
      </c>
      <c r="M13" s="143" t="str">
        <f>=IFERROR(ROUND(F13 + K13, 2), K13)</f>
      </c>
      <c r="P13" s="142" t="s">
        <v>277</v>
      </c>
      <c r="Q13" s="115" t="str">
        <f>=ROUND(SUMIF($P$41:$P$45,"Drittmittel",$R$41:$R$45)+SUMIF($P$50:$P$55,"Drittmittel",$R$50:$R$55),2)</f>
      </c>
      <c r="R13" s="116" t="str">
        <f>=ROUND(SUMIF($P$41:$P$45,"Drittmittel",$S$41:$S$45)+SUMIF($P$50:$P$55,"Drittmittel",$S$50:$S$55),2)</f>
      </c>
      <c r="S13" s="115" t="str">
        <f>=IFERROR(ROUND(L13 + Q13, 2), Q13)</f>
      </c>
      <c r="T13" s="143" t="str">
        <f>=IFERROR(ROUND(M13 + R13, 2), R13)</f>
      </c>
      <c r="W13" s="142" t="s">
        <v>277</v>
      </c>
      <c r="X13" s="115" t="str">
        <f>=ROUND(SUMIF($W$41:$W$45,"Drittmittel",$Y$41:$Y$45)+SUMIF($W$50:$W$55,"Drittmittel",$Y$50:$Y$55),2)</f>
      </c>
      <c r="Y13" s="116" t="str">
        <f>=ROUND(SUMIF($W$41:$W$45,"Drittmittel",$Z$41:$Z$45)+SUMIF($W$50:$W$55,"Drittmittel",$Z$50:$Z$55),2)</f>
      </c>
      <c r="Z13" s="115" t="str">
        <f>=IFERROR(ROUND(S13 + X13, 2), X13)</f>
      </c>
      <c r="AA13" s="143" t="str">
        <f>=IFERROR(ROUND(T13 + Y13, 2), Y13)</f>
      </c>
      <c r="AD13" s="142" t="s">
        <v>277</v>
      </c>
      <c r="AE13" s="115" t="str">
        <f>=ROUND(SUMIF($AD$41:$AD$45,"Drittmittel",$AF$41:$AF$45)+SUMIF($AD$50:$AD$55,"Drittmittel",$AF$50:$AF$55),2)</f>
      </c>
      <c r="AF13" s="116" t="str">
        <f>=ROUND(SUMIF($AD$41:$AD$45,"Drittmittel",$AG$41:$AG$45)+SUMIF($AD$50:$AD$55,"Drittmittel",$AG$50:$AG$55),2)</f>
      </c>
      <c r="AG13" s="115" t="str">
        <f>=IFERROR(ROUND(Z13 + AE13, 2), AE13)</f>
      </c>
      <c r="AH13" s="143" t="str">
        <f>=IFERROR(ROUND(AA13 + AF13, 2), AF13)</f>
      </c>
      <c r="AK13" s="142" t="s">
        <v>277</v>
      </c>
      <c r="AL13" s="115" t="str">
        <f>=ROUND(SUMIF($AK$41:$AK$45,"Drittmittel",$AM$41:$AM$45)+SUMIF($AK$50:$AK$55,"Drittmittel",$AM$50:$AM$55),2)</f>
      </c>
      <c r="AM13" s="116" t="str">
        <f>=ROUND(SUMIF($AK$41:$AK$45,"Drittmittel",$AN$41:$AN$45)+SUMIF($AK$50:$AK$55,"Drittmittel",$AN$50:$AN$55),2)</f>
      </c>
      <c r="AN13" s="115" t="str">
        <f>=IFERROR(ROUND(AG13 + AL13, 2), AL13)</f>
      </c>
      <c r="AO13" s="143" t="str">
        <f>=IFERROR(ROUND(AH13 + AM13, 2), AM13)</f>
      </c>
      <c r="AR13" s="142" t="s">
        <v>277</v>
      </c>
      <c r="AS13" s="115" t="str">
        <f>=ROUND(SUMIF($AR$41:$AR$45,"Drittmittel",$AT$41:$AT$45)+SUMIF($AR$50:$AR$55,"Drittmittel",$AT$50:$AT$55),2)</f>
      </c>
      <c r="AT13" s="116" t="str">
        <f>=ROUND(SUMIF($AR$41:$AR$45,"Drittmittel",$AU$41:$AU$45)+SUMIF($AR$50:$AR$55,"Drittmittel",$AU$50:$AU$55),2)</f>
      </c>
      <c r="AU13" s="115" t="str">
        <f>=IFERROR(ROUND(AN13 + AS13, 2), AS13)</f>
      </c>
      <c r="AV13" s="143" t="str">
        <f>=IFERROR(ROUND(AO13 + AT13, 2), AT13)</f>
      </c>
      <c r="AY13" s="142" t="s">
        <v>277</v>
      </c>
      <c r="AZ13" s="115" t="str">
        <f>=ROUND(SUMIF($AY$41:$AY$45,"Drittmittel",$BA$41:$BA$45)+SUMIF($AY$50:$AY$55,"Drittmittel",$BA$50:$BA$55),2)</f>
      </c>
      <c r="BA13" s="116" t="str">
        <f>=ROUND(SUMIF($AY$41:$AY$45,"Drittmittel",$BB$41:$BB$45)+SUMIF($AY$50:$AY$55,"Drittmittel",$BB$50:$BB$55),2)</f>
      </c>
      <c r="BB13" s="115" t="str">
        <f>=IFERROR(ROUND(AU13 + AZ13, 2), AZ13)</f>
      </c>
      <c r="BC13" s="143" t="str">
        <f>=IFERROR(ROUND(AV13 + BA13, 2), BA13)</f>
      </c>
      <c r="BF13" s="142" t="s">
        <v>277</v>
      </c>
      <c r="BG13" s="115" t="str">
        <f>=ROUND(SUMIF($BF$41:$BF$45,"Drittmittel",$BH$41:$BH$45)+SUMIF($BF$50:$BF$55,"Drittmittel",$BH$50:$BH$55),2)</f>
      </c>
      <c r="BH13" s="116" t="str">
        <f>=ROUND(SUMIF($BF$41:$BF$45,"Drittmittel",$BI$41:$BI$45)+SUMIF($BF$50:$BF$55,"Drittmittel",$BI$50:$BI$55),2)</f>
      </c>
      <c r="BI13" s="115" t="str">
        <f>=IFERROR(ROUND(BB13 + BG13, 2), BG13)</f>
      </c>
      <c r="BJ13" s="143" t="str">
        <f>=IFERROR(ROUND(BC13 + BH13, 2), BH13)</f>
      </c>
      <c r="BM13" s="142" t="s">
        <v>277</v>
      </c>
      <c r="BN13" s="115" t="str">
        <f>=ROUND(SUMIF($BM$41:$BM$45,"Drittmittel",$BO$41:$BO$45)+SUMIF($BM$50:$BM$55,"Drittmittel",$BO$50:$BO$55),2)</f>
      </c>
      <c r="BO13" s="116" t="str">
        <f>=ROUND(SUMIF($BM$41:$BM$45,"Drittmittel",$BP$41:$BP$45)+SUMIF($BM$50:$BM$55,"Drittmittel",$BP$50:$BP$55),2)</f>
      </c>
      <c r="BP13" s="115" t="str">
        <f>=IFERROR(ROUND(BI13 + BN13, 2), BN13)</f>
      </c>
      <c r="BQ13" s="143" t="str">
        <f>=IFERROR(ROUND(BJ13 + BO13, 2), BO13)</f>
      </c>
      <c r="BT13" s="142" t="s">
        <v>277</v>
      </c>
      <c r="BU13" s="115" t="str">
        <f>=ROUND(SUMIF($BT$41:$BT$45,"Drittmittel",$BV$41:$BV$45)+SUMIF($BT$50:$BT$55,"Drittmittel",$BV$50:$BV$55),2)</f>
      </c>
      <c r="BV13" s="116" t="str">
        <f>=ROUND(SUMIF($BT$41:$BT$45,"Drittmittel",$BW$41:$BW$45)+SUMIF($BT$50:$BT$55,"Drittmittel",$BW$50:$BW$55),2)</f>
      </c>
      <c r="BW13" s="115" t="str">
        <f>=IFERROR(ROUND(BP13 + BU13, 2), BU13)</f>
      </c>
      <c r="BX13" s="143" t="str">
        <f>=IFERROR(ROUND(BQ13 + BV13, 2), BV13)</f>
      </c>
      <c r="CA13" s="142" t="s">
        <v>277</v>
      </c>
      <c r="CB13" s="115" t="str">
        <f>=ROUND(SUMIF($CA$41:$CA$45,"Drittmittel",$CC$41:$CC$45)+SUMIF($CA$50:$CA$55,"Drittmittel",$CC$50:$CC$55),2)</f>
      </c>
      <c r="CC13" s="116" t="str">
        <f>=ROUND(SUMIF($CA$41:$CA$45,"Drittmittel",$CD$41:$CD$45)+SUMIF($CA$50:$CA$55,"Drittmittel",$CD$50:$CD$55),2)</f>
      </c>
      <c r="CD13" s="115" t="str">
        <f>=IFERROR(ROUND(BW13 + CB13, 2), CB13)</f>
      </c>
      <c r="CE13" s="143" t="str">
        <f>=IFERROR(ROUND(BX13 + CC13, 2), CC13)</f>
      </c>
      <c r="CH13" s="142" t="s">
        <v>277</v>
      </c>
      <c r="CI13" s="115" t="str">
        <f>=ROUND(SUMIF($CH$41:$CH$45,"Drittmittel",$CJ$41:$CJ$45)+SUMIF($CH$50:$CH$55,"Drittmittel",$CJ$50:$CJ$55),2)</f>
      </c>
      <c r="CJ13" s="116" t="str">
        <f>=ROUND(SUMIF($CH$41:$CH$45,"Drittmittel",$CK$41:$CK$45)+SUMIF($CH$50:$CH$55,"Drittmittel",$CK$50:$CK$55),2)</f>
      </c>
      <c r="CK13" s="115" t="str">
        <f>=IFERROR(ROUND(CD13 + CI13, 2), CI13)</f>
      </c>
      <c r="CL13" s="143" t="str">
        <f>=IFERROR(ROUND(CE13 + CJ13, 2), CJ13)</f>
      </c>
      <c r="CO13" s="142" t="s">
        <v>277</v>
      </c>
      <c r="CP13" s="115" t="str">
        <f>=ROUND(SUMIF($CO$41:$CO$45,"Drittmittel",$CQ$41:$CQ$45)+SUMIF($CO$50:$CO$55,"Drittmittel",$CQ$50:$CQ$55),2)</f>
      </c>
      <c r="CQ13" s="116" t="str">
        <f>=ROUND(SUMIF($CO$41:$CO$45,"Drittmittel",$CR$41:$CR$45)+SUMIF($CO$50:$CO$55,"Drittmittel",$CR$50:$CR$55),2)</f>
      </c>
      <c r="CR13" s="115" t="str">
        <f>=IFERROR(ROUND(CK13 + CP13, 2), CP13)</f>
      </c>
      <c r="CS13" s="143" t="str">
        <f>=IFERROR(ROUND(CL13 + CQ13, 2), CQ13)</f>
      </c>
      <c r="CV13" s="142" t="s">
        <v>277</v>
      </c>
      <c r="CW13" s="115" t="str">
        <f>=ROUND(SUMIF($CV$41:$CV$45,"Drittmittel",$CX$41:$CX$45)+SUMIF($CV$50:$CV$55,"Drittmittel",$CX$50:$CX$55),2)</f>
      </c>
      <c r="CX13" s="116" t="str">
        <f>=ROUND(SUMIF($CV$41:$CV$45,"Drittmittel",$CY$41:$CY$45)+SUMIF($CV$50:$CV$55,"Drittmittel",$CY$50:$CY$55),2)</f>
      </c>
      <c r="CY13" s="115" t="str">
        <f>=IFERROR(ROUND(CR13 + CW13, 2), CW13)</f>
      </c>
      <c r="CZ13" s="143" t="str">
        <f>=IFERROR(ROUND(CS13 + CX13, 2), CX13)</f>
      </c>
      <c r="DC13" s="142" t="s">
        <v>277</v>
      </c>
      <c r="DD13" s="115" t="str">
        <f>=ROUND(SUMIF($DC$41:$DC$45,"Drittmittel",$DE$41:$DE$45)+SUMIF($DC$50:$DC$55,"Drittmittel",$DE$50:$DE$55),2)</f>
      </c>
      <c r="DE13" s="116" t="str">
        <f>=ROUND(SUMIF($DC$41:$DC$45,"Drittmittel",$DF$41:$DF$45)+SUMIF($DC$50:$DC$55,"Drittmittel",$DF$50:$DF$55),2)</f>
      </c>
      <c r="DF13" s="115" t="str">
        <f>=IFERROR(ROUND(CY13 + DD13, 2), DD13)</f>
      </c>
      <c r="DG13" s="143" t="str">
        <f>=IFERROR(ROUND(CZ13 + DE13, 2), DE13)</f>
      </c>
      <c r="DJ13" s="142" t="s">
        <v>277</v>
      </c>
      <c r="DK13" s="115" t="str">
        <f>=ROUND(SUMIF($DJ$41:$DJ$45,"Drittmittel",$DL$41:$DL$45)+SUMIF($DJ$50:$DJ$55,"Drittmittel",$DL$50:$DL$55),2)</f>
      </c>
      <c r="DL13" s="116" t="str">
        <f>=ROUND(SUMIF($DJ$41:$DJ$45,"Drittmittel",$DM$41:$DM$45)+SUMIF($DJ$50:$DJ$55,"Drittmittel",$DM$50:$DM$55),2)</f>
      </c>
      <c r="DM13" s="115" t="str">
        <f>=IFERROR(ROUND(DF13 + DK13, 2), DK13)</f>
      </c>
      <c r="DN13" s="143" t="str">
        <f>=IFERROR(ROUND(DG13 + DL13, 2), DL13)</f>
      </c>
      <c r="DQ13" s="142" t="s">
        <v>277</v>
      </c>
      <c r="DR13" s="115" t="str">
        <f>=ROUND(SUMIF($DQ$41:$DQ$45,"Drittmittel",$DS$41:$DS$45)+SUMIF($DQ$50:$DQ$55,"Drittmittel",$DS$50:$DS$55),2)</f>
      </c>
      <c r="DS13" s="116" t="str">
        <f>=ROUND(SUMIF($DQ$41:$DQ$45,"Drittmittel",$DT$41:$DT$45)+SUMIF($DQ$50:$DQ$55,"Drittmittel",$DT$50:$DT$55),2)</f>
      </c>
      <c r="DT13" s="115" t="str">
        <f>=IFERROR(ROUND(DM13 + DR13, 2), DR13)</f>
      </c>
      <c r="DU13" s="143" t="str">
        <f>=IFERROR(ROUND(DN13 + DS13, 2), DS13)</f>
      </c>
    </row>
    <row r="14">
      <c r="B14" s="142" t="s">
        <v>199</v>
      </c>
      <c r="C14" s="115" t="str">
        <f>=ROUND(SUMIF($B$41:$B$45,"KMW-Mittel",$D$41:$D$45)+SUMIF($B$50:$B$55,"KMW-Mittel",$D$50:$D$55),2)</f>
      </c>
      <c r="D14" s="116" t="str">
        <f>=ROUND(SUMIF($B$41:$B$45,"KMW-Mittel",$E$41:$E$45)+SUMIF($B$50:$B$55,"KMW-Mittel",$E$50:$E$55),2)</f>
      </c>
      <c r="E14" s="115" t="str">
        <f>=ROUND(SUMIF($B$41:$B$45,"KMW-Mittel",$D$41:$D$45)+SUMIF($B$50:$B$55,"KMW-Mittel",$D$50:$D$55),2)</f>
      </c>
      <c r="F14" s="143" t="str">
        <f>=ROUND(SUMIF($B$41:$B$45,"KMW-Mittel",$E$41:$E$45)+SUMIF($B$50:$B$55,"KMW-Mittel",$E$50:$E$55),2)</f>
      </c>
      <c r="I14" s="142" t="s">
        <v>199</v>
      </c>
      <c r="J14" s="115" t="str">
        <f>=ROUND(SUMIF($I$41:$I$45,"KMW-Mittel",$K$41:$K$45)+SUMIF($I$50:$I$55,"KMW-Mittel",$K$50:$K$55),2)</f>
      </c>
      <c r="K14" s="116" t="str">
        <f>=ROUND(SUMIF($I$41:$I$45,"KMW-Mittel",$L$41:$L$45)+SUMIF($I$50:$I$55,"KMW-Mittel",$L$50:$L$55),2)</f>
      </c>
      <c r="L14" s="115" t="str">
        <f>=IFERROR(ROUND(E14 + J14, 2), J14)</f>
      </c>
      <c r="M14" s="143" t="str">
        <f>=IFERROR(ROUND(F14 + K14, 2), K14)</f>
      </c>
      <c r="P14" s="142" t="s">
        <v>199</v>
      </c>
      <c r="Q14" s="115" t="str">
        <f>=ROUND(SUMIF($P$41:$P$45,"KMW-Mittel",$R$41:$R$45)+SUMIF($P$50:$P$55,"KMW-Mittel",$R$50:$R$55),2)</f>
      </c>
      <c r="R14" s="116" t="str">
        <f>=ROUND(SUMIF($P$41:$P$45,"KMW-Mittel",$S$41:$S$45)+SUMIF($P$50:$P$55,"KMW-Mittel",$S$50:$S$55),2)</f>
      </c>
      <c r="S14" s="115" t="str">
        <f>=IFERROR(ROUND(L14 + Q14, 2), Q14)</f>
      </c>
      <c r="T14" s="143" t="str">
        <f>=IFERROR(ROUND(M14 + R14, 2), R14)</f>
      </c>
      <c r="W14" s="142" t="s">
        <v>199</v>
      </c>
      <c r="X14" s="115" t="str">
        <f>=ROUND(SUMIF($W$41:$W$45,"KMW-Mittel",$Y$41:$Y$45)+SUMIF($W$50:$W$55,"KMW-Mittel",$Y$50:$Y$55),2)</f>
      </c>
      <c r="Y14" s="116" t="str">
        <f>=ROUND(SUMIF($W$41:$W$45,"KMW-Mittel",$Z$41:$Z$45)+SUMIF($W$50:$W$55,"KMW-Mittel",$Z$50:$Z$55),2)</f>
      </c>
      <c r="Z14" s="115" t="str">
        <f>=IFERROR(ROUND(S14 + X14, 2), X14)</f>
      </c>
      <c r="AA14" s="143" t="str">
        <f>=IFERROR(ROUND(T14 + Y14, 2), Y14)</f>
      </c>
      <c r="AD14" s="142" t="s">
        <v>199</v>
      </c>
      <c r="AE14" s="115" t="str">
        <f>=ROUND(SUMIF($AD$41:$AD$45,"KMW-Mittel",$AF$41:$AF$45)+SUMIF($AD$50:$AD$55,"KMW-Mittel",$AF$50:$AF$55),2)</f>
      </c>
      <c r="AF14" s="116" t="str">
        <f>=ROUND(SUMIF($AD$41:$AD$45,"KMW-Mittel",$AG$41:$AG$45)+SUMIF($AD$50:$AD$55,"KMW-Mittel",$AG$50:$AG$55),2)</f>
      </c>
      <c r="AG14" s="115" t="str">
        <f>=IFERROR(ROUND(Z14 + AE14, 2), AE14)</f>
      </c>
      <c r="AH14" s="143" t="str">
        <f>=IFERROR(ROUND(AA14 + AF14, 2), AF14)</f>
      </c>
      <c r="AK14" s="142" t="s">
        <v>199</v>
      </c>
      <c r="AL14" s="115" t="str">
        <f>=ROUND(SUMIF($AK$41:$AK$45,"KMW-Mittel",$AM$41:$AM$45)+SUMIF($AK$50:$AK$55,"KMW-Mittel",$AM$50:$AM$55),2)</f>
      </c>
      <c r="AM14" s="116" t="str">
        <f>=ROUND(SUMIF($AK$41:$AK$45,"KMW-Mittel",$AN$41:$AN$45)+SUMIF($AK$50:$AK$55,"KMW-Mittel",$AN$50:$AN$55),2)</f>
      </c>
      <c r="AN14" s="115" t="str">
        <f>=IFERROR(ROUND(AG14 + AL14, 2), AL14)</f>
      </c>
      <c r="AO14" s="143" t="str">
        <f>=IFERROR(ROUND(AH14 + AM14, 2), AM14)</f>
      </c>
      <c r="AR14" s="142" t="s">
        <v>199</v>
      </c>
      <c r="AS14" s="115" t="str">
        <f>=ROUND(SUMIF($AR$41:$AR$45,"KMW-Mittel",$AT$41:$AT$45)+SUMIF($AR$50:$AR$55,"KMW-Mittel",$AT$50:$AT$55),2)</f>
      </c>
      <c r="AT14" s="116" t="str">
        <f>=ROUND(SUMIF($AR$41:$AR$45,"KMW-Mittel",$AU$41:$AU$45)+SUMIF($AR$50:$AR$55,"KMW-Mittel",$AU$50:$AU$55),2)</f>
      </c>
      <c r="AU14" s="115" t="str">
        <f>=IFERROR(ROUND(AN14 + AS14, 2), AS14)</f>
      </c>
      <c r="AV14" s="143" t="str">
        <f>=IFERROR(ROUND(AO14 + AT14, 2), AT14)</f>
      </c>
      <c r="AY14" s="142" t="s">
        <v>199</v>
      </c>
      <c r="AZ14" s="115" t="str">
        <f>=ROUND(SUMIF($AY$41:$AY$45,"KMW-Mittel",$BA$41:$BA$45)+SUMIF($AY$50:$AY$55,"KMW-Mittel",$BA$50:$BA$55),2)</f>
      </c>
      <c r="BA14" s="116" t="str">
        <f>=ROUND(SUMIF($AY$41:$AY$45,"KMW-Mittel",$BB$41:$BB$45)+SUMIF($AY$50:$AY$55,"KMW-Mittel",$BB$50:$BB$55),2)</f>
      </c>
      <c r="BB14" s="115" t="str">
        <f>=IFERROR(ROUND(AU14 + AZ14, 2), AZ14)</f>
      </c>
      <c r="BC14" s="143" t="str">
        <f>=IFERROR(ROUND(AV14 + BA14, 2), BA14)</f>
      </c>
      <c r="BF14" s="142" t="s">
        <v>199</v>
      </c>
      <c r="BG14" s="115" t="str">
        <f>=ROUND(SUMIF($BF$41:$BF$45,"KMW-Mittel",$BH$41:$BH$45)+SUMIF($BF$50:$BF$55,"KMW-Mittel",$BH$50:$BH$55),2)</f>
      </c>
      <c r="BH14" s="116" t="str">
        <f>=ROUND(SUMIF($BF$41:$BF$45,"KMW-Mittel",$BI$41:$BI$45)+SUMIF($BF$50:$BF$55,"KMW-Mittel",$BI$50:$BI$55),2)</f>
      </c>
      <c r="BI14" s="115" t="str">
        <f>=IFERROR(ROUND(BB14 + BG14, 2), BG14)</f>
      </c>
      <c r="BJ14" s="143" t="str">
        <f>=IFERROR(ROUND(BC14 + BH14, 2), BH14)</f>
      </c>
      <c r="BM14" s="142" t="s">
        <v>199</v>
      </c>
      <c r="BN14" s="115" t="str">
        <f>=ROUND(SUMIF($BM$41:$BM$45,"KMW-Mittel",$BO$41:$BO$45)+SUMIF($BM$50:$BM$55,"KMW-Mittel",$BO$50:$BO$55),2)</f>
      </c>
      <c r="BO14" s="116" t="str">
        <f>=ROUND(SUMIF($BM$41:$BM$45,"KMW-Mittel",$BP$41:$BP$45)+SUMIF($BM$50:$BM$55,"KMW-Mittel",$BP$50:$BP$55),2)</f>
      </c>
      <c r="BP14" s="115" t="str">
        <f>=IFERROR(ROUND(BI14 + BN14, 2), BN14)</f>
      </c>
      <c r="BQ14" s="143" t="str">
        <f>=IFERROR(ROUND(BJ14 + BO14, 2), BO14)</f>
      </c>
      <c r="BT14" s="142" t="s">
        <v>199</v>
      </c>
      <c r="BU14" s="115" t="str">
        <f>=ROUND(SUMIF($BT$41:$BT$45,"KMW-Mittel",$BV$41:$BV$45)+SUMIF($BT$50:$BT$55,"KMW-Mittel",$BV$50:$BV$55),2)</f>
      </c>
      <c r="BV14" s="116" t="str">
        <f>=ROUND(SUMIF($BT$41:$BT$45,"KMW-Mittel",$BW$41:$BW$45)+SUMIF($BT$50:$BT$55,"KMW-Mittel",$BW$50:$BW$55),2)</f>
      </c>
      <c r="BW14" s="115" t="str">
        <f>=IFERROR(ROUND(BP14 + BU14, 2), BU14)</f>
      </c>
      <c r="BX14" s="143" t="str">
        <f>=IFERROR(ROUND(BQ14 + BV14, 2), BV14)</f>
      </c>
      <c r="CA14" s="142" t="s">
        <v>199</v>
      </c>
      <c r="CB14" s="115" t="str">
        <f>=ROUND(SUMIF($CA$41:$CA$45,"KMW-Mittel",$CC$41:$CC$45)+SUMIF($CA$50:$CA$55,"KMW-Mittel",$CC$50:$CC$55),2)</f>
      </c>
      <c r="CC14" s="116" t="str">
        <f>=ROUND(SUMIF($CA$41:$CA$45,"KMW-Mittel",$CD$41:$CD$45)+SUMIF($CA$50:$CA$55,"KMW-Mittel",$CD$50:$CD$55),2)</f>
      </c>
      <c r="CD14" s="115" t="str">
        <f>=IFERROR(ROUND(BW14 + CB14, 2), CB14)</f>
      </c>
      <c r="CE14" s="143" t="str">
        <f>=IFERROR(ROUND(BX14 + CC14, 2), CC14)</f>
      </c>
      <c r="CH14" s="142" t="s">
        <v>199</v>
      </c>
      <c r="CI14" s="115" t="str">
        <f>=ROUND(SUMIF($CH$41:$CH$45,"KMW-Mittel",$CJ$41:$CJ$45)+SUMIF($CH$50:$CH$55,"KMW-Mittel",$CJ$50:$CJ$55),2)</f>
      </c>
      <c r="CJ14" s="116" t="str">
        <f>=ROUND(SUMIF($CH$41:$CH$45,"KMW-Mittel",$CK$41:$CK$45)+SUMIF($CH$50:$CH$55,"KMW-Mittel",$CK$50:$CK$55),2)</f>
      </c>
      <c r="CK14" s="115" t="str">
        <f>=IFERROR(ROUND(CD14 + CI14, 2), CI14)</f>
      </c>
      <c r="CL14" s="143" t="str">
        <f>=IFERROR(ROUND(CE14 + CJ14, 2), CJ14)</f>
      </c>
      <c r="CO14" s="142" t="s">
        <v>199</v>
      </c>
      <c r="CP14" s="115" t="str">
        <f>=ROUND(SUMIF($CO$41:$CO$45,"KMW-Mittel",$CQ$41:$CQ$45)+SUMIF($CO$50:$CO$55,"KMW-Mittel",$CQ$50:$CQ$55),2)</f>
      </c>
      <c r="CQ14" s="116" t="str">
        <f>=ROUND(SUMIF($CO$41:$CO$45,"KMW-Mittel",$CR$41:$CR$45)+SUMIF($CO$50:$CO$55,"KMW-Mittel",$CR$50:$CR$55),2)</f>
      </c>
      <c r="CR14" s="115" t="str">
        <f>=IFERROR(ROUND(CK14 + CP14, 2), CP14)</f>
      </c>
      <c r="CS14" s="143" t="str">
        <f>=IFERROR(ROUND(CL14 + CQ14, 2), CQ14)</f>
      </c>
      <c r="CV14" s="142" t="s">
        <v>199</v>
      </c>
      <c r="CW14" s="115" t="str">
        <f>=ROUND(SUMIF($CV$41:$CV$45,"KMW-Mittel",$CX$41:$CX$45)+SUMIF($CV$50:$CV$55,"KMW-Mittel",$CX$50:$CX$55),2)</f>
      </c>
      <c r="CX14" s="116" t="str">
        <f>=ROUND(SUMIF($CV$41:$CV$45,"KMW-Mittel",$CY$41:$CY$45)+SUMIF($CV$50:$CV$55,"KMW-Mittel",$CY$50:$CY$55),2)</f>
      </c>
      <c r="CY14" s="115" t="str">
        <f>=IFERROR(ROUND(CR14 + CW14, 2), CW14)</f>
      </c>
      <c r="CZ14" s="143" t="str">
        <f>=IFERROR(ROUND(CS14 + CX14, 2), CX14)</f>
      </c>
      <c r="DC14" s="142" t="s">
        <v>199</v>
      </c>
      <c r="DD14" s="115" t="str">
        <f>=ROUND(SUMIF($DC$41:$DC$45,"KMW-Mittel",$DE$41:$DE$45)+SUMIF($DC$50:$DC$55,"KMW-Mittel",$DE$50:$DE$55),2)</f>
      </c>
      <c r="DE14" s="116" t="str">
        <f>=ROUND(SUMIF($DC$41:$DC$45,"KMW-Mittel",$DF$41:$DF$45)+SUMIF($DC$50:$DC$55,"KMW-Mittel",$DF$50:$DF$55),2)</f>
      </c>
      <c r="DF14" s="115" t="str">
        <f>=IFERROR(ROUND(CY14 + DD14, 2), DD14)</f>
      </c>
      <c r="DG14" s="143" t="str">
        <f>=IFERROR(ROUND(CZ14 + DE14, 2), DE14)</f>
      </c>
      <c r="DJ14" s="142" t="s">
        <v>199</v>
      </c>
      <c r="DK14" s="115" t="str">
        <f>=ROUND(SUMIF($DJ$41:$DJ$45,"KMW-Mittel",$DL$41:$DL$45)+SUMIF($DJ$50:$DJ$55,"KMW-Mittel",$DL$50:$DL$55),2)</f>
      </c>
      <c r="DL14" s="116" t="str">
        <f>=ROUND(SUMIF($DJ$41:$DJ$45,"KMW-Mittel",$DM$41:$DM$45)+SUMIF($DJ$50:$DJ$55,"KMW-Mittel",$DM$50:$DM$55),2)</f>
      </c>
      <c r="DM14" s="115" t="str">
        <f>=IFERROR(ROUND(DF14 + DK14, 2), DK14)</f>
      </c>
      <c r="DN14" s="143" t="str">
        <f>=IFERROR(ROUND(DG14 + DL14, 2), DL14)</f>
      </c>
      <c r="DQ14" s="142" t="s">
        <v>199</v>
      </c>
      <c r="DR14" s="115" t="str">
        <f>=ROUND(SUMIF($DQ$41:$DQ$45,"KMW-Mittel",$DS$41:$DS$45)+SUMIF($DQ$50:$DQ$55,"KMW-Mittel",$DS$50:$DS$55),2)</f>
      </c>
      <c r="DS14" s="116" t="str">
        <f>=ROUND(SUMIF($DQ$41:$DQ$45,"KMW-Mittel",$DT$41:$DT$45)+SUMIF($DQ$50:$DQ$55,"KMW-Mittel",$DT$50:$DT$55),2)</f>
      </c>
      <c r="DT14" s="115" t="str">
        <f>=IFERROR(ROUND(DM14 + DR14, 2), DR14)</f>
      </c>
      <c r="DU14" s="143" t="str">
        <f>=IFERROR(ROUND(DN14 + DS14, 2), DS14)</f>
      </c>
    </row>
    <row r="15">
      <c r="B15" s="142" t="s">
        <v>278</v>
      </c>
      <c r="C15" s="115" t="str">
        <f>=ROUND(SUMIF($B$41:$B$45,"Zinsertraege",$D$41:$D$45)+SUMIF($B$50:$B$55,"Zinsertraege",$D$50:$D$55),2)</f>
      </c>
      <c r="D15" s="116" t="str">
        <f>=ROUND(SUMIF($B$41:$B$45,"Zinsertraege",$E$41:$E$45)+SUMIF($B$50:$B$55,"Zinsertraege",$E$50:$E$55),2)</f>
      </c>
      <c r="E15" s="115" t="str">
        <f>=ROUND(SUMIF($B$41:$B$45,"Zinsertraege",$D$41:$D$45)+SUMIF($B$50:$B$55,"Zinsertraege",$D$50:$D$55),2)</f>
      </c>
      <c r="F15" s="143" t="str">
        <f>=ROUND(SUMIF($B$41:$B$45,"Zinsertraege",$E$41:$E$45)+SUMIF($B$50:$B$55,"Zinsertraege",$E$50:$E$55),2)</f>
      </c>
      <c r="I15" s="142" t="s">
        <v>278</v>
      </c>
      <c r="J15" s="115" t="str">
        <f>=ROUND(SUMIF($I$41:$I$45,"Zinsertraege",$K$41:$K$45)+SUMIF($I$50:$I$55,"Zinsertraege",$K$50:$K$55),2)</f>
      </c>
      <c r="K15" s="116" t="str">
        <f>=ROUND(SUMIF($I$41:$I$45,"Zinsertraege",$L$41:$L$45)+SUMIF($I$50:$I$55,"Zinsertraege",$L$50:$L$55),2)</f>
      </c>
      <c r="L15" s="115" t="str">
        <f>=IFERROR(ROUND(E15 + J15, 2), J15)</f>
      </c>
      <c r="M15" s="143" t="str">
        <f>=IFERROR(ROUND(F15 + K15, 2), K15)</f>
      </c>
      <c r="P15" s="142" t="s">
        <v>278</v>
      </c>
      <c r="Q15" s="115" t="str">
        <f>=ROUND(SUMIF($P$41:$P$45,"Zinsertraege",$R$41:$R$45)+SUMIF($P$50:$P$55,"Zinsertraege",$R$50:$R$55),2)</f>
      </c>
      <c r="R15" s="116" t="str">
        <f>=ROUND(SUMIF($P$41:$P$45,"Zinsertraege",$S$41:$S$45)+SUMIF($P$50:$P$55,"Zinsertraege",$S$50:$S$55),2)</f>
      </c>
      <c r="S15" s="115" t="str">
        <f>=IFERROR(ROUND(L15 + Q15, 2), Q15)</f>
      </c>
      <c r="T15" s="143" t="str">
        <f>=IFERROR(ROUND(M15 + R15, 2), R15)</f>
      </c>
      <c r="W15" s="142" t="s">
        <v>278</v>
      </c>
      <c r="X15" s="115" t="str">
        <f>=ROUND(SUMIF($W$41:$W$45,"Zinsertraege",$Y$41:$Y$45)+SUMIF($W$50:$W$55,"Zinsertraege",$Y$50:$Y$55),2)</f>
      </c>
      <c r="Y15" s="116" t="str">
        <f>=ROUND(SUMIF($W$41:$W$45,"Zinsertraege",$Z$41:$Z$45)+SUMIF($W$50:$W$55,"Zinsertraege",$Z$50:$Z$55),2)</f>
      </c>
      <c r="Z15" s="115" t="str">
        <f>=IFERROR(ROUND(S15 + X15, 2), X15)</f>
      </c>
      <c r="AA15" s="143" t="str">
        <f>=IFERROR(ROUND(T15 + Y15, 2), Y15)</f>
      </c>
      <c r="AD15" s="142" t="s">
        <v>278</v>
      </c>
      <c r="AE15" s="115" t="str">
        <f>=ROUND(SUMIF($AD$41:$AD$45,"Zinsertraege",$AF$41:$AF$45)+SUMIF($AD$50:$AD$55,"Zinsertraege",$AF$50:$AF$55),2)</f>
      </c>
      <c r="AF15" s="116" t="str">
        <f>=ROUND(SUMIF($AD$41:$AD$45,"Zinsertraege",$AG$41:$AG$45)+SUMIF($AD$50:$AD$55,"Zinsertraege",$AG$50:$AG$55),2)</f>
      </c>
      <c r="AG15" s="115" t="str">
        <f>=IFERROR(ROUND(Z15 + AE15, 2), AE15)</f>
      </c>
      <c r="AH15" s="143" t="str">
        <f>=IFERROR(ROUND(AA15 + AF15, 2), AF15)</f>
      </c>
      <c r="AK15" s="142" t="s">
        <v>278</v>
      </c>
      <c r="AL15" s="115" t="str">
        <f>=ROUND(SUMIF($AK$41:$AK$45,"Zinsertraege",$AM$41:$AM$45)+SUMIF($AK$50:$AK$55,"Zinsertraege",$AM$50:$AM$55),2)</f>
      </c>
      <c r="AM15" s="116" t="str">
        <f>=ROUND(SUMIF($AK$41:$AK$45,"Zinsertraege",$AN$41:$AN$45)+SUMIF($AK$50:$AK$55,"Zinsertraege",$AN$50:$AN$55),2)</f>
      </c>
      <c r="AN15" s="115" t="str">
        <f>=IFERROR(ROUND(AG15 + AL15, 2), AL15)</f>
      </c>
      <c r="AO15" s="143" t="str">
        <f>=IFERROR(ROUND(AH15 + AM15, 2), AM15)</f>
      </c>
      <c r="AR15" s="142" t="s">
        <v>278</v>
      </c>
      <c r="AS15" s="115" t="str">
        <f>=ROUND(SUMIF($AR$41:$AR$45,"Zinsertraege",$AT$41:$AT$45)+SUMIF($AR$50:$AR$55,"Zinsertraege",$AT$50:$AT$55),2)</f>
      </c>
      <c r="AT15" s="116" t="str">
        <f>=ROUND(SUMIF($AR$41:$AR$45,"Zinsertraege",$AU$41:$AU$45)+SUMIF($AR$50:$AR$55,"Zinsertraege",$AU$50:$AU$55),2)</f>
      </c>
      <c r="AU15" s="115" t="str">
        <f>=IFERROR(ROUND(AN15 + AS15, 2), AS15)</f>
      </c>
      <c r="AV15" s="143" t="str">
        <f>=IFERROR(ROUND(AO15 + AT15, 2), AT15)</f>
      </c>
      <c r="AY15" s="142" t="s">
        <v>278</v>
      </c>
      <c r="AZ15" s="115" t="str">
        <f>=ROUND(SUMIF($AY$41:$AY$45,"Zinsertraege",$BA$41:$BA$45)+SUMIF($AY$50:$AY$55,"Zinsertraege",$BA$50:$BA$55),2)</f>
      </c>
      <c r="BA15" s="116" t="str">
        <f>=ROUND(SUMIF($AY$41:$AY$45,"Zinsertraege",$BB$41:$BB$45)+SUMIF($AY$50:$AY$55,"Zinsertraege",$BB$50:$BB$55),2)</f>
      </c>
      <c r="BB15" s="115" t="str">
        <f>=IFERROR(ROUND(AU15 + AZ15, 2), AZ15)</f>
      </c>
      <c r="BC15" s="143" t="str">
        <f>=IFERROR(ROUND(AV15 + BA15, 2), BA15)</f>
      </c>
      <c r="BF15" s="142" t="s">
        <v>278</v>
      </c>
      <c r="BG15" s="115" t="str">
        <f>=ROUND(SUMIF($BF$41:$BF$45,"Zinsertraege",$BH$41:$BH$45)+SUMIF($BF$50:$BF$55,"Zinsertraege",$BH$50:$BH$55),2)</f>
      </c>
      <c r="BH15" s="116" t="str">
        <f>=ROUND(SUMIF($BF$41:$BF$45,"Zinsertraege",$BI$41:$BI$45)+SUMIF($BF$50:$BF$55,"Zinsertraege",$BI$50:$BI$55),2)</f>
      </c>
      <c r="BI15" s="115" t="str">
        <f>=IFERROR(ROUND(BB15 + BG15, 2), BG15)</f>
      </c>
      <c r="BJ15" s="143" t="str">
        <f>=IFERROR(ROUND(BC15 + BH15, 2), BH15)</f>
      </c>
      <c r="BM15" s="142" t="s">
        <v>278</v>
      </c>
      <c r="BN15" s="115" t="str">
        <f>=ROUND(SUMIF($BM$41:$BM$45,"Zinsertraege",$BO$41:$BO$45)+SUMIF($BM$50:$BM$55,"Zinsertraege",$BO$50:$BO$55),2)</f>
      </c>
      <c r="BO15" s="116" t="str">
        <f>=ROUND(SUMIF($BM$41:$BM$45,"Zinsertraege",$BP$41:$BP$45)+SUMIF($BM$50:$BM$55,"Zinsertraege",$BP$50:$BP$55),2)</f>
      </c>
      <c r="BP15" s="115" t="str">
        <f>=IFERROR(ROUND(BI15 + BN15, 2), BN15)</f>
      </c>
      <c r="BQ15" s="143" t="str">
        <f>=IFERROR(ROUND(BJ15 + BO15, 2), BO15)</f>
      </c>
      <c r="BT15" s="142" t="s">
        <v>278</v>
      </c>
      <c r="BU15" s="115" t="str">
        <f>=ROUND(SUMIF($BT$41:$BT$45,"Zinsertraege",$BV$41:$BV$45)+SUMIF($BT$50:$BT$55,"Zinsertraege",$BV$50:$BV$55),2)</f>
      </c>
      <c r="BV15" s="116" t="str">
        <f>=ROUND(SUMIF($BT$41:$BT$45,"Zinsertraege",$BW$41:$BW$45)+SUMIF($BT$50:$BT$55,"Zinsertraege",$BW$50:$BW$55),2)</f>
      </c>
      <c r="BW15" s="115" t="str">
        <f>=IFERROR(ROUND(BP15 + BU15, 2), BU15)</f>
      </c>
      <c r="BX15" s="143" t="str">
        <f>=IFERROR(ROUND(BQ15 + BV15, 2), BV15)</f>
      </c>
      <c r="CA15" s="142" t="s">
        <v>278</v>
      </c>
      <c r="CB15" s="115" t="str">
        <f>=ROUND(SUMIF($CA$41:$CA$45,"Zinsertraege",$CC$41:$CC$45)+SUMIF($CA$50:$CA$55,"Zinsertraege",$CC$50:$CC$55),2)</f>
      </c>
      <c r="CC15" s="116" t="str">
        <f>=ROUND(SUMIF($CA$41:$CA$45,"Zinsertraege",$CD$41:$CD$45)+SUMIF($CA$50:$CA$55,"Zinsertraege",$CD$50:$CD$55),2)</f>
      </c>
      <c r="CD15" s="115" t="str">
        <f>=IFERROR(ROUND(BW15 + CB15, 2), CB15)</f>
      </c>
      <c r="CE15" s="143" t="str">
        <f>=IFERROR(ROUND(BX15 + CC15, 2), CC15)</f>
      </c>
      <c r="CH15" s="142" t="s">
        <v>278</v>
      </c>
      <c r="CI15" s="115" t="str">
        <f>=ROUND(SUMIF($CH$41:$CH$45,"Zinsertraege",$CJ$41:$CJ$45)+SUMIF($CH$50:$CH$55,"Zinsertraege",$CJ$50:$CJ$55),2)</f>
      </c>
      <c r="CJ15" s="116" t="str">
        <f>=ROUND(SUMIF($CH$41:$CH$45,"Zinsertraege",$CK$41:$CK$45)+SUMIF($CH$50:$CH$55,"Zinsertraege",$CK$50:$CK$55),2)</f>
      </c>
      <c r="CK15" s="115" t="str">
        <f>=IFERROR(ROUND(CD15 + CI15, 2), CI15)</f>
      </c>
      <c r="CL15" s="143" t="str">
        <f>=IFERROR(ROUND(CE15 + CJ15, 2), CJ15)</f>
      </c>
      <c r="CO15" s="142" t="s">
        <v>278</v>
      </c>
      <c r="CP15" s="115" t="str">
        <f>=ROUND(SUMIF($CO$41:$CO$45,"Zinsertraege",$CQ$41:$CQ$45)+SUMIF($CO$50:$CO$55,"Zinsertraege",$CQ$50:$CQ$55),2)</f>
      </c>
      <c r="CQ15" s="116" t="str">
        <f>=ROUND(SUMIF($CO$41:$CO$45,"Zinsertraege",$CR$41:$CR$45)+SUMIF($CO$50:$CO$55,"Zinsertraege",$CR$50:$CR$55),2)</f>
      </c>
      <c r="CR15" s="115" t="str">
        <f>=IFERROR(ROUND(CK15 + CP15, 2), CP15)</f>
      </c>
      <c r="CS15" s="143" t="str">
        <f>=IFERROR(ROUND(CL15 + CQ15, 2), CQ15)</f>
      </c>
      <c r="CV15" s="142" t="s">
        <v>278</v>
      </c>
      <c r="CW15" s="115" t="str">
        <f>=ROUND(SUMIF($CV$41:$CV$45,"Zinsertraege",$CX$41:$CX$45)+SUMIF($CV$50:$CV$55,"Zinsertraege",$CX$50:$CX$55),2)</f>
      </c>
      <c r="CX15" s="116" t="str">
        <f>=ROUND(SUMIF($CV$41:$CV$45,"Zinsertraege",$CY$41:$CY$45)+SUMIF($CV$50:$CV$55,"Zinsertraege",$CY$50:$CY$55),2)</f>
      </c>
      <c r="CY15" s="115" t="str">
        <f>=IFERROR(ROUND(CR15 + CW15, 2), CW15)</f>
      </c>
      <c r="CZ15" s="143" t="str">
        <f>=IFERROR(ROUND(CS15 + CX15, 2), CX15)</f>
      </c>
      <c r="DC15" s="142" t="s">
        <v>278</v>
      </c>
      <c r="DD15" s="115" t="str">
        <f>=ROUND(SUMIF($DC$41:$DC$45,"Zinsertraege",$DE$41:$DE$45)+SUMIF($DC$50:$DC$55,"Zinsertraege",$DE$50:$DE$55),2)</f>
      </c>
      <c r="DE15" s="116" t="str">
        <f>=ROUND(SUMIF($DC$41:$DC$45,"Zinsertraege",$DF$41:$DF$45)+SUMIF($DC$50:$DC$55,"Zinsertraege",$DF$50:$DF$55),2)</f>
      </c>
      <c r="DF15" s="115" t="str">
        <f>=IFERROR(ROUND(CY15 + DD15, 2), DD15)</f>
      </c>
      <c r="DG15" s="143" t="str">
        <f>=IFERROR(ROUND(CZ15 + DE15, 2), DE15)</f>
      </c>
      <c r="DJ15" s="142" t="s">
        <v>278</v>
      </c>
      <c r="DK15" s="115" t="str">
        <f>=ROUND(SUMIF($DJ$41:$DJ$45,"Zinsertraege",$DL$41:$DL$45)+SUMIF($DJ$50:$DJ$55,"Zinsertraege",$DL$50:$DL$55),2)</f>
      </c>
      <c r="DL15" s="116" t="str">
        <f>=ROUND(SUMIF($DJ$41:$DJ$45,"Zinsertraege",$DM$41:$DM$45)+SUMIF($DJ$50:$DJ$55,"Zinsertraege",$DM$50:$DM$55),2)</f>
      </c>
      <c r="DM15" s="115" t="str">
        <f>=IFERROR(ROUND(DF15 + DK15, 2), DK15)</f>
      </c>
      <c r="DN15" s="143" t="str">
        <f>=IFERROR(ROUND(DG15 + DL15, 2), DL15)</f>
      </c>
      <c r="DQ15" s="142" t="s">
        <v>278</v>
      </c>
      <c r="DR15" s="115" t="str">
        <f>=ROUND(SUMIF($DQ$41:$DQ$45,"Zinsertraege",$DS$41:$DS$45)+SUMIF($DQ$50:$DQ$55,"Zinsertraege",$DS$50:$DS$55),2)</f>
      </c>
      <c r="DS15" s="116" t="str">
        <f>=ROUND(SUMIF($DQ$41:$DQ$45,"Zinsertraege",$DT$41:$DT$45)+SUMIF($DQ$50:$DQ$55,"Zinsertraege",$DT$50:$DT$55),2)</f>
      </c>
      <c r="DT15" s="115" t="str">
        <f>=IFERROR(ROUND(DM15 + DR15, 2), DR15)</f>
      </c>
      <c r="DU15" s="143" t="str">
        <f>=IFERROR(ROUND(DN15 + DS15, 2), DS15)</f>
      </c>
    </row>
    <row r="16">
      <c r="B16" s="144" t="s">
        <v>279</v>
      </c>
      <c r="C16" s="118" t="str">
        <f>=ROUND(SUM(C11:C15),2)</f>
      </c>
      <c r="D16" s="119" t="str">
        <f>=ROUND(SUM(D11:D15),2)</f>
      </c>
      <c r="E16" s="118" t="str">
        <f>=ROUND(SUM(E11:E15),2)</f>
      </c>
      <c r="F16" s="145" t="str">
        <f>=ROUND(SUM(F11:F15),2)</f>
      </c>
      <c r="I16" s="144" t="s">
        <v>279</v>
      </c>
      <c r="J16" s="118" t="str">
        <f>=ROUND(SUM(J11:J15),2)</f>
      </c>
      <c r="K16" s="119" t="str">
        <f>=ROUND(SUM(K11:K15),2)</f>
      </c>
      <c r="L16" s="118" t="str">
        <f>=ROUND(SUM(L11:L15),2)</f>
      </c>
      <c r="M16" s="145" t="str">
        <f>=ROUND(SUM(M11:M15),2)</f>
      </c>
      <c r="P16" s="144" t="s">
        <v>279</v>
      </c>
      <c r="Q16" s="118" t="str">
        <f>=ROUND(SUM(Q11:Q15),2)</f>
      </c>
      <c r="R16" s="119" t="str">
        <f>=ROUND(SUM(R11:R15),2)</f>
      </c>
      <c r="S16" s="118" t="str">
        <f>=ROUND(SUM(S11:S15),2)</f>
      </c>
      <c r="T16" s="145" t="str">
        <f>=ROUND(SUM(T11:T15),2)</f>
      </c>
      <c r="W16" s="144" t="s">
        <v>279</v>
      </c>
      <c r="X16" s="118" t="str">
        <f>=ROUND(SUM(X11:X15),2)</f>
      </c>
      <c r="Y16" s="119" t="str">
        <f>=ROUND(SUM(Y11:Y15),2)</f>
      </c>
      <c r="Z16" s="118" t="str">
        <f>=ROUND(SUM(Z11:Z15),2)</f>
      </c>
      <c r="AA16" s="145" t="str">
        <f>=ROUND(SUM(AA11:AA15),2)</f>
      </c>
      <c r="AD16" s="144" t="s">
        <v>279</v>
      </c>
      <c r="AE16" s="118" t="str">
        <f>=ROUND(SUM(AE11:AE15),2)</f>
      </c>
      <c r="AF16" s="119" t="str">
        <f>=ROUND(SUM(AF11:AF15),2)</f>
      </c>
      <c r="AG16" s="118" t="str">
        <f>=ROUND(SUM(AG11:AG15),2)</f>
      </c>
      <c r="AH16" s="145" t="str">
        <f>=ROUND(SUM(AH11:AH15),2)</f>
      </c>
      <c r="AK16" s="144" t="s">
        <v>279</v>
      </c>
      <c r="AL16" s="118" t="str">
        <f>=ROUND(SUM(AL11:AL15),2)</f>
      </c>
      <c r="AM16" s="119" t="str">
        <f>=ROUND(SUM(AM11:AM15),2)</f>
      </c>
      <c r="AN16" s="118" t="str">
        <f>=ROUND(SUM(AN11:AN15),2)</f>
      </c>
      <c r="AO16" s="145" t="str">
        <f>=ROUND(SUM(AO11:AO15),2)</f>
      </c>
      <c r="AR16" s="144" t="s">
        <v>279</v>
      </c>
      <c r="AS16" s="118" t="str">
        <f>=ROUND(SUM(AS11:AS15),2)</f>
      </c>
      <c r="AT16" s="119" t="str">
        <f>=ROUND(SUM(AT11:AT15),2)</f>
      </c>
      <c r="AU16" s="118" t="str">
        <f>=ROUND(SUM(AU11:AU15),2)</f>
      </c>
      <c r="AV16" s="145" t="str">
        <f>=ROUND(SUM(AV11:AV15),2)</f>
      </c>
      <c r="AY16" s="144" t="s">
        <v>279</v>
      </c>
      <c r="AZ16" s="118" t="str">
        <f>=ROUND(SUM(AZ11:AZ15),2)</f>
      </c>
      <c r="BA16" s="119" t="str">
        <f>=ROUND(SUM(BA11:BA15),2)</f>
      </c>
      <c r="BB16" s="118" t="str">
        <f>=ROUND(SUM(BB11:BB15),2)</f>
      </c>
      <c r="BC16" s="145" t="str">
        <f>=ROUND(SUM(BC11:BC15),2)</f>
      </c>
      <c r="BF16" s="144" t="s">
        <v>279</v>
      </c>
      <c r="BG16" s="118" t="str">
        <f>=ROUND(SUM(BG11:BG15),2)</f>
      </c>
      <c r="BH16" s="119" t="str">
        <f>=ROUND(SUM(BH11:BH15),2)</f>
      </c>
      <c r="BI16" s="118" t="str">
        <f>=ROUND(SUM(BI11:BI15),2)</f>
      </c>
      <c r="BJ16" s="145" t="str">
        <f>=ROUND(SUM(BJ11:BJ15),2)</f>
      </c>
      <c r="BM16" s="144" t="s">
        <v>279</v>
      </c>
      <c r="BN16" s="118" t="str">
        <f>=ROUND(SUM(BN11:BN15),2)</f>
      </c>
      <c r="BO16" s="119" t="str">
        <f>=ROUND(SUM(BO11:BO15),2)</f>
      </c>
      <c r="BP16" s="118" t="str">
        <f>=ROUND(SUM(BP11:BP15),2)</f>
      </c>
      <c r="BQ16" s="145" t="str">
        <f>=ROUND(SUM(BQ11:BQ15),2)</f>
      </c>
      <c r="BT16" s="144" t="s">
        <v>279</v>
      </c>
      <c r="BU16" s="118" t="str">
        <f>=ROUND(SUM(BU11:BU15),2)</f>
      </c>
      <c r="BV16" s="119" t="str">
        <f>=ROUND(SUM(BV11:BV15),2)</f>
      </c>
      <c r="BW16" s="118" t="str">
        <f>=ROUND(SUM(BW11:BW15),2)</f>
      </c>
      <c r="BX16" s="145" t="str">
        <f>=ROUND(SUM(BX11:BX15),2)</f>
      </c>
      <c r="CA16" s="144" t="s">
        <v>279</v>
      </c>
      <c r="CB16" s="118" t="str">
        <f>=ROUND(SUM(CB11:CB15),2)</f>
      </c>
      <c r="CC16" s="119" t="str">
        <f>=ROUND(SUM(CC11:CC15),2)</f>
      </c>
      <c r="CD16" s="118" t="str">
        <f>=ROUND(SUM(CD11:CD15),2)</f>
      </c>
      <c r="CE16" s="145" t="str">
        <f>=ROUND(SUM(CE11:CE15),2)</f>
      </c>
      <c r="CH16" s="144" t="s">
        <v>279</v>
      </c>
      <c r="CI16" s="118" t="str">
        <f>=ROUND(SUM(CI11:CI15),2)</f>
      </c>
      <c r="CJ16" s="119" t="str">
        <f>=ROUND(SUM(CJ11:CJ15),2)</f>
      </c>
      <c r="CK16" s="118" t="str">
        <f>=ROUND(SUM(CK11:CK15),2)</f>
      </c>
      <c r="CL16" s="145" t="str">
        <f>=ROUND(SUM(CL11:CL15),2)</f>
      </c>
      <c r="CO16" s="144" t="s">
        <v>279</v>
      </c>
      <c r="CP16" s="118" t="str">
        <f>=ROUND(SUM(CP11:CP15),2)</f>
      </c>
      <c r="CQ16" s="119" t="str">
        <f>=ROUND(SUM(CQ11:CQ15),2)</f>
      </c>
      <c r="CR16" s="118" t="str">
        <f>=ROUND(SUM(CR11:CR15),2)</f>
      </c>
      <c r="CS16" s="145" t="str">
        <f>=ROUND(SUM(CS11:CS15),2)</f>
      </c>
      <c r="CV16" s="144" t="s">
        <v>279</v>
      </c>
      <c r="CW16" s="118" t="str">
        <f>=ROUND(SUM(CW11:CW15),2)</f>
      </c>
      <c r="CX16" s="119" t="str">
        <f>=ROUND(SUM(CX11:CX15),2)</f>
      </c>
      <c r="CY16" s="118" t="str">
        <f>=ROUND(SUM(CY11:CY15),2)</f>
      </c>
      <c r="CZ16" s="145" t="str">
        <f>=ROUND(SUM(CZ11:CZ15),2)</f>
      </c>
      <c r="DC16" s="144" t="s">
        <v>279</v>
      </c>
      <c r="DD16" s="118" t="str">
        <f>=ROUND(SUM(DD11:DD15),2)</f>
      </c>
      <c r="DE16" s="119" t="str">
        <f>=ROUND(SUM(DE11:DE15),2)</f>
      </c>
      <c r="DF16" s="118" t="str">
        <f>=ROUND(SUM(DF11:DF15),2)</f>
      </c>
      <c r="DG16" s="145" t="str">
        <f>=ROUND(SUM(DG11:DG15),2)</f>
      </c>
      <c r="DJ16" s="144" t="s">
        <v>279</v>
      </c>
      <c r="DK16" s="118" t="str">
        <f>=ROUND(SUM(DK11:DK15),2)</f>
      </c>
      <c r="DL16" s="119" t="str">
        <f>=ROUND(SUM(DL11:DL15),2)</f>
      </c>
      <c r="DM16" s="118" t="str">
        <f>=ROUND(SUM(DM11:DM15),2)</f>
      </c>
      <c r="DN16" s="145" t="str">
        <f>=ROUND(SUM(DN11:DN15),2)</f>
      </c>
      <c r="DQ16" s="144" t="s">
        <v>279</v>
      </c>
      <c r="DR16" s="118" t="str">
        <f>=ROUND(SUM(DR11:DR15),2)</f>
      </c>
      <c r="DS16" s="119" t="str">
        <f>=ROUND(SUM(DS11:DS15),2)</f>
      </c>
      <c r="DT16" s="118" t="str">
        <f>=ROUND(SUM(DT11:DT15),2)</f>
      </c>
      <c r="DU16" s="145" t="str">
        <f>=ROUND(SUM(DU11:DU15),2)</f>
      </c>
    </row>
    <row r="17">
      <c r="B17" s="138" t="s">
        <v>280</v>
      </c>
      <c r="C17" s="111"/>
      <c r="D17" s="111"/>
      <c r="E17" s="111"/>
      <c r="F17" s="139"/>
      <c r="I17" s="138" t="s">
        <v>280</v>
      </c>
      <c r="J17" s="111"/>
      <c r="K17" s="111"/>
      <c r="L17" s="111"/>
      <c r="M17" s="139"/>
      <c r="P17" s="138" t="s">
        <v>280</v>
      </c>
      <c r="Q17" s="111"/>
      <c r="R17" s="111"/>
      <c r="S17" s="111"/>
      <c r="T17" s="139"/>
      <c r="W17" s="138" t="s">
        <v>280</v>
      </c>
      <c r="X17" s="111"/>
      <c r="Y17" s="111"/>
      <c r="Z17" s="111"/>
      <c r="AA17" s="139"/>
      <c r="AD17" s="138" t="s">
        <v>280</v>
      </c>
      <c r="AE17" s="111"/>
      <c r="AF17" s="111"/>
      <c r="AG17" s="111"/>
      <c r="AH17" s="139"/>
      <c r="AK17" s="138" t="s">
        <v>280</v>
      </c>
      <c r="AL17" s="111"/>
      <c r="AM17" s="111"/>
      <c r="AN17" s="111"/>
      <c r="AO17" s="139"/>
      <c r="AR17" s="138" t="s">
        <v>280</v>
      </c>
      <c r="AS17" s="111"/>
      <c r="AT17" s="111"/>
      <c r="AU17" s="111"/>
      <c r="AV17" s="139"/>
      <c r="AY17" s="138" t="s">
        <v>280</v>
      </c>
      <c r="AZ17" s="111"/>
      <c r="BA17" s="111"/>
      <c r="BB17" s="111"/>
      <c r="BC17" s="139"/>
      <c r="BF17" s="138" t="s">
        <v>280</v>
      </c>
      <c r="BG17" s="111"/>
      <c r="BH17" s="111"/>
      <c r="BI17" s="111"/>
      <c r="BJ17" s="139"/>
      <c r="BM17" s="138" t="s">
        <v>280</v>
      </c>
      <c r="BN17" s="111"/>
      <c r="BO17" s="111"/>
      <c r="BP17" s="111"/>
      <c r="BQ17" s="139"/>
      <c r="BT17" s="138" t="s">
        <v>280</v>
      </c>
      <c r="BU17" s="111"/>
      <c r="BV17" s="111"/>
      <c r="BW17" s="111"/>
      <c r="BX17" s="139"/>
      <c r="CA17" s="138" t="s">
        <v>280</v>
      </c>
      <c r="CB17" s="111"/>
      <c r="CC17" s="111"/>
      <c r="CD17" s="111"/>
      <c r="CE17" s="139"/>
      <c r="CH17" s="138" t="s">
        <v>280</v>
      </c>
      <c r="CI17" s="111"/>
      <c r="CJ17" s="111"/>
      <c r="CK17" s="111"/>
      <c r="CL17" s="139"/>
      <c r="CO17" s="138" t="s">
        <v>280</v>
      </c>
      <c r="CP17" s="111"/>
      <c r="CQ17" s="111"/>
      <c r="CR17" s="111"/>
      <c r="CS17" s="139"/>
      <c r="CV17" s="138" t="s">
        <v>280</v>
      </c>
      <c r="CW17" s="111"/>
      <c r="CX17" s="111"/>
      <c r="CY17" s="111"/>
      <c r="CZ17" s="139"/>
      <c r="DC17" s="138" t="s">
        <v>280</v>
      </c>
      <c r="DD17" s="111"/>
      <c r="DE17" s="111"/>
      <c r="DF17" s="111"/>
      <c r="DG17" s="139"/>
      <c r="DJ17" s="138" t="s">
        <v>280</v>
      </c>
      <c r="DK17" s="111"/>
      <c r="DL17" s="111"/>
      <c r="DM17" s="111"/>
      <c r="DN17" s="139"/>
      <c r="DQ17" s="138" t="s">
        <v>280</v>
      </c>
      <c r="DR17" s="111"/>
      <c r="DS17" s="111"/>
      <c r="DT17" s="111"/>
      <c r="DU17" s="139"/>
    </row>
    <row r="18">
      <c r="B18" s="146" t="s">
        <v>203</v>
      </c>
      <c r="C18" s="120" t="s">
        <v>281</v>
      </c>
      <c r="D18" s="120" t="s">
        <v>282</v>
      </c>
      <c r="E18" s="120" t="s">
        <v>283</v>
      </c>
      <c r="F18" s="147" t="s">
        <v>284</v>
      </c>
      <c r="I18" s="146" t="s">
        <v>203</v>
      </c>
      <c r="J18" s="120" t="s">
        <v>281</v>
      </c>
      <c r="K18" s="120" t="s">
        <v>282</v>
      </c>
      <c r="L18" s="120" t="s">
        <v>283</v>
      </c>
      <c r="M18" s="147" t="s">
        <v>284</v>
      </c>
      <c r="P18" s="146" t="s">
        <v>203</v>
      </c>
      <c r="Q18" s="120" t="s">
        <v>281</v>
      </c>
      <c r="R18" s="120" t="s">
        <v>282</v>
      </c>
      <c r="S18" s="120" t="s">
        <v>283</v>
      </c>
      <c r="T18" s="147" t="s">
        <v>284</v>
      </c>
      <c r="W18" s="146" t="s">
        <v>203</v>
      </c>
      <c r="X18" s="120" t="s">
        <v>281</v>
      </c>
      <c r="Y18" s="120" t="s">
        <v>282</v>
      </c>
      <c r="Z18" s="120" t="s">
        <v>283</v>
      </c>
      <c r="AA18" s="147" t="s">
        <v>284</v>
      </c>
      <c r="AD18" s="146" t="s">
        <v>203</v>
      </c>
      <c r="AE18" s="120" t="s">
        <v>281</v>
      </c>
      <c r="AF18" s="120" t="s">
        <v>282</v>
      </c>
      <c r="AG18" s="120" t="s">
        <v>283</v>
      </c>
      <c r="AH18" s="147" t="s">
        <v>284</v>
      </c>
      <c r="AK18" s="146" t="s">
        <v>203</v>
      </c>
      <c r="AL18" s="120" t="s">
        <v>281</v>
      </c>
      <c r="AM18" s="120" t="s">
        <v>282</v>
      </c>
      <c r="AN18" s="120" t="s">
        <v>283</v>
      </c>
      <c r="AO18" s="147" t="s">
        <v>284</v>
      </c>
      <c r="AR18" s="146" t="s">
        <v>203</v>
      </c>
      <c r="AS18" s="120" t="s">
        <v>281</v>
      </c>
      <c r="AT18" s="120" t="s">
        <v>282</v>
      </c>
      <c r="AU18" s="120" t="s">
        <v>283</v>
      </c>
      <c r="AV18" s="147" t="s">
        <v>284</v>
      </c>
      <c r="AY18" s="146" t="s">
        <v>203</v>
      </c>
      <c r="AZ18" s="120" t="s">
        <v>281</v>
      </c>
      <c r="BA18" s="120" t="s">
        <v>282</v>
      </c>
      <c r="BB18" s="120" t="s">
        <v>283</v>
      </c>
      <c r="BC18" s="147" t="s">
        <v>284</v>
      </c>
      <c r="BF18" s="146" t="s">
        <v>203</v>
      </c>
      <c r="BG18" s="120" t="s">
        <v>281</v>
      </c>
      <c r="BH18" s="120" t="s">
        <v>282</v>
      </c>
      <c r="BI18" s="120" t="s">
        <v>283</v>
      </c>
      <c r="BJ18" s="147" t="s">
        <v>284</v>
      </c>
      <c r="BM18" s="146" t="s">
        <v>203</v>
      </c>
      <c r="BN18" s="120" t="s">
        <v>281</v>
      </c>
      <c r="BO18" s="120" t="s">
        <v>282</v>
      </c>
      <c r="BP18" s="120" t="s">
        <v>283</v>
      </c>
      <c r="BQ18" s="147" t="s">
        <v>284</v>
      </c>
      <c r="BT18" s="146" t="s">
        <v>203</v>
      </c>
      <c r="BU18" s="120" t="s">
        <v>281</v>
      </c>
      <c r="BV18" s="120" t="s">
        <v>282</v>
      </c>
      <c r="BW18" s="120" t="s">
        <v>283</v>
      </c>
      <c r="BX18" s="147" t="s">
        <v>284</v>
      </c>
      <c r="CA18" s="146" t="s">
        <v>203</v>
      </c>
      <c r="CB18" s="120" t="s">
        <v>281</v>
      </c>
      <c r="CC18" s="120" t="s">
        <v>282</v>
      </c>
      <c r="CD18" s="120" t="s">
        <v>283</v>
      </c>
      <c r="CE18" s="147" t="s">
        <v>284</v>
      </c>
      <c r="CH18" s="146" t="s">
        <v>203</v>
      </c>
      <c r="CI18" s="120" t="s">
        <v>281</v>
      </c>
      <c r="CJ18" s="120" t="s">
        <v>282</v>
      </c>
      <c r="CK18" s="120" t="s">
        <v>283</v>
      </c>
      <c r="CL18" s="147" t="s">
        <v>284</v>
      </c>
      <c r="CO18" s="146" t="s">
        <v>203</v>
      </c>
      <c r="CP18" s="120" t="s">
        <v>281</v>
      </c>
      <c r="CQ18" s="120" t="s">
        <v>282</v>
      </c>
      <c r="CR18" s="120" t="s">
        <v>283</v>
      </c>
      <c r="CS18" s="147" t="s">
        <v>284</v>
      </c>
      <c r="CV18" s="146" t="s">
        <v>203</v>
      </c>
      <c r="CW18" s="120" t="s">
        <v>281</v>
      </c>
      <c r="CX18" s="120" t="s">
        <v>282</v>
      </c>
      <c r="CY18" s="120" t="s">
        <v>283</v>
      </c>
      <c r="CZ18" s="147" t="s">
        <v>284</v>
      </c>
      <c r="DC18" s="146" t="s">
        <v>203</v>
      </c>
      <c r="DD18" s="120" t="s">
        <v>281</v>
      </c>
      <c r="DE18" s="120" t="s">
        <v>282</v>
      </c>
      <c r="DF18" s="120" t="s">
        <v>283</v>
      </c>
      <c r="DG18" s="147" t="s">
        <v>284</v>
      </c>
      <c r="DJ18" s="146" t="s">
        <v>203</v>
      </c>
      <c r="DK18" s="120" t="s">
        <v>281</v>
      </c>
      <c r="DL18" s="120" t="s">
        <v>282</v>
      </c>
      <c r="DM18" s="120" t="s">
        <v>283</v>
      </c>
      <c r="DN18" s="147" t="s">
        <v>284</v>
      </c>
      <c r="DQ18" s="146" t="s">
        <v>203</v>
      </c>
      <c r="DR18" s="120" t="s">
        <v>281</v>
      </c>
      <c r="DS18" s="120" t="s">
        <v>282</v>
      </c>
      <c r="DT18" s="120" t="s">
        <v>283</v>
      </c>
      <c r="DU18" s="147" t="s">
        <v>284</v>
      </c>
    </row>
    <row r="19">
      <c r="B19" s="148" t="str">
        <f>=IFERROR(INDEX(Budget_ID_Liste, ROW() - 18), "")</f>
      </c>
      <c r="C19" s="24"/>
      <c r="D19" s="116" t="str">
        <f>=IFERROR(ROUND(C19/FB_Kurs_1,2),0)</f>
      </c>
      <c r="E19" s="115" t="str">
        <f>=IFERROR(C19, 0)</f>
      </c>
      <c r="F19" s="143" t="str">
        <f>=IFERROR(D19, 0)</f>
      </c>
      <c r="I19" s="148" t="str">
        <f>=IFERROR(INDEX(Budget_ID_Liste, ROW() - 18), "")</f>
      </c>
      <c r="J19" s="24"/>
      <c r="K19" s="116" t="str">
        <f>=IFERROR(ROUND(J19/FB_Kurs_2,2),0)</f>
      </c>
      <c r="L19" s="115" t="str">
        <f>=IFERROR(J19 + SUMIFS($E$19:$E$26, $B$19:$B$26, I19), J19)</f>
      </c>
      <c r="M19" s="143" t="str">
        <f>=IFERROR(K19 + SUMIFS($F$19:$F$26, $B$19:$B$26, I19), K19)</f>
      </c>
      <c r="P19" s="148" t="str">
        <f>=IFERROR(INDEX(Budget_ID_Liste, ROW() - 18), "")</f>
      </c>
      <c r="Q19" s="24"/>
      <c r="R19" s="116" t="str">
        <f>=IFERROR(ROUND(Q19/FB_Kurs_3,2),0)</f>
      </c>
      <c r="S19" s="115" t="str">
        <f>=IFERROR(Q19 + SUMIFS($L$19:$L$26, $I$19:$I$26, P19), Q19)</f>
      </c>
      <c r="T19" s="143" t="str">
        <f>=IFERROR(R19 + SUMIFS($M$19:$M$26, $I$19:$I$26, P19), R19)</f>
      </c>
      <c r="W19" s="148" t="str">
        <f>=IFERROR(INDEX(Budget_ID_Liste, ROW() - 18), "")</f>
      </c>
      <c r="X19" s="24"/>
      <c r="Y19" s="116" t="str">
        <f>=IFERROR(ROUND(X19/FB_Kurs_4,2),0)</f>
      </c>
      <c r="Z19" s="115" t="str">
        <f>=IFERROR(X19 + SUMIFS($S$19:$S$26, $P$19:$P$26, W19), X19)</f>
      </c>
      <c r="AA19" s="143" t="str">
        <f>=IFERROR(Y19 + SUMIFS($T$19:$T$26, $P$19:$P$26, W19), Y19)</f>
      </c>
      <c r="AD19" s="148" t="str">
        <f>=IFERROR(INDEX(Budget_ID_Liste, ROW() - 18), "")</f>
      </c>
      <c r="AE19" s="24"/>
      <c r="AF19" s="116" t="str">
        <f>=IFERROR(ROUND(AE19/FB_Kurs_5,2),0)</f>
      </c>
      <c r="AG19" s="115" t="str">
        <f>=IFERROR(AE19 + SUMIFS($Z$19:$Z$26, $W$19:$W$26, AD19), AE19)</f>
      </c>
      <c r="AH19" s="143" t="str">
        <f>=IFERROR(AF19 + SUMIFS($AA$19:$AA$26, $W$19:$W$26, AD19), AF19)</f>
      </c>
      <c r="AK19" s="148" t="str">
        <f>=IFERROR(INDEX(Budget_ID_Liste, ROW() - 18), "")</f>
      </c>
      <c r="AL19" s="24"/>
      <c r="AM19" s="116" t="str">
        <f>=IFERROR(ROUND(AL19/FB_Kurs_6,2),0)</f>
      </c>
      <c r="AN19" s="115" t="str">
        <f>=IFERROR(AL19 + SUMIFS($AG$19:$AG$26, $AD$19:$AD$26, AK19), AL19)</f>
      </c>
      <c r="AO19" s="143" t="str">
        <f>=IFERROR(AM19 + SUMIFS($AH$19:$AH$26, $AD$19:$AD$26, AK19), AM19)</f>
      </c>
      <c r="AR19" s="148" t="str">
        <f>=IFERROR(INDEX(Budget_ID_Liste, ROW() - 18), "")</f>
      </c>
      <c r="AS19" s="24"/>
      <c r="AT19" s="116" t="str">
        <f>=IFERROR(ROUND(AS19/FB_Kurs_7,2),0)</f>
      </c>
      <c r="AU19" s="115" t="str">
        <f>=IFERROR(AS19 + SUMIFS($AN$19:$AN$26, $AK$19:$AK$26, AR19), AS19)</f>
      </c>
      <c r="AV19" s="143" t="str">
        <f>=IFERROR(AT19 + SUMIFS($AO$19:$AO$26, $AK$19:$AK$26, AR19), AT19)</f>
      </c>
      <c r="AY19" s="148" t="str">
        <f>=IFERROR(INDEX(Budget_ID_Liste, ROW() - 18), "")</f>
      </c>
      <c r="AZ19" s="24"/>
      <c r="BA19" s="116" t="str">
        <f>=IFERROR(ROUND(AZ19/FB_Kurs_8,2),0)</f>
      </c>
      <c r="BB19" s="115" t="str">
        <f>=IFERROR(AZ19 + SUMIFS($AU$19:$AU$26, $AR$19:$AR$26, AY19), AZ19)</f>
      </c>
      <c r="BC19" s="143" t="str">
        <f>=IFERROR(BA19 + SUMIFS($AV$19:$AV$26, $AR$19:$AR$26, AY19), BA19)</f>
      </c>
      <c r="BF19" s="148" t="str">
        <f>=IFERROR(INDEX(Budget_ID_Liste, ROW() - 18), "")</f>
      </c>
      <c r="BG19" s="24"/>
      <c r="BH19" s="116" t="str">
        <f>=IFERROR(ROUND(BG19/FB_Kurs_9,2),0)</f>
      </c>
      <c r="BI19" s="115" t="str">
        <f>=IFERROR(BG19 + SUMIFS($BB$19:$BB$26, $AY$19:$AY$26, BF19), BG19)</f>
      </c>
      <c r="BJ19" s="143" t="str">
        <f>=IFERROR(BH19 + SUMIFS($BC$19:$BC$26, $AY$19:$AY$26, BF19), BH19)</f>
      </c>
      <c r="BM19" s="148" t="str">
        <f>=IFERROR(INDEX(Budget_ID_Liste, ROW() - 18), "")</f>
      </c>
      <c r="BN19" s="24"/>
      <c r="BO19" s="116" t="str">
        <f>=IFERROR(ROUND(BN19/FB_Kurs_10,2),0)</f>
      </c>
      <c r="BP19" s="115" t="str">
        <f>=IFERROR(BN19 + SUMIFS($BI$19:$BI$26, $BF$19:$BF$26, BM19), BN19)</f>
      </c>
      <c r="BQ19" s="143" t="str">
        <f>=IFERROR(BO19 + SUMIFS($BJ$19:$BJ$26, $BF$19:$BF$26, BM19), BO19)</f>
      </c>
      <c r="BT19" s="148" t="str">
        <f>=IFERROR(INDEX(Budget_ID_Liste, ROW() - 18), "")</f>
      </c>
      <c r="BU19" s="24"/>
      <c r="BV19" s="116" t="str">
        <f>=IFERROR(ROUND(BU19/FB_Kurs_11,2),0)</f>
      </c>
      <c r="BW19" s="115" t="str">
        <f>=IFERROR(BU19 + SUMIFS($BP$19:$BP$26, $BM$19:$BM$26, BT19), BU19)</f>
      </c>
      <c r="BX19" s="143" t="str">
        <f>=IFERROR(BV19 + SUMIFS($BQ$19:$BQ$26, $BM$19:$BM$26, BT19), BV19)</f>
      </c>
      <c r="CA19" s="148" t="str">
        <f>=IFERROR(INDEX(Budget_ID_Liste, ROW() - 18), "")</f>
      </c>
      <c r="CB19" s="24"/>
      <c r="CC19" s="116" t="str">
        <f>=IFERROR(ROUND(CB19/FB_Kurs_12,2),0)</f>
      </c>
      <c r="CD19" s="115" t="str">
        <f>=IFERROR(CB19 + SUMIFS($BW$19:$BW$26, $BT$19:$BT$26, CA19), CB19)</f>
      </c>
      <c r="CE19" s="143" t="str">
        <f>=IFERROR(CC19 + SUMIFS($BX$19:$BX$26, $BT$19:$BT$26, CA19), CC19)</f>
      </c>
      <c r="CH19" s="148" t="str">
        <f>=IFERROR(INDEX(Budget_ID_Liste, ROW() - 18), "")</f>
      </c>
      <c r="CI19" s="24"/>
      <c r="CJ19" s="116" t="str">
        <f>=IFERROR(ROUND(CI19/FB_Kurs_13,2),0)</f>
      </c>
      <c r="CK19" s="115" t="str">
        <f>=IFERROR(CI19 + SUMIFS($CD$19:$CD$26, $CA$19:$CA$26, CH19), CI19)</f>
      </c>
      <c r="CL19" s="143" t="str">
        <f>=IFERROR(CJ19 + SUMIFS($CE$19:$CE$26, $CA$19:$CA$26, CH19), CJ19)</f>
      </c>
      <c r="CO19" s="148" t="str">
        <f>=IFERROR(INDEX(Budget_ID_Liste, ROW() - 18), "")</f>
      </c>
      <c r="CP19" s="24"/>
      <c r="CQ19" s="116" t="str">
        <f>=IFERROR(ROUND(CP19/FB_Kurs_14,2),0)</f>
      </c>
      <c r="CR19" s="115" t="str">
        <f>=IFERROR(CP19 + SUMIFS($CK$19:$CK$26, $CH$19:$CH$26, CO19), CP19)</f>
      </c>
      <c r="CS19" s="143" t="str">
        <f>=IFERROR(CQ19 + SUMIFS($CL$19:$CL$26, $CH$19:$CH$26, CO19), CQ19)</f>
      </c>
      <c r="CV19" s="148" t="str">
        <f>=IFERROR(INDEX(Budget_ID_Liste, ROW() - 18), "")</f>
      </c>
      <c r="CW19" s="24"/>
      <c r="CX19" s="116" t="str">
        <f>=IFERROR(ROUND(CW19/FB_Kurs_15,2),0)</f>
      </c>
      <c r="CY19" s="115" t="str">
        <f>=IFERROR(CW19 + SUMIFS($CR$19:$CR$26, $CO$19:$CO$26, CV19), CW19)</f>
      </c>
      <c r="CZ19" s="143" t="str">
        <f>=IFERROR(CX19 + SUMIFS($CS$19:$CS$26, $CO$19:$CO$26, CV19), CX19)</f>
      </c>
      <c r="DC19" s="148" t="str">
        <f>=IFERROR(INDEX(Budget_ID_Liste, ROW() - 18), "")</f>
      </c>
      <c r="DD19" s="24"/>
      <c r="DE19" s="116" t="str">
        <f>=IFERROR(ROUND(DD19/FB_Kurs_16,2),0)</f>
      </c>
      <c r="DF19" s="115" t="str">
        <f>=IFERROR(DD19 + SUMIFS($CY$19:$CY$26, $CV$19:$CV$26, DC19), DD19)</f>
      </c>
      <c r="DG19" s="143" t="str">
        <f>=IFERROR(DE19 + SUMIFS($CZ$19:$CZ$26, $CV$19:$CV$26, DC19), DE19)</f>
      </c>
      <c r="DJ19" s="148" t="str">
        <f>=IFERROR(INDEX(Budget_ID_Liste, ROW() - 18), "")</f>
      </c>
      <c r="DK19" s="24"/>
      <c r="DL19" s="116" t="str">
        <f>=IFERROR(ROUND(DK19/FB_Kurs_17,2),0)</f>
      </c>
      <c r="DM19" s="115" t="str">
        <f>=IFERROR(DK19 + SUMIFS($DF$19:$DF$26, $DC$19:$DC$26, DJ19), DK19)</f>
      </c>
      <c r="DN19" s="143" t="str">
        <f>=IFERROR(DL19 + SUMIFS($DG$19:$DG$26, $DC$19:$DC$26, DJ19), DL19)</f>
      </c>
      <c r="DQ19" s="148" t="str">
        <f>=IFERROR(INDEX(Budget_ID_Liste, ROW() - 18), "")</f>
      </c>
      <c r="DR19" s="24"/>
      <c r="DS19" s="116" t="str">
        <f>=IFERROR(ROUND(DR19/FB_Kurs_18,2),0)</f>
      </c>
      <c r="DT19" s="115" t="str">
        <f>=IFERROR(DR19 + SUMIFS($DM$19:$DM$26, $DJ$19:$DJ$26, DQ19), DR19)</f>
      </c>
      <c r="DU19" s="143" t="str">
        <f>=IFERROR(DS19 + SUMIFS($DN$19:$DN$26, $DJ$19:$DJ$26, DQ19), DS19)</f>
      </c>
    </row>
    <row r="20">
      <c r="B20" s="148" t="str">
        <f>=IFERROR(INDEX(Budget_ID_Liste, ROW() - 18), "")</f>
      </c>
      <c r="C20" s="24"/>
      <c r="D20" s="116" t="str">
        <f>=IFERROR(ROUND(C20/FB_Kurs_1,2),0)</f>
      </c>
      <c r="E20" s="115" t="str">
        <f>=IFERROR(C20, 0)</f>
      </c>
      <c r="F20" s="143" t="str">
        <f>=IFERROR(D20, 0)</f>
      </c>
      <c r="I20" s="148" t="str">
        <f>=IFERROR(INDEX(Budget_ID_Liste, ROW() - 18), "")</f>
      </c>
      <c r="J20" s="24"/>
      <c r="K20" s="116" t="str">
        <f>=IFERROR(ROUND(J20/FB_Kurs_2,2),0)</f>
      </c>
      <c r="L20" s="115" t="str">
        <f>=IFERROR(J20 + SUMIFS($E$19:$E$26, $B$19:$B$26, I20), J20)</f>
      </c>
      <c r="M20" s="143" t="str">
        <f>=IFERROR(K20 + SUMIFS($F$19:$F$26, $B$19:$B$26, I20), K20)</f>
      </c>
      <c r="P20" s="148" t="str">
        <f>=IFERROR(INDEX(Budget_ID_Liste, ROW() - 18), "")</f>
      </c>
      <c r="Q20" s="24"/>
      <c r="R20" s="116" t="str">
        <f>=IFERROR(ROUND(Q20/FB_Kurs_3,2),0)</f>
      </c>
      <c r="S20" s="115" t="str">
        <f>=IFERROR(Q20 + SUMIFS($L$19:$L$26, $I$19:$I$26, P20), Q20)</f>
      </c>
      <c r="T20" s="143" t="str">
        <f>=IFERROR(R20 + SUMIFS($M$19:$M$26, $I$19:$I$26, P20), R20)</f>
      </c>
      <c r="W20" s="148" t="str">
        <f>=IFERROR(INDEX(Budget_ID_Liste, ROW() - 18), "")</f>
      </c>
      <c r="X20" s="24"/>
      <c r="Y20" s="116" t="str">
        <f>=IFERROR(ROUND(X20/FB_Kurs_4,2),0)</f>
      </c>
      <c r="Z20" s="115" t="str">
        <f>=IFERROR(X20 + SUMIFS($S$19:$S$26, $P$19:$P$26, W20), X20)</f>
      </c>
      <c r="AA20" s="143" t="str">
        <f>=IFERROR(Y20 + SUMIFS($T$19:$T$26, $P$19:$P$26, W20), Y20)</f>
      </c>
      <c r="AD20" s="148" t="str">
        <f>=IFERROR(INDEX(Budget_ID_Liste, ROW() - 18), "")</f>
      </c>
      <c r="AE20" s="24"/>
      <c r="AF20" s="116" t="str">
        <f>=IFERROR(ROUND(AE20/FB_Kurs_5,2),0)</f>
      </c>
      <c r="AG20" s="115" t="str">
        <f>=IFERROR(AE20 + SUMIFS($Z$19:$Z$26, $W$19:$W$26, AD20), AE20)</f>
      </c>
      <c r="AH20" s="143" t="str">
        <f>=IFERROR(AF20 + SUMIFS($AA$19:$AA$26, $W$19:$W$26, AD20), AF20)</f>
      </c>
      <c r="AK20" s="148" t="str">
        <f>=IFERROR(INDEX(Budget_ID_Liste, ROW() - 18), "")</f>
      </c>
      <c r="AL20" s="24"/>
      <c r="AM20" s="116" t="str">
        <f>=IFERROR(ROUND(AL20/FB_Kurs_6,2),0)</f>
      </c>
      <c r="AN20" s="115" t="str">
        <f>=IFERROR(AL20 + SUMIFS($AG$19:$AG$26, $AD$19:$AD$26, AK20), AL20)</f>
      </c>
      <c r="AO20" s="143" t="str">
        <f>=IFERROR(AM20 + SUMIFS($AH$19:$AH$26, $AD$19:$AD$26, AK20), AM20)</f>
      </c>
      <c r="AR20" s="148" t="str">
        <f>=IFERROR(INDEX(Budget_ID_Liste, ROW() - 18), "")</f>
      </c>
      <c r="AS20" s="24"/>
      <c r="AT20" s="116" t="str">
        <f>=IFERROR(ROUND(AS20/FB_Kurs_7,2),0)</f>
      </c>
      <c r="AU20" s="115" t="str">
        <f>=IFERROR(AS20 + SUMIFS($AN$19:$AN$26, $AK$19:$AK$26, AR20), AS20)</f>
      </c>
      <c r="AV20" s="143" t="str">
        <f>=IFERROR(AT20 + SUMIFS($AO$19:$AO$26, $AK$19:$AK$26, AR20), AT20)</f>
      </c>
      <c r="AY20" s="148" t="str">
        <f>=IFERROR(INDEX(Budget_ID_Liste, ROW() - 18), "")</f>
      </c>
      <c r="AZ20" s="24"/>
      <c r="BA20" s="116" t="str">
        <f>=IFERROR(ROUND(AZ20/FB_Kurs_8,2),0)</f>
      </c>
      <c r="BB20" s="115" t="str">
        <f>=IFERROR(AZ20 + SUMIFS($AU$19:$AU$26, $AR$19:$AR$26, AY20), AZ20)</f>
      </c>
      <c r="BC20" s="143" t="str">
        <f>=IFERROR(BA20 + SUMIFS($AV$19:$AV$26, $AR$19:$AR$26, AY20), BA20)</f>
      </c>
      <c r="BF20" s="148" t="str">
        <f>=IFERROR(INDEX(Budget_ID_Liste, ROW() - 18), "")</f>
      </c>
      <c r="BG20" s="24"/>
      <c r="BH20" s="116" t="str">
        <f>=IFERROR(ROUND(BG20/FB_Kurs_9,2),0)</f>
      </c>
      <c r="BI20" s="115" t="str">
        <f>=IFERROR(BG20 + SUMIFS($BB$19:$BB$26, $AY$19:$AY$26, BF20), BG20)</f>
      </c>
      <c r="BJ20" s="143" t="str">
        <f>=IFERROR(BH20 + SUMIFS($BC$19:$BC$26, $AY$19:$AY$26, BF20), BH20)</f>
      </c>
      <c r="BM20" s="148" t="str">
        <f>=IFERROR(INDEX(Budget_ID_Liste, ROW() - 18), "")</f>
      </c>
      <c r="BN20" s="24"/>
      <c r="BO20" s="116" t="str">
        <f>=IFERROR(ROUND(BN20/FB_Kurs_10,2),0)</f>
      </c>
      <c r="BP20" s="115" t="str">
        <f>=IFERROR(BN20 + SUMIFS($BI$19:$BI$26, $BF$19:$BF$26, BM20), BN20)</f>
      </c>
      <c r="BQ20" s="143" t="str">
        <f>=IFERROR(BO20 + SUMIFS($BJ$19:$BJ$26, $BF$19:$BF$26, BM20), BO20)</f>
      </c>
      <c r="BT20" s="148" t="str">
        <f>=IFERROR(INDEX(Budget_ID_Liste, ROW() - 18), "")</f>
      </c>
      <c r="BU20" s="24"/>
      <c r="BV20" s="116" t="str">
        <f>=IFERROR(ROUND(BU20/FB_Kurs_11,2),0)</f>
      </c>
      <c r="BW20" s="115" t="str">
        <f>=IFERROR(BU20 + SUMIFS($BP$19:$BP$26, $BM$19:$BM$26, BT20), BU20)</f>
      </c>
      <c r="BX20" s="143" t="str">
        <f>=IFERROR(BV20 + SUMIFS($BQ$19:$BQ$26, $BM$19:$BM$26, BT20), BV20)</f>
      </c>
      <c r="CA20" s="148" t="str">
        <f>=IFERROR(INDEX(Budget_ID_Liste, ROW() - 18), "")</f>
      </c>
      <c r="CB20" s="24"/>
      <c r="CC20" s="116" t="str">
        <f>=IFERROR(ROUND(CB20/FB_Kurs_12,2),0)</f>
      </c>
      <c r="CD20" s="115" t="str">
        <f>=IFERROR(CB20 + SUMIFS($BW$19:$BW$26, $BT$19:$BT$26, CA20), CB20)</f>
      </c>
      <c r="CE20" s="143" t="str">
        <f>=IFERROR(CC20 + SUMIFS($BX$19:$BX$26, $BT$19:$BT$26, CA20), CC20)</f>
      </c>
      <c r="CH20" s="148" t="str">
        <f>=IFERROR(INDEX(Budget_ID_Liste, ROW() - 18), "")</f>
      </c>
      <c r="CI20" s="24"/>
      <c r="CJ20" s="116" t="str">
        <f>=IFERROR(ROUND(CI20/FB_Kurs_13,2),0)</f>
      </c>
      <c r="CK20" s="115" t="str">
        <f>=IFERROR(CI20 + SUMIFS($CD$19:$CD$26, $CA$19:$CA$26, CH20), CI20)</f>
      </c>
      <c r="CL20" s="143" t="str">
        <f>=IFERROR(CJ20 + SUMIFS($CE$19:$CE$26, $CA$19:$CA$26, CH20), CJ20)</f>
      </c>
      <c r="CO20" s="148" t="str">
        <f>=IFERROR(INDEX(Budget_ID_Liste, ROW() - 18), "")</f>
      </c>
      <c r="CP20" s="24"/>
      <c r="CQ20" s="116" t="str">
        <f>=IFERROR(ROUND(CP20/FB_Kurs_14,2),0)</f>
      </c>
      <c r="CR20" s="115" t="str">
        <f>=IFERROR(CP20 + SUMIFS($CK$19:$CK$26, $CH$19:$CH$26, CO20), CP20)</f>
      </c>
      <c r="CS20" s="143" t="str">
        <f>=IFERROR(CQ20 + SUMIFS($CL$19:$CL$26, $CH$19:$CH$26, CO20), CQ20)</f>
      </c>
      <c r="CV20" s="148" t="str">
        <f>=IFERROR(INDEX(Budget_ID_Liste, ROW() - 18), "")</f>
      </c>
      <c r="CW20" s="24"/>
      <c r="CX20" s="116" t="str">
        <f>=IFERROR(ROUND(CW20/FB_Kurs_15,2),0)</f>
      </c>
      <c r="CY20" s="115" t="str">
        <f>=IFERROR(CW20 + SUMIFS($CR$19:$CR$26, $CO$19:$CO$26, CV20), CW20)</f>
      </c>
      <c r="CZ20" s="143" t="str">
        <f>=IFERROR(CX20 + SUMIFS($CS$19:$CS$26, $CO$19:$CO$26, CV20), CX20)</f>
      </c>
      <c r="DC20" s="148" t="str">
        <f>=IFERROR(INDEX(Budget_ID_Liste, ROW() - 18), "")</f>
      </c>
      <c r="DD20" s="24"/>
      <c r="DE20" s="116" t="str">
        <f>=IFERROR(ROUND(DD20/FB_Kurs_16,2),0)</f>
      </c>
      <c r="DF20" s="115" t="str">
        <f>=IFERROR(DD20 + SUMIFS($CY$19:$CY$26, $CV$19:$CV$26, DC20), DD20)</f>
      </c>
      <c r="DG20" s="143" t="str">
        <f>=IFERROR(DE20 + SUMIFS($CZ$19:$CZ$26, $CV$19:$CV$26, DC20), DE20)</f>
      </c>
      <c r="DJ20" s="148" t="str">
        <f>=IFERROR(INDEX(Budget_ID_Liste, ROW() - 18), "")</f>
      </c>
      <c r="DK20" s="24"/>
      <c r="DL20" s="116" t="str">
        <f>=IFERROR(ROUND(DK20/FB_Kurs_17,2),0)</f>
      </c>
      <c r="DM20" s="115" t="str">
        <f>=IFERROR(DK20 + SUMIFS($DF$19:$DF$26, $DC$19:$DC$26, DJ20), DK20)</f>
      </c>
      <c r="DN20" s="143" t="str">
        <f>=IFERROR(DL20 + SUMIFS($DG$19:$DG$26, $DC$19:$DC$26, DJ20), DL20)</f>
      </c>
      <c r="DQ20" s="148" t="str">
        <f>=IFERROR(INDEX(Budget_ID_Liste, ROW() - 18), "")</f>
      </c>
      <c r="DR20" s="24"/>
      <c r="DS20" s="116" t="str">
        <f>=IFERROR(ROUND(DR20/FB_Kurs_18,2),0)</f>
      </c>
      <c r="DT20" s="115" t="str">
        <f>=IFERROR(DR20 + SUMIFS($DM$19:$DM$26, $DJ$19:$DJ$26, DQ20), DR20)</f>
      </c>
      <c r="DU20" s="143" t="str">
        <f>=IFERROR(DS20 + SUMIFS($DN$19:$DN$26, $DJ$19:$DJ$26, DQ20), DS20)</f>
      </c>
    </row>
    <row r="21">
      <c r="B21" s="148" t="str">
        <f>=IFERROR(INDEX(Budget_ID_Liste, ROW() - 18), "")</f>
      </c>
      <c r="C21" s="24"/>
      <c r="D21" s="116" t="str">
        <f>=IFERROR(ROUND(C21/FB_Kurs_1,2),0)</f>
      </c>
      <c r="E21" s="115" t="str">
        <f>=IFERROR(C21, 0)</f>
      </c>
      <c r="F21" s="143" t="str">
        <f>=IFERROR(D21, 0)</f>
      </c>
      <c r="I21" s="148" t="str">
        <f>=IFERROR(INDEX(Budget_ID_Liste, ROW() - 18), "")</f>
      </c>
      <c r="J21" s="24"/>
      <c r="K21" s="116" t="str">
        <f>=IFERROR(ROUND(J21/FB_Kurs_2,2),0)</f>
      </c>
      <c r="L21" s="115" t="str">
        <f>=IFERROR(J21 + SUMIFS($E$19:$E$26, $B$19:$B$26, I21), J21)</f>
      </c>
      <c r="M21" s="143" t="str">
        <f>=IFERROR(K21 + SUMIFS($F$19:$F$26, $B$19:$B$26, I21), K21)</f>
      </c>
      <c r="P21" s="148" t="str">
        <f>=IFERROR(INDEX(Budget_ID_Liste, ROW() - 18), "")</f>
      </c>
      <c r="Q21" s="24"/>
      <c r="R21" s="116" t="str">
        <f>=IFERROR(ROUND(Q21/FB_Kurs_3,2),0)</f>
      </c>
      <c r="S21" s="115" t="str">
        <f>=IFERROR(Q21 + SUMIFS($L$19:$L$26, $I$19:$I$26, P21), Q21)</f>
      </c>
      <c r="T21" s="143" t="str">
        <f>=IFERROR(R21 + SUMIFS($M$19:$M$26, $I$19:$I$26, P21), R21)</f>
      </c>
      <c r="W21" s="148" t="str">
        <f>=IFERROR(INDEX(Budget_ID_Liste, ROW() - 18), "")</f>
      </c>
      <c r="X21" s="24"/>
      <c r="Y21" s="116" t="str">
        <f>=IFERROR(ROUND(X21/FB_Kurs_4,2),0)</f>
      </c>
      <c r="Z21" s="115" t="str">
        <f>=IFERROR(X21 + SUMIFS($S$19:$S$26, $P$19:$P$26, W21), X21)</f>
      </c>
      <c r="AA21" s="143" t="str">
        <f>=IFERROR(Y21 + SUMIFS($T$19:$T$26, $P$19:$P$26, W21), Y21)</f>
      </c>
      <c r="AD21" s="148" t="str">
        <f>=IFERROR(INDEX(Budget_ID_Liste, ROW() - 18), "")</f>
      </c>
      <c r="AE21" s="24"/>
      <c r="AF21" s="116" t="str">
        <f>=IFERROR(ROUND(AE21/FB_Kurs_5,2),0)</f>
      </c>
      <c r="AG21" s="115" t="str">
        <f>=IFERROR(AE21 + SUMIFS($Z$19:$Z$26, $W$19:$W$26, AD21), AE21)</f>
      </c>
      <c r="AH21" s="143" t="str">
        <f>=IFERROR(AF21 + SUMIFS($AA$19:$AA$26, $W$19:$W$26, AD21), AF21)</f>
      </c>
      <c r="AK21" s="148" t="str">
        <f>=IFERROR(INDEX(Budget_ID_Liste, ROW() - 18), "")</f>
      </c>
      <c r="AL21" s="24"/>
      <c r="AM21" s="116" t="str">
        <f>=IFERROR(ROUND(AL21/FB_Kurs_6,2),0)</f>
      </c>
      <c r="AN21" s="115" t="str">
        <f>=IFERROR(AL21 + SUMIFS($AG$19:$AG$26, $AD$19:$AD$26, AK21), AL21)</f>
      </c>
      <c r="AO21" s="143" t="str">
        <f>=IFERROR(AM21 + SUMIFS($AH$19:$AH$26, $AD$19:$AD$26, AK21), AM21)</f>
      </c>
      <c r="AR21" s="148" t="str">
        <f>=IFERROR(INDEX(Budget_ID_Liste, ROW() - 18), "")</f>
      </c>
      <c r="AS21" s="24"/>
      <c r="AT21" s="116" t="str">
        <f>=IFERROR(ROUND(AS21/FB_Kurs_7,2),0)</f>
      </c>
      <c r="AU21" s="115" t="str">
        <f>=IFERROR(AS21 + SUMIFS($AN$19:$AN$26, $AK$19:$AK$26, AR21), AS21)</f>
      </c>
      <c r="AV21" s="143" t="str">
        <f>=IFERROR(AT21 + SUMIFS($AO$19:$AO$26, $AK$19:$AK$26, AR21), AT21)</f>
      </c>
      <c r="AY21" s="148" t="str">
        <f>=IFERROR(INDEX(Budget_ID_Liste, ROW() - 18), "")</f>
      </c>
      <c r="AZ21" s="24"/>
      <c r="BA21" s="116" t="str">
        <f>=IFERROR(ROUND(AZ21/FB_Kurs_8,2),0)</f>
      </c>
      <c r="BB21" s="115" t="str">
        <f>=IFERROR(AZ21 + SUMIFS($AU$19:$AU$26, $AR$19:$AR$26, AY21), AZ21)</f>
      </c>
      <c r="BC21" s="143" t="str">
        <f>=IFERROR(BA21 + SUMIFS($AV$19:$AV$26, $AR$19:$AR$26, AY21), BA21)</f>
      </c>
      <c r="BF21" s="148" t="str">
        <f>=IFERROR(INDEX(Budget_ID_Liste, ROW() - 18), "")</f>
      </c>
      <c r="BG21" s="24"/>
      <c r="BH21" s="116" t="str">
        <f>=IFERROR(ROUND(BG21/FB_Kurs_9,2),0)</f>
      </c>
      <c r="BI21" s="115" t="str">
        <f>=IFERROR(BG21 + SUMIFS($BB$19:$BB$26, $AY$19:$AY$26, BF21), BG21)</f>
      </c>
      <c r="BJ21" s="143" t="str">
        <f>=IFERROR(BH21 + SUMIFS($BC$19:$BC$26, $AY$19:$AY$26, BF21), BH21)</f>
      </c>
      <c r="BM21" s="148" t="str">
        <f>=IFERROR(INDEX(Budget_ID_Liste, ROW() - 18), "")</f>
      </c>
      <c r="BN21" s="24"/>
      <c r="BO21" s="116" t="str">
        <f>=IFERROR(ROUND(BN21/FB_Kurs_10,2),0)</f>
      </c>
      <c r="BP21" s="115" t="str">
        <f>=IFERROR(BN21 + SUMIFS($BI$19:$BI$26, $BF$19:$BF$26, BM21), BN21)</f>
      </c>
      <c r="BQ21" s="143" t="str">
        <f>=IFERROR(BO21 + SUMIFS($BJ$19:$BJ$26, $BF$19:$BF$26, BM21), BO21)</f>
      </c>
      <c r="BT21" s="148" t="str">
        <f>=IFERROR(INDEX(Budget_ID_Liste, ROW() - 18), "")</f>
      </c>
      <c r="BU21" s="24"/>
      <c r="BV21" s="116" t="str">
        <f>=IFERROR(ROUND(BU21/FB_Kurs_11,2),0)</f>
      </c>
      <c r="BW21" s="115" t="str">
        <f>=IFERROR(BU21 + SUMIFS($BP$19:$BP$26, $BM$19:$BM$26, BT21), BU21)</f>
      </c>
      <c r="BX21" s="143" t="str">
        <f>=IFERROR(BV21 + SUMIFS($BQ$19:$BQ$26, $BM$19:$BM$26, BT21), BV21)</f>
      </c>
      <c r="CA21" s="148" t="str">
        <f>=IFERROR(INDEX(Budget_ID_Liste, ROW() - 18), "")</f>
      </c>
      <c r="CB21" s="24"/>
      <c r="CC21" s="116" t="str">
        <f>=IFERROR(ROUND(CB21/FB_Kurs_12,2),0)</f>
      </c>
      <c r="CD21" s="115" t="str">
        <f>=IFERROR(CB21 + SUMIFS($BW$19:$BW$26, $BT$19:$BT$26, CA21), CB21)</f>
      </c>
      <c r="CE21" s="143" t="str">
        <f>=IFERROR(CC21 + SUMIFS($BX$19:$BX$26, $BT$19:$BT$26, CA21), CC21)</f>
      </c>
      <c r="CH21" s="148" t="str">
        <f>=IFERROR(INDEX(Budget_ID_Liste, ROW() - 18), "")</f>
      </c>
      <c r="CI21" s="24"/>
      <c r="CJ21" s="116" t="str">
        <f>=IFERROR(ROUND(CI21/FB_Kurs_13,2),0)</f>
      </c>
      <c r="CK21" s="115" t="str">
        <f>=IFERROR(CI21 + SUMIFS($CD$19:$CD$26, $CA$19:$CA$26, CH21), CI21)</f>
      </c>
      <c r="CL21" s="143" t="str">
        <f>=IFERROR(CJ21 + SUMIFS($CE$19:$CE$26, $CA$19:$CA$26, CH21), CJ21)</f>
      </c>
      <c r="CO21" s="148" t="str">
        <f>=IFERROR(INDEX(Budget_ID_Liste, ROW() - 18), "")</f>
      </c>
      <c r="CP21" s="24"/>
      <c r="CQ21" s="116" t="str">
        <f>=IFERROR(ROUND(CP21/FB_Kurs_14,2),0)</f>
      </c>
      <c r="CR21" s="115" t="str">
        <f>=IFERROR(CP21 + SUMIFS($CK$19:$CK$26, $CH$19:$CH$26, CO21), CP21)</f>
      </c>
      <c r="CS21" s="143" t="str">
        <f>=IFERROR(CQ21 + SUMIFS($CL$19:$CL$26, $CH$19:$CH$26, CO21), CQ21)</f>
      </c>
      <c r="CV21" s="148" t="str">
        <f>=IFERROR(INDEX(Budget_ID_Liste, ROW() - 18), "")</f>
      </c>
      <c r="CW21" s="24"/>
      <c r="CX21" s="116" t="str">
        <f>=IFERROR(ROUND(CW21/FB_Kurs_15,2),0)</f>
      </c>
      <c r="CY21" s="115" t="str">
        <f>=IFERROR(CW21 + SUMIFS($CR$19:$CR$26, $CO$19:$CO$26, CV21), CW21)</f>
      </c>
      <c r="CZ21" s="143" t="str">
        <f>=IFERROR(CX21 + SUMIFS($CS$19:$CS$26, $CO$19:$CO$26, CV21), CX21)</f>
      </c>
      <c r="DC21" s="148" t="str">
        <f>=IFERROR(INDEX(Budget_ID_Liste, ROW() - 18), "")</f>
      </c>
      <c r="DD21" s="24"/>
      <c r="DE21" s="116" t="str">
        <f>=IFERROR(ROUND(DD21/FB_Kurs_16,2),0)</f>
      </c>
      <c r="DF21" s="115" t="str">
        <f>=IFERROR(DD21 + SUMIFS($CY$19:$CY$26, $CV$19:$CV$26, DC21), DD21)</f>
      </c>
      <c r="DG21" s="143" t="str">
        <f>=IFERROR(DE21 + SUMIFS($CZ$19:$CZ$26, $CV$19:$CV$26, DC21), DE21)</f>
      </c>
      <c r="DJ21" s="148" t="str">
        <f>=IFERROR(INDEX(Budget_ID_Liste, ROW() - 18), "")</f>
      </c>
      <c r="DK21" s="24"/>
      <c r="DL21" s="116" t="str">
        <f>=IFERROR(ROUND(DK21/FB_Kurs_17,2),0)</f>
      </c>
      <c r="DM21" s="115" t="str">
        <f>=IFERROR(DK21 + SUMIFS($DF$19:$DF$26, $DC$19:$DC$26, DJ21), DK21)</f>
      </c>
      <c r="DN21" s="143" t="str">
        <f>=IFERROR(DL21 + SUMIFS($DG$19:$DG$26, $DC$19:$DC$26, DJ21), DL21)</f>
      </c>
      <c r="DQ21" s="148" t="str">
        <f>=IFERROR(INDEX(Budget_ID_Liste, ROW() - 18), "")</f>
      </c>
      <c r="DR21" s="24"/>
      <c r="DS21" s="116" t="str">
        <f>=IFERROR(ROUND(DR21/FB_Kurs_18,2),0)</f>
      </c>
      <c r="DT21" s="115" t="str">
        <f>=IFERROR(DR21 + SUMIFS($DM$19:$DM$26, $DJ$19:$DJ$26, DQ21), DR21)</f>
      </c>
      <c r="DU21" s="143" t="str">
        <f>=IFERROR(DS21 + SUMIFS($DN$19:$DN$26, $DJ$19:$DJ$26, DQ21), DS21)</f>
      </c>
    </row>
    <row r="22">
      <c r="B22" s="148" t="str">
        <f>=IFERROR(INDEX(Budget_ID_Liste, ROW() - 18), "")</f>
      </c>
      <c r="C22" s="24"/>
      <c r="D22" s="116" t="str">
        <f>=IFERROR(ROUND(C22/FB_Kurs_1,2),0)</f>
      </c>
      <c r="E22" s="115" t="str">
        <f>=IFERROR(C22, 0)</f>
      </c>
      <c r="F22" s="143" t="str">
        <f>=IFERROR(D22, 0)</f>
      </c>
      <c r="I22" s="148" t="str">
        <f>=IFERROR(INDEX(Budget_ID_Liste, ROW() - 18), "")</f>
      </c>
      <c r="J22" s="24"/>
      <c r="K22" s="116" t="str">
        <f>=IFERROR(ROUND(J22/FB_Kurs_2,2),0)</f>
      </c>
      <c r="L22" s="115" t="str">
        <f>=IFERROR(J22 + SUMIFS($E$19:$E$26, $B$19:$B$26, I22), J22)</f>
      </c>
      <c r="M22" s="143" t="str">
        <f>=IFERROR(K22 + SUMIFS($F$19:$F$26, $B$19:$B$26, I22), K22)</f>
      </c>
      <c r="P22" s="148" t="str">
        <f>=IFERROR(INDEX(Budget_ID_Liste, ROW() - 18), "")</f>
      </c>
      <c r="Q22" s="24"/>
      <c r="R22" s="116" t="str">
        <f>=IFERROR(ROUND(Q22/FB_Kurs_3,2),0)</f>
      </c>
      <c r="S22" s="115" t="str">
        <f>=IFERROR(Q22 + SUMIFS($L$19:$L$26, $I$19:$I$26, P22), Q22)</f>
      </c>
      <c r="T22" s="143" t="str">
        <f>=IFERROR(R22 + SUMIFS($M$19:$M$26, $I$19:$I$26, P22), R22)</f>
      </c>
      <c r="W22" s="148" t="str">
        <f>=IFERROR(INDEX(Budget_ID_Liste, ROW() - 18), "")</f>
      </c>
      <c r="X22" s="24"/>
      <c r="Y22" s="116" t="str">
        <f>=IFERROR(ROUND(X22/FB_Kurs_4,2),0)</f>
      </c>
      <c r="Z22" s="115" t="str">
        <f>=IFERROR(X22 + SUMIFS($S$19:$S$26, $P$19:$P$26, W22), X22)</f>
      </c>
      <c r="AA22" s="143" t="str">
        <f>=IFERROR(Y22 + SUMIFS($T$19:$T$26, $P$19:$P$26, W22), Y22)</f>
      </c>
      <c r="AD22" s="148" t="str">
        <f>=IFERROR(INDEX(Budget_ID_Liste, ROW() - 18), "")</f>
      </c>
      <c r="AE22" s="24"/>
      <c r="AF22" s="116" t="str">
        <f>=IFERROR(ROUND(AE22/FB_Kurs_5,2),0)</f>
      </c>
      <c r="AG22" s="115" t="str">
        <f>=IFERROR(AE22 + SUMIFS($Z$19:$Z$26, $W$19:$W$26, AD22), AE22)</f>
      </c>
      <c r="AH22" s="143" t="str">
        <f>=IFERROR(AF22 + SUMIFS($AA$19:$AA$26, $W$19:$W$26, AD22), AF22)</f>
      </c>
      <c r="AK22" s="148" t="str">
        <f>=IFERROR(INDEX(Budget_ID_Liste, ROW() - 18), "")</f>
      </c>
      <c r="AL22" s="24"/>
      <c r="AM22" s="116" t="str">
        <f>=IFERROR(ROUND(AL22/FB_Kurs_6,2),0)</f>
      </c>
      <c r="AN22" s="115" t="str">
        <f>=IFERROR(AL22 + SUMIFS($AG$19:$AG$26, $AD$19:$AD$26, AK22), AL22)</f>
      </c>
      <c r="AO22" s="143" t="str">
        <f>=IFERROR(AM22 + SUMIFS($AH$19:$AH$26, $AD$19:$AD$26, AK22), AM22)</f>
      </c>
      <c r="AR22" s="148" t="str">
        <f>=IFERROR(INDEX(Budget_ID_Liste, ROW() - 18), "")</f>
      </c>
      <c r="AS22" s="24"/>
      <c r="AT22" s="116" t="str">
        <f>=IFERROR(ROUND(AS22/FB_Kurs_7,2),0)</f>
      </c>
      <c r="AU22" s="115" t="str">
        <f>=IFERROR(AS22 + SUMIFS($AN$19:$AN$26, $AK$19:$AK$26, AR22), AS22)</f>
      </c>
      <c r="AV22" s="143" t="str">
        <f>=IFERROR(AT22 + SUMIFS($AO$19:$AO$26, $AK$19:$AK$26, AR22), AT22)</f>
      </c>
      <c r="AY22" s="148" t="str">
        <f>=IFERROR(INDEX(Budget_ID_Liste, ROW() - 18), "")</f>
      </c>
      <c r="AZ22" s="24"/>
      <c r="BA22" s="116" t="str">
        <f>=IFERROR(ROUND(AZ22/FB_Kurs_8,2),0)</f>
      </c>
      <c r="BB22" s="115" t="str">
        <f>=IFERROR(AZ22 + SUMIFS($AU$19:$AU$26, $AR$19:$AR$26, AY22), AZ22)</f>
      </c>
      <c r="BC22" s="143" t="str">
        <f>=IFERROR(BA22 + SUMIFS($AV$19:$AV$26, $AR$19:$AR$26, AY22), BA22)</f>
      </c>
      <c r="BF22" s="148" t="str">
        <f>=IFERROR(INDEX(Budget_ID_Liste, ROW() - 18), "")</f>
      </c>
      <c r="BG22" s="24"/>
      <c r="BH22" s="116" t="str">
        <f>=IFERROR(ROUND(BG22/FB_Kurs_9,2),0)</f>
      </c>
      <c r="BI22" s="115" t="str">
        <f>=IFERROR(BG22 + SUMIFS($BB$19:$BB$26, $AY$19:$AY$26, BF22), BG22)</f>
      </c>
      <c r="BJ22" s="143" t="str">
        <f>=IFERROR(BH22 + SUMIFS($BC$19:$BC$26, $AY$19:$AY$26, BF22), BH22)</f>
      </c>
      <c r="BM22" s="148" t="str">
        <f>=IFERROR(INDEX(Budget_ID_Liste, ROW() - 18), "")</f>
      </c>
      <c r="BN22" s="24"/>
      <c r="BO22" s="116" t="str">
        <f>=IFERROR(ROUND(BN22/FB_Kurs_10,2),0)</f>
      </c>
      <c r="BP22" s="115" t="str">
        <f>=IFERROR(BN22 + SUMIFS($BI$19:$BI$26, $BF$19:$BF$26, BM22), BN22)</f>
      </c>
      <c r="BQ22" s="143" t="str">
        <f>=IFERROR(BO22 + SUMIFS($BJ$19:$BJ$26, $BF$19:$BF$26, BM22), BO22)</f>
      </c>
      <c r="BT22" s="148" t="str">
        <f>=IFERROR(INDEX(Budget_ID_Liste, ROW() - 18), "")</f>
      </c>
      <c r="BU22" s="24"/>
      <c r="BV22" s="116" t="str">
        <f>=IFERROR(ROUND(BU22/FB_Kurs_11,2),0)</f>
      </c>
      <c r="BW22" s="115" t="str">
        <f>=IFERROR(BU22 + SUMIFS($BP$19:$BP$26, $BM$19:$BM$26, BT22), BU22)</f>
      </c>
      <c r="BX22" s="143" t="str">
        <f>=IFERROR(BV22 + SUMIFS($BQ$19:$BQ$26, $BM$19:$BM$26, BT22), BV22)</f>
      </c>
      <c r="CA22" s="148" t="str">
        <f>=IFERROR(INDEX(Budget_ID_Liste, ROW() - 18), "")</f>
      </c>
      <c r="CB22" s="24"/>
      <c r="CC22" s="116" t="str">
        <f>=IFERROR(ROUND(CB22/FB_Kurs_12,2),0)</f>
      </c>
      <c r="CD22" s="115" t="str">
        <f>=IFERROR(CB22 + SUMIFS($BW$19:$BW$26, $BT$19:$BT$26, CA22), CB22)</f>
      </c>
      <c r="CE22" s="143" t="str">
        <f>=IFERROR(CC22 + SUMIFS($BX$19:$BX$26, $BT$19:$BT$26, CA22), CC22)</f>
      </c>
      <c r="CH22" s="148" t="str">
        <f>=IFERROR(INDEX(Budget_ID_Liste, ROW() - 18), "")</f>
      </c>
      <c r="CI22" s="24"/>
      <c r="CJ22" s="116" t="str">
        <f>=IFERROR(ROUND(CI22/FB_Kurs_13,2),0)</f>
      </c>
      <c r="CK22" s="115" t="str">
        <f>=IFERROR(CI22 + SUMIFS($CD$19:$CD$26, $CA$19:$CA$26, CH22), CI22)</f>
      </c>
      <c r="CL22" s="143" t="str">
        <f>=IFERROR(CJ22 + SUMIFS($CE$19:$CE$26, $CA$19:$CA$26, CH22), CJ22)</f>
      </c>
      <c r="CO22" s="148" t="str">
        <f>=IFERROR(INDEX(Budget_ID_Liste, ROW() - 18), "")</f>
      </c>
      <c r="CP22" s="24"/>
      <c r="CQ22" s="116" t="str">
        <f>=IFERROR(ROUND(CP22/FB_Kurs_14,2),0)</f>
      </c>
      <c r="CR22" s="115" t="str">
        <f>=IFERROR(CP22 + SUMIFS($CK$19:$CK$26, $CH$19:$CH$26, CO22), CP22)</f>
      </c>
      <c r="CS22" s="143" t="str">
        <f>=IFERROR(CQ22 + SUMIFS($CL$19:$CL$26, $CH$19:$CH$26, CO22), CQ22)</f>
      </c>
      <c r="CV22" s="148" t="str">
        <f>=IFERROR(INDEX(Budget_ID_Liste, ROW() - 18), "")</f>
      </c>
      <c r="CW22" s="24"/>
      <c r="CX22" s="116" t="str">
        <f>=IFERROR(ROUND(CW22/FB_Kurs_15,2),0)</f>
      </c>
      <c r="CY22" s="115" t="str">
        <f>=IFERROR(CW22 + SUMIFS($CR$19:$CR$26, $CO$19:$CO$26, CV22), CW22)</f>
      </c>
      <c r="CZ22" s="143" t="str">
        <f>=IFERROR(CX22 + SUMIFS($CS$19:$CS$26, $CO$19:$CO$26, CV22), CX22)</f>
      </c>
      <c r="DC22" s="148" t="str">
        <f>=IFERROR(INDEX(Budget_ID_Liste, ROW() - 18), "")</f>
      </c>
      <c r="DD22" s="24"/>
      <c r="DE22" s="116" t="str">
        <f>=IFERROR(ROUND(DD22/FB_Kurs_16,2),0)</f>
      </c>
      <c r="DF22" s="115" t="str">
        <f>=IFERROR(DD22 + SUMIFS($CY$19:$CY$26, $CV$19:$CV$26, DC22), DD22)</f>
      </c>
      <c r="DG22" s="143" t="str">
        <f>=IFERROR(DE22 + SUMIFS($CZ$19:$CZ$26, $CV$19:$CV$26, DC22), DE22)</f>
      </c>
      <c r="DJ22" s="148" t="str">
        <f>=IFERROR(INDEX(Budget_ID_Liste, ROW() - 18), "")</f>
      </c>
      <c r="DK22" s="24"/>
      <c r="DL22" s="116" t="str">
        <f>=IFERROR(ROUND(DK22/FB_Kurs_17,2),0)</f>
      </c>
      <c r="DM22" s="115" t="str">
        <f>=IFERROR(DK22 + SUMIFS($DF$19:$DF$26, $DC$19:$DC$26, DJ22), DK22)</f>
      </c>
      <c r="DN22" s="143" t="str">
        <f>=IFERROR(DL22 + SUMIFS($DG$19:$DG$26, $DC$19:$DC$26, DJ22), DL22)</f>
      </c>
      <c r="DQ22" s="148" t="str">
        <f>=IFERROR(INDEX(Budget_ID_Liste, ROW() - 18), "")</f>
      </c>
      <c r="DR22" s="24"/>
      <c r="DS22" s="116" t="str">
        <f>=IFERROR(ROUND(DR22/FB_Kurs_18,2),0)</f>
      </c>
      <c r="DT22" s="115" t="str">
        <f>=IFERROR(DR22 + SUMIFS($DM$19:$DM$26, $DJ$19:$DJ$26, DQ22), DR22)</f>
      </c>
      <c r="DU22" s="143" t="str">
        <f>=IFERROR(DS22 + SUMIFS($DN$19:$DN$26, $DJ$19:$DJ$26, DQ22), DS22)</f>
      </c>
    </row>
    <row r="23">
      <c r="B23" s="148" t="str">
        <f>=IFERROR(INDEX(Budget_ID_Liste, ROW() - 18), "")</f>
      </c>
      <c r="C23" s="24"/>
      <c r="D23" s="116" t="str">
        <f>=IFERROR(ROUND(C23/FB_Kurs_1,2),0)</f>
      </c>
      <c r="E23" s="115" t="str">
        <f>=IFERROR(C23, 0)</f>
      </c>
      <c r="F23" s="143" t="str">
        <f>=IFERROR(D23, 0)</f>
      </c>
      <c r="I23" s="148" t="str">
        <f>=IFERROR(INDEX(Budget_ID_Liste, ROW() - 18), "")</f>
      </c>
      <c r="J23" s="24"/>
      <c r="K23" s="116" t="str">
        <f>=IFERROR(ROUND(J23/FB_Kurs_2,2),0)</f>
      </c>
      <c r="L23" s="115" t="str">
        <f>=IFERROR(J23 + SUMIFS($E$19:$E$26, $B$19:$B$26, I23), J23)</f>
      </c>
      <c r="M23" s="143" t="str">
        <f>=IFERROR(K23 + SUMIFS($F$19:$F$26, $B$19:$B$26, I23), K23)</f>
      </c>
      <c r="P23" s="148" t="str">
        <f>=IFERROR(INDEX(Budget_ID_Liste, ROW() - 18), "")</f>
      </c>
      <c r="Q23" s="24"/>
      <c r="R23" s="116" t="str">
        <f>=IFERROR(ROUND(Q23/FB_Kurs_3,2),0)</f>
      </c>
      <c r="S23" s="115" t="str">
        <f>=IFERROR(Q23 + SUMIFS($L$19:$L$26, $I$19:$I$26, P23), Q23)</f>
      </c>
      <c r="T23" s="143" t="str">
        <f>=IFERROR(R23 + SUMIFS($M$19:$M$26, $I$19:$I$26, P23), R23)</f>
      </c>
      <c r="W23" s="148" t="str">
        <f>=IFERROR(INDEX(Budget_ID_Liste, ROW() - 18), "")</f>
      </c>
      <c r="X23" s="24"/>
      <c r="Y23" s="116" t="str">
        <f>=IFERROR(ROUND(X23/FB_Kurs_4,2),0)</f>
      </c>
      <c r="Z23" s="115" t="str">
        <f>=IFERROR(X23 + SUMIFS($S$19:$S$26, $P$19:$P$26, W23), X23)</f>
      </c>
      <c r="AA23" s="143" t="str">
        <f>=IFERROR(Y23 + SUMIFS($T$19:$T$26, $P$19:$P$26, W23), Y23)</f>
      </c>
      <c r="AD23" s="148" t="str">
        <f>=IFERROR(INDEX(Budget_ID_Liste, ROW() - 18), "")</f>
      </c>
      <c r="AE23" s="24"/>
      <c r="AF23" s="116" t="str">
        <f>=IFERROR(ROUND(AE23/FB_Kurs_5,2),0)</f>
      </c>
      <c r="AG23" s="115" t="str">
        <f>=IFERROR(AE23 + SUMIFS($Z$19:$Z$26, $W$19:$W$26, AD23), AE23)</f>
      </c>
      <c r="AH23" s="143" t="str">
        <f>=IFERROR(AF23 + SUMIFS($AA$19:$AA$26, $W$19:$W$26, AD23), AF23)</f>
      </c>
      <c r="AK23" s="148" t="str">
        <f>=IFERROR(INDEX(Budget_ID_Liste, ROW() - 18), "")</f>
      </c>
      <c r="AL23" s="24"/>
      <c r="AM23" s="116" t="str">
        <f>=IFERROR(ROUND(AL23/FB_Kurs_6,2),0)</f>
      </c>
      <c r="AN23" s="115" t="str">
        <f>=IFERROR(AL23 + SUMIFS($AG$19:$AG$26, $AD$19:$AD$26, AK23), AL23)</f>
      </c>
      <c r="AO23" s="143" t="str">
        <f>=IFERROR(AM23 + SUMIFS($AH$19:$AH$26, $AD$19:$AD$26, AK23), AM23)</f>
      </c>
      <c r="AR23" s="148" t="str">
        <f>=IFERROR(INDEX(Budget_ID_Liste, ROW() - 18), "")</f>
      </c>
      <c r="AS23" s="24"/>
      <c r="AT23" s="116" t="str">
        <f>=IFERROR(ROUND(AS23/FB_Kurs_7,2),0)</f>
      </c>
      <c r="AU23" s="115" t="str">
        <f>=IFERROR(AS23 + SUMIFS($AN$19:$AN$26, $AK$19:$AK$26, AR23), AS23)</f>
      </c>
      <c r="AV23" s="143" t="str">
        <f>=IFERROR(AT23 + SUMIFS($AO$19:$AO$26, $AK$19:$AK$26, AR23), AT23)</f>
      </c>
      <c r="AY23" s="148" t="str">
        <f>=IFERROR(INDEX(Budget_ID_Liste, ROW() - 18), "")</f>
      </c>
      <c r="AZ23" s="24"/>
      <c r="BA23" s="116" t="str">
        <f>=IFERROR(ROUND(AZ23/FB_Kurs_8,2),0)</f>
      </c>
      <c r="BB23" s="115" t="str">
        <f>=IFERROR(AZ23 + SUMIFS($AU$19:$AU$26, $AR$19:$AR$26, AY23), AZ23)</f>
      </c>
      <c r="BC23" s="143" t="str">
        <f>=IFERROR(BA23 + SUMIFS($AV$19:$AV$26, $AR$19:$AR$26, AY23), BA23)</f>
      </c>
      <c r="BF23" s="148" t="str">
        <f>=IFERROR(INDEX(Budget_ID_Liste, ROW() - 18), "")</f>
      </c>
      <c r="BG23" s="24"/>
      <c r="BH23" s="116" t="str">
        <f>=IFERROR(ROUND(BG23/FB_Kurs_9,2),0)</f>
      </c>
      <c r="BI23" s="115" t="str">
        <f>=IFERROR(BG23 + SUMIFS($BB$19:$BB$26, $AY$19:$AY$26, BF23), BG23)</f>
      </c>
      <c r="BJ23" s="143" t="str">
        <f>=IFERROR(BH23 + SUMIFS($BC$19:$BC$26, $AY$19:$AY$26, BF23), BH23)</f>
      </c>
      <c r="BM23" s="148" t="str">
        <f>=IFERROR(INDEX(Budget_ID_Liste, ROW() - 18), "")</f>
      </c>
      <c r="BN23" s="24"/>
      <c r="BO23" s="116" t="str">
        <f>=IFERROR(ROUND(BN23/FB_Kurs_10,2),0)</f>
      </c>
      <c r="BP23" s="115" t="str">
        <f>=IFERROR(BN23 + SUMIFS($BI$19:$BI$26, $BF$19:$BF$26, BM23), BN23)</f>
      </c>
      <c r="BQ23" s="143" t="str">
        <f>=IFERROR(BO23 + SUMIFS($BJ$19:$BJ$26, $BF$19:$BF$26, BM23), BO23)</f>
      </c>
      <c r="BT23" s="148" t="str">
        <f>=IFERROR(INDEX(Budget_ID_Liste, ROW() - 18), "")</f>
      </c>
      <c r="BU23" s="24"/>
      <c r="BV23" s="116" t="str">
        <f>=IFERROR(ROUND(BU23/FB_Kurs_11,2),0)</f>
      </c>
      <c r="BW23" s="115" t="str">
        <f>=IFERROR(BU23 + SUMIFS($BP$19:$BP$26, $BM$19:$BM$26, BT23), BU23)</f>
      </c>
      <c r="BX23" s="143" t="str">
        <f>=IFERROR(BV23 + SUMIFS($BQ$19:$BQ$26, $BM$19:$BM$26, BT23), BV23)</f>
      </c>
      <c r="CA23" s="148" t="str">
        <f>=IFERROR(INDEX(Budget_ID_Liste, ROW() - 18), "")</f>
      </c>
      <c r="CB23" s="24"/>
      <c r="CC23" s="116" t="str">
        <f>=IFERROR(ROUND(CB23/FB_Kurs_12,2),0)</f>
      </c>
      <c r="CD23" s="115" t="str">
        <f>=IFERROR(CB23 + SUMIFS($BW$19:$BW$26, $BT$19:$BT$26, CA23), CB23)</f>
      </c>
      <c r="CE23" s="143" t="str">
        <f>=IFERROR(CC23 + SUMIFS($BX$19:$BX$26, $BT$19:$BT$26, CA23), CC23)</f>
      </c>
      <c r="CH23" s="148" t="str">
        <f>=IFERROR(INDEX(Budget_ID_Liste, ROW() - 18), "")</f>
      </c>
      <c r="CI23" s="24"/>
      <c r="CJ23" s="116" t="str">
        <f>=IFERROR(ROUND(CI23/FB_Kurs_13,2),0)</f>
      </c>
      <c r="CK23" s="115" t="str">
        <f>=IFERROR(CI23 + SUMIFS($CD$19:$CD$26, $CA$19:$CA$26, CH23), CI23)</f>
      </c>
      <c r="CL23" s="143" t="str">
        <f>=IFERROR(CJ23 + SUMIFS($CE$19:$CE$26, $CA$19:$CA$26, CH23), CJ23)</f>
      </c>
      <c r="CO23" s="148" t="str">
        <f>=IFERROR(INDEX(Budget_ID_Liste, ROW() - 18), "")</f>
      </c>
      <c r="CP23" s="24"/>
      <c r="CQ23" s="116" t="str">
        <f>=IFERROR(ROUND(CP23/FB_Kurs_14,2),0)</f>
      </c>
      <c r="CR23" s="115" t="str">
        <f>=IFERROR(CP23 + SUMIFS($CK$19:$CK$26, $CH$19:$CH$26, CO23), CP23)</f>
      </c>
      <c r="CS23" s="143" t="str">
        <f>=IFERROR(CQ23 + SUMIFS($CL$19:$CL$26, $CH$19:$CH$26, CO23), CQ23)</f>
      </c>
      <c r="CV23" s="148" t="str">
        <f>=IFERROR(INDEX(Budget_ID_Liste, ROW() - 18), "")</f>
      </c>
      <c r="CW23" s="24"/>
      <c r="CX23" s="116" t="str">
        <f>=IFERROR(ROUND(CW23/FB_Kurs_15,2),0)</f>
      </c>
      <c r="CY23" s="115" t="str">
        <f>=IFERROR(CW23 + SUMIFS($CR$19:$CR$26, $CO$19:$CO$26, CV23), CW23)</f>
      </c>
      <c r="CZ23" s="143" t="str">
        <f>=IFERROR(CX23 + SUMIFS($CS$19:$CS$26, $CO$19:$CO$26, CV23), CX23)</f>
      </c>
      <c r="DC23" s="148" t="str">
        <f>=IFERROR(INDEX(Budget_ID_Liste, ROW() - 18), "")</f>
      </c>
      <c r="DD23" s="24"/>
      <c r="DE23" s="116" t="str">
        <f>=IFERROR(ROUND(DD23/FB_Kurs_16,2),0)</f>
      </c>
      <c r="DF23" s="115" t="str">
        <f>=IFERROR(DD23 + SUMIFS($CY$19:$CY$26, $CV$19:$CV$26, DC23), DD23)</f>
      </c>
      <c r="DG23" s="143" t="str">
        <f>=IFERROR(DE23 + SUMIFS($CZ$19:$CZ$26, $CV$19:$CV$26, DC23), DE23)</f>
      </c>
      <c r="DJ23" s="148" t="str">
        <f>=IFERROR(INDEX(Budget_ID_Liste, ROW() - 18), "")</f>
      </c>
      <c r="DK23" s="24"/>
      <c r="DL23" s="116" t="str">
        <f>=IFERROR(ROUND(DK23/FB_Kurs_17,2),0)</f>
      </c>
      <c r="DM23" s="115" t="str">
        <f>=IFERROR(DK23 + SUMIFS($DF$19:$DF$26, $DC$19:$DC$26, DJ23), DK23)</f>
      </c>
      <c r="DN23" s="143" t="str">
        <f>=IFERROR(DL23 + SUMIFS($DG$19:$DG$26, $DC$19:$DC$26, DJ23), DL23)</f>
      </c>
      <c r="DQ23" s="148" t="str">
        <f>=IFERROR(INDEX(Budget_ID_Liste, ROW() - 18), "")</f>
      </c>
      <c r="DR23" s="24"/>
      <c r="DS23" s="116" t="str">
        <f>=IFERROR(ROUND(DR23/FB_Kurs_18,2),0)</f>
      </c>
      <c r="DT23" s="115" t="str">
        <f>=IFERROR(DR23 + SUMIFS($DM$19:$DM$26, $DJ$19:$DJ$26, DQ23), DR23)</f>
      </c>
      <c r="DU23" s="143" t="str">
        <f>=IFERROR(DS23 + SUMIFS($DN$19:$DN$26, $DJ$19:$DJ$26, DQ23), DS23)</f>
      </c>
    </row>
    <row r="24">
      <c r="B24" s="148" t="str">
        <f>=IFERROR(INDEX(Budget_ID_Liste, ROW() - 18), "")</f>
      </c>
      <c r="C24" s="24"/>
      <c r="D24" s="116" t="str">
        <f>=IFERROR(ROUND(C24/FB_Kurs_1,2),0)</f>
      </c>
      <c r="E24" s="115" t="str">
        <f>=IFERROR(C24, 0)</f>
      </c>
      <c r="F24" s="143" t="str">
        <f>=IFERROR(D24, 0)</f>
      </c>
      <c r="I24" s="148" t="str">
        <f>=IFERROR(INDEX(Budget_ID_Liste, ROW() - 18), "")</f>
      </c>
      <c r="J24" s="24"/>
      <c r="K24" s="116" t="str">
        <f>=IFERROR(ROUND(J24/FB_Kurs_2,2),0)</f>
      </c>
      <c r="L24" s="115" t="str">
        <f>=IFERROR(J24 + SUMIFS($E$19:$E$26, $B$19:$B$26, I24), J24)</f>
      </c>
      <c r="M24" s="143" t="str">
        <f>=IFERROR(K24 + SUMIFS($F$19:$F$26, $B$19:$B$26, I24), K24)</f>
      </c>
      <c r="P24" s="148" t="str">
        <f>=IFERROR(INDEX(Budget_ID_Liste, ROW() - 18), "")</f>
      </c>
      <c r="Q24" s="24"/>
      <c r="R24" s="116" t="str">
        <f>=IFERROR(ROUND(Q24/FB_Kurs_3,2),0)</f>
      </c>
      <c r="S24" s="115" t="str">
        <f>=IFERROR(Q24 + SUMIFS($L$19:$L$26, $I$19:$I$26, P24), Q24)</f>
      </c>
      <c r="T24" s="143" t="str">
        <f>=IFERROR(R24 + SUMIFS($M$19:$M$26, $I$19:$I$26, P24), R24)</f>
      </c>
      <c r="W24" s="148" t="str">
        <f>=IFERROR(INDEX(Budget_ID_Liste, ROW() - 18), "")</f>
      </c>
      <c r="X24" s="24"/>
      <c r="Y24" s="116" t="str">
        <f>=IFERROR(ROUND(X24/FB_Kurs_4,2),0)</f>
      </c>
      <c r="Z24" s="115" t="str">
        <f>=IFERROR(X24 + SUMIFS($S$19:$S$26, $P$19:$P$26, W24), X24)</f>
      </c>
      <c r="AA24" s="143" t="str">
        <f>=IFERROR(Y24 + SUMIFS($T$19:$T$26, $P$19:$P$26, W24), Y24)</f>
      </c>
      <c r="AD24" s="148" t="str">
        <f>=IFERROR(INDEX(Budget_ID_Liste, ROW() - 18), "")</f>
      </c>
      <c r="AE24" s="24"/>
      <c r="AF24" s="116" t="str">
        <f>=IFERROR(ROUND(AE24/FB_Kurs_5,2),0)</f>
      </c>
      <c r="AG24" s="115" t="str">
        <f>=IFERROR(AE24 + SUMIFS($Z$19:$Z$26, $W$19:$W$26, AD24), AE24)</f>
      </c>
      <c r="AH24" s="143" t="str">
        <f>=IFERROR(AF24 + SUMIFS($AA$19:$AA$26, $W$19:$W$26, AD24), AF24)</f>
      </c>
      <c r="AK24" s="148" t="str">
        <f>=IFERROR(INDEX(Budget_ID_Liste, ROW() - 18), "")</f>
      </c>
      <c r="AL24" s="24"/>
      <c r="AM24" s="116" t="str">
        <f>=IFERROR(ROUND(AL24/FB_Kurs_6,2),0)</f>
      </c>
      <c r="AN24" s="115" t="str">
        <f>=IFERROR(AL24 + SUMIFS($AG$19:$AG$26, $AD$19:$AD$26, AK24), AL24)</f>
      </c>
      <c r="AO24" s="143" t="str">
        <f>=IFERROR(AM24 + SUMIFS($AH$19:$AH$26, $AD$19:$AD$26, AK24), AM24)</f>
      </c>
      <c r="AR24" s="148" t="str">
        <f>=IFERROR(INDEX(Budget_ID_Liste, ROW() - 18), "")</f>
      </c>
      <c r="AS24" s="24"/>
      <c r="AT24" s="116" t="str">
        <f>=IFERROR(ROUND(AS24/FB_Kurs_7,2),0)</f>
      </c>
      <c r="AU24" s="115" t="str">
        <f>=IFERROR(AS24 + SUMIFS($AN$19:$AN$26, $AK$19:$AK$26, AR24), AS24)</f>
      </c>
      <c r="AV24" s="143" t="str">
        <f>=IFERROR(AT24 + SUMIFS($AO$19:$AO$26, $AK$19:$AK$26, AR24), AT24)</f>
      </c>
      <c r="AY24" s="148" t="str">
        <f>=IFERROR(INDEX(Budget_ID_Liste, ROW() - 18), "")</f>
      </c>
      <c r="AZ24" s="24"/>
      <c r="BA24" s="116" t="str">
        <f>=IFERROR(ROUND(AZ24/FB_Kurs_8,2),0)</f>
      </c>
      <c r="BB24" s="115" t="str">
        <f>=IFERROR(AZ24 + SUMIFS($AU$19:$AU$26, $AR$19:$AR$26, AY24), AZ24)</f>
      </c>
      <c r="BC24" s="143" t="str">
        <f>=IFERROR(BA24 + SUMIFS($AV$19:$AV$26, $AR$19:$AR$26, AY24), BA24)</f>
      </c>
      <c r="BF24" s="148" t="str">
        <f>=IFERROR(INDEX(Budget_ID_Liste, ROW() - 18), "")</f>
      </c>
      <c r="BG24" s="24"/>
      <c r="BH24" s="116" t="str">
        <f>=IFERROR(ROUND(BG24/FB_Kurs_9,2),0)</f>
      </c>
      <c r="BI24" s="115" t="str">
        <f>=IFERROR(BG24 + SUMIFS($BB$19:$BB$26, $AY$19:$AY$26, BF24), BG24)</f>
      </c>
      <c r="BJ24" s="143" t="str">
        <f>=IFERROR(BH24 + SUMIFS($BC$19:$BC$26, $AY$19:$AY$26, BF24), BH24)</f>
      </c>
      <c r="BM24" s="148" t="str">
        <f>=IFERROR(INDEX(Budget_ID_Liste, ROW() - 18), "")</f>
      </c>
      <c r="BN24" s="24"/>
      <c r="BO24" s="116" t="str">
        <f>=IFERROR(ROUND(BN24/FB_Kurs_10,2),0)</f>
      </c>
      <c r="BP24" s="115" t="str">
        <f>=IFERROR(BN24 + SUMIFS($BI$19:$BI$26, $BF$19:$BF$26, BM24), BN24)</f>
      </c>
      <c r="BQ24" s="143" t="str">
        <f>=IFERROR(BO24 + SUMIFS($BJ$19:$BJ$26, $BF$19:$BF$26, BM24), BO24)</f>
      </c>
      <c r="BT24" s="148" t="str">
        <f>=IFERROR(INDEX(Budget_ID_Liste, ROW() - 18), "")</f>
      </c>
      <c r="BU24" s="24"/>
      <c r="BV24" s="116" t="str">
        <f>=IFERROR(ROUND(BU24/FB_Kurs_11,2),0)</f>
      </c>
      <c r="BW24" s="115" t="str">
        <f>=IFERROR(BU24 + SUMIFS($BP$19:$BP$26, $BM$19:$BM$26, BT24), BU24)</f>
      </c>
      <c r="BX24" s="143" t="str">
        <f>=IFERROR(BV24 + SUMIFS($BQ$19:$BQ$26, $BM$19:$BM$26, BT24), BV24)</f>
      </c>
      <c r="CA24" s="148" t="str">
        <f>=IFERROR(INDEX(Budget_ID_Liste, ROW() - 18), "")</f>
      </c>
      <c r="CB24" s="24"/>
      <c r="CC24" s="116" t="str">
        <f>=IFERROR(ROUND(CB24/FB_Kurs_12,2),0)</f>
      </c>
      <c r="CD24" s="115" t="str">
        <f>=IFERROR(CB24 + SUMIFS($BW$19:$BW$26, $BT$19:$BT$26, CA24), CB24)</f>
      </c>
      <c r="CE24" s="143" t="str">
        <f>=IFERROR(CC24 + SUMIFS($BX$19:$BX$26, $BT$19:$BT$26, CA24), CC24)</f>
      </c>
      <c r="CH24" s="148" t="str">
        <f>=IFERROR(INDEX(Budget_ID_Liste, ROW() - 18), "")</f>
      </c>
      <c r="CI24" s="24"/>
      <c r="CJ24" s="116" t="str">
        <f>=IFERROR(ROUND(CI24/FB_Kurs_13,2),0)</f>
      </c>
      <c r="CK24" s="115" t="str">
        <f>=IFERROR(CI24 + SUMIFS($CD$19:$CD$26, $CA$19:$CA$26, CH24), CI24)</f>
      </c>
      <c r="CL24" s="143" t="str">
        <f>=IFERROR(CJ24 + SUMIFS($CE$19:$CE$26, $CA$19:$CA$26, CH24), CJ24)</f>
      </c>
      <c r="CO24" s="148" t="str">
        <f>=IFERROR(INDEX(Budget_ID_Liste, ROW() - 18), "")</f>
      </c>
      <c r="CP24" s="24"/>
      <c r="CQ24" s="116" t="str">
        <f>=IFERROR(ROUND(CP24/FB_Kurs_14,2),0)</f>
      </c>
      <c r="CR24" s="115" t="str">
        <f>=IFERROR(CP24 + SUMIFS($CK$19:$CK$26, $CH$19:$CH$26, CO24), CP24)</f>
      </c>
      <c r="CS24" s="143" t="str">
        <f>=IFERROR(CQ24 + SUMIFS($CL$19:$CL$26, $CH$19:$CH$26, CO24), CQ24)</f>
      </c>
      <c r="CV24" s="148" t="str">
        <f>=IFERROR(INDEX(Budget_ID_Liste, ROW() - 18), "")</f>
      </c>
      <c r="CW24" s="24"/>
      <c r="CX24" s="116" t="str">
        <f>=IFERROR(ROUND(CW24/FB_Kurs_15,2),0)</f>
      </c>
      <c r="CY24" s="115" t="str">
        <f>=IFERROR(CW24 + SUMIFS($CR$19:$CR$26, $CO$19:$CO$26, CV24), CW24)</f>
      </c>
      <c r="CZ24" s="143" t="str">
        <f>=IFERROR(CX24 + SUMIFS($CS$19:$CS$26, $CO$19:$CO$26, CV24), CX24)</f>
      </c>
      <c r="DC24" s="148" t="str">
        <f>=IFERROR(INDEX(Budget_ID_Liste, ROW() - 18), "")</f>
      </c>
      <c r="DD24" s="24"/>
      <c r="DE24" s="116" t="str">
        <f>=IFERROR(ROUND(DD24/FB_Kurs_16,2),0)</f>
      </c>
      <c r="DF24" s="115" t="str">
        <f>=IFERROR(DD24 + SUMIFS($CY$19:$CY$26, $CV$19:$CV$26, DC24), DD24)</f>
      </c>
      <c r="DG24" s="143" t="str">
        <f>=IFERROR(DE24 + SUMIFS($CZ$19:$CZ$26, $CV$19:$CV$26, DC24), DE24)</f>
      </c>
      <c r="DJ24" s="148" t="str">
        <f>=IFERROR(INDEX(Budget_ID_Liste, ROW() - 18), "")</f>
      </c>
      <c r="DK24" s="24"/>
      <c r="DL24" s="116" t="str">
        <f>=IFERROR(ROUND(DK24/FB_Kurs_17,2),0)</f>
      </c>
      <c r="DM24" s="115" t="str">
        <f>=IFERROR(DK24 + SUMIFS($DF$19:$DF$26, $DC$19:$DC$26, DJ24), DK24)</f>
      </c>
      <c r="DN24" s="143" t="str">
        <f>=IFERROR(DL24 + SUMIFS($DG$19:$DG$26, $DC$19:$DC$26, DJ24), DL24)</f>
      </c>
      <c r="DQ24" s="148" t="str">
        <f>=IFERROR(INDEX(Budget_ID_Liste, ROW() - 18), "")</f>
      </c>
      <c r="DR24" s="24"/>
      <c r="DS24" s="116" t="str">
        <f>=IFERROR(ROUND(DR24/FB_Kurs_18,2),0)</f>
      </c>
      <c r="DT24" s="115" t="str">
        <f>=IFERROR(DR24 + SUMIFS($DM$19:$DM$26, $DJ$19:$DJ$26, DQ24), DR24)</f>
      </c>
      <c r="DU24" s="143" t="str">
        <f>=IFERROR(DS24 + SUMIFS($DN$19:$DN$26, $DJ$19:$DJ$26, DQ24), DS24)</f>
      </c>
    </row>
    <row r="25">
      <c r="B25" s="148" t="str">
        <f>=IFERROR(INDEX(Budget_ID_Liste, ROW() - 18), "")</f>
      </c>
      <c r="C25" s="24"/>
      <c r="D25" s="116" t="str">
        <f>=IFERROR(ROUND(C25/FB_Kurs_1,2),0)</f>
      </c>
      <c r="E25" s="115" t="str">
        <f>=IFERROR(C25, 0)</f>
      </c>
      <c r="F25" s="143" t="str">
        <f>=IFERROR(D25, 0)</f>
      </c>
      <c r="I25" s="148" t="str">
        <f>=IFERROR(INDEX(Budget_ID_Liste, ROW() - 18), "")</f>
      </c>
      <c r="J25" s="24"/>
      <c r="K25" s="116" t="str">
        <f>=IFERROR(ROUND(J25/FB_Kurs_2,2),0)</f>
      </c>
      <c r="L25" s="115" t="str">
        <f>=IFERROR(J25 + SUMIFS($E$19:$E$26, $B$19:$B$26, I25), J25)</f>
      </c>
      <c r="M25" s="143" t="str">
        <f>=IFERROR(K25 + SUMIFS($F$19:$F$26, $B$19:$B$26, I25), K25)</f>
      </c>
      <c r="P25" s="148" t="str">
        <f>=IFERROR(INDEX(Budget_ID_Liste, ROW() - 18), "")</f>
      </c>
      <c r="Q25" s="24"/>
      <c r="R25" s="116" t="str">
        <f>=IFERROR(ROUND(Q25/FB_Kurs_3,2),0)</f>
      </c>
      <c r="S25" s="115" t="str">
        <f>=IFERROR(Q25 + SUMIFS($L$19:$L$26, $I$19:$I$26, P25), Q25)</f>
      </c>
      <c r="T25" s="143" t="str">
        <f>=IFERROR(R25 + SUMIFS($M$19:$M$26, $I$19:$I$26, P25), R25)</f>
      </c>
      <c r="W25" s="148" t="str">
        <f>=IFERROR(INDEX(Budget_ID_Liste, ROW() - 18), "")</f>
      </c>
      <c r="X25" s="24"/>
      <c r="Y25" s="116" t="str">
        <f>=IFERROR(ROUND(X25/FB_Kurs_4,2),0)</f>
      </c>
      <c r="Z25" s="115" t="str">
        <f>=IFERROR(X25 + SUMIFS($S$19:$S$26, $P$19:$P$26, W25), X25)</f>
      </c>
      <c r="AA25" s="143" t="str">
        <f>=IFERROR(Y25 + SUMIFS($T$19:$T$26, $P$19:$P$26, W25), Y25)</f>
      </c>
      <c r="AD25" s="148" t="str">
        <f>=IFERROR(INDEX(Budget_ID_Liste, ROW() - 18), "")</f>
      </c>
      <c r="AE25" s="24"/>
      <c r="AF25" s="116" t="str">
        <f>=IFERROR(ROUND(AE25/FB_Kurs_5,2),0)</f>
      </c>
      <c r="AG25" s="115" t="str">
        <f>=IFERROR(AE25 + SUMIFS($Z$19:$Z$26, $W$19:$W$26, AD25), AE25)</f>
      </c>
      <c r="AH25" s="143" t="str">
        <f>=IFERROR(AF25 + SUMIFS($AA$19:$AA$26, $W$19:$W$26, AD25), AF25)</f>
      </c>
      <c r="AK25" s="148" t="str">
        <f>=IFERROR(INDEX(Budget_ID_Liste, ROW() - 18), "")</f>
      </c>
      <c r="AL25" s="24"/>
      <c r="AM25" s="116" t="str">
        <f>=IFERROR(ROUND(AL25/FB_Kurs_6,2),0)</f>
      </c>
      <c r="AN25" s="115" t="str">
        <f>=IFERROR(AL25 + SUMIFS($AG$19:$AG$26, $AD$19:$AD$26, AK25), AL25)</f>
      </c>
      <c r="AO25" s="143" t="str">
        <f>=IFERROR(AM25 + SUMIFS($AH$19:$AH$26, $AD$19:$AD$26, AK25), AM25)</f>
      </c>
      <c r="AR25" s="148" t="str">
        <f>=IFERROR(INDEX(Budget_ID_Liste, ROW() - 18), "")</f>
      </c>
      <c r="AS25" s="24"/>
      <c r="AT25" s="116" t="str">
        <f>=IFERROR(ROUND(AS25/FB_Kurs_7,2),0)</f>
      </c>
      <c r="AU25" s="115" t="str">
        <f>=IFERROR(AS25 + SUMIFS($AN$19:$AN$26, $AK$19:$AK$26, AR25), AS25)</f>
      </c>
      <c r="AV25" s="143" t="str">
        <f>=IFERROR(AT25 + SUMIFS($AO$19:$AO$26, $AK$19:$AK$26, AR25), AT25)</f>
      </c>
      <c r="AY25" s="148" t="str">
        <f>=IFERROR(INDEX(Budget_ID_Liste, ROW() - 18), "")</f>
      </c>
      <c r="AZ25" s="24"/>
      <c r="BA25" s="116" t="str">
        <f>=IFERROR(ROUND(AZ25/FB_Kurs_8,2),0)</f>
      </c>
      <c r="BB25" s="115" t="str">
        <f>=IFERROR(AZ25 + SUMIFS($AU$19:$AU$26, $AR$19:$AR$26, AY25), AZ25)</f>
      </c>
      <c r="BC25" s="143" t="str">
        <f>=IFERROR(BA25 + SUMIFS($AV$19:$AV$26, $AR$19:$AR$26, AY25), BA25)</f>
      </c>
      <c r="BF25" s="148" t="str">
        <f>=IFERROR(INDEX(Budget_ID_Liste, ROW() - 18), "")</f>
      </c>
      <c r="BG25" s="24"/>
      <c r="BH25" s="116" t="str">
        <f>=IFERROR(ROUND(BG25/FB_Kurs_9,2),0)</f>
      </c>
      <c r="BI25" s="115" t="str">
        <f>=IFERROR(BG25 + SUMIFS($BB$19:$BB$26, $AY$19:$AY$26, BF25), BG25)</f>
      </c>
      <c r="BJ25" s="143" t="str">
        <f>=IFERROR(BH25 + SUMIFS($BC$19:$BC$26, $AY$19:$AY$26, BF25), BH25)</f>
      </c>
      <c r="BM25" s="148" t="str">
        <f>=IFERROR(INDEX(Budget_ID_Liste, ROW() - 18), "")</f>
      </c>
      <c r="BN25" s="24"/>
      <c r="BO25" s="116" t="str">
        <f>=IFERROR(ROUND(BN25/FB_Kurs_10,2),0)</f>
      </c>
      <c r="BP25" s="115" t="str">
        <f>=IFERROR(BN25 + SUMIFS($BI$19:$BI$26, $BF$19:$BF$26, BM25), BN25)</f>
      </c>
      <c r="BQ25" s="143" t="str">
        <f>=IFERROR(BO25 + SUMIFS($BJ$19:$BJ$26, $BF$19:$BF$26, BM25), BO25)</f>
      </c>
      <c r="BT25" s="148" t="str">
        <f>=IFERROR(INDEX(Budget_ID_Liste, ROW() - 18), "")</f>
      </c>
      <c r="BU25" s="24"/>
      <c r="BV25" s="116" t="str">
        <f>=IFERROR(ROUND(BU25/FB_Kurs_11,2),0)</f>
      </c>
      <c r="BW25" s="115" t="str">
        <f>=IFERROR(BU25 + SUMIFS($BP$19:$BP$26, $BM$19:$BM$26, BT25), BU25)</f>
      </c>
      <c r="BX25" s="143" t="str">
        <f>=IFERROR(BV25 + SUMIFS($BQ$19:$BQ$26, $BM$19:$BM$26, BT25), BV25)</f>
      </c>
      <c r="CA25" s="148" t="str">
        <f>=IFERROR(INDEX(Budget_ID_Liste, ROW() - 18), "")</f>
      </c>
      <c r="CB25" s="24"/>
      <c r="CC25" s="116" t="str">
        <f>=IFERROR(ROUND(CB25/FB_Kurs_12,2),0)</f>
      </c>
      <c r="CD25" s="115" t="str">
        <f>=IFERROR(CB25 + SUMIFS($BW$19:$BW$26, $BT$19:$BT$26, CA25), CB25)</f>
      </c>
      <c r="CE25" s="143" t="str">
        <f>=IFERROR(CC25 + SUMIFS($BX$19:$BX$26, $BT$19:$BT$26, CA25), CC25)</f>
      </c>
      <c r="CH25" s="148" t="str">
        <f>=IFERROR(INDEX(Budget_ID_Liste, ROW() - 18), "")</f>
      </c>
      <c r="CI25" s="24"/>
      <c r="CJ25" s="116" t="str">
        <f>=IFERROR(ROUND(CI25/FB_Kurs_13,2),0)</f>
      </c>
      <c r="CK25" s="115" t="str">
        <f>=IFERROR(CI25 + SUMIFS($CD$19:$CD$26, $CA$19:$CA$26, CH25), CI25)</f>
      </c>
      <c r="CL25" s="143" t="str">
        <f>=IFERROR(CJ25 + SUMIFS($CE$19:$CE$26, $CA$19:$CA$26, CH25), CJ25)</f>
      </c>
      <c r="CO25" s="148" t="str">
        <f>=IFERROR(INDEX(Budget_ID_Liste, ROW() - 18), "")</f>
      </c>
      <c r="CP25" s="24"/>
      <c r="CQ25" s="116" t="str">
        <f>=IFERROR(ROUND(CP25/FB_Kurs_14,2),0)</f>
      </c>
      <c r="CR25" s="115" t="str">
        <f>=IFERROR(CP25 + SUMIFS($CK$19:$CK$26, $CH$19:$CH$26, CO25), CP25)</f>
      </c>
      <c r="CS25" s="143" t="str">
        <f>=IFERROR(CQ25 + SUMIFS($CL$19:$CL$26, $CH$19:$CH$26, CO25), CQ25)</f>
      </c>
      <c r="CV25" s="148" t="str">
        <f>=IFERROR(INDEX(Budget_ID_Liste, ROW() - 18), "")</f>
      </c>
      <c r="CW25" s="24"/>
      <c r="CX25" s="116" t="str">
        <f>=IFERROR(ROUND(CW25/FB_Kurs_15,2),0)</f>
      </c>
      <c r="CY25" s="115" t="str">
        <f>=IFERROR(CW25 + SUMIFS($CR$19:$CR$26, $CO$19:$CO$26, CV25), CW25)</f>
      </c>
      <c r="CZ25" s="143" t="str">
        <f>=IFERROR(CX25 + SUMIFS($CS$19:$CS$26, $CO$19:$CO$26, CV25), CX25)</f>
      </c>
      <c r="DC25" s="148" t="str">
        <f>=IFERROR(INDEX(Budget_ID_Liste, ROW() - 18), "")</f>
      </c>
      <c r="DD25" s="24"/>
      <c r="DE25" s="116" t="str">
        <f>=IFERROR(ROUND(DD25/FB_Kurs_16,2),0)</f>
      </c>
      <c r="DF25" s="115" t="str">
        <f>=IFERROR(DD25 + SUMIFS($CY$19:$CY$26, $CV$19:$CV$26, DC25), DD25)</f>
      </c>
      <c r="DG25" s="143" t="str">
        <f>=IFERROR(DE25 + SUMIFS($CZ$19:$CZ$26, $CV$19:$CV$26, DC25), DE25)</f>
      </c>
      <c r="DJ25" s="148" t="str">
        <f>=IFERROR(INDEX(Budget_ID_Liste, ROW() - 18), "")</f>
      </c>
      <c r="DK25" s="24"/>
      <c r="DL25" s="116" t="str">
        <f>=IFERROR(ROUND(DK25/FB_Kurs_17,2),0)</f>
      </c>
      <c r="DM25" s="115" t="str">
        <f>=IFERROR(DK25 + SUMIFS($DF$19:$DF$26, $DC$19:$DC$26, DJ25), DK25)</f>
      </c>
      <c r="DN25" s="143" t="str">
        <f>=IFERROR(DL25 + SUMIFS($DG$19:$DG$26, $DC$19:$DC$26, DJ25), DL25)</f>
      </c>
      <c r="DQ25" s="148" t="str">
        <f>=IFERROR(INDEX(Budget_ID_Liste, ROW() - 18), "")</f>
      </c>
      <c r="DR25" s="24"/>
      <c r="DS25" s="116" t="str">
        <f>=IFERROR(ROUND(DR25/FB_Kurs_18,2),0)</f>
      </c>
      <c r="DT25" s="115" t="str">
        <f>=IFERROR(DR25 + SUMIFS($DM$19:$DM$26, $DJ$19:$DJ$26, DQ25), DR25)</f>
      </c>
      <c r="DU25" s="143" t="str">
        <f>=IFERROR(DS25 + SUMIFS($DN$19:$DN$26, $DJ$19:$DJ$26, DQ25), DS25)</f>
      </c>
    </row>
    <row r="26">
      <c r="B26" s="148" t="str">
        <f>=IFERROR(INDEX(Budget_ID_Liste, ROW() - 18), "")</f>
      </c>
      <c r="C26" s="24"/>
      <c r="D26" s="116" t="str">
        <f>=IFERROR(ROUND(C26/FB_Kurs_1,2),0)</f>
      </c>
      <c r="E26" s="115" t="str">
        <f>=IFERROR(C26, 0)</f>
      </c>
      <c r="F26" s="143" t="str">
        <f>=IFERROR(D26, 0)</f>
      </c>
      <c r="I26" s="148" t="str">
        <f>=IFERROR(INDEX(Budget_ID_Liste, ROW() - 18), "")</f>
      </c>
      <c r="J26" s="24"/>
      <c r="K26" s="116" t="str">
        <f>=IFERROR(ROUND(J26/FB_Kurs_2,2),0)</f>
      </c>
      <c r="L26" s="115" t="str">
        <f>=IFERROR(J26 + SUMIFS($E$19:$E$26, $B$19:$B$26, I26), J26)</f>
      </c>
      <c r="M26" s="143" t="str">
        <f>=IFERROR(K26 + SUMIFS($F$19:$F$26, $B$19:$B$26, I26), K26)</f>
      </c>
      <c r="P26" s="148" t="str">
        <f>=IFERROR(INDEX(Budget_ID_Liste, ROW() - 18), "")</f>
      </c>
      <c r="Q26" s="24"/>
      <c r="R26" s="116" t="str">
        <f>=IFERROR(ROUND(Q26/FB_Kurs_3,2),0)</f>
      </c>
      <c r="S26" s="115" t="str">
        <f>=IFERROR(Q26 + SUMIFS($L$19:$L$26, $I$19:$I$26, P26), Q26)</f>
      </c>
      <c r="T26" s="143" t="str">
        <f>=IFERROR(R26 + SUMIFS($M$19:$M$26, $I$19:$I$26, P26), R26)</f>
      </c>
      <c r="W26" s="148" t="str">
        <f>=IFERROR(INDEX(Budget_ID_Liste, ROW() - 18), "")</f>
      </c>
      <c r="X26" s="24"/>
      <c r="Y26" s="116" t="str">
        <f>=IFERROR(ROUND(X26/FB_Kurs_4,2),0)</f>
      </c>
      <c r="Z26" s="115" t="str">
        <f>=IFERROR(X26 + SUMIFS($S$19:$S$26, $P$19:$P$26, W26), X26)</f>
      </c>
      <c r="AA26" s="143" t="str">
        <f>=IFERROR(Y26 + SUMIFS($T$19:$T$26, $P$19:$P$26, W26), Y26)</f>
      </c>
      <c r="AD26" s="148" t="str">
        <f>=IFERROR(INDEX(Budget_ID_Liste, ROW() - 18), "")</f>
      </c>
      <c r="AE26" s="24"/>
      <c r="AF26" s="116" t="str">
        <f>=IFERROR(ROUND(AE26/FB_Kurs_5,2),0)</f>
      </c>
      <c r="AG26" s="115" t="str">
        <f>=IFERROR(AE26 + SUMIFS($Z$19:$Z$26, $W$19:$W$26, AD26), AE26)</f>
      </c>
      <c r="AH26" s="143" t="str">
        <f>=IFERROR(AF26 + SUMIFS($AA$19:$AA$26, $W$19:$W$26, AD26), AF26)</f>
      </c>
      <c r="AK26" s="148" t="str">
        <f>=IFERROR(INDEX(Budget_ID_Liste, ROW() - 18), "")</f>
      </c>
      <c r="AL26" s="24"/>
      <c r="AM26" s="116" t="str">
        <f>=IFERROR(ROUND(AL26/FB_Kurs_6,2),0)</f>
      </c>
      <c r="AN26" s="115" t="str">
        <f>=IFERROR(AL26 + SUMIFS($AG$19:$AG$26, $AD$19:$AD$26, AK26), AL26)</f>
      </c>
      <c r="AO26" s="143" t="str">
        <f>=IFERROR(AM26 + SUMIFS($AH$19:$AH$26, $AD$19:$AD$26, AK26), AM26)</f>
      </c>
      <c r="AR26" s="148" t="str">
        <f>=IFERROR(INDEX(Budget_ID_Liste, ROW() - 18), "")</f>
      </c>
      <c r="AS26" s="24"/>
      <c r="AT26" s="116" t="str">
        <f>=IFERROR(ROUND(AS26/FB_Kurs_7,2),0)</f>
      </c>
      <c r="AU26" s="115" t="str">
        <f>=IFERROR(AS26 + SUMIFS($AN$19:$AN$26, $AK$19:$AK$26, AR26), AS26)</f>
      </c>
      <c r="AV26" s="143" t="str">
        <f>=IFERROR(AT26 + SUMIFS($AO$19:$AO$26, $AK$19:$AK$26, AR26), AT26)</f>
      </c>
      <c r="AY26" s="148" t="str">
        <f>=IFERROR(INDEX(Budget_ID_Liste, ROW() - 18), "")</f>
      </c>
      <c r="AZ26" s="24"/>
      <c r="BA26" s="116" t="str">
        <f>=IFERROR(ROUND(AZ26/FB_Kurs_8,2),0)</f>
      </c>
      <c r="BB26" s="115" t="str">
        <f>=IFERROR(AZ26 + SUMIFS($AU$19:$AU$26, $AR$19:$AR$26, AY26), AZ26)</f>
      </c>
      <c r="BC26" s="143" t="str">
        <f>=IFERROR(BA26 + SUMIFS($AV$19:$AV$26, $AR$19:$AR$26, AY26), BA26)</f>
      </c>
      <c r="BF26" s="148" t="str">
        <f>=IFERROR(INDEX(Budget_ID_Liste, ROW() - 18), "")</f>
      </c>
      <c r="BG26" s="24"/>
      <c r="BH26" s="116" t="str">
        <f>=IFERROR(ROUND(BG26/FB_Kurs_9,2),0)</f>
      </c>
      <c r="BI26" s="115" t="str">
        <f>=IFERROR(BG26 + SUMIFS($BB$19:$BB$26, $AY$19:$AY$26, BF26), BG26)</f>
      </c>
      <c r="BJ26" s="143" t="str">
        <f>=IFERROR(BH26 + SUMIFS($BC$19:$BC$26, $AY$19:$AY$26, BF26), BH26)</f>
      </c>
      <c r="BM26" s="148" t="str">
        <f>=IFERROR(INDEX(Budget_ID_Liste, ROW() - 18), "")</f>
      </c>
      <c r="BN26" s="24"/>
      <c r="BO26" s="116" t="str">
        <f>=IFERROR(ROUND(BN26/FB_Kurs_10,2),0)</f>
      </c>
      <c r="BP26" s="115" t="str">
        <f>=IFERROR(BN26 + SUMIFS($BI$19:$BI$26, $BF$19:$BF$26, BM26), BN26)</f>
      </c>
      <c r="BQ26" s="143" t="str">
        <f>=IFERROR(BO26 + SUMIFS($BJ$19:$BJ$26, $BF$19:$BF$26, BM26), BO26)</f>
      </c>
      <c r="BT26" s="148" t="str">
        <f>=IFERROR(INDEX(Budget_ID_Liste, ROW() - 18), "")</f>
      </c>
      <c r="BU26" s="24"/>
      <c r="BV26" s="116" t="str">
        <f>=IFERROR(ROUND(BU26/FB_Kurs_11,2),0)</f>
      </c>
      <c r="BW26" s="115" t="str">
        <f>=IFERROR(BU26 + SUMIFS($BP$19:$BP$26, $BM$19:$BM$26, BT26), BU26)</f>
      </c>
      <c r="BX26" s="143" t="str">
        <f>=IFERROR(BV26 + SUMIFS($BQ$19:$BQ$26, $BM$19:$BM$26, BT26), BV26)</f>
      </c>
      <c r="CA26" s="148" t="str">
        <f>=IFERROR(INDEX(Budget_ID_Liste, ROW() - 18), "")</f>
      </c>
      <c r="CB26" s="24"/>
      <c r="CC26" s="116" t="str">
        <f>=IFERROR(ROUND(CB26/FB_Kurs_12,2),0)</f>
      </c>
      <c r="CD26" s="115" t="str">
        <f>=IFERROR(CB26 + SUMIFS($BW$19:$BW$26, $BT$19:$BT$26, CA26), CB26)</f>
      </c>
      <c r="CE26" s="143" t="str">
        <f>=IFERROR(CC26 + SUMIFS($BX$19:$BX$26, $BT$19:$BT$26, CA26), CC26)</f>
      </c>
      <c r="CH26" s="148" t="str">
        <f>=IFERROR(INDEX(Budget_ID_Liste, ROW() - 18), "")</f>
      </c>
      <c r="CI26" s="24"/>
      <c r="CJ26" s="116" t="str">
        <f>=IFERROR(ROUND(CI26/FB_Kurs_13,2),0)</f>
      </c>
      <c r="CK26" s="115" t="str">
        <f>=IFERROR(CI26 + SUMIFS($CD$19:$CD$26, $CA$19:$CA$26, CH26), CI26)</f>
      </c>
      <c r="CL26" s="143" t="str">
        <f>=IFERROR(CJ26 + SUMIFS($CE$19:$CE$26, $CA$19:$CA$26, CH26), CJ26)</f>
      </c>
      <c r="CO26" s="148" t="str">
        <f>=IFERROR(INDEX(Budget_ID_Liste, ROW() - 18), "")</f>
      </c>
      <c r="CP26" s="24"/>
      <c r="CQ26" s="116" t="str">
        <f>=IFERROR(ROUND(CP26/FB_Kurs_14,2),0)</f>
      </c>
      <c r="CR26" s="115" t="str">
        <f>=IFERROR(CP26 + SUMIFS($CK$19:$CK$26, $CH$19:$CH$26, CO26), CP26)</f>
      </c>
      <c r="CS26" s="143" t="str">
        <f>=IFERROR(CQ26 + SUMIFS($CL$19:$CL$26, $CH$19:$CH$26, CO26), CQ26)</f>
      </c>
      <c r="CV26" s="148" t="str">
        <f>=IFERROR(INDEX(Budget_ID_Liste, ROW() - 18), "")</f>
      </c>
      <c r="CW26" s="24"/>
      <c r="CX26" s="116" t="str">
        <f>=IFERROR(ROUND(CW26/FB_Kurs_15,2),0)</f>
      </c>
      <c r="CY26" s="115" t="str">
        <f>=IFERROR(CW26 + SUMIFS($CR$19:$CR$26, $CO$19:$CO$26, CV26), CW26)</f>
      </c>
      <c r="CZ26" s="143" t="str">
        <f>=IFERROR(CX26 + SUMIFS($CS$19:$CS$26, $CO$19:$CO$26, CV26), CX26)</f>
      </c>
      <c r="DC26" s="148" t="str">
        <f>=IFERROR(INDEX(Budget_ID_Liste, ROW() - 18), "")</f>
      </c>
      <c r="DD26" s="24"/>
      <c r="DE26" s="116" t="str">
        <f>=IFERROR(ROUND(DD26/FB_Kurs_16,2),0)</f>
      </c>
      <c r="DF26" s="115" t="str">
        <f>=IFERROR(DD26 + SUMIFS($CY$19:$CY$26, $CV$19:$CV$26, DC26), DD26)</f>
      </c>
      <c r="DG26" s="143" t="str">
        <f>=IFERROR(DE26 + SUMIFS($CZ$19:$CZ$26, $CV$19:$CV$26, DC26), DE26)</f>
      </c>
      <c r="DJ26" s="148" t="str">
        <f>=IFERROR(INDEX(Budget_ID_Liste, ROW() - 18), "")</f>
      </c>
      <c r="DK26" s="24"/>
      <c r="DL26" s="116" t="str">
        <f>=IFERROR(ROUND(DK26/FB_Kurs_17,2),0)</f>
      </c>
      <c r="DM26" s="115" t="str">
        <f>=IFERROR(DK26 + SUMIFS($DF$19:$DF$26, $DC$19:$DC$26, DJ26), DK26)</f>
      </c>
      <c r="DN26" s="143" t="str">
        <f>=IFERROR(DL26 + SUMIFS($DG$19:$DG$26, $DC$19:$DC$26, DJ26), DL26)</f>
      </c>
      <c r="DQ26" s="148" t="str">
        <f>=IFERROR(INDEX(Budget_ID_Liste, ROW() - 18), "")</f>
      </c>
      <c r="DR26" s="24"/>
      <c r="DS26" s="116" t="str">
        <f>=IFERROR(ROUND(DR26/FB_Kurs_18,2),0)</f>
      </c>
      <c r="DT26" s="115" t="str">
        <f>=IFERROR(DR26 + SUMIFS($DM$19:$DM$26, $DJ$19:$DJ$26, DQ26), DR26)</f>
      </c>
      <c r="DU26" s="143" t="str">
        <f>=IFERROR(DS26 + SUMIFS($DN$19:$DN$26, $DJ$19:$DJ$26, DQ26), DS26)</f>
      </c>
    </row>
    <row r="27">
      <c r="B27" s="149" t="s">
        <v>285</v>
      </c>
      <c r="C27" s="123" t="str">
        <f>=ROUND(SUBTOTAL(109,$C$19:$C$26),2)</f>
      </c>
      <c r="D27" s="124" t="str">
        <f>=ROUND(SUBTOTAL(109,$D$19:$D$26),2)</f>
      </c>
      <c r="E27" s="123" t="str">
        <f>=ROUND(SUBTOTAL(109,$E$19:$E$26),2)</f>
      </c>
      <c r="F27" s="150" t="str">
        <f>=ROUND(SUBTOTAL(109,$F$19:$F$26),2)</f>
      </c>
      <c r="I27" s="149" t="s">
        <v>285</v>
      </c>
      <c r="J27" s="123" t="str">
        <f>=ROUND(SUBTOTAL(109,$J$19:$J$26),2)</f>
      </c>
      <c r="K27" s="124" t="str">
        <f>=ROUND(SUBTOTAL(109,$K$19:$K$26),2)</f>
      </c>
      <c r="L27" s="123" t="str">
        <f>=ROUND(SUBTOTAL(109,$L$19:$L$26),2)</f>
      </c>
      <c r="M27" s="150" t="str">
        <f>=ROUND(SUBTOTAL(109,$M$19:$M$26),2)</f>
      </c>
      <c r="P27" s="149" t="s">
        <v>285</v>
      </c>
      <c r="Q27" s="123" t="str">
        <f>=ROUND(SUBTOTAL(109,$Q$19:$Q$26),2)</f>
      </c>
      <c r="R27" s="124" t="str">
        <f>=ROUND(SUBTOTAL(109,$R$19:$R$26),2)</f>
      </c>
      <c r="S27" s="123" t="str">
        <f>=ROUND(SUBTOTAL(109,$S$19:$S$26),2)</f>
      </c>
      <c r="T27" s="150" t="str">
        <f>=ROUND(SUBTOTAL(109,$T$19:$T$26),2)</f>
      </c>
      <c r="W27" s="149" t="s">
        <v>285</v>
      </c>
      <c r="X27" s="123" t="str">
        <f>=ROUND(SUBTOTAL(109,$X$19:$X$26),2)</f>
      </c>
      <c r="Y27" s="124" t="str">
        <f>=ROUND(SUBTOTAL(109,$Y$19:$Y$26),2)</f>
      </c>
      <c r="Z27" s="123" t="str">
        <f>=ROUND(SUBTOTAL(109,$Z$19:$Z$26),2)</f>
      </c>
      <c r="AA27" s="150" t="str">
        <f>=ROUND(SUBTOTAL(109,$AA$19:$AA$26),2)</f>
      </c>
      <c r="AD27" s="149" t="s">
        <v>285</v>
      </c>
      <c r="AE27" s="123" t="str">
        <f>=ROUND(SUBTOTAL(109,$AE$19:$AE$26),2)</f>
      </c>
      <c r="AF27" s="124" t="str">
        <f>=ROUND(SUBTOTAL(109,$AF$19:$AF$26),2)</f>
      </c>
      <c r="AG27" s="123" t="str">
        <f>=ROUND(SUBTOTAL(109,$AG$19:$AG$26),2)</f>
      </c>
      <c r="AH27" s="150" t="str">
        <f>=ROUND(SUBTOTAL(109,$AH$19:$AH$26),2)</f>
      </c>
      <c r="AK27" s="149" t="s">
        <v>285</v>
      </c>
      <c r="AL27" s="123" t="str">
        <f>=ROUND(SUBTOTAL(109,$AL$19:$AL$26),2)</f>
      </c>
      <c r="AM27" s="124" t="str">
        <f>=ROUND(SUBTOTAL(109,$AM$19:$AM$26),2)</f>
      </c>
      <c r="AN27" s="123" t="str">
        <f>=ROUND(SUBTOTAL(109,$AN$19:$AN$26),2)</f>
      </c>
      <c r="AO27" s="150" t="str">
        <f>=ROUND(SUBTOTAL(109,$AO$19:$AO$26),2)</f>
      </c>
      <c r="AR27" s="149" t="s">
        <v>285</v>
      </c>
      <c r="AS27" s="123" t="str">
        <f>=ROUND(SUBTOTAL(109,$AS$19:$AS$26),2)</f>
      </c>
      <c r="AT27" s="124" t="str">
        <f>=ROUND(SUBTOTAL(109,$AT$19:$AT$26),2)</f>
      </c>
      <c r="AU27" s="123" t="str">
        <f>=ROUND(SUBTOTAL(109,$AU$19:$AU$26),2)</f>
      </c>
      <c r="AV27" s="150" t="str">
        <f>=ROUND(SUBTOTAL(109,$AV$19:$AV$26),2)</f>
      </c>
      <c r="AY27" s="149" t="s">
        <v>285</v>
      </c>
      <c r="AZ27" s="123" t="str">
        <f>=ROUND(SUBTOTAL(109,$AZ$19:$AZ$26),2)</f>
      </c>
      <c r="BA27" s="124" t="str">
        <f>=ROUND(SUBTOTAL(109,$BA$19:$BA$26),2)</f>
      </c>
      <c r="BB27" s="123" t="str">
        <f>=ROUND(SUBTOTAL(109,$BB$19:$BB$26),2)</f>
      </c>
      <c r="BC27" s="150" t="str">
        <f>=ROUND(SUBTOTAL(109,$BC$19:$BC$26),2)</f>
      </c>
      <c r="BF27" s="149" t="s">
        <v>285</v>
      </c>
      <c r="BG27" s="123" t="str">
        <f>=ROUND(SUBTOTAL(109,$BG$19:$BG$26),2)</f>
      </c>
      <c r="BH27" s="124" t="str">
        <f>=ROUND(SUBTOTAL(109,$BH$19:$BH$26),2)</f>
      </c>
      <c r="BI27" s="123" t="str">
        <f>=ROUND(SUBTOTAL(109,$BI$19:$BI$26),2)</f>
      </c>
      <c r="BJ27" s="150" t="str">
        <f>=ROUND(SUBTOTAL(109,$BJ$19:$BJ$26),2)</f>
      </c>
      <c r="BM27" s="149" t="s">
        <v>285</v>
      </c>
      <c r="BN27" s="123" t="str">
        <f>=ROUND(SUBTOTAL(109,$BN$19:$BN$26),2)</f>
      </c>
      <c r="BO27" s="124" t="str">
        <f>=ROUND(SUBTOTAL(109,$BO$19:$BO$26),2)</f>
      </c>
      <c r="BP27" s="123" t="str">
        <f>=ROUND(SUBTOTAL(109,$BP$19:$BP$26),2)</f>
      </c>
      <c r="BQ27" s="150" t="str">
        <f>=ROUND(SUBTOTAL(109,$BQ$19:$BQ$26),2)</f>
      </c>
      <c r="BT27" s="149" t="s">
        <v>285</v>
      </c>
      <c r="BU27" s="123" t="str">
        <f>=ROUND(SUBTOTAL(109,$BU$19:$BU$26),2)</f>
      </c>
      <c r="BV27" s="124" t="str">
        <f>=ROUND(SUBTOTAL(109,$BV$19:$BV$26),2)</f>
      </c>
      <c r="BW27" s="123" t="str">
        <f>=ROUND(SUBTOTAL(109,$BW$19:$BW$26),2)</f>
      </c>
      <c r="BX27" s="150" t="str">
        <f>=ROUND(SUBTOTAL(109,$BX$19:$BX$26),2)</f>
      </c>
      <c r="CA27" s="149" t="s">
        <v>285</v>
      </c>
      <c r="CB27" s="123" t="str">
        <f>=ROUND(SUBTOTAL(109,$CB$19:$CB$26),2)</f>
      </c>
      <c r="CC27" s="124" t="str">
        <f>=ROUND(SUBTOTAL(109,$CC$19:$CC$26),2)</f>
      </c>
      <c r="CD27" s="123" t="str">
        <f>=ROUND(SUBTOTAL(109,$CD$19:$CD$26),2)</f>
      </c>
      <c r="CE27" s="150" t="str">
        <f>=ROUND(SUBTOTAL(109,$CE$19:$CE$26),2)</f>
      </c>
      <c r="CH27" s="149" t="s">
        <v>285</v>
      </c>
      <c r="CI27" s="123" t="str">
        <f>=ROUND(SUBTOTAL(109,$CI$19:$CI$26),2)</f>
      </c>
      <c r="CJ27" s="124" t="str">
        <f>=ROUND(SUBTOTAL(109,$CJ$19:$CJ$26),2)</f>
      </c>
      <c r="CK27" s="123" t="str">
        <f>=ROUND(SUBTOTAL(109,$CK$19:$CK$26),2)</f>
      </c>
      <c r="CL27" s="150" t="str">
        <f>=ROUND(SUBTOTAL(109,$CL$19:$CL$26),2)</f>
      </c>
      <c r="CO27" s="149" t="s">
        <v>285</v>
      </c>
      <c r="CP27" s="123" t="str">
        <f>=ROUND(SUBTOTAL(109,$CP$19:$CP$26),2)</f>
      </c>
      <c r="CQ27" s="124" t="str">
        <f>=ROUND(SUBTOTAL(109,$CQ$19:$CQ$26),2)</f>
      </c>
      <c r="CR27" s="123" t="str">
        <f>=ROUND(SUBTOTAL(109,$CR$19:$CR$26),2)</f>
      </c>
      <c r="CS27" s="150" t="str">
        <f>=ROUND(SUBTOTAL(109,$CS$19:$CS$26),2)</f>
      </c>
      <c r="CV27" s="149" t="s">
        <v>285</v>
      </c>
      <c r="CW27" s="123" t="str">
        <f>=ROUND(SUBTOTAL(109,$CW$19:$CW$26),2)</f>
      </c>
      <c r="CX27" s="124" t="str">
        <f>=ROUND(SUBTOTAL(109,$CX$19:$CX$26),2)</f>
      </c>
      <c r="CY27" s="123" t="str">
        <f>=ROUND(SUBTOTAL(109,$CY$19:$CY$26),2)</f>
      </c>
      <c r="CZ27" s="150" t="str">
        <f>=ROUND(SUBTOTAL(109,$CZ$19:$CZ$26),2)</f>
      </c>
      <c r="DC27" s="149" t="s">
        <v>285</v>
      </c>
      <c r="DD27" s="123" t="str">
        <f>=ROUND(SUBTOTAL(109,$DD$19:$DD$26),2)</f>
      </c>
      <c r="DE27" s="124" t="str">
        <f>=ROUND(SUBTOTAL(109,$DE$19:$DE$26),2)</f>
      </c>
      <c r="DF27" s="123" t="str">
        <f>=ROUND(SUBTOTAL(109,$DF$19:$DF$26),2)</f>
      </c>
      <c r="DG27" s="150" t="str">
        <f>=ROUND(SUBTOTAL(109,$DG$19:$DG$26),2)</f>
      </c>
      <c r="DJ27" s="149" t="s">
        <v>285</v>
      </c>
      <c r="DK27" s="123" t="str">
        <f>=ROUND(SUBTOTAL(109,$DK$19:$DK$26),2)</f>
      </c>
      <c r="DL27" s="124" t="str">
        <f>=ROUND(SUBTOTAL(109,$DL$19:$DL$26),2)</f>
      </c>
      <c r="DM27" s="123" t="str">
        <f>=ROUND(SUBTOTAL(109,$DM$19:$DM$26),2)</f>
      </c>
      <c r="DN27" s="150" t="str">
        <f>=ROUND(SUBTOTAL(109,$DN$19:$DN$26),2)</f>
      </c>
      <c r="DQ27" s="149" t="s">
        <v>285</v>
      </c>
      <c r="DR27" s="123" t="str">
        <f>=ROUND(SUBTOTAL(109,$DR$19:$DR$26),2)</f>
      </c>
      <c r="DS27" s="124" t="str">
        <f>=ROUND(SUBTOTAL(109,$DS$19:$DS$26),2)</f>
      </c>
      <c r="DT27" s="123" t="str">
        <f>=ROUND(SUBTOTAL(109,$DT$19:$DT$26),2)</f>
      </c>
      <c r="DU27" s="150" t="str">
        <f>=ROUND(SUBTOTAL(109,$DU$19:$DU$26),2)</f>
      </c>
    </row>
    <row r="28">
      <c r="B28" s="47"/>
      <c r="F28" s="48"/>
      <c r="I28" s="47"/>
      <c r="M28" s="48"/>
      <c r="P28" s="47"/>
      <c r="T28" s="48"/>
      <c r="W28" s="47"/>
      <c r="AA28" s="48"/>
      <c r="AD28" s="47"/>
      <c r="AH28" s="48"/>
      <c r="AK28" s="47"/>
      <c r="AO28" s="48"/>
      <c r="AR28" s="47"/>
      <c r="AV28" s="48"/>
      <c r="AY28" s="47"/>
      <c r="BC28" s="48"/>
      <c r="BF28" s="47"/>
      <c r="BJ28" s="48"/>
      <c r="BM28" s="47"/>
      <c r="BQ28" s="48"/>
      <c r="BT28" s="47"/>
      <c r="BX28" s="48"/>
      <c r="CA28" s="47"/>
      <c r="CE28" s="48"/>
      <c r="CH28" s="47"/>
      <c r="CL28" s="48"/>
      <c r="CO28" s="47"/>
      <c r="CS28" s="48"/>
      <c r="CV28" s="47"/>
      <c r="CZ28" s="48"/>
      <c r="DC28" s="47"/>
      <c r="DG28" s="48"/>
      <c r="DJ28" s="47"/>
      <c r="DN28" s="48"/>
      <c r="DQ28" s="47"/>
      <c r="DU28" s="48"/>
    </row>
    <row r="29">
      <c r="B29" s="137" t="s">
        <v>286</v>
      </c>
      <c r="C29" s="125" t="str">
        <f>=ROUND(IFERROR(C16-$C$27,""),2)</f>
      </c>
      <c r="D29" s="126" t="str">
        <f>=ROUND(IFERROR(D16-$D$27,""),2)</f>
      </c>
      <c r="E29" s="125" t="str">
        <f>=ROUND(IFERROR(E16-E27,""),2)</f>
      </c>
      <c r="F29" s="151" t="str">
        <f>=ROUND(IFERROR(F16-F27,""),2)</f>
      </c>
      <c r="I29" s="137" t="s">
        <v>286</v>
      </c>
      <c r="J29" s="125" t="str">
        <f>=ROUND(IFERROR(J16-$J$27,""),2)</f>
      </c>
      <c r="K29" s="126" t="str">
        <f>=ROUND(IFERROR(K16-$K$27,""),2)</f>
      </c>
      <c r="L29" s="125" t="str">
        <f>=ROUND(IFERROR(L16-L27,""),2)</f>
      </c>
      <c r="M29" s="151" t="str">
        <f>=ROUND(IFERROR(M16-M27,""),2)</f>
      </c>
      <c r="P29" s="137" t="s">
        <v>286</v>
      </c>
      <c r="Q29" s="125" t="str">
        <f>=ROUND(IFERROR(Q16-$Q$27,""),2)</f>
      </c>
      <c r="R29" s="126" t="str">
        <f>=ROUND(IFERROR(R16-$R$27,""),2)</f>
      </c>
      <c r="S29" s="125" t="str">
        <f>=ROUND(IFERROR(S16-S27,""),2)</f>
      </c>
      <c r="T29" s="151" t="str">
        <f>=ROUND(IFERROR(T16-T27,""),2)</f>
      </c>
      <c r="W29" s="137" t="s">
        <v>286</v>
      </c>
      <c r="X29" s="125" t="str">
        <f>=ROUND(IFERROR(X16-$X$27,""),2)</f>
      </c>
      <c r="Y29" s="126" t="str">
        <f>=ROUND(IFERROR(Y16-$Y$27,""),2)</f>
      </c>
      <c r="Z29" s="125" t="str">
        <f>=ROUND(IFERROR(Z16-Z27,""),2)</f>
      </c>
      <c r="AA29" s="151" t="str">
        <f>=ROUND(IFERROR(AA16-AA27,""),2)</f>
      </c>
      <c r="AD29" s="137" t="s">
        <v>286</v>
      </c>
      <c r="AE29" s="125" t="str">
        <f>=ROUND(IFERROR(AE16-$AE$27,""),2)</f>
      </c>
      <c r="AF29" s="126" t="str">
        <f>=ROUND(IFERROR(AF16-$AF$27,""),2)</f>
      </c>
      <c r="AG29" s="125" t="str">
        <f>=ROUND(IFERROR(AG16-AG27,""),2)</f>
      </c>
      <c r="AH29" s="151" t="str">
        <f>=ROUND(IFERROR(AH16-AH27,""),2)</f>
      </c>
      <c r="AK29" s="137" t="s">
        <v>286</v>
      </c>
      <c r="AL29" s="125" t="str">
        <f>=ROUND(IFERROR(AL16-$AL$27,""),2)</f>
      </c>
      <c r="AM29" s="126" t="str">
        <f>=ROUND(IFERROR(AM16-$AM$27,""),2)</f>
      </c>
      <c r="AN29" s="125" t="str">
        <f>=ROUND(IFERROR(AN16-AN27,""),2)</f>
      </c>
      <c r="AO29" s="151" t="str">
        <f>=ROUND(IFERROR(AO16-AO27,""),2)</f>
      </c>
      <c r="AR29" s="137" t="s">
        <v>286</v>
      </c>
      <c r="AS29" s="125" t="str">
        <f>=ROUND(IFERROR(AS16-$AS$27,""),2)</f>
      </c>
      <c r="AT29" s="126" t="str">
        <f>=ROUND(IFERROR(AT16-$AT$27,""),2)</f>
      </c>
      <c r="AU29" s="125" t="str">
        <f>=ROUND(IFERROR(AU16-AU27,""),2)</f>
      </c>
      <c r="AV29" s="151" t="str">
        <f>=ROUND(IFERROR(AV16-AV27,""),2)</f>
      </c>
      <c r="AY29" s="137" t="s">
        <v>286</v>
      </c>
      <c r="AZ29" s="125" t="str">
        <f>=ROUND(IFERROR(AZ16-$AZ$27,""),2)</f>
      </c>
      <c r="BA29" s="126" t="str">
        <f>=ROUND(IFERROR(BA16-$BA$27,""),2)</f>
      </c>
      <c r="BB29" s="125" t="str">
        <f>=ROUND(IFERROR(BB16-BB27,""),2)</f>
      </c>
      <c r="BC29" s="151" t="str">
        <f>=ROUND(IFERROR(BC16-BC27,""),2)</f>
      </c>
      <c r="BF29" s="137" t="s">
        <v>286</v>
      </c>
      <c r="BG29" s="125" t="str">
        <f>=ROUND(IFERROR(BG16-$BG$27,""),2)</f>
      </c>
      <c r="BH29" s="126" t="str">
        <f>=ROUND(IFERROR(BH16-$BH$27,""),2)</f>
      </c>
      <c r="BI29" s="125" t="str">
        <f>=ROUND(IFERROR(BI16-BI27,""),2)</f>
      </c>
      <c r="BJ29" s="151" t="str">
        <f>=ROUND(IFERROR(BJ16-BJ27,""),2)</f>
      </c>
      <c r="BM29" s="137" t="s">
        <v>286</v>
      </c>
      <c r="BN29" s="125" t="str">
        <f>=ROUND(IFERROR(BN16-$BN$27,""),2)</f>
      </c>
      <c r="BO29" s="126" t="str">
        <f>=ROUND(IFERROR(BO16-$BO$27,""),2)</f>
      </c>
      <c r="BP29" s="125" t="str">
        <f>=ROUND(IFERROR(BP16-BP27,""),2)</f>
      </c>
      <c r="BQ29" s="151" t="str">
        <f>=ROUND(IFERROR(BQ16-BQ27,""),2)</f>
      </c>
      <c r="BT29" s="137" t="s">
        <v>286</v>
      </c>
      <c r="BU29" s="125" t="str">
        <f>=ROUND(IFERROR(BU16-$BU$27,""),2)</f>
      </c>
      <c r="BV29" s="126" t="str">
        <f>=ROUND(IFERROR(BV16-$BV$27,""),2)</f>
      </c>
      <c r="BW29" s="125" t="str">
        <f>=ROUND(IFERROR(BW16-BW27,""),2)</f>
      </c>
      <c r="BX29" s="151" t="str">
        <f>=ROUND(IFERROR(BX16-BX27,""),2)</f>
      </c>
      <c r="CA29" s="137" t="s">
        <v>286</v>
      </c>
      <c r="CB29" s="125" t="str">
        <f>=ROUND(IFERROR(CB16-$CB$27,""),2)</f>
      </c>
      <c r="CC29" s="126" t="str">
        <f>=ROUND(IFERROR(CC16-$CC$27,""),2)</f>
      </c>
      <c r="CD29" s="125" t="str">
        <f>=ROUND(IFERROR(CD16-CD27,""),2)</f>
      </c>
      <c r="CE29" s="151" t="str">
        <f>=ROUND(IFERROR(CE16-CE27,""),2)</f>
      </c>
      <c r="CH29" s="137" t="s">
        <v>286</v>
      </c>
      <c r="CI29" s="125" t="str">
        <f>=ROUND(IFERROR(CI16-$CI$27,""),2)</f>
      </c>
      <c r="CJ29" s="126" t="str">
        <f>=ROUND(IFERROR(CJ16-$CJ$27,""),2)</f>
      </c>
      <c r="CK29" s="125" t="str">
        <f>=ROUND(IFERROR(CK16-CK27,""),2)</f>
      </c>
      <c r="CL29" s="151" t="str">
        <f>=ROUND(IFERROR(CL16-CL27,""),2)</f>
      </c>
      <c r="CO29" s="137" t="s">
        <v>286</v>
      </c>
      <c r="CP29" s="125" t="str">
        <f>=ROUND(IFERROR(CP16-$CP$27,""),2)</f>
      </c>
      <c r="CQ29" s="126" t="str">
        <f>=ROUND(IFERROR(CQ16-$CQ$27,""),2)</f>
      </c>
      <c r="CR29" s="125" t="str">
        <f>=ROUND(IFERROR(CR16-CR27,""),2)</f>
      </c>
      <c r="CS29" s="151" t="str">
        <f>=ROUND(IFERROR(CS16-CS27,""),2)</f>
      </c>
      <c r="CV29" s="137" t="s">
        <v>286</v>
      </c>
      <c r="CW29" s="125" t="str">
        <f>=ROUND(IFERROR(CW16-$CW$27,""),2)</f>
      </c>
      <c r="CX29" s="126" t="str">
        <f>=ROUND(IFERROR(CX16-$CX$27,""),2)</f>
      </c>
      <c r="CY29" s="125" t="str">
        <f>=ROUND(IFERROR(CY16-CY27,""),2)</f>
      </c>
      <c r="CZ29" s="151" t="str">
        <f>=ROUND(IFERROR(CZ16-CZ27,""),2)</f>
      </c>
      <c r="DC29" s="137" t="s">
        <v>286</v>
      </c>
      <c r="DD29" s="125" t="str">
        <f>=ROUND(IFERROR(DD16-$DD$27,""),2)</f>
      </c>
      <c r="DE29" s="126" t="str">
        <f>=ROUND(IFERROR(DE16-$DE$27,""),2)</f>
      </c>
      <c r="DF29" s="125" t="str">
        <f>=ROUND(IFERROR(DF16-DF27,""),2)</f>
      </c>
      <c r="DG29" s="151" t="str">
        <f>=ROUND(IFERROR(DG16-DG27,""),2)</f>
      </c>
      <c r="DJ29" s="137" t="s">
        <v>286</v>
      </c>
      <c r="DK29" s="125" t="str">
        <f>=ROUND(IFERROR(DK16-$DK$27,""),2)</f>
      </c>
      <c r="DL29" s="126" t="str">
        <f>=ROUND(IFERROR(DL16-$DL$27,""),2)</f>
      </c>
      <c r="DM29" s="125" t="str">
        <f>=ROUND(IFERROR(DM16-DM27,""),2)</f>
      </c>
      <c r="DN29" s="151" t="str">
        <f>=ROUND(IFERROR(DN16-DN27,""),2)</f>
      </c>
      <c r="DQ29" s="137" t="s">
        <v>286</v>
      </c>
      <c r="DR29" s="125" t="str">
        <f>=ROUND(IFERROR(DR16-$DR$27,""),2)</f>
      </c>
      <c r="DS29" s="126" t="str">
        <f>=ROUND(IFERROR(DS16-$DS$27,""),2)</f>
      </c>
      <c r="DT29" s="125" t="str">
        <f>=ROUND(IFERROR(DT16-DT27,""),2)</f>
      </c>
      <c r="DU29" s="151" t="str">
        <f>=ROUND(IFERROR(DU16-DU27,""),2)</f>
      </c>
    </row>
    <row r="30">
      <c r="B30" s="47"/>
      <c r="F30" s="48"/>
      <c r="I30" s="47"/>
      <c r="M30" s="48"/>
      <c r="P30" s="47"/>
      <c r="T30" s="48"/>
      <c r="W30" s="47"/>
      <c r="AA30" s="48"/>
      <c r="AD30" s="47"/>
      <c r="AH30" s="48"/>
      <c r="AK30" s="47"/>
      <c r="AO30" s="48"/>
      <c r="AR30" s="47"/>
      <c r="AV30" s="48"/>
      <c r="AY30" s="47"/>
      <c r="BC30" s="48"/>
      <c r="BF30" s="47"/>
      <c r="BJ30" s="48"/>
      <c r="BM30" s="47"/>
      <c r="BQ30" s="48"/>
      <c r="BT30" s="47"/>
      <c r="BX30" s="48"/>
      <c r="CA30" s="47"/>
      <c r="CE30" s="48"/>
      <c r="CH30" s="47"/>
      <c r="CL30" s="48"/>
      <c r="CO30" s="47"/>
      <c r="CS30" s="48"/>
      <c r="CV30" s="47"/>
      <c r="CZ30" s="48"/>
      <c r="DC30" s="47"/>
      <c r="DG30" s="48"/>
      <c r="DJ30" s="47"/>
      <c r="DN30" s="48"/>
      <c r="DQ30" s="47"/>
      <c r="DU30" s="48"/>
    </row>
    <row r="31">
      <c r="B31" s="152" t="s">
        <v>287</v>
      </c>
      <c r="F31" s="48"/>
      <c r="I31" s="152" t="s">
        <v>287</v>
      </c>
      <c r="M31" s="48"/>
      <c r="P31" s="152" t="s">
        <v>287</v>
      </c>
      <c r="T31" s="48"/>
      <c r="W31" s="152" t="s">
        <v>287</v>
      </c>
      <c r="AA31" s="48"/>
      <c r="AD31" s="152" t="s">
        <v>287</v>
      </c>
      <c r="AH31" s="48"/>
      <c r="AK31" s="152" t="s">
        <v>287</v>
      </c>
      <c r="AO31" s="48"/>
      <c r="AR31" s="152" t="s">
        <v>287</v>
      </c>
      <c r="AV31" s="48"/>
      <c r="AY31" s="152" t="s">
        <v>287</v>
      </c>
      <c r="BC31" s="48"/>
      <c r="BF31" s="152" t="s">
        <v>287</v>
      </c>
      <c r="BJ31" s="48"/>
      <c r="BM31" s="152" t="s">
        <v>287</v>
      </c>
      <c r="BQ31" s="48"/>
      <c r="BT31" s="152" t="s">
        <v>287</v>
      </c>
      <c r="BX31" s="48"/>
      <c r="CA31" s="152" t="s">
        <v>287</v>
      </c>
      <c r="CE31" s="48"/>
      <c r="CH31" s="152" t="s">
        <v>287</v>
      </c>
      <c r="CL31" s="48"/>
      <c r="CO31" s="152" t="s">
        <v>287</v>
      </c>
      <c r="CS31" s="48"/>
      <c r="CV31" s="152" t="s">
        <v>287</v>
      </c>
      <c r="CZ31" s="48"/>
      <c r="DC31" s="152" t="s">
        <v>287</v>
      </c>
      <c r="DG31" s="48"/>
      <c r="DJ31" s="152" t="s">
        <v>287</v>
      </c>
      <c r="DN31" s="48"/>
      <c r="DQ31" s="152" t="s">
        <v>287</v>
      </c>
      <c r="DU31" s="48"/>
    </row>
    <row r="32">
      <c r="B32" s="153" t="s">
        <v>288</v>
      </c>
      <c r="C32" s="128"/>
      <c r="D32" s="129" t="str">
        <f>=IF(C32=0, 0, IF(ROUND(SUM(C33:C34), 2)=0, ROUND(D29 - 0, 2), ROUND(C32 / ROUND(SUM(C32:C34), 2) * D29, 2)))</f>
      </c>
      <c r="F32" s="48"/>
      <c r="I32" s="153" t="s">
        <v>288</v>
      </c>
      <c r="J32" s="128"/>
      <c r="K32" s="129" t="str">
        <f>=IF(J32=0, 0, IF(ROUND(SUM(J33:J34), 2)=0, ROUND(K29 - 0, 2), ROUND(J32 / ROUND(SUM(J32:J34), 2) * K29, 2)))</f>
      </c>
      <c r="M32" s="48"/>
      <c r="P32" s="153" t="s">
        <v>288</v>
      </c>
      <c r="Q32" s="128"/>
      <c r="R32" s="129" t="str">
        <f>=IF(Q32=0, 0, IF(ROUND(SUM(Q33:Q34), 2)=0, ROUND(R29 - 0, 2), ROUND(Q32 / ROUND(SUM(Q32:Q34), 2) * R29, 2)))</f>
      </c>
      <c r="T32" s="48"/>
      <c r="W32" s="153" t="s">
        <v>288</v>
      </c>
      <c r="X32" s="128"/>
      <c r="Y32" s="129" t="str">
        <f>=IF(X32=0, 0, IF(ROUND(SUM(X33:X34), 2)=0, ROUND(Y29 - 0, 2), ROUND(X32 / ROUND(SUM(X32:X34), 2) * Y29, 2)))</f>
      </c>
      <c r="AA32" s="48"/>
      <c r="AD32" s="153" t="s">
        <v>288</v>
      </c>
      <c r="AE32" s="128"/>
      <c r="AF32" s="129" t="str">
        <f>=IF(AE32=0, 0, IF(ROUND(SUM(AE33:AE34), 2)=0, ROUND(AF29 - 0, 2), ROUND(AE32 / ROUND(SUM(AE32:AE34), 2) * AF29, 2)))</f>
      </c>
      <c r="AH32" s="48"/>
      <c r="AK32" s="153" t="s">
        <v>288</v>
      </c>
      <c r="AL32" s="128"/>
      <c r="AM32" s="129" t="str">
        <f>=IF(AL32=0, 0, IF(ROUND(SUM(AL33:AL34), 2)=0, ROUND(AM29 - 0, 2), ROUND(AL32 / ROUND(SUM(AL32:AL34), 2) * AM29, 2)))</f>
      </c>
      <c r="AO32" s="48"/>
      <c r="AR32" s="153" t="s">
        <v>288</v>
      </c>
      <c r="AS32" s="128"/>
      <c r="AT32" s="129" t="str">
        <f>=IF(AS32=0, 0, IF(ROUND(SUM(AS33:AS34), 2)=0, ROUND(AT29 - 0, 2), ROUND(AS32 / ROUND(SUM(AS32:AS34), 2) * AT29, 2)))</f>
      </c>
      <c r="AV32" s="48"/>
      <c r="AY32" s="153" t="s">
        <v>288</v>
      </c>
      <c r="AZ32" s="128"/>
      <c r="BA32" s="129" t="str">
        <f>=IF(AZ32=0, 0, IF(ROUND(SUM(AZ33:AZ34), 2)=0, ROUND(BA29 - 0, 2), ROUND(AZ32 / ROUND(SUM(AZ32:AZ34), 2) * BA29, 2)))</f>
      </c>
      <c r="BC32" s="48"/>
      <c r="BF32" s="153" t="s">
        <v>288</v>
      </c>
      <c r="BG32" s="128"/>
      <c r="BH32" s="129" t="str">
        <f>=IF(BG32=0, 0, IF(ROUND(SUM(BG33:BG34), 2)=0, ROUND(BH29 - 0, 2), ROUND(BG32 / ROUND(SUM(BG32:BG34), 2) * BH29, 2)))</f>
      </c>
      <c r="BJ32" s="48"/>
      <c r="BM32" s="153" t="s">
        <v>288</v>
      </c>
      <c r="BN32" s="128"/>
      <c r="BO32" s="129" t="str">
        <f>=IF(BN32=0, 0, IF(ROUND(SUM(BN33:BN34), 2)=0, ROUND(BO29 - 0, 2), ROUND(BN32 / ROUND(SUM(BN32:BN34), 2) * BO29, 2)))</f>
      </c>
      <c r="BQ32" s="48"/>
      <c r="BT32" s="153" t="s">
        <v>288</v>
      </c>
      <c r="BU32" s="128"/>
      <c r="BV32" s="129" t="str">
        <f>=IF(BU32=0, 0, IF(ROUND(SUM(BU33:BU34), 2)=0, ROUND(BV29 - 0, 2), ROUND(BU32 / ROUND(SUM(BU32:BU34), 2) * BV29, 2)))</f>
      </c>
      <c r="BX32" s="48"/>
      <c r="CA32" s="153" t="s">
        <v>288</v>
      </c>
      <c r="CB32" s="128"/>
      <c r="CC32" s="129" t="str">
        <f>=IF(CB32=0, 0, IF(ROUND(SUM(CB33:CB34), 2)=0, ROUND(CC29 - 0, 2), ROUND(CB32 / ROUND(SUM(CB32:CB34), 2) * CC29, 2)))</f>
      </c>
      <c r="CE32" s="48"/>
      <c r="CH32" s="153" t="s">
        <v>288</v>
      </c>
      <c r="CI32" s="128"/>
      <c r="CJ32" s="129" t="str">
        <f>=IF(CI32=0, 0, IF(ROUND(SUM(CI33:CI34), 2)=0, ROUND(CJ29 - 0, 2), ROUND(CI32 / ROUND(SUM(CI32:CI34), 2) * CJ29, 2)))</f>
      </c>
      <c r="CL32" s="48"/>
      <c r="CO32" s="153" t="s">
        <v>288</v>
      </c>
      <c r="CP32" s="128"/>
      <c r="CQ32" s="129" t="str">
        <f>=IF(CP32=0, 0, IF(ROUND(SUM(CP33:CP34), 2)=0, ROUND(CQ29 - 0, 2), ROUND(CP32 / ROUND(SUM(CP32:CP34), 2) * CQ29, 2)))</f>
      </c>
      <c r="CS32" s="48"/>
      <c r="CV32" s="153" t="s">
        <v>288</v>
      </c>
      <c r="CW32" s="128"/>
      <c r="CX32" s="129" t="str">
        <f>=IF(CW32=0, 0, IF(ROUND(SUM(CW33:CW34), 2)=0, ROUND(CX29 - 0, 2), ROUND(CW32 / ROUND(SUM(CW32:CW34), 2) * CX29, 2)))</f>
      </c>
      <c r="CZ32" s="48"/>
      <c r="DC32" s="153" t="s">
        <v>288</v>
      </c>
      <c r="DD32" s="128"/>
      <c r="DE32" s="129" t="str">
        <f>=IF(DD32=0, 0, IF(ROUND(SUM(DD33:DD34), 2)=0, ROUND(DE29 - 0, 2), ROUND(DD32 / ROUND(SUM(DD32:DD34), 2) * DE29, 2)))</f>
      </c>
      <c r="DG32" s="48"/>
      <c r="DJ32" s="153" t="s">
        <v>288</v>
      </c>
      <c r="DK32" s="128"/>
      <c r="DL32" s="129" t="str">
        <f>=IF(DK32=0, 0, IF(ROUND(SUM(DK33:DK34), 2)=0, ROUND(DL29 - 0, 2), ROUND(DK32 / ROUND(SUM(DK32:DK34), 2) * DL29, 2)))</f>
      </c>
      <c r="DN32" s="48"/>
      <c r="DQ32" s="153" t="s">
        <v>288</v>
      </c>
      <c r="DR32" s="128"/>
      <c r="DS32" s="129" t="str">
        <f>=IF(DR32=0, 0, IF(ROUND(SUM(DR33:DR34), 2)=0, ROUND(DS29 - 0, 2), ROUND(DR32 / ROUND(SUM(DR32:DR34), 2) * DS29, 2)))</f>
      </c>
      <c r="DU32" s="48"/>
    </row>
    <row r="33">
      <c r="B33" s="153" t="s">
        <v>289</v>
      </c>
      <c r="C33" s="128"/>
      <c r="D33" s="129" t="str">
        <f>=IF(C33=0, 0, IF(ROUND(SUM(C34:C34), 2)=0, ROUND(D29 - SUM(D32:D32), 2), ROUND(C33 / ROUND(SUM(C32:C34), 2) * D29, 2)))</f>
      </c>
      <c r="F33" s="48"/>
      <c r="I33" s="153" t="s">
        <v>289</v>
      </c>
      <c r="J33" s="128"/>
      <c r="K33" s="129" t="str">
        <f>=IF(J33=0, 0, IF(ROUND(SUM(J34:J34), 2)=0, ROUND(K29 - SUM(K32:K32), 2), ROUND(J33 / ROUND(SUM(J32:J34), 2) * K29, 2)))</f>
      </c>
      <c r="M33" s="48"/>
      <c r="P33" s="153" t="s">
        <v>289</v>
      </c>
      <c r="Q33" s="128"/>
      <c r="R33" s="129" t="str">
        <f>=IF(Q33=0, 0, IF(ROUND(SUM(Q34:Q34), 2)=0, ROUND(R29 - SUM(R32:R32), 2), ROUND(Q33 / ROUND(SUM(Q32:Q34), 2) * R29, 2)))</f>
      </c>
      <c r="T33" s="48"/>
      <c r="W33" s="153" t="s">
        <v>289</v>
      </c>
      <c r="X33" s="128"/>
      <c r="Y33" s="129" t="str">
        <f>=IF(X33=0, 0, IF(ROUND(SUM(X34:X34), 2)=0, ROUND(Y29 - SUM(Y32:Y32), 2), ROUND(X33 / ROUND(SUM(X32:X34), 2) * Y29, 2)))</f>
      </c>
      <c r="AA33" s="48"/>
      <c r="AD33" s="153" t="s">
        <v>289</v>
      </c>
      <c r="AE33" s="128"/>
      <c r="AF33" s="129" t="str">
        <f>=IF(AE33=0, 0, IF(ROUND(SUM(AE34:AE34), 2)=0, ROUND(AF29 - SUM(AF32:AF32), 2), ROUND(AE33 / ROUND(SUM(AE32:AE34), 2) * AF29, 2)))</f>
      </c>
      <c r="AH33" s="48"/>
      <c r="AK33" s="153" t="s">
        <v>289</v>
      </c>
      <c r="AL33" s="128"/>
      <c r="AM33" s="129" t="str">
        <f>=IF(AL33=0, 0, IF(ROUND(SUM(AL34:AL34), 2)=0, ROUND(AM29 - SUM(AM32:AM32), 2), ROUND(AL33 / ROUND(SUM(AL32:AL34), 2) * AM29, 2)))</f>
      </c>
      <c r="AO33" s="48"/>
      <c r="AR33" s="153" t="s">
        <v>289</v>
      </c>
      <c r="AS33" s="128"/>
      <c r="AT33" s="129" t="str">
        <f>=IF(AS33=0, 0, IF(ROUND(SUM(AS34:AS34), 2)=0, ROUND(AT29 - SUM(AT32:AT32), 2), ROUND(AS33 / ROUND(SUM(AS32:AS34), 2) * AT29, 2)))</f>
      </c>
      <c r="AV33" s="48"/>
      <c r="AY33" s="153" t="s">
        <v>289</v>
      </c>
      <c r="AZ33" s="128"/>
      <c r="BA33" s="129" t="str">
        <f>=IF(AZ33=0, 0, IF(ROUND(SUM(AZ34:AZ34), 2)=0, ROUND(BA29 - SUM(BA32:BA32), 2), ROUND(AZ33 / ROUND(SUM(AZ32:AZ34), 2) * BA29, 2)))</f>
      </c>
      <c r="BC33" s="48"/>
      <c r="BF33" s="153" t="s">
        <v>289</v>
      </c>
      <c r="BG33" s="128"/>
      <c r="BH33" s="129" t="str">
        <f>=IF(BG33=0, 0, IF(ROUND(SUM(BG34:BG34), 2)=0, ROUND(BH29 - SUM(BH32:BH32), 2), ROUND(BG33 / ROUND(SUM(BG32:BG34), 2) * BH29, 2)))</f>
      </c>
      <c r="BJ33" s="48"/>
      <c r="BM33" s="153" t="s">
        <v>289</v>
      </c>
      <c r="BN33" s="128"/>
      <c r="BO33" s="129" t="str">
        <f>=IF(BN33=0, 0, IF(ROUND(SUM(BN34:BN34), 2)=0, ROUND(BO29 - SUM(BO32:BO32), 2), ROUND(BN33 / ROUND(SUM(BN32:BN34), 2) * BO29, 2)))</f>
      </c>
      <c r="BQ33" s="48"/>
      <c r="BT33" s="153" t="s">
        <v>289</v>
      </c>
      <c r="BU33" s="128"/>
      <c r="BV33" s="129" t="str">
        <f>=IF(BU33=0, 0, IF(ROUND(SUM(BU34:BU34), 2)=0, ROUND(BV29 - SUM(BV32:BV32), 2), ROUND(BU33 / ROUND(SUM(BU32:BU34), 2) * BV29, 2)))</f>
      </c>
      <c r="BX33" s="48"/>
      <c r="CA33" s="153" t="s">
        <v>289</v>
      </c>
      <c r="CB33" s="128"/>
      <c r="CC33" s="129" t="str">
        <f>=IF(CB33=0, 0, IF(ROUND(SUM(CB34:CB34), 2)=0, ROUND(CC29 - SUM(CC32:CC32), 2), ROUND(CB33 / ROUND(SUM(CB32:CB34), 2) * CC29, 2)))</f>
      </c>
      <c r="CE33" s="48"/>
      <c r="CH33" s="153" t="s">
        <v>289</v>
      </c>
      <c r="CI33" s="128"/>
      <c r="CJ33" s="129" t="str">
        <f>=IF(CI33=0, 0, IF(ROUND(SUM(CI34:CI34), 2)=0, ROUND(CJ29 - SUM(CJ32:CJ32), 2), ROUND(CI33 / ROUND(SUM(CI32:CI34), 2) * CJ29, 2)))</f>
      </c>
      <c r="CL33" s="48"/>
      <c r="CO33" s="153" t="s">
        <v>289</v>
      </c>
      <c r="CP33" s="128"/>
      <c r="CQ33" s="129" t="str">
        <f>=IF(CP33=0, 0, IF(ROUND(SUM(CP34:CP34), 2)=0, ROUND(CQ29 - SUM(CQ32:CQ32), 2), ROUND(CP33 / ROUND(SUM(CP32:CP34), 2) * CQ29, 2)))</f>
      </c>
      <c r="CS33" s="48"/>
      <c r="CV33" s="153" t="s">
        <v>289</v>
      </c>
      <c r="CW33" s="128"/>
      <c r="CX33" s="129" t="str">
        <f>=IF(CW33=0, 0, IF(ROUND(SUM(CW34:CW34), 2)=0, ROUND(CX29 - SUM(CX32:CX32), 2), ROUND(CW33 / ROUND(SUM(CW32:CW34), 2) * CX29, 2)))</f>
      </c>
      <c r="CZ33" s="48"/>
      <c r="DC33" s="153" t="s">
        <v>289</v>
      </c>
      <c r="DD33" s="128"/>
      <c r="DE33" s="129" t="str">
        <f>=IF(DD33=0, 0, IF(ROUND(SUM(DD34:DD34), 2)=0, ROUND(DE29 - SUM(DE32:DE32), 2), ROUND(DD33 / ROUND(SUM(DD32:DD34), 2) * DE29, 2)))</f>
      </c>
      <c r="DG33" s="48"/>
      <c r="DJ33" s="153" t="s">
        <v>289</v>
      </c>
      <c r="DK33" s="128"/>
      <c r="DL33" s="129" t="str">
        <f>=IF(DK33=0, 0, IF(ROUND(SUM(DK34:DK34), 2)=0, ROUND(DL29 - SUM(DL32:DL32), 2), ROUND(DK33 / ROUND(SUM(DK32:DK34), 2) * DL29, 2)))</f>
      </c>
      <c r="DN33" s="48"/>
      <c r="DQ33" s="153" t="s">
        <v>289</v>
      </c>
      <c r="DR33" s="128"/>
      <c r="DS33" s="129" t="str">
        <f>=IF(DR33=0, 0, IF(ROUND(SUM(DR34:DR34), 2)=0, ROUND(DS29 - SUM(DS32:DS32), 2), ROUND(DR33 / ROUND(SUM(DR32:DR34), 2) * DS29, 2)))</f>
      </c>
      <c r="DU33" s="48"/>
    </row>
    <row r="34">
      <c r="B34" s="153" t="s">
        <v>290</v>
      </c>
      <c r="C34" s="128"/>
      <c r="D34" s="129" t="str">
        <f>=IF(C34=0, 0, ROUND(D29 - SUM(D32:D33), 2))</f>
      </c>
      <c r="F34" s="48"/>
      <c r="I34" s="153" t="s">
        <v>290</v>
      </c>
      <c r="J34" s="128"/>
      <c r="K34" s="129" t="str">
        <f>=IF(J34=0, 0, ROUND(K29 - SUM(K32:K33), 2))</f>
      </c>
      <c r="M34" s="48"/>
      <c r="P34" s="153" t="s">
        <v>290</v>
      </c>
      <c r="Q34" s="128"/>
      <c r="R34" s="129" t="str">
        <f>=IF(Q34=0, 0, ROUND(R29 - SUM(R32:R33), 2))</f>
      </c>
      <c r="T34" s="48"/>
      <c r="W34" s="153" t="s">
        <v>290</v>
      </c>
      <c r="X34" s="128"/>
      <c r="Y34" s="129" t="str">
        <f>=IF(X34=0, 0, ROUND(Y29 - SUM(Y32:Y33), 2))</f>
      </c>
      <c r="AA34" s="48"/>
      <c r="AD34" s="153" t="s">
        <v>290</v>
      </c>
      <c r="AE34" s="128"/>
      <c r="AF34" s="129" t="str">
        <f>=IF(AE34=0, 0, ROUND(AF29 - SUM(AF32:AF33), 2))</f>
      </c>
      <c r="AH34" s="48"/>
      <c r="AK34" s="153" t="s">
        <v>290</v>
      </c>
      <c r="AL34" s="128"/>
      <c r="AM34" s="129" t="str">
        <f>=IF(AL34=0, 0, ROUND(AM29 - SUM(AM32:AM33), 2))</f>
      </c>
      <c r="AO34" s="48"/>
      <c r="AR34" s="153" t="s">
        <v>290</v>
      </c>
      <c r="AS34" s="128"/>
      <c r="AT34" s="129" t="str">
        <f>=IF(AS34=0, 0, ROUND(AT29 - SUM(AT32:AT33), 2))</f>
      </c>
      <c r="AV34" s="48"/>
      <c r="AY34" s="153" t="s">
        <v>290</v>
      </c>
      <c r="AZ34" s="128"/>
      <c r="BA34" s="129" t="str">
        <f>=IF(AZ34=0, 0, ROUND(BA29 - SUM(BA32:BA33), 2))</f>
      </c>
      <c r="BC34" s="48"/>
      <c r="BF34" s="153" t="s">
        <v>290</v>
      </c>
      <c r="BG34" s="128"/>
      <c r="BH34" s="129" t="str">
        <f>=IF(BG34=0, 0, ROUND(BH29 - SUM(BH32:BH33), 2))</f>
      </c>
      <c r="BJ34" s="48"/>
      <c r="BM34" s="153" t="s">
        <v>290</v>
      </c>
      <c r="BN34" s="128"/>
      <c r="BO34" s="129" t="str">
        <f>=IF(BN34=0, 0, ROUND(BO29 - SUM(BO32:BO33), 2))</f>
      </c>
      <c r="BQ34" s="48"/>
      <c r="BT34" s="153" t="s">
        <v>290</v>
      </c>
      <c r="BU34" s="128"/>
      <c r="BV34" s="129" t="str">
        <f>=IF(BU34=0, 0, ROUND(BV29 - SUM(BV32:BV33), 2))</f>
      </c>
      <c r="BX34" s="48"/>
      <c r="CA34" s="153" t="s">
        <v>290</v>
      </c>
      <c r="CB34" s="128"/>
      <c r="CC34" s="129" t="str">
        <f>=IF(CB34=0, 0, ROUND(CC29 - SUM(CC32:CC33), 2))</f>
      </c>
      <c r="CE34" s="48"/>
      <c r="CH34" s="153" t="s">
        <v>290</v>
      </c>
      <c r="CI34" s="128"/>
      <c r="CJ34" s="129" t="str">
        <f>=IF(CI34=0, 0, ROUND(CJ29 - SUM(CJ32:CJ33), 2))</f>
      </c>
      <c r="CL34" s="48"/>
      <c r="CO34" s="153" t="s">
        <v>290</v>
      </c>
      <c r="CP34" s="128"/>
      <c r="CQ34" s="129" t="str">
        <f>=IF(CP34=0, 0, ROUND(CQ29 - SUM(CQ32:CQ33), 2))</f>
      </c>
      <c r="CS34" s="48"/>
      <c r="CV34" s="153" t="s">
        <v>290</v>
      </c>
      <c r="CW34" s="128"/>
      <c r="CX34" s="129" t="str">
        <f>=IF(CW34=0, 0, ROUND(CX29 - SUM(CX32:CX33), 2))</f>
      </c>
      <c r="CZ34" s="48"/>
      <c r="DC34" s="153" t="s">
        <v>290</v>
      </c>
      <c r="DD34" s="128"/>
      <c r="DE34" s="129" t="str">
        <f>=IF(DD34=0, 0, ROUND(DE29 - SUM(DE32:DE33), 2))</f>
      </c>
      <c r="DG34" s="48"/>
      <c r="DJ34" s="153" t="s">
        <v>290</v>
      </c>
      <c r="DK34" s="128"/>
      <c r="DL34" s="129" t="str">
        <f>=IF(DK34=0, 0, ROUND(DL29 - SUM(DL32:DL33), 2))</f>
      </c>
      <c r="DN34" s="48"/>
      <c r="DQ34" s="153" t="s">
        <v>290</v>
      </c>
      <c r="DR34" s="128"/>
      <c r="DS34" s="129" t="str">
        <f>=IF(DR34=0, 0, ROUND(DS29 - SUM(DS32:DS33), 2))</f>
      </c>
      <c r="DU34" s="48"/>
    </row>
    <row r="35">
      <c r="B35" s="47"/>
      <c r="F35" s="48"/>
      <c r="I35" s="47"/>
      <c r="M35" s="48"/>
      <c r="P35" s="47"/>
      <c r="T35" s="48"/>
      <c r="W35" s="47"/>
      <c r="AA35" s="48"/>
      <c r="AD35" s="47"/>
      <c r="AH35" s="48"/>
      <c r="AK35" s="47"/>
      <c r="AO35" s="48"/>
      <c r="AR35" s="47"/>
      <c r="AV35" s="48"/>
      <c r="AY35" s="47"/>
      <c r="BC35" s="48"/>
      <c r="BF35" s="47"/>
      <c r="BJ35" s="48"/>
      <c r="BM35" s="47"/>
      <c r="BQ35" s="48"/>
      <c r="BT35" s="47"/>
      <c r="BX35" s="48"/>
      <c r="CA35" s="47"/>
      <c r="CE35" s="48"/>
      <c r="CH35" s="47"/>
      <c r="CL35" s="48"/>
      <c r="CO35" s="47"/>
      <c r="CS35" s="48"/>
      <c r="CV35" s="47"/>
      <c r="CZ35" s="48"/>
      <c r="DC35" s="47"/>
      <c r="DG35" s="48"/>
      <c r="DJ35" s="47"/>
      <c r="DN35" s="48"/>
      <c r="DQ35" s="47"/>
      <c r="DU35" s="48"/>
    </row>
    <row r="36">
      <c r="B36" s="154" t="s">
        <v>291</v>
      </c>
      <c r="C36" s="155" t="str">
        <f>=ROUND(IFERROR(C29-SUM(C32:C34),""),2)</f>
      </c>
      <c r="D36" s="156" t="str">
        <f>=ROUND(IFERROR(D29-SUM(D32:D34),""),2)</f>
      </c>
      <c r="E36" s="157"/>
      <c r="F36" s="158"/>
      <c r="I36" s="154" t="s">
        <v>291</v>
      </c>
      <c r="J36" s="155" t="str">
        <f>=ROUND(IFERROR(J29-SUM(J32:J34),""),2)</f>
      </c>
      <c r="K36" s="156" t="str">
        <f>=ROUND(IFERROR(K29-SUM(K32:K34),""),2)</f>
      </c>
      <c r="L36" s="157"/>
      <c r="M36" s="158"/>
      <c r="P36" s="154" t="s">
        <v>291</v>
      </c>
      <c r="Q36" s="155" t="str">
        <f>=ROUND(IFERROR(Q29-SUM(Q32:Q34),""),2)</f>
      </c>
      <c r="R36" s="156" t="str">
        <f>=ROUND(IFERROR(R29-SUM(R32:R34),""),2)</f>
      </c>
      <c r="S36" s="157"/>
      <c r="T36" s="158"/>
      <c r="W36" s="154" t="s">
        <v>291</v>
      </c>
      <c r="X36" s="155" t="str">
        <f>=ROUND(IFERROR(X29-SUM(X32:X34),""),2)</f>
      </c>
      <c r="Y36" s="156" t="str">
        <f>=ROUND(IFERROR(Y29-SUM(Y32:Y34),""),2)</f>
      </c>
      <c r="Z36" s="157"/>
      <c r="AA36" s="158"/>
      <c r="AD36" s="154" t="s">
        <v>291</v>
      </c>
      <c r="AE36" s="155" t="str">
        <f>=ROUND(IFERROR(AE29-SUM(AE32:AE34),""),2)</f>
      </c>
      <c r="AF36" s="156" t="str">
        <f>=ROUND(IFERROR(AF29-SUM(AF32:AF34),""),2)</f>
      </c>
      <c r="AG36" s="157"/>
      <c r="AH36" s="158"/>
      <c r="AK36" s="154" t="s">
        <v>291</v>
      </c>
      <c r="AL36" s="155" t="str">
        <f>=ROUND(IFERROR(AL29-SUM(AL32:AL34),""),2)</f>
      </c>
      <c r="AM36" s="156" t="str">
        <f>=ROUND(IFERROR(AM29-SUM(AM32:AM34),""),2)</f>
      </c>
      <c r="AN36" s="157"/>
      <c r="AO36" s="158"/>
      <c r="AR36" s="154" t="s">
        <v>291</v>
      </c>
      <c r="AS36" s="155" t="str">
        <f>=ROUND(IFERROR(AS29-SUM(AS32:AS34),""),2)</f>
      </c>
      <c r="AT36" s="156" t="str">
        <f>=ROUND(IFERROR(AT29-SUM(AT32:AT34),""),2)</f>
      </c>
      <c r="AU36" s="157"/>
      <c r="AV36" s="158"/>
      <c r="AY36" s="154" t="s">
        <v>291</v>
      </c>
      <c r="AZ36" s="155" t="str">
        <f>=ROUND(IFERROR(AZ29-SUM(AZ32:AZ34),""),2)</f>
      </c>
      <c r="BA36" s="156" t="str">
        <f>=ROUND(IFERROR(BA29-SUM(BA32:BA34),""),2)</f>
      </c>
      <c r="BB36" s="157"/>
      <c r="BC36" s="158"/>
      <c r="BF36" s="154" t="s">
        <v>291</v>
      </c>
      <c r="BG36" s="155" t="str">
        <f>=ROUND(IFERROR(BG29-SUM(BG32:BG34),""),2)</f>
      </c>
      <c r="BH36" s="156" t="str">
        <f>=ROUND(IFERROR(BH29-SUM(BH32:BH34),""),2)</f>
      </c>
      <c r="BI36" s="157"/>
      <c r="BJ36" s="158"/>
      <c r="BM36" s="154" t="s">
        <v>291</v>
      </c>
      <c r="BN36" s="155" t="str">
        <f>=ROUND(IFERROR(BN29-SUM(BN32:BN34),""),2)</f>
      </c>
      <c r="BO36" s="156" t="str">
        <f>=ROUND(IFERROR(BO29-SUM(BO32:BO34),""),2)</f>
      </c>
      <c r="BP36" s="157"/>
      <c r="BQ36" s="158"/>
      <c r="BT36" s="154" t="s">
        <v>291</v>
      </c>
      <c r="BU36" s="155" t="str">
        <f>=ROUND(IFERROR(BU29-SUM(BU32:BU34),""),2)</f>
      </c>
      <c r="BV36" s="156" t="str">
        <f>=ROUND(IFERROR(BV29-SUM(BV32:BV34),""),2)</f>
      </c>
      <c r="BW36" s="157"/>
      <c r="BX36" s="158"/>
      <c r="CA36" s="154" t="s">
        <v>291</v>
      </c>
      <c r="CB36" s="155" t="str">
        <f>=ROUND(IFERROR(CB29-SUM(CB32:CB34),""),2)</f>
      </c>
      <c r="CC36" s="156" t="str">
        <f>=ROUND(IFERROR(CC29-SUM(CC32:CC34),""),2)</f>
      </c>
      <c r="CD36" s="157"/>
      <c r="CE36" s="158"/>
      <c r="CH36" s="154" t="s">
        <v>291</v>
      </c>
      <c r="CI36" s="155" t="str">
        <f>=ROUND(IFERROR(CI29-SUM(CI32:CI34),""),2)</f>
      </c>
      <c r="CJ36" s="156" t="str">
        <f>=ROUND(IFERROR(CJ29-SUM(CJ32:CJ34),""),2)</f>
      </c>
      <c r="CK36" s="157"/>
      <c r="CL36" s="158"/>
      <c r="CO36" s="154" t="s">
        <v>291</v>
      </c>
      <c r="CP36" s="155" t="str">
        <f>=ROUND(IFERROR(CP29-SUM(CP32:CP34),""),2)</f>
      </c>
      <c r="CQ36" s="156" t="str">
        <f>=ROUND(IFERROR(CQ29-SUM(CQ32:CQ34),""),2)</f>
      </c>
      <c r="CR36" s="157"/>
      <c r="CS36" s="158"/>
      <c r="CV36" s="154" t="s">
        <v>291</v>
      </c>
      <c r="CW36" s="155" t="str">
        <f>=ROUND(IFERROR(CW29-SUM(CW32:CW34),""),2)</f>
      </c>
      <c r="CX36" s="156" t="str">
        <f>=ROUND(IFERROR(CX29-SUM(CX32:CX34),""),2)</f>
      </c>
      <c r="CY36" s="157"/>
      <c r="CZ36" s="158"/>
      <c r="DC36" s="154" t="s">
        <v>291</v>
      </c>
      <c r="DD36" s="155" t="str">
        <f>=ROUND(IFERROR(DD29-SUM(DD32:DD34),""),2)</f>
      </c>
      <c r="DE36" s="156" t="str">
        <f>=ROUND(IFERROR(DE29-SUM(DE32:DE34),""),2)</f>
      </c>
      <c r="DF36" s="157"/>
      <c r="DG36" s="158"/>
      <c r="DJ36" s="154" t="s">
        <v>291</v>
      </c>
      <c r="DK36" s="155" t="str">
        <f>=ROUND(IFERROR(DK29-SUM(DK32:DK34),""),2)</f>
      </c>
      <c r="DL36" s="156" t="str">
        <f>=ROUND(IFERROR(DL29-SUM(DL32:DL34),""),2)</f>
      </c>
      <c r="DM36" s="157"/>
      <c r="DN36" s="158"/>
      <c r="DQ36" s="154" t="s">
        <v>291</v>
      </c>
      <c r="DR36" s="155" t="str">
        <f>=ROUND(IFERROR(DR29-SUM(DR32:DR34),""),2)</f>
      </c>
      <c r="DS36" s="156" t="str">
        <f>=ROUND(IFERROR(DS29-SUM(DS32:DS34),""),2)</f>
      </c>
      <c r="DT36" s="157"/>
      <c r="DU36" s="158"/>
    </row>
    <row r="39">
      <c r="B39" s="104" t="s">
        <v>292</v>
      </c>
      <c r="I39" s="104" t="s">
        <v>292</v>
      </c>
      <c r="P39" s="104" t="s">
        <v>292</v>
      </c>
      <c r="W39" s="104" t="s">
        <v>292</v>
      </c>
      <c r="AD39" s="104" t="s">
        <v>292</v>
      </c>
      <c r="AK39" s="104" t="s">
        <v>292</v>
      </c>
      <c r="AR39" s="104" t="s">
        <v>292</v>
      </c>
      <c r="AY39" s="104" t="s">
        <v>292</v>
      </c>
      <c r="BF39" s="104" t="s">
        <v>292</v>
      </c>
      <c r="BM39" s="104" t="s">
        <v>292</v>
      </c>
      <c r="BT39" s="104" t="s">
        <v>292</v>
      </c>
      <c r="CA39" s="104" t="s">
        <v>292</v>
      </c>
      <c r="CH39" s="104" t="s">
        <v>292</v>
      </c>
      <c r="CO39" s="104" t="s">
        <v>292</v>
      </c>
      <c r="CV39" s="104" t="s">
        <v>292</v>
      </c>
      <c r="DC39" s="104" t="s">
        <v>292</v>
      </c>
      <c r="DJ39" s="104" t="s">
        <v>292</v>
      </c>
      <c r="DQ39" s="104" t="s">
        <v>292</v>
      </c>
    </row>
    <row r="40">
      <c r="B40" s="120" t="s">
        <v>293</v>
      </c>
      <c r="C40" s="120" t="s">
        <v>294</v>
      </c>
      <c r="D40" s="120" t="s">
        <v>272</v>
      </c>
      <c r="E40" s="120" t="s">
        <v>273</v>
      </c>
      <c r="F40" s="120" t="s">
        <v>295</v>
      </c>
      <c r="I40" s="120" t="s">
        <v>293</v>
      </c>
      <c r="J40" s="120" t="s">
        <v>294</v>
      </c>
      <c r="K40" s="120" t="s">
        <v>272</v>
      </c>
      <c r="L40" s="120" t="s">
        <v>273</v>
      </c>
      <c r="M40" s="120" t="s">
        <v>295</v>
      </c>
      <c r="P40" s="120" t="s">
        <v>293</v>
      </c>
      <c r="Q40" s="120" t="s">
        <v>294</v>
      </c>
      <c r="R40" s="120" t="s">
        <v>272</v>
      </c>
      <c r="S40" s="120" t="s">
        <v>273</v>
      </c>
      <c r="T40" s="120" t="s">
        <v>295</v>
      </c>
      <c r="W40" s="120" t="s">
        <v>293</v>
      </c>
      <c r="X40" s="120" t="s">
        <v>294</v>
      </c>
      <c r="Y40" s="120" t="s">
        <v>272</v>
      </c>
      <c r="Z40" s="120" t="s">
        <v>273</v>
      </c>
      <c r="AA40" s="120" t="s">
        <v>295</v>
      </c>
      <c r="AD40" s="120" t="s">
        <v>293</v>
      </c>
      <c r="AE40" s="120" t="s">
        <v>294</v>
      </c>
      <c r="AF40" s="120" t="s">
        <v>272</v>
      </c>
      <c r="AG40" s="120" t="s">
        <v>273</v>
      </c>
      <c r="AH40" s="120" t="s">
        <v>295</v>
      </c>
      <c r="AK40" s="120" t="s">
        <v>293</v>
      </c>
      <c r="AL40" s="120" t="s">
        <v>294</v>
      </c>
      <c r="AM40" s="120" t="s">
        <v>272</v>
      </c>
      <c r="AN40" s="120" t="s">
        <v>273</v>
      </c>
      <c r="AO40" s="120" t="s">
        <v>295</v>
      </c>
      <c r="AR40" s="120" t="s">
        <v>293</v>
      </c>
      <c r="AS40" s="120" t="s">
        <v>294</v>
      </c>
      <c r="AT40" s="120" t="s">
        <v>272</v>
      </c>
      <c r="AU40" s="120" t="s">
        <v>273</v>
      </c>
      <c r="AV40" s="120" t="s">
        <v>295</v>
      </c>
      <c r="AY40" s="120" t="s">
        <v>293</v>
      </c>
      <c r="AZ40" s="120" t="s">
        <v>294</v>
      </c>
      <c r="BA40" s="120" t="s">
        <v>272</v>
      </c>
      <c r="BB40" s="120" t="s">
        <v>273</v>
      </c>
      <c r="BC40" s="120" t="s">
        <v>295</v>
      </c>
      <c r="BF40" s="120" t="s">
        <v>293</v>
      </c>
      <c r="BG40" s="120" t="s">
        <v>294</v>
      </c>
      <c r="BH40" s="120" t="s">
        <v>272</v>
      </c>
      <c r="BI40" s="120" t="s">
        <v>273</v>
      </c>
      <c r="BJ40" s="120" t="s">
        <v>295</v>
      </c>
      <c r="BM40" s="120" t="s">
        <v>293</v>
      </c>
      <c r="BN40" s="120" t="s">
        <v>294</v>
      </c>
      <c r="BO40" s="120" t="s">
        <v>272</v>
      </c>
      <c r="BP40" s="120" t="s">
        <v>273</v>
      </c>
      <c r="BQ40" s="120" t="s">
        <v>295</v>
      </c>
      <c r="BT40" s="120" t="s">
        <v>293</v>
      </c>
      <c r="BU40" s="120" t="s">
        <v>294</v>
      </c>
      <c r="BV40" s="120" t="s">
        <v>272</v>
      </c>
      <c r="BW40" s="120" t="s">
        <v>273</v>
      </c>
      <c r="BX40" s="120" t="s">
        <v>295</v>
      </c>
      <c r="CA40" s="120" t="s">
        <v>293</v>
      </c>
      <c r="CB40" s="120" t="s">
        <v>294</v>
      </c>
      <c r="CC40" s="120" t="s">
        <v>272</v>
      </c>
      <c r="CD40" s="120" t="s">
        <v>273</v>
      </c>
      <c r="CE40" s="120" t="s">
        <v>295</v>
      </c>
      <c r="CH40" s="120" t="s">
        <v>293</v>
      </c>
      <c r="CI40" s="120" t="s">
        <v>294</v>
      </c>
      <c r="CJ40" s="120" t="s">
        <v>272</v>
      </c>
      <c r="CK40" s="120" t="s">
        <v>273</v>
      </c>
      <c r="CL40" s="120" t="s">
        <v>295</v>
      </c>
      <c r="CO40" s="120" t="s">
        <v>293</v>
      </c>
      <c r="CP40" s="120" t="s">
        <v>294</v>
      </c>
      <c r="CQ40" s="120" t="s">
        <v>272</v>
      </c>
      <c r="CR40" s="120" t="s">
        <v>273</v>
      </c>
      <c r="CS40" s="120" t="s">
        <v>295</v>
      </c>
      <c r="CV40" s="120" t="s">
        <v>293</v>
      </c>
      <c r="CW40" s="120" t="s">
        <v>294</v>
      </c>
      <c r="CX40" s="120" t="s">
        <v>272</v>
      </c>
      <c r="CY40" s="120" t="s">
        <v>273</v>
      </c>
      <c r="CZ40" s="120" t="s">
        <v>295</v>
      </c>
      <c r="DC40" s="120" t="s">
        <v>293</v>
      </c>
      <c r="DD40" s="120" t="s">
        <v>294</v>
      </c>
      <c r="DE40" s="120" t="s">
        <v>272</v>
      </c>
      <c r="DF40" s="120" t="s">
        <v>273</v>
      </c>
      <c r="DG40" s="120" t="s">
        <v>295</v>
      </c>
      <c r="DJ40" s="120" t="s">
        <v>293</v>
      </c>
      <c r="DK40" s="120" t="s">
        <v>294</v>
      </c>
      <c r="DL40" s="120" t="s">
        <v>272</v>
      </c>
      <c r="DM40" s="120" t="s">
        <v>273</v>
      </c>
      <c r="DN40" s="120" t="s">
        <v>295</v>
      </c>
      <c r="DQ40" s="120" t="s">
        <v>293</v>
      </c>
      <c r="DR40" s="120" t="s">
        <v>294</v>
      </c>
      <c r="DS40" s="120" t="s">
        <v>272</v>
      </c>
      <c r="DT40" s="120" t="s">
        <v>273</v>
      </c>
      <c r="DU40" s="120" t="s">
        <v>295</v>
      </c>
    </row>
    <row r="41">
      <c r="B41" s="159" t="s">
        <v>296</v>
      </c>
      <c r="C41" s="160" t="s">
        <v>158</v>
      </c>
      <c r="D41" s="161" t="str">
        <f>=ROUND(C11,2)</f>
      </c>
      <c r="E41" s="162" t="str">
        <f>=ROUND(D11,2)</f>
      </c>
      <c r="F41" s="163" t="str">
        <f>=ROUND(IFERROR(D41/E41,0),6)</f>
      </c>
      <c r="I41" s="159" t="s">
        <v>304</v>
      </c>
      <c r="J41" s="160" t="s">
        <v>158</v>
      </c>
      <c r="K41" s="161" t="str">
        <f>=ROUND(J11,2)</f>
      </c>
      <c r="L41" s="162" t="str">
        <f>=ROUND(K11,2)</f>
      </c>
      <c r="M41" s="163" t="str">
        <f>=ROUND(IFERROR(K41/L41,0),6)</f>
      </c>
      <c r="P41" s="159" t="s">
        <v>304</v>
      </c>
      <c r="Q41" s="160" t="s">
        <v>158</v>
      </c>
      <c r="R41" s="161" t="str">
        <f>=ROUND(Q11,2)</f>
      </c>
      <c r="S41" s="162" t="str">
        <f>=ROUND(R11,2)</f>
      </c>
      <c r="T41" s="163" t="str">
        <f>=ROUND(IFERROR(R41/S41,0),6)</f>
      </c>
      <c r="W41" s="159" t="s">
        <v>304</v>
      </c>
      <c r="X41" s="160" t="s">
        <v>158</v>
      </c>
      <c r="Y41" s="161" t="str">
        <f>=ROUND(X11,2)</f>
      </c>
      <c r="Z41" s="162" t="str">
        <f>=ROUND(Y11,2)</f>
      </c>
      <c r="AA41" s="163" t="str">
        <f>=ROUND(IFERROR(Y41/Z41,0),6)</f>
      </c>
      <c r="AD41" s="159" t="s">
        <v>304</v>
      </c>
      <c r="AE41" s="160" t="s">
        <v>158</v>
      </c>
      <c r="AF41" s="161" t="str">
        <f>=ROUND(AE11,2)</f>
      </c>
      <c r="AG41" s="162" t="str">
        <f>=ROUND(AF11,2)</f>
      </c>
      <c r="AH41" s="163" t="str">
        <f>=ROUND(IFERROR(AF41/AG41,0),6)</f>
      </c>
      <c r="AK41" s="159" t="s">
        <v>304</v>
      </c>
      <c r="AL41" s="160" t="s">
        <v>158</v>
      </c>
      <c r="AM41" s="161" t="str">
        <f>=ROUND(AL11,2)</f>
      </c>
      <c r="AN41" s="162" t="str">
        <f>=ROUND(AM11,2)</f>
      </c>
      <c r="AO41" s="163" t="str">
        <f>=ROUND(IFERROR(AM41/AN41,0),6)</f>
      </c>
      <c r="AR41" s="159" t="s">
        <v>304</v>
      </c>
      <c r="AS41" s="160" t="s">
        <v>158</v>
      </c>
      <c r="AT41" s="161" t="str">
        <f>=ROUND(AS11,2)</f>
      </c>
      <c r="AU41" s="162" t="str">
        <f>=ROUND(AT11,2)</f>
      </c>
      <c r="AV41" s="163" t="str">
        <f>=ROUND(IFERROR(AT41/AU41,0),6)</f>
      </c>
      <c r="AY41" s="159" t="s">
        <v>304</v>
      </c>
      <c r="AZ41" s="160" t="s">
        <v>158</v>
      </c>
      <c r="BA41" s="161" t="str">
        <f>=ROUND(AZ11,2)</f>
      </c>
      <c r="BB41" s="162" t="str">
        <f>=ROUND(BA11,2)</f>
      </c>
      <c r="BC41" s="163" t="str">
        <f>=ROUND(IFERROR(BA41/BB41,0),6)</f>
      </c>
      <c r="BF41" s="159" t="s">
        <v>304</v>
      </c>
      <c r="BG41" s="160" t="s">
        <v>158</v>
      </c>
      <c r="BH41" s="161" t="str">
        <f>=ROUND(BG11,2)</f>
      </c>
      <c r="BI41" s="162" t="str">
        <f>=ROUND(BH11,2)</f>
      </c>
      <c r="BJ41" s="163" t="str">
        <f>=ROUND(IFERROR(BH41/BI41,0),6)</f>
      </c>
      <c r="BM41" s="159" t="s">
        <v>304</v>
      </c>
      <c r="BN41" s="160" t="s">
        <v>158</v>
      </c>
      <c r="BO41" s="161" t="str">
        <f>=ROUND(BN11,2)</f>
      </c>
      <c r="BP41" s="162" t="str">
        <f>=ROUND(BO11,2)</f>
      </c>
      <c r="BQ41" s="163" t="str">
        <f>=ROUND(IFERROR(BO41/BP41,0),6)</f>
      </c>
      <c r="BT41" s="159" t="s">
        <v>304</v>
      </c>
      <c r="BU41" s="160" t="s">
        <v>158</v>
      </c>
      <c r="BV41" s="161" t="str">
        <f>=ROUND(BU11,2)</f>
      </c>
      <c r="BW41" s="162" t="str">
        <f>=ROUND(BV11,2)</f>
      </c>
      <c r="BX41" s="163" t="str">
        <f>=ROUND(IFERROR(BV41/BW41,0),6)</f>
      </c>
      <c r="CA41" s="159" t="s">
        <v>304</v>
      </c>
      <c r="CB41" s="160" t="s">
        <v>158</v>
      </c>
      <c r="CC41" s="161" t="str">
        <f>=ROUND(CB11,2)</f>
      </c>
      <c r="CD41" s="162" t="str">
        <f>=ROUND(CC11,2)</f>
      </c>
      <c r="CE41" s="163" t="str">
        <f>=ROUND(IFERROR(CC41/CD41,0),6)</f>
      </c>
      <c r="CH41" s="159" t="s">
        <v>304</v>
      </c>
      <c r="CI41" s="160" t="s">
        <v>158</v>
      </c>
      <c r="CJ41" s="161" t="str">
        <f>=ROUND(CI11,2)</f>
      </c>
      <c r="CK41" s="162" t="str">
        <f>=ROUND(CJ11,2)</f>
      </c>
      <c r="CL41" s="163" t="str">
        <f>=ROUND(IFERROR(CJ41/CK41,0),6)</f>
      </c>
      <c r="CO41" s="159" t="s">
        <v>304</v>
      </c>
      <c r="CP41" s="160" t="s">
        <v>158</v>
      </c>
      <c r="CQ41" s="161" t="str">
        <f>=ROUND(CP11,2)</f>
      </c>
      <c r="CR41" s="162" t="str">
        <f>=ROUND(CQ11,2)</f>
      </c>
      <c r="CS41" s="163" t="str">
        <f>=ROUND(IFERROR(CQ41/CR41,0),6)</f>
      </c>
      <c r="CV41" s="159" t="s">
        <v>304</v>
      </c>
      <c r="CW41" s="160" t="s">
        <v>158</v>
      </c>
      <c r="CX41" s="161" t="str">
        <f>=ROUND(CW11,2)</f>
      </c>
      <c r="CY41" s="162" t="str">
        <f>=ROUND(CX11,2)</f>
      </c>
      <c r="CZ41" s="163" t="str">
        <f>=ROUND(IFERROR(CX41/CY41,0),6)</f>
      </c>
      <c r="DC41" s="159" t="s">
        <v>304</v>
      </c>
      <c r="DD41" s="160" t="s">
        <v>158</v>
      </c>
      <c r="DE41" s="161" t="str">
        <f>=ROUND(DD11,2)</f>
      </c>
      <c r="DF41" s="162" t="str">
        <f>=ROUND(DE11,2)</f>
      </c>
      <c r="DG41" s="163" t="str">
        <f>=ROUND(IFERROR(DE41/DF41,0),6)</f>
      </c>
      <c r="DJ41" s="159" t="s">
        <v>304</v>
      </c>
      <c r="DK41" s="160" t="s">
        <v>158</v>
      </c>
      <c r="DL41" s="161" t="str">
        <f>=ROUND(DK11,2)</f>
      </c>
      <c r="DM41" s="162" t="str">
        <f>=ROUND(DL11,2)</f>
      </c>
      <c r="DN41" s="163" t="str">
        <f>=ROUND(IFERROR(DL41/DM41,0),6)</f>
      </c>
      <c r="DQ41" s="159" t="s">
        <v>304</v>
      </c>
      <c r="DR41" s="160" t="s">
        <v>158</v>
      </c>
      <c r="DS41" s="161" t="str">
        <f>=ROUND(DR11,2)</f>
      </c>
      <c r="DT41" s="162" t="str">
        <f>=ROUND(DS11,2)</f>
      </c>
      <c r="DU41" s="163" t="str">
        <f>=ROUND(IFERROR(DS41/DT41,0),6)</f>
      </c>
    </row>
    <row r="42">
      <c r="B42" s="164" t="s">
        <v>199</v>
      </c>
      <c r="C42" s="165" t="s">
        <v>297</v>
      </c>
      <c r="D42" s="166"/>
      <c r="E42" s="167"/>
      <c r="F42" s="168" t="str">
        <f>=ROUND(IFERROR(D42/E42,0),6)</f>
      </c>
      <c r="I42" s="164" t="s">
        <v>199</v>
      </c>
      <c r="J42" s="165" t="s">
        <v>297</v>
      </c>
      <c r="K42" s="166"/>
      <c r="L42" s="167"/>
      <c r="M42" s="168" t="str">
        <f>=ROUND(IFERROR(K42/L42,0),6)</f>
      </c>
      <c r="P42" s="164" t="s">
        <v>199</v>
      </c>
      <c r="Q42" s="165" t="s">
        <v>297</v>
      </c>
      <c r="R42" s="166"/>
      <c r="S42" s="167"/>
      <c r="T42" s="168" t="str">
        <f>=ROUND(IFERROR(R42/S42,0),6)</f>
      </c>
      <c r="W42" s="164" t="s">
        <v>199</v>
      </c>
      <c r="X42" s="165" t="s">
        <v>297</v>
      </c>
      <c r="Y42" s="166"/>
      <c r="Z42" s="167"/>
      <c r="AA42" s="168" t="str">
        <f>=ROUND(IFERROR(Y42/Z42,0),6)</f>
      </c>
      <c r="AD42" s="164" t="s">
        <v>199</v>
      </c>
      <c r="AE42" s="165" t="s">
        <v>297</v>
      </c>
      <c r="AF42" s="166"/>
      <c r="AG42" s="167"/>
      <c r="AH42" s="168" t="str">
        <f>=ROUND(IFERROR(AF42/AG42,0),6)</f>
      </c>
      <c r="AK42" s="164" t="s">
        <v>199</v>
      </c>
      <c r="AL42" s="165" t="s">
        <v>297</v>
      </c>
      <c r="AM42" s="166"/>
      <c r="AN42" s="167"/>
      <c r="AO42" s="168" t="str">
        <f>=ROUND(IFERROR(AM42/AN42,0),6)</f>
      </c>
      <c r="AR42" s="164" t="s">
        <v>199</v>
      </c>
      <c r="AS42" s="165" t="s">
        <v>297</v>
      </c>
      <c r="AT42" s="166"/>
      <c r="AU42" s="167"/>
      <c r="AV42" s="168" t="str">
        <f>=ROUND(IFERROR(AT42/AU42,0),6)</f>
      </c>
      <c r="AY42" s="164" t="s">
        <v>199</v>
      </c>
      <c r="AZ42" s="165" t="s">
        <v>297</v>
      </c>
      <c r="BA42" s="166"/>
      <c r="BB42" s="167"/>
      <c r="BC42" s="168" t="str">
        <f>=ROUND(IFERROR(BA42/BB42,0),6)</f>
      </c>
      <c r="BF42" s="164" t="s">
        <v>199</v>
      </c>
      <c r="BG42" s="165" t="s">
        <v>297</v>
      </c>
      <c r="BH42" s="166"/>
      <c r="BI42" s="167"/>
      <c r="BJ42" s="168" t="str">
        <f>=ROUND(IFERROR(BH42/BI42,0),6)</f>
      </c>
      <c r="BM42" s="164" t="s">
        <v>199</v>
      </c>
      <c r="BN42" s="165" t="s">
        <v>297</v>
      </c>
      <c r="BO42" s="166"/>
      <c r="BP42" s="167"/>
      <c r="BQ42" s="168" t="str">
        <f>=ROUND(IFERROR(BO42/BP42,0),6)</f>
      </c>
      <c r="BT42" s="164" t="s">
        <v>199</v>
      </c>
      <c r="BU42" s="165" t="s">
        <v>297</v>
      </c>
      <c r="BV42" s="166"/>
      <c r="BW42" s="167"/>
      <c r="BX42" s="168" t="str">
        <f>=ROUND(IFERROR(BV42/BW42,0),6)</f>
      </c>
      <c r="CA42" s="164" t="s">
        <v>199</v>
      </c>
      <c r="CB42" s="165" t="s">
        <v>297</v>
      </c>
      <c r="CC42" s="166"/>
      <c r="CD42" s="167"/>
      <c r="CE42" s="168" t="str">
        <f>=ROUND(IFERROR(CC42/CD42,0),6)</f>
      </c>
      <c r="CH42" s="164" t="s">
        <v>199</v>
      </c>
      <c r="CI42" s="165" t="s">
        <v>297</v>
      </c>
      <c r="CJ42" s="166"/>
      <c r="CK42" s="167"/>
      <c r="CL42" s="168" t="str">
        <f>=ROUND(IFERROR(CJ42/CK42,0),6)</f>
      </c>
      <c r="CO42" s="164" t="s">
        <v>199</v>
      </c>
      <c r="CP42" s="165" t="s">
        <v>297</v>
      </c>
      <c r="CQ42" s="166"/>
      <c r="CR42" s="167"/>
      <c r="CS42" s="168" t="str">
        <f>=ROUND(IFERROR(CQ42/CR42,0),6)</f>
      </c>
      <c r="CV42" s="164" t="s">
        <v>199</v>
      </c>
      <c r="CW42" s="165" t="s">
        <v>297</v>
      </c>
      <c r="CX42" s="166"/>
      <c r="CY42" s="167"/>
      <c r="CZ42" s="168" t="str">
        <f>=ROUND(IFERROR(CX42/CY42,0),6)</f>
      </c>
      <c r="DC42" s="164" t="s">
        <v>199</v>
      </c>
      <c r="DD42" s="165" t="s">
        <v>297</v>
      </c>
      <c r="DE42" s="166"/>
      <c r="DF42" s="167"/>
      <c r="DG42" s="168" t="str">
        <f>=ROUND(IFERROR(DE42/DF42,0),6)</f>
      </c>
      <c r="DJ42" s="164" t="s">
        <v>199</v>
      </c>
      <c r="DK42" s="165" t="s">
        <v>297</v>
      </c>
      <c r="DL42" s="166"/>
      <c r="DM42" s="167"/>
      <c r="DN42" s="168" t="str">
        <f>=ROUND(IFERROR(DL42/DM42,0),6)</f>
      </c>
      <c r="DQ42" s="164" t="s">
        <v>199</v>
      </c>
      <c r="DR42" s="165" t="s">
        <v>297</v>
      </c>
      <c r="DS42" s="166"/>
      <c r="DT42" s="167"/>
      <c r="DU42" s="168" t="str">
        <f>=ROUND(IFERROR(DS42/DT42,0),6)</f>
      </c>
    </row>
    <row r="43">
      <c r="B43" s="164" t="s">
        <v>158</v>
      </c>
      <c r="C43" s="165" t="s">
        <v>158</v>
      </c>
      <c r="D43" s="166"/>
      <c r="E43" s="167"/>
      <c r="F43" s="168" t="str">
        <f>=ROUND(IFERROR(D43/E43,0),6)</f>
      </c>
      <c r="I43" s="164" t="s">
        <v>158</v>
      </c>
      <c r="J43" s="165" t="s">
        <v>158</v>
      </c>
      <c r="K43" s="166"/>
      <c r="L43" s="167"/>
      <c r="M43" s="168" t="str">
        <f>=ROUND(IFERROR(K43/L43,0),6)</f>
      </c>
      <c r="P43" s="164" t="s">
        <v>158</v>
      </c>
      <c r="Q43" s="165" t="s">
        <v>158</v>
      </c>
      <c r="R43" s="166"/>
      <c r="S43" s="167"/>
      <c r="T43" s="168" t="str">
        <f>=ROUND(IFERROR(R43/S43,0),6)</f>
      </c>
      <c r="W43" s="164" t="s">
        <v>158</v>
      </c>
      <c r="X43" s="165" t="s">
        <v>158</v>
      </c>
      <c r="Y43" s="166"/>
      <c r="Z43" s="167"/>
      <c r="AA43" s="168" t="str">
        <f>=ROUND(IFERROR(Y43/Z43,0),6)</f>
      </c>
      <c r="AD43" s="164" t="s">
        <v>158</v>
      </c>
      <c r="AE43" s="165" t="s">
        <v>158</v>
      </c>
      <c r="AF43" s="166"/>
      <c r="AG43" s="167"/>
      <c r="AH43" s="168" t="str">
        <f>=ROUND(IFERROR(AF43/AG43,0),6)</f>
      </c>
      <c r="AK43" s="164" t="s">
        <v>158</v>
      </c>
      <c r="AL43" s="165" t="s">
        <v>158</v>
      </c>
      <c r="AM43" s="166"/>
      <c r="AN43" s="167"/>
      <c r="AO43" s="168" t="str">
        <f>=ROUND(IFERROR(AM43/AN43,0),6)</f>
      </c>
      <c r="AR43" s="164" t="s">
        <v>158</v>
      </c>
      <c r="AS43" s="165" t="s">
        <v>158</v>
      </c>
      <c r="AT43" s="166"/>
      <c r="AU43" s="167"/>
      <c r="AV43" s="168" t="str">
        <f>=ROUND(IFERROR(AT43/AU43,0),6)</f>
      </c>
      <c r="AY43" s="164" t="s">
        <v>158</v>
      </c>
      <c r="AZ43" s="165" t="s">
        <v>158</v>
      </c>
      <c r="BA43" s="166"/>
      <c r="BB43" s="167"/>
      <c r="BC43" s="168" t="str">
        <f>=ROUND(IFERROR(BA43/BB43,0),6)</f>
      </c>
      <c r="BF43" s="164" t="s">
        <v>158</v>
      </c>
      <c r="BG43" s="165" t="s">
        <v>158</v>
      </c>
      <c r="BH43" s="166"/>
      <c r="BI43" s="167"/>
      <c r="BJ43" s="168" t="str">
        <f>=ROUND(IFERROR(BH43/BI43,0),6)</f>
      </c>
      <c r="BM43" s="164" t="s">
        <v>158</v>
      </c>
      <c r="BN43" s="165" t="s">
        <v>158</v>
      </c>
      <c r="BO43" s="166"/>
      <c r="BP43" s="167"/>
      <c r="BQ43" s="168" t="str">
        <f>=ROUND(IFERROR(BO43/BP43,0),6)</f>
      </c>
      <c r="BT43" s="164" t="s">
        <v>158</v>
      </c>
      <c r="BU43" s="165" t="s">
        <v>158</v>
      </c>
      <c r="BV43" s="166"/>
      <c r="BW43" s="167"/>
      <c r="BX43" s="168" t="str">
        <f>=ROUND(IFERROR(BV43/BW43,0),6)</f>
      </c>
      <c r="CA43" s="164" t="s">
        <v>158</v>
      </c>
      <c r="CB43" s="165" t="s">
        <v>158</v>
      </c>
      <c r="CC43" s="166"/>
      <c r="CD43" s="167"/>
      <c r="CE43" s="168" t="str">
        <f>=ROUND(IFERROR(CC43/CD43,0),6)</f>
      </c>
      <c r="CH43" s="164" t="s">
        <v>158</v>
      </c>
      <c r="CI43" s="165" t="s">
        <v>158</v>
      </c>
      <c r="CJ43" s="166"/>
      <c r="CK43" s="167"/>
      <c r="CL43" s="168" t="str">
        <f>=ROUND(IFERROR(CJ43/CK43,0),6)</f>
      </c>
      <c r="CO43" s="164" t="s">
        <v>158</v>
      </c>
      <c r="CP43" s="165" t="s">
        <v>158</v>
      </c>
      <c r="CQ43" s="166"/>
      <c r="CR43" s="167"/>
      <c r="CS43" s="168" t="str">
        <f>=ROUND(IFERROR(CQ43/CR43,0),6)</f>
      </c>
      <c r="CV43" s="164" t="s">
        <v>158</v>
      </c>
      <c r="CW43" s="165" t="s">
        <v>158</v>
      </c>
      <c r="CX43" s="166"/>
      <c r="CY43" s="167"/>
      <c r="CZ43" s="168" t="str">
        <f>=ROUND(IFERROR(CX43/CY43,0),6)</f>
      </c>
      <c r="DC43" s="164" t="s">
        <v>158</v>
      </c>
      <c r="DD43" s="165" t="s">
        <v>158</v>
      </c>
      <c r="DE43" s="166"/>
      <c r="DF43" s="167"/>
      <c r="DG43" s="168" t="str">
        <f>=ROUND(IFERROR(DE43/DF43,0),6)</f>
      </c>
      <c r="DJ43" s="164" t="s">
        <v>158</v>
      </c>
      <c r="DK43" s="165" t="s">
        <v>158</v>
      </c>
      <c r="DL43" s="166"/>
      <c r="DM43" s="167"/>
      <c r="DN43" s="168" t="str">
        <f>=ROUND(IFERROR(DL43/DM43,0),6)</f>
      </c>
      <c r="DQ43" s="164" t="s">
        <v>158</v>
      </c>
      <c r="DR43" s="165" t="s">
        <v>158</v>
      </c>
      <c r="DS43" s="166"/>
      <c r="DT43" s="167"/>
      <c r="DU43" s="168" t="str">
        <f>=ROUND(IFERROR(DS43/DT43,0),6)</f>
      </c>
    </row>
    <row r="44">
      <c r="B44" s="164" t="s">
        <v>158</v>
      </c>
      <c r="C44" s="165" t="s">
        <v>158</v>
      </c>
      <c r="D44" s="166"/>
      <c r="E44" s="167"/>
      <c r="F44" s="168" t="str">
        <f>=ROUND(IFERROR(D44/E44,0),6)</f>
      </c>
      <c r="I44" s="164" t="s">
        <v>158</v>
      </c>
      <c r="J44" s="165" t="s">
        <v>158</v>
      </c>
      <c r="K44" s="166"/>
      <c r="L44" s="167"/>
      <c r="M44" s="168" t="str">
        <f>=ROUND(IFERROR(K44/L44,0),6)</f>
      </c>
      <c r="P44" s="164" t="s">
        <v>158</v>
      </c>
      <c r="Q44" s="165" t="s">
        <v>158</v>
      </c>
      <c r="R44" s="166"/>
      <c r="S44" s="167"/>
      <c r="T44" s="168" t="str">
        <f>=ROUND(IFERROR(R44/S44,0),6)</f>
      </c>
      <c r="W44" s="164" t="s">
        <v>158</v>
      </c>
      <c r="X44" s="165" t="s">
        <v>158</v>
      </c>
      <c r="Y44" s="166"/>
      <c r="Z44" s="167"/>
      <c r="AA44" s="168" t="str">
        <f>=ROUND(IFERROR(Y44/Z44,0),6)</f>
      </c>
      <c r="AD44" s="164" t="s">
        <v>158</v>
      </c>
      <c r="AE44" s="165" t="s">
        <v>158</v>
      </c>
      <c r="AF44" s="166"/>
      <c r="AG44" s="167"/>
      <c r="AH44" s="168" t="str">
        <f>=ROUND(IFERROR(AF44/AG44,0),6)</f>
      </c>
      <c r="AK44" s="164" t="s">
        <v>158</v>
      </c>
      <c r="AL44" s="165" t="s">
        <v>158</v>
      </c>
      <c r="AM44" s="166"/>
      <c r="AN44" s="167"/>
      <c r="AO44" s="168" t="str">
        <f>=ROUND(IFERROR(AM44/AN44,0),6)</f>
      </c>
      <c r="AR44" s="164" t="s">
        <v>158</v>
      </c>
      <c r="AS44" s="165" t="s">
        <v>158</v>
      </c>
      <c r="AT44" s="166"/>
      <c r="AU44" s="167"/>
      <c r="AV44" s="168" t="str">
        <f>=ROUND(IFERROR(AT44/AU44,0),6)</f>
      </c>
      <c r="AY44" s="164" t="s">
        <v>158</v>
      </c>
      <c r="AZ44" s="165" t="s">
        <v>158</v>
      </c>
      <c r="BA44" s="166"/>
      <c r="BB44" s="167"/>
      <c r="BC44" s="168" t="str">
        <f>=ROUND(IFERROR(BA44/BB44,0),6)</f>
      </c>
      <c r="BF44" s="164" t="s">
        <v>158</v>
      </c>
      <c r="BG44" s="165" t="s">
        <v>158</v>
      </c>
      <c r="BH44" s="166"/>
      <c r="BI44" s="167"/>
      <c r="BJ44" s="168" t="str">
        <f>=ROUND(IFERROR(BH44/BI44,0),6)</f>
      </c>
      <c r="BM44" s="164" t="s">
        <v>158</v>
      </c>
      <c r="BN44" s="165" t="s">
        <v>158</v>
      </c>
      <c r="BO44" s="166"/>
      <c r="BP44" s="167"/>
      <c r="BQ44" s="168" t="str">
        <f>=ROUND(IFERROR(BO44/BP44,0),6)</f>
      </c>
      <c r="BT44" s="164" t="s">
        <v>158</v>
      </c>
      <c r="BU44" s="165" t="s">
        <v>158</v>
      </c>
      <c r="BV44" s="166"/>
      <c r="BW44" s="167"/>
      <c r="BX44" s="168" t="str">
        <f>=ROUND(IFERROR(BV44/BW44,0),6)</f>
      </c>
      <c r="CA44" s="164" t="s">
        <v>158</v>
      </c>
      <c r="CB44" s="165" t="s">
        <v>158</v>
      </c>
      <c r="CC44" s="166"/>
      <c r="CD44" s="167"/>
      <c r="CE44" s="168" t="str">
        <f>=ROUND(IFERROR(CC44/CD44,0),6)</f>
      </c>
      <c r="CH44" s="164" t="s">
        <v>158</v>
      </c>
      <c r="CI44" s="165" t="s">
        <v>158</v>
      </c>
      <c r="CJ44" s="166"/>
      <c r="CK44" s="167"/>
      <c r="CL44" s="168" t="str">
        <f>=ROUND(IFERROR(CJ44/CK44,0),6)</f>
      </c>
      <c r="CO44" s="164" t="s">
        <v>158</v>
      </c>
      <c r="CP44" s="165" t="s">
        <v>158</v>
      </c>
      <c r="CQ44" s="166"/>
      <c r="CR44" s="167"/>
      <c r="CS44" s="168" t="str">
        <f>=ROUND(IFERROR(CQ44/CR44,0),6)</f>
      </c>
      <c r="CV44" s="164" t="s">
        <v>158</v>
      </c>
      <c r="CW44" s="165" t="s">
        <v>158</v>
      </c>
      <c r="CX44" s="166"/>
      <c r="CY44" s="167"/>
      <c r="CZ44" s="168" t="str">
        <f>=ROUND(IFERROR(CX44/CY44,0),6)</f>
      </c>
      <c r="DC44" s="164" t="s">
        <v>158</v>
      </c>
      <c r="DD44" s="165" t="s">
        <v>158</v>
      </c>
      <c r="DE44" s="166"/>
      <c r="DF44" s="167"/>
      <c r="DG44" s="168" t="str">
        <f>=ROUND(IFERROR(DE44/DF44,0),6)</f>
      </c>
      <c r="DJ44" s="164" t="s">
        <v>158</v>
      </c>
      <c r="DK44" s="165" t="s">
        <v>158</v>
      </c>
      <c r="DL44" s="166"/>
      <c r="DM44" s="167"/>
      <c r="DN44" s="168" t="str">
        <f>=ROUND(IFERROR(DL44/DM44,0),6)</f>
      </c>
      <c r="DQ44" s="164" t="s">
        <v>158</v>
      </c>
      <c r="DR44" s="165" t="s">
        <v>158</v>
      </c>
      <c r="DS44" s="166"/>
      <c r="DT44" s="167"/>
      <c r="DU44" s="168" t="str">
        <f>=ROUND(IFERROR(DS44/DT44,0),6)</f>
      </c>
    </row>
    <row r="45">
      <c r="B45" s="164" t="s">
        <v>158</v>
      </c>
      <c r="C45" s="165" t="s">
        <v>158</v>
      </c>
      <c r="D45" s="166"/>
      <c r="E45" s="167"/>
      <c r="F45" s="168" t="str">
        <f>=ROUND(IFERROR(D45/E45,0),6)</f>
      </c>
      <c r="I45" s="164" t="s">
        <v>158</v>
      </c>
      <c r="J45" s="165" t="s">
        <v>158</v>
      </c>
      <c r="K45" s="166"/>
      <c r="L45" s="167"/>
      <c r="M45" s="168" t="str">
        <f>=ROUND(IFERROR(K45/L45,0),6)</f>
      </c>
      <c r="P45" s="164" t="s">
        <v>158</v>
      </c>
      <c r="Q45" s="165" t="s">
        <v>158</v>
      </c>
      <c r="R45" s="166"/>
      <c r="S45" s="167"/>
      <c r="T45" s="168" t="str">
        <f>=ROUND(IFERROR(R45/S45,0),6)</f>
      </c>
      <c r="W45" s="164" t="s">
        <v>158</v>
      </c>
      <c r="X45" s="165" t="s">
        <v>158</v>
      </c>
      <c r="Y45" s="166"/>
      <c r="Z45" s="167"/>
      <c r="AA45" s="168" t="str">
        <f>=ROUND(IFERROR(Y45/Z45,0),6)</f>
      </c>
      <c r="AD45" s="164" t="s">
        <v>158</v>
      </c>
      <c r="AE45" s="165" t="s">
        <v>158</v>
      </c>
      <c r="AF45" s="166"/>
      <c r="AG45" s="167"/>
      <c r="AH45" s="168" t="str">
        <f>=ROUND(IFERROR(AF45/AG45,0),6)</f>
      </c>
      <c r="AK45" s="164" t="s">
        <v>158</v>
      </c>
      <c r="AL45" s="165" t="s">
        <v>158</v>
      </c>
      <c r="AM45" s="166"/>
      <c r="AN45" s="167"/>
      <c r="AO45" s="168" t="str">
        <f>=ROUND(IFERROR(AM45/AN45,0),6)</f>
      </c>
      <c r="AR45" s="164" t="s">
        <v>158</v>
      </c>
      <c r="AS45" s="165" t="s">
        <v>158</v>
      </c>
      <c r="AT45" s="166"/>
      <c r="AU45" s="167"/>
      <c r="AV45" s="168" t="str">
        <f>=ROUND(IFERROR(AT45/AU45,0),6)</f>
      </c>
      <c r="AY45" s="164" t="s">
        <v>158</v>
      </c>
      <c r="AZ45" s="165" t="s">
        <v>158</v>
      </c>
      <c r="BA45" s="166"/>
      <c r="BB45" s="167"/>
      <c r="BC45" s="168" t="str">
        <f>=ROUND(IFERROR(BA45/BB45,0),6)</f>
      </c>
      <c r="BF45" s="164" t="s">
        <v>158</v>
      </c>
      <c r="BG45" s="165" t="s">
        <v>158</v>
      </c>
      <c r="BH45" s="166"/>
      <c r="BI45" s="167"/>
      <c r="BJ45" s="168" t="str">
        <f>=ROUND(IFERROR(BH45/BI45,0),6)</f>
      </c>
      <c r="BM45" s="164" t="s">
        <v>158</v>
      </c>
      <c r="BN45" s="165" t="s">
        <v>158</v>
      </c>
      <c r="BO45" s="166"/>
      <c r="BP45" s="167"/>
      <c r="BQ45" s="168" t="str">
        <f>=ROUND(IFERROR(BO45/BP45,0),6)</f>
      </c>
      <c r="BT45" s="164" t="s">
        <v>158</v>
      </c>
      <c r="BU45" s="165" t="s">
        <v>158</v>
      </c>
      <c r="BV45" s="166"/>
      <c r="BW45" s="167"/>
      <c r="BX45" s="168" t="str">
        <f>=ROUND(IFERROR(BV45/BW45,0),6)</f>
      </c>
      <c r="CA45" s="164" t="s">
        <v>158</v>
      </c>
      <c r="CB45" s="165" t="s">
        <v>158</v>
      </c>
      <c r="CC45" s="166"/>
      <c r="CD45" s="167"/>
      <c r="CE45" s="168" t="str">
        <f>=ROUND(IFERROR(CC45/CD45,0),6)</f>
      </c>
      <c r="CH45" s="164" t="s">
        <v>158</v>
      </c>
      <c r="CI45" s="165" t="s">
        <v>158</v>
      </c>
      <c r="CJ45" s="166"/>
      <c r="CK45" s="167"/>
      <c r="CL45" s="168" t="str">
        <f>=ROUND(IFERROR(CJ45/CK45,0),6)</f>
      </c>
      <c r="CO45" s="164" t="s">
        <v>158</v>
      </c>
      <c r="CP45" s="165" t="s">
        <v>158</v>
      </c>
      <c r="CQ45" s="166"/>
      <c r="CR45" s="167"/>
      <c r="CS45" s="168" t="str">
        <f>=ROUND(IFERROR(CQ45/CR45,0),6)</f>
      </c>
      <c r="CV45" s="164" t="s">
        <v>158</v>
      </c>
      <c r="CW45" s="165" t="s">
        <v>158</v>
      </c>
      <c r="CX45" s="166"/>
      <c r="CY45" s="167"/>
      <c r="CZ45" s="168" t="str">
        <f>=ROUND(IFERROR(CX45/CY45,0),6)</f>
      </c>
      <c r="DC45" s="164" t="s">
        <v>158</v>
      </c>
      <c r="DD45" s="165" t="s">
        <v>158</v>
      </c>
      <c r="DE45" s="166"/>
      <c r="DF45" s="167"/>
      <c r="DG45" s="168" t="str">
        <f>=ROUND(IFERROR(DE45/DF45,0),6)</f>
      </c>
      <c r="DJ45" s="164" t="s">
        <v>158</v>
      </c>
      <c r="DK45" s="165" t="s">
        <v>158</v>
      </c>
      <c r="DL45" s="166"/>
      <c r="DM45" s="167"/>
      <c r="DN45" s="168" t="str">
        <f>=ROUND(IFERROR(DL45/DM45,0),6)</f>
      </c>
      <c r="DQ45" s="164" t="s">
        <v>158</v>
      </c>
      <c r="DR45" s="165" t="s">
        <v>158</v>
      </c>
      <c r="DS45" s="166"/>
      <c r="DT45" s="167"/>
      <c r="DU45" s="168" t="str">
        <f>=ROUND(IFERROR(DS45/DT45,0),6)</f>
      </c>
    </row>
    <row r="46">
      <c r="B46" s="169" t="s">
        <v>298</v>
      </c>
      <c r="C46" s="170" t="s">
        <v>269</v>
      </c>
      <c r="D46" s="171" t="str">
        <f>=ROUND(SUBTOTAL(109,$D$41:$D$45),2)</f>
      </c>
      <c r="E46" s="172" t="str">
        <f>=ROUND(SUBTOTAL(109,$E$41:$E$45),2)</f>
      </c>
      <c r="F46" s="173" t="str">
        <f>=ROUND(IFERROR(D46/E46,0),6)</f>
      </c>
      <c r="I46" s="169" t="s">
        <v>298</v>
      </c>
      <c r="J46" s="170" t="s">
        <v>269</v>
      </c>
      <c r="K46" s="171" t="str">
        <f>=ROUND(SUBTOTAL(109,$K$41:$K$45),2)</f>
      </c>
      <c r="L46" s="172" t="str">
        <f>=ROUND(SUBTOTAL(109,$L$41:$L$45),2)</f>
      </c>
      <c r="M46" s="173" t="str">
        <f>=ROUND(IFERROR(K46/L46,0),6)</f>
      </c>
      <c r="P46" s="169" t="s">
        <v>298</v>
      </c>
      <c r="Q46" s="170" t="s">
        <v>269</v>
      </c>
      <c r="R46" s="171" t="str">
        <f>=ROUND(SUBTOTAL(109,$R$41:$R$45),2)</f>
      </c>
      <c r="S46" s="172" t="str">
        <f>=ROUND(SUBTOTAL(109,$S$41:$S$45),2)</f>
      </c>
      <c r="T46" s="173" t="str">
        <f>=ROUND(IFERROR(R46/S46,0),6)</f>
      </c>
      <c r="W46" s="169" t="s">
        <v>298</v>
      </c>
      <c r="X46" s="170" t="s">
        <v>269</v>
      </c>
      <c r="Y46" s="171" t="str">
        <f>=ROUND(SUBTOTAL(109,$Y$41:$Y$45),2)</f>
      </c>
      <c r="Z46" s="172" t="str">
        <f>=ROUND(SUBTOTAL(109,$Z$41:$Z$45),2)</f>
      </c>
      <c r="AA46" s="173" t="str">
        <f>=ROUND(IFERROR(Y46/Z46,0),6)</f>
      </c>
      <c r="AD46" s="169" t="s">
        <v>298</v>
      </c>
      <c r="AE46" s="170" t="s">
        <v>269</v>
      </c>
      <c r="AF46" s="171" t="str">
        <f>=ROUND(SUBTOTAL(109,$AF$41:$AF$45),2)</f>
      </c>
      <c r="AG46" s="172" t="str">
        <f>=ROUND(SUBTOTAL(109,$AG$41:$AG$45),2)</f>
      </c>
      <c r="AH46" s="173" t="str">
        <f>=ROUND(IFERROR(AF46/AG46,0),6)</f>
      </c>
      <c r="AK46" s="169" t="s">
        <v>298</v>
      </c>
      <c r="AL46" s="170" t="s">
        <v>269</v>
      </c>
      <c r="AM46" s="171" t="str">
        <f>=ROUND(SUBTOTAL(109,$AM$41:$AM$45),2)</f>
      </c>
      <c r="AN46" s="172" t="str">
        <f>=ROUND(SUBTOTAL(109,$AN$41:$AN$45),2)</f>
      </c>
      <c r="AO46" s="173" t="str">
        <f>=ROUND(IFERROR(AM46/AN46,0),6)</f>
      </c>
      <c r="AR46" s="169" t="s">
        <v>298</v>
      </c>
      <c r="AS46" s="170" t="s">
        <v>269</v>
      </c>
      <c r="AT46" s="171" t="str">
        <f>=ROUND(SUBTOTAL(109,$AT$41:$AT$45),2)</f>
      </c>
      <c r="AU46" s="172" t="str">
        <f>=ROUND(SUBTOTAL(109,$AU$41:$AU$45),2)</f>
      </c>
      <c r="AV46" s="173" t="str">
        <f>=ROUND(IFERROR(AT46/AU46,0),6)</f>
      </c>
      <c r="AY46" s="169" t="s">
        <v>298</v>
      </c>
      <c r="AZ46" s="170" t="s">
        <v>269</v>
      </c>
      <c r="BA46" s="171" t="str">
        <f>=ROUND(SUBTOTAL(109,$BA$41:$BA$45),2)</f>
      </c>
      <c r="BB46" s="172" t="str">
        <f>=ROUND(SUBTOTAL(109,$BB$41:$BB$45),2)</f>
      </c>
      <c r="BC46" s="173" t="str">
        <f>=ROUND(IFERROR(BA46/BB46,0),6)</f>
      </c>
      <c r="BF46" s="169" t="s">
        <v>298</v>
      </c>
      <c r="BG46" s="170" t="s">
        <v>269</v>
      </c>
      <c r="BH46" s="171" t="str">
        <f>=ROUND(SUBTOTAL(109,$BH$41:$BH$45),2)</f>
      </c>
      <c r="BI46" s="172" t="str">
        <f>=ROUND(SUBTOTAL(109,$BI$41:$BI$45),2)</f>
      </c>
      <c r="BJ46" s="173" t="str">
        <f>=ROUND(IFERROR(BH46/BI46,0),6)</f>
      </c>
      <c r="BM46" s="169" t="s">
        <v>298</v>
      </c>
      <c r="BN46" s="170" t="s">
        <v>269</v>
      </c>
      <c r="BO46" s="171" t="str">
        <f>=ROUND(SUBTOTAL(109,$BO$41:$BO$45),2)</f>
      </c>
      <c r="BP46" s="172" t="str">
        <f>=ROUND(SUBTOTAL(109,$BP$41:$BP$45),2)</f>
      </c>
      <c r="BQ46" s="173" t="str">
        <f>=ROUND(IFERROR(BO46/BP46,0),6)</f>
      </c>
      <c r="BT46" s="169" t="s">
        <v>298</v>
      </c>
      <c r="BU46" s="170" t="s">
        <v>269</v>
      </c>
      <c r="BV46" s="171" t="str">
        <f>=ROUND(SUBTOTAL(109,$BV$41:$BV$45),2)</f>
      </c>
      <c r="BW46" s="172" t="str">
        <f>=ROUND(SUBTOTAL(109,$BW$41:$BW$45),2)</f>
      </c>
      <c r="BX46" s="173" t="str">
        <f>=ROUND(IFERROR(BV46/BW46,0),6)</f>
      </c>
      <c r="CA46" s="169" t="s">
        <v>298</v>
      </c>
      <c r="CB46" s="170" t="s">
        <v>269</v>
      </c>
      <c r="CC46" s="171" t="str">
        <f>=ROUND(SUBTOTAL(109,$CC$41:$CC$45),2)</f>
      </c>
      <c r="CD46" s="172" t="str">
        <f>=ROUND(SUBTOTAL(109,$CD$41:$CD$45),2)</f>
      </c>
      <c r="CE46" s="173" t="str">
        <f>=ROUND(IFERROR(CC46/CD46,0),6)</f>
      </c>
      <c r="CH46" s="169" t="s">
        <v>298</v>
      </c>
      <c r="CI46" s="170" t="s">
        <v>269</v>
      </c>
      <c r="CJ46" s="171" t="str">
        <f>=ROUND(SUBTOTAL(109,$CJ$41:$CJ$45),2)</f>
      </c>
      <c r="CK46" s="172" t="str">
        <f>=ROUND(SUBTOTAL(109,$CK$41:$CK$45),2)</f>
      </c>
      <c r="CL46" s="173" t="str">
        <f>=ROUND(IFERROR(CJ46/CK46,0),6)</f>
      </c>
      <c r="CO46" s="169" t="s">
        <v>298</v>
      </c>
      <c r="CP46" s="170" t="s">
        <v>269</v>
      </c>
      <c r="CQ46" s="171" t="str">
        <f>=ROUND(SUBTOTAL(109,$CQ$41:$CQ$45),2)</f>
      </c>
      <c r="CR46" s="172" t="str">
        <f>=ROUND(SUBTOTAL(109,$CR$41:$CR$45),2)</f>
      </c>
      <c r="CS46" s="173" t="str">
        <f>=ROUND(IFERROR(CQ46/CR46,0),6)</f>
      </c>
      <c r="CV46" s="169" t="s">
        <v>298</v>
      </c>
      <c r="CW46" s="170" t="s">
        <v>269</v>
      </c>
      <c r="CX46" s="171" t="str">
        <f>=ROUND(SUBTOTAL(109,$CX$41:$CX$45),2)</f>
      </c>
      <c r="CY46" s="172" t="str">
        <f>=ROUND(SUBTOTAL(109,$CY$41:$CY$45),2)</f>
      </c>
      <c r="CZ46" s="173" t="str">
        <f>=ROUND(IFERROR(CX46/CY46,0),6)</f>
      </c>
      <c r="DC46" s="169" t="s">
        <v>298</v>
      </c>
      <c r="DD46" s="170" t="s">
        <v>269</v>
      </c>
      <c r="DE46" s="171" t="str">
        <f>=ROUND(SUBTOTAL(109,$DE$41:$DE$45),2)</f>
      </c>
      <c r="DF46" s="172" t="str">
        <f>=ROUND(SUBTOTAL(109,$DF$41:$DF$45),2)</f>
      </c>
      <c r="DG46" s="173" t="str">
        <f>=ROUND(IFERROR(DE46/DF46,0),6)</f>
      </c>
      <c r="DJ46" s="169" t="s">
        <v>298</v>
      </c>
      <c r="DK46" s="170" t="s">
        <v>269</v>
      </c>
      <c r="DL46" s="171" t="str">
        <f>=ROUND(SUBTOTAL(109,$DL$41:$DL$45),2)</f>
      </c>
      <c r="DM46" s="172" t="str">
        <f>=ROUND(SUBTOTAL(109,$DM$41:$DM$45),2)</f>
      </c>
      <c r="DN46" s="173" t="str">
        <f>=ROUND(IFERROR(DL46/DM46,0),6)</f>
      </c>
      <c r="DQ46" s="169" t="s">
        <v>298</v>
      </c>
      <c r="DR46" s="170" t="s">
        <v>269</v>
      </c>
      <c r="DS46" s="171" t="str">
        <f>=ROUND(SUBTOTAL(109,$DS$41:$DS$45),2)</f>
      </c>
      <c r="DT46" s="172" t="str">
        <f>=ROUND(SUBTOTAL(109,$DT$41:$DT$45),2)</f>
      </c>
      <c r="DU46" s="173" t="str">
        <f>=ROUND(IFERROR(DS46/DT46,0),6)</f>
      </c>
    </row>
    <row r="48">
      <c r="B48" s="104" t="s">
        <v>299</v>
      </c>
      <c r="I48" s="104" t="s">
        <v>299</v>
      </c>
      <c r="P48" s="104" t="s">
        <v>299</v>
      </c>
      <c r="W48" s="104" t="s">
        <v>299</v>
      </c>
      <c r="AD48" s="104" t="s">
        <v>299</v>
      </c>
      <c r="AK48" s="104" t="s">
        <v>299</v>
      </c>
      <c r="AR48" s="104" t="s">
        <v>299</v>
      </c>
      <c r="AY48" s="104" t="s">
        <v>299</v>
      </c>
      <c r="BF48" s="104" t="s">
        <v>299</v>
      </c>
      <c r="BM48" s="104" t="s">
        <v>299</v>
      </c>
      <c r="BT48" s="104" t="s">
        <v>299</v>
      </c>
      <c r="CA48" s="104" t="s">
        <v>299</v>
      </c>
      <c r="CH48" s="104" t="s">
        <v>299</v>
      </c>
      <c r="CO48" s="104" t="s">
        <v>299</v>
      </c>
      <c r="CV48" s="104" t="s">
        <v>299</v>
      </c>
      <c r="DC48" s="104" t="s">
        <v>299</v>
      </c>
      <c r="DJ48" s="104" t="s">
        <v>299</v>
      </c>
      <c r="DQ48" s="104" t="s">
        <v>299</v>
      </c>
    </row>
    <row r="49">
      <c r="B49" s="120" t="s">
        <v>293</v>
      </c>
      <c r="C49" s="120" t="s">
        <v>294</v>
      </c>
      <c r="D49" s="120" t="s">
        <v>272</v>
      </c>
      <c r="E49" s="120" t="s">
        <v>273</v>
      </c>
      <c r="F49" s="120" t="s">
        <v>295</v>
      </c>
      <c r="I49" s="120" t="s">
        <v>293</v>
      </c>
      <c r="J49" s="120" t="s">
        <v>294</v>
      </c>
      <c r="K49" s="120" t="s">
        <v>272</v>
      </c>
      <c r="L49" s="120" t="s">
        <v>273</v>
      </c>
      <c r="M49" s="120" t="s">
        <v>295</v>
      </c>
      <c r="P49" s="120" t="s">
        <v>293</v>
      </c>
      <c r="Q49" s="120" t="s">
        <v>294</v>
      </c>
      <c r="R49" s="120" t="s">
        <v>272</v>
      </c>
      <c r="S49" s="120" t="s">
        <v>273</v>
      </c>
      <c r="T49" s="120" t="s">
        <v>295</v>
      </c>
      <c r="W49" s="120" t="s">
        <v>293</v>
      </c>
      <c r="X49" s="120" t="s">
        <v>294</v>
      </c>
      <c r="Y49" s="120" t="s">
        <v>272</v>
      </c>
      <c r="Z49" s="120" t="s">
        <v>273</v>
      </c>
      <c r="AA49" s="120" t="s">
        <v>295</v>
      </c>
      <c r="AD49" s="120" t="s">
        <v>293</v>
      </c>
      <c r="AE49" s="120" t="s">
        <v>294</v>
      </c>
      <c r="AF49" s="120" t="s">
        <v>272</v>
      </c>
      <c r="AG49" s="120" t="s">
        <v>273</v>
      </c>
      <c r="AH49" s="120" t="s">
        <v>295</v>
      </c>
      <c r="AK49" s="120" t="s">
        <v>293</v>
      </c>
      <c r="AL49" s="120" t="s">
        <v>294</v>
      </c>
      <c r="AM49" s="120" t="s">
        <v>272</v>
      </c>
      <c r="AN49" s="120" t="s">
        <v>273</v>
      </c>
      <c r="AO49" s="120" t="s">
        <v>295</v>
      </c>
      <c r="AR49" s="120" t="s">
        <v>293</v>
      </c>
      <c r="AS49" s="120" t="s">
        <v>294</v>
      </c>
      <c r="AT49" s="120" t="s">
        <v>272</v>
      </c>
      <c r="AU49" s="120" t="s">
        <v>273</v>
      </c>
      <c r="AV49" s="120" t="s">
        <v>295</v>
      </c>
      <c r="AY49" s="120" t="s">
        <v>293</v>
      </c>
      <c r="AZ49" s="120" t="s">
        <v>294</v>
      </c>
      <c r="BA49" s="120" t="s">
        <v>272</v>
      </c>
      <c r="BB49" s="120" t="s">
        <v>273</v>
      </c>
      <c r="BC49" s="120" t="s">
        <v>295</v>
      </c>
      <c r="BF49" s="120" t="s">
        <v>293</v>
      </c>
      <c r="BG49" s="120" t="s">
        <v>294</v>
      </c>
      <c r="BH49" s="120" t="s">
        <v>272</v>
      </c>
      <c r="BI49" s="120" t="s">
        <v>273</v>
      </c>
      <c r="BJ49" s="120" t="s">
        <v>295</v>
      </c>
      <c r="BM49" s="120" t="s">
        <v>293</v>
      </c>
      <c r="BN49" s="120" t="s">
        <v>294</v>
      </c>
      <c r="BO49" s="120" t="s">
        <v>272</v>
      </c>
      <c r="BP49" s="120" t="s">
        <v>273</v>
      </c>
      <c r="BQ49" s="120" t="s">
        <v>295</v>
      </c>
      <c r="BT49" s="120" t="s">
        <v>293</v>
      </c>
      <c r="BU49" s="120" t="s">
        <v>294</v>
      </c>
      <c r="BV49" s="120" t="s">
        <v>272</v>
      </c>
      <c r="BW49" s="120" t="s">
        <v>273</v>
      </c>
      <c r="BX49" s="120" t="s">
        <v>295</v>
      </c>
      <c r="CA49" s="120" t="s">
        <v>293</v>
      </c>
      <c r="CB49" s="120" t="s">
        <v>294</v>
      </c>
      <c r="CC49" s="120" t="s">
        <v>272</v>
      </c>
      <c r="CD49" s="120" t="s">
        <v>273</v>
      </c>
      <c r="CE49" s="120" t="s">
        <v>295</v>
      </c>
      <c r="CH49" s="120" t="s">
        <v>293</v>
      </c>
      <c r="CI49" s="120" t="s">
        <v>294</v>
      </c>
      <c r="CJ49" s="120" t="s">
        <v>272</v>
      </c>
      <c r="CK49" s="120" t="s">
        <v>273</v>
      </c>
      <c r="CL49" s="120" t="s">
        <v>295</v>
      </c>
      <c r="CO49" s="120" t="s">
        <v>293</v>
      </c>
      <c r="CP49" s="120" t="s">
        <v>294</v>
      </c>
      <c r="CQ49" s="120" t="s">
        <v>272</v>
      </c>
      <c r="CR49" s="120" t="s">
        <v>273</v>
      </c>
      <c r="CS49" s="120" t="s">
        <v>295</v>
      </c>
      <c r="CV49" s="120" t="s">
        <v>293</v>
      </c>
      <c r="CW49" s="120" t="s">
        <v>294</v>
      </c>
      <c r="CX49" s="120" t="s">
        <v>272</v>
      </c>
      <c r="CY49" s="120" t="s">
        <v>273</v>
      </c>
      <c r="CZ49" s="120" t="s">
        <v>295</v>
      </c>
      <c r="DC49" s="120" t="s">
        <v>293</v>
      </c>
      <c r="DD49" s="120" t="s">
        <v>294</v>
      </c>
      <c r="DE49" s="120" t="s">
        <v>272</v>
      </c>
      <c r="DF49" s="120" t="s">
        <v>273</v>
      </c>
      <c r="DG49" s="120" t="s">
        <v>295</v>
      </c>
      <c r="DJ49" s="120" t="s">
        <v>293</v>
      </c>
      <c r="DK49" s="120" t="s">
        <v>294</v>
      </c>
      <c r="DL49" s="120" t="s">
        <v>272</v>
      </c>
      <c r="DM49" s="120" t="s">
        <v>273</v>
      </c>
      <c r="DN49" s="120" t="s">
        <v>295</v>
      </c>
      <c r="DQ49" s="120" t="s">
        <v>293</v>
      </c>
      <c r="DR49" s="120" t="s">
        <v>294</v>
      </c>
      <c r="DS49" s="120" t="s">
        <v>272</v>
      </c>
      <c r="DT49" s="120" t="s">
        <v>273</v>
      </c>
      <c r="DU49" s="120" t="s">
        <v>295</v>
      </c>
    </row>
    <row r="50">
      <c r="B50" s="164" t="s">
        <v>194</v>
      </c>
      <c r="C50" s="165" t="s">
        <v>300</v>
      </c>
      <c r="D50" s="166"/>
      <c r="E50" s="174" t="str">
        <f>=IFERROR(ROUND(D50/$C$7,2),0)</f>
      </c>
      <c r="F50" s="168" t="str">
        <f>=ROUND(IFERROR(D50/E50,0),6)</f>
      </c>
      <c r="I50" s="164" t="s">
        <v>194</v>
      </c>
      <c r="J50" s="165" t="s">
        <v>300</v>
      </c>
      <c r="K50" s="166"/>
      <c r="L50" s="174" t="str">
        <f>=IFERROR(ROUND(K50/$J$7,2),0)</f>
      </c>
      <c r="M50" s="168" t="str">
        <f>=ROUND(IFERROR(K50/L50,0),6)</f>
      </c>
      <c r="P50" s="164" t="s">
        <v>194</v>
      </c>
      <c r="Q50" s="165" t="s">
        <v>300</v>
      </c>
      <c r="R50" s="166"/>
      <c r="S50" s="174" t="str">
        <f>=IFERROR(ROUND(R50/$Q$7,2),0)</f>
      </c>
      <c r="T50" s="168" t="str">
        <f>=ROUND(IFERROR(R50/S50,0),6)</f>
      </c>
      <c r="W50" s="164" t="s">
        <v>194</v>
      </c>
      <c r="X50" s="165" t="s">
        <v>300</v>
      </c>
      <c r="Y50" s="166"/>
      <c r="Z50" s="174" t="str">
        <f>=IFERROR(ROUND(Y50/$X$7,2),0)</f>
      </c>
      <c r="AA50" s="168" t="str">
        <f>=ROUND(IFERROR(Y50/Z50,0),6)</f>
      </c>
      <c r="AD50" s="164" t="s">
        <v>194</v>
      </c>
      <c r="AE50" s="165" t="s">
        <v>300</v>
      </c>
      <c r="AF50" s="166"/>
      <c r="AG50" s="174" t="str">
        <f>=IFERROR(ROUND(AF50/$AE$7,2),0)</f>
      </c>
      <c r="AH50" s="168" t="str">
        <f>=ROUND(IFERROR(AF50/AG50,0),6)</f>
      </c>
      <c r="AK50" s="164" t="s">
        <v>194</v>
      </c>
      <c r="AL50" s="165" t="s">
        <v>300</v>
      </c>
      <c r="AM50" s="166"/>
      <c r="AN50" s="174" t="str">
        <f>=IFERROR(ROUND(AM50/$AL$7,2),0)</f>
      </c>
      <c r="AO50" s="168" t="str">
        <f>=ROUND(IFERROR(AM50/AN50,0),6)</f>
      </c>
      <c r="AR50" s="164" t="s">
        <v>194</v>
      </c>
      <c r="AS50" s="165" t="s">
        <v>300</v>
      </c>
      <c r="AT50" s="166"/>
      <c r="AU50" s="174" t="str">
        <f>=IFERROR(ROUND(AT50/$AS$7,2),0)</f>
      </c>
      <c r="AV50" s="168" t="str">
        <f>=ROUND(IFERROR(AT50/AU50,0),6)</f>
      </c>
      <c r="AY50" s="164" t="s">
        <v>194</v>
      </c>
      <c r="AZ50" s="165" t="s">
        <v>300</v>
      </c>
      <c r="BA50" s="166"/>
      <c r="BB50" s="174" t="str">
        <f>=IFERROR(ROUND(BA50/$AZ$7,2),0)</f>
      </c>
      <c r="BC50" s="168" t="str">
        <f>=ROUND(IFERROR(BA50/BB50,0),6)</f>
      </c>
      <c r="BF50" s="164" t="s">
        <v>194</v>
      </c>
      <c r="BG50" s="165" t="s">
        <v>300</v>
      </c>
      <c r="BH50" s="166"/>
      <c r="BI50" s="174" t="str">
        <f>=IFERROR(ROUND(BH50/$BG$7,2),0)</f>
      </c>
      <c r="BJ50" s="168" t="str">
        <f>=ROUND(IFERROR(BH50/BI50,0),6)</f>
      </c>
      <c r="BM50" s="164" t="s">
        <v>194</v>
      </c>
      <c r="BN50" s="165" t="s">
        <v>300</v>
      </c>
      <c r="BO50" s="166"/>
      <c r="BP50" s="174" t="str">
        <f>=IFERROR(ROUND(BO50/$BN$7,2),0)</f>
      </c>
      <c r="BQ50" s="168" t="str">
        <f>=ROUND(IFERROR(BO50/BP50,0),6)</f>
      </c>
      <c r="BT50" s="164" t="s">
        <v>194</v>
      </c>
      <c r="BU50" s="165" t="s">
        <v>300</v>
      </c>
      <c r="BV50" s="166"/>
      <c r="BW50" s="174" t="str">
        <f>=IFERROR(ROUND(BV50/$BU$7,2),0)</f>
      </c>
      <c r="BX50" s="168" t="str">
        <f>=ROUND(IFERROR(BV50/BW50,0),6)</f>
      </c>
      <c r="CA50" s="164" t="s">
        <v>194</v>
      </c>
      <c r="CB50" s="165" t="s">
        <v>300</v>
      </c>
      <c r="CC50" s="166"/>
      <c r="CD50" s="174" t="str">
        <f>=IFERROR(ROUND(CC50/$CB$7,2),0)</f>
      </c>
      <c r="CE50" s="168" t="str">
        <f>=ROUND(IFERROR(CC50/CD50,0),6)</f>
      </c>
      <c r="CH50" s="164" t="s">
        <v>194</v>
      </c>
      <c r="CI50" s="165" t="s">
        <v>300</v>
      </c>
      <c r="CJ50" s="166"/>
      <c r="CK50" s="174" t="str">
        <f>=IFERROR(ROUND(CJ50/$CI$7,2),0)</f>
      </c>
      <c r="CL50" s="168" t="str">
        <f>=ROUND(IFERROR(CJ50/CK50,0),6)</f>
      </c>
      <c r="CO50" s="164" t="s">
        <v>194</v>
      </c>
      <c r="CP50" s="165" t="s">
        <v>300</v>
      </c>
      <c r="CQ50" s="166"/>
      <c r="CR50" s="174" t="str">
        <f>=IFERROR(ROUND(CQ50/$CP$7,2),0)</f>
      </c>
      <c r="CS50" s="168" t="str">
        <f>=ROUND(IFERROR(CQ50/CR50,0),6)</f>
      </c>
      <c r="CV50" s="164" t="s">
        <v>194</v>
      </c>
      <c r="CW50" s="165" t="s">
        <v>300</v>
      </c>
      <c r="CX50" s="166"/>
      <c r="CY50" s="174" t="str">
        <f>=IFERROR(ROUND(CX50/$CW$7,2),0)</f>
      </c>
      <c r="CZ50" s="168" t="str">
        <f>=ROUND(IFERROR(CX50/CY50,0),6)</f>
      </c>
      <c r="DC50" s="164" t="s">
        <v>194</v>
      </c>
      <c r="DD50" s="165" t="s">
        <v>300</v>
      </c>
      <c r="DE50" s="166"/>
      <c r="DF50" s="174" t="str">
        <f>=IFERROR(ROUND(DE50/$DD$7,2),0)</f>
      </c>
      <c r="DG50" s="168" t="str">
        <f>=ROUND(IFERROR(DE50/DF50,0),6)</f>
      </c>
      <c r="DJ50" s="164" t="s">
        <v>194</v>
      </c>
      <c r="DK50" s="165" t="s">
        <v>300</v>
      </c>
      <c r="DL50" s="166"/>
      <c r="DM50" s="174" t="str">
        <f>=IFERROR(ROUND(DL50/$DK$7,2),0)</f>
      </c>
      <c r="DN50" s="168" t="str">
        <f>=ROUND(IFERROR(DL50/DM50,0),6)</f>
      </c>
      <c r="DQ50" s="164" t="s">
        <v>194</v>
      </c>
      <c r="DR50" s="165" t="s">
        <v>300</v>
      </c>
      <c r="DS50" s="166"/>
      <c r="DT50" s="174" t="str">
        <f>=IFERROR(ROUND(DS50/$DR$7,2),0)</f>
      </c>
      <c r="DU50" s="168" t="str">
        <f>=ROUND(IFERROR(DS50/DT50,0),6)</f>
      </c>
    </row>
    <row r="51">
      <c r="B51" s="164" t="s">
        <v>277</v>
      </c>
      <c r="C51" s="165" t="s">
        <v>158</v>
      </c>
      <c r="D51" s="166"/>
      <c r="E51" s="174" t="str">
        <f>=IFERROR(ROUND(D51/$C$7,2),0)</f>
      </c>
      <c r="F51" s="168" t="str">
        <f>=ROUND(IFERROR(D51/E51,0),6)</f>
      </c>
      <c r="I51" s="164" t="s">
        <v>277</v>
      </c>
      <c r="J51" s="165" t="s">
        <v>158</v>
      </c>
      <c r="K51" s="166"/>
      <c r="L51" s="174" t="str">
        <f>=IFERROR(ROUND(K51/$J$7,2),0)</f>
      </c>
      <c r="M51" s="168" t="str">
        <f>=ROUND(IFERROR(K51/L51,0),6)</f>
      </c>
      <c r="P51" s="164" t="s">
        <v>277</v>
      </c>
      <c r="Q51" s="165" t="s">
        <v>158</v>
      </c>
      <c r="R51" s="166"/>
      <c r="S51" s="174" t="str">
        <f>=IFERROR(ROUND(R51/$Q$7,2),0)</f>
      </c>
      <c r="T51" s="168" t="str">
        <f>=ROUND(IFERROR(R51/S51,0),6)</f>
      </c>
      <c r="W51" s="164" t="s">
        <v>277</v>
      </c>
      <c r="X51" s="165" t="s">
        <v>158</v>
      </c>
      <c r="Y51" s="166"/>
      <c r="Z51" s="174" t="str">
        <f>=IFERROR(ROUND(Y51/$X$7,2),0)</f>
      </c>
      <c r="AA51" s="168" t="str">
        <f>=ROUND(IFERROR(Y51/Z51,0),6)</f>
      </c>
      <c r="AD51" s="164" t="s">
        <v>277</v>
      </c>
      <c r="AE51" s="165" t="s">
        <v>158</v>
      </c>
      <c r="AF51" s="166"/>
      <c r="AG51" s="174" t="str">
        <f>=IFERROR(ROUND(AF51/$AE$7,2),0)</f>
      </c>
      <c r="AH51" s="168" t="str">
        <f>=ROUND(IFERROR(AF51/AG51,0),6)</f>
      </c>
      <c r="AK51" s="164" t="s">
        <v>277</v>
      </c>
      <c r="AL51" s="165" t="s">
        <v>158</v>
      </c>
      <c r="AM51" s="166"/>
      <c r="AN51" s="174" t="str">
        <f>=IFERROR(ROUND(AM51/$AL$7,2),0)</f>
      </c>
      <c r="AO51" s="168" t="str">
        <f>=ROUND(IFERROR(AM51/AN51,0),6)</f>
      </c>
      <c r="AR51" s="164" t="s">
        <v>277</v>
      </c>
      <c r="AS51" s="165" t="s">
        <v>158</v>
      </c>
      <c r="AT51" s="166"/>
      <c r="AU51" s="174" t="str">
        <f>=IFERROR(ROUND(AT51/$AS$7,2),0)</f>
      </c>
      <c r="AV51" s="168" t="str">
        <f>=ROUND(IFERROR(AT51/AU51,0),6)</f>
      </c>
      <c r="AY51" s="164" t="s">
        <v>277</v>
      </c>
      <c r="AZ51" s="165" t="s">
        <v>158</v>
      </c>
      <c r="BA51" s="166"/>
      <c r="BB51" s="174" t="str">
        <f>=IFERROR(ROUND(BA51/$AZ$7,2),0)</f>
      </c>
      <c r="BC51" s="168" t="str">
        <f>=ROUND(IFERROR(BA51/BB51,0),6)</f>
      </c>
      <c r="BF51" s="164" t="s">
        <v>277</v>
      </c>
      <c r="BG51" s="165" t="s">
        <v>158</v>
      </c>
      <c r="BH51" s="166"/>
      <c r="BI51" s="174" t="str">
        <f>=IFERROR(ROUND(BH51/$BG$7,2),0)</f>
      </c>
      <c r="BJ51" s="168" t="str">
        <f>=ROUND(IFERROR(BH51/BI51,0),6)</f>
      </c>
      <c r="BM51" s="164" t="s">
        <v>277</v>
      </c>
      <c r="BN51" s="165" t="s">
        <v>158</v>
      </c>
      <c r="BO51" s="166"/>
      <c r="BP51" s="174" t="str">
        <f>=IFERROR(ROUND(BO51/$BN$7,2),0)</f>
      </c>
      <c r="BQ51" s="168" t="str">
        <f>=ROUND(IFERROR(BO51/BP51,0),6)</f>
      </c>
      <c r="BT51" s="164" t="s">
        <v>277</v>
      </c>
      <c r="BU51" s="165" t="s">
        <v>158</v>
      </c>
      <c r="BV51" s="166"/>
      <c r="BW51" s="174" t="str">
        <f>=IFERROR(ROUND(BV51/$BU$7,2),0)</f>
      </c>
      <c r="BX51" s="168" t="str">
        <f>=ROUND(IFERROR(BV51/BW51,0),6)</f>
      </c>
      <c r="CA51" s="164" t="s">
        <v>277</v>
      </c>
      <c r="CB51" s="165" t="s">
        <v>158</v>
      </c>
      <c r="CC51" s="166"/>
      <c r="CD51" s="174" t="str">
        <f>=IFERROR(ROUND(CC51/$CB$7,2),0)</f>
      </c>
      <c r="CE51" s="168" t="str">
        <f>=ROUND(IFERROR(CC51/CD51,0),6)</f>
      </c>
      <c r="CH51" s="164" t="s">
        <v>277</v>
      </c>
      <c r="CI51" s="165" t="s">
        <v>158</v>
      </c>
      <c r="CJ51" s="166"/>
      <c r="CK51" s="174" t="str">
        <f>=IFERROR(ROUND(CJ51/$CI$7,2),0)</f>
      </c>
      <c r="CL51" s="168" t="str">
        <f>=ROUND(IFERROR(CJ51/CK51,0),6)</f>
      </c>
      <c r="CO51" s="164" t="s">
        <v>277</v>
      </c>
      <c r="CP51" s="165" t="s">
        <v>158</v>
      </c>
      <c r="CQ51" s="166"/>
      <c r="CR51" s="174" t="str">
        <f>=IFERROR(ROUND(CQ51/$CP$7,2),0)</f>
      </c>
      <c r="CS51" s="168" t="str">
        <f>=ROUND(IFERROR(CQ51/CR51,0),6)</f>
      </c>
      <c r="CV51" s="164" t="s">
        <v>277</v>
      </c>
      <c r="CW51" s="165" t="s">
        <v>158</v>
      </c>
      <c r="CX51" s="166"/>
      <c r="CY51" s="174" t="str">
        <f>=IFERROR(ROUND(CX51/$CW$7,2),0)</f>
      </c>
      <c r="CZ51" s="168" t="str">
        <f>=ROUND(IFERROR(CX51/CY51,0),6)</f>
      </c>
      <c r="DC51" s="164" t="s">
        <v>277</v>
      </c>
      <c r="DD51" s="165" t="s">
        <v>158</v>
      </c>
      <c r="DE51" s="166"/>
      <c r="DF51" s="174" t="str">
        <f>=IFERROR(ROUND(DE51/$DD$7,2),0)</f>
      </c>
      <c r="DG51" s="168" t="str">
        <f>=ROUND(IFERROR(DE51/DF51,0),6)</f>
      </c>
      <c r="DJ51" s="164" t="s">
        <v>277</v>
      </c>
      <c r="DK51" s="165" t="s">
        <v>158</v>
      </c>
      <c r="DL51" s="166"/>
      <c r="DM51" s="174" t="str">
        <f>=IFERROR(ROUND(DL51/$DK$7,2),0)</f>
      </c>
      <c r="DN51" s="168" t="str">
        <f>=ROUND(IFERROR(DL51/DM51,0),6)</f>
      </c>
      <c r="DQ51" s="164" t="s">
        <v>277</v>
      </c>
      <c r="DR51" s="165" t="s">
        <v>158</v>
      </c>
      <c r="DS51" s="166"/>
      <c r="DT51" s="174" t="str">
        <f>=IFERROR(ROUND(DS51/$DR$7,2),0)</f>
      </c>
      <c r="DU51" s="168" t="str">
        <f>=ROUND(IFERROR(DS51/DT51,0),6)</f>
      </c>
    </row>
    <row r="52">
      <c r="B52" s="164" t="s">
        <v>278</v>
      </c>
      <c r="C52" s="165" t="s">
        <v>288</v>
      </c>
      <c r="D52" s="166"/>
      <c r="E52" s="174" t="str">
        <f>=IFERROR(ROUND(D52/$C$7,2),0)</f>
      </c>
      <c r="F52" s="168" t="str">
        <f>=ROUND(IFERROR(D52/E52,0),6)</f>
      </c>
      <c r="I52" s="164" t="s">
        <v>278</v>
      </c>
      <c r="J52" s="165" t="s">
        <v>288</v>
      </c>
      <c r="K52" s="166"/>
      <c r="L52" s="174" t="str">
        <f>=IFERROR(ROUND(K52/$J$7,2),0)</f>
      </c>
      <c r="M52" s="168" t="str">
        <f>=ROUND(IFERROR(K52/L52,0),6)</f>
      </c>
      <c r="P52" s="164" t="s">
        <v>278</v>
      </c>
      <c r="Q52" s="165" t="s">
        <v>288</v>
      </c>
      <c r="R52" s="166"/>
      <c r="S52" s="174" t="str">
        <f>=IFERROR(ROUND(R52/$Q$7,2),0)</f>
      </c>
      <c r="T52" s="168" t="str">
        <f>=ROUND(IFERROR(R52/S52,0),6)</f>
      </c>
      <c r="W52" s="164" t="s">
        <v>278</v>
      </c>
      <c r="X52" s="165" t="s">
        <v>288</v>
      </c>
      <c r="Y52" s="166"/>
      <c r="Z52" s="174" t="str">
        <f>=IFERROR(ROUND(Y52/$X$7,2),0)</f>
      </c>
      <c r="AA52" s="168" t="str">
        <f>=ROUND(IFERROR(Y52/Z52,0),6)</f>
      </c>
      <c r="AD52" s="164" t="s">
        <v>278</v>
      </c>
      <c r="AE52" s="165" t="s">
        <v>288</v>
      </c>
      <c r="AF52" s="166"/>
      <c r="AG52" s="174" t="str">
        <f>=IFERROR(ROUND(AF52/$AE$7,2),0)</f>
      </c>
      <c r="AH52" s="168" t="str">
        <f>=ROUND(IFERROR(AF52/AG52,0),6)</f>
      </c>
      <c r="AK52" s="164" t="s">
        <v>278</v>
      </c>
      <c r="AL52" s="165" t="s">
        <v>288</v>
      </c>
      <c r="AM52" s="166"/>
      <c r="AN52" s="174" t="str">
        <f>=IFERROR(ROUND(AM52/$AL$7,2),0)</f>
      </c>
      <c r="AO52" s="168" t="str">
        <f>=ROUND(IFERROR(AM52/AN52,0),6)</f>
      </c>
      <c r="AR52" s="164" t="s">
        <v>278</v>
      </c>
      <c r="AS52" s="165" t="s">
        <v>288</v>
      </c>
      <c r="AT52" s="166"/>
      <c r="AU52" s="174" t="str">
        <f>=IFERROR(ROUND(AT52/$AS$7,2),0)</f>
      </c>
      <c r="AV52" s="168" t="str">
        <f>=ROUND(IFERROR(AT52/AU52,0),6)</f>
      </c>
      <c r="AY52" s="164" t="s">
        <v>278</v>
      </c>
      <c r="AZ52" s="165" t="s">
        <v>288</v>
      </c>
      <c r="BA52" s="166"/>
      <c r="BB52" s="174" t="str">
        <f>=IFERROR(ROUND(BA52/$AZ$7,2),0)</f>
      </c>
      <c r="BC52" s="168" t="str">
        <f>=ROUND(IFERROR(BA52/BB52,0),6)</f>
      </c>
      <c r="BF52" s="164" t="s">
        <v>278</v>
      </c>
      <c r="BG52" s="165" t="s">
        <v>288</v>
      </c>
      <c r="BH52" s="166"/>
      <c r="BI52" s="174" t="str">
        <f>=IFERROR(ROUND(BH52/$BG$7,2),0)</f>
      </c>
      <c r="BJ52" s="168" t="str">
        <f>=ROUND(IFERROR(BH52/BI52,0),6)</f>
      </c>
      <c r="BM52" s="164" t="s">
        <v>278</v>
      </c>
      <c r="BN52" s="165" t="s">
        <v>288</v>
      </c>
      <c r="BO52" s="166"/>
      <c r="BP52" s="174" t="str">
        <f>=IFERROR(ROUND(BO52/$BN$7,2),0)</f>
      </c>
      <c r="BQ52" s="168" t="str">
        <f>=ROUND(IFERROR(BO52/BP52,0),6)</f>
      </c>
      <c r="BT52" s="164" t="s">
        <v>278</v>
      </c>
      <c r="BU52" s="165" t="s">
        <v>288</v>
      </c>
      <c r="BV52" s="166"/>
      <c r="BW52" s="174" t="str">
        <f>=IFERROR(ROUND(BV52/$BU$7,2),0)</f>
      </c>
      <c r="BX52" s="168" t="str">
        <f>=ROUND(IFERROR(BV52/BW52,0),6)</f>
      </c>
      <c r="CA52" s="164" t="s">
        <v>278</v>
      </c>
      <c r="CB52" s="165" t="s">
        <v>288</v>
      </c>
      <c r="CC52" s="166"/>
      <c r="CD52" s="174" t="str">
        <f>=IFERROR(ROUND(CC52/$CB$7,2),0)</f>
      </c>
      <c r="CE52" s="168" t="str">
        <f>=ROUND(IFERROR(CC52/CD52,0),6)</f>
      </c>
      <c r="CH52" s="164" t="s">
        <v>278</v>
      </c>
      <c r="CI52" s="165" t="s">
        <v>288</v>
      </c>
      <c r="CJ52" s="166"/>
      <c r="CK52" s="174" t="str">
        <f>=IFERROR(ROUND(CJ52/$CI$7,2),0)</f>
      </c>
      <c r="CL52" s="168" t="str">
        <f>=ROUND(IFERROR(CJ52/CK52,0),6)</f>
      </c>
      <c r="CO52" s="164" t="s">
        <v>278</v>
      </c>
      <c r="CP52" s="165" t="s">
        <v>288</v>
      </c>
      <c r="CQ52" s="166"/>
      <c r="CR52" s="174" t="str">
        <f>=IFERROR(ROUND(CQ52/$CP$7,2),0)</f>
      </c>
      <c r="CS52" s="168" t="str">
        <f>=ROUND(IFERROR(CQ52/CR52,0),6)</f>
      </c>
      <c r="CV52" s="164" t="s">
        <v>278</v>
      </c>
      <c r="CW52" s="165" t="s">
        <v>288</v>
      </c>
      <c r="CX52" s="166"/>
      <c r="CY52" s="174" t="str">
        <f>=IFERROR(ROUND(CX52/$CW$7,2),0)</f>
      </c>
      <c r="CZ52" s="168" t="str">
        <f>=ROUND(IFERROR(CX52/CY52,0),6)</f>
      </c>
      <c r="DC52" s="164" t="s">
        <v>278</v>
      </c>
      <c r="DD52" s="165" t="s">
        <v>288</v>
      </c>
      <c r="DE52" s="166"/>
      <c r="DF52" s="174" t="str">
        <f>=IFERROR(ROUND(DE52/$DD$7,2),0)</f>
      </c>
      <c r="DG52" s="168" t="str">
        <f>=ROUND(IFERROR(DE52/DF52,0),6)</f>
      </c>
      <c r="DJ52" s="164" t="s">
        <v>278</v>
      </c>
      <c r="DK52" s="165" t="s">
        <v>288</v>
      </c>
      <c r="DL52" s="166"/>
      <c r="DM52" s="174" t="str">
        <f>=IFERROR(ROUND(DL52/$DK$7,2),0)</f>
      </c>
      <c r="DN52" s="168" t="str">
        <f>=ROUND(IFERROR(DL52/DM52,0),6)</f>
      </c>
      <c r="DQ52" s="164" t="s">
        <v>278</v>
      </c>
      <c r="DR52" s="165" t="s">
        <v>288</v>
      </c>
      <c r="DS52" s="166"/>
      <c r="DT52" s="174" t="str">
        <f>=IFERROR(ROUND(DS52/$DR$7,2),0)</f>
      </c>
      <c r="DU52" s="168" t="str">
        <f>=ROUND(IFERROR(DS52/DT52,0),6)</f>
      </c>
    </row>
    <row r="53">
      <c r="B53" s="164" t="s">
        <v>158</v>
      </c>
      <c r="C53" s="165" t="s">
        <v>158</v>
      </c>
      <c r="D53" s="166"/>
      <c r="E53" s="174" t="str">
        <f>=IFERROR(ROUND(D53/$C$7,2),0)</f>
      </c>
      <c r="F53" s="168" t="str">
        <f>=ROUND(IFERROR(D53/E53,0),6)</f>
      </c>
      <c r="I53" s="164" t="s">
        <v>158</v>
      </c>
      <c r="J53" s="165" t="s">
        <v>158</v>
      </c>
      <c r="K53" s="166"/>
      <c r="L53" s="174" t="str">
        <f>=IFERROR(ROUND(K53/$J$7,2),0)</f>
      </c>
      <c r="M53" s="168" t="str">
        <f>=ROUND(IFERROR(K53/L53,0),6)</f>
      </c>
      <c r="P53" s="164" t="s">
        <v>158</v>
      </c>
      <c r="Q53" s="165" t="s">
        <v>158</v>
      </c>
      <c r="R53" s="166"/>
      <c r="S53" s="174" t="str">
        <f>=IFERROR(ROUND(R53/$Q$7,2),0)</f>
      </c>
      <c r="T53" s="168" t="str">
        <f>=ROUND(IFERROR(R53/S53,0),6)</f>
      </c>
      <c r="W53" s="164" t="s">
        <v>158</v>
      </c>
      <c r="X53" s="165" t="s">
        <v>158</v>
      </c>
      <c r="Y53" s="166"/>
      <c r="Z53" s="174" t="str">
        <f>=IFERROR(ROUND(Y53/$X$7,2),0)</f>
      </c>
      <c r="AA53" s="168" t="str">
        <f>=ROUND(IFERROR(Y53/Z53,0),6)</f>
      </c>
      <c r="AD53" s="164" t="s">
        <v>158</v>
      </c>
      <c r="AE53" s="165" t="s">
        <v>158</v>
      </c>
      <c r="AF53" s="166"/>
      <c r="AG53" s="174" t="str">
        <f>=IFERROR(ROUND(AF53/$AE$7,2),0)</f>
      </c>
      <c r="AH53" s="168" t="str">
        <f>=ROUND(IFERROR(AF53/AG53,0),6)</f>
      </c>
      <c r="AK53" s="164" t="s">
        <v>158</v>
      </c>
      <c r="AL53" s="165" t="s">
        <v>158</v>
      </c>
      <c r="AM53" s="166"/>
      <c r="AN53" s="174" t="str">
        <f>=IFERROR(ROUND(AM53/$AL$7,2),0)</f>
      </c>
      <c r="AO53" s="168" t="str">
        <f>=ROUND(IFERROR(AM53/AN53,0),6)</f>
      </c>
      <c r="AR53" s="164" t="s">
        <v>158</v>
      </c>
      <c r="AS53" s="165" t="s">
        <v>158</v>
      </c>
      <c r="AT53" s="166"/>
      <c r="AU53" s="174" t="str">
        <f>=IFERROR(ROUND(AT53/$AS$7,2),0)</f>
      </c>
      <c r="AV53" s="168" t="str">
        <f>=ROUND(IFERROR(AT53/AU53,0),6)</f>
      </c>
      <c r="AY53" s="164" t="s">
        <v>158</v>
      </c>
      <c r="AZ53" s="165" t="s">
        <v>158</v>
      </c>
      <c r="BA53" s="166"/>
      <c r="BB53" s="174" t="str">
        <f>=IFERROR(ROUND(BA53/$AZ$7,2),0)</f>
      </c>
      <c r="BC53" s="168" t="str">
        <f>=ROUND(IFERROR(BA53/BB53,0),6)</f>
      </c>
      <c r="BF53" s="164" t="s">
        <v>158</v>
      </c>
      <c r="BG53" s="165" t="s">
        <v>158</v>
      </c>
      <c r="BH53" s="166"/>
      <c r="BI53" s="174" t="str">
        <f>=IFERROR(ROUND(BH53/$BG$7,2),0)</f>
      </c>
      <c r="BJ53" s="168" t="str">
        <f>=ROUND(IFERROR(BH53/BI53,0),6)</f>
      </c>
      <c r="BM53" s="164" t="s">
        <v>158</v>
      </c>
      <c r="BN53" s="165" t="s">
        <v>158</v>
      </c>
      <c r="BO53" s="166"/>
      <c r="BP53" s="174" t="str">
        <f>=IFERROR(ROUND(BO53/$BN$7,2),0)</f>
      </c>
      <c r="BQ53" s="168" t="str">
        <f>=ROUND(IFERROR(BO53/BP53,0),6)</f>
      </c>
      <c r="BT53" s="164" t="s">
        <v>158</v>
      </c>
      <c r="BU53" s="165" t="s">
        <v>158</v>
      </c>
      <c r="BV53" s="166"/>
      <c r="BW53" s="174" t="str">
        <f>=IFERROR(ROUND(BV53/$BU$7,2),0)</f>
      </c>
      <c r="BX53" s="168" t="str">
        <f>=ROUND(IFERROR(BV53/BW53,0),6)</f>
      </c>
      <c r="CA53" s="164" t="s">
        <v>158</v>
      </c>
      <c r="CB53" s="165" t="s">
        <v>158</v>
      </c>
      <c r="CC53" s="166"/>
      <c r="CD53" s="174" t="str">
        <f>=IFERROR(ROUND(CC53/$CB$7,2),0)</f>
      </c>
      <c r="CE53" s="168" t="str">
        <f>=ROUND(IFERROR(CC53/CD53,0),6)</f>
      </c>
      <c r="CH53" s="164" t="s">
        <v>158</v>
      </c>
      <c r="CI53" s="165" t="s">
        <v>158</v>
      </c>
      <c r="CJ53" s="166"/>
      <c r="CK53" s="174" t="str">
        <f>=IFERROR(ROUND(CJ53/$CI$7,2),0)</f>
      </c>
      <c r="CL53" s="168" t="str">
        <f>=ROUND(IFERROR(CJ53/CK53,0),6)</f>
      </c>
      <c r="CO53" s="164" t="s">
        <v>158</v>
      </c>
      <c r="CP53" s="165" t="s">
        <v>158</v>
      </c>
      <c r="CQ53" s="166"/>
      <c r="CR53" s="174" t="str">
        <f>=IFERROR(ROUND(CQ53/$CP$7,2),0)</f>
      </c>
      <c r="CS53" s="168" t="str">
        <f>=ROUND(IFERROR(CQ53/CR53,0),6)</f>
      </c>
      <c r="CV53" s="164" t="s">
        <v>158</v>
      </c>
      <c r="CW53" s="165" t="s">
        <v>158</v>
      </c>
      <c r="CX53" s="166"/>
      <c r="CY53" s="174" t="str">
        <f>=IFERROR(ROUND(CX53/$CW$7,2),0)</f>
      </c>
      <c r="CZ53" s="168" t="str">
        <f>=ROUND(IFERROR(CX53/CY53,0),6)</f>
      </c>
      <c r="DC53" s="164" t="s">
        <v>158</v>
      </c>
      <c r="DD53" s="165" t="s">
        <v>158</v>
      </c>
      <c r="DE53" s="166"/>
      <c r="DF53" s="174" t="str">
        <f>=IFERROR(ROUND(DE53/$DD$7,2),0)</f>
      </c>
      <c r="DG53" s="168" t="str">
        <f>=ROUND(IFERROR(DE53/DF53,0),6)</f>
      </c>
      <c r="DJ53" s="164" t="s">
        <v>158</v>
      </c>
      <c r="DK53" s="165" t="s">
        <v>158</v>
      </c>
      <c r="DL53" s="166"/>
      <c r="DM53" s="174" t="str">
        <f>=IFERROR(ROUND(DL53/$DK$7,2),0)</f>
      </c>
      <c r="DN53" s="168" t="str">
        <f>=ROUND(IFERROR(DL53/DM53,0),6)</f>
      </c>
      <c r="DQ53" s="164" t="s">
        <v>158</v>
      </c>
      <c r="DR53" s="165" t="s">
        <v>158</v>
      </c>
      <c r="DS53" s="166"/>
      <c r="DT53" s="174" t="str">
        <f>=IFERROR(ROUND(DS53/$DR$7,2),0)</f>
      </c>
      <c r="DU53" s="168" t="str">
        <f>=ROUND(IFERROR(DS53/DT53,0),6)</f>
      </c>
    </row>
    <row r="54">
      <c r="B54" s="164" t="s">
        <v>158</v>
      </c>
      <c r="C54" s="165" t="s">
        <v>158</v>
      </c>
      <c r="D54" s="166"/>
      <c r="E54" s="174" t="str">
        <f>=IFERROR(ROUND(D54/$C$7,2),0)</f>
      </c>
      <c r="F54" s="168" t="str">
        <f>=ROUND(IFERROR(D54/E54,0),6)</f>
      </c>
      <c r="I54" s="164" t="s">
        <v>158</v>
      </c>
      <c r="J54" s="165" t="s">
        <v>158</v>
      </c>
      <c r="K54" s="166"/>
      <c r="L54" s="174" t="str">
        <f>=IFERROR(ROUND(K54/$J$7,2),0)</f>
      </c>
      <c r="M54" s="168" t="str">
        <f>=ROUND(IFERROR(K54/L54,0),6)</f>
      </c>
      <c r="P54" s="164" t="s">
        <v>158</v>
      </c>
      <c r="Q54" s="165" t="s">
        <v>158</v>
      </c>
      <c r="R54" s="166"/>
      <c r="S54" s="174" t="str">
        <f>=IFERROR(ROUND(R54/$Q$7,2),0)</f>
      </c>
      <c r="T54" s="168" t="str">
        <f>=ROUND(IFERROR(R54/S54,0),6)</f>
      </c>
      <c r="W54" s="164" t="s">
        <v>158</v>
      </c>
      <c r="X54" s="165" t="s">
        <v>158</v>
      </c>
      <c r="Y54" s="166"/>
      <c r="Z54" s="174" t="str">
        <f>=IFERROR(ROUND(Y54/$X$7,2),0)</f>
      </c>
      <c r="AA54" s="168" t="str">
        <f>=ROUND(IFERROR(Y54/Z54,0),6)</f>
      </c>
      <c r="AD54" s="164" t="s">
        <v>158</v>
      </c>
      <c r="AE54" s="165" t="s">
        <v>158</v>
      </c>
      <c r="AF54" s="166"/>
      <c r="AG54" s="174" t="str">
        <f>=IFERROR(ROUND(AF54/$AE$7,2),0)</f>
      </c>
      <c r="AH54" s="168" t="str">
        <f>=ROUND(IFERROR(AF54/AG54,0),6)</f>
      </c>
      <c r="AK54" s="164" t="s">
        <v>158</v>
      </c>
      <c r="AL54" s="165" t="s">
        <v>158</v>
      </c>
      <c r="AM54" s="166"/>
      <c r="AN54" s="174" t="str">
        <f>=IFERROR(ROUND(AM54/$AL$7,2),0)</f>
      </c>
      <c r="AO54" s="168" t="str">
        <f>=ROUND(IFERROR(AM54/AN54,0),6)</f>
      </c>
      <c r="AR54" s="164" t="s">
        <v>158</v>
      </c>
      <c r="AS54" s="165" t="s">
        <v>158</v>
      </c>
      <c r="AT54" s="166"/>
      <c r="AU54" s="174" t="str">
        <f>=IFERROR(ROUND(AT54/$AS$7,2),0)</f>
      </c>
      <c r="AV54" s="168" t="str">
        <f>=ROUND(IFERROR(AT54/AU54,0),6)</f>
      </c>
      <c r="AY54" s="164" t="s">
        <v>158</v>
      </c>
      <c r="AZ54" s="165" t="s">
        <v>158</v>
      </c>
      <c r="BA54" s="166"/>
      <c r="BB54" s="174" t="str">
        <f>=IFERROR(ROUND(BA54/$AZ$7,2),0)</f>
      </c>
      <c r="BC54" s="168" t="str">
        <f>=ROUND(IFERROR(BA54/BB54,0),6)</f>
      </c>
      <c r="BF54" s="164" t="s">
        <v>158</v>
      </c>
      <c r="BG54" s="165" t="s">
        <v>158</v>
      </c>
      <c r="BH54" s="166"/>
      <c r="BI54" s="174" t="str">
        <f>=IFERROR(ROUND(BH54/$BG$7,2),0)</f>
      </c>
      <c r="BJ54" s="168" t="str">
        <f>=ROUND(IFERROR(BH54/BI54,0),6)</f>
      </c>
      <c r="BM54" s="164" t="s">
        <v>158</v>
      </c>
      <c r="BN54" s="165" t="s">
        <v>158</v>
      </c>
      <c r="BO54" s="166"/>
      <c r="BP54" s="174" t="str">
        <f>=IFERROR(ROUND(BO54/$BN$7,2),0)</f>
      </c>
      <c r="BQ54" s="168" t="str">
        <f>=ROUND(IFERROR(BO54/BP54,0),6)</f>
      </c>
      <c r="BT54" s="164" t="s">
        <v>158</v>
      </c>
      <c r="BU54" s="165" t="s">
        <v>158</v>
      </c>
      <c r="BV54" s="166"/>
      <c r="BW54" s="174" t="str">
        <f>=IFERROR(ROUND(BV54/$BU$7,2),0)</f>
      </c>
      <c r="BX54" s="168" t="str">
        <f>=ROUND(IFERROR(BV54/BW54,0),6)</f>
      </c>
      <c r="CA54" s="164" t="s">
        <v>158</v>
      </c>
      <c r="CB54" s="165" t="s">
        <v>158</v>
      </c>
      <c r="CC54" s="166"/>
      <c r="CD54" s="174" t="str">
        <f>=IFERROR(ROUND(CC54/$CB$7,2),0)</f>
      </c>
      <c r="CE54" s="168" t="str">
        <f>=ROUND(IFERROR(CC54/CD54,0),6)</f>
      </c>
      <c r="CH54" s="164" t="s">
        <v>158</v>
      </c>
      <c r="CI54" s="165" t="s">
        <v>158</v>
      </c>
      <c r="CJ54" s="166"/>
      <c r="CK54" s="174" t="str">
        <f>=IFERROR(ROUND(CJ54/$CI$7,2),0)</f>
      </c>
      <c r="CL54" s="168" t="str">
        <f>=ROUND(IFERROR(CJ54/CK54,0),6)</f>
      </c>
      <c r="CO54" s="164" t="s">
        <v>158</v>
      </c>
      <c r="CP54" s="165" t="s">
        <v>158</v>
      </c>
      <c r="CQ54" s="166"/>
      <c r="CR54" s="174" t="str">
        <f>=IFERROR(ROUND(CQ54/$CP$7,2),0)</f>
      </c>
      <c r="CS54" s="168" t="str">
        <f>=ROUND(IFERROR(CQ54/CR54,0),6)</f>
      </c>
      <c r="CV54" s="164" t="s">
        <v>158</v>
      </c>
      <c r="CW54" s="165" t="s">
        <v>158</v>
      </c>
      <c r="CX54" s="166"/>
      <c r="CY54" s="174" t="str">
        <f>=IFERROR(ROUND(CX54/$CW$7,2),0)</f>
      </c>
      <c r="CZ54" s="168" t="str">
        <f>=ROUND(IFERROR(CX54/CY54,0),6)</f>
      </c>
      <c r="DC54" s="164" t="s">
        <v>158</v>
      </c>
      <c r="DD54" s="165" t="s">
        <v>158</v>
      </c>
      <c r="DE54" s="166"/>
      <c r="DF54" s="174" t="str">
        <f>=IFERROR(ROUND(DE54/$DD$7,2),0)</f>
      </c>
      <c r="DG54" s="168" t="str">
        <f>=ROUND(IFERROR(DE54/DF54,0),6)</f>
      </c>
      <c r="DJ54" s="164" t="s">
        <v>158</v>
      </c>
      <c r="DK54" s="165" t="s">
        <v>158</v>
      </c>
      <c r="DL54" s="166"/>
      <c r="DM54" s="174" t="str">
        <f>=IFERROR(ROUND(DL54/$DK$7,2),0)</f>
      </c>
      <c r="DN54" s="168" t="str">
        <f>=ROUND(IFERROR(DL54/DM54,0),6)</f>
      </c>
      <c r="DQ54" s="164" t="s">
        <v>158</v>
      </c>
      <c r="DR54" s="165" t="s">
        <v>158</v>
      </c>
      <c r="DS54" s="166"/>
      <c r="DT54" s="174" t="str">
        <f>=IFERROR(ROUND(DS54/$DR$7,2),0)</f>
      </c>
      <c r="DU54" s="168" t="str">
        <f>=ROUND(IFERROR(DS54/DT54,0),6)</f>
      </c>
    </row>
    <row r="55">
      <c r="B55" s="164" t="s">
        <v>158</v>
      </c>
      <c r="C55" s="165" t="s">
        <v>158</v>
      </c>
      <c r="D55" s="166"/>
      <c r="E55" s="174" t="str">
        <f>=IFERROR(ROUND(D55/$C$7,2),0)</f>
      </c>
      <c r="F55" s="168" t="str">
        <f>=ROUND(IFERROR(D55/E55,0),6)</f>
      </c>
      <c r="I55" s="164" t="s">
        <v>158</v>
      </c>
      <c r="J55" s="165" t="s">
        <v>158</v>
      </c>
      <c r="K55" s="166"/>
      <c r="L55" s="174" t="str">
        <f>=IFERROR(ROUND(K55/$J$7,2),0)</f>
      </c>
      <c r="M55" s="168" t="str">
        <f>=ROUND(IFERROR(K55/L55,0),6)</f>
      </c>
      <c r="P55" s="164" t="s">
        <v>158</v>
      </c>
      <c r="Q55" s="165" t="s">
        <v>158</v>
      </c>
      <c r="R55" s="166"/>
      <c r="S55" s="174" t="str">
        <f>=IFERROR(ROUND(R55/$Q$7,2),0)</f>
      </c>
      <c r="T55" s="168" t="str">
        <f>=ROUND(IFERROR(R55/S55,0),6)</f>
      </c>
      <c r="W55" s="164" t="s">
        <v>158</v>
      </c>
      <c r="X55" s="165" t="s">
        <v>158</v>
      </c>
      <c r="Y55" s="166"/>
      <c r="Z55" s="174" t="str">
        <f>=IFERROR(ROUND(Y55/$X$7,2),0)</f>
      </c>
      <c r="AA55" s="168" t="str">
        <f>=ROUND(IFERROR(Y55/Z55,0),6)</f>
      </c>
      <c r="AD55" s="164" t="s">
        <v>158</v>
      </c>
      <c r="AE55" s="165" t="s">
        <v>158</v>
      </c>
      <c r="AF55" s="166"/>
      <c r="AG55" s="174" t="str">
        <f>=IFERROR(ROUND(AF55/$AE$7,2),0)</f>
      </c>
      <c r="AH55" s="168" t="str">
        <f>=ROUND(IFERROR(AF55/AG55,0),6)</f>
      </c>
      <c r="AK55" s="164" t="s">
        <v>158</v>
      </c>
      <c r="AL55" s="165" t="s">
        <v>158</v>
      </c>
      <c r="AM55" s="166"/>
      <c r="AN55" s="174" t="str">
        <f>=IFERROR(ROUND(AM55/$AL$7,2),0)</f>
      </c>
      <c r="AO55" s="168" t="str">
        <f>=ROUND(IFERROR(AM55/AN55,0),6)</f>
      </c>
      <c r="AR55" s="164" t="s">
        <v>158</v>
      </c>
      <c r="AS55" s="165" t="s">
        <v>158</v>
      </c>
      <c r="AT55" s="166"/>
      <c r="AU55" s="174" t="str">
        <f>=IFERROR(ROUND(AT55/$AS$7,2),0)</f>
      </c>
      <c r="AV55" s="168" t="str">
        <f>=ROUND(IFERROR(AT55/AU55,0),6)</f>
      </c>
      <c r="AY55" s="164" t="s">
        <v>158</v>
      </c>
      <c r="AZ55" s="165" t="s">
        <v>158</v>
      </c>
      <c r="BA55" s="166"/>
      <c r="BB55" s="174" t="str">
        <f>=IFERROR(ROUND(BA55/$AZ$7,2),0)</f>
      </c>
      <c r="BC55" s="168" t="str">
        <f>=ROUND(IFERROR(BA55/BB55,0),6)</f>
      </c>
      <c r="BF55" s="164" t="s">
        <v>158</v>
      </c>
      <c r="BG55" s="165" t="s">
        <v>158</v>
      </c>
      <c r="BH55" s="166"/>
      <c r="BI55" s="174" t="str">
        <f>=IFERROR(ROUND(BH55/$BG$7,2),0)</f>
      </c>
      <c r="BJ55" s="168" t="str">
        <f>=ROUND(IFERROR(BH55/BI55,0),6)</f>
      </c>
      <c r="BM55" s="164" t="s">
        <v>158</v>
      </c>
      <c r="BN55" s="165" t="s">
        <v>158</v>
      </c>
      <c r="BO55" s="166"/>
      <c r="BP55" s="174" t="str">
        <f>=IFERROR(ROUND(BO55/$BN$7,2),0)</f>
      </c>
      <c r="BQ55" s="168" t="str">
        <f>=ROUND(IFERROR(BO55/BP55,0),6)</f>
      </c>
      <c r="BT55" s="164" t="s">
        <v>158</v>
      </c>
      <c r="BU55" s="165" t="s">
        <v>158</v>
      </c>
      <c r="BV55" s="166"/>
      <c r="BW55" s="174" t="str">
        <f>=IFERROR(ROUND(BV55/$BU$7,2),0)</f>
      </c>
      <c r="BX55" s="168" t="str">
        <f>=ROUND(IFERROR(BV55/BW55,0),6)</f>
      </c>
      <c r="CA55" s="164" t="s">
        <v>158</v>
      </c>
      <c r="CB55" s="165" t="s">
        <v>158</v>
      </c>
      <c r="CC55" s="166"/>
      <c r="CD55" s="174" t="str">
        <f>=IFERROR(ROUND(CC55/$CB$7,2),0)</f>
      </c>
      <c r="CE55" s="168" t="str">
        <f>=ROUND(IFERROR(CC55/CD55,0),6)</f>
      </c>
      <c r="CH55" s="164" t="s">
        <v>158</v>
      </c>
      <c r="CI55" s="165" t="s">
        <v>158</v>
      </c>
      <c r="CJ55" s="166"/>
      <c r="CK55" s="174" t="str">
        <f>=IFERROR(ROUND(CJ55/$CI$7,2),0)</f>
      </c>
      <c r="CL55" s="168" t="str">
        <f>=ROUND(IFERROR(CJ55/CK55,0),6)</f>
      </c>
      <c r="CO55" s="164" t="s">
        <v>158</v>
      </c>
      <c r="CP55" s="165" t="s">
        <v>158</v>
      </c>
      <c r="CQ55" s="166"/>
      <c r="CR55" s="174" t="str">
        <f>=IFERROR(ROUND(CQ55/$CP$7,2),0)</f>
      </c>
      <c r="CS55" s="168" t="str">
        <f>=ROUND(IFERROR(CQ55/CR55,0),6)</f>
      </c>
      <c r="CV55" s="164" t="s">
        <v>158</v>
      </c>
      <c r="CW55" s="165" t="s">
        <v>158</v>
      </c>
      <c r="CX55" s="166"/>
      <c r="CY55" s="174" t="str">
        <f>=IFERROR(ROUND(CX55/$CW$7,2),0)</f>
      </c>
      <c r="CZ55" s="168" t="str">
        <f>=ROUND(IFERROR(CX55/CY55,0),6)</f>
      </c>
      <c r="DC55" s="164" t="s">
        <v>158</v>
      </c>
      <c r="DD55" s="165" t="s">
        <v>158</v>
      </c>
      <c r="DE55" s="166"/>
      <c r="DF55" s="174" t="str">
        <f>=IFERROR(ROUND(DE55/$DD$7,2),0)</f>
      </c>
      <c r="DG55" s="168" t="str">
        <f>=ROUND(IFERROR(DE55/DF55,0),6)</f>
      </c>
      <c r="DJ55" s="164" t="s">
        <v>158</v>
      </c>
      <c r="DK55" s="165" t="s">
        <v>158</v>
      </c>
      <c r="DL55" s="166"/>
      <c r="DM55" s="174" t="str">
        <f>=IFERROR(ROUND(DL55/$DK$7,2),0)</f>
      </c>
      <c r="DN55" s="168" t="str">
        <f>=ROUND(IFERROR(DL55/DM55,0),6)</f>
      </c>
      <c r="DQ55" s="164" t="s">
        <v>158</v>
      </c>
      <c r="DR55" s="165" t="s">
        <v>158</v>
      </c>
      <c r="DS55" s="166"/>
      <c r="DT55" s="174" t="str">
        <f>=IFERROR(ROUND(DS55/$DR$7,2),0)</f>
      </c>
      <c r="DU55" s="168" t="str">
        <f>=ROUND(IFERROR(DS55/DT55,0),6)</f>
      </c>
    </row>
    <row r="56">
      <c r="B56" s="169" t="s">
        <v>301</v>
      </c>
      <c r="C56" s="170" t="s">
        <v>269</v>
      </c>
      <c r="D56" s="171" t="str">
        <f>=ROUND(SUBTOTAL(109,$D$50:$D$55),2)</f>
      </c>
      <c r="E56" s="172" t="str">
        <f>=ROUND(SUBTOTAL(109,$E$50:$E$55),2)</f>
      </c>
      <c r="F56" s="173" t="str">
        <f>=ROUND(IFERROR(D56/E56,0),6)</f>
      </c>
      <c r="I56" s="169" t="s">
        <v>301</v>
      </c>
      <c r="J56" s="170" t="s">
        <v>269</v>
      </c>
      <c r="K56" s="171" t="str">
        <f>=ROUND(SUBTOTAL(109,$K$50:$K$55),2)</f>
      </c>
      <c r="L56" s="172" t="str">
        <f>=ROUND(SUBTOTAL(109,$L$50:$L$55),2)</f>
      </c>
      <c r="M56" s="173" t="str">
        <f>=ROUND(IFERROR(K56/L56,0),6)</f>
      </c>
      <c r="P56" s="169" t="s">
        <v>301</v>
      </c>
      <c r="Q56" s="170" t="s">
        <v>269</v>
      </c>
      <c r="R56" s="171" t="str">
        <f>=ROUND(SUBTOTAL(109,$R$50:$R$55),2)</f>
      </c>
      <c r="S56" s="172" t="str">
        <f>=ROUND(SUBTOTAL(109,$S$50:$S$55),2)</f>
      </c>
      <c r="T56" s="173" t="str">
        <f>=ROUND(IFERROR(R56/S56,0),6)</f>
      </c>
      <c r="W56" s="169" t="s">
        <v>301</v>
      </c>
      <c r="X56" s="170" t="s">
        <v>269</v>
      </c>
      <c r="Y56" s="171" t="str">
        <f>=ROUND(SUBTOTAL(109,$Y$50:$Y$55),2)</f>
      </c>
      <c r="Z56" s="172" t="str">
        <f>=ROUND(SUBTOTAL(109,$Z$50:$Z$55),2)</f>
      </c>
      <c r="AA56" s="173" t="str">
        <f>=ROUND(IFERROR(Y56/Z56,0),6)</f>
      </c>
      <c r="AD56" s="169" t="s">
        <v>301</v>
      </c>
      <c r="AE56" s="170" t="s">
        <v>269</v>
      </c>
      <c r="AF56" s="171" t="str">
        <f>=ROUND(SUBTOTAL(109,$AF$50:$AF$55),2)</f>
      </c>
      <c r="AG56" s="172" t="str">
        <f>=ROUND(SUBTOTAL(109,$AG$50:$AG$55),2)</f>
      </c>
      <c r="AH56" s="173" t="str">
        <f>=ROUND(IFERROR(AF56/AG56,0),6)</f>
      </c>
      <c r="AK56" s="169" t="s">
        <v>301</v>
      </c>
      <c r="AL56" s="170" t="s">
        <v>269</v>
      </c>
      <c r="AM56" s="171" t="str">
        <f>=ROUND(SUBTOTAL(109,$AM$50:$AM$55),2)</f>
      </c>
      <c r="AN56" s="172" t="str">
        <f>=ROUND(SUBTOTAL(109,$AN$50:$AN$55),2)</f>
      </c>
      <c r="AO56" s="173" t="str">
        <f>=ROUND(IFERROR(AM56/AN56,0),6)</f>
      </c>
      <c r="AR56" s="169" t="s">
        <v>301</v>
      </c>
      <c r="AS56" s="170" t="s">
        <v>269</v>
      </c>
      <c r="AT56" s="171" t="str">
        <f>=ROUND(SUBTOTAL(109,$AT$50:$AT$55),2)</f>
      </c>
      <c r="AU56" s="172" t="str">
        <f>=ROUND(SUBTOTAL(109,$AU$50:$AU$55),2)</f>
      </c>
      <c r="AV56" s="173" t="str">
        <f>=ROUND(IFERROR(AT56/AU56,0),6)</f>
      </c>
      <c r="AY56" s="169" t="s">
        <v>301</v>
      </c>
      <c r="AZ56" s="170" t="s">
        <v>269</v>
      </c>
      <c r="BA56" s="171" t="str">
        <f>=ROUND(SUBTOTAL(109,$BA$50:$BA$55),2)</f>
      </c>
      <c r="BB56" s="172" t="str">
        <f>=ROUND(SUBTOTAL(109,$BB$50:$BB$55),2)</f>
      </c>
      <c r="BC56" s="173" t="str">
        <f>=ROUND(IFERROR(BA56/BB56,0),6)</f>
      </c>
      <c r="BF56" s="169" t="s">
        <v>301</v>
      </c>
      <c r="BG56" s="170" t="s">
        <v>269</v>
      </c>
      <c r="BH56" s="171" t="str">
        <f>=ROUND(SUBTOTAL(109,$BH$50:$BH$55),2)</f>
      </c>
      <c r="BI56" s="172" t="str">
        <f>=ROUND(SUBTOTAL(109,$BI$50:$BI$55),2)</f>
      </c>
      <c r="BJ56" s="173" t="str">
        <f>=ROUND(IFERROR(BH56/BI56,0),6)</f>
      </c>
      <c r="BM56" s="169" t="s">
        <v>301</v>
      </c>
      <c r="BN56" s="170" t="s">
        <v>269</v>
      </c>
      <c r="BO56" s="171" t="str">
        <f>=ROUND(SUBTOTAL(109,$BO$50:$BO$55),2)</f>
      </c>
      <c r="BP56" s="172" t="str">
        <f>=ROUND(SUBTOTAL(109,$BP$50:$BP$55),2)</f>
      </c>
      <c r="BQ56" s="173" t="str">
        <f>=ROUND(IFERROR(BO56/BP56,0),6)</f>
      </c>
      <c r="BT56" s="169" t="s">
        <v>301</v>
      </c>
      <c r="BU56" s="170" t="s">
        <v>269</v>
      </c>
      <c r="BV56" s="171" t="str">
        <f>=ROUND(SUBTOTAL(109,$BV$50:$BV$55),2)</f>
      </c>
      <c r="BW56" s="172" t="str">
        <f>=ROUND(SUBTOTAL(109,$BW$50:$BW$55),2)</f>
      </c>
      <c r="BX56" s="173" t="str">
        <f>=ROUND(IFERROR(BV56/BW56,0),6)</f>
      </c>
      <c r="CA56" s="169" t="s">
        <v>301</v>
      </c>
      <c r="CB56" s="170" t="s">
        <v>269</v>
      </c>
      <c r="CC56" s="171" t="str">
        <f>=ROUND(SUBTOTAL(109,$CC$50:$CC$55),2)</f>
      </c>
      <c r="CD56" s="172" t="str">
        <f>=ROUND(SUBTOTAL(109,$CD$50:$CD$55),2)</f>
      </c>
      <c r="CE56" s="173" t="str">
        <f>=ROUND(IFERROR(CC56/CD56,0),6)</f>
      </c>
      <c r="CH56" s="169" t="s">
        <v>301</v>
      </c>
      <c r="CI56" s="170" t="s">
        <v>269</v>
      </c>
      <c r="CJ56" s="171" t="str">
        <f>=ROUND(SUBTOTAL(109,$CJ$50:$CJ$55),2)</f>
      </c>
      <c r="CK56" s="172" t="str">
        <f>=ROUND(SUBTOTAL(109,$CK$50:$CK$55),2)</f>
      </c>
      <c r="CL56" s="173" t="str">
        <f>=ROUND(IFERROR(CJ56/CK56,0),6)</f>
      </c>
      <c r="CO56" s="169" t="s">
        <v>301</v>
      </c>
      <c r="CP56" s="170" t="s">
        <v>269</v>
      </c>
      <c r="CQ56" s="171" t="str">
        <f>=ROUND(SUBTOTAL(109,$CQ$50:$CQ$55),2)</f>
      </c>
      <c r="CR56" s="172" t="str">
        <f>=ROUND(SUBTOTAL(109,$CR$50:$CR$55),2)</f>
      </c>
      <c r="CS56" s="173" t="str">
        <f>=ROUND(IFERROR(CQ56/CR56,0),6)</f>
      </c>
      <c r="CV56" s="169" t="s">
        <v>301</v>
      </c>
      <c r="CW56" s="170" t="s">
        <v>269</v>
      </c>
      <c r="CX56" s="171" t="str">
        <f>=ROUND(SUBTOTAL(109,$CX$50:$CX$55),2)</f>
      </c>
      <c r="CY56" s="172" t="str">
        <f>=ROUND(SUBTOTAL(109,$CY$50:$CY$55),2)</f>
      </c>
      <c r="CZ56" s="173" t="str">
        <f>=ROUND(IFERROR(CX56/CY56,0),6)</f>
      </c>
      <c r="DC56" s="169" t="s">
        <v>301</v>
      </c>
      <c r="DD56" s="170" t="s">
        <v>269</v>
      </c>
      <c r="DE56" s="171" t="str">
        <f>=ROUND(SUBTOTAL(109,$DE$50:$DE$55),2)</f>
      </c>
      <c r="DF56" s="172" t="str">
        <f>=ROUND(SUBTOTAL(109,$DF$50:$DF$55),2)</f>
      </c>
      <c r="DG56" s="173" t="str">
        <f>=ROUND(IFERROR(DE56/DF56,0),6)</f>
      </c>
      <c r="DJ56" s="169" t="s">
        <v>301</v>
      </c>
      <c r="DK56" s="170" t="s">
        <v>269</v>
      </c>
      <c r="DL56" s="171" t="str">
        <f>=ROUND(SUBTOTAL(109,$DL$50:$DL$55),2)</f>
      </c>
      <c r="DM56" s="172" t="str">
        <f>=ROUND(SUBTOTAL(109,$DM$50:$DM$55),2)</f>
      </c>
      <c r="DN56" s="173" t="str">
        <f>=ROUND(IFERROR(DL56/DM56,0),6)</f>
      </c>
      <c r="DQ56" s="169" t="s">
        <v>301</v>
      </c>
      <c r="DR56" s="170" t="s">
        <v>269</v>
      </c>
      <c r="DS56" s="171" t="str">
        <f>=ROUND(SUBTOTAL(109,$DS$50:$DS$55),2)</f>
      </c>
      <c r="DT56" s="172" t="str">
        <f>=ROUND(SUBTOTAL(109,$DT$50:$DT$55),2)</f>
      </c>
      <c r="DU56" s="173" t="str">
        <f>=ROUND(IFERROR(DS56/DT56,0),6)</f>
      </c>
    </row>
  </sheetData>
  <mergeCells count="216">
    <mergeCell ref="B5:B5"/>
    <mergeCell ref="C5:D5"/>
    <mergeCell ref="B6:B6"/>
    <mergeCell ref="C6:D6"/>
    <mergeCell ref="B7:B7"/>
    <mergeCell ref="C7:D7"/>
    <mergeCell ref="B9:F9"/>
    <mergeCell ref="B17:F17"/>
    <mergeCell ref="B29:B29"/>
    <mergeCell ref="B31:B31"/>
    <mergeCell ref="B39:B39"/>
    <mergeCell ref="B48:B48"/>
    <mergeCell ref="I5:I5"/>
    <mergeCell ref="J5:K5"/>
    <mergeCell ref="I6:I6"/>
    <mergeCell ref="J6:K6"/>
    <mergeCell ref="I7:I7"/>
    <mergeCell ref="J7:K7"/>
    <mergeCell ref="I9:M9"/>
    <mergeCell ref="I17:M17"/>
    <mergeCell ref="I29:I29"/>
    <mergeCell ref="I31:I31"/>
    <mergeCell ref="I39:I39"/>
    <mergeCell ref="I48:I48"/>
    <mergeCell ref="P5:P5"/>
    <mergeCell ref="Q5:R5"/>
    <mergeCell ref="P6:P6"/>
    <mergeCell ref="Q6:R6"/>
    <mergeCell ref="P7:P7"/>
    <mergeCell ref="Q7:R7"/>
    <mergeCell ref="P9:T9"/>
    <mergeCell ref="P17:T17"/>
    <mergeCell ref="P29:P29"/>
    <mergeCell ref="P31:P31"/>
    <mergeCell ref="P39:P39"/>
    <mergeCell ref="P48:P48"/>
    <mergeCell ref="W5:W5"/>
    <mergeCell ref="X5:Y5"/>
    <mergeCell ref="W6:W6"/>
    <mergeCell ref="X6:Y6"/>
    <mergeCell ref="W7:W7"/>
    <mergeCell ref="X7:Y7"/>
    <mergeCell ref="W9:AA9"/>
    <mergeCell ref="W17:AA17"/>
    <mergeCell ref="W29:W29"/>
    <mergeCell ref="W31:W31"/>
    <mergeCell ref="W39:W39"/>
    <mergeCell ref="W48:W48"/>
    <mergeCell ref="AD5:AD5"/>
    <mergeCell ref="AE5:AF5"/>
    <mergeCell ref="AD6:AD6"/>
    <mergeCell ref="AE6:AF6"/>
    <mergeCell ref="AD7:AD7"/>
    <mergeCell ref="AE7:AF7"/>
    <mergeCell ref="AD9:AH9"/>
    <mergeCell ref="AD17:AH17"/>
    <mergeCell ref="AD29:AD29"/>
    <mergeCell ref="AD31:AD31"/>
    <mergeCell ref="AD39:AD39"/>
    <mergeCell ref="AD48:AD48"/>
    <mergeCell ref="AK5:AK5"/>
    <mergeCell ref="AL5:AM5"/>
    <mergeCell ref="AK6:AK6"/>
    <mergeCell ref="AL6:AM6"/>
    <mergeCell ref="AK7:AK7"/>
    <mergeCell ref="AL7:AM7"/>
    <mergeCell ref="AK9:AO9"/>
    <mergeCell ref="AK17:AO17"/>
    <mergeCell ref="AK29:AK29"/>
    <mergeCell ref="AK31:AK31"/>
    <mergeCell ref="AK39:AK39"/>
    <mergeCell ref="AK48:AK48"/>
    <mergeCell ref="AR5:AR5"/>
    <mergeCell ref="AS5:AT5"/>
    <mergeCell ref="AR6:AR6"/>
    <mergeCell ref="AS6:AT6"/>
    <mergeCell ref="AR7:AR7"/>
    <mergeCell ref="AS7:AT7"/>
    <mergeCell ref="AR9:AV9"/>
    <mergeCell ref="AR17:AV17"/>
    <mergeCell ref="AR29:AR29"/>
    <mergeCell ref="AR31:AR31"/>
    <mergeCell ref="AR39:AR39"/>
    <mergeCell ref="AR48:AR48"/>
    <mergeCell ref="AY5:AY5"/>
    <mergeCell ref="AZ5:BA5"/>
    <mergeCell ref="AY6:AY6"/>
    <mergeCell ref="AZ6:BA6"/>
    <mergeCell ref="AY7:AY7"/>
    <mergeCell ref="AZ7:BA7"/>
    <mergeCell ref="AY9:BC9"/>
    <mergeCell ref="AY17:BC17"/>
    <mergeCell ref="AY29:AY29"/>
    <mergeCell ref="AY31:AY31"/>
    <mergeCell ref="AY39:AY39"/>
    <mergeCell ref="AY48:AY48"/>
    <mergeCell ref="BF5:BF5"/>
    <mergeCell ref="BG5:BH5"/>
    <mergeCell ref="BF6:BF6"/>
    <mergeCell ref="BG6:BH6"/>
    <mergeCell ref="BF7:BF7"/>
    <mergeCell ref="BG7:BH7"/>
    <mergeCell ref="BF9:BJ9"/>
    <mergeCell ref="BF17:BJ17"/>
    <mergeCell ref="BF29:BF29"/>
    <mergeCell ref="BF31:BF31"/>
    <mergeCell ref="BF39:BF39"/>
    <mergeCell ref="BF48:BF48"/>
    <mergeCell ref="BM5:BM5"/>
    <mergeCell ref="BN5:BO5"/>
    <mergeCell ref="BM6:BM6"/>
    <mergeCell ref="BN6:BO6"/>
    <mergeCell ref="BM7:BM7"/>
    <mergeCell ref="BN7:BO7"/>
    <mergeCell ref="BM9:BQ9"/>
    <mergeCell ref="BM17:BQ17"/>
    <mergeCell ref="BM29:BM29"/>
    <mergeCell ref="BM31:BM31"/>
    <mergeCell ref="BM39:BM39"/>
    <mergeCell ref="BM48:BM48"/>
    <mergeCell ref="BT5:BT5"/>
    <mergeCell ref="BU5:BV5"/>
    <mergeCell ref="BT6:BT6"/>
    <mergeCell ref="BU6:BV6"/>
    <mergeCell ref="BT7:BT7"/>
    <mergeCell ref="BU7:BV7"/>
    <mergeCell ref="BT9:BX9"/>
    <mergeCell ref="BT17:BX17"/>
    <mergeCell ref="BT29:BT29"/>
    <mergeCell ref="BT31:BT31"/>
    <mergeCell ref="BT39:BT39"/>
    <mergeCell ref="BT48:BT48"/>
    <mergeCell ref="CA5:CA5"/>
    <mergeCell ref="CB5:CC5"/>
    <mergeCell ref="CA6:CA6"/>
    <mergeCell ref="CB6:CC6"/>
    <mergeCell ref="CA7:CA7"/>
    <mergeCell ref="CB7:CC7"/>
    <mergeCell ref="CA9:CE9"/>
    <mergeCell ref="CA17:CE17"/>
    <mergeCell ref="CA29:CA29"/>
    <mergeCell ref="CA31:CA31"/>
    <mergeCell ref="CA39:CA39"/>
    <mergeCell ref="CA48:CA48"/>
    <mergeCell ref="CH5:CH5"/>
    <mergeCell ref="CI5:CJ5"/>
    <mergeCell ref="CH6:CH6"/>
    <mergeCell ref="CI6:CJ6"/>
    <mergeCell ref="CH7:CH7"/>
    <mergeCell ref="CI7:CJ7"/>
    <mergeCell ref="CH9:CL9"/>
    <mergeCell ref="CH17:CL17"/>
    <mergeCell ref="CH29:CH29"/>
    <mergeCell ref="CH31:CH31"/>
    <mergeCell ref="CH39:CH39"/>
    <mergeCell ref="CH48:CH48"/>
    <mergeCell ref="CO5:CO5"/>
    <mergeCell ref="CP5:CQ5"/>
    <mergeCell ref="CO6:CO6"/>
    <mergeCell ref="CP6:CQ6"/>
    <mergeCell ref="CO7:CO7"/>
    <mergeCell ref="CP7:CQ7"/>
    <mergeCell ref="CO9:CS9"/>
    <mergeCell ref="CO17:CS17"/>
    <mergeCell ref="CO29:CO29"/>
    <mergeCell ref="CO31:CO31"/>
    <mergeCell ref="CO39:CO39"/>
    <mergeCell ref="CO48:CO48"/>
    <mergeCell ref="CV5:CV5"/>
    <mergeCell ref="CW5:CX5"/>
    <mergeCell ref="CV6:CV6"/>
    <mergeCell ref="CW6:CX6"/>
    <mergeCell ref="CV7:CV7"/>
    <mergeCell ref="CW7:CX7"/>
    <mergeCell ref="CV9:CZ9"/>
    <mergeCell ref="CV17:CZ17"/>
    <mergeCell ref="CV29:CV29"/>
    <mergeCell ref="CV31:CV31"/>
    <mergeCell ref="CV39:CV39"/>
    <mergeCell ref="CV48:CV48"/>
    <mergeCell ref="DC5:DC5"/>
    <mergeCell ref="DD5:DE5"/>
    <mergeCell ref="DC6:DC6"/>
    <mergeCell ref="DD6:DE6"/>
    <mergeCell ref="DC7:DC7"/>
    <mergeCell ref="DD7:DE7"/>
    <mergeCell ref="DC9:DG9"/>
    <mergeCell ref="DC17:DG17"/>
    <mergeCell ref="DC29:DC29"/>
    <mergeCell ref="DC31:DC31"/>
    <mergeCell ref="DC39:DC39"/>
    <mergeCell ref="DC48:DC48"/>
    <mergeCell ref="DJ5:DJ5"/>
    <mergeCell ref="DK5:DL5"/>
    <mergeCell ref="DJ6:DJ6"/>
    <mergeCell ref="DK6:DL6"/>
    <mergeCell ref="DJ7:DJ7"/>
    <mergeCell ref="DK7:DL7"/>
    <mergeCell ref="DJ9:DN9"/>
    <mergeCell ref="DJ17:DN17"/>
    <mergeCell ref="DJ29:DJ29"/>
    <mergeCell ref="DJ31:DJ31"/>
    <mergeCell ref="DJ39:DJ39"/>
    <mergeCell ref="DJ48:DJ48"/>
    <mergeCell ref="DQ5:DQ5"/>
    <mergeCell ref="DR5:DS5"/>
    <mergeCell ref="DQ6:DQ6"/>
    <mergeCell ref="DR6:DS6"/>
    <mergeCell ref="DQ7:DQ7"/>
    <mergeCell ref="DR7:DS7"/>
    <mergeCell ref="DQ9:DU9"/>
    <mergeCell ref="DQ17:DU17"/>
    <mergeCell ref="DQ29:DQ29"/>
    <mergeCell ref="DQ31:DQ31"/>
    <mergeCell ref="DQ39:DQ39"/>
    <mergeCell ref="DQ48:DQ48"/>
  </mergeCells>
  <dataValidations count="72">
    <dataValidation allowBlank="true" sqref="B41:B45" type="list">
      <formula1>"Saldo des Vorprojekts,Eigenmittel,Drittmittel,KMW-Mittel,Zinsertraege"</formula1>
    </dataValidation>
    <dataValidation allowBlank="true" sqref="C41:C45" type="list">
      <formula1>=Geber_Liste</formula1>
    </dataValidation>
    <dataValidation allowBlank="true" sqref="B50:B55" type="list">
      <formula1>"Saldo des Vorprojekts,Eigenmittel,Drittmittel,KMW-Mittel,Zinsertraege"</formula1>
    </dataValidation>
    <dataValidation allowBlank="true" sqref="C50:C55" type="list">
      <formula1>=Geber_Liste</formula1>
    </dataValidation>
    <dataValidation allowBlank="true" sqref="I41:I45" type="list">
      <formula1>"Saldo der Vorperiode,Eigenmittel,Drittmittel,KMW-Mittel,Zinsertraege"</formula1>
    </dataValidation>
    <dataValidation allowBlank="true" sqref="J41:J45" type="list">
      <formula1>=Geber_Liste</formula1>
    </dataValidation>
    <dataValidation allowBlank="true" sqref="I50:I55" type="list">
      <formula1>"Saldo der Vorperiode,Eigenmittel,Drittmittel,KMW-Mittel,Zinsertraege"</formula1>
    </dataValidation>
    <dataValidation allowBlank="true" sqref="J50:J55" type="list">
      <formula1>=Geber_Liste</formula1>
    </dataValidation>
    <dataValidation allowBlank="true" sqref="P41:P45" type="list">
      <formula1>"Saldo der Vorperiode,Eigenmittel,Drittmittel,KMW-Mittel,Zinsertraege"</formula1>
    </dataValidation>
    <dataValidation allowBlank="true" sqref="Q41:Q45" type="list">
      <formula1>=Geber_Liste</formula1>
    </dataValidation>
    <dataValidation allowBlank="true" sqref="P50:P55" type="list">
      <formula1>"Saldo der Vorperiode,Eigenmittel,Drittmittel,KMW-Mittel,Zinsertraege"</formula1>
    </dataValidation>
    <dataValidation allowBlank="true" sqref="Q50:Q55" type="list">
      <formula1>=Geber_Liste</formula1>
    </dataValidation>
    <dataValidation allowBlank="true" sqref="W41:W45" type="list">
      <formula1>"Saldo der Vorperiode,Eigenmittel,Drittmittel,KMW-Mittel,Zinsertraege"</formula1>
    </dataValidation>
    <dataValidation allowBlank="true" sqref="X41:X45" type="list">
      <formula1>=Geber_Liste</formula1>
    </dataValidation>
    <dataValidation allowBlank="true" sqref="W50:W55" type="list">
      <formula1>"Saldo der Vorperiode,Eigenmittel,Drittmittel,KMW-Mittel,Zinsertraege"</formula1>
    </dataValidation>
    <dataValidation allowBlank="true" sqref="X50:X55" type="list">
      <formula1>=Geber_Liste</formula1>
    </dataValidation>
    <dataValidation allowBlank="true" sqref="AD41:AD45" type="list">
      <formula1>"Saldo der Vorperiode,Eigenmittel,Drittmittel,KMW-Mittel,Zinsertraege"</formula1>
    </dataValidation>
    <dataValidation allowBlank="true" sqref="AE41:AE45" type="list">
      <formula1>=Geber_Liste</formula1>
    </dataValidation>
    <dataValidation allowBlank="true" sqref="AD50:AD55" type="list">
      <formula1>"Saldo der Vorperiode,Eigenmittel,Drittmittel,KMW-Mittel,Zinsertraege"</formula1>
    </dataValidation>
    <dataValidation allowBlank="true" sqref="AE50:AE55" type="list">
      <formula1>=Geber_Liste</formula1>
    </dataValidation>
    <dataValidation allowBlank="true" sqref="AK41:AK45" type="list">
      <formula1>"Saldo der Vorperiode,Eigenmittel,Drittmittel,KMW-Mittel,Zinsertraege"</formula1>
    </dataValidation>
    <dataValidation allowBlank="true" sqref="AL41:AL45" type="list">
      <formula1>=Geber_Liste</formula1>
    </dataValidation>
    <dataValidation allowBlank="true" sqref="AK50:AK55" type="list">
      <formula1>"Saldo der Vorperiode,Eigenmittel,Drittmittel,KMW-Mittel,Zinsertraege"</formula1>
    </dataValidation>
    <dataValidation allowBlank="true" sqref="AL50:AL55" type="list">
      <formula1>=Geber_Liste</formula1>
    </dataValidation>
    <dataValidation allowBlank="true" sqref="AR41:AR45" type="list">
      <formula1>"Saldo der Vorperiode,Eigenmittel,Drittmittel,KMW-Mittel,Zinsertraege"</formula1>
    </dataValidation>
    <dataValidation allowBlank="true" sqref="AS41:AS45" type="list">
      <formula1>=Geber_Liste</formula1>
    </dataValidation>
    <dataValidation allowBlank="true" sqref="AR50:AR55" type="list">
      <formula1>"Saldo der Vorperiode,Eigenmittel,Drittmittel,KMW-Mittel,Zinsertraege"</formula1>
    </dataValidation>
    <dataValidation allowBlank="true" sqref="AS50:AS55" type="list">
      <formula1>=Geber_Liste</formula1>
    </dataValidation>
    <dataValidation allowBlank="true" sqref="AY41:AY45" type="list">
      <formula1>"Saldo der Vorperiode,Eigenmittel,Drittmittel,KMW-Mittel,Zinsertraege"</formula1>
    </dataValidation>
    <dataValidation allowBlank="true" sqref="AZ41:AZ45" type="list">
      <formula1>=Geber_Liste</formula1>
    </dataValidation>
    <dataValidation allowBlank="true" sqref="AY50:AY55" type="list">
      <formula1>"Saldo der Vorperiode,Eigenmittel,Drittmittel,KMW-Mittel,Zinsertraege"</formula1>
    </dataValidation>
    <dataValidation allowBlank="true" sqref="AZ50:AZ55" type="list">
      <formula1>=Geber_Liste</formula1>
    </dataValidation>
    <dataValidation allowBlank="true" sqref="BF41:BF45" type="list">
      <formula1>"Saldo der Vorperiode,Eigenmittel,Drittmittel,KMW-Mittel,Zinsertraege"</formula1>
    </dataValidation>
    <dataValidation allowBlank="true" sqref="BG41:BG45" type="list">
      <formula1>=Geber_Liste</formula1>
    </dataValidation>
    <dataValidation allowBlank="true" sqref="BF50:BF55" type="list">
      <formula1>"Saldo der Vorperiode,Eigenmittel,Drittmittel,KMW-Mittel,Zinsertraege"</formula1>
    </dataValidation>
    <dataValidation allowBlank="true" sqref="BG50:BG55" type="list">
      <formula1>=Geber_Liste</formula1>
    </dataValidation>
    <dataValidation allowBlank="true" sqref="BM41:BM45" type="list">
      <formula1>"Saldo der Vorperiode,Eigenmittel,Drittmittel,KMW-Mittel,Zinsertraege"</formula1>
    </dataValidation>
    <dataValidation allowBlank="true" sqref="BN41:BN45" type="list">
      <formula1>=Geber_Liste</formula1>
    </dataValidation>
    <dataValidation allowBlank="true" sqref="BM50:BM55" type="list">
      <formula1>"Saldo der Vorperiode,Eigenmittel,Drittmittel,KMW-Mittel,Zinsertraege"</formula1>
    </dataValidation>
    <dataValidation allowBlank="true" sqref="BN50:BN55" type="list">
      <formula1>=Geber_Liste</formula1>
    </dataValidation>
    <dataValidation allowBlank="true" sqref="BT41:BT45" type="list">
      <formula1>"Saldo der Vorperiode,Eigenmittel,Drittmittel,KMW-Mittel,Zinsertraege"</formula1>
    </dataValidation>
    <dataValidation allowBlank="true" sqref="BU41:BU45" type="list">
      <formula1>=Geber_Liste</formula1>
    </dataValidation>
    <dataValidation allowBlank="true" sqref="BT50:BT55" type="list">
      <formula1>"Saldo der Vorperiode,Eigenmittel,Drittmittel,KMW-Mittel,Zinsertraege"</formula1>
    </dataValidation>
    <dataValidation allowBlank="true" sqref="BU50:BU55" type="list">
      <formula1>=Geber_Liste</formula1>
    </dataValidation>
    <dataValidation allowBlank="true" sqref="CA41:CA45" type="list">
      <formula1>"Saldo der Vorperiode,Eigenmittel,Drittmittel,KMW-Mittel,Zinsertraege"</formula1>
    </dataValidation>
    <dataValidation allowBlank="true" sqref="CB41:CB45" type="list">
      <formula1>=Geber_Liste</formula1>
    </dataValidation>
    <dataValidation allowBlank="true" sqref="CA50:CA55" type="list">
      <formula1>"Saldo der Vorperiode,Eigenmittel,Drittmittel,KMW-Mittel,Zinsertraege"</formula1>
    </dataValidation>
    <dataValidation allowBlank="true" sqref="CB50:CB55" type="list">
      <formula1>=Geber_Liste</formula1>
    </dataValidation>
    <dataValidation allowBlank="true" sqref="CH41:CH45" type="list">
      <formula1>"Saldo der Vorperiode,Eigenmittel,Drittmittel,KMW-Mittel,Zinsertraege"</formula1>
    </dataValidation>
    <dataValidation allowBlank="true" sqref="CI41:CI45" type="list">
      <formula1>=Geber_Liste</formula1>
    </dataValidation>
    <dataValidation allowBlank="true" sqref="CH50:CH55" type="list">
      <formula1>"Saldo der Vorperiode,Eigenmittel,Drittmittel,KMW-Mittel,Zinsertraege"</formula1>
    </dataValidation>
    <dataValidation allowBlank="true" sqref="CI50:CI55" type="list">
      <formula1>=Geber_Liste</formula1>
    </dataValidation>
    <dataValidation allowBlank="true" sqref="CO41:CO45" type="list">
      <formula1>"Saldo der Vorperiode,Eigenmittel,Drittmittel,KMW-Mittel,Zinsertraege"</formula1>
    </dataValidation>
    <dataValidation allowBlank="true" sqref="CP41:CP45" type="list">
      <formula1>=Geber_Liste</formula1>
    </dataValidation>
    <dataValidation allowBlank="true" sqref="CO50:CO55" type="list">
      <formula1>"Saldo der Vorperiode,Eigenmittel,Drittmittel,KMW-Mittel,Zinsertraege"</formula1>
    </dataValidation>
    <dataValidation allowBlank="true" sqref="CP50:CP55" type="list">
      <formula1>=Geber_Liste</formula1>
    </dataValidation>
    <dataValidation allowBlank="true" sqref="CV41:CV45" type="list">
      <formula1>"Saldo der Vorperiode,Eigenmittel,Drittmittel,KMW-Mittel,Zinsertraege"</formula1>
    </dataValidation>
    <dataValidation allowBlank="true" sqref="CW41:CW45" type="list">
      <formula1>=Geber_Liste</formula1>
    </dataValidation>
    <dataValidation allowBlank="true" sqref="CV50:CV55" type="list">
      <formula1>"Saldo der Vorperiode,Eigenmittel,Drittmittel,KMW-Mittel,Zinsertraege"</formula1>
    </dataValidation>
    <dataValidation allowBlank="true" sqref="CW50:CW55" type="list">
      <formula1>=Geber_Liste</formula1>
    </dataValidation>
    <dataValidation allowBlank="true" sqref="DC41:DC45" type="list">
      <formula1>"Saldo der Vorperiode,Eigenmittel,Drittmittel,KMW-Mittel,Zinsertraege"</formula1>
    </dataValidation>
    <dataValidation allowBlank="true" sqref="DD41:DD45" type="list">
      <formula1>=Geber_Liste</formula1>
    </dataValidation>
    <dataValidation allowBlank="true" sqref="DC50:DC55" type="list">
      <formula1>"Saldo der Vorperiode,Eigenmittel,Drittmittel,KMW-Mittel,Zinsertraege"</formula1>
    </dataValidation>
    <dataValidation allowBlank="true" sqref="DD50:DD55" type="list">
      <formula1>=Geber_Liste</formula1>
    </dataValidation>
    <dataValidation allowBlank="true" sqref="DJ41:DJ45" type="list">
      <formula1>"Saldo der Vorperiode,Eigenmittel,Drittmittel,KMW-Mittel,Zinsertraege"</formula1>
    </dataValidation>
    <dataValidation allowBlank="true" sqref="DK41:DK45" type="list">
      <formula1>=Geber_Liste</formula1>
    </dataValidation>
    <dataValidation allowBlank="true" sqref="DJ50:DJ55" type="list">
      <formula1>"Saldo der Vorperiode,Eigenmittel,Drittmittel,KMW-Mittel,Zinsertraege"</formula1>
    </dataValidation>
    <dataValidation allowBlank="true" sqref="DK50:DK55" type="list">
      <formula1>=Geber_Liste</formula1>
    </dataValidation>
    <dataValidation allowBlank="true" sqref="DQ41:DQ45" type="list">
      <formula1>"Saldo der Vorperiode,Eigenmittel,Drittmittel,KMW-Mittel,Zinsertraege"</formula1>
    </dataValidation>
    <dataValidation allowBlank="true" sqref="DR41:DR45" type="list">
      <formula1>=Geber_Liste</formula1>
    </dataValidation>
    <dataValidation allowBlank="true" sqref="DQ50:DQ55" type="list">
      <formula1>"Saldo der Vorperiode,Eigenmittel,Drittmittel,KMW-Mittel,Zinsertraege"</formula1>
    </dataValidation>
    <dataValidation allowBlank="true" sqref="DR50:DR55" type="list">
      <formula1>=Geber_Liste</formula1>
    </dataValidation>
  </dataValidations>
  <tableParts count="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25"/>
    <col customWidth="true" max="4" min="3" width="18"/>
    <col customWidth="true" max="6" min="6" width="25"/>
    <col customWidth="true" max="8" min="7" width="18"/>
    <col customWidth="true" max="10" min="10" width="25"/>
    <col customWidth="true" max="12" min="11" width="18"/>
    <col customWidth="true" max="14" min="14" width="25"/>
    <col customWidth="true" max="16" min="15" width="18"/>
    <col customWidth="true" max="18" min="18" width="25"/>
    <col customWidth="true" max="20" min="19" width="18"/>
    <col customWidth="true" max="22" min="22" width="25"/>
    <col customWidth="true" max="24" min="23" width="18"/>
    <col customWidth="true" max="26" min="26" width="25"/>
    <col customWidth="true" max="28" min="27" width="18"/>
    <col customWidth="true" max="30" min="30" width="25"/>
    <col customWidth="true" max="32" min="31" width="18"/>
    <col customWidth="true" max="34" min="34" width="25"/>
    <col customWidth="true" max="36" min="35" width="18"/>
    <col customWidth="true" max="38" min="38" width="25"/>
    <col customWidth="true" max="40" min="39" width="18"/>
    <col customWidth="true" max="42" min="42" width="25"/>
    <col customWidth="true" max="44" min="43" width="18"/>
    <col customWidth="true" max="46" min="46" width="25"/>
    <col customWidth="true" max="48" min="47" width="18"/>
    <col customWidth="true" max="50" min="50" width="25"/>
    <col customWidth="true" max="52" min="51" width="18"/>
    <col customWidth="true" max="54" min="54" width="25"/>
    <col customWidth="true" max="56" min="55" width="18"/>
    <col customWidth="true" max="58" min="58" width="25"/>
    <col customWidth="true" max="60" min="59" width="18"/>
    <col customWidth="true" max="62" min="62" width="25"/>
    <col customWidth="true" max="64" min="63" width="18"/>
    <col customWidth="true" max="66" min="66" width="25"/>
    <col customWidth="true" max="68" min="67" width="18"/>
    <col customWidth="true" max="70" min="70" width="25"/>
    <col customWidth="true" max="72" min="71" width="18"/>
  </cols>
  <sheetData>
    <row r="3">
      <c r="E3" s="175" t="s">
        <v>302</v>
      </c>
      <c r="I3" s="175" t="s">
        <v>302</v>
      </c>
      <c r="M3" s="175" t="s">
        <v>302</v>
      </c>
      <c r="Q3" s="175" t="s">
        <v>302</v>
      </c>
      <c r="U3" s="175" t="s">
        <v>302</v>
      </c>
      <c r="Y3" s="175" t="s">
        <v>302</v>
      </c>
      <c r="AC3" s="175" t="s">
        <v>302</v>
      </c>
      <c r="AG3" s="175" t="s">
        <v>302</v>
      </c>
      <c r="AK3" s="175" t="s">
        <v>302</v>
      </c>
      <c r="AO3" s="175" t="s">
        <v>302</v>
      </c>
      <c r="AS3" s="175" t="s">
        <v>302</v>
      </c>
      <c r="AW3" s="175" t="s">
        <v>302</v>
      </c>
      <c r="BA3" s="175" t="s">
        <v>302</v>
      </c>
      <c r="BE3" s="175" t="s">
        <v>302</v>
      </c>
      <c r="BI3" s="175" t="s">
        <v>302</v>
      </c>
      <c r="BM3" s="175" t="s">
        <v>302</v>
      </c>
      <c r="BQ3" s="175" t="s">
        <v>302</v>
      </c>
    </row>
    <row r="5">
      <c r="B5" s="104" t="s">
        <v>267</v>
      </c>
      <c r="C5" s="176" t="s">
        <v>226</v>
      </c>
      <c r="D5" s="176"/>
      <c r="F5" s="104" t="s">
        <v>267</v>
      </c>
      <c r="G5" s="176" t="s">
        <v>227</v>
      </c>
      <c r="H5" s="176"/>
      <c r="J5" s="104" t="s">
        <v>267</v>
      </c>
      <c r="K5" s="176" t="s">
        <v>228</v>
      </c>
      <c r="L5" s="176"/>
      <c r="N5" s="104" t="s">
        <v>267</v>
      </c>
      <c r="O5" s="176" t="s">
        <v>229</v>
      </c>
      <c r="P5" s="176"/>
      <c r="R5" s="104" t="s">
        <v>267</v>
      </c>
      <c r="S5" s="176" t="s">
        <v>230</v>
      </c>
      <c r="T5" s="176"/>
      <c r="V5" s="104" t="s">
        <v>267</v>
      </c>
      <c r="W5" s="176" t="s">
        <v>231</v>
      </c>
      <c r="X5" s="176"/>
      <c r="Z5" s="104" t="s">
        <v>267</v>
      </c>
      <c r="AA5" s="176" t="s">
        <v>232</v>
      </c>
      <c r="AB5" s="176"/>
      <c r="AD5" s="104" t="s">
        <v>267</v>
      </c>
      <c r="AE5" s="176" t="s">
        <v>233</v>
      </c>
      <c r="AF5" s="176"/>
      <c r="AH5" s="104" t="s">
        <v>267</v>
      </c>
      <c r="AI5" s="176" t="s">
        <v>234</v>
      </c>
      <c r="AJ5" s="176"/>
      <c r="AL5" s="104" t="s">
        <v>267</v>
      </c>
      <c r="AM5" s="176" t="s">
        <v>235</v>
      </c>
      <c r="AN5" s="176"/>
      <c r="AP5" s="104" t="s">
        <v>267</v>
      </c>
      <c r="AQ5" s="176" t="s">
        <v>236</v>
      </c>
      <c r="AR5" s="176"/>
      <c r="AT5" s="104" t="s">
        <v>267</v>
      </c>
      <c r="AU5" s="176" t="s">
        <v>237</v>
      </c>
      <c r="AV5" s="176"/>
      <c r="AX5" s="104" t="s">
        <v>267</v>
      </c>
      <c r="AY5" s="176" t="s">
        <v>238</v>
      </c>
      <c r="AZ5" s="176"/>
      <c r="BB5" s="104" t="s">
        <v>267</v>
      </c>
      <c r="BC5" s="176" t="s">
        <v>239</v>
      </c>
      <c r="BD5" s="176"/>
      <c r="BF5" s="104" t="s">
        <v>267</v>
      </c>
      <c r="BG5" s="176" t="s">
        <v>240</v>
      </c>
      <c r="BH5" s="176"/>
      <c r="BJ5" s="104" t="s">
        <v>267</v>
      </c>
      <c r="BK5" s="176" t="s">
        <v>241</v>
      </c>
      <c r="BL5" s="176"/>
      <c r="BN5" s="104" t="s">
        <v>267</v>
      </c>
      <c r="BO5" s="176" t="s">
        <v>242</v>
      </c>
      <c r="BP5" s="176"/>
      <c r="BR5" s="104" t="s">
        <v>267</v>
      </c>
      <c r="BS5" s="176" t="s">
        <v>243</v>
      </c>
      <c r="BT5" s="176"/>
    </row>
    <row r="6">
      <c r="B6" s="104" t="s">
        <v>268</v>
      </c>
      <c r="C6" s="177"/>
      <c r="D6" s="177"/>
      <c r="F6" s="104" t="s">
        <v>268</v>
      </c>
      <c r="G6" s="177"/>
      <c r="H6" s="177"/>
      <c r="J6" s="104" t="s">
        <v>268</v>
      </c>
      <c r="K6" s="177"/>
      <c r="L6" s="177"/>
      <c r="N6" s="104" t="s">
        <v>268</v>
      </c>
      <c r="O6" s="177"/>
      <c r="P6" s="177"/>
      <c r="R6" s="104" t="s">
        <v>268</v>
      </c>
      <c r="S6" s="177"/>
      <c r="T6" s="177"/>
      <c r="V6" s="104" t="s">
        <v>268</v>
      </c>
      <c r="W6" s="177"/>
      <c r="X6" s="177"/>
      <c r="Z6" s="104" t="s">
        <v>268</v>
      </c>
      <c r="AA6" s="177"/>
      <c r="AB6" s="177"/>
      <c r="AD6" s="104" t="s">
        <v>268</v>
      </c>
      <c r="AE6" s="177"/>
      <c r="AF6" s="177"/>
      <c r="AH6" s="104" t="s">
        <v>268</v>
      </c>
      <c r="AI6" s="177"/>
      <c r="AJ6" s="177"/>
      <c r="AL6" s="104" t="s">
        <v>268</v>
      </c>
      <c r="AM6" s="177"/>
      <c r="AN6" s="177"/>
      <c r="AP6" s="104" t="s">
        <v>268</v>
      </c>
      <c r="AQ6" s="177"/>
      <c r="AR6" s="177"/>
      <c r="AT6" s="104" t="s">
        <v>268</v>
      </c>
      <c r="AU6" s="177"/>
      <c r="AV6" s="177"/>
      <c r="AX6" s="104" t="s">
        <v>268</v>
      </c>
      <c r="AY6" s="177"/>
      <c r="AZ6" s="177"/>
      <c r="BB6" s="104" t="s">
        <v>268</v>
      </c>
      <c r="BC6" s="177"/>
      <c r="BD6" s="177"/>
      <c r="BF6" s="104" t="s">
        <v>268</v>
      </c>
      <c r="BG6" s="177"/>
      <c r="BH6" s="177"/>
      <c r="BJ6" s="104" t="s">
        <v>268</v>
      </c>
      <c r="BK6" s="177"/>
      <c r="BL6" s="177"/>
      <c r="BN6" s="104" t="s">
        <v>268</v>
      </c>
      <c r="BO6" s="177"/>
      <c r="BP6" s="177"/>
      <c r="BR6" s="104" t="s">
        <v>268</v>
      </c>
      <c r="BS6" s="177"/>
      <c r="BT6" s="177"/>
    </row>
    <row r="7">
      <c r="B7" s="104" t="s">
        <v>305</v>
      </c>
      <c r="C7" s="178"/>
      <c r="D7" s="178"/>
      <c r="F7" s="104" t="s">
        <v>305</v>
      </c>
      <c r="G7" s="178"/>
      <c r="H7" s="178"/>
      <c r="J7" s="104" t="s">
        <v>305</v>
      </c>
      <c r="K7" s="178"/>
      <c r="L7" s="178"/>
      <c r="N7" s="104" t="s">
        <v>305</v>
      </c>
      <c r="O7" s="178"/>
      <c r="P7" s="178"/>
      <c r="R7" s="104" t="s">
        <v>305</v>
      </c>
      <c r="S7" s="178"/>
      <c r="T7" s="178"/>
      <c r="V7" s="104" t="s">
        <v>305</v>
      </c>
      <c r="W7" s="178"/>
      <c r="X7" s="178"/>
      <c r="Z7" s="104" t="s">
        <v>305</v>
      </c>
      <c r="AA7" s="178"/>
      <c r="AB7" s="178"/>
      <c r="AD7" s="104" t="s">
        <v>305</v>
      </c>
      <c r="AE7" s="178"/>
      <c r="AF7" s="178"/>
      <c r="AH7" s="104" t="s">
        <v>305</v>
      </c>
      <c r="AI7" s="178"/>
      <c r="AJ7" s="178"/>
      <c r="AL7" s="104" t="s">
        <v>305</v>
      </c>
      <c r="AM7" s="178"/>
      <c r="AN7" s="178"/>
      <c r="AP7" s="104" t="s">
        <v>305</v>
      </c>
      <c r="AQ7" s="178"/>
      <c r="AR7" s="178"/>
      <c r="AT7" s="104" t="s">
        <v>305</v>
      </c>
      <c r="AU7" s="178"/>
      <c r="AV7" s="178"/>
      <c r="AX7" s="104" t="s">
        <v>305</v>
      </c>
      <c r="AY7" s="178"/>
      <c r="AZ7" s="178"/>
      <c r="BB7" s="104" t="s">
        <v>305</v>
      </c>
      <c r="BC7" s="178"/>
      <c r="BD7" s="178"/>
      <c r="BF7" s="104" t="s">
        <v>305</v>
      </c>
      <c r="BG7" s="178"/>
      <c r="BH7" s="178"/>
      <c r="BJ7" s="104" t="s">
        <v>305</v>
      </c>
      <c r="BK7" s="178"/>
      <c r="BL7" s="178"/>
      <c r="BN7" s="104" t="s">
        <v>305</v>
      </c>
      <c r="BO7" s="178"/>
      <c r="BP7" s="178"/>
      <c r="BR7" s="104" t="s">
        <v>305</v>
      </c>
      <c r="BS7" s="178"/>
      <c r="BT7" s="178"/>
    </row>
    <row r="9">
      <c r="B9" s="179" t="s">
        <v>202</v>
      </c>
      <c r="C9" s="179" t="s">
        <v>306</v>
      </c>
      <c r="D9" s="179" t="s">
        <v>307</v>
      </c>
      <c r="F9" s="179" t="s">
        <v>202</v>
      </c>
      <c r="G9" s="179" t="s">
        <v>306</v>
      </c>
      <c r="H9" s="179" t="s">
        <v>307</v>
      </c>
      <c r="J9" s="179" t="s">
        <v>202</v>
      </c>
      <c r="K9" s="179" t="s">
        <v>306</v>
      </c>
      <c r="L9" s="179" t="s">
        <v>307</v>
      </c>
      <c r="N9" s="179" t="s">
        <v>202</v>
      </c>
      <c r="O9" s="179" t="s">
        <v>306</v>
      </c>
      <c r="P9" s="179" t="s">
        <v>307</v>
      </c>
      <c r="R9" s="179" t="s">
        <v>202</v>
      </c>
      <c r="S9" s="179" t="s">
        <v>306</v>
      </c>
      <c r="T9" s="179" t="s">
        <v>307</v>
      </c>
      <c r="V9" s="179" t="s">
        <v>202</v>
      </c>
      <c r="W9" s="179" t="s">
        <v>306</v>
      </c>
      <c r="X9" s="179" t="s">
        <v>307</v>
      </c>
      <c r="Z9" s="179" t="s">
        <v>202</v>
      </c>
      <c r="AA9" s="179" t="s">
        <v>306</v>
      </c>
      <c r="AB9" s="179" t="s">
        <v>307</v>
      </c>
      <c r="AD9" s="179" t="s">
        <v>202</v>
      </c>
      <c r="AE9" s="179" t="s">
        <v>306</v>
      </c>
      <c r="AF9" s="179" t="s">
        <v>307</v>
      </c>
      <c r="AH9" s="179" t="s">
        <v>202</v>
      </c>
      <c r="AI9" s="179" t="s">
        <v>306</v>
      </c>
      <c r="AJ9" s="179" t="s">
        <v>307</v>
      </c>
      <c r="AL9" s="179" t="s">
        <v>202</v>
      </c>
      <c r="AM9" s="179" t="s">
        <v>306</v>
      </c>
      <c r="AN9" s="179" t="s">
        <v>307</v>
      </c>
      <c r="AP9" s="179" t="s">
        <v>202</v>
      </c>
      <c r="AQ9" s="179" t="s">
        <v>306</v>
      </c>
      <c r="AR9" s="179" t="s">
        <v>307</v>
      </c>
      <c r="AT9" s="179" t="s">
        <v>202</v>
      </c>
      <c r="AU9" s="179" t="s">
        <v>306</v>
      </c>
      <c r="AV9" s="179" t="s">
        <v>307</v>
      </c>
      <c r="AX9" s="179" t="s">
        <v>202</v>
      </c>
      <c r="AY9" s="179" t="s">
        <v>306</v>
      </c>
      <c r="AZ9" s="179" t="s">
        <v>307</v>
      </c>
      <c r="BB9" s="179" t="s">
        <v>202</v>
      </c>
      <c r="BC9" s="179" t="s">
        <v>306</v>
      </c>
      <c r="BD9" s="179" t="s">
        <v>307</v>
      </c>
      <c r="BF9" s="179" t="s">
        <v>202</v>
      </c>
      <c r="BG9" s="179" t="s">
        <v>306</v>
      </c>
      <c r="BH9" s="179" t="s">
        <v>307</v>
      </c>
      <c r="BJ9" s="179" t="s">
        <v>202</v>
      </c>
      <c r="BK9" s="179" t="s">
        <v>306</v>
      </c>
      <c r="BL9" s="179" t="s">
        <v>307</v>
      </c>
      <c r="BN9" s="179" t="s">
        <v>202</v>
      </c>
      <c r="BO9" s="179" t="s">
        <v>306</v>
      </c>
      <c r="BP9" s="179" t="s">
        <v>307</v>
      </c>
      <c r="BR9" s="179" t="s">
        <v>202</v>
      </c>
      <c r="BS9" s="179" t="s">
        <v>306</v>
      </c>
      <c r="BT9" s="179" t="s">
        <v>307</v>
      </c>
    </row>
    <row r="10">
      <c r="B10" s="180" t="s">
        <v>205</v>
      </c>
      <c r="C10" s="24"/>
      <c r="D10" s="181" t="str">
        <f>=IFERROR(ROUND(C10/MA_Kurs_1,2),0)</f>
      </c>
      <c r="F10" s="180" t="s">
        <v>205</v>
      </c>
      <c r="G10" s="24"/>
      <c r="H10" s="181" t="str">
        <f>=IFERROR(ROUND(G10/MA_Kurs_2,2),0)</f>
      </c>
      <c r="J10" s="180" t="s">
        <v>205</v>
      </c>
      <c r="K10" s="24"/>
      <c r="L10" s="181" t="str">
        <f>=IFERROR(ROUND(K10/MA_Kurs_3,2),0)</f>
      </c>
      <c r="N10" s="180" t="s">
        <v>205</v>
      </c>
      <c r="O10" s="24"/>
      <c r="P10" s="181" t="str">
        <f>=IFERROR(ROUND(O10/MA_Kurs_4,2),0)</f>
      </c>
      <c r="R10" s="180" t="s">
        <v>205</v>
      </c>
      <c r="S10" s="24"/>
      <c r="T10" s="181" t="str">
        <f>=IFERROR(ROUND(S10/MA_Kurs_5,2),0)</f>
      </c>
      <c r="V10" s="180" t="s">
        <v>205</v>
      </c>
      <c r="W10" s="24"/>
      <c r="X10" s="181" t="str">
        <f>=IFERROR(ROUND(W10/MA_Kurs_6,2),0)</f>
      </c>
      <c r="Z10" s="180" t="s">
        <v>205</v>
      </c>
      <c r="AA10" s="24"/>
      <c r="AB10" s="181" t="str">
        <f>=IFERROR(ROUND(AA10/MA_Kurs_7,2),0)</f>
      </c>
      <c r="AD10" s="180" t="s">
        <v>205</v>
      </c>
      <c r="AE10" s="24"/>
      <c r="AF10" s="181" t="str">
        <f>=IFERROR(ROUND(AE10/MA_Kurs_8,2),0)</f>
      </c>
      <c r="AH10" s="180" t="s">
        <v>205</v>
      </c>
      <c r="AI10" s="24"/>
      <c r="AJ10" s="181" t="str">
        <f>=IFERROR(ROUND(AI10/MA_Kurs_9,2),0)</f>
      </c>
      <c r="AL10" s="180" t="s">
        <v>205</v>
      </c>
      <c r="AM10" s="24"/>
      <c r="AN10" s="181" t="str">
        <f>=IFERROR(ROUND(AM10/MA_Kurs_10,2),0)</f>
      </c>
      <c r="AP10" s="180" t="s">
        <v>205</v>
      </c>
      <c r="AQ10" s="24"/>
      <c r="AR10" s="181" t="str">
        <f>=IFERROR(ROUND(AQ10/MA_Kurs_11,2),0)</f>
      </c>
      <c r="AT10" s="180" t="s">
        <v>205</v>
      </c>
      <c r="AU10" s="24"/>
      <c r="AV10" s="181" t="str">
        <f>=IFERROR(ROUND(AU10/MA_Kurs_12,2),0)</f>
      </c>
      <c r="AX10" s="180" t="s">
        <v>205</v>
      </c>
      <c r="AY10" s="24"/>
      <c r="AZ10" s="181" t="str">
        <f>=IFERROR(ROUND(AY10/MA_Kurs_13,2),0)</f>
      </c>
      <c r="BB10" s="180" t="s">
        <v>205</v>
      </c>
      <c r="BC10" s="24"/>
      <c r="BD10" s="181" t="str">
        <f>=IFERROR(ROUND(BC10/MA_Kurs_14,2),0)</f>
      </c>
      <c r="BF10" s="180" t="s">
        <v>205</v>
      </c>
      <c r="BG10" s="24"/>
      <c r="BH10" s="181" t="str">
        <f>=IFERROR(ROUND(BG10/MA_Kurs_15,2),0)</f>
      </c>
      <c r="BJ10" s="180" t="s">
        <v>205</v>
      </c>
      <c r="BK10" s="24"/>
      <c r="BL10" s="181" t="str">
        <f>=IFERROR(ROUND(BK10/MA_Kurs_16,2),0)</f>
      </c>
      <c r="BN10" s="180" t="s">
        <v>205</v>
      </c>
      <c r="BO10" s="24"/>
      <c r="BP10" s="181" t="str">
        <f>=IFERROR(ROUND(BO10/MA_Kurs_17,2),0)</f>
      </c>
      <c r="BR10" s="180" t="s">
        <v>205</v>
      </c>
      <c r="BS10" s="24"/>
      <c r="BT10" s="181" t="str">
        <f>=IFERROR(ROUND(BS10/MA_Kurs_18,2),0)</f>
      </c>
    </row>
    <row r="11">
      <c r="B11" s="180" t="s">
        <v>206</v>
      </c>
      <c r="C11" s="24"/>
      <c r="D11" s="181" t="str">
        <f>=IFERROR(ROUND(C11/MA_Kurs_1,2),0)</f>
      </c>
      <c r="F11" s="180" t="s">
        <v>206</v>
      </c>
      <c r="G11" s="24"/>
      <c r="H11" s="181" t="str">
        <f>=IFERROR(ROUND(G11/MA_Kurs_2,2),0)</f>
      </c>
      <c r="J11" s="180" t="s">
        <v>206</v>
      </c>
      <c r="K11" s="24"/>
      <c r="L11" s="181" t="str">
        <f>=IFERROR(ROUND(K11/MA_Kurs_3,2),0)</f>
      </c>
      <c r="N11" s="180" t="s">
        <v>206</v>
      </c>
      <c r="O11" s="24"/>
      <c r="P11" s="181" t="str">
        <f>=IFERROR(ROUND(O11/MA_Kurs_4,2),0)</f>
      </c>
      <c r="R11" s="180" t="s">
        <v>206</v>
      </c>
      <c r="S11" s="24"/>
      <c r="T11" s="181" t="str">
        <f>=IFERROR(ROUND(S11/MA_Kurs_5,2),0)</f>
      </c>
      <c r="V11" s="180" t="s">
        <v>206</v>
      </c>
      <c r="W11" s="24"/>
      <c r="X11" s="181" t="str">
        <f>=IFERROR(ROUND(W11/MA_Kurs_6,2),0)</f>
      </c>
      <c r="Z11" s="180" t="s">
        <v>206</v>
      </c>
      <c r="AA11" s="24"/>
      <c r="AB11" s="181" t="str">
        <f>=IFERROR(ROUND(AA11/MA_Kurs_7,2),0)</f>
      </c>
      <c r="AD11" s="180" t="s">
        <v>206</v>
      </c>
      <c r="AE11" s="24"/>
      <c r="AF11" s="181" t="str">
        <f>=IFERROR(ROUND(AE11/MA_Kurs_8,2),0)</f>
      </c>
      <c r="AH11" s="180" t="s">
        <v>206</v>
      </c>
      <c r="AI11" s="24"/>
      <c r="AJ11" s="181" t="str">
        <f>=IFERROR(ROUND(AI11/MA_Kurs_9,2),0)</f>
      </c>
      <c r="AL11" s="180" t="s">
        <v>206</v>
      </c>
      <c r="AM11" s="24"/>
      <c r="AN11" s="181" t="str">
        <f>=IFERROR(ROUND(AM11/MA_Kurs_10,2),0)</f>
      </c>
      <c r="AP11" s="180" t="s">
        <v>206</v>
      </c>
      <c r="AQ11" s="24"/>
      <c r="AR11" s="181" t="str">
        <f>=IFERROR(ROUND(AQ11/MA_Kurs_11,2),0)</f>
      </c>
      <c r="AT11" s="180" t="s">
        <v>206</v>
      </c>
      <c r="AU11" s="24"/>
      <c r="AV11" s="181" t="str">
        <f>=IFERROR(ROUND(AU11/MA_Kurs_12,2),0)</f>
      </c>
      <c r="AX11" s="180" t="s">
        <v>206</v>
      </c>
      <c r="AY11" s="24"/>
      <c r="AZ11" s="181" t="str">
        <f>=IFERROR(ROUND(AY11/MA_Kurs_13,2),0)</f>
      </c>
      <c r="BB11" s="180" t="s">
        <v>206</v>
      </c>
      <c r="BC11" s="24"/>
      <c r="BD11" s="181" t="str">
        <f>=IFERROR(ROUND(BC11/MA_Kurs_14,2),0)</f>
      </c>
      <c r="BF11" s="180" t="s">
        <v>206</v>
      </c>
      <c r="BG11" s="24"/>
      <c r="BH11" s="181" t="str">
        <f>=IFERROR(ROUND(BG11/MA_Kurs_15,2),0)</f>
      </c>
      <c r="BJ11" s="180" t="s">
        <v>206</v>
      </c>
      <c r="BK11" s="24"/>
      <c r="BL11" s="181" t="str">
        <f>=IFERROR(ROUND(BK11/MA_Kurs_16,2),0)</f>
      </c>
      <c r="BN11" s="180" t="s">
        <v>206</v>
      </c>
      <c r="BO11" s="24"/>
      <c r="BP11" s="181" t="str">
        <f>=IFERROR(ROUND(BO11/MA_Kurs_17,2),0)</f>
      </c>
      <c r="BR11" s="180" t="s">
        <v>206</v>
      </c>
      <c r="BS11" s="24"/>
      <c r="BT11" s="181" t="str">
        <f>=IFERROR(ROUND(BS11/MA_Kurs_18,2),0)</f>
      </c>
    </row>
    <row r="12">
      <c r="B12" s="180" t="s">
        <v>207</v>
      </c>
      <c r="C12" s="24"/>
      <c r="D12" s="181" t="str">
        <f>=IFERROR(ROUND(C12/MA_Kurs_1,2),0)</f>
      </c>
      <c r="F12" s="180" t="s">
        <v>207</v>
      </c>
      <c r="G12" s="24"/>
      <c r="H12" s="181" t="str">
        <f>=IFERROR(ROUND(G12/MA_Kurs_2,2),0)</f>
      </c>
      <c r="J12" s="180" t="s">
        <v>207</v>
      </c>
      <c r="K12" s="24"/>
      <c r="L12" s="181" t="str">
        <f>=IFERROR(ROUND(K12/MA_Kurs_3,2),0)</f>
      </c>
      <c r="N12" s="180" t="s">
        <v>207</v>
      </c>
      <c r="O12" s="24"/>
      <c r="P12" s="181" t="str">
        <f>=IFERROR(ROUND(O12/MA_Kurs_4,2),0)</f>
      </c>
      <c r="R12" s="180" t="s">
        <v>207</v>
      </c>
      <c r="S12" s="24"/>
      <c r="T12" s="181" t="str">
        <f>=IFERROR(ROUND(S12/MA_Kurs_5,2),0)</f>
      </c>
      <c r="V12" s="180" t="s">
        <v>207</v>
      </c>
      <c r="W12" s="24"/>
      <c r="X12" s="181" t="str">
        <f>=IFERROR(ROUND(W12/MA_Kurs_6,2),0)</f>
      </c>
      <c r="Z12" s="180" t="s">
        <v>207</v>
      </c>
      <c r="AA12" s="24"/>
      <c r="AB12" s="181" t="str">
        <f>=IFERROR(ROUND(AA12/MA_Kurs_7,2),0)</f>
      </c>
      <c r="AD12" s="180" t="s">
        <v>207</v>
      </c>
      <c r="AE12" s="24"/>
      <c r="AF12" s="181" t="str">
        <f>=IFERROR(ROUND(AE12/MA_Kurs_8,2),0)</f>
      </c>
      <c r="AH12" s="180" t="s">
        <v>207</v>
      </c>
      <c r="AI12" s="24"/>
      <c r="AJ12" s="181" t="str">
        <f>=IFERROR(ROUND(AI12/MA_Kurs_9,2),0)</f>
      </c>
      <c r="AL12" s="180" t="s">
        <v>207</v>
      </c>
      <c r="AM12" s="24"/>
      <c r="AN12" s="181" t="str">
        <f>=IFERROR(ROUND(AM12/MA_Kurs_10,2),0)</f>
      </c>
      <c r="AP12" s="180" t="s">
        <v>207</v>
      </c>
      <c r="AQ12" s="24"/>
      <c r="AR12" s="181" t="str">
        <f>=IFERROR(ROUND(AQ12/MA_Kurs_11,2),0)</f>
      </c>
      <c r="AT12" s="180" t="s">
        <v>207</v>
      </c>
      <c r="AU12" s="24"/>
      <c r="AV12" s="181" t="str">
        <f>=IFERROR(ROUND(AU12/MA_Kurs_12,2),0)</f>
      </c>
      <c r="AX12" s="180" t="s">
        <v>207</v>
      </c>
      <c r="AY12" s="24"/>
      <c r="AZ12" s="181" t="str">
        <f>=IFERROR(ROUND(AY12/MA_Kurs_13,2),0)</f>
      </c>
      <c r="BB12" s="180" t="s">
        <v>207</v>
      </c>
      <c r="BC12" s="24"/>
      <c r="BD12" s="181" t="str">
        <f>=IFERROR(ROUND(BC12/MA_Kurs_14,2),0)</f>
      </c>
      <c r="BF12" s="180" t="s">
        <v>207</v>
      </c>
      <c r="BG12" s="24"/>
      <c r="BH12" s="181" t="str">
        <f>=IFERROR(ROUND(BG12/MA_Kurs_15,2),0)</f>
      </c>
      <c r="BJ12" s="180" t="s">
        <v>207</v>
      </c>
      <c r="BK12" s="24"/>
      <c r="BL12" s="181" t="str">
        <f>=IFERROR(ROUND(BK12/MA_Kurs_16,2),0)</f>
      </c>
      <c r="BN12" s="180" t="s">
        <v>207</v>
      </c>
      <c r="BO12" s="24"/>
      <c r="BP12" s="181" t="str">
        <f>=IFERROR(ROUND(BO12/MA_Kurs_17,2),0)</f>
      </c>
      <c r="BR12" s="180" t="s">
        <v>207</v>
      </c>
      <c r="BS12" s="24"/>
      <c r="BT12" s="181" t="str">
        <f>=IFERROR(ROUND(BS12/MA_Kurs_18,2),0)</f>
      </c>
    </row>
    <row r="13">
      <c r="B13" s="180" t="s">
        <v>208</v>
      </c>
      <c r="C13" s="24"/>
      <c r="D13" s="181" t="str">
        <f>=IFERROR(ROUND(C13/MA_Kurs_1,2),0)</f>
      </c>
      <c r="F13" s="180" t="s">
        <v>208</v>
      </c>
      <c r="G13" s="24"/>
      <c r="H13" s="181" t="str">
        <f>=IFERROR(ROUND(G13/MA_Kurs_2,2),0)</f>
      </c>
      <c r="J13" s="180" t="s">
        <v>208</v>
      </c>
      <c r="K13" s="24"/>
      <c r="L13" s="181" t="str">
        <f>=IFERROR(ROUND(K13/MA_Kurs_3,2),0)</f>
      </c>
      <c r="N13" s="180" t="s">
        <v>208</v>
      </c>
      <c r="O13" s="24"/>
      <c r="P13" s="181" t="str">
        <f>=IFERROR(ROUND(O13/MA_Kurs_4,2),0)</f>
      </c>
      <c r="R13" s="180" t="s">
        <v>208</v>
      </c>
      <c r="S13" s="24"/>
      <c r="T13" s="181" t="str">
        <f>=IFERROR(ROUND(S13/MA_Kurs_5,2),0)</f>
      </c>
      <c r="V13" s="180" t="s">
        <v>208</v>
      </c>
      <c r="W13" s="24"/>
      <c r="X13" s="181" t="str">
        <f>=IFERROR(ROUND(W13/MA_Kurs_6,2),0)</f>
      </c>
      <c r="Z13" s="180" t="s">
        <v>208</v>
      </c>
      <c r="AA13" s="24"/>
      <c r="AB13" s="181" t="str">
        <f>=IFERROR(ROUND(AA13/MA_Kurs_7,2),0)</f>
      </c>
      <c r="AD13" s="180" t="s">
        <v>208</v>
      </c>
      <c r="AE13" s="24"/>
      <c r="AF13" s="181" t="str">
        <f>=IFERROR(ROUND(AE13/MA_Kurs_8,2),0)</f>
      </c>
      <c r="AH13" s="180" t="s">
        <v>208</v>
      </c>
      <c r="AI13" s="24"/>
      <c r="AJ13" s="181" t="str">
        <f>=IFERROR(ROUND(AI13/MA_Kurs_9,2),0)</f>
      </c>
      <c r="AL13" s="180" t="s">
        <v>208</v>
      </c>
      <c r="AM13" s="24"/>
      <c r="AN13" s="181" t="str">
        <f>=IFERROR(ROUND(AM13/MA_Kurs_10,2),0)</f>
      </c>
      <c r="AP13" s="180" t="s">
        <v>208</v>
      </c>
      <c r="AQ13" s="24"/>
      <c r="AR13" s="181" t="str">
        <f>=IFERROR(ROUND(AQ13/MA_Kurs_11,2),0)</f>
      </c>
      <c r="AT13" s="180" t="s">
        <v>208</v>
      </c>
      <c r="AU13" s="24"/>
      <c r="AV13" s="181" t="str">
        <f>=IFERROR(ROUND(AU13/MA_Kurs_12,2),0)</f>
      </c>
      <c r="AX13" s="180" t="s">
        <v>208</v>
      </c>
      <c r="AY13" s="24"/>
      <c r="AZ13" s="181" t="str">
        <f>=IFERROR(ROUND(AY13/MA_Kurs_13,2),0)</f>
      </c>
      <c r="BB13" s="180" t="s">
        <v>208</v>
      </c>
      <c r="BC13" s="24"/>
      <c r="BD13" s="181" t="str">
        <f>=IFERROR(ROUND(BC13/MA_Kurs_14,2),0)</f>
      </c>
      <c r="BF13" s="180" t="s">
        <v>208</v>
      </c>
      <c r="BG13" s="24"/>
      <c r="BH13" s="181" t="str">
        <f>=IFERROR(ROUND(BG13/MA_Kurs_15,2),0)</f>
      </c>
      <c r="BJ13" s="180" t="s">
        <v>208</v>
      </c>
      <c r="BK13" s="24"/>
      <c r="BL13" s="181" t="str">
        <f>=IFERROR(ROUND(BK13/MA_Kurs_16,2),0)</f>
      </c>
      <c r="BN13" s="180" t="s">
        <v>208</v>
      </c>
      <c r="BO13" s="24"/>
      <c r="BP13" s="181" t="str">
        <f>=IFERROR(ROUND(BO13/MA_Kurs_17,2),0)</f>
      </c>
      <c r="BR13" s="180" t="s">
        <v>208</v>
      </c>
      <c r="BS13" s="24"/>
      <c r="BT13" s="181" t="str">
        <f>=IFERROR(ROUND(BS13/MA_Kurs_18,2),0)</f>
      </c>
    </row>
    <row r="14">
      <c r="B14" s="180" t="s">
        <v>209</v>
      </c>
      <c r="C14" s="24"/>
      <c r="D14" s="181" t="str">
        <f>=IFERROR(ROUND(C14/MA_Kurs_1,2),0)</f>
      </c>
      <c r="F14" s="180" t="s">
        <v>209</v>
      </c>
      <c r="G14" s="24"/>
      <c r="H14" s="181" t="str">
        <f>=IFERROR(ROUND(G14/MA_Kurs_2,2),0)</f>
      </c>
      <c r="J14" s="180" t="s">
        <v>209</v>
      </c>
      <c r="K14" s="24"/>
      <c r="L14" s="181" t="str">
        <f>=IFERROR(ROUND(K14/MA_Kurs_3,2),0)</f>
      </c>
      <c r="N14" s="180" t="s">
        <v>209</v>
      </c>
      <c r="O14" s="24"/>
      <c r="P14" s="181" t="str">
        <f>=IFERROR(ROUND(O14/MA_Kurs_4,2),0)</f>
      </c>
      <c r="R14" s="180" t="s">
        <v>209</v>
      </c>
      <c r="S14" s="24"/>
      <c r="T14" s="181" t="str">
        <f>=IFERROR(ROUND(S14/MA_Kurs_5,2),0)</f>
      </c>
      <c r="V14" s="180" t="s">
        <v>209</v>
      </c>
      <c r="W14" s="24"/>
      <c r="X14" s="181" t="str">
        <f>=IFERROR(ROUND(W14/MA_Kurs_6,2),0)</f>
      </c>
      <c r="Z14" s="180" t="s">
        <v>209</v>
      </c>
      <c r="AA14" s="24"/>
      <c r="AB14" s="181" t="str">
        <f>=IFERROR(ROUND(AA14/MA_Kurs_7,2),0)</f>
      </c>
      <c r="AD14" s="180" t="s">
        <v>209</v>
      </c>
      <c r="AE14" s="24"/>
      <c r="AF14" s="181" t="str">
        <f>=IFERROR(ROUND(AE14/MA_Kurs_8,2),0)</f>
      </c>
      <c r="AH14" s="180" t="s">
        <v>209</v>
      </c>
      <c r="AI14" s="24"/>
      <c r="AJ14" s="181" t="str">
        <f>=IFERROR(ROUND(AI14/MA_Kurs_9,2),0)</f>
      </c>
      <c r="AL14" s="180" t="s">
        <v>209</v>
      </c>
      <c r="AM14" s="24"/>
      <c r="AN14" s="181" t="str">
        <f>=IFERROR(ROUND(AM14/MA_Kurs_10,2),0)</f>
      </c>
      <c r="AP14" s="180" t="s">
        <v>209</v>
      </c>
      <c r="AQ14" s="24"/>
      <c r="AR14" s="181" t="str">
        <f>=IFERROR(ROUND(AQ14/MA_Kurs_11,2),0)</f>
      </c>
      <c r="AT14" s="180" t="s">
        <v>209</v>
      </c>
      <c r="AU14" s="24"/>
      <c r="AV14" s="181" t="str">
        <f>=IFERROR(ROUND(AU14/MA_Kurs_12,2),0)</f>
      </c>
      <c r="AX14" s="180" t="s">
        <v>209</v>
      </c>
      <c r="AY14" s="24"/>
      <c r="AZ14" s="181" t="str">
        <f>=IFERROR(ROUND(AY14/MA_Kurs_13,2),0)</f>
      </c>
      <c r="BB14" s="180" t="s">
        <v>209</v>
      </c>
      <c r="BC14" s="24"/>
      <c r="BD14" s="181" t="str">
        <f>=IFERROR(ROUND(BC14/MA_Kurs_14,2),0)</f>
      </c>
      <c r="BF14" s="180" t="s">
        <v>209</v>
      </c>
      <c r="BG14" s="24"/>
      <c r="BH14" s="181" t="str">
        <f>=IFERROR(ROUND(BG14/MA_Kurs_15,2),0)</f>
      </c>
      <c r="BJ14" s="180" t="s">
        <v>209</v>
      </c>
      <c r="BK14" s="24"/>
      <c r="BL14" s="181" t="str">
        <f>=IFERROR(ROUND(BK14/MA_Kurs_16,2),0)</f>
      </c>
      <c r="BN14" s="180" t="s">
        <v>209</v>
      </c>
      <c r="BO14" s="24"/>
      <c r="BP14" s="181" t="str">
        <f>=IFERROR(ROUND(BO14/MA_Kurs_17,2),0)</f>
      </c>
      <c r="BR14" s="180" t="s">
        <v>209</v>
      </c>
      <c r="BS14" s="24"/>
      <c r="BT14" s="181" t="str">
        <f>=IFERROR(ROUND(BS14/MA_Kurs_18,2),0)</f>
      </c>
    </row>
    <row r="15">
      <c r="B15" s="180" t="s">
        <v>210</v>
      </c>
      <c r="C15" s="24"/>
      <c r="D15" s="181" t="str">
        <f>=IFERROR(ROUND(C15/MA_Kurs_1,2),0)</f>
      </c>
      <c r="F15" s="180" t="s">
        <v>210</v>
      </c>
      <c r="G15" s="24"/>
      <c r="H15" s="181" t="str">
        <f>=IFERROR(ROUND(G15/MA_Kurs_2,2),0)</f>
      </c>
      <c r="J15" s="180" t="s">
        <v>210</v>
      </c>
      <c r="K15" s="24"/>
      <c r="L15" s="181" t="str">
        <f>=IFERROR(ROUND(K15/MA_Kurs_3,2),0)</f>
      </c>
      <c r="N15" s="180" t="s">
        <v>210</v>
      </c>
      <c r="O15" s="24"/>
      <c r="P15" s="181" t="str">
        <f>=IFERROR(ROUND(O15/MA_Kurs_4,2),0)</f>
      </c>
      <c r="R15" s="180" t="s">
        <v>210</v>
      </c>
      <c r="S15" s="24"/>
      <c r="T15" s="181" t="str">
        <f>=IFERROR(ROUND(S15/MA_Kurs_5,2),0)</f>
      </c>
      <c r="V15" s="180" t="s">
        <v>210</v>
      </c>
      <c r="W15" s="24"/>
      <c r="X15" s="181" t="str">
        <f>=IFERROR(ROUND(W15/MA_Kurs_6,2),0)</f>
      </c>
      <c r="Z15" s="180" t="s">
        <v>210</v>
      </c>
      <c r="AA15" s="24"/>
      <c r="AB15" s="181" t="str">
        <f>=IFERROR(ROUND(AA15/MA_Kurs_7,2),0)</f>
      </c>
      <c r="AD15" s="180" t="s">
        <v>210</v>
      </c>
      <c r="AE15" s="24"/>
      <c r="AF15" s="181" t="str">
        <f>=IFERROR(ROUND(AE15/MA_Kurs_8,2),0)</f>
      </c>
      <c r="AH15" s="180" t="s">
        <v>210</v>
      </c>
      <c r="AI15" s="24"/>
      <c r="AJ15" s="181" t="str">
        <f>=IFERROR(ROUND(AI15/MA_Kurs_9,2),0)</f>
      </c>
      <c r="AL15" s="180" t="s">
        <v>210</v>
      </c>
      <c r="AM15" s="24"/>
      <c r="AN15" s="181" t="str">
        <f>=IFERROR(ROUND(AM15/MA_Kurs_10,2),0)</f>
      </c>
      <c r="AP15" s="180" t="s">
        <v>210</v>
      </c>
      <c r="AQ15" s="24"/>
      <c r="AR15" s="181" t="str">
        <f>=IFERROR(ROUND(AQ15/MA_Kurs_11,2),0)</f>
      </c>
      <c r="AT15" s="180" t="s">
        <v>210</v>
      </c>
      <c r="AU15" s="24"/>
      <c r="AV15" s="181" t="str">
        <f>=IFERROR(ROUND(AU15/MA_Kurs_12,2),0)</f>
      </c>
      <c r="AX15" s="180" t="s">
        <v>210</v>
      </c>
      <c r="AY15" s="24"/>
      <c r="AZ15" s="181" t="str">
        <f>=IFERROR(ROUND(AY15/MA_Kurs_13,2),0)</f>
      </c>
      <c r="BB15" s="180" t="s">
        <v>210</v>
      </c>
      <c r="BC15" s="24"/>
      <c r="BD15" s="181" t="str">
        <f>=IFERROR(ROUND(BC15/MA_Kurs_14,2),0)</f>
      </c>
      <c r="BF15" s="180" t="s">
        <v>210</v>
      </c>
      <c r="BG15" s="24"/>
      <c r="BH15" s="181" t="str">
        <f>=IFERROR(ROUND(BG15/MA_Kurs_15,2),0)</f>
      </c>
      <c r="BJ15" s="180" t="s">
        <v>210</v>
      </c>
      <c r="BK15" s="24"/>
      <c r="BL15" s="181" t="str">
        <f>=IFERROR(ROUND(BK15/MA_Kurs_16,2),0)</f>
      </c>
      <c r="BN15" s="180" t="s">
        <v>210</v>
      </c>
      <c r="BO15" s="24"/>
      <c r="BP15" s="181" t="str">
        <f>=IFERROR(ROUND(BO15/MA_Kurs_17,2),0)</f>
      </c>
      <c r="BR15" s="180" t="s">
        <v>210</v>
      </c>
      <c r="BS15" s="24"/>
      <c r="BT15" s="181" t="str">
        <f>=IFERROR(ROUND(BS15/MA_Kurs_18,2),0)</f>
      </c>
    </row>
    <row r="16">
      <c r="B16" s="180" t="s">
        <v>211</v>
      </c>
      <c r="C16" s="24"/>
      <c r="D16" s="181" t="str">
        <f>=IFERROR(ROUND(C16/MA_Kurs_1,2),0)</f>
      </c>
      <c r="F16" s="180" t="s">
        <v>211</v>
      </c>
      <c r="G16" s="24"/>
      <c r="H16" s="181" t="str">
        <f>=IFERROR(ROUND(G16/MA_Kurs_2,2),0)</f>
      </c>
      <c r="J16" s="180" t="s">
        <v>211</v>
      </c>
      <c r="K16" s="24"/>
      <c r="L16" s="181" t="str">
        <f>=IFERROR(ROUND(K16/MA_Kurs_3,2),0)</f>
      </c>
      <c r="N16" s="180" t="s">
        <v>211</v>
      </c>
      <c r="O16" s="24"/>
      <c r="P16" s="181" t="str">
        <f>=IFERROR(ROUND(O16/MA_Kurs_4,2),0)</f>
      </c>
      <c r="R16" s="180" t="s">
        <v>211</v>
      </c>
      <c r="S16" s="24"/>
      <c r="T16" s="181" t="str">
        <f>=IFERROR(ROUND(S16/MA_Kurs_5,2),0)</f>
      </c>
      <c r="V16" s="180" t="s">
        <v>211</v>
      </c>
      <c r="W16" s="24"/>
      <c r="X16" s="181" t="str">
        <f>=IFERROR(ROUND(W16/MA_Kurs_6,2),0)</f>
      </c>
      <c r="Z16" s="180" t="s">
        <v>211</v>
      </c>
      <c r="AA16" s="24"/>
      <c r="AB16" s="181" t="str">
        <f>=IFERROR(ROUND(AA16/MA_Kurs_7,2),0)</f>
      </c>
      <c r="AD16" s="180" t="s">
        <v>211</v>
      </c>
      <c r="AE16" s="24"/>
      <c r="AF16" s="181" t="str">
        <f>=IFERROR(ROUND(AE16/MA_Kurs_8,2),0)</f>
      </c>
      <c r="AH16" s="180" t="s">
        <v>211</v>
      </c>
      <c r="AI16" s="24"/>
      <c r="AJ16" s="181" t="str">
        <f>=IFERROR(ROUND(AI16/MA_Kurs_9,2),0)</f>
      </c>
      <c r="AL16" s="180" t="s">
        <v>211</v>
      </c>
      <c r="AM16" s="24"/>
      <c r="AN16" s="181" t="str">
        <f>=IFERROR(ROUND(AM16/MA_Kurs_10,2),0)</f>
      </c>
      <c r="AP16" s="180" t="s">
        <v>211</v>
      </c>
      <c r="AQ16" s="24"/>
      <c r="AR16" s="181" t="str">
        <f>=IFERROR(ROUND(AQ16/MA_Kurs_11,2),0)</f>
      </c>
      <c r="AT16" s="180" t="s">
        <v>211</v>
      </c>
      <c r="AU16" s="24"/>
      <c r="AV16" s="181" t="str">
        <f>=IFERROR(ROUND(AU16/MA_Kurs_12,2),0)</f>
      </c>
      <c r="AX16" s="180" t="s">
        <v>211</v>
      </c>
      <c r="AY16" s="24"/>
      <c r="AZ16" s="181" t="str">
        <f>=IFERROR(ROUND(AY16/MA_Kurs_13,2),0)</f>
      </c>
      <c r="BB16" s="180" t="s">
        <v>211</v>
      </c>
      <c r="BC16" s="24"/>
      <c r="BD16" s="181" t="str">
        <f>=IFERROR(ROUND(BC16/MA_Kurs_14,2),0)</f>
      </c>
      <c r="BF16" s="180" t="s">
        <v>211</v>
      </c>
      <c r="BG16" s="24"/>
      <c r="BH16" s="181" t="str">
        <f>=IFERROR(ROUND(BG16/MA_Kurs_15,2),0)</f>
      </c>
      <c r="BJ16" s="180" t="s">
        <v>211</v>
      </c>
      <c r="BK16" s="24"/>
      <c r="BL16" s="181" t="str">
        <f>=IFERROR(ROUND(BK16/MA_Kurs_16,2),0)</f>
      </c>
      <c r="BN16" s="180" t="s">
        <v>211</v>
      </c>
      <c r="BO16" s="24"/>
      <c r="BP16" s="181" t="str">
        <f>=IFERROR(ROUND(BO16/MA_Kurs_17,2),0)</f>
      </c>
      <c r="BR16" s="180" t="s">
        <v>211</v>
      </c>
      <c r="BS16" s="24"/>
      <c r="BT16" s="181" t="str">
        <f>=IFERROR(ROUND(BS16/MA_Kurs_18,2),0)</f>
      </c>
    </row>
    <row r="17">
      <c r="B17" s="180" t="s">
        <v>212</v>
      </c>
      <c r="C17" s="24"/>
      <c r="D17" s="181" t="str">
        <f>=IFERROR(ROUND(C17/MA_Kurs_1,2),0)</f>
      </c>
      <c r="F17" s="180" t="s">
        <v>212</v>
      </c>
      <c r="G17" s="24"/>
      <c r="H17" s="181" t="str">
        <f>=IFERROR(ROUND(G17/MA_Kurs_2,2),0)</f>
      </c>
      <c r="J17" s="180" t="s">
        <v>212</v>
      </c>
      <c r="K17" s="24"/>
      <c r="L17" s="181" t="str">
        <f>=IFERROR(ROUND(K17/MA_Kurs_3,2),0)</f>
      </c>
      <c r="N17" s="180" t="s">
        <v>212</v>
      </c>
      <c r="O17" s="24"/>
      <c r="P17" s="181" t="str">
        <f>=IFERROR(ROUND(O17/MA_Kurs_4,2),0)</f>
      </c>
      <c r="R17" s="180" t="s">
        <v>212</v>
      </c>
      <c r="S17" s="24"/>
      <c r="T17" s="181" t="str">
        <f>=IFERROR(ROUND(S17/MA_Kurs_5,2),0)</f>
      </c>
      <c r="V17" s="180" t="s">
        <v>212</v>
      </c>
      <c r="W17" s="24"/>
      <c r="X17" s="181" t="str">
        <f>=IFERROR(ROUND(W17/MA_Kurs_6,2),0)</f>
      </c>
      <c r="Z17" s="180" t="s">
        <v>212</v>
      </c>
      <c r="AA17" s="24"/>
      <c r="AB17" s="181" t="str">
        <f>=IFERROR(ROUND(AA17/MA_Kurs_7,2),0)</f>
      </c>
      <c r="AD17" s="180" t="s">
        <v>212</v>
      </c>
      <c r="AE17" s="24"/>
      <c r="AF17" s="181" t="str">
        <f>=IFERROR(ROUND(AE17/MA_Kurs_8,2),0)</f>
      </c>
      <c r="AH17" s="180" t="s">
        <v>212</v>
      </c>
      <c r="AI17" s="24"/>
      <c r="AJ17" s="181" t="str">
        <f>=IFERROR(ROUND(AI17/MA_Kurs_9,2),0)</f>
      </c>
      <c r="AL17" s="180" t="s">
        <v>212</v>
      </c>
      <c r="AM17" s="24"/>
      <c r="AN17" s="181" t="str">
        <f>=IFERROR(ROUND(AM17/MA_Kurs_10,2),0)</f>
      </c>
      <c r="AP17" s="180" t="s">
        <v>212</v>
      </c>
      <c r="AQ17" s="24"/>
      <c r="AR17" s="181" t="str">
        <f>=IFERROR(ROUND(AQ17/MA_Kurs_11,2),0)</f>
      </c>
      <c r="AT17" s="180" t="s">
        <v>212</v>
      </c>
      <c r="AU17" s="24"/>
      <c r="AV17" s="181" t="str">
        <f>=IFERROR(ROUND(AU17/MA_Kurs_12,2),0)</f>
      </c>
      <c r="AX17" s="180" t="s">
        <v>212</v>
      </c>
      <c r="AY17" s="24"/>
      <c r="AZ17" s="181" t="str">
        <f>=IFERROR(ROUND(AY17/MA_Kurs_13,2),0)</f>
      </c>
      <c r="BB17" s="180" t="s">
        <v>212</v>
      </c>
      <c r="BC17" s="24"/>
      <c r="BD17" s="181" t="str">
        <f>=IFERROR(ROUND(BC17/MA_Kurs_14,2),0)</f>
      </c>
      <c r="BF17" s="180" t="s">
        <v>212</v>
      </c>
      <c r="BG17" s="24"/>
      <c r="BH17" s="181" t="str">
        <f>=IFERROR(ROUND(BG17/MA_Kurs_15,2),0)</f>
      </c>
      <c r="BJ17" s="180" t="s">
        <v>212</v>
      </c>
      <c r="BK17" s="24"/>
      <c r="BL17" s="181" t="str">
        <f>=IFERROR(ROUND(BK17/MA_Kurs_16,2),0)</f>
      </c>
      <c r="BN17" s="180" t="s">
        <v>212</v>
      </c>
      <c r="BO17" s="24"/>
      <c r="BP17" s="181" t="str">
        <f>=IFERROR(ROUND(BO17/MA_Kurs_17,2),0)</f>
      </c>
      <c r="BR17" s="180" t="s">
        <v>212</v>
      </c>
      <c r="BS17" s="24"/>
      <c r="BT17" s="181" t="str">
        <f>=IFERROR(ROUND(BS17/MA_Kurs_18,2),0)</f>
      </c>
    </row>
    <row r="18">
      <c r="B18" s="182" t="s">
        <v>308</v>
      </c>
      <c r="C18" s="183" t="str">
        <f>=ROUND(SUBTOTAL(109,MA_1[Angefordert (LC)]),2)</f>
      </c>
      <c r="D18" s="184" t="str">
        <f>=ROUND(SUBTOTAL(109,MA_1[Angefordert (EUR)]),2)</f>
      </c>
      <c r="F18" s="182" t="s">
        <v>308</v>
      </c>
      <c r="G18" s="183" t="str">
        <f>=ROUND(SUBTOTAL(109,MA_2[Angefordert (LC)]),2)</f>
      </c>
      <c r="H18" s="184" t="str">
        <f>=ROUND(SUBTOTAL(109,MA_2[Angefordert (EUR)]),2)</f>
      </c>
      <c r="J18" s="182" t="s">
        <v>308</v>
      </c>
      <c r="K18" s="183" t="str">
        <f>=ROUND(SUBTOTAL(109,MA_3[Angefordert (LC)]),2)</f>
      </c>
      <c r="L18" s="184" t="str">
        <f>=ROUND(SUBTOTAL(109,MA_3[Angefordert (EUR)]),2)</f>
      </c>
      <c r="N18" s="182" t="s">
        <v>308</v>
      </c>
      <c r="O18" s="183" t="str">
        <f>=ROUND(SUBTOTAL(109,MA_4[Angefordert (LC)]),2)</f>
      </c>
      <c r="P18" s="184" t="str">
        <f>=ROUND(SUBTOTAL(109,MA_4[Angefordert (EUR)]),2)</f>
      </c>
      <c r="R18" s="182" t="s">
        <v>308</v>
      </c>
      <c r="S18" s="183" t="str">
        <f>=ROUND(SUBTOTAL(109,MA_5[Angefordert (LC)]),2)</f>
      </c>
      <c r="T18" s="184" t="str">
        <f>=ROUND(SUBTOTAL(109,MA_5[Angefordert (EUR)]),2)</f>
      </c>
      <c r="V18" s="182" t="s">
        <v>308</v>
      </c>
      <c r="W18" s="183" t="str">
        <f>=ROUND(SUBTOTAL(109,MA_6[Angefordert (LC)]),2)</f>
      </c>
      <c r="X18" s="184" t="str">
        <f>=ROUND(SUBTOTAL(109,MA_6[Angefordert (EUR)]),2)</f>
      </c>
      <c r="Z18" s="182" t="s">
        <v>308</v>
      </c>
      <c r="AA18" s="183" t="str">
        <f>=ROUND(SUBTOTAL(109,MA_7[Angefordert (LC)]),2)</f>
      </c>
      <c r="AB18" s="184" t="str">
        <f>=ROUND(SUBTOTAL(109,MA_7[Angefordert (EUR)]),2)</f>
      </c>
      <c r="AD18" s="182" t="s">
        <v>308</v>
      </c>
      <c r="AE18" s="183" t="str">
        <f>=ROUND(SUBTOTAL(109,MA_8[Angefordert (LC)]),2)</f>
      </c>
      <c r="AF18" s="184" t="str">
        <f>=ROUND(SUBTOTAL(109,MA_8[Angefordert (EUR)]),2)</f>
      </c>
      <c r="AH18" s="182" t="s">
        <v>308</v>
      </c>
      <c r="AI18" s="183" t="str">
        <f>=ROUND(SUBTOTAL(109,MA_9[Angefordert (LC)]),2)</f>
      </c>
      <c r="AJ18" s="184" t="str">
        <f>=ROUND(SUBTOTAL(109,MA_9[Angefordert (EUR)]),2)</f>
      </c>
      <c r="AL18" s="182" t="s">
        <v>308</v>
      </c>
      <c r="AM18" s="183" t="str">
        <f>=ROUND(SUBTOTAL(109,MA_10[Angefordert (LC)]),2)</f>
      </c>
      <c r="AN18" s="184" t="str">
        <f>=ROUND(SUBTOTAL(109,MA_10[Angefordert (EUR)]),2)</f>
      </c>
      <c r="AP18" s="182" t="s">
        <v>308</v>
      </c>
      <c r="AQ18" s="183" t="str">
        <f>=ROUND(SUBTOTAL(109,MA_11[Angefordert (LC)]),2)</f>
      </c>
      <c r="AR18" s="184" t="str">
        <f>=ROUND(SUBTOTAL(109,MA_11[Angefordert (EUR)]),2)</f>
      </c>
      <c r="AT18" s="182" t="s">
        <v>308</v>
      </c>
      <c r="AU18" s="183" t="str">
        <f>=ROUND(SUBTOTAL(109,MA_12[Angefordert (LC)]),2)</f>
      </c>
      <c r="AV18" s="184" t="str">
        <f>=ROUND(SUBTOTAL(109,MA_12[Angefordert (EUR)]),2)</f>
      </c>
      <c r="AX18" s="182" t="s">
        <v>308</v>
      </c>
      <c r="AY18" s="183" t="str">
        <f>=ROUND(SUBTOTAL(109,MA_13[Angefordert (LC)]),2)</f>
      </c>
      <c r="AZ18" s="184" t="str">
        <f>=ROUND(SUBTOTAL(109,MA_13[Angefordert (EUR)]),2)</f>
      </c>
      <c r="BB18" s="182" t="s">
        <v>308</v>
      </c>
      <c r="BC18" s="183" t="str">
        <f>=ROUND(SUBTOTAL(109,MA_14[Angefordert (LC)]),2)</f>
      </c>
      <c r="BD18" s="184" t="str">
        <f>=ROUND(SUBTOTAL(109,MA_14[Angefordert (EUR)]),2)</f>
      </c>
      <c r="BF18" s="182" t="s">
        <v>308</v>
      </c>
      <c r="BG18" s="183" t="str">
        <f>=ROUND(SUBTOTAL(109,MA_15[Angefordert (LC)]),2)</f>
      </c>
      <c r="BH18" s="184" t="str">
        <f>=ROUND(SUBTOTAL(109,MA_15[Angefordert (EUR)]),2)</f>
      </c>
      <c r="BJ18" s="182" t="s">
        <v>308</v>
      </c>
      <c r="BK18" s="183" t="str">
        <f>=ROUND(SUBTOTAL(109,MA_16[Angefordert (LC)]),2)</f>
      </c>
      <c r="BL18" s="184" t="str">
        <f>=ROUND(SUBTOTAL(109,MA_16[Angefordert (EUR)]),2)</f>
      </c>
      <c r="BN18" s="182" t="s">
        <v>308</v>
      </c>
      <c r="BO18" s="183" t="str">
        <f>=ROUND(SUBTOTAL(109,MA_17[Angefordert (LC)]),2)</f>
      </c>
      <c r="BP18" s="184" t="str">
        <f>=ROUND(SUBTOTAL(109,MA_17[Angefordert (EUR)]),2)</f>
      </c>
      <c r="BR18" s="182" t="s">
        <v>308</v>
      </c>
      <c r="BS18" s="183" t="str">
        <f>=ROUND(SUBTOTAL(109,MA_18[Angefordert (LC)]),2)</f>
      </c>
      <c r="BT18" s="184" t="str">
        <f>=ROUND(SUBTOTAL(109,MA_18[Angefordert (EUR)]),2)</f>
      </c>
    </row>
    <row r="20">
      <c r="B20" t="s">
        <v>309</v>
      </c>
      <c r="C20" s="185" t="str">
        <f>=ROUND($C$18,2)</f>
      </c>
      <c r="D20" s="186" t="str">
        <f>=ROUND($D$18,2)</f>
      </c>
      <c r="F20" t="s">
        <v>309</v>
      </c>
      <c r="G20" s="185" t="str">
        <f>=ROUND($G$18,2)</f>
      </c>
      <c r="H20" s="186" t="str">
        <f>=ROUND($H$18,2)</f>
      </c>
      <c r="J20" t="s">
        <v>309</v>
      </c>
      <c r="K20" s="185" t="str">
        <f>=ROUND($K$18,2)</f>
      </c>
      <c r="L20" s="186" t="str">
        <f>=ROUND($L$18,2)</f>
      </c>
      <c r="N20" t="s">
        <v>309</v>
      </c>
      <c r="O20" s="185" t="str">
        <f>=ROUND($O$18,2)</f>
      </c>
      <c r="P20" s="186" t="str">
        <f>=ROUND($P$18,2)</f>
      </c>
      <c r="R20" t="s">
        <v>309</v>
      </c>
      <c r="S20" s="185" t="str">
        <f>=ROUND($S$18,2)</f>
      </c>
      <c r="T20" s="186" t="str">
        <f>=ROUND($T$18,2)</f>
      </c>
      <c r="V20" t="s">
        <v>309</v>
      </c>
      <c r="W20" s="185" t="str">
        <f>=ROUND($W$18,2)</f>
      </c>
      <c r="X20" s="186" t="str">
        <f>=ROUND($X$18,2)</f>
      </c>
      <c r="Z20" t="s">
        <v>309</v>
      </c>
      <c r="AA20" s="185" t="str">
        <f>=ROUND($AA$18,2)</f>
      </c>
      <c r="AB20" s="186" t="str">
        <f>=ROUND($AB$18,2)</f>
      </c>
      <c r="AD20" t="s">
        <v>309</v>
      </c>
      <c r="AE20" s="185" t="str">
        <f>=ROUND($AE$18,2)</f>
      </c>
      <c r="AF20" s="186" t="str">
        <f>=ROUND($AF$18,2)</f>
      </c>
      <c r="AH20" t="s">
        <v>309</v>
      </c>
      <c r="AI20" s="185" t="str">
        <f>=ROUND($AI$18,2)</f>
      </c>
      <c r="AJ20" s="186" t="str">
        <f>=ROUND($AJ$18,2)</f>
      </c>
      <c r="AL20" t="s">
        <v>309</v>
      </c>
      <c r="AM20" s="185" t="str">
        <f>=ROUND($AM$18,2)</f>
      </c>
      <c r="AN20" s="186" t="str">
        <f>=ROUND($AN$18,2)</f>
      </c>
      <c r="AP20" t="s">
        <v>309</v>
      </c>
      <c r="AQ20" s="185" t="str">
        <f>=ROUND($AQ$18,2)</f>
      </c>
      <c r="AR20" s="186" t="str">
        <f>=ROUND($AR$18,2)</f>
      </c>
      <c r="AT20" t="s">
        <v>309</v>
      </c>
      <c r="AU20" s="185" t="str">
        <f>=ROUND($AU$18,2)</f>
      </c>
      <c r="AV20" s="186" t="str">
        <f>=ROUND($AV$18,2)</f>
      </c>
      <c r="AX20" t="s">
        <v>309</v>
      </c>
      <c r="AY20" s="185" t="str">
        <f>=ROUND($AY$18,2)</f>
      </c>
      <c r="AZ20" s="186" t="str">
        <f>=ROUND($AZ$18,2)</f>
      </c>
      <c r="BB20" t="s">
        <v>309</v>
      </c>
      <c r="BC20" s="185" t="str">
        <f>=ROUND($BC$18,2)</f>
      </c>
      <c r="BD20" s="186" t="str">
        <f>=ROUND($BD$18,2)</f>
      </c>
      <c r="BF20" t="s">
        <v>309</v>
      </c>
      <c r="BG20" s="185" t="str">
        <f>=ROUND($BG$18,2)</f>
      </c>
      <c r="BH20" s="186" t="str">
        <f>=ROUND($BH$18,2)</f>
      </c>
      <c r="BJ20" t="s">
        <v>309</v>
      </c>
      <c r="BK20" s="185" t="str">
        <f>=ROUND($BK$18,2)</f>
      </c>
      <c r="BL20" s="186" t="str">
        <f>=ROUND($BL$18,2)</f>
      </c>
      <c r="BN20" t="s">
        <v>309</v>
      </c>
      <c r="BO20" s="185" t="str">
        <f>=ROUND($BO$18,2)</f>
      </c>
      <c r="BP20" s="186" t="str">
        <f>=ROUND($BP$18,2)</f>
      </c>
      <c r="BR20" t="s">
        <v>309</v>
      </c>
      <c r="BS20" s="185" t="str">
        <f>=ROUND($BS$18,2)</f>
      </c>
      <c r="BT20" s="186" t="str">
        <f>=ROUND($BT$18,2)</f>
      </c>
    </row>
    <row r="21">
      <c r="B21" t="s">
        <v>310</v>
      </c>
      <c r="C21" s="24"/>
      <c r="D21" s="181" t="str">
        <f>=IFERROR(ROUND($C$21/$C$7,2),0)</f>
      </c>
      <c r="F21" t="s">
        <v>310</v>
      </c>
      <c r="G21" s="24"/>
      <c r="H21" s="181" t="str">
        <f>=IFERROR(ROUND($G$21/$G$7,2),0)</f>
      </c>
      <c r="J21" t="s">
        <v>310</v>
      </c>
      <c r="K21" s="24"/>
      <c r="L21" s="181" t="str">
        <f>=IFERROR(ROUND($K$21/$K$7,2),0)</f>
      </c>
      <c r="N21" t="s">
        <v>310</v>
      </c>
      <c r="O21" s="24"/>
      <c r="P21" s="181" t="str">
        <f>=IFERROR(ROUND($O$21/$O$7,2),0)</f>
      </c>
      <c r="R21" t="s">
        <v>310</v>
      </c>
      <c r="S21" s="24"/>
      <c r="T21" s="181" t="str">
        <f>=IFERROR(ROUND($S$21/$S$7,2),0)</f>
      </c>
      <c r="V21" t="s">
        <v>310</v>
      </c>
      <c r="W21" s="24"/>
      <c r="X21" s="181" t="str">
        <f>=IFERROR(ROUND($W$21/$W$7,2),0)</f>
      </c>
      <c r="Z21" t="s">
        <v>310</v>
      </c>
      <c r="AA21" s="24"/>
      <c r="AB21" s="181" t="str">
        <f>=IFERROR(ROUND($AA$21/$AA$7,2),0)</f>
      </c>
      <c r="AD21" t="s">
        <v>310</v>
      </c>
      <c r="AE21" s="24"/>
      <c r="AF21" s="181" t="str">
        <f>=IFERROR(ROUND($AE$21/$AE$7,2),0)</f>
      </c>
      <c r="AH21" t="s">
        <v>310</v>
      </c>
      <c r="AI21" s="24"/>
      <c r="AJ21" s="181" t="str">
        <f>=IFERROR(ROUND($AI$21/$AI$7,2),0)</f>
      </c>
      <c r="AL21" t="s">
        <v>310</v>
      </c>
      <c r="AM21" s="24"/>
      <c r="AN21" s="181" t="str">
        <f>=IFERROR(ROUND($AM$21/$AM$7,2),0)</f>
      </c>
      <c r="AP21" t="s">
        <v>310</v>
      </c>
      <c r="AQ21" s="24"/>
      <c r="AR21" s="181" t="str">
        <f>=IFERROR(ROUND($AQ$21/$AQ$7,2),0)</f>
      </c>
      <c r="AT21" t="s">
        <v>310</v>
      </c>
      <c r="AU21" s="24"/>
      <c r="AV21" s="181" t="str">
        <f>=IFERROR(ROUND($AU$21/$AU$7,2),0)</f>
      </c>
      <c r="AX21" t="s">
        <v>310</v>
      </c>
      <c r="AY21" s="24"/>
      <c r="AZ21" s="181" t="str">
        <f>=IFERROR(ROUND($AY$21/$AY$7,2),0)</f>
      </c>
      <c r="BB21" t="s">
        <v>310</v>
      </c>
      <c r="BC21" s="24"/>
      <c r="BD21" s="181" t="str">
        <f>=IFERROR(ROUND($BC$21/$BC$7,2),0)</f>
      </c>
      <c r="BF21" t="s">
        <v>310</v>
      </c>
      <c r="BG21" s="24"/>
      <c r="BH21" s="181" t="str">
        <f>=IFERROR(ROUND($BG$21/$BG$7,2),0)</f>
      </c>
      <c r="BJ21" t="s">
        <v>310</v>
      </c>
      <c r="BK21" s="24"/>
      <c r="BL21" s="181" t="str">
        <f>=IFERROR(ROUND($BK$21/$BK$7,2),0)</f>
      </c>
      <c r="BN21" t="s">
        <v>310</v>
      </c>
      <c r="BO21" s="24"/>
      <c r="BP21" s="181" t="str">
        <f>=IFERROR(ROUND($BO$21/$BO$7,2),0)</f>
      </c>
      <c r="BR21" t="s">
        <v>310</v>
      </c>
      <c r="BS21" s="24"/>
      <c r="BT21" s="181" t="str">
        <f>=IFERROR(ROUND($BS$21/$BS$7,2),0)</f>
      </c>
    </row>
    <row r="22">
      <c r="B22" t="s">
        <v>311</v>
      </c>
      <c r="C22" s="24"/>
      <c r="D22" s="181" t="str">
        <f>=IFERROR(ROUND($C$22/$C$7,2),0)</f>
      </c>
      <c r="F22" t="s">
        <v>311</v>
      </c>
      <c r="G22" s="24"/>
      <c r="H22" s="181" t="str">
        <f>=IFERROR(ROUND($G$22/$G$7,2),0)</f>
      </c>
      <c r="J22" t="s">
        <v>311</v>
      </c>
      <c r="K22" s="24"/>
      <c r="L22" s="181" t="str">
        <f>=IFERROR(ROUND($K$22/$K$7,2),0)</f>
      </c>
      <c r="N22" t="s">
        <v>311</v>
      </c>
      <c r="O22" s="24"/>
      <c r="P22" s="181" t="str">
        <f>=IFERROR(ROUND($O$22/$O$7,2),0)</f>
      </c>
      <c r="R22" t="s">
        <v>311</v>
      </c>
      <c r="S22" s="24"/>
      <c r="T22" s="181" t="str">
        <f>=IFERROR(ROUND($S$22/$S$7,2),0)</f>
      </c>
      <c r="V22" t="s">
        <v>311</v>
      </c>
      <c r="W22" s="24"/>
      <c r="X22" s="181" t="str">
        <f>=IFERROR(ROUND($W$22/$W$7,2),0)</f>
      </c>
      <c r="Z22" t="s">
        <v>311</v>
      </c>
      <c r="AA22" s="24"/>
      <c r="AB22" s="181" t="str">
        <f>=IFERROR(ROUND($AA$22/$AA$7,2),0)</f>
      </c>
      <c r="AD22" t="s">
        <v>311</v>
      </c>
      <c r="AE22" s="24"/>
      <c r="AF22" s="181" t="str">
        <f>=IFERROR(ROUND($AE$22/$AE$7,2),0)</f>
      </c>
      <c r="AH22" t="s">
        <v>311</v>
      </c>
      <c r="AI22" s="24"/>
      <c r="AJ22" s="181" t="str">
        <f>=IFERROR(ROUND($AI$22/$AI$7,2),0)</f>
      </c>
      <c r="AL22" t="s">
        <v>311</v>
      </c>
      <c r="AM22" s="24"/>
      <c r="AN22" s="181" t="str">
        <f>=IFERROR(ROUND($AM$22/$AM$7,2),0)</f>
      </c>
      <c r="AP22" t="s">
        <v>311</v>
      </c>
      <c r="AQ22" s="24"/>
      <c r="AR22" s="181" t="str">
        <f>=IFERROR(ROUND($AQ$22/$AQ$7,2),0)</f>
      </c>
      <c r="AT22" t="s">
        <v>311</v>
      </c>
      <c r="AU22" s="24"/>
      <c r="AV22" s="181" t="str">
        <f>=IFERROR(ROUND($AU$22/$AU$7,2),0)</f>
      </c>
      <c r="AX22" t="s">
        <v>311</v>
      </c>
      <c r="AY22" s="24"/>
      <c r="AZ22" s="181" t="str">
        <f>=IFERROR(ROUND($AY$22/$AY$7,2),0)</f>
      </c>
      <c r="BB22" t="s">
        <v>311</v>
      </c>
      <c r="BC22" s="24"/>
      <c r="BD22" s="181" t="str">
        <f>=IFERROR(ROUND($BC$22/$BC$7,2),0)</f>
      </c>
      <c r="BF22" t="s">
        <v>311</v>
      </c>
      <c r="BG22" s="24"/>
      <c r="BH22" s="181" t="str">
        <f>=IFERROR(ROUND($BG$22/$BG$7,2),0)</f>
      </c>
      <c r="BJ22" t="s">
        <v>311</v>
      </c>
      <c r="BK22" s="24"/>
      <c r="BL22" s="181" t="str">
        <f>=IFERROR(ROUND($BK$22/$BK$7,2),0)</f>
      </c>
      <c r="BN22" t="s">
        <v>311</v>
      </c>
      <c r="BO22" s="24"/>
      <c r="BP22" s="181" t="str">
        <f>=IFERROR(ROUND($BO$22/$BO$7,2),0)</f>
      </c>
      <c r="BR22" t="s">
        <v>311</v>
      </c>
      <c r="BS22" s="24"/>
      <c r="BT22" s="181" t="str">
        <f>=IFERROR(ROUND($BS$22/$BS$7,2),0)</f>
      </c>
    </row>
    <row r="23">
      <c r="B23" t="s">
        <v>312</v>
      </c>
      <c r="C23" s="187" t="str">
        <f>=ROUND(IF(Saldovortrag_LW="",0,Saldovortrag_LW),2)</f>
      </c>
      <c r="D23" s="181" t="str">
        <f>=IFERROR(ROUND($C$23/$C$7,2),0)</f>
      </c>
      <c r="F23" t="s">
        <v>314</v>
      </c>
      <c r="G23" s="187" t="str">
        <f>=ROUND(IFERROR(FB_SaldoLC_1,0),2)</f>
      </c>
      <c r="H23" s="181" t="str">
        <f>=IFERROR(ROUND($G$23/$G$7,2),0)</f>
      </c>
      <c r="J23" t="s">
        <v>314</v>
      </c>
      <c r="K23" s="187" t="str">
        <f>=ROUND(IFERROR(FB_SaldoLC_2,0),2)</f>
      </c>
      <c r="L23" s="181" t="str">
        <f>=IFERROR(ROUND($K$23/$K$7,2),0)</f>
      </c>
      <c r="N23" t="s">
        <v>314</v>
      </c>
      <c r="O23" s="187" t="str">
        <f>=ROUND(IFERROR(FB_SaldoLC_3,0),2)</f>
      </c>
      <c r="P23" s="181" t="str">
        <f>=IFERROR(ROUND($O$23/$O$7,2),0)</f>
      </c>
      <c r="R23" t="s">
        <v>314</v>
      </c>
      <c r="S23" s="187" t="str">
        <f>=ROUND(IFERROR(FB_SaldoLC_4,0),2)</f>
      </c>
      <c r="T23" s="181" t="str">
        <f>=IFERROR(ROUND($S$23/$S$7,2),0)</f>
      </c>
      <c r="V23" t="s">
        <v>314</v>
      </c>
      <c r="W23" s="187" t="str">
        <f>=ROUND(IFERROR(FB_SaldoLC_5,0),2)</f>
      </c>
      <c r="X23" s="181" t="str">
        <f>=IFERROR(ROUND($W$23/$W$7,2),0)</f>
      </c>
      <c r="Z23" t="s">
        <v>314</v>
      </c>
      <c r="AA23" s="187" t="str">
        <f>=ROUND(IFERROR(FB_SaldoLC_6,0),2)</f>
      </c>
      <c r="AB23" s="181" t="str">
        <f>=IFERROR(ROUND($AA$23/$AA$7,2),0)</f>
      </c>
      <c r="AD23" t="s">
        <v>314</v>
      </c>
      <c r="AE23" s="187" t="str">
        <f>=ROUND(IFERROR(FB_SaldoLC_7,0),2)</f>
      </c>
      <c r="AF23" s="181" t="str">
        <f>=IFERROR(ROUND($AE$23/$AE$7,2),0)</f>
      </c>
      <c r="AH23" t="s">
        <v>314</v>
      </c>
      <c r="AI23" s="187" t="str">
        <f>=ROUND(IFERROR(FB_SaldoLC_8,0),2)</f>
      </c>
      <c r="AJ23" s="181" t="str">
        <f>=IFERROR(ROUND($AI$23/$AI$7,2),0)</f>
      </c>
      <c r="AL23" t="s">
        <v>314</v>
      </c>
      <c r="AM23" s="187" t="str">
        <f>=ROUND(IFERROR(FB_SaldoLC_9,0),2)</f>
      </c>
      <c r="AN23" s="181" t="str">
        <f>=IFERROR(ROUND($AM$23/$AM$7,2),0)</f>
      </c>
      <c r="AP23" t="s">
        <v>314</v>
      </c>
      <c r="AQ23" s="187" t="str">
        <f>=ROUND(IFERROR(FB_SaldoLC_10,0),2)</f>
      </c>
      <c r="AR23" s="181" t="str">
        <f>=IFERROR(ROUND($AQ$23/$AQ$7,2),0)</f>
      </c>
      <c r="AT23" t="s">
        <v>314</v>
      </c>
      <c r="AU23" s="187" t="str">
        <f>=ROUND(IFERROR(FB_SaldoLC_11,0),2)</f>
      </c>
      <c r="AV23" s="181" t="str">
        <f>=IFERROR(ROUND($AU$23/$AU$7,2),0)</f>
      </c>
      <c r="AX23" t="s">
        <v>314</v>
      </c>
      <c r="AY23" s="187" t="str">
        <f>=ROUND(IFERROR(FB_SaldoLC_12,0),2)</f>
      </c>
      <c r="AZ23" s="181" t="str">
        <f>=IFERROR(ROUND($AY$23/$AY$7,2),0)</f>
      </c>
      <c r="BB23" t="s">
        <v>314</v>
      </c>
      <c r="BC23" s="187" t="str">
        <f>=ROUND(IFERROR(FB_SaldoLC_13,0),2)</f>
      </c>
      <c r="BD23" s="181" t="str">
        <f>=IFERROR(ROUND($BC$23/$BC$7,2),0)</f>
      </c>
      <c r="BF23" t="s">
        <v>314</v>
      </c>
      <c r="BG23" s="187" t="str">
        <f>=ROUND(IFERROR(FB_SaldoLC_14,0),2)</f>
      </c>
      <c r="BH23" s="181" t="str">
        <f>=IFERROR(ROUND($BG$23/$BG$7,2),0)</f>
      </c>
      <c r="BJ23" t="s">
        <v>314</v>
      </c>
      <c r="BK23" s="187" t="str">
        <f>=ROUND(IFERROR(FB_SaldoLC_15,0),2)</f>
      </c>
      <c r="BL23" s="181" t="str">
        <f>=IFERROR(ROUND($BK$23/$BK$7,2),0)</f>
      </c>
      <c r="BN23" t="s">
        <v>314</v>
      </c>
      <c r="BO23" s="187" t="str">
        <f>=ROUND(IFERROR(FB_SaldoLC_16,0),2)</f>
      </c>
      <c r="BP23" s="181" t="str">
        <f>=IFERROR(ROUND($BO$23/$BO$7,2),0)</f>
      </c>
      <c r="BR23" t="s">
        <v>314</v>
      </c>
      <c r="BS23" s="187" t="str">
        <f>=ROUND(IFERROR(FB_SaldoLC_17,0),2)</f>
      </c>
      <c r="BT23" s="181" t="str">
        <f>=IFERROR(ROUND($BS$23/$BS$7,2),0)</f>
      </c>
    </row>
    <row r="25">
      <c r="B25" s="188" t="s">
        <v>313</v>
      </c>
      <c r="C25" s="189" t="str">
        <f>=IFERROR(ROUND($C$18-$C$21-$C$22-$C$23,2),0)</f>
      </c>
      <c r="D25" s="190" t="str">
        <f>=IFERROR(ROUND($D$18-$D$21-$D$22-$D$23,2),0)</f>
      </c>
      <c r="F25" s="188" t="s">
        <v>313</v>
      </c>
      <c r="G25" s="189" t="str">
        <f>=IFERROR(ROUND($G$18-$G$21-$G$22-$G$23,2),0)</f>
      </c>
      <c r="H25" s="190" t="str">
        <f>=IFERROR(ROUND($H$18-$H$21-$H$22-$H$23,2),0)</f>
      </c>
      <c r="J25" s="188" t="s">
        <v>313</v>
      </c>
      <c r="K25" s="189" t="str">
        <f>=IFERROR(ROUND($K$18-$K$21-$K$22-$K$23,2),0)</f>
      </c>
      <c r="L25" s="190" t="str">
        <f>=IFERROR(ROUND($L$18-$L$21-$L$22-$L$23,2),0)</f>
      </c>
      <c r="N25" s="188" t="s">
        <v>313</v>
      </c>
      <c r="O25" s="189" t="str">
        <f>=IFERROR(ROUND($O$18-$O$21-$O$22-$O$23,2),0)</f>
      </c>
      <c r="P25" s="190" t="str">
        <f>=IFERROR(ROUND($P$18-$P$21-$P$22-$P$23,2),0)</f>
      </c>
      <c r="R25" s="188" t="s">
        <v>313</v>
      </c>
      <c r="S25" s="189" t="str">
        <f>=IFERROR(ROUND($S$18-$S$21-$S$22-$S$23,2),0)</f>
      </c>
      <c r="T25" s="190" t="str">
        <f>=IFERROR(ROUND($T$18-$T$21-$T$22-$T$23,2),0)</f>
      </c>
      <c r="V25" s="188" t="s">
        <v>313</v>
      </c>
      <c r="W25" s="189" t="str">
        <f>=IFERROR(ROUND($W$18-$W$21-$W$22-$W$23,2),0)</f>
      </c>
      <c r="X25" s="190" t="str">
        <f>=IFERROR(ROUND($X$18-$X$21-$X$22-$X$23,2),0)</f>
      </c>
      <c r="Z25" s="188" t="s">
        <v>313</v>
      </c>
      <c r="AA25" s="189" t="str">
        <f>=IFERROR(ROUND($AA$18-$AA$21-$AA$22-$AA$23,2),0)</f>
      </c>
      <c r="AB25" s="190" t="str">
        <f>=IFERROR(ROUND($AB$18-$AB$21-$AB$22-$AB$23,2),0)</f>
      </c>
      <c r="AD25" s="188" t="s">
        <v>313</v>
      </c>
      <c r="AE25" s="189" t="str">
        <f>=IFERROR(ROUND($AE$18-$AE$21-$AE$22-$AE$23,2),0)</f>
      </c>
      <c r="AF25" s="190" t="str">
        <f>=IFERROR(ROUND($AF$18-$AF$21-$AF$22-$AF$23,2),0)</f>
      </c>
      <c r="AH25" s="188" t="s">
        <v>313</v>
      </c>
      <c r="AI25" s="189" t="str">
        <f>=IFERROR(ROUND($AI$18-$AI$21-$AI$22-$AI$23,2),0)</f>
      </c>
      <c r="AJ25" s="190" t="str">
        <f>=IFERROR(ROUND($AJ$18-$AJ$21-$AJ$22-$AJ$23,2),0)</f>
      </c>
      <c r="AL25" s="188" t="s">
        <v>313</v>
      </c>
      <c r="AM25" s="189" t="str">
        <f>=IFERROR(ROUND($AM$18-$AM$21-$AM$22-$AM$23,2),0)</f>
      </c>
      <c r="AN25" s="190" t="str">
        <f>=IFERROR(ROUND($AN$18-$AN$21-$AN$22-$AN$23,2),0)</f>
      </c>
      <c r="AP25" s="188" t="s">
        <v>313</v>
      </c>
      <c r="AQ25" s="189" t="str">
        <f>=IFERROR(ROUND($AQ$18-$AQ$21-$AQ$22-$AQ$23,2),0)</f>
      </c>
      <c r="AR25" s="190" t="str">
        <f>=IFERROR(ROUND($AR$18-$AR$21-$AR$22-$AR$23,2),0)</f>
      </c>
      <c r="AT25" s="188" t="s">
        <v>313</v>
      </c>
      <c r="AU25" s="189" t="str">
        <f>=IFERROR(ROUND($AU$18-$AU$21-$AU$22-$AU$23,2),0)</f>
      </c>
      <c r="AV25" s="190" t="str">
        <f>=IFERROR(ROUND($AV$18-$AV$21-$AV$22-$AV$23,2),0)</f>
      </c>
      <c r="AX25" s="188" t="s">
        <v>313</v>
      </c>
      <c r="AY25" s="189" t="str">
        <f>=IFERROR(ROUND($AY$18-$AY$21-$AY$22-$AY$23,2),0)</f>
      </c>
      <c r="AZ25" s="190" t="str">
        <f>=IFERROR(ROUND($AZ$18-$AZ$21-$AZ$22-$AZ$23,2),0)</f>
      </c>
      <c r="BB25" s="188" t="s">
        <v>313</v>
      </c>
      <c r="BC25" s="189" t="str">
        <f>=IFERROR(ROUND($BC$18-$BC$21-$BC$22-$BC$23,2),0)</f>
      </c>
      <c r="BD25" s="190" t="str">
        <f>=IFERROR(ROUND($BD$18-$BD$21-$BD$22-$BD$23,2),0)</f>
      </c>
      <c r="BF25" s="188" t="s">
        <v>313</v>
      </c>
      <c r="BG25" s="189" t="str">
        <f>=IFERROR(ROUND($BG$18-$BG$21-$BG$22-$BG$23,2),0)</f>
      </c>
      <c r="BH25" s="190" t="str">
        <f>=IFERROR(ROUND($BH$18-$BH$21-$BH$22-$BH$23,2),0)</f>
      </c>
      <c r="BJ25" s="188" t="s">
        <v>313</v>
      </c>
      <c r="BK25" s="189" t="str">
        <f>=IFERROR(ROUND($BK$18-$BK$21-$BK$22-$BK$23,2),0)</f>
      </c>
      <c r="BL25" s="190" t="str">
        <f>=IFERROR(ROUND($BL$18-$BL$21-$BL$22-$BL$23,2),0)</f>
      </c>
      <c r="BN25" s="188" t="s">
        <v>313</v>
      </c>
      <c r="BO25" s="189" t="str">
        <f>=IFERROR(ROUND($BO$18-$BO$21-$BO$22-$BO$23,2),0)</f>
      </c>
      <c r="BP25" s="190" t="str">
        <f>=IFERROR(ROUND($BP$18-$BP$21-$BP$22-$BP$23,2),0)</f>
      </c>
      <c r="BR25" s="188" t="s">
        <v>313</v>
      </c>
      <c r="BS25" s="189" t="str">
        <f>=IFERROR(ROUND($BS$18-$BS$21-$BS$22-$BS$23,2),0)</f>
      </c>
      <c r="BT25" s="190" t="str">
        <f>=IFERROR(ROUND($BT$18-$BT$21-$BT$22-$BT$23,2),0)</f>
      </c>
    </row>
  </sheetData>
  <mergeCells count="54">
    <mergeCell ref="C5:D5"/>
    <mergeCell ref="C6:D6"/>
    <mergeCell ref="C7:D7"/>
    <mergeCell ref="G5:H5"/>
    <mergeCell ref="G6:H6"/>
    <mergeCell ref="G7:H7"/>
    <mergeCell ref="K5:L5"/>
    <mergeCell ref="K6:L6"/>
    <mergeCell ref="K7:L7"/>
    <mergeCell ref="O5:P5"/>
    <mergeCell ref="O6:P6"/>
    <mergeCell ref="O7:P7"/>
    <mergeCell ref="S5:T5"/>
    <mergeCell ref="S6:T6"/>
    <mergeCell ref="S7:T7"/>
    <mergeCell ref="W5:X5"/>
    <mergeCell ref="W6:X6"/>
    <mergeCell ref="W7:X7"/>
    <mergeCell ref="AA5:AB5"/>
    <mergeCell ref="AA6:AB6"/>
    <mergeCell ref="AA7:AB7"/>
    <mergeCell ref="AE5:AF5"/>
    <mergeCell ref="AE6:AF6"/>
    <mergeCell ref="AE7:AF7"/>
    <mergeCell ref="AI5:AJ5"/>
    <mergeCell ref="AI6:AJ6"/>
    <mergeCell ref="AI7:AJ7"/>
    <mergeCell ref="AM5:AN5"/>
    <mergeCell ref="AM6:AN6"/>
    <mergeCell ref="AM7:AN7"/>
    <mergeCell ref="AQ5:AR5"/>
    <mergeCell ref="AQ6:AR6"/>
    <mergeCell ref="AQ7:AR7"/>
    <mergeCell ref="AU5:AV5"/>
    <mergeCell ref="AU6:AV6"/>
    <mergeCell ref="AU7:AV7"/>
    <mergeCell ref="AY5:AZ5"/>
    <mergeCell ref="AY6:AZ6"/>
    <mergeCell ref="AY7:AZ7"/>
    <mergeCell ref="BC5:BD5"/>
    <mergeCell ref="BC6:BD6"/>
    <mergeCell ref="BC7:BD7"/>
    <mergeCell ref="BG5:BH5"/>
    <mergeCell ref="BG6:BH6"/>
    <mergeCell ref="BG7:BH7"/>
    <mergeCell ref="BK5:BL5"/>
    <mergeCell ref="BK6:BL6"/>
    <mergeCell ref="BK7:BL7"/>
    <mergeCell ref="BO5:BP5"/>
    <mergeCell ref="BO6:BP6"/>
    <mergeCell ref="BO7:BP7"/>
    <mergeCell ref="BS5:BT5"/>
    <mergeCell ref="BS6:BT6"/>
    <mergeCell ref="BS7:BT7"/>
  </mergeCells>
  <dataValidations count="18">
    <dataValidation allowBlank="true" sqref="C5" type="list">
      <formula1>'Daten'!$A$1:$A$18</formula1>
    </dataValidation>
    <dataValidation allowBlank="true" sqref="G5" type="list">
      <formula1>'Daten'!$A$1:$A$18</formula1>
    </dataValidation>
    <dataValidation allowBlank="true" sqref="K5" type="list">
      <formula1>'Daten'!$A$1:$A$18</formula1>
    </dataValidation>
    <dataValidation allowBlank="true" sqref="O5" type="list">
      <formula1>'Daten'!$A$1:$A$18</formula1>
    </dataValidation>
    <dataValidation allowBlank="true" sqref="S5" type="list">
      <formula1>'Daten'!$A$1:$A$18</formula1>
    </dataValidation>
    <dataValidation allowBlank="true" sqref="W5" type="list">
      <formula1>'Daten'!$A$1:$A$18</formula1>
    </dataValidation>
    <dataValidation allowBlank="true" sqref="AA5" type="list">
      <formula1>'Daten'!$A$1:$A$18</formula1>
    </dataValidation>
    <dataValidation allowBlank="true" sqref="AE5" type="list">
      <formula1>'Daten'!$A$1:$A$18</formula1>
    </dataValidation>
    <dataValidation allowBlank="true" sqref="AI5" type="list">
      <formula1>'Daten'!$A$1:$A$18</formula1>
    </dataValidation>
    <dataValidation allowBlank="true" sqref="AM5" type="list">
      <formula1>'Daten'!$A$1:$A$18</formula1>
    </dataValidation>
    <dataValidation allowBlank="true" sqref="AQ5" type="list">
      <formula1>'Daten'!$A$1:$A$18</formula1>
    </dataValidation>
    <dataValidation allowBlank="true" sqref="AU5" type="list">
      <formula1>'Daten'!$A$1:$A$18</formula1>
    </dataValidation>
    <dataValidation allowBlank="true" sqref="AY5" type="list">
      <formula1>'Daten'!$A$1:$A$18</formula1>
    </dataValidation>
    <dataValidation allowBlank="true" sqref="BC5" type="list">
      <formula1>'Daten'!$A$1:$A$18</formula1>
    </dataValidation>
    <dataValidation allowBlank="true" sqref="BG5" type="list">
      <formula1>'Daten'!$A$1:$A$18</formula1>
    </dataValidation>
    <dataValidation allowBlank="true" sqref="BK5" type="list">
      <formula1>'Daten'!$A$1:$A$18</formula1>
    </dataValidation>
    <dataValidation allowBlank="true" sqref="BO5" type="list">
      <formula1>'Daten'!$A$1:$A$18</formula1>
    </dataValidation>
    <dataValidation allowBlank="true" sqref="BS5" type="list">
      <formula1>'Daten'!$A$1:$A$18</formula1>
    </dataValidation>
  </dataValidations>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dimension ref="A1"/>
  <sheetViews>
    <sheetView workbookViewId="0"/>
  </sheetViews>
  <sheetData>
    <row r="1">
      <c r="A1" t="s">
        <v>226</v>
      </c>
      <c r="C1" s="191" t="s">
        <v>315</v>
      </c>
      <c r="I1" s="191" t="s">
        <v>316</v>
      </c>
      <c r="O1" s="191" t="s">
        <v>317</v>
      </c>
      <c r="U1" s="191" t="s">
        <v>318</v>
      </c>
    </row>
    <row r="2">
      <c r="A2" t="s">
        <v>227</v>
      </c>
      <c r="C2" t="str">
        <f>_xlfn.FILTER(AA2#, (_xlfn.CHOOSECOLS(AA2#,3)&lt;&gt;0)+(_xlfn.CHOOSECOLS(AA2#,4)&lt;&gt;0), "")</f>
      </c>
      <c r="I2" t="str">
        <f>_xlfn.FILTER(AG2#, (_xlfn.CHOOSECOLS(AG2#,3)&lt;&gt;0)+(_xlfn.CHOOSECOLS(AG2#,4)&lt;&gt;0), "")</f>
      </c>
      <c r="O2" t="str">
        <f>_xlfn.FILTER(AM2#, (_xlfn.CHOOSECOLS(AM2#,2)&lt;&gt;0)+(_xlfn.CHOOSECOLS(AM2#,3)&lt;&gt;0), "")</f>
      </c>
      <c r="U2" t="str">
        <f>_xlfn.FILTER(AS2#, (_xlfn.CHOOSECOLS(AS2#,2)&lt;&gt;0)+(_xlfn.CHOOSECOLS(AS2#,3)&lt;&gt;0), "")</f>
      </c>
      <c r="AA2" t="str">
        <f>_xlfn.VSTACK('III. Finanzberichte'!$B$41:$F$45,'III. Finanzberichte'!$I$41:$M$45,'III. Finanzberichte'!$P$41:$T$45,'III. Finanzberichte'!$W$41:$AA$45,'III. Finanzberichte'!$AD$41:$AH$45,'III. Finanzberichte'!$AK$41:$AO$45,'III. Finanzberichte'!$AR$41:$AV$45,'III. Finanzberichte'!$AY$41:$BC$45,'III. Finanzberichte'!$BF$41:$BJ$45,'III. Finanzberichte'!$BM$41:$BQ$45,'III. Finanzberichte'!$BT$41:$BX$45,'III. Finanzberichte'!$CA$41:$CE$45,'III. Finanzberichte'!$CH$41:$CL$45,'III. Finanzberichte'!$CO$41:$CS$45,'III. Finanzberichte'!$CV$41:$CZ$45,'III. Finanzberichte'!$DC$41:$DG$45,'III. Finanzberichte'!$DJ$41:$DN$45,'III. Finanzberichte'!$DQ$41:$DU$45)</f>
      </c>
      <c r="AG2" t="str">
        <f>_xlfn.VSTACK('III. Finanzberichte'!$B$50:$F$55,'III. Finanzberichte'!$I$50:$M$55,'III. Finanzberichte'!$P$50:$T$55,'III. Finanzberichte'!$W$50:$AA$55,'III. Finanzberichte'!$AD$50:$AH$55,'III. Finanzberichte'!$AK$50:$AO$55,'III. Finanzberichte'!$AR$50:$AV$55,'III. Finanzberichte'!$AY$50:$BC$55,'III. Finanzberichte'!$BF$50:$BJ$55,'III. Finanzberichte'!$BM$50:$BQ$55,'III. Finanzberichte'!$BT$50:$BX$55,'III. Finanzberichte'!$CA$50:$CE$55,'III. Finanzberichte'!$CH$50:$CL$55,'III. Finanzberichte'!$CO$50:$CS$55,'III. Finanzberichte'!$CV$50:$CZ$55,'III. Finanzberichte'!$DC$50:$DG$55,'III. Finanzberichte'!$DJ$50:$DN$55,'III. Finanzberichte'!$DQ$50:$DU$55)</f>
      </c>
      <c r="AM2" t="str">
        <f>_xlfn.VSTACK('III. Finanzberichte'!$B$19:$F$26,'III. Finanzberichte'!$I$19:$M$26,'III. Finanzberichte'!$P$19:$T$26,'III. Finanzberichte'!$W$19:$AA$26,'III. Finanzberichte'!$AD$19:$AH$26,'III. Finanzberichte'!$AK$19:$AO$26,'III. Finanzberichte'!$AR$19:$AV$26,'III. Finanzberichte'!$AY$19:$BC$26,'III. Finanzberichte'!$BF$19:$BJ$26,'III. Finanzberichte'!$BM$19:$BQ$26,'III. Finanzberichte'!$BT$19:$BX$26,'III. Finanzberichte'!$CA$19:$CE$26,'III. Finanzberichte'!$CH$19:$CL$26,'III. Finanzberichte'!$CO$19:$CS$26,'III. Finanzberichte'!$CV$19:$CZ$26,'III. Finanzberichte'!$DC$19:$DG$26,'III. Finanzberichte'!$DJ$19:$DN$26,'III. Finanzberichte'!$DQ$19:$DU$26)</f>
      </c>
      <c r="AS2" t="str">
        <f>_xlfn.VSTACK('IV. MA'!$B$10:$D$17,'IV. MA'!$F$10:$H$17,'IV. MA'!$J$10:$L$17,'IV. MA'!$N$10:$P$17,'IV. MA'!$R$10:$T$17,'IV. MA'!$V$10:$X$17,'IV. MA'!$Z$10:$AB$17,'IV. MA'!$AD$10:$AF$17,'IV. MA'!$AH$10:$AJ$17,'IV. MA'!$AL$10:$AN$17,'IV. MA'!$AP$10:$AR$17,'IV. MA'!$AT$10:$AV$17,'IV. MA'!$AX$10:$AZ$17,'IV. MA'!$BB$10:$BD$17,'IV. MA'!$BF$10:$BH$17,'IV. MA'!$BJ$10:$BL$17,'IV. MA'!$BN$10:$BP$17,'IV. MA'!$BR$10:$BT$17)</f>
      </c>
    </row>
    <row r="3">
      <c r="A3" t="s">
        <v>228</v>
      </c>
    </row>
    <row r="4">
      <c r="A4" t="s">
        <v>229</v>
      </c>
    </row>
    <row r="5">
      <c r="A5" t="s">
        <v>230</v>
      </c>
    </row>
    <row r="6">
      <c r="A6" t="s">
        <v>231</v>
      </c>
    </row>
    <row r="7">
      <c r="A7" t="s">
        <v>232</v>
      </c>
    </row>
    <row r="8">
      <c r="A8" t="s">
        <v>233</v>
      </c>
    </row>
    <row r="9">
      <c r="A9" t="s">
        <v>234</v>
      </c>
    </row>
    <row r="10">
      <c r="A10" t="s">
        <v>235</v>
      </c>
    </row>
    <row r="11">
      <c r="A11" t="s">
        <v>236</v>
      </c>
    </row>
    <row r="12">
      <c r="A12" t="s">
        <v>237</v>
      </c>
    </row>
    <row r="13">
      <c r="A13" t="s">
        <v>238</v>
      </c>
    </row>
    <row r="14">
      <c r="A14" t="s">
        <v>239</v>
      </c>
    </row>
    <row r="15">
      <c r="A15" t="s">
        <v>240</v>
      </c>
    </row>
    <row r="16">
      <c r="A16" t="s">
        <v>241</v>
      </c>
    </row>
    <row r="17">
      <c r="A17" t="s">
        <v>242</v>
      </c>
    </row>
    <row r="18">
      <c r="A18" t="s">
        <v>243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