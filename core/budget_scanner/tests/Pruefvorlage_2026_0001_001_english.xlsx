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worksheets/sheet6.xml" ContentType="application/vnd.openxmlformats-officedocument.spreadsheetml.worksheet+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metadata.xml" ContentType="application/vnd.openxmlformats-officedocument.spreadsheetml.sheetMetadata+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workbookProtection lockStructure="1" workbookAlgorithmName="SHA-512" workbookHashValue="VTe726Tu6mIYSDcpN/IBBLM5I8KO2kpSovVQhUG59rkJYHr1QQ/RKXmn0DzeuUHT5P0Qx+SMaPAkca2qbyH8CQ==" workbookSaltValue="a213ZmJfcnB0X3YxXyEhAA==" workbookSpinCount="100000"/>
  <bookViews>
    <workbookView xWindow="0" yWindow="0" windowWidth="14805" windowHeight="8010"/>
  </bookViews>
  <sheets>
    <sheet name="Dashboard" sheetId="2" r:id="rId4"/>
    <sheet name="I. Budget" sheetId="3" r:id="rId6"/>
    <sheet name="II. KMW-Mittel" sheetId="4" r:id="rId7"/>
    <sheet name="III. Finanzberichte" sheetId="5" r:id="rId8"/>
    <sheet name="IV. MA" sheetId="6" r:id="rId9"/>
    <sheet name="V. AUSWERTUNG" sheetId="7" r:id="rId10"/>
    <sheet name="Daten" sheetId="8" r:id="rId11" state="hidden"/>
  </sheets>
  <definedNames>
    <definedName name="Saldovortrag_LW">'Dashboard'!$C$14</definedName>
    <definedName name="Saldovortrag_EUR">'Dashboard'!$E$14</definedName>
    <definedName name="Budget_Kurs">'I. Budget'!$H$4</definedName>
    <definedName name="Eigenmittel_LW">'I. Budget'!$E$7</definedName>
    <definedName name="Eigenmittel_EUR">'I. Budget'!$I$7</definedName>
    <definedName name="Drittmittel_LW">'I. Budget'!$E$10</definedName>
    <definedName name="Drittmittel_EUR">'I. Budget'!$I$10</definedName>
    <definedName name="KMW_Mittel_LW">'I. Budget'!$E$13</definedName>
    <definedName name="KMW_Mittel_EUR">'I. Budget'!$I$13</definedName>
    <definedName name="Gesamtprojektmittel_LW">'I. Budget'!$E$15</definedName>
    <definedName name="Gesamtprojektmittel_EUR">'I. Budget'!$I$15</definedName>
    <definedName name="Kosten_Bauausgaben_LW">'I. Budget'!$O$4</definedName>
    <definedName name="Kosten_Bauausgaben_EUR">'I. Budget'!$P$4</definedName>
    <definedName name="Kosten_Investitionen_LW">'I. Budget'!$O$5</definedName>
    <definedName name="Kosten_Investitionen_EUR">'I. Budget'!$P$5</definedName>
    <definedName name="Kosten_Personalkosten_LW">'I. Budget'!$O$6</definedName>
    <definedName name="Kosten_Personalkosten_EUR">'I. Budget'!$P$6</definedName>
    <definedName name="Kosten_Projektaktivitaeten_LW">'I. Budget'!$O$7</definedName>
    <definedName name="Kosten_Projektaktivitaeten_EUR">'I. Budget'!$P$7</definedName>
    <definedName name="Kosten_Projektverwaltung_LW">'I. Budget'!$O$8</definedName>
    <definedName name="Kosten_Projektverwaltung_EUR">'I. Budget'!$P$8</definedName>
    <definedName name="Kosten_Evaluierung_LW">'I. Budget'!$O$9</definedName>
    <definedName name="Kosten_Evaluierung_EUR">'I. Budget'!$P$9</definedName>
    <definedName name="Kosten_Audit_LW">'I. Budget'!$O$10</definedName>
    <definedName name="Kosten_Audit_EUR">'I. Budget'!$P$10</definedName>
    <definedName name="Kosten_Reserve_LW">'I. Budget'!$O$11</definedName>
    <definedName name="Kosten_Reserve_EUR">'I. Budget'!$P$11</definedName>
    <definedName name="Gesamtausgaben_LW">'I. Budget'!$O$12</definedName>
    <definedName name="Gesamtausgaben_EUR">'I. Budget'!$P$12</definedName>
    <definedName name="Budget_ID_Liste">OFFSET('I. Budget'!$S$1, 0, 0, COUNTA('I. Budget'!S:S), 1)</definedName>
    <definedName name="Geber_Liste">OFFSET('I. Budget'!$K$19,0,0,MAX(1,COUNTA('I. Budget'!$K$19:$K$19)),1)</definedName>
    <definedName name="Reserve_Freigabe">'I. Budget'!$K$5</definedName>
    <definedName name="FB_Kurs_1">'III. Finanzberichte'!$C$8</definedName>
    <definedName name="FB_SaldoLC_1">'III. Finanzberichte'!$C$144</definedName>
    <definedName name="FB_SaldoEUR_1">'III. Finanzberichte'!$D$144</definedName>
    <definedName name="FB_Kurs_2">'III. Finanzberichte'!$J$8</definedName>
    <definedName name="FB_SaldoLC_2">'III. Finanzberichte'!$J$144</definedName>
    <definedName name="FB_SaldoEUR_2">'III. Finanzberichte'!$K$144</definedName>
    <definedName name="FB_Kurs_3">'III. Finanzberichte'!$Q$8</definedName>
    <definedName name="FB_SaldoLC_3">'III. Finanzberichte'!$Q$144</definedName>
    <definedName name="FB_SaldoEUR_3">'III. Finanzberichte'!$R$144</definedName>
    <definedName name="FB_Kurs_4">'III. Finanzberichte'!$X$8</definedName>
    <definedName name="FB_SaldoLC_4">'III. Finanzberichte'!$X$144</definedName>
    <definedName name="FB_SaldoEUR_4">'III. Finanzberichte'!$Y$144</definedName>
    <definedName name="FB_Kurs_5">'III. Finanzberichte'!$AE$8</definedName>
    <definedName name="FB_SaldoLC_5">'III. Finanzberichte'!$AE$144</definedName>
    <definedName name="FB_SaldoEUR_5">'III. Finanzberichte'!$AF$144</definedName>
    <definedName name="FB_Kurs_6">'III. Finanzberichte'!$AL$8</definedName>
    <definedName name="FB_SaldoLC_6">'III. Finanzberichte'!$AL$144</definedName>
    <definedName name="FB_SaldoEUR_6">'III. Finanzberichte'!$AM$144</definedName>
    <definedName name="FB_Kurs_7">'III. Finanzberichte'!$AS$8</definedName>
    <definedName name="FB_SaldoLC_7">'III. Finanzberichte'!$AS$144</definedName>
    <definedName name="FB_SaldoEUR_7">'III. Finanzberichte'!$AT$144</definedName>
    <definedName name="FB_Kurs_8">'III. Finanzberichte'!$AZ$8</definedName>
    <definedName name="FB_SaldoLC_8">'III. Finanzberichte'!$AZ$144</definedName>
    <definedName name="FB_SaldoEUR_8">'III. Finanzberichte'!$BA$144</definedName>
    <definedName name="FB_Kurs_9">'III. Finanzberichte'!$BG$8</definedName>
    <definedName name="FB_SaldoLC_9">'III. Finanzberichte'!$BG$144</definedName>
    <definedName name="FB_SaldoEUR_9">'III. Finanzberichte'!$BH$144</definedName>
    <definedName name="FB_Kurs_10">'III. Finanzberichte'!$BN$8</definedName>
    <definedName name="FB_SaldoLC_10">'III. Finanzberichte'!$BN$144</definedName>
    <definedName name="FB_SaldoEUR_10">'III. Finanzberichte'!$BO$144</definedName>
    <definedName name="FB_Kurs_11">'III. Finanzberichte'!$BU$8</definedName>
    <definedName name="FB_SaldoLC_11">'III. Finanzberichte'!$BU$144</definedName>
    <definedName name="FB_SaldoEUR_11">'III. Finanzberichte'!$BV$144</definedName>
    <definedName name="FB_Kurs_12">'III. Finanzberichte'!$CB$8</definedName>
    <definedName name="FB_SaldoLC_12">'III. Finanzberichte'!$CB$144</definedName>
    <definedName name="FB_SaldoEUR_12">'III. Finanzberichte'!$CC$144</definedName>
    <definedName name="FB_Kurs_13">'III. Finanzberichte'!$CI$8</definedName>
    <definedName name="FB_SaldoLC_13">'III. Finanzberichte'!$CI$144</definedName>
    <definedName name="FB_SaldoEUR_13">'III. Finanzberichte'!$CJ$144</definedName>
    <definedName name="FB_Kurs_14">'III. Finanzberichte'!$CP$8</definedName>
    <definedName name="FB_SaldoLC_14">'III. Finanzberichte'!$CP$144</definedName>
    <definedName name="FB_SaldoEUR_14">'III. Finanzberichte'!$CQ$144</definedName>
    <definedName name="FB_Kurs_15">'III. Finanzberichte'!$CW$8</definedName>
    <definedName name="FB_SaldoLC_15">'III. Finanzberichte'!$CW$144</definedName>
    <definedName name="FB_SaldoEUR_15">'III. Finanzberichte'!$CX$144</definedName>
    <definedName name="FB_Kurs_16">'III. Finanzberichte'!$DD$8</definedName>
    <definedName name="FB_SaldoLC_16">'III. Finanzberichte'!$DD$144</definedName>
    <definedName name="FB_SaldoEUR_16">'III. Finanzberichte'!$DE$144</definedName>
    <definedName name="FB_Kurs_17">'III. Finanzberichte'!$DK$8</definedName>
    <definedName name="FB_SaldoLC_17">'III. Finanzberichte'!$DK$144</definedName>
    <definedName name="FB_SaldoEUR_17">'III. Finanzberichte'!$DL$144</definedName>
    <definedName name="FB_Kurs_18">'III. Finanzberichte'!$DR$8</definedName>
    <definedName name="FB_SaldoLC_18">'III. Finanzberichte'!$DR$144</definedName>
    <definedName name="FB_SaldoEUR_18">'III. Finanzberichte'!$DS$144</definedName>
    <definedName name="MA_Kurs_1">'IV. MA'!$C$8</definedName>
    <definedName name="MA_ManBetrag_1">'IV. MA'!$D$27</definedName>
    <definedName name="MA_Kurs_2">'IV. MA'!$G$8</definedName>
    <definedName name="MA_ManBetrag_2">'IV. MA'!$H$27</definedName>
    <definedName name="MA_Kurs_3">'IV. MA'!$K$8</definedName>
    <definedName name="MA_ManBetrag_3">'IV. MA'!$L$27</definedName>
    <definedName name="MA_Kurs_4">'IV. MA'!$O$8</definedName>
    <definedName name="MA_ManBetrag_4">'IV. MA'!$P$27</definedName>
    <definedName name="MA_Kurs_5">'IV. MA'!$S$8</definedName>
    <definedName name="MA_ManBetrag_5">'IV. MA'!$T$27</definedName>
    <definedName name="MA_Kurs_6">'IV. MA'!$W$8</definedName>
    <definedName name="MA_ManBetrag_6">'IV. MA'!$X$27</definedName>
    <definedName name="MA_Kurs_7">'IV. MA'!$AA$8</definedName>
    <definedName name="MA_ManBetrag_7">'IV. MA'!$AB$27</definedName>
    <definedName name="MA_Kurs_8">'IV. MA'!$AE$8</definedName>
    <definedName name="MA_ManBetrag_8">'IV. MA'!$AF$27</definedName>
    <definedName name="MA_Kurs_9">'IV. MA'!$AI$8</definedName>
    <definedName name="MA_ManBetrag_9">'IV. MA'!$AJ$27</definedName>
    <definedName name="MA_Kurs_10">'IV. MA'!$AM$8</definedName>
    <definedName name="MA_ManBetrag_10">'IV. MA'!$AN$27</definedName>
    <definedName name="MA_Kurs_11">'IV. MA'!$AQ$8</definedName>
    <definedName name="MA_ManBetrag_11">'IV. MA'!$AR$27</definedName>
    <definedName name="MA_Kurs_12">'IV. MA'!$AU$8</definedName>
    <definedName name="MA_ManBetrag_12">'IV. MA'!$AV$27</definedName>
    <definedName name="MA_Kurs_13">'IV. MA'!$AY$8</definedName>
    <definedName name="MA_ManBetrag_13">'IV. MA'!$AZ$27</definedName>
    <definedName name="MA_Kurs_14">'IV. MA'!$BC$8</definedName>
    <definedName name="MA_ManBetrag_14">'IV. MA'!$BD$27</definedName>
    <definedName name="MA_Kurs_15">'IV. MA'!$BG$8</definedName>
    <definedName name="MA_ManBetrag_15">'IV. MA'!$BH$27</definedName>
    <definedName name="MA_Kurs_16">'IV. MA'!$BK$8</definedName>
    <definedName name="MA_ManBetrag_16">'IV. MA'!$BL$27</definedName>
    <definedName name="MA_Kurs_17">'IV. MA'!$BO$8</definedName>
    <definedName name="MA_ManBetrag_17">'IV. MA'!$BP$27</definedName>
    <definedName name="MA_Kurs_18">'IV. MA'!$BS$8</definedName>
    <definedName name="MA_ManBetrag_18">'IV. MA'!$BT$27</definedName>
    <definedName name="FB_Auswahl_Liste">OFFSET('Daten'!$BP$1,0,0,COUNTA('Daten'!$BP:$BP),1)</definedName>
    <definedName name="MA_Auswahl_Liste">OFFSET('Daten'!$BN$1,0,0,COUNTA('Daten'!$BN:$BN),1)</definedName>
  </definedNames>
  <calcPr calcId="122211" fullCalcOnLoad="true"/>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<sst xmlns="http://schemas.openxmlformats.org/spreadsheetml/2006/main" count="530" uniqueCount="530">
  <si>
    <t xml:space="preserve">  DASHBOARD (v1.0)</t>
  </si>
  <si>
    <t>Statische Projektinformationen</t>
  </si>
  <si>
    <t>AED</t>
  </si>
  <si>
    <t>AFN</t>
  </si>
  <si>
    <t>ALL</t>
  </si>
  <si>
    <t>AMD</t>
  </si>
  <si>
    <t>AOA</t>
  </si>
  <si>
    <t>ARS</t>
  </si>
  <si>
    <t>AUD</t>
  </si>
  <si>
    <t>AWG</t>
  </si>
  <si>
    <t>AZN</t>
  </si>
  <si>
    <t>BAM</t>
  </si>
  <si>
    <t>BBD</t>
  </si>
  <si>
    <t>BDT</t>
  </si>
  <si>
    <t>BHD</t>
  </si>
  <si>
    <t>BIF</t>
  </si>
  <si>
    <t>BMD</t>
  </si>
  <si>
    <t>BND</t>
  </si>
  <si>
    <t>BOB</t>
  </si>
  <si>
    <t>BRL</t>
  </si>
  <si>
    <t>BSD</t>
  </si>
  <si>
    <t>BTN</t>
  </si>
  <si>
    <t>BWP</t>
  </si>
  <si>
    <t>BYN</t>
  </si>
  <si>
    <t>BZD</t>
  </si>
  <si>
    <t>CAD</t>
  </si>
  <si>
    <t>CDF</t>
  </si>
  <si>
    <t>CHF</t>
  </si>
  <si>
    <t>CLP</t>
  </si>
  <si>
    <t>CNY</t>
  </si>
  <si>
    <t>COP</t>
  </si>
  <si>
    <t>CRC</t>
  </si>
  <si>
    <t>CUP</t>
  </si>
  <si>
    <t>CVE</t>
  </si>
  <si>
    <t>CZK</t>
  </si>
  <si>
    <t>DJF</t>
  </si>
  <si>
    <t>DKK</t>
  </si>
  <si>
    <t>DOP</t>
  </si>
  <si>
    <t>DZD</t>
  </si>
  <si>
    <t>EGP</t>
  </si>
  <si>
    <t>ERN</t>
  </si>
  <si>
    <t>ETB</t>
  </si>
  <si>
    <t>EUR</t>
  </si>
  <si>
    <t>FJD</t>
  </si>
  <si>
    <t>FKP</t>
  </si>
  <si>
    <t>GBP</t>
  </si>
  <si>
    <t>GEL</t>
  </si>
  <si>
    <t>GHS</t>
  </si>
  <si>
    <t>GIP</t>
  </si>
  <si>
    <t>GMD</t>
  </si>
  <si>
    <t>GNF</t>
  </si>
  <si>
    <t>GTQ</t>
  </si>
  <si>
    <t>GYD</t>
  </si>
  <si>
    <t>HKD</t>
  </si>
  <si>
    <t>HNL</t>
  </si>
  <si>
    <t>HTG</t>
  </si>
  <si>
    <t>HUF</t>
  </si>
  <si>
    <t>IDR</t>
  </si>
  <si>
    <t>ILS</t>
  </si>
  <si>
    <t>INR</t>
  </si>
  <si>
    <t>IQD</t>
  </si>
  <si>
    <t>IRR</t>
  </si>
  <si>
    <t>ISK</t>
  </si>
  <si>
    <t>JMD</t>
  </si>
  <si>
    <t>JOD</t>
  </si>
  <si>
    <t>JPY</t>
  </si>
  <si>
    <t>KES</t>
  </si>
  <si>
    <t>KGS</t>
  </si>
  <si>
    <t>KHR</t>
  </si>
  <si>
    <t>KMF</t>
  </si>
  <si>
    <t>KPW</t>
  </si>
  <si>
    <t>KRW</t>
  </si>
  <si>
    <t>KWD</t>
  </si>
  <si>
    <t>KYD</t>
  </si>
  <si>
    <t>KZT</t>
  </si>
  <si>
    <t>LAK</t>
  </si>
  <si>
    <t>LBP</t>
  </si>
  <si>
    <t>LKR</t>
  </si>
  <si>
    <t>LRD</t>
  </si>
  <si>
    <t>LSL</t>
  </si>
  <si>
    <t>LYD</t>
  </si>
  <si>
    <t>MAD</t>
  </si>
  <si>
    <t>MDL</t>
  </si>
  <si>
    <t>MGA</t>
  </si>
  <si>
    <t>MKD</t>
  </si>
  <si>
    <t>MMK</t>
  </si>
  <si>
    <t>MNT</t>
  </si>
  <si>
    <t>MOP</t>
  </si>
  <si>
    <t>MRU</t>
  </si>
  <si>
    <t>MUR</t>
  </si>
  <si>
    <t>MVR</t>
  </si>
  <si>
    <t>MWK</t>
  </si>
  <si>
    <t>MXN</t>
  </si>
  <si>
    <t>MYR</t>
  </si>
  <si>
    <t>MZN</t>
  </si>
  <si>
    <t>NAD</t>
  </si>
  <si>
    <t>NGN</t>
  </si>
  <si>
    <t>NIO</t>
  </si>
  <si>
    <t>NOK</t>
  </si>
  <si>
    <t>NPR</t>
  </si>
  <si>
    <t>NZD</t>
  </si>
  <si>
    <t>OMR</t>
  </si>
  <si>
    <t>PAB</t>
  </si>
  <si>
    <t>PEN</t>
  </si>
  <si>
    <t>PGK</t>
  </si>
  <si>
    <t>PHP</t>
  </si>
  <si>
    <t>PKR</t>
  </si>
  <si>
    <t>PLN</t>
  </si>
  <si>
    <t>PYG</t>
  </si>
  <si>
    <t>QAR</t>
  </si>
  <si>
    <t>RON</t>
  </si>
  <si>
    <t>RSD</t>
  </si>
  <si>
    <t>RUB</t>
  </si>
  <si>
    <t>RWF</t>
  </si>
  <si>
    <t>SAR</t>
  </si>
  <si>
    <t>SBD</t>
  </si>
  <si>
    <t>SCR</t>
  </si>
  <si>
    <t>SDG</t>
  </si>
  <si>
    <t>SEK</t>
  </si>
  <si>
    <t>SGD</t>
  </si>
  <si>
    <t>SHP</t>
  </si>
  <si>
    <t>SLE</t>
  </si>
  <si>
    <t>SOS</t>
  </si>
  <si>
    <t>SRD</t>
  </si>
  <si>
    <t>SSP</t>
  </si>
  <si>
    <t>STN</t>
  </si>
  <si>
    <t>SVC</t>
  </si>
  <si>
    <t>SYP</t>
  </si>
  <si>
    <t>SZL</t>
  </si>
  <si>
    <t>THB</t>
  </si>
  <si>
    <t>TJS</t>
  </si>
  <si>
    <t>TMT</t>
  </si>
  <si>
    <t>TND</t>
  </si>
  <si>
    <t>TOP</t>
  </si>
  <si>
    <t>TRY</t>
  </si>
  <si>
    <t>TTD</t>
  </si>
  <si>
    <t>TWD</t>
  </si>
  <si>
    <t>TZS</t>
  </si>
  <si>
    <t>UAH</t>
  </si>
  <si>
    <t>UGX</t>
  </si>
  <si>
    <t>USD</t>
  </si>
  <si>
    <t>UYU</t>
  </si>
  <si>
    <t>UZS</t>
  </si>
  <si>
    <t>VED</t>
  </si>
  <si>
    <t>VES</t>
  </si>
  <si>
    <t>VND</t>
  </si>
  <si>
    <t>VUV</t>
  </si>
  <si>
    <t>WST</t>
  </si>
  <si>
    <t>XAF</t>
  </si>
  <si>
    <t>XCD</t>
  </si>
  <si>
    <t>XCG</t>
  </si>
  <si>
    <t>XOF</t>
  </si>
  <si>
    <t>XPF</t>
  </si>
  <si>
    <t>YER</t>
  </si>
  <si>
    <t>ZAR</t>
  </si>
  <si>
    <t>ZMW</t>
  </si>
  <si>
    <t>ZWG</t>
  </si>
  <si>
    <t>Projektnummer</t>
  </si>
  <si>
    <t/>
  </si>
  <si>
    <t>Vorprojekt vorhanden</t>
  </si>
  <si>
    <t>Ja</t>
  </si>
  <si>
    <t>Projekttitel</t>
  </si>
  <si>
    <t>Projekttraeger</t>
  </si>
  <si>
    <t>Berichtswaehrung</t>
  </si>
  <si>
    <t>Projektstart</t>
  </si>
  <si>
    <t>Projektende</t>
  </si>
  <si>
    <t>Projektlaufzeit (geplant)</t>
  </si>
  <si>
    <t>In Monate</t>
  </si>
  <si>
    <t>Vorprojektnummer</t>
  </si>
  <si>
    <t>VP-Berichtswaehrung</t>
  </si>
  <si>
    <t>Vorprojektende</t>
  </si>
  <si>
    <t>Wechselkurs</t>
  </si>
  <si>
    <t>Saldo (LW)</t>
  </si>
  <si>
    <t>Saldo (EUR)</t>
  </si>
  <si>
    <t>Folgeprojektstart</t>
  </si>
  <si>
    <t>Saldovortrag (LW)</t>
  </si>
  <si>
    <t>Saldovortrag (EUR)</t>
  </si>
  <si>
    <t>Folgende Dokumente liegen vor:</t>
  </si>
  <si>
    <t>Nein</t>
  </si>
  <si>
    <t>Vorprojektsaldo (Nachweis)</t>
  </si>
  <si>
    <t>Vertrag</t>
  </si>
  <si>
    <t>Budget</t>
  </si>
  <si>
    <t>Bankbelege</t>
  </si>
  <si>
    <t>Finanzbericht(e)</t>
  </si>
  <si>
    <t>Einzelbelege und Beleglisten</t>
  </si>
  <si>
    <t>Narrativer Bericht</t>
  </si>
  <si>
    <t>I. KERNDATEN BUDGET</t>
  </si>
  <si>
    <t>1. GEPLANTE EINNAHMEN / FINANZIERUNG</t>
  </si>
  <si>
    <t>€ Budget-Kurs:</t>
  </si>
  <si>
    <t>Finanzierungsquelle</t>
  </si>
  <si>
    <t>Betrag (LC)</t>
  </si>
  <si>
    <t>Jahr 1</t>
  </si>
  <si>
    <t>Jahr 2</t>
  </si>
  <si>
    <t>Jahr 3</t>
  </si>
  <si>
    <t>Betrag (EUR)</t>
  </si>
  <si>
    <t>1.1 Eigenmittel</t>
  </si>
  <si>
    <t>Eigenmittel</t>
  </si>
  <si>
    <t>1.2 Drittmittel</t>
  </si>
  <si>
    <t>Drittmittel (Summe):</t>
  </si>
  <si>
    <t>Aufstellung je Geber → Tabelle rechts</t>
  </si>
  <si>
    <t>1.3 KMW-Mittel</t>
  </si>
  <si>
    <t>KMW-Mittel</t>
  </si>
  <si>
    <t>GESAMTPROJEKTMITTEL</t>
  </si>
  <si>
    <t>2. GEPLANTE AUSGABEN</t>
  </si>
  <si>
    <t>Kostenkategorie</t>
  </si>
  <si>
    <t>ID</t>
  </si>
  <si>
    <t>Kostenposition</t>
  </si>
  <si>
    <t>Bauausgaben</t>
  </si>
  <si>
    <t>1.1</t>
  </si>
  <si>
    <t>Test 1</t>
  </si>
  <si>
    <t>1.2</t>
  </si>
  <si>
    <t>Test 2</t>
  </si>
  <si>
    <t>1.3</t>
  </si>
  <si>
    <t>Test 3</t>
  </si>
  <si>
    <t>1.4</t>
  </si>
  <si>
    <t>Test 4</t>
  </si>
  <si>
    <t>1.5</t>
  </si>
  <si>
    <t>Test 5</t>
  </si>
  <si>
    <t>1.6</t>
  </si>
  <si>
    <t>Test 6</t>
  </si>
  <si>
    <t>1.7</t>
  </si>
  <si>
    <t>Test 7</t>
  </si>
  <si>
    <t>1.8</t>
  </si>
  <si>
    <t>Test 8</t>
  </si>
  <si>
    <t>1.9</t>
  </si>
  <si>
    <t>Test 9</t>
  </si>
  <si>
    <t>1.10</t>
  </si>
  <si>
    <t>Test 10</t>
  </si>
  <si>
    <t>1.11</t>
  </si>
  <si>
    <t>Test 11</t>
  </si>
  <si>
    <t>1.12</t>
  </si>
  <si>
    <t>Test 12</t>
  </si>
  <si>
    <t>1.13</t>
  </si>
  <si>
    <t>Test 13</t>
  </si>
  <si>
    <t>1.14</t>
  </si>
  <si>
    <t>Test 14</t>
  </si>
  <si>
    <t>1.15</t>
  </si>
  <si>
    <t>Test 15</t>
  </si>
  <si>
    <t>1.16</t>
  </si>
  <si>
    <t>Test 16</t>
  </si>
  <si>
    <t>1.17</t>
  </si>
  <si>
    <t>Test 17</t>
  </si>
  <si>
    <t>1.18</t>
  </si>
  <si>
    <t>Test 18</t>
  </si>
  <si>
    <t>1.19</t>
  </si>
  <si>
    <t>Test 19</t>
  </si>
  <si>
    <t>1.20</t>
  </si>
  <si>
    <t>Test 20</t>
  </si>
  <si>
    <t>Investitionen</t>
  </si>
  <si>
    <t>2.1</t>
  </si>
  <si>
    <t>2.2</t>
  </si>
  <si>
    <t>2.3</t>
  </si>
  <si>
    <t>2.4</t>
  </si>
  <si>
    <t>2.5</t>
  </si>
  <si>
    <t>2.6</t>
  </si>
  <si>
    <t>2.7</t>
  </si>
  <si>
    <t>2.8</t>
  </si>
  <si>
    <t>2.9</t>
  </si>
  <si>
    <t>2.10</t>
  </si>
  <si>
    <t>2.11</t>
  </si>
  <si>
    <t>2.12</t>
  </si>
  <si>
    <t>2.13</t>
  </si>
  <si>
    <t>2.14</t>
  </si>
  <si>
    <t>2.15</t>
  </si>
  <si>
    <t>2.16</t>
  </si>
  <si>
    <t>2.17</t>
  </si>
  <si>
    <t>2.18</t>
  </si>
  <si>
    <t>2.19</t>
  </si>
  <si>
    <t>2.20</t>
  </si>
  <si>
    <t>Personalkosten</t>
  </si>
  <si>
    <t>3.1</t>
  </si>
  <si>
    <t>3.2</t>
  </si>
  <si>
    <t>3.3</t>
  </si>
  <si>
    <t>3.4</t>
  </si>
  <si>
    <t>3.5</t>
  </si>
  <si>
    <t>3.6</t>
  </si>
  <si>
    <t>3.7</t>
  </si>
  <si>
    <t>3.8</t>
  </si>
  <si>
    <t>3.9</t>
  </si>
  <si>
    <t>3.10</t>
  </si>
  <si>
    <t>3.11</t>
  </si>
  <si>
    <t>3.12</t>
  </si>
  <si>
    <t>3.13</t>
  </si>
  <si>
    <t>3.14</t>
  </si>
  <si>
    <t>3.15</t>
  </si>
  <si>
    <t>3.16</t>
  </si>
  <si>
    <t>3.17</t>
  </si>
  <si>
    <t>3.18</t>
  </si>
  <si>
    <t>3.19</t>
  </si>
  <si>
    <t>3.20</t>
  </si>
  <si>
    <t>3.21</t>
  </si>
  <si>
    <t>3.22</t>
  </si>
  <si>
    <t>3.23</t>
  </si>
  <si>
    <t>3.24</t>
  </si>
  <si>
    <t>3.25</t>
  </si>
  <si>
    <t>3.26</t>
  </si>
  <si>
    <t>3.27</t>
  </si>
  <si>
    <t>3.28</t>
  </si>
  <si>
    <t>3.29</t>
  </si>
  <si>
    <t>3.30</t>
  </si>
  <si>
    <t>Projektaktivitaeten</t>
  </si>
  <si>
    <t>4.1</t>
  </si>
  <si>
    <t>4.2</t>
  </si>
  <si>
    <t>4.3</t>
  </si>
  <si>
    <t>4.4</t>
  </si>
  <si>
    <t>4.5</t>
  </si>
  <si>
    <t>4.6</t>
  </si>
  <si>
    <t>4.7</t>
  </si>
  <si>
    <t>4.8</t>
  </si>
  <si>
    <t>4.9</t>
  </si>
  <si>
    <t>4.10</t>
  </si>
  <si>
    <t>4.11</t>
  </si>
  <si>
    <t>4.12</t>
  </si>
  <si>
    <t>4.13</t>
  </si>
  <si>
    <t>4.14</t>
  </si>
  <si>
    <t>4.15</t>
  </si>
  <si>
    <t>4.16</t>
  </si>
  <si>
    <t>4.17</t>
  </si>
  <si>
    <t>4.18</t>
  </si>
  <si>
    <t>4.19</t>
  </si>
  <si>
    <t>4.20</t>
  </si>
  <si>
    <t>4.21</t>
  </si>
  <si>
    <t>4.22</t>
  </si>
  <si>
    <t>4.23</t>
  </si>
  <si>
    <t>4.24</t>
  </si>
  <si>
    <t>4.25</t>
  </si>
  <si>
    <t>4.26</t>
  </si>
  <si>
    <t>4.27</t>
  </si>
  <si>
    <t>4.28</t>
  </si>
  <si>
    <t>4.29</t>
  </si>
  <si>
    <t>4.30</t>
  </si>
  <si>
    <t>Projektverwaltung</t>
  </si>
  <si>
    <t>5.1</t>
  </si>
  <si>
    <t>5.2</t>
  </si>
  <si>
    <t>5.3</t>
  </si>
  <si>
    <t>5.4</t>
  </si>
  <si>
    <t>5.5</t>
  </si>
  <si>
    <t>5.6</t>
  </si>
  <si>
    <t>5.7</t>
  </si>
  <si>
    <t>5.8</t>
  </si>
  <si>
    <t>5.9</t>
  </si>
  <si>
    <t>5.10</t>
  </si>
  <si>
    <t>5.11</t>
  </si>
  <si>
    <t>5.12</t>
  </si>
  <si>
    <t>5.13</t>
  </si>
  <si>
    <t>5.14</t>
  </si>
  <si>
    <t>5.15</t>
  </si>
  <si>
    <t>5.16</t>
  </si>
  <si>
    <t>5.17</t>
  </si>
  <si>
    <t>5.18</t>
  </si>
  <si>
    <t>5.19</t>
  </si>
  <si>
    <t>5.20</t>
  </si>
  <si>
    <t>Evaluierung</t>
  </si>
  <si>
    <t>6.</t>
  </si>
  <si>
    <t>Evaluation</t>
  </si>
  <si>
    <t>Audit</t>
  </si>
  <si>
    <t>7.</t>
  </si>
  <si>
    <t>Reserve</t>
  </si>
  <si>
    <t>8.</t>
  </si>
  <si>
    <t>Contingency reserve - after authorisation only</t>
  </si>
  <si>
    <t>Geplante Gesamtausgaben</t>
  </si>
  <si>
    <t>Drittmittel – Aufstellung je Geber</t>
  </si>
  <si>
    <t>Name des Gebers</t>
  </si>
  <si>
    <t>Sonstige</t>
  </si>
  <si>
    <t>Reserve Freigabe</t>
  </si>
  <si>
    <t>Reserve freigeben:</t>
  </si>
  <si>
    <t>Begruendung</t>
  </si>
  <si>
    <t>Budgetpruefung</t>
  </si>
  <si>
    <t>Einnahmen = Ausgaben (LC)</t>
  </si>
  <si>
    <t>Einnahmen = Ausgaben (EUR)</t>
  </si>
  <si>
    <t>Gleicher Budget-Kurs</t>
  </si>
  <si>
    <t>Einnahmen: Jahre = Gesamt (LC)</t>
  </si>
  <si>
    <t>Ausgaben: Jahre = Gesamt (LC)</t>
  </si>
  <si>
    <t>II. KMW-MITTEL BEREITGESTELLT</t>
  </si>
  <si>
    <t>Periode 1</t>
  </si>
  <si>
    <t>Periode 2</t>
  </si>
  <si>
    <t>Periode 3</t>
  </si>
  <si>
    <t>Periode 4</t>
  </si>
  <si>
    <t>Periode 5</t>
  </si>
  <si>
    <t>Periode 6</t>
  </si>
  <si>
    <t>Periode 7</t>
  </si>
  <si>
    <t>Periode 8</t>
  </si>
  <si>
    <t>Periode 9</t>
  </si>
  <si>
    <t>Periode 10</t>
  </si>
  <si>
    <t>Periode 11</t>
  </si>
  <si>
    <t>Periode 12</t>
  </si>
  <si>
    <t>Periode 13</t>
  </si>
  <si>
    <t>Periode 14</t>
  </si>
  <si>
    <t>Periode 15</t>
  </si>
  <si>
    <t>Periode 16</t>
  </si>
  <si>
    <t>Periode 17</t>
  </si>
  <si>
    <t>Periode 18</t>
  </si>
  <si>
    <t>Periode 19</t>
  </si>
  <si>
    <t>Periode 20</t>
  </si>
  <si>
    <t>Periode 21</t>
  </si>
  <si>
    <t>Periode 22</t>
  </si>
  <si>
    <t>Periode 23</t>
  </si>
  <si>
    <t>Periode 24</t>
  </si>
  <si>
    <t>Periode 25</t>
  </si>
  <si>
    <t>Periode 26</t>
  </si>
  <si>
    <t>Periode 27</t>
  </si>
  <si>
    <t>Periode 28</t>
  </si>
  <si>
    <t>Periode 29</t>
  </si>
  <si>
    <t>Periode 30</t>
  </si>
  <si>
    <t>Periode 31</t>
  </si>
  <si>
    <t>Periode 32</t>
  </si>
  <si>
    <t>Periode 33</t>
  </si>
  <si>
    <t>Periode 34</t>
  </si>
  <si>
    <t>Periode 35</t>
  </si>
  <si>
    <t>Periode 36</t>
  </si>
  <si>
    <t>Periode</t>
  </si>
  <si>
    <t>Waehrung</t>
  </si>
  <si>
    <t>Betrag</t>
  </si>
  <si>
    <t>Datum</t>
  </si>
  <si>
    <t>GESAMT</t>
  </si>
  <si>
    <t>Periode:</t>
  </si>
  <si>
    <t>Von:</t>
  </si>
  <si>
    <t>Bis:</t>
  </si>
  <si>
    <t>Zeitraum:</t>
  </si>
  <si>
    <t>Durchschnittskurs:</t>
  </si>
  <si>
    <t>Einnahmen</t>
  </si>
  <si>
    <t>Typ / ID</t>
  </si>
  <si>
    <t>Einnahmen (LC)</t>
  </si>
  <si>
    <t>Einnahmen (EUR)</t>
  </si>
  <si>
    <t>Kum. Einnahmen (LC)</t>
  </si>
  <si>
    <t>Kum. Einnahmen (EUR)</t>
  </si>
  <si>
    <t>Vorprojektsaldo</t>
  </si>
  <si>
    <t>Drittmittel</t>
  </si>
  <si>
    <t>Zinsertraege</t>
  </si>
  <si>
    <t>Gesamteinnahmen</t>
  </si>
  <si>
    <t>Ausgaben</t>
  </si>
  <si>
    <t>Ausgaben (LC)</t>
  </si>
  <si>
    <t>Ausgaben (EUR)</t>
  </si>
  <si>
    <t>Kum. Ausgaben (LC)</t>
  </si>
  <si>
    <t>Kum. Ausgaben (EUR)</t>
  </si>
  <si>
    <t>Gesamtausgaben</t>
  </si>
  <si>
    <t>Saldo des Finanzberichts</t>
  </si>
  <si>
    <t>Aufschluesselung:</t>
  </si>
  <si>
    <t>Bank</t>
  </si>
  <si>
    <t>Kasse</t>
  </si>
  <si>
    <t>Sonstiges</t>
  </si>
  <si>
    <t>Differenz (Pruefung):</t>
  </si>
  <si>
    <t>Einnahmen (Explizite Kurseingabe)</t>
  </si>
  <si>
    <t>Typ</t>
  </si>
  <si>
    <t>Geber</t>
  </si>
  <si>
    <t>Kurs</t>
  </si>
  <si>
    <t>Saldo des Vorprojekts</t>
  </si>
  <si>
    <t>Gesamteinnahmen in Periode</t>
  </si>
  <si>
    <t>Einnahmen (Durchschnittskurs)</t>
  </si>
  <si>
    <t>Gesamt (Durchschnittskurs)</t>
  </si>
  <si>
    <t>➤</t>
  </si>
  <si>
    <t>Vorperiodensaldo</t>
  </si>
  <si>
    <t>Saldo der Vorperiode</t>
  </si>
  <si>
    <t>OANDA-Kurs:</t>
  </si>
  <si>
    <t>Angefordert (LC)</t>
  </si>
  <si>
    <t>Angefordert (EUR)</t>
  </si>
  <si>
    <t>SUMME</t>
  </si>
  <si>
    <t>Gesamtbedarf an Mitteln:</t>
  </si>
  <si>
    <t>abzueglich Eigenmittel:</t>
  </si>
  <si>
    <t>abzueglich Drittmittel:</t>
  </si>
  <si>
    <t>abzueglich Saldo Vorprojekt:</t>
  </si>
  <si>
    <t>KMW-Mittel Anforderung:</t>
  </si>
  <si>
    <t>Manueller Betrag (EUR):</t>
  </si>
  <si>
    <t>abzueglich Saldo Vorperiode (FB):</t>
  </si>
  <si>
    <t>V. AUSWERTUNG</t>
  </si>
  <si>
    <t>Automatische Prüfung von Mittelanforderung und Finanzberichten</t>
  </si>
  <si>
    <t>MITTELANFORDERUNGSPRÜFUNG</t>
  </si>
  <si>
    <t>Basis: ausgewählte Mittelanforderung (Folgeperiode des Finanzberichts)</t>
  </si>
  <si>
    <t>Mittelanforderung auswählen</t>
  </si>
  <si>
    <t>Auswahl:</t>
  </si>
  <si>
    <t>Neuste MA</t>
  </si>
  <si>
    <t>Geprüfte Periode</t>
  </si>
  <si>
    <t>Ausgewählte Anforderung (#)</t>
  </si>
  <si>
    <t>Einbezogene Anforderungen</t>
  </si>
  <si>
    <t>KMW-Mittelprüfung (Mittelanforderung)</t>
  </si>
  <si>
    <t>Bewilligte KMW-Mittel</t>
  </si>
  <si>
    <t>Davon Reserve</t>
  </si>
  <si>
    <t>Bereitgestellte KMW-Mittel</t>
  </si>
  <si>
    <t>Verfügbare KMW-Mittel</t>
  </si>
  <si>
    <t>Abzugsoptionen KMW-Mittel</t>
  </si>
  <si>
    <t>Abzug</t>
  </si>
  <si>
    <t>Saldovortrag</t>
  </si>
  <si>
    <t>Mehreinnahmen</t>
  </si>
  <si>
    <t>Prognostizierte Mehreinnahmen</t>
  </si>
  <si>
    <t>Abzugsoptionen KMW insgesamt</t>
  </si>
  <si>
    <t>Verfügbare KMW-Mittel (bereinigt)</t>
  </si>
  <si>
    <t>Abzüglich aktuelle Anforderung</t>
  </si>
  <si>
    <t>Verbleibende KMW-Mittel</t>
  </si>
  <si>
    <t>Verbleibende KMW-Mittel (bereinigt)</t>
  </si>
  <si>
    <t>Abzüglich manueller Betrag</t>
  </si>
  <si>
    <t>Monatslimit-Prüfung</t>
  </si>
  <si>
    <t>Lokalwährung</t>
  </si>
  <si>
    <t>Monate (von 12)</t>
  </si>
  <si>
    <t>Euro</t>
  </si>
  <si>
    <t>Anforderungshöhe</t>
  </si>
  <si>
    <t>Jahresbudget Jahr 1</t>
  </si>
  <si>
    <t>Jahresbudget Jahr 2</t>
  </si>
  <si>
    <t>Jahresbudget Jahr 3</t>
  </si>
  <si>
    <t>Limit-Monate (Summe Anteile)</t>
  </si>
  <si>
    <t>Bezugszeitraum (Monate, aus MA)</t>
  </si>
  <si>
    <t>Monatslimit (anteilig)</t>
  </si>
  <si>
    <t>Status</t>
  </si>
  <si>
    <t>Überschreitung</t>
  </si>
  <si>
    <t>Auslastung %</t>
  </si>
  <si>
    <t>Prognostizierte Finanzierungsanteile</t>
  </si>
  <si>
    <t>Kategorie</t>
  </si>
  <si>
    <t>Prognose (LC)</t>
  </si>
  <si>
    <t>Budget (LC)</t>
  </si>
  <si>
    <t>Differenz (LC)</t>
  </si>
  <si>
    <t>Abweichung (LC)</t>
  </si>
  <si>
    <t>Prognose (EUR)</t>
  </si>
  <si>
    <t>Budget (EUR)</t>
  </si>
  <si>
    <t>Differenz (EUR)</t>
  </si>
  <si>
    <t>Abweichung (EUR)</t>
  </si>
  <si>
    <t>Prognoseprüfung (Ausgaben)</t>
  </si>
  <si>
    <t>FINANZBERICHTSPRÜFUNG</t>
  </si>
  <si>
    <t>Basis: ausgewählter Finanzbericht (kumulativ bis zur Periode)</t>
  </si>
  <si>
    <t>Finanzbericht auswählen</t>
  </si>
  <si>
    <t>Neuester FB</t>
  </si>
  <si>
    <t>KMW-Mittelprüfung</t>
  </si>
  <si>
    <t>Finanzierungsanteile</t>
  </si>
  <si>
    <t>Kumulativ (LC)</t>
  </si>
  <si>
    <t>Kumulativ (EUR)</t>
  </si>
  <si>
    <t>Soll-Ist Abweichungsprüfung</t>
  </si>
  <si>
    <t>abzüglich Eigenmittel:</t>
  </si>
  <si>
    <t>abzüglich Drittmittel:</t>
  </si>
  <si>
    <t>Einnahmen_Explizit_Stack</t>
  </si>
  <si>
    <t>Einnahmen_Durchschnittskurs_Stack</t>
  </si>
  <si>
    <t>Ausgaben_Finanzbericht_Stack</t>
  </si>
  <si>
    <t>Mittelanforderung_Stack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</si>
</sst>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9">
    <numFmt numFmtId="164" formatCode="0.0000"/>
    <numFmt numFmtId="165" formatCode="#,##0.00"/>
    <numFmt numFmtId="166" formatCode="#,##0.00&quot; €&quot;"/>
    <numFmt numFmtId="167" formatCode="@"/>
    <numFmt numFmtId="168" formatCode="0&quot; Monate&quot;"/>
    <numFmt numFmtId="169" formatCode="0.000000"/>
    <numFmt numFmtId="170" formatCode="0"/>
    <numFmt numFmtId="171" formatCode="0.0%"/>
    <numFmt numFmtId="172" formatCode="DD.MM.YYYY"/>
  </numFmts>
  <fonts count="26">
    <font>
      <name val="Calibri"/>
      <family val="2"/>
      <color theme="1"/>
      <sz val="11"/>
    </font>
    <font>
      <name val="Segoe UI"/>
      <family val="2"/>
      <b val="1"/>
      <color rgb="FFFFFFFF"/>
      <sz val="18"/>
    </font>
    <font>
      <name val="Segoe UI"/>
      <family val="2"/>
      <b val="1"/>
      <color rgb="FF000000"/>
      <sz val="13"/>
    </font>
    <font>
      <name val="Segoe UI"/>
      <family val="2"/>
      <color rgb="FF000000"/>
    </font>
    <font>
      <name val="Segoe UI"/>
      <family val="2"/>
      <b val="1"/>
      <color rgb="FF000000"/>
      <sz val="10"/>
    </font>
    <font>
      <name val="Segoe UI"/>
      <family val="2"/>
      <b val="1"/>
      <color rgb="FF000000"/>
      <sz val="14"/>
    </font>
    <font>
      <name val="Segoe UI"/>
      <family val="2"/>
      <b val="1"/>
      <color rgb="FF000000"/>
      <sz val="11"/>
    </font>
    <font>
      <name val="Segoe UI"/>
      <family val="2"/>
      <color rgb="FF000000"/>
      <sz val="9"/>
    </font>
    <font>
      <name val="Segoe UI"/>
      <family val="2"/>
      <i val="1"/>
      <color rgb="FF000000"/>
    </font>
    <font>
      <name val="Segoe UI"/>
      <family val="2"/>
      <b val="1"/>
      <color rgb="FF3C3C3C"/>
      <sz val="9"/>
    </font>
    <font>
      <name val="Segoe UI"/>
      <family val="2"/>
      <color rgb="FF000000"/>
      <sz val="10"/>
    </font>
    <font>
      <name val="Segoe UI"/>
      <family val="2"/>
      <i val="1"/>
      <color rgb="FF595959"/>
      <sz val="8"/>
    </font>
    <font>
      <name val="Segoe UI"/>
      <family val="2"/>
      <b val="1"/>
      <color rgb="FF000000"/>
    </font>
    <font>
      <name val="Segoe UI"/>
      <family val="2"/>
      <b val="1"/>
      <color rgb="FF000000"/>
      <sz val="9"/>
    </font>
    <font>
      <name val="Segoe UI"/>
      <family val="2"/>
      <i val="1"/>
      <color rgb="FF595959"/>
      <sz val="9"/>
    </font>
    <font>
      <name val="Segoe UI"/>
      <family val="2"/>
      <b val="1"/>
      <color rgb="FF595959"/>
      <sz val="9"/>
    </font>
    <font>
      <name val="Segoe UI"/>
      <family val="2"/>
      <color rgb="FF595959"/>
      <sz val="9"/>
    </font>
    <font>
      <name val="Segoe UI"/>
      <family val="2"/>
      <color rgb="FF808080"/>
      <sz val="8"/>
    </font>
    <font>
      <name val="Segoe UI"/>
      <family val="2"/>
      <b val="1"/>
      <color rgb="FF808080"/>
      <sz val="24"/>
    </font>
    <font>
      <name val="Segoe UI"/>
      <family val="2"/>
      <b val="1"/>
      <color rgb="FF000000"/>
      <sz val="12"/>
    </font>
    <font>
      <name val="Segoe UI"/>
      <family val="2"/>
      <i val="1"/>
      <color rgb="FFB4BEC8"/>
      <sz val="9"/>
    </font>
    <font>
      <name val="Segoe UI"/>
      <family val="2"/>
      <b val="1"/>
      <color rgb="FFFFFFFF"/>
      <sz val="13"/>
    </font>
    <font>
      <name val="Segoe UI"/>
      <family val="2"/>
      <b val="1"/>
      <color rgb="FFFFFFFF"/>
      <sz val="11"/>
    </font>
    <font>
      <name val="Segoe UI"/>
      <family val="2"/>
      <b val="1"/>
      <color rgb="FFFFFFFF"/>
      <sz val="10"/>
    </font>
    <font>
      <name val="Segoe UI"/>
      <family val="2"/>
      <b val="1"/>
      <color rgb="FFFFFFFF"/>
      <sz val="9"/>
    </font>
    <font>
      <name val="Segoe UI"/>
      <family val="2"/>
      <b val="1"/>
      <color rgb="FFFFFFFF"/>
    </font>
  </fonts>
  <fills count="13">
    <fill>
      <patternFill patternType="none"/>
    </fill>
    <fill>
      <patternFill patternType="gray125"/>
    </fill>
    <fill>
      <patternFill patternType="solid">
        <fgColor rgb="FF6C7A50"/>
      </patternFill>
    </fill>
    <fill>
      <patternFill patternType="solid">
        <fgColor rgb="FFDCDCDC"/>
      </patternFill>
    </fill>
    <fill>
      <patternFill patternType="solid">
        <fgColor rgb="FFF5F5F5"/>
      </patternFill>
    </fill>
    <fill>
      <patternFill patternType="solid">
        <fgColor rgb="FFFFFAE5"/>
      </patternFill>
    </fill>
    <fill>
      <patternFill patternType="solid">
        <fgColor rgb="FFF0F0F0"/>
      </patternFill>
    </fill>
    <fill>
      <patternFill patternType="solid">
        <fgColor rgb="FFD3D3D3"/>
      </patternFill>
    </fill>
    <fill>
      <patternFill patternType="solid">
        <fgColor rgb="FFF2F2F2"/>
      </patternFill>
    </fill>
    <fill>
      <patternFill patternType="solid">
        <fgColor rgb="FFFFFFFF"/>
      </patternFill>
    </fill>
    <fill>
      <patternFill patternType="solid">
        <fgColor rgb="FFDCE6F1"/>
      </patternFill>
    </fill>
    <fill>
      <patternFill patternType="solid">
        <fgColor rgb="FF212F3D"/>
      </patternFill>
    </fill>
    <fill>
      <patternFill patternType="solid">
        <fgColor rgb="FFEAF2F8"/>
      </patternFill>
    </fill>
  </fills>
  <borders count="56">
    <border>
      <left/>
      <right/>
      <top/>
      <bottom/>
      <diagonal/>
    </border>
    <border>
      <bottom style="thick">
        <color rgb="FF667022"/>
      </bottom>
    </border>
    <border>
      <bottom style="thin">
        <color rgb="FF969696"/>
      </bottom>
    </border>
    <border>
      <left style="thin">
        <color rgb="FF969696"/>
      </left>
      <right style="thin">
        <color rgb="FF969696"/>
      </right>
      <top style="thin">
        <color rgb="FF969696"/>
      </top>
      <bottom style="thin">
        <color rgb="FF969696"/>
      </bottom>
    </border>
    <border>
      <left style="thin">
        <color rgb="FF969696"/>
      </left>
      <right style="thin">
        <color rgb="FF969696"/>
      </right>
      <top style="double">
        <color rgb="FF969696"/>
      </top>
      <bottom style="thin">
        <color rgb="FF969696"/>
      </bottom>
    </border>
    <border>
      <top style="medium">
        <color rgb="FF808080"/>
      </top>
      <bottom style="medium">
        <color rgb="FF808080"/>
      </bottom>
    </border>
    <border>
      <top style="medium">
        <color rgb="FF808080"/>
      </top>
      <bottom style="thin">
        <color rgb="FF808080"/>
      </bottom>
    </border>
    <border>
      <left style="thin">
        <color rgb="FF808080"/>
      </left>
      <right style="thin">
        <color rgb="FF808080"/>
      </right>
      <top style="medium">
        <color rgb="FF808080"/>
      </top>
      <bottom style="thin">
        <color rgb="FF808080"/>
      </bottom>
    </border>
    <border>
      <bottom style="medium">
        <color rgb="FF808080"/>
      </bottom>
    </border>
    <border>
      <top style="thin">
        <color rgb="FF808080"/>
      </top>
      <bottom style="thin">
        <color rgb="FF808080"/>
      </bottom>
    </border>
    <border>
      <left style="thin">
        <color rgb="FFD3D3D3"/>
      </left>
      <right style="thin">
        <color rgb="FFD3D3D3"/>
      </right>
      <top style="thin">
        <color rgb="FFD3D3D3"/>
      </top>
      <bottom style="thin">
        <color rgb="FFD3D3D3"/>
      </bottom>
    </border>
    <border>
      <left style="thin">
        <color rgb="FF808080"/>
      </left>
      <right style="thin">
        <color rgb="FF808080"/>
      </right>
      <top style="thin">
        <color rgb="FF808080"/>
      </top>
      <bottom style="thin">
        <color rgb="FF808080"/>
      </bottom>
    </border>
    <border>
      <left style="medium">
        <color rgb="FF808080"/>
      </left>
      <top style="medium">
        <color rgb="FF808080"/>
      </top>
    </border>
    <border>
      <top style="medium">
        <color rgb="FF808080"/>
      </top>
    </border>
    <border>
      <right style="medium">
        <color rgb="FF808080"/>
      </right>
      <top style="medium">
        <color rgb="FF808080"/>
      </top>
    </border>
    <border>
      <left style="medium">
        <color rgb="FF808080"/>
      </left>
      <bottom style="medium">
        <color rgb="FF808080"/>
      </bottom>
    </border>
    <border>
      <right style="medium">
        <color rgb="FF808080"/>
      </right>
      <bottom style="medium">
        <color rgb="FF808080"/>
      </bottom>
    </border>
    <border>
      <left style="medium">
        <color rgb="FF808080"/>
      </left>
      <right style="thin">
        <color rgb="FFD3D3D3"/>
      </right>
      <top style="thin">
        <color rgb="FFD3D3D3"/>
      </top>
      <bottom style="medium">
        <color rgb="FF808080"/>
      </bottom>
    </border>
    <border>
      <left style="thin">
        <color rgb="FFD3D3D3"/>
      </left>
      <right style="thin">
        <color rgb="FFD3D3D3"/>
      </right>
      <top style="thin">
        <color rgb="FFD3D3D3"/>
      </top>
      <bottom style="medium">
        <color rgb="FF808080"/>
      </bottom>
    </border>
    <border>
      <left style="thin">
        <color rgb="FFD3D3D3"/>
      </left>
      <right style="medium">
        <color rgb="FF808080"/>
      </right>
      <top style="thin">
        <color rgb="FFD3D3D3"/>
      </top>
      <bottom style="medium">
        <color rgb="FF808080"/>
      </bottom>
    </border>
    <border>
      <left style="medium">
        <color rgb="FF808080"/>
      </left>
      <top style="medium">
        <color rgb="FF808080"/>
      </top>
      <bottom style="medium">
        <color rgb="FF808080"/>
      </bottom>
    </border>
    <border>
      <right style="medium">
        <color rgb="FF808080"/>
      </right>
      <top style="medium">
        <color rgb="FF808080"/>
      </top>
      <bottom style="medium">
        <color rgb="FF808080"/>
      </bottom>
    </border>
    <border>
      <left style="medium">
        <color rgb="FF808080"/>
      </left>
    </border>
    <border>
      <right style="medium">
        <color rgb="FF808080"/>
      </right>
    </border>
    <border>
      <left style="medium">
        <color rgb="FF808080"/>
      </left>
      <top style="medium">
        <color rgb="FF808080"/>
      </top>
      <bottom style="thin">
        <color rgb="FF808080"/>
      </bottom>
    </border>
    <border>
      <right style="medium">
        <color rgb="FF808080"/>
      </right>
      <top style="medium">
        <color rgb="FF808080"/>
      </top>
      <bottom style="thin">
        <color rgb="FF808080"/>
      </bottom>
    </border>
    <border>
      <left style="medium">
        <color rgb="FF808080"/>
      </left>
      <top style="thin">
        <color rgb="FF808080"/>
      </top>
      <bottom style="thin">
        <color rgb="FF808080"/>
      </bottom>
    </border>
    <border>
      <right style="medium">
        <color rgb="FF808080"/>
      </right>
      <top style="thin">
        <color rgb="FF808080"/>
      </top>
      <bottom style="thin">
        <color rgb="FF808080"/>
      </bottom>
    </border>
    <border>
      <left style="thin">
        <color rgb="FFD3D3D3"/>
      </left>
      <right style="medium">
        <color rgb="FF808080"/>
      </right>
      <top style="thin">
        <color rgb="FFD3D3D3"/>
      </top>
      <bottom style="thin">
        <color rgb="FFD3D3D3"/>
      </bottom>
    </border>
    <border>
      <left style="medium">
        <color rgb="FF808080"/>
      </left>
      <right style="thin">
        <color rgb="FF808080"/>
      </right>
      <top style="thin">
        <color rgb="FF808080"/>
      </top>
      <bottom style="thin">
        <color rgb="FF808080"/>
      </bottom>
    </border>
    <border>
      <left style="thin">
        <color rgb="FF808080"/>
      </left>
      <right style="medium">
        <color rgb="FF808080"/>
      </right>
      <top style="thin">
        <color rgb="FF808080"/>
      </top>
      <bottom style="thin">
        <color rgb="FF808080"/>
      </bottom>
    </border>
    <border>
      <left style="medium">
        <color rgb="FF808080"/>
      </left>
      <right style="thin">
        <color rgb="FFD3D3D3"/>
      </right>
      <top style="thin">
        <color rgb="FFD3D3D3"/>
      </top>
      <bottom style="thin">
        <color rgb="FFD3D3D3"/>
      </bottom>
    </border>
    <border>
      <left style="medium">
        <color rgb="FF808080"/>
      </left>
      <right style="thin">
        <color rgb="FF808080"/>
      </right>
      <top style="thin">
        <color rgb="FF808080"/>
      </top>
      <bottom style="medium">
        <color rgb="FF808080"/>
      </bottom>
    </border>
    <border>
      <left style="thin">
        <color rgb="FF808080"/>
      </left>
      <right style="thin">
        <color rgb="FF808080"/>
      </right>
      <top style="thin">
        <color rgb="FF808080"/>
      </top>
      <bottom style="medium">
        <color rgb="FF808080"/>
      </bottom>
    </border>
    <border>
      <left style="thin">
        <color rgb="FF808080"/>
      </left>
      <right style="medium">
        <color rgb="FF808080"/>
      </right>
      <top style="thin">
        <color rgb="FF808080"/>
      </top>
      <bottom style="medium">
        <color rgb="FF808080"/>
      </bottom>
    </border>
    <border>
      <left style="medium">
        <color rgb="FF808080"/>
      </left>
      <right style="medium">
        <color rgb="FF808080"/>
      </right>
      <top style="medium">
        <color rgb="FF808080"/>
      </top>
      <bottom style="thin">
        <color rgb="FFD3D3D3"/>
      </bottom>
    </border>
    <border>
      <left style="medium">
        <color rgb="FF808080"/>
      </left>
      <right style="medium">
        <color rgb="FF808080"/>
      </right>
      <top style="thin">
        <color rgb="FFD3D3D3"/>
      </top>
      <bottom style="thin">
        <color rgb="FFD3D3D3"/>
      </bottom>
    </border>
    <border>
      <left style="medium">
        <color rgb="FF808080"/>
      </left>
      <right style="medium">
        <color rgb="FF808080"/>
      </right>
      <top style="thin">
        <color rgb="FFD3D3D3"/>
      </top>
      <bottom style="medium">
        <color rgb="FF808080"/>
      </bottom>
    </border>
    <border>
      <left style="medium">
        <color rgb="FF808080"/>
      </left>
      <right style="thin">
        <color rgb="FFD3D3D3"/>
      </right>
      <top style="medium">
        <color rgb="FF808080"/>
      </top>
      <bottom style="thin">
        <color rgb="FFD3D3D3"/>
      </bottom>
    </border>
    <border>
      <left style="thin">
        <color rgb="FFD3D3D3"/>
      </left>
      <right style="thin">
        <color rgb="FFD3D3D3"/>
      </right>
      <top style="medium">
        <color rgb="FF808080"/>
      </top>
      <bottom style="thin">
        <color rgb="FFD3D3D3"/>
      </bottom>
    </border>
    <border>
      <left style="thin">
        <color rgb="FFD3D3D3"/>
      </left>
      <right style="medium">
        <color rgb="FF808080"/>
      </right>
      <top style="medium">
        <color rgb="FF808080"/>
      </top>
      <bottom style="thin">
        <color rgb="FFD3D3D3"/>
      </bottom>
    </border>
    <border>
      <left style="medium">
        <color rgb="FF808080"/>
      </left>
      <right style="thin">
        <color rgb="FFD3D3D3"/>
      </right>
      <top style="medium">
        <color rgb="FF808080"/>
      </top>
      <bottom style="medium">
        <color rgb="FF808080"/>
      </bottom>
    </border>
    <border>
      <left style="thin">
        <color rgb="FFD3D3D3"/>
      </left>
      <right style="thin">
        <color rgb="FFD3D3D3"/>
      </right>
      <top style="medium">
        <color rgb="FF808080"/>
      </top>
      <bottom style="medium">
        <color rgb="FF808080"/>
      </bottom>
    </border>
    <border>
      <left style="thin">
        <color rgb="FFD3D3D3"/>
      </left>
      <right style="medium">
        <color rgb="FF808080"/>
      </right>
      <top style="medium">
        <color rgb="FF808080"/>
      </top>
      <bottom style="medium">
        <color rgb="FF808080"/>
      </bottom>
    </border>
    <border>
      <bottom style="thin">
        <color rgb="FFD3D3D3"/>
      </bottom>
    </border>
    <border>
      <top style="double">
        <color rgb="FF808080"/>
      </top>
      <bottom style="double">
        <color rgb="FF808080"/>
      </bottom>
    </border>
    <border>
      <top style="medium">
        <color rgb="FF808080"/>
      </top>
      <bottom style="thin">
        <color rgb="FFD3D3D3"/>
      </bottom>
    </border>
    <border>
      <right style="medium">
        <color rgb="FF808080"/>
      </right>
      <top style="double">
        <color rgb="FF808080"/>
      </top>
      <bottom style="double">
        <color rgb="FF808080"/>
      </bottom>
    </border>
    <border>
      <left style="medium">
        <color rgb="FF808080"/>
      </left>
      <bottom style="thin">
        <color rgb="FFD3D3D3"/>
      </bottom>
    </border>
    <border>
      <left style="thin">
        <color rgb="FF808080"/>
      </left>
      <right style="thin">
        <color rgb="FF808080"/>
      </right>
      <top style="double">
        <color rgb="FF808080"/>
      </top>
      <bottom style="thin">
        <color rgb="FF808080"/>
      </bottom>
    </border>
    <border>
      <top style="double">
        <color rgb="FF808080"/>
      </top>
    </border>
    <border>
      <left style="medium">
        <color rgb="FF808080"/>
      </left>
      <right style="thin">
        <color rgb="FF808080"/>
      </right>
      <top style="medium">
        <color rgb="FF808080"/>
      </top>
      <bottom style="thin">
        <color rgb="FF808080"/>
      </bottom>
    </border>
    <border>
      <left style="thin">
        <color rgb="FF808080"/>
      </left>
      <right style="medium">
        <color rgb="FF808080"/>
      </right>
      <top style="medium">
        <color rgb="FF808080"/>
      </top>
      <bottom style="thin">
        <color rgb="FF808080"/>
      </bottom>
    </border>
    <border>
      <left style="thin">
        <color rgb="FFD3D3D3"/>
      </left>
      <right style="thin">
        <color rgb="FFD3D3D3"/>
      </right>
      <top style="double">
        <color rgb="FFD3D3D3"/>
      </top>
      <bottom style="double">
        <color rgb="FFD3D3D3"/>
      </bottom>
    </border>
    <border>
      <left style="thin">
        <color rgb="FFD3D3D3"/>
      </left>
      <right style="thin">
        <color rgb="FFD3D3D3"/>
      </right>
      <top style="double">
        <color rgb="FFD3D3D3"/>
      </top>
      <bottom style="medium">
        <color rgb="FF808080"/>
      </bottom>
    </border>
    <border>
      <left style="thin">
        <color rgb="FFD3D3D3"/>
      </left>
      <right style="medium">
        <color rgb="FF808080"/>
      </right>
      <top style="double">
        <color rgb="FFD3D3D3"/>
      </top>
      <bottom style="medium">
        <color rgb="FF808080"/>
      </bottom>
    </border>
  </borders>
  <cellStyleXfs count="1">
    <xf numFmtId="0" fontId="0" fillId="0" borderId="0"/>
  </cellStyleXfs>
  <cellXfs count="352">
    <xf numFmtId="0" fontId="0" fillId="0" borderId="0" xfId="0"/>
    <xf numFmtId="0" fontId="1" fillId="2" borderId="1" xfId="0" applyFont="true" applyFill="true" applyBorder="true" applyAlignment="true">
      <alignment horizontal="left" vertical="center"/>
    </xf>
    <xf numFmtId="0" fontId="2" fillId="3" borderId="2" xfId="0" applyFont="true" applyFill="true" applyBorder="true" applyAlignment="true">
      <alignment horizontal="center" vertical="center"/>
    </xf>
    <xf numFmtId="0" fontId="3" fillId="0" borderId="0" xfId="0" applyFont="true" applyAlignment="true">
      <alignment/>
    </xf>
    <xf numFmtId="0" fontId="4" fillId="4" borderId="3" xfId="0" applyFont="true" applyFill="true" applyBorder="true" applyAlignment="true">
      <alignment horizontal="left" vertical="center" wrapText="true"/>
    </xf>
    <xf numFmtId="0" fontId="3" fillId="5" borderId="3" xfId="0" applyFont="true" applyFill="true" applyBorder="true" applyAlignment="true">
      <alignment horizontal="left" vertical="center"/>
    </xf>
    <xf numFmtId="0" fontId="3" fillId="5" borderId="3" xfId="0" applyFont="true" applyFill="true" applyBorder="true" applyAlignment="true">
      <alignment horizontal="center" vertical="center"/>
    </xf>
    <xf numFmtId="14" fontId="3" fillId="5" borderId="3" xfId="0" applyNumberFormat="true" applyFont="true" applyFill="true" applyBorder="true" applyAlignment="true">
      <alignment horizontal="left" vertical="center"/>
    </xf>
    <xf numFmtId="0" fontId="3" fillId="6" borderId="3" xfId="0" applyFont="true" applyFill="true" applyBorder="true" applyAlignment="true">
      <alignment horizontal="left" vertical="center"/>
    </xf>
    <xf numFmtId="0" fontId="4" fillId="4" borderId="4" xfId="0" applyFont="true" applyFill="true" applyBorder="true" applyAlignment="true">
      <alignment horizontal="left" vertical="center" wrapText="true"/>
    </xf>
    <xf numFmtId="0" fontId="3" fillId="5" borderId="4" xfId="0" applyFont="true" applyFill="true" applyBorder="true" applyAlignment="true">
      <alignment horizontal="left" vertical="center"/>
    </xf>
    <xf numFmtId="164" fontId="3" fillId="5" borderId="3" xfId="0" applyNumberFormat="true" applyFont="true" applyFill="true" applyBorder="true" applyAlignment="true">
      <alignment horizontal="left" vertical="center"/>
    </xf>
    <xf numFmtId="165" fontId="3" fillId="5" borderId="3" xfId="0" applyNumberFormat="true" applyFont="true" applyFill="true" applyBorder="true" applyAlignment="true">
      <alignment horizontal="left" vertical="center"/>
    </xf>
    <xf numFmtId="166" fontId="3" fillId="6" borderId="3" xfId="0" applyNumberFormat="true" applyFont="true" applyFill="true" applyBorder="true" applyAlignment="true">
      <alignment horizontal="left" vertical="center"/>
    </xf>
    <xf numFmtId="0" fontId="4" fillId="0" borderId="3" xfId="0" applyFont="true" applyBorder="true" applyAlignment="true">
      <alignment horizontal="left" vertical="center" wrapText="true"/>
    </xf>
    <xf numFmtId="0" fontId="3" fillId="0" borderId="3" xfId="0" applyFont="true" applyBorder="true" applyAlignment="true">
      <alignment horizontal="center" vertical="center"/>
    </xf>
    <xf numFmtId="0" fontId="3" fillId="0" borderId="3" xfId="0" applyFont="true" applyBorder="true" applyAlignment="true">
      <alignment horizontal="left" vertical="center"/>
    </xf>
    <xf numFmtId="0" fontId="5" fillId="7" borderId="5" xfId="0" applyFont="true" applyFill="true" applyBorder="true" applyAlignment="true">
      <alignment vertical="center"/>
    </xf>
    <xf numFmtId="0" fontId="6" fillId="7" borderId="6" xfId="0" applyFont="true" applyFill="true" applyBorder="true" applyAlignment="true">
      <alignment horizontal="left" vertical="center"/>
    </xf>
    <xf numFmtId="0" fontId="7" fillId="7" borderId="6" xfId="0" applyFont="true" applyFill="true" applyBorder="true" applyAlignment="true">
      <alignment horizontal="right" vertical="center"/>
    </xf>
    <xf numFmtId="164" fontId="8" fillId="0" borderId="7" xfId="0" applyNumberFormat="true" applyFont="true" applyBorder="true" applyAlignment="true">
      <alignment/>
    </xf>
    <xf numFmtId="0" fontId="9" fillId="7" borderId="8" xfId="0" applyFont="true" applyFill="true" applyBorder="true" applyAlignment="true">
      <alignment horizontal="center" vertical="center"/>
    </xf>
    <xf numFmtId="0" fontId="4" fillId="6" borderId="9" xfId="0" applyFont="true" applyFill="true" applyBorder="true" applyAlignment="true">
      <alignment horizontal="left" vertical="center"/>
    </xf>
    <xf numFmtId="0" fontId="10" fillId="0" borderId="0" xfId="0" applyFont="true" applyAlignment="true">
      <alignment/>
    </xf>
    <xf numFmtId="165" fontId="3" fillId="5" borderId="10" xfId="0" applyNumberFormat="true" applyFont="true" applyFill="true" applyBorder="true" applyAlignment="true">
      <alignment horizontal="right" vertical="center"/>
    </xf>
    <xf numFmtId="166" fontId="3" fillId="5" borderId="10" xfId="0" applyNumberFormat="true" applyFont="true" applyFill="true" applyBorder="true" applyAlignment="true">
      <alignment horizontal="right" vertical="center"/>
    </xf>
    <xf numFmtId="0" fontId="11" fillId="0" borderId="0" xfId="0" applyFont="true" applyAlignment="true">
      <alignment/>
    </xf>
    <xf numFmtId="165" fontId="12" fillId="0" borderId="0" xfId="0" applyNumberFormat="true" applyFont="true" applyAlignment="true">
      <alignment horizontal="right" vertical="center"/>
    </xf>
    <xf numFmtId="166" fontId="12" fillId="0" borderId="0" xfId="0" applyNumberFormat="true" applyFont="true" applyAlignment="true">
      <alignment horizontal="right" vertical="center"/>
    </xf>
    <xf numFmtId="165" fontId="3" fillId="0" borderId="0" xfId="0" applyNumberFormat="true" applyFont="true" applyAlignment="true">
      <alignment/>
    </xf>
    <xf numFmtId="166" fontId="3" fillId="0" borderId="0" xfId="0" applyNumberFormat="true" applyFont="true" applyAlignment="true">
      <alignment/>
    </xf>
    <xf numFmtId="0" fontId="4" fillId="6" borderId="11" xfId="0" applyFont="true" applyFill="true" applyBorder="true" applyAlignment="true">
      <alignment vertical="center"/>
    </xf>
    <xf numFmtId="0" fontId="3" fillId="5" borderId="10" xfId="0" applyFont="true" applyFill="true" applyBorder="true" applyAlignment="true">
      <alignment horizontal="left" vertical="center"/>
    </xf>
    <xf numFmtId="167" fontId="3" fillId="5" borderId="10" xfId="0" applyNumberFormat="true" applyFont="true" applyFill="true" applyBorder="true" applyAlignment="true">
      <alignment horizontal="center" vertical="center"/>
    </xf>
    <xf numFmtId="0" fontId="12" fillId="7" borderId="0" xfId="0" applyFont="true" applyFill="true" applyAlignment="true">
      <alignment horizontal="center" vertical="center"/>
    </xf>
    <xf numFmtId="0" fontId="12" fillId="7" borderId="12" xfId="0" applyFont="true" applyFill="true" applyBorder="true" applyAlignment="true">
      <alignment horizontal="center" vertical="center"/>
    </xf>
    <xf numFmtId="0" fontId="12" fillId="7" borderId="13" xfId="0" applyFont="true" applyFill="true" applyBorder="true" applyAlignment="true">
      <alignment horizontal="center" vertical="center"/>
    </xf>
    <xf numFmtId="0" fontId="12" fillId="7" borderId="14" xfId="0" applyFont="true" applyFill="true" applyBorder="true" applyAlignment="true">
      <alignment horizontal="center" vertical="center"/>
    </xf>
    <xf numFmtId="0" fontId="9" fillId="7" borderId="15" xfId="0" applyFont="true" applyFill="true" applyBorder="true" applyAlignment="true">
      <alignment horizontal="center" vertical="center"/>
    </xf>
    <xf numFmtId="0" fontId="9" fillId="7" borderId="16" xfId="0" applyFont="true" applyFill="true" applyBorder="true" applyAlignment="true">
      <alignment horizontal="center" vertical="center"/>
    </xf>
    <xf numFmtId="0" fontId="3" fillId="5" borderId="17" xfId="0" applyFont="true" applyFill="true" applyBorder="true" applyAlignment="true">
      <alignment horizontal="left" vertical="center"/>
    </xf>
    <xf numFmtId="165" fontId="3" fillId="5" borderId="18" xfId="0" applyNumberFormat="true" applyFont="true" applyFill="true" applyBorder="true" applyAlignment="true">
      <alignment horizontal="right" vertical="center"/>
    </xf>
    <xf numFmtId="166" fontId="3" fillId="5" borderId="19" xfId="0" applyNumberFormat="true" applyFont="true" applyFill="true" applyBorder="true" applyAlignment="true">
      <alignment horizontal="right" vertical="center"/>
    </xf>
    <xf numFmtId="0" fontId="5" fillId="7" borderId="20" xfId="0" applyFont="true" applyFill="true" applyBorder="true" applyAlignment="true">
      <alignment vertical="center"/>
    </xf>
    <xf numFmtId="0" fontId="5" fillId="7" borderId="21" xfId="0" applyFont="true" applyFill="true" applyBorder="true" applyAlignment="true">
      <alignment vertical="center"/>
    </xf>
    <xf numFmtId="0" fontId="0" fillId="0" borderId="22" xfId="0" applyBorder="true" applyAlignment="false">
      <alignment/>
    </xf>
    <xf numFmtId="0" fontId="0" fillId="0" borderId="23" xfId="0" applyBorder="true" applyAlignment="false">
      <alignment/>
    </xf>
    <xf numFmtId="0" fontId="6" fillId="7" borderId="24" xfId="0" applyFont="true" applyFill="true" applyBorder="true" applyAlignment="true">
      <alignment horizontal="left" vertical="center"/>
    </xf>
    <xf numFmtId="0" fontId="6" fillId="7" borderId="25" xfId="0" applyFont="true" applyFill="true" applyBorder="true" applyAlignment="true">
      <alignment horizontal="left" vertical="center"/>
    </xf>
    <xf numFmtId="0" fontId="4" fillId="6" borderId="26" xfId="0" applyFont="true" applyFill="true" applyBorder="true" applyAlignment="true">
      <alignment horizontal="left" vertical="center"/>
    </xf>
    <xf numFmtId="0" fontId="4" fillId="6" borderId="27" xfId="0" applyFont="true" applyFill="true" applyBorder="true" applyAlignment="true">
      <alignment horizontal="left" vertical="center"/>
    </xf>
    <xf numFmtId="0" fontId="10" fillId="0" borderId="22" xfId="0" applyFont="true" applyBorder="true" applyAlignment="true">
      <alignment/>
    </xf>
    <xf numFmtId="166" fontId="3" fillId="5" borderId="28" xfId="0" applyNumberFormat="true" applyFont="true" applyFill="true" applyBorder="true" applyAlignment="true">
      <alignment horizontal="right" vertical="center"/>
    </xf>
    <xf numFmtId="166" fontId="12" fillId="0" borderId="23" xfId="0" applyNumberFormat="true" applyFont="true" applyBorder="true" applyAlignment="true">
      <alignment horizontal="right" vertical="center"/>
    </xf>
    <xf numFmtId="0" fontId="4" fillId="6" borderId="29" xfId="0" applyFont="true" applyFill="true" applyBorder="true" applyAlignment="true">
      <alignment vertical="center"/>
    </xf>
    <xf numFmtId="0" fontId="4" fillId="6" borderId="30" xfId="0" applyFont="true" applyFill="true" applyBorder="true" applyAlignment="true">
      <alignment vertical="center"/>
    </xf>
    <xf numFmtId="0" fontId="3" fillId="5" borderId="31" xfId="0" applyFont="true" applyFill="true" applyBorder="true" applyAlignment="true">
      <alignment horizontal="left" vertical="center"/>
    </xf>
    <xf numFmtId="0" fontId="4" fillId="6" borderId="32" xfId="0" applyFont="true" applyFill="true" applyBorder="true" applyAlignment="true">
      <alignment vertical="center"/>
    </xf>
    <xf numFmtId="0" fontId="4" fillId="6" borderId="33" xfId="0" applyFont="true" applyFill="true" applyBorder="true" applyAlignment="true">
      <alignment vertical="center"/>
    </xf>
    <xf numFmtId="0" fontId="4" fillId="6" borderId="34" xfId="0" applyFont="true" applyFill="true" applyBorder="true" applyAlignment="true">
      <alignment vertical="center"/>
    </xf>
    <xf numFmtId="0" fontId="13" fillId="7" borderId="10" xfId="0" applyFont="true" applyFill="true" applyBorder="true" applyAlignment="true">
      <alignment horizontal="center" vertical="center"/>
    </xf>
    <xf numFmtId="166" fontId="9" fillId="0" borderId="10" xfId="0" applyNumberFormat="true" applyFont="true" applyBorder="true" applyAlignment="true">
      <alignment horizontal="center" vertical="center"/>
    </xf>
    <xf numFmtId="0" fontId="14" fillId="0" borderId="10" xfId="0" applyFont="true" applyBorder="true" applyAlignment="true">
      <alignment horizontal="center" vertical="center"/>
    </xf>
    <xf numFmtId="0" fontId="3" fillId="5" borderId="10" xfId="0" applyFont="true" applyFill="true" applyBorder="true" applyAlignment="true">
      <alignment horizontal="center" vertical="center"/>
    </xf>
    <xf numFmtId="0" fontId="15" fillId="8" borderId="10" xfId="0" applyFont="true" applyFill="true" applyBorder="true" applyAlignment="true">
      <alignment horizontal="center" vertical="center"/>
    </xf>
    <xf numFmtId="0" fontId="13" fillId="7" borderId="35" xfId="0" applyFont="true" applyFill="true" applyBorder="true" applyAlignment="true">
      <alignment horizontal="center" vertical="center"/>
    </xf>
    <xf numFmtId="166" fontId="9" fillId="0" borderId="36" xfId="0" applyNumberFormat="true" applyFont="true" applyBorder="true" applyAlignment="true">
      <alignment horizontal="center" vertical="center"/>
    </xf>
    <xf numFmtId="0" fontId="14" fillId="0" borderId="36" xfId="0" applyFont="true" applyBorder="true" applyAlignment="true">
      <alignment horizontal="center" vertical="center"/>
    </xf>
    <xf numFmtId="0" fontId="3" fillId="5" borderId="36" xfId="0" applyFont="true" applyFill="true" applyBorder="true" applyAlignment="true">
      <alignment horizontal="center" vertical="center"/>
    </xf>
    <xf numFmtId="0" fontId="15" fillId="8" borderId="37" xfId="0" applyFont="true" applyFill="true" applyBorder="true" applyAlignment="true">
      <alignment horizontal="center" vertical="center"/>
    </xf>
    <xf numFmtId="0" fontId="13" fillId="7" borderId="11" xfId="0" applyFont="true" applyFill="true" applyBorder="true" applyAlignment="true">
      <alignment horizontal="center" vertical="center"/>
    </xf>
    <xf numFmtId="0" fontId="3" fillId="8" borderId="10" xfId="0" applyFont="true" applyFill="true" applyBorder="true" applyAlignment="true">
      <alignment horizontal="left" vertical="top" wrapText="true"/>
    </xf>
    <xf numFmtId="0" fontId="16" fillId="0" borderId="10" xfId="0" applyFont="true" applyBorder="true" applyAlignment="true">
      <alignment horizontal="left" vertical="center"/>
    </xf>
    <xf numFmtId="0" fontId="13" fillId="7" borderId="38" xfId="0" applyFont="true" applyFill="true" applyBorder="true" applyAlignment="true">
      <alignment horizontal="center" vertical="center"/>
    </xf>
    <xf numFmtId="0" fontId="13" fillId="7" borderId="39" xfId="0" applyFont="true" applyFill="true" applyBorder="true" applyAlignment="true">
      <alignment horizontal="center" vertical="center"/>
    </xf>
    <xf numFmtId="0" fontId="13" fillId="7" borderId="40" xfId="0" applyFont="true" applyFill="true" applyBorder="true" applyAlignment="true">
      <alignment horizontal="center" vertical="center"/>
    </xf>
    <xf numFmtId="0" fontId="16" fillId="0" borderId="31" xfId="0" applyFont="true" applyBorder="true" applyAlignment="true">
      <alignment horizontal="left" vertical="center"/>
    </xf>
    <xf numFmtId="0" fontId="15" fillId="8" borderId="28" xfId="0" applyFont="true" applyFill="true" applyBorder="true" applyAlignment="true">
      <alignment horizontal="center" vertical="center"/>
    </xf>
    <xf numFmtId="0" fontId="16" fillId="0" borderId="17" xfId="0" applyFont="true" applyBorder="true" applyAlignment="true">
      <alignment horizontal="left" vertical="center"/>
    </xf>
    <xf numFmtId="0" fontId="16" fillId="0" borderId="18" xfId="0" applyFont="true" applyBorder="true" applyAlignment="true">
      <alignment horizontal="left" vertical="center"/>
    </xf>
    <xf numFmtId="0" fontId="15" fillId="8" borderId="19" xfId="0" applyFont="true" applyFill="true" applyBorder="true" applyAlignment="true">
      <alignment horizontal="center" vertical="center"/>
    </xf>
    <xf numFmtId="0" fontId="5" fillId="7" borderId="0" xfId="0" applyFont="true" applyFill="true" applyAlignment="true">
      <alignment horizontal="center" vertical="center"/>
    </xf>
    <xf numFmtId="0" fontId="3" fillId="5" borderId="10" xfId="0" applyFont="true" applyFill="true" applyBorder="true" applyAlignment="true">
      <alignment vertical="center"/>
    </xf>
    <xf numFmtId="165" fontId="3" fillId="5" borderId="10" xfId="0" applyNumberFormat="true" applyFont="true" applyFill="true" applyBorder="true" applyAlignment="true">
      <alignment vertical="center"/>
    </xf>
    <xf numFmtId="14" fontId="3" fillId="5" borderId="10" xfId="0" applyNumberFormat="true" applyFont="true" applyFill="true" applyBorder="true" applyAlignment="true">
      <alignment horizontal="center" vertical="center"/>
    </xf>
    <xf numFmtId="0" fontId="9" fillId="7" borderId="10" xfId="0" applyFont="true" applyFill="true" applyBorder="true" applyAlignment="true">
      <alignment horizontal="center" vertical="center"/>
    </xf>
    <xf numFmtId="0" fontId="9" fillId="7" borderId="10" xfId="0" applyFont="true" applyFill="true" applyBorder="true" applyAlignment="true">
      <alignment vertical="center"/>
    </xf>
    <xf numFmtId="165" fontId="9" fillId="7" borderId="10" xfId="0" applyNumberFormat="true" applyFont="true" applyFill="true" applyBorder="true" applyAlignment="true">
      <alignment vertical="center"/>
    </xf>
    <xf numFmtId="0" fontId="9" fillId="7" borderId="41" xfId="0" applyFont="true" applyFill="true" applyBorder="true" applyAlignment="true">
      <alignment horizontal="center" vertical="center"/>
    </xf>
    <xf numFmtId="0" fontId="9" fillId="7" borderId="42" xfId="0" applyFont="true" applyFill="true" applyBorder="true" applyAlignment="true">
      <alignment horizontal="center" vertical="center"/>
    </xf>
    <xf numFmtId="0" fontId="9" fillId="7" borderId="43" xfId="0" applyFont="true" applyFill="true" applyBorder="true" applyAlignment="true">
      <alignment horizontal="center" vertical="center"/>
    </xf>
    <xf numFmtId="0" fontId="3" fillId="5" borderId="38" xfId="0" applyFont="true" applyFill="true" applyBorder="true" applyAlignment="true">
      <alignment vertical="center"/>
    </xf>
    <xf numFmtId="0" fontId="3" fillId="5" borderId="39" xfId="0" applyFont="true" applyFill="true" applyBorder="true" applyAlignment="true">
      <alignment vertical="center"/>
    </xf>
    <xf numFmtId="165" fontId="3" fillId="5" borderId="39" xfId="0" applyNumberFormat="true" applyFont="true" applyFill="true" applyBorder="true" applyAlignment="true">
      <alignment vertical="center"/>
    </xf>
    <xf numFmtId="14" fontId="3" fillId="5" borderId="40" xfId="0" applyNumberFormat="true" applyFont="true" applyFill="true" applyBorder="true" applyAlignment="true">
      <alignment horizontal="center" vertical="center"/>
    </xf>
    <xf numFmtId="0" fontId="3" fillId="5" borderId="31" xfId="0" applyFont="true" applyFill="true" applyBorder="true" applyAlignment="true">
      <alignment vertical="center"/>
    </xf>
    <xf numFmtId="14" fontId="3" fillId="5" borderId="28" xfId="0" applyNumberFormat="true" applyFont="true" applyFill="true" applyBorder="true" applyAlignment="true">
      <alignment horizontal="center" vertical="center"/>
    </xf>
    <xf numFmtId="0" fontId="3" fillId="5" borderId="17" xfId="0" applyFont="true" applyFill="true" applyBorder="true" applyAlignment="true">
      <alignment vertical="center"/>
    </xf>
    <xf numFmtId="0" fontId="3" fillId="5" borderId="18" xfId="0" applyFont="true" applyFill="true" applyBorder="true" applyAlignment="true">
      <alignment vertical="center"/>
    </xf>
    <xf numFmtId="165" fontId="3" fillId="5" borderId="18" xfId="0" applyNumberFormat="true" applyFont="true" applyFill="true" applyBorder="true" applyAlignment="true">
      <alignment vertical="center"/>
    </xf>
    <xf numFmtId="14" fontId="3" fillId="5" borderId="19" xfId="0" applyNumberFormat="true" applyFont="true" applyFill="true" applyBorder="true" applyAlignment="true">
      <alignment horizontal="center" vertical="center"/>
    </xf>
    <xf numFmtId="0" fontId="9" fillId="7" borderId="41" xfId="0" applyFont="true" applyFill="true" applyBorder="true" applyAlignment="true">
      <alignment vertical="center"/>
    </xf>
    <xf numFmtId="0" fontId="9" fillId="7" borderId="42" xfId="0" applyFont="true" applyFill="true" applyBorder="true" applyAlignment="true">
      <alignment vertical="center"/>
    </xf>
    <xf numFmtId="165" fontId="9" fillId="7" borderId="42" xfId="0" applyNumberFormat="true" applyFont="true" applyFill="true" applyBorder="true" applyAlignment="true">
      <alignment vertical="center"/>
    </xf>
    <xf numFmtId="0" fontId="9" fillId="7" borderId="43" xfId="0" applyFont="true" applyFill="true" applyBorder="true" applyAlignment="true">
      <alignment vertical="center"/>
    </xf>
    <xf numFmtId="0" fontId="12" fillId="0" borderId="0" xfId="0" applyFont="true" applyAlignment="true">
      <alignment horizontal="left" vertical="center"/>
    </xf>
    <xf numFmtId="0" fontId="3" fillId="6" borderId="0" xfId="0" applyFont="true" applyFill="true" applyAlignment="true">
      <alignment horizontal="left" vertical="center"/>
    </xf>
    <xf numFmtId="0" fontId="3" fillId="6" borderId="44" xfId="0" applyFont="true" applyFill="true" applyBorder="true" applyAlignment="true">
      <alignment horizontal="center" vertical="center"/>
    </xf>
    <xf numFmtId="14" fontId="3" fillId="5" borderId="44" xfId="0" applyNumberFormat="true" applyFont="true" applyFill="true" applyBorder="true" applyAlignment="true">
      <alignment horizontal="center" vertical="center"/>
    </xf>
    <xf numFmtId="168" fontId="3" fillId="6" borderId="44" xfId="0" applyNumberFormat="true" applyFont="true" applyFill="true" applyBorder="true" applyAlignment="true">
      <alignment horizontal="center" vertical="center"/>
    </xf>
    <xf numFmtId="0" fontId="3" fillId="0" borderId="0" xfId="0" applyFont="true" applyAlignment="true">
      <alignment horizontal="left" vertical="center"/>
    </xf>
    <xf numFmtId="169" fontId="3" fillId="0" borderId="44" xfId="0" applyNumberFormat="true" applyFont="true" applyBorder="true" applyAlignment="true">
      <alignment horizontal="center" vertical="center"/>
    </xf>
    <xf numFmtId="0" fontId="12" fillId="7" borderId="6" xfId="0" applyFont="true" applyFill="true" applyBorder="true" applyAlignment="true">
      <alignment horizontal="left" vertical="center"/>
    </xf>
    <xf numFmtId="0" fontId="12" fillId="7" borderId="11" xfId="0" applyFont="true" applyFill="true" applyBorder="true" applyAlignment="true">
      <alignment horizontal="left" vertical="center"/>
    </xf>
    <xf numFmtId="0" fontId="12" fillId="7" borderId="11" xfId="0" applyFont="true" applyFill="true" applyBorder="true" applyAlignment="true">
      <alignment horizontal="center" vertical="center" wrapText="true"/>
    </xf>
    <xf numFmtId="0" fontId="3" fillId="9" borderId="10" xfId="0" applyFont="true" applyFill="true" applyBorder="true" applyAlignment="true">
      <alignment horizontal="left" vertical="center"/>
    </xf>
    <xf numFmtId="165" fontId="3" fillId="9" borderId="10" xfId="0" applyNumberFormat="true" applyFont="true" applyFill="true" applyBorder="true" applyAlignment="true">
      <alignment horizontal="right" vertical="center"/>
    </xf>
    <xf numFmtId="166" fontId="3" fillId="9" borderId="10" xfId="0" applyNumberFormat="true" applyFont="true" applyFill="true" applyBorder="true" applyAlignment="true">
      <alignment horizontal="right" vertical="center"/>
    </xf>
    <xf numFmtId="0" fontId="12" fillId="6" borderId="11" xfId="0" applyFont="true" applyFill="true" applyBorder="true" applyAlignment="true">
      <alignment horizontal="left" vertical="center"/>
    </xf>
    <xf numFmtId="165" fontId="12" fillId="6" borderId="11" xfId="0" applyNumberFormat="true" applyFont="true" applyFill="true" applyBorder="true" applyAlignment="true">
      <alignment horizontal="right" vertical="center"/>
    </xf>
    <xf numFmtId="166" fontId="12" fillId="6" borderId="11" xfId="0" applyNumberFormat="true" applyFont="true" applyFill="true" applyBorder="true" applyAlignment="true">
      <alignment horizontal="right" vertical="center"/>
    </xf>
    <xf numFmtId="0" fontId="12" fillId="7" borderId="11" xfId="0" applyFont="true" applyFill="true" applyBorder="true" applyAlignment="true">
      <alignment horizontal="center" vertical="center"/>
    </xf>
    <xf numFmtId="167" fontId="3" fillId="9" borderId="10" xfId="0" applyNumberFormat="true" applyFont="true" applyFill="true" applyBorder="true" applyAlignment="true">
      <alignment horizontal="center" vertical="center"/>
    </xf>
    <xf numFmtId="0" fontId="12" fillId="6" borderId="10" xfId="0" applyFont="true" applyFill="true" applyBorder="true" applyAlignment="true">
      <alignment horizontal="left"/>
    </xf>
    <xf numFmtId="165" fontId="12" fillId="6" borderId="10" xfId="0" applyNumberFormat="true" applyFont="true" applyFill="true" applyBorder="true" applyAlignment="true">
      <alignment horizontal="right"/>
    </xf>
    <xf numFmtId="166" fontId="12" fillId="6" borderId="10" xfId="0" applyNumberFormat="true" applyFont="true" applyFill="true" applyBorder="true" applyAlignment="true">
      <alignment horizontal="right"/>
    </xf>
    <xf numFmtId="165" fontId="12" fillId="0" borderId="45" xfId="0" applyNumberFormat="true" applyFont="true" applyBorder="true" applyAlignment="true">
      <alignment/>
    </xf>
    <xf numFmtId="166" fontId="12" fillId="0" borderId="45" xfId="0" applyNumberFormat="true" applyFont="true" applyBorder="true" applyAlignment="true">
      <alignment/>
    </xf>
    <xf numFmtId="0" fontId="3" fillId="0" borderId="44" xfId="0" applyFont="true" applyBorder="true" applyAlignment="true">
      <alignment horizontal="left" vertical="center"/>
    </xf>
    <xf numFmtId="165" fontId="3" fillId="5" borderId="44" xfId="0" applyNumberFormat="true" applyFont="true" applyFill="true" applyBorder="true" applyAlignment="true">
      <alignment horizontal="right" vertical="center"/>
    </xf>
    <xf numFmtId="166" fontId="3" fillId="9" borderId="44" xfId="0" applyNumberFormat="true" applyFont="true" applyFill="true" applyBorder="true" applyAlignment="true">
      <alignment horizontal="right" vertical="center"/>
    </xf>
    <xf numFmtId="0" fontId="17" fillId="0" borderId="0" xfId="0" applyFont="true" applyAlignment="true">
      <alignment horizontal="left" vertical="center"/>
    </xf>
    <xf numFmtId="165" fontId="17" fillId="0" borderId="0" xfId="0" applyNumberFormat="true" applyFont="true" applyAlignment="true">
      <alignment horizontal="right" vertical="center"/>
    </xf>
    <xf numFmtId="166" fontId="17" fillId="0" borderId="0" xfId="0" applyNumberFormat="true" applyFont="true" applyAlignment="true">
      <alignment horizontal="right" vertical="center"/>
    </xf>
    <xf numFmtId="0" fontId="12" fillId="0" borderId="12" xfId="0" applyFont="true" applyBorder="true" applyAlignment="true">
      <alignment horizontal="left" vertical="center"/>
    </xf>
    <xf numFmtId="0" fontId="3" fillId="6" borderId="46" xfId="0" applyFont="true" applyFill="true" applyBorder="true" applyAlignment="true">
      <alignment horizontal="center" vertical="center"/>
    </xf>
    <xf numFmtId="0" fontId="0" fillId="0" borderId="13" xfId="0" applyBorder="true" applyAlignment="false">
      <alignment/>
    </xf>
    <xf numFmtId="0" fontId="0" fillId="0" borderId="14" xfId="0" applyBorder="true" applyAlignment="false">
      <alignment/>
    </xf>
    <xf numFmtId="0" fontId="12" fillId="0" borderId="22" xfId="0" applyFont="true" applyBorder="true" applyAlignment="true">
      <alignment horizontal="left" vertical="center"/>
    </xf>
    <xf numFmtId="0" fontId="12" fillId="7" borderId="24" xfId="0" applyFont="true" applyFill="true" applyBorder="true" applyAlignment="true">
      <alignment horizontal="left" vertical="center"/>
    </xf>
    <xf numFmtId="0" fontId="12" fillId="7" borderId="25" xfId="0" applyFont="true" applyFill="true" applyBorder="true" applyAlignment="true">
      <alignment horizontal="left" vertical="center"/>
    </xf>
    <xf numFmtId="0" fontId="12" fillId="7" borderId="29" xfId="0" applyFont="true" applyFill="true" applyBorder="true" applyAlignment="true">
      <alignment horizontal="left" vertical="center"/>
    </xf>
    <xf numFmtId="0" fontId="12" fillId="7" borderId="30" xfId="0" applyFont="true" applyFill="true" applyBorder="true" applyAlignment="true">
      <alignment horizontal="center" vertical="center" wrapText="true"/>
    </xf>
    <xf numFmtId="0" fontId="3" fillId="9" borderId="31" xfId="0" applyFont="true" applyFill="true" applyBorder="true" applyAlignment="true">
      <alignment horizontal="left" vertical="center"/>
    </xf>
    <xf numFmtId="166" fontId="3" fillId="9" borderId="28" xfId="0" applyNumberFormat="true" applyFont="true" applyFill="true" applyBorder="true" applyAlignment="true">
      <alignment horizontal="right" vertical="center"/>
    </xf>
    <xf numFmtId="0" fontId="12" fillId="6" borderId="29" xfId="0" applyFont="true" applyFill="true" applyBorder="true" applyAlignment="true">
      <alignment horizontal="left" vertical="center"/>
    </xf>
    <xf numFmtId="166" fontId="12" fillId="6" borderId="30" xfId="0" applyNumberFormat="true" applyFont="true" applyFill="true" applyBorder="true" applyAlignment="true">
      <alignment horizontal="right" vertical="center"/>
    </xf>
    <xf numFmtId="0" fontId="12" fillId="7" borderId="29" xfId="0" applyFont="true" applyFill="true" applyBorder="true" applyAlignment="true">
      <alignment horizontal="center" vertical="center"/>
    </xf>
    <xf numFmtId="0" fontId="12" fillId="7" borderId="30" xfId="0" applyFont="true" applyFill="true" applyBorder="true" applyAlignment="true">
      <alignment horizontal="center" vertical="center"/>
    </xf>
    <xf numFmtId="167" fontId="3" fillId="9" borderId="31" xfId="0" applyNumberFormat="true" applyFont="true" applyFill="true" applyBorder="true" applyAlignment="true">
      <alignment horizontal="center" vertical="center"/>
    </xf>
    <xf numFmtId="0" fontId="12" fillId="6" borderId="31" xfId="0" applyFont="true" applyFill="true" applyBorder="true" applyAlignment="true">
      <alignment horizontal="left"/>
    </xf>
    <xf numFmtId="166" fontId="12" fillId="6" borderId="28" xfId="0" applyNumberFormat="true" applyFont="true" applyFill="true" applyBorder="true" applyAlignment="true">
      <alignment horizontal="right"/>
    </xf>
    <xf numFmtId="166" fontId="12" fillId="0" borderId="47" xfId="0" applyNumberFormat="true" applyFont="true" applyBorder="true" applyAlignment="true">
      <alignment/>
    </xf>
    <xf numFmtId="0" fontId="3" fillId="0" borderId="22" xfId="0" applyFont="true" applyBorder="true" applyAlignment="true">
      <alignment horizontal="left" vertical="center"/>
    </xf>
    <xf numFmtId="0" fontId="3" fillId="0" borderId="48" xfId="0" applyFont="true" applyBorder="true" applyAlignment="true">
      <alignment horizontal="left" vertical="center"/>
    </xf>
    <xf numFmtId="0" fontId="17" fillId="0" borderId="15" xfId="0" applyFont="true" applyBorder="true" applyAlignment="true">
      <alignment horizontal="left" vertical="center"/>
    </xf>
    <xf numFmtId="165" fontId="17" fillId="0" borderId="8" xfId="0" applyNumberFormat="true" applyFont="true" applyBorder="true" applyAlignment="true">
      <alignment horizontal="right" vertical="center"/>
    </xf>
    <xf numFmtId="166" fontId="17" fillId="0" borderId="8" xfId="0" applyNumberFormat="true" applyFont="true" applyBorder="true" applyAlignment="true">
      <alignment horizontal="right" vertical="center"/>
    </xf>
    <xf numFmtId="0" fontId="0" fillId="0" borderId="8" xfId="0" applyBorder="true" applyAlignment="false">
      <alignment/>
    </xf>
    <xf numFmtId="0" fontId="0" fillId="0" borderId="16" xfId="0" applyBorder="true" applyAlignment="false">
      <alignment/>
    </xf>
    <xf numFmtId="0" fontId="8" fillId="9" borderId="10" xfId="0" applyFont="true" applyFill="true" applyBorder="true" applyAlignment="true">
      <alignment horizontal="left"/>
    </xf>
    <xf numFmtId="0" fontId="8" fillId="9" borderId="10" xfId="0" applyFont="true" applyFill="true" applyBorder="true" applyAlignment="true">
      <alignment horizontal="center"/>
    </xf>
    <xf numFmtId="165" fontId="8" fillId="9" borderId="10" xfId="0" applyNumberFormat="true" applyFont="true" applyFill="true" applyBorder="true" applyAlignment="true">
      <alignment horizontal="right"/>
    </xf>
    <xf numFmtId="166" fontId="8" fillId="9" borderId="10" xfId="0" applyNumberFormat="true" applyFont="true" applyFill="true" applyBorder="true" applyAlignment="true">
      <alignment horizontal="right"/>
    </xf>
    <xf numFmtId="169" fontId="8" fillId="9" borderId="10" xfId="0" applyNumberFormat="true" applyFont="true" applyFill="true" applyBorder="true" applyAlignment="true">
      <alignment horizontal="right"/>
    </xf>
    <xf numFmtId="0" fontId="3" fillId="5" borderId="10" xfId="0" applyFont="true" applyFill="true" applyBorder="true" applyAlignment="true">
      <alignment horizontal="left"/>
    </xf>
    <xf numFmtId="0" fontId="3" fillId="5" borderId="10" xfId="0" applyFont="true" applyFill="true" applyBorder="true" applyAlignment="true">
      <alignment horizontal="center"/>
    </xf>
    <xf numFmtId="165" fontId="3" fillId="5" borderId="10" xfId="0" applyNumberFormat="true" applyFont="true" applyFill="true" applyBorder="true" applyAlignment="true">
      <alignment horizontal="right"/>
    </xf>
    <xf numFmtId="166" fontId="3" fillId="5" borderId="10" xfId="0" applyNumberFormat="true" applyFont="true" applyFill="true" applyBorder="true" applyAlignment="true">
      <alignment horizontal="right"/>
    </xf>
    <xf numFmtId="169" fontId="3" fillId="9" borderId="10" xfId="0" applyNumberFormat="true" applyFont="true" applyFill="true" applyBorder="true" applyAlignment="true">
      <alignment horizontal="right"/>
    </xf>
    <xf numFmtId="0" fontId="12" fillId="9" borderId="10" xfId="0" applyFont="true" applyFill="true" applyBorder="true" applyAlignment="true">
      <alignment horizontal="left"/>
    </xf>
    <xf numFmtId="0" fontId="12" fillId="9" borderId="10" xfId="0" applyFont="true" applyFill="true" applyBorder="true" applyAlignment="true">
      <alignment horizontal="center"/>
    </xf>
    <xf numFmtId="165" fontId="12" fillId="9" borderId="10" xfId="0" applyNumberFormat="true" applyFont="true" applyFill="true" applyBorder="true" applyAlignment="true">
      <alignment horizontal="right"/>
    </xf>
    <xf numFmtId="166" fontId="12" fillId="9" borderId="10" xfId="0" applyNumberFormat="true" applyFont="true" applyFill="true" applyBorder="true" applyAlignment="true">
      <alignment horizontal="right"/>
    </xf>
    <xf numFmtId="169" fontId="12" fillId="9" borderId="10" xfId="0" applyNumberFormat="true" applyFont="true" applyFill="true" applyBorder="true" applyAlignment="true">
      <alignment horizontal="right"/>
    </xf>
    <xf numFmtId="166" fontId="3" fillId="9" borderId="10" xfId="0" applyNumberFormat="true" applyFont="true" applyFill="true" applyBorder="true" applyAlignment="true">
      <alignment horizontal="right"/>
    </xf>
    <xf numFmtId="0" fontId="18" fillId="0" borderId="0" xfId="0" applyFont="true" applyAlignment="true">
      <alignment horizontal="center" vertical="center"/>
    </xf>
    <xf numFmtId="0" fontId="3" fillId="8" borderId="44" xfId="0" applyFont="true" applyFill="true" applyBorder="true" applyAlignment="true">
      <alignment horizontal="center" vertical="center"/>
    </xf>
    <xf numFmtId="168" fontId="3" fillId="8" borderId="44" xfId="0" applyNumberFormat="true" applyFont="true" applyFill="true" applyBorder="true" applyAlignment="true">
      <alignment horizontal="center" vertical="center"/>
    </xf>
    <xf numFmtId="164" fontId="3" fillId="5" borderId="44" xfId="0" applyNumberFormat="true" applyFont="true" applyFill="true" applyBorder="true" applyAlignment="true">
      <alignment horizontal="center" vertical="center"/>
    </xf>
    <xf numFmtId="0" fontId="12" fillId="8" borderId="11" xfId="0" applyFont="true" applyFill="true" applyBorder="true" applyAlignment="true">
      <alignment horizontal="center" vertical="center"/>
    </xf>
    <xf numFmtId="0" fontId="3" fillId="0" borderId="10" xfId="0" applyFont="true" applyBorder="true" applyAlignment="true">
      <alignment horizontal="left" vertical="center"/>
    </xf>
    <xf numFmtId="166" fontId="3" fillId="0" borderId="10" xfId="0" applyNumberFormat="true" applyFont="true" applyBorder="true" applyAlignment="true">
      <alignment horizontal="right" vertical="center"/>
    </xf>
    <xf numFmtId="0" fontId="12" fillId="8" borderId="49" xfId="0" applyFont="true" applyFill="true" applyBorder="true" applyAlignment="true">
      <alignment horizontal="left" vertical="center"/>
    </xf>
    <xf numFmtId="165" fontId="12" fillId="8" borderId="49" xfId="0" applyNumberFormat="true" applyFont="true" applyFill="true" applyBorder="true" applyAlignment="true">
      <alignment horizontal="right" vertical="center"/>
    </xf>
    <xf numFmtId="166" fontId="12" fillId="8" borderId="49" xfId="0" applyNumberFormat="true" applyFont="true" applyFill="true" applyBorder="true" applyAlignment="true">
      <alignment horizontal="right" vertical="center"/>
    </xf>
    <xf numFmtId="165" fontId="8" fillId="0" borderId="0" xfId="0" applyNumberFormat="true" applyFont="true" applyAlignment="true">
      <alignment horizontal="right" vertical="center"/>
    </xf>
    <xf numFmtId="166" fontId="3" fillId="0" borderId="0" xfId="0" applyNumberFormat="true" applyFont="true" applyAlignment="true">
      <alignment horizontal="right" vertical="center"/>
    </xf>
    <xf numFmtId="165" fontId="8" fillId="0" borderId="10" xfId="0" applyNumberFormat="true" applyFont="true" applyBorder="true" applyAlignment="true">
      <alignment horizontal="right" vertical="center"/>
    </xf>
    <xf numFmtId="0" fontId="19" fillId="0" borderId="50" xfId="0" applyFont="true" applyBorder="true" applyAlignment="true">
      <alignment horizontal="left" vertical="center"/>
    </xf>
    <xf numFmtId="165" fontId="19" fillId="10" borderId="49" xfId="0" applyNumberFormat="true" applyFont="true" applyFill="true" applyBorder="true" applyAlignment="true">
      <alignment horizontal="right" vertical="center"/>
    </xf>
    <xf numFmtId="166" fontId="19" fillId="10" borderId="49" xfId="0" applyNumberFormat="true" applyFont="true" applyFill="true" applyBorder="true" applyAlignment="true">
      <alignment horizontal="right" vertical="center"/>
    </xf>
    <xf numFmtId="0" fontId="1" fillId="11" borderId="0" xfId="0" applyFont="true" applyFill="true" applyAlignment="true">
      <alignment horizontal="left" vertical="center"/>
    </xf>
    <xf numFmtId="0" fontId="20" fillId="11" borderId="0" xfId="0" applyFont="true" applyFill="true" applyAlignment="true">
      <alignment horizontal="left" vertical="center"/>
    </xf>
    <xf numFmtId="0" fontId="21" fillId="11" borderId="0" xfId="0" applyFont="true" applyFill="true" applyAlignment="true">
      <alignment horizontal="center" vertical="center"/>
    </xf>
    <xf numFmtId="0" fontId="14" fillId="0" borderId="0" xfId="0" applyFont="true" applyAlignment="true">
      <alignment horizontal="center" vertical="center"/>
    </xf>
    <xf numFmtId="0" fontId="22" fillId="11" borderId="11" xfId="0" applyFont="true" applyFill="true" applyBorder="true" applyAlignment="true">
      <alignment horizontal="center" vertical="center"/>
    </xf>
    <xf numFmtId="0" fontId="10" fillId="0" borderId="10" xfId="0" applyFont="true" applyBorder="true" applyAlignment="true">
      <alignment horizontal="left" vertical="center"/>
    </xf>
    <xf numFmtId="170" fontId="12" fillId="8" borderId="10" xfId="0" applyNumberFormat="true" applyFont="true" applyFill="true" applyBorder="true" applyAlignment="true">
      <alignment horizontal="center" vertical="center"/>
    </xf>
    <xf numFmtId="0" fontId="13" fillId="7" borderId="10" xfId="0" applyFont="true" applyFill="true" applyBorder="true" applyAlignment="true">
      <alignment horizontal="left" vertical="center"/>
    </xf>
    <xf numFmtId="0" fontId="7" fillId="0" borderId="10" xfId="0" applyFont="true" applyBorder="true" applyAlignment="true">
      <alignment horizontal="left" vertical="center"/>
    </xf>
    <xf numFmtId="165" fontId="3" fillId="0" borderId="10" xfId="0" applyNumberFormat="true" applyFont="true" applyBorder="true" applyAlignment="true">
      <alignment horizontal="right" vertical="center"/>
    </xf>
    <xf numFmtId="0" fontId="22" fillId="11" borderId="51" xfId="0" applyFont="true" applyFill="true" applyBorder="true" applyAlignment="true">
      <alignment horizontal="center" vertical="center"/>
    </xf>
    <xf numFmtId="0" fontId="22" fillId="11" borderId="7" xfId="0" applyFont="true" applyFill="true" applyBorder="true" applyAlignment="true">
      <alignment horizontal="center" vertical="center"/>
    </xf>
    <xf numFmtId="0" fontId="22" fillId="11" borderId="52" xfId="0" applyFont="true" applyFill="true" applyBorder="true" applyAlignment="true">
      <alignment horizontal="center" vertical="center"/>
    </xf>
    <xf numFmtId="0" fontId="10" fillId="0" borderId="31" xfId="0" applyFont="true" applyBorder="true" applyAlignment="true">
      <alignment horizontal="left" vertical="center"/>
    </xf>
    <xf numFmtId="0" fontId="3" fillId="5" borderId="28" xfId="0" applyFont="true" applyFill="true" applyBorder="true" applyAlignment="true">
      <alignment horizontal="center" vertical="center"/>
    </xf>
    <xf numFmtId="170" fontId="12" fillId="8" borderId="28" xfId="0" applyNumberFormat="true" applyFont="true" applyFill="true" applyBorder="true" applyAlignment="true">
      <alignment horizontal="center" vertical="center"/>
    </xf>
    <xf numFmtId="170" fontId="12" fillId="8" borderId="28" xfId="0" applyNumberFormat="true" applyFont="true" applyFill="true" applyBorder="true" applyAlignment="true">
      <alignment horizontal="center" vertical="center"/>
    </xf>
    <xf numFmtId="0" fontId="13" fillId="7" borderId="31" xfId="0" applyFont="true" applyFill="true" applyBorder="true" applyAlignment="true">
      <alignment horizontal="left" vertical="center"/>
    </xf>
    <xf numFmtId="0" fontId="13" fillId="7" borderId="28" xfId="0" applyFont="true" applyFill="true" applyBorder="true" applyAlignment="true">
      <alignment horizontal="left" vertical="center"/>
    </xf>
    <xf numFmtId="0" fontId="7" fillId="0" borderId="31" xfId="0" applyFont="true" applyBorder="true" applyAlignment="true">
      <alignment horizontal="left" vertical="center"/>
    </xf>
    <xf numFmtId="166" fontId="3" fillId="0" borderId="28" xfId="0" applyNumberFormat="true" applyFont="true" applyBorder="true" applyAlignment="true">
      <alignment horizontal="right" vertical="center"/>
    </xf>
    <xf numFmtId="0" fontId="7" fillId="0" borderId="17" xfId="0" applyFont="true" applyBorder="true" applyAlignment="true">
      <alignment horizontal="left" vertical="center"/>
    </xf>
    <xf numFmtId="0" fontId="7" fillId="0" borderId="18" xfId="0" applyFont="true" applyBorder="true" applyAlignment="true">
      <alignment horizontal="left" vertical="center"/>
    </xf>
    <xf numFmtId="165" fontId="3" fillId="0" borderId="18" xfId="0" applyNumberFormat="true" applyFont="true" applyBorder="true" applyAlignment="true">
      <alignment horizontal="right" vertical="center"/>
    </xf>
    <xf numFmtId="166" fontId="3" fillId="0" borderId="19" xfId="0" applyNumberFormat="true" applyFont="true" applyBorder="true" applyAlignment="true">
      <alignment horizontal="right" vertical="center"/>
    </xf>
    <xf numFmtId="166" fontId="3" fillId="8" borderId="10" xfId="0" applyNumberFormat="true" applyFont="true" applyFill="true" applyBorder="true" applyAlignment="true">
      <alignment horizontal="right" vertical="center"/>
    </xf>
    <xf numFmtId="0" fontId="4" fillId="0" borderId="10" xfId="0" applyFont="true" applyBorder="true" applyAlignment="true">
      <alignment horizontal="left" vertical="center"/>
    </xf>
    <xf numFmtId="166" fontId="12" fillId="8" borderId="10" xfId="0" applyNumberFormat="true" applyFont="true" applyFill="true" applyBorder="true" applyAlignment="true">
      <alignment horizontal="right" vertical="center"/>
    </xf>
    <xf numFmtId="0" fontId="23" fillId="11" borderId="11" xfId="0" applyFont="true" applyFill="true" applyBorder="true" applyAlignment="true">
      <alignment horizontal="center" vertical="center"/>
    </xf>
    <xf numFmtId="0" fontId="7" fillId="5" borderId="10" xfId="0" applyFont="true" applyFill="true" applyBorder="true" applyAlignment="true">
      <alignment horizontal="center" vertical="center"/>
    </xf>
    <xf numFmtId="166" fontId="3" fillId="12" borderId="10" xfId="0" applyNumberFormat="true" applyFont="true" applyFill="true" applyBorder="true" applyAlignment="true">
      <alignment horizontal="right" vertical="center"/>
    </xf>
    <xf numFmtId="0" fontId="10" fillId="0" borderId="38" xfId="0" applyFont="true" applyBorder="true" applyAlignment="true">
      <alignment horizontal="left" vertical="center"/>
    </xf>
    <xf numFmtId="0" fontId="10" fillId="0" borderId="39" xfId="0" applyFont="true" applyBorder="true" applyAlignment="true">
      <alignment horizontal="left" vertical="center"/>
    </xf>
    <xf numFmtId="166" fontId="3" fillId="8" borderId="40" xfId="0" applyNumberFormat="true" applyFont="true" applyFill="true" applyBorder="true" applyAlignment="true">
      <alignment horizontal="right" vertical="center"/>
    </xf>
    <xf numFmtId="166" fontId="3" fillId="8" borderId="28" xfId="0" applyNumberFormat="true" applyFont="true" applyFill="true" applyBorder="true" applyAlignment="true">
      <alignment horizontal="right" vertical="center"/>
    </xf>
    <xf numFmtId="0" fontId="4" fillId="0" borderId="17" xfId="0" applyFont="true" applyBorder="true" applyAlignment="true">
      <alignment horizontal="left" vertical="center"/>
    </xf>
    <xf numFmtId="0" fontId="4" fillId="0" borderId="18" xfId="0" applyFont="true" applyBorder="true" applyAlignment="true">
      <alignment horizontal="left" vertical="center"/>
    </xf>
    <xf numFmtId="166" fontId="12" fillId="8" borderId="19" xfId="0" applyNumberFormat="true" applyFont="true" applyFill="true" applyBorder="true" applyAlignment="true">
      <alignment horizontal="right" vertical="center"/>
    </xf>
    <xf numFmtId="0" fontId="23" fillId="11" borderId="51" xfId="0" applyFont="true" applyFill="true" applyBorder="true" applyAlignment="true">
      <alignment horizontal="center" vertical="center"/>
    </xf>
    <xf numFmtId="0" fontId="23" fillId="11" borderId="7" xfId="0" applyFont="true" applyFill="true" applyBorder="true" applyAlignment="true">
      <alignment horizontal="center" vertical="center"/>
    </xf>
    <xf numFmtId="0" fontId="23" fillId="11" borderId="52" xfId="0" applyFont="true" applyFill="true" applyBorder="true" applyAlignment="true">
      <alignment horizontal="center" vertical="center"/>
    </xf>
    <xf numFmtId="0" fontId="7" fillId="5" borderId="31" xfId="0" applyFont="true" applyFill="true" applyBorder="true" applyAlignment="true">
      <alignment horizontal="center" vertical="center"/>
    </xf>
    <xf numFmtId="166" fontId="3" fillId="12" borderId="28" xfId="0" applyNumberFormat="true" applyFont="true" applyFill="true" applyBorder="true" applyAlignment="true">
      <alignment horizontal="right" vertical="center"/>
    </xf>
    <xf numFmtId="166" fontId="12" fillId="8" borderId="28" xfId="0" applyNumberFormat="true" applyFont="true" applyFill="true" applyBorder="true" applyAlignment="true">
      <alignment horizontal="right" vertical="center"/>
    </xf>
    <xf numFmtId="0" fontId="0" fillId="0" borderId="15" xfId="0" applyBorder="true" applyAlignment="false">
      <alignment/>
    </xf>
    <xf numFmtId="166" fontId="3" fillId="12" borderId="40" xfId="0" applyNumberFormat="true" applyFont="true" applyFill="true" applyBorder="true" applyAlignment="true">
      <alignment horizontal="right" vertical="center"/>
    </xf>
    <xf numFmtId="0" fontId="14" fillId="7" borderId="10" xfId="0" applyFont="true" applyFill="true" applyBorder="true" applyAlignment="true">
      <alignment horizontal="center" vertical="center"/>
    </xf>
    <xf numFmtId="165" fontId="3" fillId="8" borderId="10" xfId="0" applyNumberFormat="true" applyFont="true" applyFill="true" applyBorder="true" applyAlignment="true">
      <alignment horizontal="right" vertical="center"/>
    </xf>
    <xf numFmtId="0" fontId="3" fillId="8" borderId="10" xfId="0" applyFont="true" applyFill="true" applyBorder="true" applyAlignment="true">
      <alignment/>
    </xf>
    <xf numFmtId="170" fontId="3" fillId="5" borderId="10" xfId="0" applyNumberFormat="true" applyFont="true" applyFill="true" applyBorder="true" applyAlignment="true">
      <alignment horizontal="center" vertical="center"/>
    </xf>
    <xf numFmtId="170" fontId="3" fillId="8" borderId="10" xfId="0" applyNumberFormat="true" applyFont="true" applyFill="true" applyBorder="true" applyAlignment="true">
      <alignment horizontal="center" vertical="center"/>
    </xf>
    <xf numFmtId="165" fontId="12" fillId="8" borderId="10" xfId="0" applyNumberFormat="true" applyFont="true" applyFill="true" applyBorder="true" applyAlignment="true">
      <alignment horizontal="right" vertical="center"/>
    </xf>
    <xf numFmtId="0" fontId="12" fillId="8" borderId="10" xfId="0" applyFont="true" applyFill="true" applyBorder="true" applyAlignment="true">
      <alignment horizontal="center" vertical="center"/>
    </xf>
    <xf numFmtId="171" fontId="3" fillId="8" borderId="10" xfId="0" applyNumberFormat="true" applyFont="true" applyFill="true" applyBorder="true" applyAlignment="true">
      <alignment horizontal="right" vertical="center"/>
    </xf>
    <xf numFmtId="0" fontId="14" fillId="7" borderId="38" xfId="0" applyFont="true" applyFill="true" applyBorder="true" applyAlignment="true">
      <alignment horizontal="center" vertical="center"/>
    </xf>
    <xf numFmtId="0" fontId="14" fillId="7" borderId="39" xfId="0" applyFont="true" applyFill="true" applyBorder="true" applyAlignment="true">
      <alignment horizontal="center" vertical="center"/>
    </xf>
    <xf numFmtId="0" fontId="14" fillId="7" borderId="40" xfId="0" applyFont="true" applyFill="true" applyBorder="true" applyAlignment="true">
      <alignment horizontal="center" vertical="center"/>
    </xf>
    <xf numFmtId="170" fontId="3" fillId="8" borderId="28" xfId="0" applyNumberFormat="true" applyFont="true" applyFill="true" applyBorder="true" applyAlignment="true">
      <alignment horizontal="center" vertical="center"/>
    </xf>
    <xf numFmtId="170" fontId="3" fillId="8" borderId="28" xfId="0" applyNumberFormat="true" applyFont="true" applyFill="true" applyBorder="true" applyAlignment="true">
      <alignment horizontal="center" vertical="center"/>
    </xf>
    <xf numFmtId="0" fontId="4" fillId="0" borderId="31" xfId="0" applyFont="true" applyBorder="true" applyAlignment="true">
      <alignment horizontal="left" vertical="center"/>
    </xf>
    <xf numFmtId="0" fontId="12" fillId="8" borderId="28" xfId="0" applyFont="true" applyFill="true" applyBorder="true" applyAlignment="true">
      <alignment horizontal="center" vertical="center"/>
    </xf>
    <xf numFmtId="0" fontId="10" fillId="0" borderId="17" xfId="0" applyFont="true" applyBorder="true" applyAlignment="true">
      <alignment horizontal="left" vertical="center"/>
    </xf>
    <xf numFmtId="171" fontId="3" fillId="8" borderId="18" xfId="0" applyNumberFormat="true" applyFont="true" applyFill="true" applyBorder="true" applyAlignment="true">
      <alignment horizontal="right" vertical="center"/>
    </xf>
    <xf numFmtId="0" fontId="3" fillId="8" borderId="18" xfId="0" applyFont="true" applyFill="true" applyBorder="true" applyAlignment="true">
      <alignment/>
    </xf>
    <xf numFmtId="171" fontId="3" fillId="8" borderId="19" xfId="0" applyNumberFormat="true" applyFont="true" applyFill="true" applyBorder="true" applyAlignment="true">
      <alignment horizontal="right" vertical="center"/>
    </xf>
    <xf numFmtId="0" fontId="24" fillId="11" borderId="11" xfId="0" applyFont="true" applyFill="true" applyBorder="true" applyAlignment="true">
      <alignment horizontal="center" vertical="center" wrapText="true"/>
    </xf>
    <xf numFmtId="171" fontId="3" fillId="0" borderId="10" xfId="0" applyNumberFormat="true" applyFont="true" applyBorder="true" applyAlignment="true">
      <alignment horizontal="right" vertical="center"/>
    </xf>
    <xf numFmtId="0" fontId="25" fillId="11" borderId="11" xfId="0" applyFont="true" applyFill="true" applyBorder="true" applyAlignment="true">
      <alignment horizontal="left" vertical="center"/>
    </xf>
    <xf numFmtId="165" fontId="25" fillId="11" borderId="11" xfId="0" applyNumberFormat="true" applyFont="true" applyFill="true" applyBorder="true" applyAlignment="true">
      <alignment horizontal="right" vertical="center"/>
    </xf>
    <xf numFmtId="171" fontId="25" fillId="11" borderId="11" xfId="0" applyNumberFormat="true" applyFont="true" applyFill="true" applyBorder="true" applyAlignment="true">
      <alignment horizontal="right" vertical="center"/>
    </xf>
    <xf numFmtId="166" fontId="25" fillId="11" borderId="11" xfId="0" applyNumberFormat="true" applyFont="true" applyFill="true" applyBorder="true" applyAlignment="true">
      <alignment horizontal="right" vertical="center"/>
    </xf>
    <xf numFmtId="0" fontId="24" fillId="11" borderId="51" xfId="0" applyFont="true" applyFill="true" applyBorder="true" applyAlignment="true">
      <alignment horizontal="center" vertical="center" wrapText="true"/>
    </xf>
    <xf numFmtId="0" fontId="24" fillId="11" borderId="7" xfId="0" applyFont="true" applyFill="true" applyBorder="true" applyAlignment="true">
      <alignment horizontal="center" vertical="center" wrapText="true"/>
    </xf>
    <xf numFmtId="0" fontId="24" fillId="11" borderId="52" xfId="0" applyFont="true" applyFill="true" applyBorder="true" applyAlignment="true">
      <alignment horizontal="center" vertical="center" wrapText="true"/>
    </xf>
    <xf numFmtId="0" fontId="3" fillId="0" borderId="31" xfId="0" applyFont="true" applyBorder="true" applyAlignment="true">
      <alignment horizontal="lef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0" fontId="25" fillId="11" borderId="32" xfId="0" applyFont="true" applyFill="true" applyBorder="true" applyAlignment="true">
      <alignment horizontal="left" vertical="center"/>
    </xf>
    <xf numFmtId="165" fontId="25" fillId="11" borderId="33" xfId="0" applyNumberFormat="true" applyFont="true" applyFill="true" applyBorder="true" applyAlignment="true">
      <alignment horizontal="right" vertical="center"/>
    </xf>
    <xf numFmtId="171" fontId="25" fillId="11" borderId="33" xfId="0" applyNumberFormat="true" applyFont="true" applyFill="true" applyBorder="true" applyAlignment="true">
      <alignment horizontal="right" vertical="center"/>
    </xf>
    <xf numFmtId="166" fontId="25" fillId="11" borderId="33" xfId="0" applyNumberFormat="true" applyFont="true" applyFill="true" applyBorder="true" applyAlignment="true">
      <alignment horizontal="right" vertical="center"/>
    </xf>
    <xf numFmtId="171" fontId="25" fillId="11" borderId="34" xfId="0" applyNumberFormat="true" applyFont="true" applyFill="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25" fillId="11" borderId="33" xfId="0" applyNumberFormat="true" applyFont="true" applyFill="true" applyBorder="true" applyAlignment="true">
      <alignment horizontal="right" vertical="center"/>
    </xf>
    <xf numFmtId="171" fontId="25" fillId="11" borderId="34" xfId="0" applyNumberFormat="true" applyFont="true" applyFill="true" applyBorder="true" applyAlignment="true">
      <alignment horizontal="right" vertical="center"/>
    </xf>
    <xf numFmtId="0" fontId="10" fillId="0" borderId="18" xfId="0" applyFont="true" applyBorder="true" applyAlignment="true">
      <alignment horizontal="left" vertical="center"/>
    </xf>
    <xf numFmtId="170" fontId="12" fillId="8" borderId="18" xfId="0" applyNumberFormat="true" applyFont="true" applyFill="true" applyBorder="true" applyAlignment="true">
      <alignment horizontal="center" vertical="center"/>
    </xf>
    <xf numFmtId="170" fontId="12" fillId="8" borderId="18" xfId="0" applyNumberFormat="true" applyFont="true" applyFill="true" applyBorder="true" applyAlignment="true">
      <alignment horizontal="center" vertical="center"/>
    </xf>
    <xf numFmtId="170" fontId="12" fillId="8" borderId="19" xfId="0" applyNumberFormat="true" applyFont="true" applyFill="true" applyBorder="true" applyAlignment="true">
      <alignment horizontal="center"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25" fillId="11" borderId="33" xfId="0" applyNumberFormat="true" applyFont="true" applyFill="true" applyBorder="true" applyAlignment="true">
      <alignment horizontal="right" vertical="center"/>
    </xf>
    <xf numFmtId="171" fontId="25" fillId="11" borderId="34" xfId="0" applyNumberFormat="true" applyFont="true" applyFill="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25" fillId="11" borderId="33" xfId="0" applyNumberFormat="true" applyFont="true" applyFill="true" applyBorder="true" applyAlignment="true">
      <alignment horizontal="right" vertical="center"/>
    </xf>
    <xf numFmtId="171" fontId="25" fillId="11" borderId="34" xfId="0" applyNumberFormat="true" applyFont="true" applyFill="true" applyBorder="true" applyAlignment="true">
      <alignment horizontal="right" vertical="center"/>
    </xf>
    <xf numFmtId="0" fontId="12" fillId="0" borderId="10" xfId="0" applyFont="true" applyBorder="true" applyAlignment="true">
      <alignment horizontal="left" vertical="center"/>
    </xf>
    <xf numFmtId="0" fontId="3" fillId="8" borderId="10" xfId="0" applyFont="true" applyFill="true" applyBorder="true" applyAlignment="true">
      <alignment horizontal="center" vertical="center"/>
    </xf>
    <xf numFmtId="172" fontId="3" fillId="8" borderId="10" xfId="0" applyNumberFormat="true" applyFont="true" applyFill="true" applyBorder="true" applyAlignment="true">
      <alignment horizontal="center" vertical="center"/>
    </xf>
    <xf numFmtId="168" fontId="3" fillId="8" borderId="10" xfId="0" applyNumberFormat="true" applyFont="true" applyFill="true" applyBorder="true" applyAlignment="true">
      <alignment horizontal="center" vertical="center"/>
    </xf>
    <xf numFmtId="164" fontId="3" fillId="8" borderId="10" xfId="0" applyNumberFormat="true" applyFont="true" applyFill="true" applyBorder="true" applyAlignment="true">
      <alignment horizontal="center" vertical="center"/>
    </xf>
    <xf numFmtId="0" fontId="12" fillId="8" borderId="10" xfId="0" applyFont="true" applyFill="true" applyBorder="true" applyAlignment="true">
      <alignment horizontal="left" vertical="center"/>
    </xf>
    <xf numFmtId="0" fontId="12" fillId="10" borderId="10" xfId="0" applyFont="true" applyFill="true" applyBorder="true" applyAlignment="true">
      <alignment horizontal="left" vertical="center"/>
    </xf>
    <xf numFmtId="165" fontId="12" fillId="10" borderId="10" xfId="0" applyNumberFormat="true" applyFont="true" applyFill="true" applyBorder="true" applyAlignment="true">
      <alignment horizontal="right" vertical="center"/>
    </xf>
    <xf numFmtId="166" fontId="12" fillId="10" borderId="10" xfId="0" applyNumberFormat="true" applyFont="true" applyFill="true" applyBorder="true" applyAlignment="true">
      <alignment horizontal="right" vertical="center"/>
    </xf>
    <xf numFmtId="0" fontId="12" fillId="0" borderId="31" xfId="0" applyFont="true" applyBorder="true" applyAlignment="true">
      <alignment horizontal="left" vertical="center"/>
    </xf>
    <xf numFmtId="0" fontId="3" fillId="8" borderId="28" xfId="0" applyFont="true" applyFill="true" applyBorder="true" applyAlignment="true">
      <alignment horizontal="center" vertical="center"/>
    </xf>
    <xf numFmtId="172" fontId="3" fillId="8" borderId="28" xfId="0" applyNumberFormat="true" applyFont="true" applyFill="true" applyBorder="true" applyAlignment="true">
      <alignment horizontal="center" vertical="center"/>
    </xf>
    <xf numFmtId="168" fontId="3" fillId="8" borderId="28" xfId="0" applyNumberFormat="true" applyFont="true" applyFill="true" applyBorder="true" applyAlignment="true">
      <alignment horizontal="center" vertical="center"/>
    </xf>
    <xf numFmtId="164" fontId="3" fillId="8" borderId="28" xfId="0" applyNumberFormat="true" applyFont="true" applyFill="true" applyBorder="true" applyAlignment="true">
      <alignment horizontal="center" vertical="center"/>
    </xf>
    <xf numFmtId="0" fontId="12" fillId="8" borderId="29" xfId="0" applyFont="true" applyFill="true" applyBorder="true" applyAlignment="true">
      <alignment horizontal="center" vertical="center"/>
    </xf>
    <xf numFmtId="0" fontId="12" fillId="8" borderId="30" xfId="0" applyFont="true" applyFill="true" applyBorder="true" applyAlignment="true">
      <alignment horizontal="center" vertical="center"/>
    </xf>
    <xf numFmtId="0" fontId="12" fillId="8" borderId="31" xfId="0" applyFont="true" applyFill="true" applyBorder="true" applyAlignment="true">
      <alignment horizontal="left" vertical="center"/>
    </xf>
    <xf numFmtId="0" fontId="12" fillId="10" borderId="17" xfId="0" applyFont="true" applyFill="true" applyBorder="true" applyAlignment="true">
      <alignment horizontal="left" vertical="center"/>
    </xf>
    <xf numFmtId="165" fontId="12" fillId="10" borderId="18" xfId="0" applyNumberFormat="true" applyFont="true" applyFill="true" applyBorder="true" applyAlignment="true">
      <alignment horizontal="right" vertical="center"/>
    </xf>
    <xf numFmtId="166" fontId="12" fillId="10" borderId="19" xfId="0" applyNumberFormat="true" applyFont="true" applyFill="true" applyBorder="true" applyAlignment="true">
      <alignment horizontal="right" vertical="center"/>
    </xf>
    <xf numFmtId="0" fontId="3" fillId="6" borderId="10" xfId="0" applyFont="true" applyFill="true" applyBorder="true" applyAlignment="true">
      <alignment horizontal="center" vertical="center"/>
    </xf>
    <xf numFmtId="172" fontId="3" fillId="6" borderId="10" xfId="0" applyNumberFormat="true" applyFont="true" applyFill="true" applyBorder="true" applyAlignment="true">
      <alignment horizontal="center" vertical="center"/>
    </xf>
    <xf numFmtId="168" fontId="3" fillId="6" borderId="10" xfId="0" applyNumberFormat="true" applyFont="true" applyFill="true" applyBorder="true" applyAlignment="true">
      <alignment horizontal="center" vertical="center"/>
    </xf>
    <xf numFmtId="169" fontId="3" fillId="6" borderId="10" xfId="0" applyNumberFormat="true" applyFont="true" applyFill="true" applyBorder="true" applyAlignment="true">
      <alignment horizontal="center" vertical="center"/>
    </xf>
    <xf numFmtId="0" fontId="12" fillId="7" borderId="7" xfId="0" applyFont="true" applyFill="true" applyBorder="true" applyAlignment="true">
      <alignment horizontal="left" vertical="center"/>
    </xf>
    <xf numFmtId="0" fontId="13" fillId="7" borderId="11" xfId="0" applyFont="true" applyFill="true" applyBorder="true" applyAlignment="true">
      <alignment horizontal="center" vertical="center" wrapText="true"/>
    </xf>
    <xf numFmtId="0" fontId="12" fillId="6" borderId="10" xfId="0" applyFont="true" applyFill="true" applyBorder="true" applyAlignment="true">
      <alignment horizontal="left" vertical="center"/>
    </xf>
    <xf numFmtId="165" fontId="12" fillId="6" borderId="10" xfId="0" applyNumberFormat="true" applyFont="true" applyFill="true" applyBorder="true" applyAlignment="true">
      <alignment horizontal="right" vertical="center"/>
    </xf>
    <xf numFmtId="166" fontId="12" fillId="6" borderId="10" xfId="0" applyNumberFormat="true" applyFont="true" applyFill="true" applyBorder="true" applyAlignment="true">
      <alignment horizontal="right" vertical="center"/>
    </xf>
    <xf numFmtId="165" fontId="12" fillId="0" borderId="53" xfId="0" applyNumberFormat="true" applyFont="true" applyBorder="true" applyAlignment="true">
      <alignment horizontal="right" vertical="center"/>
    </xf>
    <xf numFmtId="166" fontId="12" fillId="0" borderId="53" xfId="0" applyNumberFormat="true" applyFont="true" applyBorder="true" applyAlignment="true">
      <alignment horizontal="right" vertical="center"/>
    </xf>
    <xf numFmtId="0" fontId="3" fillId="6" borderId="28" xfId="0" applyFont="true" applyFill="true" applyBorder="true" applyAlignment="true">
      <alignment horizontal="center" vertical="center"/>
    </xf>
    <xf numFmtId="172" fontId="3" fillId="6" borderId="28" xfId="0" applyNumberFormat="true" applyFont="true" applyFill="true" applyBorder="true" applyAlignment="true">
      <alignment horizontal="center" vertical="center"/>
    </xf>
    <xf numFmtId="168" fontId="3" fillId="6" borderId="28" xfId="0" applyNumberFormat="true" applyFont="true" applyFill="true" applyBorder="true" applyAlignment="true">
      <alignment horizontal="center" vertical="center"/>
    </xf>
    <xf numFmtId="169" fontId="3" fillId="6" borderId="28" xfId="0" applyNumberFormat="true" applyFont="true" applyFill="true" applyBorder="true" applyAlignment="true">
      <alignment horizontal="center" vertical="center"/>
    </xf>
    <xf numFmtId="0" fontId="12" fillId="7" borderId="51" xfId="0" applyFont="true" applyFill="true" applyBorder="true" applyAlignment="true">
      <alignment horizontal="left" vertical="center"/>
    </xf>
    <xf numFmtId="0" fontId="12" fillId="7" borderId="52" xfId="0" applyFont="true" applyFill="true" applyBorder="true" applyAlignment="true">
      <alignment horizontal="left" vertical="center"/>
    </xf>
    <xf numFmtId="0" fontId="13" fillId="7" borderId="29" xfId="0" applyFont="true" applyFill="true" applyBorder="true" applyAlignment="true">
      <alignment horizontal="center" vertical="center" wrapText="true"/>
    </xf>
    <xf numFmtId="0" fontId="13" fillId="7" borderId="30" xfId="0" applyFont="true" applyFill="true" applyBorder="true" applyAlignment="true">
      <alignment horizontal="center" vertical="center" wrapText="true"/>
    </xf>
    <xf numFmtId="0" fontId="12" fillId="6" borderId="31" xfId="0" applyFont="true" applyFill="true" applyBorder="true" applyAlignment="true">
      <alignment horizontal="left" vertical="center"/>
    </xf>
    <xf numFmtId="166" fontId="12" fillId="6" borderId="28" xfId="0" applyNumberFormat="true" applyFont="true" applyFill="true" applyBorder="true" applyAlignment="true">
      <alignment horizontal="right" vertical="center"/>
    </xf>
    <xf numFmtId="0" fontId="12" fillId="0" borderId="17" xfId="0" applyFont="true" applyBorder="true" applyAlignment="true">
      <alignment horizontal="left" vertical="center"/>
    </xf>
    <xf numFmtId="165" fontId="12" fillId="0" borderId="54" xfId="0" applyNumberFormat="true" applyFont="true" applyBorder="true" applyAlignment="true">
      <alignment horizontal="right" vertical="center"/>
    </xf>
    <xf numFmtId="166" fontId="12" fillId="0" borderId="54" xfId="0" applyNumberFormat="true" applyFont="true" applyBorder="true" applyAlignment="true">
      <alignment horizontal="right" vertical="center"/>
    </xf>
    <xf numFmtId="166" fontId="12" fillId="0" borderId="55" xfId="0" applyNumberFormat="true" applyFont="true" applyBorder="true" applyAlignment="true">
      <alignment horizontal="right" vertical="center"/>
    </xf>
    <xf numFmtId="0" fontId="12" fillId="7" borderId="0" xfId="0" applyFont="true" applyFill="true" applyAlignment="true">
      <alignment/>
    </xf>
  </cellXfs>
  <cellStyles count="1">
    <cellStyle name="Normal" xfId="0" builtinId="0"/>
  </cellStyles>
  <dxfs count="19">
    <dxf>
      <font>
        <name val="Segoe UI"/>
        <family val="2"/>
        <color rgb="FF646464"/>
      </font>
      <fill>
        <patternFill patternType="solid">
          <bgColor rgb="FFF0F0F0"/>
        </patternFill>
      </fill>
      <alignment/>
    </dxf>
    <dxf>
      <font>
        <name val="Segoe UI"/>
        <family val="2"/>
        <strike val="1"/>
        <color rgb="FF646464"/>
      </font>
      <alignment/>
    </dxf>
    <dxf>
      <font>
        <name val="Segoe UI"/>
        <family val="2"/>
        <b val="1"/>
        <color rgb="FF006100"/>
        <sz val="9"/>
      </font>
      <fill>
        <patternFill patternType="solid">
          <bgColor rgb="FFC6EFCE"/>
        </patternFill>
      </fill>
      <alignment/>
      <border>
        <left style="medium">
          <color rgb="FF808080"/>
        </left>
        <right style="medium">
          <color rgb="FF808080"/>
        </right>
        <top style="thin">
          <color rgb="FF808080"/>
        </top>
        <bottom style="medium">
          <color rgb="FF808080"/>
        </bottom>
      </border>
    </dxf>
    <dxf>
      <font>
        <name val="Segoe UI"/>
        <family val="2"/>
        <color rgb="FF000000"/>
      </font>
      <fill>
        <patternFill patternType="solid">
          <bgColor rgb="FFFFFAE5"/>
        </patternFill>
      </fill>
      <alignment/>
      <border>
        <left style="thin">
          <color rgb="FF808080"/>
        </left>
        <right style="thin">
          <color rgb="FF808080"/>
        </right>
        <top style="thin">
          <color rgb="FF808080"/>
        </top>
        <bottom style="thin">
          <color rgb="FF808080"/>
        </bottom>
      </border>
    </dxf>
    <dxf>
      <font>
        <name val="Segoe UI"/>
        <family val="2"/>
        <b val="1"/>
        <color rgb="FF006100"/>
        <sz val="9"/>
      </font>
      <fill>
        <patternFill patternType="solid">
          <bgColor rgb="FFC6EFCE"/>
        </patternFill>
      </fill>
      <alignment/>
      <border>
        <left style="thin">
          <color rgb="FF808080"/>
        </left>
        <right style="medium">
          <color rgb="FF808080"/>
        </right>
        <top style="thin">
          <color rgb="FF808080"/>
        </top>
        <bottom style="thin">
          <color rgb="FF808080"/>
        </bottom>
      </border>
    </dxf>
    <dxf>
      <font>
        <name val="Segoe UI"/>
        <family val="2"/>
        <b val="1"/>
        <color rgb="FF9C0006"/>
        <sz val="9"/>
      </font>
      <fill>
        <patternFill patternType="solid">
          <bgColor rgb="FFFFC7CE"/>
        </patternFill>
      </fill>
      <alignment/>
      <border>
        <left style="thin">
          <color rgb="FF808080"/>
        </left>
        <right style="medium">
          <color rgb="FF808080"/>
        </right>
        <top style="thin">
          <color rgb="FF808080"/>
        </top>
        <bottom style="thin">
          <color rgb="FF808080"/>
        </bottom>
      </border>
    </dxf>
    <dxf>
      <font>
        <name val="Segoe UI"/>
        <family val="2"/>
        <b val="1"/>
        <color rgb="FF006100"/>
        <sz val="9"/>
      </font>
      <fill>
        <patternFill patternType="solid">
          <bgColor rgb="FFC6EFCE"/>
        </patternFill>
      </fill>
      <alignment/>
      <border>
        <left style="thin">
          <color rgb="FF808080"/>
        </left>
        <right style="medium">
          <color rgb="FF808080"/>
        </right>
        <top style="thin">
          <color rgb="FF808080"/>
        </top>
        <bottom style="medium">
          <color rgb="FF808080"/>
        </bottom>
      </border>
    </dxf>
    <dxf>
      <font>
        <name val="Segoe UI"/>
        <family val="2"/>
        <b val="1"/>
        <color rgb="FF9C0006"/>
        <sz val="9"/>
      </font>
      <fill>
        <patternFill patternType="solid">
          <bgColor rgb="FFFFC7CE"/>
        </patternFill>
      </fill>
      <alignment/>
      <border>
        <left style="thin">
          <color rgb="FF808080"/>
        </left>
        <right style="medium">
          <color rgb="FF808080"/>
        </right>
        <top style="thin">
          <color rgb="FF808080"/>
        </top>
        <bottom style="medium">
          <color rgb="FF808080"/>
        </bottom>
      </border>
    </dxf>
    <dxf>
      <font>
        <name val="Segoe UI"/>
        <family val="2"/>
        <color rgb="FF000000"/>
      </font>
      <fill>
        <patternFill patternType="solid">
          <bgColor rgb="FFD6EAF8"/>
        </patternFill>
      </fill>
      <alignment/>
      <border>
        <left style="medium">
          <color rgb="FF808080"/>
        </left>
        <right style="thin">
          <color rgb="FF808080"/>
        </right>
        <top style="thin">
          <color rgb="FF808080"/>
        </top>
        <bottom style="thin">
          <color rgb="FF808080"/>
        </bottom>
      </border>
    </dxf>
    <dxf>
      <font>
        <name val="Segoe UI"/>
        <family val="2"/>
        <color rgb="FF000000"/>
      </font>
      <fill>
        <patternFill patternType="solid">
          <bgColor rgb="FFD6EAF8"/>
        </patternFill>
      </fill>
      <alignment/>
      <border>
        <left style="thin">
          <color rgb="FF808080"/>
        </left>
        <right style="thin">
          <color rgb="FF808080"/>
        </right>
        <top style="thin">
          <color rgb="FF808080"/>
        </top>
        <bottom style="thin">
          <color rgb="FF808080"/>
        </bottom>
      </border>
    </dxf>
    <dxf>
      <font>
        <name val="Segoe UI"/>
        <family val="2"/>
        <color rgb="FF000000"/>
      </font>
      <fill>
        <patternFill patternType="solid">
          <bgColor rgb="FFD6EAF8"/>
        </patternFill>
      </fill>
      <alignment/>
      <border>
        <left style="thin">
          <color rgb="FF808080"/>
        </left>
        <right style="medium">
          <color rgb="FF808080"/>
        </right>
        <top style="thin">
          <color rgb="FF808080"/>
        </top>
        <bottom style="thin">
          <color rgb="FF808080"/>
        </bottom>
      </border>
    </dxf>
    <dxf>
      <font>
        <name val="Segoe UI"/>
        <family val="2"/>
        <color rgb="FFA0A0A0"/>
      </font>
      <numFmt numFmtId="165" formatCode="#,##0.00&quot; €&quot;"/>
      <fill>
        <patternFill patternType="solid">
          <bgColor rgb="FFD9D9D9"/>
        </patternFill>
      </fill>
      <alignment horizontal="right" vertical="center"/>
      <border>
        <left style="thin">
          <color rgb="FFD3D3D3"/>
        </left>
        <top style="thin">
          <color rgb="FFD3D3D3"/>
        </top>
        <bottom style="thin">
          <color rgb="FFD3D3D3"/>
        </bottom>
      </border>
    </dxf>
    <dxf>
      <font>
        <name val="Segoe UI"/>
        <family val="2"/>
        <color rgb="FF000000"/>
      </font>
      <alignment/>
      <border>
        <right style="medium">
          <color rgb="FF808080"/>
        </right>
      </border>
    </dxf>
    <dxf>
      <font>
        <name val="Segoe UI"/>
        <family val="2"/>
        <b val="1"/>
        <color rgb="FF006100"/>
      </font>
      <fill>
        <patternFill patternType="solid">
          <bgColor rgb="FFC6EFCE"/>
        </patternFill>
      </fill>
      <alignment horizontal="center" vertical="center"/>
    </dxf>
    <dxf>
      <font>
        <name val="Segoe UI"/>
        <family val="2"/>
        <b val="1"/>
        <color rgb="FF9C0006"/>
      </font>
      <fill>
        <patternFill patternType="solid">
          <bgColor rgb="FFFFC7CE"/>
        </patternFill>
      </fill>
      <alignment horizontal="center" vertical="center"/>
    </dxf>
    <dxf>
      <font>
        <name val="Segoe UI"/>
        <family val="2"/>
        <b val="1"/>
        <color rgb="FF9C0006"/>
      </font>
      <numFmt numFmtId="166" formatCode="#,##0.00"/>
      <fill>
        <patternFill patternType="solid">
          <bgColor rgb="FFFFC7CE"/>
        </patternFill>
      </fill>
      <alignment horizontal="right" vertical="center"/>
    </dxf>
    <dxf>
      <font>
        <name val="Segoe UI"/>
        <family val="2"/>
        <b val="1"/>
        <color rgb="FF9C0006"/>
      </font>
      <numFmt numFmtId="167" formatCode="#,##0.00&quot; €&quot;"/>
      <fill>
        <patternFill patternType="solid">
          <bgColor rgb="FFFFC7CE"/>
        </patternFill>
      </fill>
      <alignment horizontal="right" vertical="center"/>
    </dxf>
    <dxf>
      <font>
        <name val="Segoe UI"/>
        <family val="2"/>
        <b val="1"/>
        <color rgb="FF9C0006"/>
      </font>
      <numFmt numFmtId="168" formatCode="0.0%"/>
      <fill>
        <patternFill patternType="solid">
          <bgColor rgb="FFFFC7CE"/>
        </patternFill>
      </fill>
      <alignment horizontal="right" vertical="center"/>
    </dxf>
    <dxf>
      <font>
        <name val="Segoe UI"/>
        <family val="2"/>
        <b val="1"/>
        <color rgb="FF9C640C"/>
      </font>
      <numFmt numFmtId="169" formatCode="0.0%"/>
      <fill>
        <patternFill patternType="solid">
          <bgColor rgb="FFFCF3CF"/>
        </patternFill>
      </fill>
      <alignment horizontal="right" vertical="center"/>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ype="http://schemas.openxmlformats.org/officeDocument/2006/relationships/sheetMetadata" Target="metadata.xml"/></Relationships>
</file>

<file path=xl/tables/table1.xml><?xml version="1.0" encoding="utf-8"?>
<table xmlns="http://schemas.openxmlformats.org/spreadsheetml/2006/main" id="1" name="TblBudgetAusgaben" displayName="TblBudgetAusgaben" ref="B18:I141">
  <autoFilter ref="B18:I141"/>
  <tableColumns count="8">
    <tableColumn id="1" name="Kostenkategorie"/>
    <tableColumn id="2" name="ID"/>
    <tableColumn id="3" name="Kostenposition"/>
    <tableColumn id="4" name="Betrag (LC)"/>
    <tableColumn id="5" name="Jahr 1"/>
    <tableColumn id="6" name="Jahr 2"/>
    <tableColumn id="7" name="Jahr 3"/>
    <tableColumn id="8" name="Betrag (EUR)"/>
  </tableColumns>
  <tableStyleInfo showFirstColumn="false" showLastColumn="false" showRowStripes="false" showColumnStripes="false"/>
</table>
</file>

<file path=xl/tables/table2.xml><?xml version="1.0" encoding="utf-8"?>
<table xmlns="http://schemas.openxmlformats.org/spreadsheetml/2006/main" id="2" name="TblDrittmittel" displayName="TblDrittmittel" ref="K18:M19">
  <autoFilter ref="K18:M19"/>
  <tableColumns count="3">
    <tableColumn id="1" name="Name des Gebers"/>
    <tableColumn id="2" name="Betrag (LC)"/>
    <tableColumn id="3" name="Betrag (EUR)"/>
  </tableColumns>
  <tableStyleInfo showFirstColumn="false" showLastColumn="false" showRowStripes="false" showColumnStripes="false"/>
</table>
</file>

<file path=xl/tables/table3.xml><?xml version="1.0" encoding="utf-8"?>
<table xmlns="http://schemas.openxmlformats.org/spreadsheetml/2006/main" id="3" name="TblKMWMittel" displayName="TblKMWMittel" ref="B4:E22">
  <autoFilter ref="B4:E22"/>
  <tableColumns count="4">
    <tableColumn id="1" name="Periode"/>
    <tableColumn id="2" name="Waehrung"/>
    <tableColumn id="3" name="Betrag"/>
    <tableColumn id="4" name="Datum"/>
  </tableColumns>
  <tableStyleInfo name="TableStyleLight1" showFirstColumn="false" showLastColumn="false" showRowStripes="false" showColumnStripes="false"/>
</table>
</file>

<file path=xl/tables/table4.xml><?xml version="1.0" encoding="utf-8"?>
<table xmlns="http://schemas.openxmlformats.org/spreadsheetml/2006/main" id="4" name="Ausgaben_1" displayName="Ausgaben_1" ref="B18:F141">
  <autoFilter ref="B18:F14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5.xml><?xml version="1.0" encoding="utf-8"?>
<table xmlns="http://schemas.openxmlformats.org/spreadsheetml/2006/main" id="5" name="Einnahmen_1" displayName="Einnahmen_1" ref="B155:F160">
  <autoFilter ref="B155:F16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6.xml><?xml version="1.0" encoding="utf-8"?>
<table xmlns="http://schemas.openxmlformats.org/spreadsheetml/2006/main" id="6" name="Einnahmen_WK_1" displayName="Einnahmen_WK_1" ref="B164:F170">
  <autoFilter ref="B164:F17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7.xml><?xml version="1.0" encoding="utf-8"?>
<table xmlns="http://schemas.openxmlformats.org/spreadsheetml/2006/main" id="7" name="Ausgaben_2" displayName="Ausgaben_2" ref="I18:M141">
  <autoFilter ref="I18:M14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8.xml><?xml version="1.0" encoding="utf-8"?>
<table xmlns="http://schemas.openxmlformats.org/spreadsheetml/2006/main" id="8" name="Einnahmen_2" displayName="Einnahmen_2" ref="I155:M160">
  <autoFilter ref="I155:M16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9.xml><?xml version="1.0" encoding="utf-8"?>
<table xmlns="http://schemas.openxmlformats.org/spreadsheetml/2006/main" id="9" name="Einnahmen_WK_2" displayName="Einnahmen_WK_2" ref="I164:M170">
  <autoFilter ref="I164:M17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0.xml><?xml version="1.0" encoding="utf-8"?>
<table xmlns="http://schemas.openxmlformats.org/spreadsheetml/2006/main" id="10" name="Ausgaben_3" displayName="Ausgaben_3" ref="P18:T141">
  <autoFilter ref="P18:T14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11.xml><?xml version="1.0" encoding="utf-8"?>
<table xmlns="http://schemas.openxmlformats.org/spreadsheetml/2006/main" id="11" name="Einnahmen_3" displayName="Einnahmen_3" ref="P155:T160">
  <autoFilter ref="P155:T16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2.xml><?xml version="1.0" encoding="utf-8"?>
<table xmlns="http://schemas.openxmlformats.org/spreadsheetml/2006/main" id="12" name="Einnahmen_WK_3" displayName="Einnahmen_WK_3" ref="P164:T170">
  <autoFilter ref="P164:T17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3.xml><?xml version="1.0" encoding="utf-8"?>
<table xmlns="http://schemas.openxmlformats.org/spreadsheetml/2006/main" id="13" name="Ausgaben_4" displayName="Ausgaben_4" ref="W18:AA141">
  <autoFilter ref="W18:AA14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14.xml><?xml version="1.0" encoding="utf-8"?>
<table xmlns="http://schemas.openxmlformats.org/spreadsheetml/2006/main" id="14" name="Einnahmen_4" displayName="Einnahmen_4" ref="W155:AA160">
  <autoFilter ref="W155:AA16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5.xml><?xml version="1.0" encoding="utf-8"?>
<table xmlns="http://schemas.openxmlformats.org/spreadsheetml/2006/main" id="15" name="Einnahmen_WK_4" displayName="Einnahmen_WK_4" ref="W164:AA170">
  <autoFilter ref="W164:AA17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6.xml><?xml version="1.0" encoding="utf-8"?>
<table xmlns="http://schemas.openxmlformats.org/spreadsheetml/2006/main" id="16" name="Ausgaben_5" displayName="Ausgaben_5" ref="AD18:AH141">
  <autoFilter ref="AD18:AH14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17.xml><?xml version="1.0" encoding="utf-8"?>
<table xmlns="http://schemas.openxmlformats.org/spreadsheetml/2006/main" id="17" name="Einnahmen_5" displayName="Einnahmen_5" ref="AD155:AH160">
  <autoFilter ref="AD155:AH16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8.xml><?xml version="1.0" encoding="utf-8"?>
<table xmlns="http://schemas.openxmlformats.org/spreadsheetml/2006/main" id="18" name="Einnahmen_WK_5" displayName="Einnahmen_WK_5" ref="AD164:AH170">
  <autoFilter ref="AD164:AH17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9.xml><?xml version="1.0" encoding="utf-8"?>
<table xmlns="http://schemas.openxmlformats.org/spreadsheetml/2006/main" id="19" name="Ausgaben_6" displayName="Ausgaben_6" ref="AK18:AO141">
  <autoFilter ref="AK18:AO14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20.xml><?xml version="1.0" encoding="utf-8"?>
<table xmlns="http://schemas.openxmlformats.org/spreadsheetml/2006/main" id="20" name="Einnahmen_6" displayName="Einnahmen_6" ref="AK155:AO160">
  <autoFilter ref="AK155:AO16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1.xml><?xml version="1.0" encoding="utf-8"?>
<table xmlns="http://schemas.openxmlformats.org/spreadsheetml/2006/main" id="21" name="Einnahmen_WK_6" displayName="Einnahmen_WK_6" ref="AK164:AO170">
  <autoFilter ref="AK164:AO17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2.xml><?xml version="1.0" encoding="utf-8"?>
<table xmlns="http://schemas.openxmlformats.org/spreadsheetml/2006/main" id="22" name="Ausgaben_7" displayName="Ausgaben_7" ref="AR18:AV141">
  <autoFilter ref="AR18:AV14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23.xml><?xml version="1.0" encoding="utf-8"?>
<table xmlns="http://schemas.openxmlformats.org/spreadsheetml/2006/main" id="23" name="Einnahmen_7" displayName="Einnahmen_7" ref="AR155:AV160">
  <autoFilter ref="AR155:AV16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4.xml><?xml version="1.0" encoding="utf-8"?>
<table xmlns="http://schemas.openxmlformats.org/spreadsheetml/2006/main" id="24" name="Einnahmen_WK_7" displayName="Einnahmen_WK_7" ref="AR164:AV170">
  <autoFilter ref="AR164:AV17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5.xml><?xml version="1.0" encoding="utf-8"?>
<table xmlns="http://schemas.openxmlformats.org/spreadsheetml/2006/main" id="25" name="Ausgaben_8" displayName="Ausgaben_8" ref="AY18:BC141">
  <autoFilter ref="AY18:BC14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26.xml><?xml version="1.0" encoding="utf-8"?>
<table xmlns="http://schemas.openxmlformats.org/spreadsheetml/2006/main" id="26" name="Einnahmen_8" displayName="Einnahmen_8" ref="AY155:BC160">
  <autoFilter ref="AY155:BC16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7.xml><?xml version="1.0" encoding="utf-8"?>
<table xmlns="http://schemas.openxmlformats.org/spreadsheetml/2006/main" id="27" name="Einnahmen_WK_8" displayName="Einnahmen_WK_8" ref="AY164:BC170">
  <autoFilter ref="AY164:BC17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8.xml><?xml version="1.0" encoding="utf-8"?>
<table xmlns="http://schemas.openxmlformats.org/spreadsheetml/2006/main" id="28" name="Ausgaben_9" displayName="Ausgaben_9" ref="BF18:BJ141">
  <autoFilter ref="BF18:BJ14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29.xml><?xml version="1.0" encoding="utf-8"?>
<table xmlns="http://schemas.openxmlformats.org/spreadsheetml/2006/main" id="29" name="Einnahmen_9" displayName="Einnahmen_9" ref="BF155:BJ160">
  <autoFilter ref="BF155:BJ16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0.xml><?xml version="1.0" encoding="utf-8"?>
<table xmlns="http://schemas.openxmlformats.org/spreadsheetml/2006/main" id="30" name="Einnahmen_WK_9" displayName="Einnahmen_WK_9" ref="BF164:BJ170">
  <autoFilter ref="BF164:BJ17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1.xml><?xml version="1.0" encoding="utf-8"?>
<table xmlns="http://schemas.openxmlformats.org/spreadsheetml/2006/main" id="31" name="Ausgaben_10" displayName="Ausgaben_10" ref="BM18:BQ141">
  <autoFilter ref="BM18:BQ14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32.xml><?xml version="1.0" encoding="utf-8"?>
<table xmlns="http://schemas.openxmlformats.org/spreadsheetml/2006/main" id="32" name="Einnahmen_10" displayName="Einnahmen_10" ref="BM155:BQ160">
  <autoFilter ref="BM155:BQ16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3.xml><?xml version="1.0" encoding="utf-8"?>
<table xmlns="http://schemas.openxmlformats.org/spreadsheetml/2006/main" id="33" name="Einnahmen_WK_10" displayName="Einnahmen_WK_10" ref="BM164:BQ170">
  <autoFilter ref="BM164:BQ17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4.xml><?xml version="1.0" encoding="utf-8"?>
<table xmlns="http://schemas.openxmlformats.org/spreadsheetml/2006/main" id="34" name="Ausgaben_11" displayName="Ausgaben_11" ref="BT18:BX141">
  <autoFilter ref="BT18:BX14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35.xml><?xml version="1.0" encoding="utf-8"?>
<table xmlns="http://schemas.openxmlformats.org/spreadsheetml/2006/main" id="35" name="Einnahmen_11" displayName="Einnahmen_11" ref="BT155:BX160">
  <autoFilter ref="BT155:BX16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6.xml><?xml version="1.0" encoding="utf-8"?>
<table xmlns="http://schemas.openxmlformats.org/spreadsheetml/2006/main" id="36" name="Einnahmen_WK_11" displayName="Einnahmen_WK_11" ref="BT164:BX170">
  <autoFilter ref="BT164:BX17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7.xml><?xml version="1.0" encoding="utf-8"?>
<table xmlns="http://schemas.openxmlformats.org/spreadsheetml/2006/main" id="37" name="Ausgaben_12" displayName="Ausgaben_12" ref="CA18:CE141">
  <autoFilter ref="CA18:CE14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38.xml><?xml version="1.0" encoding="utf-8"?>
<table xmlns="http://schemas.openxmlformats.org/spreadsheetml/2006/main" id="38" name="Einnahmen_12" displayName="Einnahmen_12" ref="CA155:CE160">
  <autoFilter ref="CA155:CE16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9.xml><?xml version="1.0" encoding="utf-8"?>
<table xmlns="http://schemas.openxmlformats.org/spreadsheetml/2006/main" id="39" name="Einnahmen_WK_12" displayName="Einnahmen_WK_12" ref="CA164:CE170">
  <autoFilter ref="CA164:CE17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0.xml><?xml version="1.0" encoding="utf-8"?>
<table xmlns="http://schemas.openxmlformats.org/spreadsheetml/2006/main" id="40" name="Ausgaben_13" displayName="Ausgaben_13" ref="CH18:CL141">
  <autoFilter ref="CH18:CL14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41.xml><?xml version="1.0" encoding="utf-8"?>
<table xmlns="http://schemas.openxmlformats.org/spreadsheetml/2006/main" id="41" name="Einnahmen_13" displayName="Einnahmen_13" ref="CH155:CL160">
  <autoFilter ref="CH155:CL16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2.xml><?xml version="1.0" encoding="utf-8"?>
<table xmlns="http://schemas.openxmlformats.org/spreadsheetml/2006/main" id="42" name="Einnahmen_WK_13" displayName="Einnahmen_WK_13" ref="CH164:CL170">
  <autoFilter ref="CH164:CL17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3.xml><?xml version="1.0" encoding="utf-8"?>
<table xmlns="http://schemas.openxmlformats.org/spreadsheetml/2006/main" id="43" name="Ausgaben_14" displayName="Ausgaben_14" ref="CO18:CS141">
  <autoFilter ref="CO18:CS14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44.xml><?xml version="1.0" encoding="utf-8"?>
<table xmlns="http://schemas.openxmlformats.org/spreadsheetml/2006/main" id="44" name="Einnahmen_14" displayName="Einnahmen_14" ref="CO155:CS160">
  <autoFilter ref="CO155:CS16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5.xml><?xml version="1.0" encoding="utf-8"?>
<table xmlns="http://schemas.openxmlformats.org/spreadsheetml/2006/main" id="45" name="Einnahmen_WK_14" displayName="Einnahmen_WK_14" ref="CO164:CS170">
  <autoFilter ref="CO164:CS17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6.xml><?xml version="1.0" encoding="utf-8"?>
<table xmlns="http://schemas.openxmlformats.org/spreadsheetml/2006/main" id="46" name="Ausgaben_15" displayName="Ausgaben_15" ref="CV18:CZ141">
  <autoFilter ref="CV18:CZ14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47.xml><?xml version="1.0" encoding="utf-8"?>
<table xmlns="http://schemas.openxmlformats.org/spreadsheetml/2006/main" id="47" name="Einnahmen_15" displayName="Einnahmen_15" ref="CV155:CZ160">
  <autoFilter ref="CV155:CZ16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8.xml><?xml version="1.0" encoding="utf-8"?>
<table xmlns="http://schemas.openxmlformats.org/spreadsheetml/2006/main" id="48" name="Einnahmen_WK_15" displayName="Einnahmen_WK_15" ref="CV164:CZ170">
  <autoFilter ref="CV164:CZ17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9.xml><?xml version="1.0" encoding="utf-8"?>
<table xmlns="http://schemas.openxmlformats.org/spreadsheetml/2006/main" id="49" name="Ausgaben_16" displayName="Ausgaben_16" ref="DC18:DG141">
  <autoFilter ref="DC18:DG14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50.xml><?xml version="1.0" encoding="utf-8"?>
<table xmlns="http://schemas.openxmlformats.org/spreadsheetml/2006/main" id="50" name="Einnahmen_16" displayName="Einnahmen_16" ref="DC155:DG160">
  <autoFilter ref="DC155:DG16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1.xml><?xml version="1.0" encoding="utf-8"?>
<table xmlns="http://schemas.openxmlformats.org/spreadsheetml/2006/main" id="51" name="Einnahmen_WK_16" displayName="Einnahmen_WK_16" ref="DC164:DG170">
  <autoFilter ref="DC164:DG17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2.xml><?xml version="1.0" encoding="utf-8"?>
<table xmlns="http://schemas.openxmlformats.org/spreadsheetml/2006/main" id="52" name="Ausgaben_17" displayName="Ausgaben_17" ref="DJ18:DN141">
  <autoFilter ref="DJ18:DN14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53.xml><?xml version="1.0" encoding="utf-8"?>
<table xmlns="http://schemas.openxmlformats.org/spreadsheetml/2006/main" id="53" name="Einnahmen_17" displayName="Einnahmen_17" ref="DJ155:DN160">
  <autoFilter ref="DJ155:DN16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4.xml><?xml version="1.0" encoding="utf-8"?>
<table xmlns="http://schemas.openxmlformats.org/spreadsheetml/2006/main" id="54" name="Einnahmen_WK_17" displayName="Einnahmen_WK_17" ref="DJ164:DN170">
  <autoFilter ref="DJ164:DN17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5.xml><?xml version="1.0" encoding="utf-8"?>
<table xmlns="http://schemas.openxmlformats.org/spreadsheetml/2006/main" id="55" name="Ausgaben_18" displayName="Ausgaben_18" ref="DQ18:DU141">
  <autoFilter ref="DQ18:DU14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56.xml><?xml version="1.0" encoding="utf-8"?>
<table xmlns="http://schemas.openxmlformats.org/spreadsheetml/2006/main" id="56" name="Einnahmen_18" displayName="Einnahmen_18" ref="DQ155:DU160">
  <autoFilter ref="DQ155:DU16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7.xml><?xml version="1.0" encoding="utf-8"?>
<table xmlns="http://schemas.openxmlformats.org/spreadsheetml/2006/main" id="57" name="Einnahmen_WK_18" displayName="Einnahmen_WK_18" ref="DQ164:DU170">
  <autoFilter ref="DQ164:DU17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8.xml><?xml version="1.0" encoding="utf-8"?>
<table xmlns="http://schemas.openxmlformats.org/spreadsheetml/2006/main" id="58" name="MA_1" displayName="MA_1" ref="B9:D17">
  <autoFilter ref="B9:D17"/>
  <tableColumns count="3">
    <tableColumn id="1" name="Kostenkategorie"/>
    <tableColumn id="2" name="Angefordert (LC)"/>
    <tableColumn id="3" name="Angefordert (EUR)"/>
  </tableColumns>
  <tableStyleInfo showFirstColumn="false" showLastColumn="false" showRowStripes="false" showColumnStripes="false"/>
</table>
</file>

<file path=xl/tables/table59.xml><?xml version="1.0" encoding="utf-8"?>
<table xmlns="http://schemas.openxmlformats.org/spreadsheetml/2006/main" id="59" name="MA_2" displayName="MA_2" ref="F9:H17">
  <autoFilter ref="F9:H17"/>
  <tableColumns count="3">
    <tableColumn id="1" name="Kostenkategorie"/>
    <tableColumn id="2" name="Angefordert (LC)"/>
    <tableColumn id="3" name="Angefordert (EUR)"/>
  </tableColumns>
  <tableStyleInfo showFirstColumn="false" showLastColumn="false" showRowStripes="false" showColumnStripes="false"/>
</table>
</file>

<file path=xl/tables/table60.xml><?xml version="1.0" encoding="utf-8"?>
<table xmlns="http://schemas.openxmlformats.org/spreadsheetml/2006/main" id="60" name="MA_3" displayName="MA_3" ref="J9:L17">
  <autoFilter ref="J9:L17"/>
  <tableColumns count="3">
    <tableColumn id="1" name="Kostenkategorie"/>
    <tableColumn id="2" name="Angefordert (LC)"/>
    <tableColumn id="3" name="Angefordert (EUR)"/>
  </tableColumns>
  <tableStyleInfo showFirstColumn="false" showLastColumn="false" showRowStripes="false" showColumnStripes="false"/>
</table>
</file>

<file path=xl/tables/table61.xml><?xml version="1.0" encoding="utf-8"?>
<table xmlns="http://schemas.openxmlformats.org/spreadsheetml/2006/main" id="61" name="MA_4" displayName="MA_4" ref="N9:P17">
  <autoFilter ref="N9:P17"/>
  <tableColumns count="3">
    <tableColumn id="1" name="Kostenkategorie"/>
    <tableColumn id="2" name="Angefordert (LC)"/>
    <tableColumn id="3" name="Angefordert (EUR)"/>
  </tableColumns>
  <tableStyleInfo showFirstColumn="false" showLastColumn="false" showRowStripes="false" showColumnStripes="false"/>
</table>
</file>

<file path=xl/tables/table62.xml><?xml version="1.0" encoding="utf-8"?>
<table xmlns="http://schemas.openxmlformats.org/spreadsheetml/2006/main" id="62" name="MA_5" displayName="MA_5" ref="R9:T17">
  <autoFilter ref="R9:T17"/>
  <tableColumns count="3">
    <tableColumn id="1" name="Kostenkategorie"/>
    <tableColumn id="2" name="Angefordert (LC)"/>
    <tableColumn id="3" name="Angefordert (EUR)"/>
  </tableColumns>
  <tableStyleInfo showFirstColumn="false" showLastColumn="false" showRowStripes="false" showColumnStripes="false"/>
</table>
</file>

<file path=xl/tables/table63.xml><?xml version="1.0" encoding="utf-8"?>
<table xmlns="http://schemas.openxmlformats.org/spreadsheetml/2006/main" id="63" name="MA_6" displayName="MA_6" ref="V9:X17">
  <autoFilter ref="V9:X17"/>
  <tableColumns count="3">
    <tableColumn id="1" name="Kostenkategorie"/>
    <tableColumn id="2" name="Angefordert (LC)"/>
    <tableColumn id="3" name="Angefordert (EUR)"/>
  </tableColumns>
  <tableStyleInfo showFirstColumn="false" showLastColumn="false" showRowStripes="false" showColumnStripes="false"/>
</table>
</file>

<file path=xl/tables/table64.xml><?xml version="1.0" encoding="utf-8"?>
<table xmlns="http://schemas.openxmlformats.org/spreadsheetml/2006/main" id="64" name="MA_7" displayName="MA_7" ref="Z9:AB17">
  <autoFilter ref="Z9:AB17"/>
  <tableColumns count="3">
    <tableColumn id="1" name="Kostenkategorie"/>
    <tableColumn id="2" name="Angefordert (LC)"/>
    <tableColumn id="3" name="Angefordert (EUR)"/>
  </tableColumns>
  <tableStyleInfo showFirstColumn="false" showLastColumn="false" showRowStripes="false" showColumnStripes="false"/>
</table>
</file>

<file path=xl/tables/table65.xml><?xml version="1.0" encoding="utf-8"?>
<table xmlns="http://schemas.openxmlformats.org/spreadsheetml/2006/main" id="65" name="MA_8" displayName="MA_8" ref="AD9:AF17">
  <autoFilter ref="AD9:AF17"/>
  <tableColumns count="3">
    <tableColumn id="1" name="Kostenkategorie"/>
    <tableColumn id="2" name="Angefordert (LC)"/>
    <tableColumn id="3" name="Angefordert (EUR)"/>
  </tableColumns>
  <tableStyleInfo showFirstColumn="false" showLastColumn="false" showRowStripes="false" showColumnStripes="false"/>
</table>
</file>

<file path=xl/tables/table66.xml><?xml version="1.0" encoding="utf-8"?>
<table xmlns="http://schemas.openxmlformats.org/spreadsheetml/2006/main" id="66" name="MA_9" displayName="MA_9" ref="AH9:AJ17">
  <autoFilter ref="AH9:AJ17"/>
  <tableColumns count="3">
    <tableColumn id="1" name="Kostenkategorie"/>
    <tableColumn id="2" name="Angefordert (LC)"/>
    <tableColumn id="3" name="Angefordert (EUR)"/>
  </tableColumns>
  <tableStyleInfo showFirstColumn="false" showLastColumn="false" showRowStripes="false" showColumnStripes="false"/>
</table>
</file>

<file path=xl/tables/table67.xml><?xml version="1.0" encoding="utf-8"?>
<table xmlns="http://schemas.openxmlformats.org/spreadsheetml/2006/main" id="67" name="MA_10" displayName="MA_10" ref="AL9:AN17">
  <autoFilter ref="AL9:AN17"/>
  <tableColumns count="3">
    <tableColumn id="1" name="Kostenkategorie"/>
    <tableColumn id="2" name="Angefordert (LC)"/>
    <tableColumn id="3" name="Angefordert (EUR)"/>
  </tableColumns>
  <tableStyleInfo showFirstColumn="false" showLastColumn="false" showRowStripes="false" showColumnStripes="false"/>
</table>
</file>

<file path=xl/tables/table68.xml><?xml version="1.0" encoding="utf-8"?>
<table xmlns="http://schemas.openxmlformats.org/spreadsheetml/2006/main" id="68" name="MA_11" displayName="MA_11" ref="AP9:AR17">
  <autoFilter ref="AP9:AR17"/>
  <tableColumns count="3">
    <tableColumn id="1" name="Kostenkategorie"/>
    <tableColumn id="2" name="Angefordert (LC)"/>
    <tableColumn id="3" name="Angefordert (EUR)"/>
  </tableColumns>
  <tableStyleInfo showFirstColumn="false" showLastColumn="false" showRowStripes="false" showColumnStripes="false"/>
</table>
</file>

<file path=xl/tables/table69.xml><?xml version="1.0" encoding="utf-8"?>
<table xmlns="http://schemas.openxmlformats.org/spreadsheetml/2006/main" id="69" name="MA_12" displayName="MA_12" ref="AT9:AV17">
  <autoFilter ref="AT9:AV17"/>
  <tableColumns count="3">
    <tableColumn id="1" name="Kostenkategorie"/>
    <tableColumn id="2" name="Angefordert (LC)"/>
    <tableColumn id="3" name="Angefordert (EUR)"/>
  </tableColumns>
  <tableStyleInfo showFirstColumn="false" showLastColumn="false" showRowStripes="false" showColumnStripes="false"/>
</table>
</file>

<file path=xl/tables/table70.xml><?xml version="1.0" encoding="utf-8"?>
<table xmlns="http://schemas.openxmlformats.org/spreadsheetml/2006/main" id="70" name="MA_13" displayName="MA_13" ref="AX9:AZ17">
  <autoFilter ref="AX9:AZ17"/>
  <tableColumns count="3">
    <tableColumn id="1" name="Kostenkategorie"/>
    <tableColumn id="2" name="Angefordert (LC)"/>
    <tableColumn id="3" name="Angefordert (EUR)"/>
  </tableColumns>
  <tableStyleInfo showFirstColumn="false" showLastColumn="false" showRowStripes="false" showColumnStripes="false"/>
</table>
</file>

<file path=xl/tables/table71.xml><?xml version="1.0" encoding="utf-8"?>
<table xmlns="http://schemas.openxmlformats.org/spreadsheetml/2006/main" id="71" name="MA_14" displayName="MA_14" ref="BB9:BD17">
  <autoFilter ref="BB9:BD17"/>
  <tableColumns count="3">
    <tableColumn id="1" name="Kostenkategorie"/>
    <tableColumn id="2" name="Angefordert (LC)"/>
    <tableColumn id="3" name="Angefordert (EUR)"/>
  </tableColumns>
  <tableStyleInfo showFirstColumn="false" showLastColumn="false" showRowStripes="false" showColumnStripes="false"/>
</table>
</file>

<file path=xl/tables/table72.xml><?xml version="1.0" encoding="utf-8"?>
<table xmlns="http://schemas.openxmlformats.org/spreadsheetml/2006/main" id="72" name="MA_15" displayName="MA_15" ref="BF9:BH17">
  <autoFilter ref="BF9:BH17"/>
  <tableColumns count="3">
    <tableColumn id="1" name="Kostenkategorie"/>
    <tableColumn id="2" name="Angefordert (LC)"/>
    <tableColumn id="3" name="Angefordert (EUR)"/>
  </tableColumns>
  <tableStyleInfo showFirstColumn="false" showLastColumn="false" showRowStripes="false" showColumnStripes="false"/>
</table>
</file>

<file path=xl/tables/table73.xml><?xml version="1.0" encoding="utf-8"?>
<table xmlns="http://schemas.openxmlformats.org/spreadsheetml/2006/main" id="73" name="MA_16" displayName="MA_16" ref="BJ9:BL17">
  <autoFilter ref="BJ9:BL17"/>
  <tableColumns count="3">
    <tableColumn id="1" name="Kostenkategorie"/>
    <tableColumn id="2" name="Angefordert (LC)"/>
    <tableColumn id="3" name="Angefordert (EUR)"/>
  </tableColumns>
  <tableStyleInfo showFirstColumn="false" showLastColumn="false" showRowStripes="false" showColumnStripes="false"/>
</table>
</file>

<file path=xl/tables/table74.xml><?xml version="1.0" encoding="utf-8"?>
<table xmlns="http://schemas.openxmlformats.org/spreadsheetml/2006/main" id="74" name="MA_17" displayName="MA_17" ref="BN9:BP17">
  <autoFilter ref="BN9:BP17"/>
  <tableColumns count="3">
    <tableColumn id="1" name="Kostenkategorie"/>
    <tableColumn id="2" name="Angefordert (LC)"/>
    <tableColumn id="3" name="Angefordert (EUR)"/>
  </tableColumns>
  <tableStyleInfo showFirstColumn="false" showLastColumn="false" showRowStripes="false" showColumnStripes="false"/>
</table>
</file>

<file path=xl/tables/table75.xml><?xml version="1.0" encoding="utf-8"?>
<table xmlns="http://schemas.openxmlformats.org/spreadsheetml/2006/main" id="75" name="MA_18" displayName="MA_18" ref="BR9:BT17">
  <autoFilter ref="BR9:BT17"/>
  <tableColumns count="3">
    <tableColumn id="1" name="Kostenkategorie"/>
    <tableColumn id="2" name="Angefordert (LC)"/>
    <tableColumn id="3" name="Angefordert (EUR)"/>
  </tableColumns>
  <tableStyleInfo showFirstColumn="false" showLastColumn="false" showRowStripes="fals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tables/table1.xml" Type="http://schemas.openxmlformats.org/officeDocument/2006/relationships/table"></Relationship><Relationship Id="rId2" Target="../tables/table2.xml" Type="http://schemas.openxmlformats.org/officeDocument/2006/relationships/table"></Relationship></Relationships>
</file>

<file path=xl/worksheets/_rels/sheet4.xml.rels><?xml version="1.0" encoding="UTF-8"?>
<Relationships xmlns="http://schemas.openxmlformats.org/package/2006/relationships"><Relationship Id="rId1" Target="../tables/table3.xml" Type="http://schemas.openxmlformats.org/officeDocument/2006/relationships/table"></Relationship></Relationships>
</file>

<file path=xl/worksheets/_rels/sheet5.xml.rels><?xml version="1.0" encoding="UTF-8"?>
<Relationships xmlns="http://schemas.openxmlformats.org/package/2006/relationships"><Relationship Id="rId1" Target="../tables/table4.xml" Type="http://schemas.openxmlformats.org/officeDocument/2006/relationships/table"></Relationship><Relationship Id="rId2" Target="../tables/table5.xml" Type="http://schemas.openxmlformats.org/officeDocument/2006/relationships/table"></Relationship><Relationship Id="rId3" Target="../tables/table6.xml" Type="http://schemas.openxmlformats.org/officeDocument/2006/relationships/table"></Relationship><Relationship Id="rId4" Target="../tables/table7.xml" Type="http://schemas.openxmlformats.org/officeDocument/2006/relationships/table"></Relationship><Relationship Id="rId5" Target="../tables/table8.xml" Type="http://schemas.openxmlformats.org/officeDocument/2006/relationships/table"></Relationship><Relationship Id="rId6" Target="../tables/table9.xml" Type="http://schemas.openxmlformats.org/officeDocument/2006/relationships/table"></Relationship><Relationship Id="rId7" Target="../tables/table10.xml" Type="http://schemas.openxmlformats.org/officeDocument/2006/relationships/table"></Relationship><Relationship Id="rId8" Target="../tables/table11.xml" Type="http://schemas.openxmlformats.org/officeDocument/2006/relationships/table"></Relationship><Relationship Id="rId9" Target="../tables/table12.xml" Type="http://schemas.openxmlformats.org/officeDocument/2006/relationships/table"></Relationship><Relationship Id="rId10" Target="../tables/table13.xml" Type="http://schemas.openxmlformats.org/officeDocument/2006/relationships/table"></Relationship><Relationship Id="rId11" Target="../tables/table14.xml" Type="http://schemas.openxmlformats.org/officeDocument/2006/relationships/table"></Relationship><Relationship Id="rId12" Target="../tables/table15.xml" Type="http://schemas.openxmlformats.org/officeDocument/2006/relationships/table"></Relationship><Relationship Id="rId13" Target="../tables/table16.xml" Type="http://schemas.openxmlformats.org/officeDocument/2006/relationships/table"></Relationship><Relationship Id="rId14" Target="../tables/table17.xml" Type="http://schemas.openxmlformats.org/officeDocument/2006/relationships/table"></Relationship><Relationship Id="rId15" Target="../tables/table18.xml" Type="http://schemas.openxmlformats.org/officeDocument/2006/relationships/table"></Relationship><Relationship Id="rId16" Target="../tables/table19.xml" Type="http://schemas.openxmlformats.org/officeDocument/2006/relationships/table"></Relationship><Relationship Id="rId17" Target="../tables/table20.xml" Type="http://schemas.openxmlformats.org/officeDocument/2006/relationships/table"></Relationship><Relationship Id="rId18" Target="../tables/table21.xml" Type="http://schemas.openxmlformats.org/officeDocument/2006/relationships/table"></Relationship><Relationship Id="rId19" Target="../tables/table22.xml" Type="http://schemas.openxmlformats.org/officeDocument/2006/relationships/table"></Relationship><Relationship Id="rId20" Target="../tables/table23.xml" Type="http://schemas.openxmlformats.org/officeDocument/2006/relationships/table"></Relationship><Relationship Id="rId21" Target="../tables/table24.xml" Type="http://schemas.openxmlformats.org/officeDocument/2006/relationships/table"></Relationship><Relationship Id="rId22" Target="../tables/table25.xml" Type="http://schemas.openxmlformats.org/officeDocument/2006/relationships/table"></Relationship><Relationship Id="rId23" Target="../tables/table26.xml" Type="http://schemas.openxmlformats.org/officeDocument/2006/relationships/table"></Relationship><Relationship Id="rId24" Target="../tables/table27.xml" Type="http://schemas.openxmlformats.org/officeDocument/2006/relationships/table"></Relationship><Relationship Id="rId25" Target="../tables/table28.xml" Type="http://schemas.openxmlformats.org/officeDocument/2006/relationships/table"></Relationship><Relationship Id="rId26" Target="../tables/table29.xml" Type="http://schemas.openxmlformats.org/officeDocument/2006/relationships/table"></Relationship><Relationship Id="rId27" Target="../tables/table30.xml" Type="http://schemas.openxmlformats.org/officeDocument/2006/relationships/table"></Relationship><Relationship Id="rId28" Target="../tables/table31.xml" Type="http://schemas.openxmlformats.org/officeDocument/2006/relationships/table"></Relationship><Relationship Id="rId29" Target="../tables/table32.xml" Type="http://schemas.openxmlformats.org/officeDocument/2006/relationships/table"></Relationship><Relationship Id="rId30" Target="../tables/table33.xml" Type="http://schemas.openxmlformats.org/officeDocument/2006/relationships/table"></Relationship><Relationship Id="rId31" Target="../tables/table34.xml" Type="http://schemas.openxmlformats.org/officeDocument/2006/relationships/table"></Relationship><Relationship Id="rId32" Target="../tables/table35.xml" Type="http://schemas.openxmlformats.org/officeDocument/2006/relationships/table"></Relationship><Relationship Id="rId33" Target="../tables/table36.xml" Type="http://schemas.openxmlformats.org/officeDocument/2006/relationships/table"></Relationship><Relationship Id="rId34" Target="../tables/table37.xml" Type="http://schemas.openxmlformats.org/officeDocument/2006/relationships/table"></Relationship><Relationship Id="rId35" Target="../tables/table38.xml" Type="http://schemas.openxmlformats.org/officeDocument/2006/relationships/table"></Relationship><Relationship Id="rId36" Target="../tables/table39.xml" Type="http://schemas.openxmlformats.org/officeDocument/2006/relationships/table"></Relationship><Relationship Id="rId37" Target="../tables/table40.xml" Type="http://schemas.openxmlformats.org/officeDocument/2006/relationships/table"></Relationship><Relationship Id="rId38" Target="../tables/table41.xml" Type="http://schemas.openxmlformats.org/officeDocument/2006/relationships/table"></Relationship><Relationship Id="rId39" Target="../tables/table42.xml" Type="http://schemas.openxmlformats.org/officeDocument/2006/relationships/table"></Relationship><Relationship Id="rId40" Target="../tables/table43.xml" Type="http://schemas.openxmlformats.org/officeDocument/2006/relationships/table"></Relationship><Relationship Id="rId41" Target="../tables/table44.xml" Type="http://schemas.openxmlformats.org/officeDocument/2006/relationships/table"></Relationship><Relationship Id="rId42" Target="../tables/table45.xml" Type="http://schemas.openxmlformats.org/officeDocument/2006/relationships/table"></Relationship><Relationship Id="rId43" Target="../tables/table46.xml" Type="http://schemas.openxmlformats.org/officeDocument/2006/relationships/table"></Relationship><Relationship Id="rId44" Target="../tables/table47.xml" Type="http://schemas.openxmlformats.org/officeDocument/2006/relationships/table"></Relationship><Relationship Id="rId45" Target="../tables/table48.xml" Type="http://schemas.openxmlformats.org/officeDocument/2006/relationships/table"></Relationship><Relationship Id="rId46" Target="../tables/table49.xml" Type="http://schemas.openxmlformats.org/officeDocument/2006/relationships/table"></Relationship><Relationship Id="rId47" Target="../tables/table50.xml" Type="http://schemas.openxmlformats.org/officeDocument/2006/relationships/table"></Relationship><Relationship Id="rId48" Target="../tables/table51.xml" Type="http://schemas.openxmlformats.org/officeDocument/2006/relationships/table"></Relationship><Relationship Id="rId49" Target="../tables/table52.xml" Type="http://schemas.openxmlformats.org/officeDocument/2006/relationships/table"></Relationship><Relationship Id="rId50" Target="../tables/table53.xml" Type="http://schemas.openxmlformats.org/officeDocument/2006/relationships/table"></Relationship><Relationship Id="rId51" Target="../tables/table54.xml" Type="http://schemas.openxmlformats.org/officeDocument/2006/relationships/table"></Relationship><Relationship Id="rId52" Target="../tables/table55.xml" Type="http://schemas.openxmlformats.org/officeDocument/2006/relationships/table"></Relationship><Relationship Id="rId53" Target="../tables/table56.xml" Type="http://schemas.openxmlformats.org/officeDocument/2006/relationships/table"></Relationship><Relationship Id="rId54" Target="../tables/table57.xml" Type="http://schemas.openxmlformats.org/officeDocument/2006/relationships/table"></Relationship></Relationships>
</file>

<file path=xl/worksheets/_rels/sheet6.xml.rels><?xml version="1.0" encoding="UTF-8"?>
<Relationships xmlns="http://schemas.openxmlformats.org/package/2006/relationships"><Relationship Id="rId1" Target="../tables/table58.xml" Type="http://schemas.openxmlformats.org/officeDocument/2006/relationships/table"></Relationship><Relationship Id="rId2" Target="../tables/table59.xml" Type="http://schemas.openxmlformats.org/officeDocument/2006/relationships/table"></Relationship><Relationship Id="rId3" Target="../tables/table60.xml" Type="http://schemas.openxmlformats.org/officeDocument/2006/relationships/table"></Relationship><Relationship Id="rId4" Target="../tables/table61.xml" Type="http://schemas.openxmlformats.org/officeDocument/2006/relationships/table"></Relationship><Relationship Id="rId5" Target="../tables/table62.xml" Type="http://schemas.openxmlformats.org/officeDocument/2006/relationships/table"></Relationship><Relationship Id="rId6" Target="../tables/table63.xml" Type="http://schemas.openxmlformats.org/officeDocument/2006/relationships/table"></Relationship><Relationship Id="rId7" Target="../tables/table64.xml" Type="http://schemas.openxmlformats.org/officeDocument/2006/relationships/table"></Relationship><Relationship Id="rId8" Target="../tables/table65.xml" Type="http://schemas.openxmlformats.org/officeDocument/2006/relationships/table"></Relationship><Relationship Id="rId9" Target="../tables/table66.xml" Type="http://schemas.openxmlformats.org/officeDocument/2006/relationships/table"></Relationship><Relationship Id="rId10" Target="../tables/table67.xml" Type="http://schemas.openxmlformats.org/officeDocument/2006/relationships/table"></Relationship><Relationship Id="rId11" Target="../tables/table68.xml" Type="http://schemas.openxmlformats.org/officeDocument/2006/relationships/table"></Relationship><Relationship Id="rId12" Target="../tables/table69.xml" Type="http://schemas.openxmlformats.org/officeDocument/2006/relationships/table"></Relationship><Relationship Id="rId13" Target="../tables/table70.xml" Type="http://schemas.openxmlformats.org/officeDocument/2006/relationships/table"></Relationship><Relationship Id="rId14" Target="../tables/table71.xml" Type="http://schemas.openxmlformats.org/officeDocument/2006/relationships/table"></Relationship><Relationship Id="rId15" Target="../tables/table72.xml" Type="http://schemas.openxmlformats.org/officeDocument/2006/relationships/table"></Relationship><Relationship Id="rId16" Target="../tables/table73.xml" Type="http://schemas.openxmlformats.org/officeDocument/2006/relationships/table"></Relationship><Relationship Id="rId17" Target="../tables/table74.xml" Type="http://schemas.openxmlformats.org/officeDocument/2006/relationships/table"></Relationship><Relationship Id="rId18" Target="../tables/table75.xml" Type="http://schemas.openxmlformats.org/officeDocument/2006/relationships/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tabColor rgb="D3D3D3"/>
  </sheetPr>
  <dimension ref="A1"/>
  <sheetViews>
    <sheetView showGridLines="false" tabSelected="true" workbookViewId="0"/>
  </sheetViews>
  <sheetFormatPr defaultRowHeight="15"/>
  <cols>
    <col customWidth="true" max="1" min="1" width="3"/>
    <col customWidth="true" max="2" min="2" width="32"/>
    <col customWidth="true" max="3" min="3" width="43"/>
    <col customWidth="true" max="4" min="4" width="24"/>
    <col customWidth="true" max="5" min="5" width="35"/>
    <col customWidth="true" hidden="true" max="27" min="27" width="9.140625"/>
  </cols>
  <sheetData>
    <row r="1">
      <c r="AA1" s="3" t="s">
        <v>2</v>
      </c>
    </row>
    <row r="2" ht="40" customHeight="true">
      <c r="B2" s="1" t="s">
        <v>0</v>
      </c>
      <c r="C2" s="1"/>
      <c r="D2" s="1"/>
      <c r="E2" s="1"/>
      <c r="AA2" s="3" t="s">
        <v>3</v>
      </c>
    </row>
    <row r="3">
      <c r="AA3" s="3" t="s">
        <v>4</v>
      </c>
    </row>
    <row r="4" ht="24" customHeight="true">
      <c r="B4" s="2" t="s">
        <v>1</v>
      </c>
      <c r="C4" s="2"/>
      <c r="D4" s="2"/>
      <c r="E4" s="2"/>
      <c r="AA4" s="3" t="s">
        <v>5</v>
      </c>
    </row>
    <row r="5" ht="22" customHeight="true">
      <c r="B5" s="4" t="s">
        <v>157</v>
      </c>
      <c r="C5" s="5" t="s">
        <v>158</v>
      </c>
      <c r="D5" s="4" t="s">
        <v>159</v>
      </c>
      <c r="E5" s="6" t="s">
        <v>160</v>
      </c>
      <c r="AA5" s="3" t="s">
        <v>6</v>
      </c>
    </row>
    <row r="6" ht="22" customHeight="true">
      <c r="B6" s="4" t="s">
        <v>161</v>
      </c>
      <c r="C6" s="5" t="s">
        <v>158</v>
      </c>
      <c r="D6" s="5"/>
      <c r="E6" s="5"/>
      <c r="AA6" s="3" t="s">
        <v>7</v>
      </c>
    </row>
    <row r="7" ht="22" customHeight="true">
      <c r="B7" s="4" t="s">
        <v>162</v>
      </c>
      <c r="C7" s="5" t="s">
        <v>158</v>
      </c>
      <c r="D7" s="4" t="s">
        <v>163</v>
      </c>
      <c r="E7" s="5" t="s">
        <v>158</v>
      </c>
      <c r="AA7" s="3" t="s">
        <v>8</v>
      </c>
    </row>
    <row r="8" ht="22" customHeight="true">
      <c r="B8" s="4" t="s">
        <v>164</v>
      </c>
      <c r="C8" s="7" t="s">
        <v>158</v>
      </c>
      <c r="D8" s="4" t="s">
        <v>165</v>
      </c>
      <c r="E8" s="7" t="s">
        <v>158</v>
      </c>
      <c r="AA8" s="3" t="s">
        <v>9</v>
      </c>
    </row>
    <row r="9" ht="22" customHeight="true">
      <c r="B9" s="4" t="s">
        <v>166</v>
      </c>
      <c r="C9" s="8" t="str">
        <f>=IF(AND(ISNUMBER($C$8),ISNUMBER($E$8)),TEXT(DAY($C$8),"00")&amp;"."&amp;TEXT(MONTH($C$8),"00")&amp;"."&amp;TEXT(YEAR($C$8),"0000")&amp;" - "&amp;TEXT(DAY($E$8),"00")&amp;"."&amp;TEXT(MONTH($E$8),"00")&amp;"."&amp;TEXT(YEAR($E$8),"0000"),"")</f>
      </c>
      <c r="D9" s="4" t="s">
        <v>167</v>
      </c>
      <c r="E9" s="8" t="str">
        <f>=IF(AND(ISNUMBER($C$8),ISNUMBER($E$8)),DATEDIF($C$8,$E$8+1,"M"),"")</f>
      </c>
      <c r="AA9" s="3" t="s">
        <v>10</v>
      </c>
    </row>
    <row r="10" ht="22" customHeight="true">
      <c r="B10" s="9" t="s">
        <v>168</v>
      </c>
      <c r="C10" s="10" t="s">
        <v>158</v>
      </c>
      <c r="D10" s="9" t="s">
        <v>169</v>
      </c>
      <c r="E10" s="10" t="s">
        <v>158</v>
      </c>
      <c r="AA10" s="3" t="s">
        <v>11</v>
      </c>
    </row>
    <row r="11" ht="22" customHeight="true">
      <c r="B11" s="4" t="s">
        <v>170</v>
      </c>
      <c r="C11" s="7" t="s">
        <v>158</v>
      </c>
      <c r="D11" s="4" t="s">
        <v>171</v>
      </c>
      <c r="E11" s="11" t="s">
        <v>158</v>
      </c>
      <c r="AA11" s="3" t="s">
        <v>12</v>
      </c>
    </row>
    <row r="12" ht="22" customHeight="true">
      <c r="B12" s="4" t="s">
        <v>172</v>
      </c>
      <c r="C12" s="12" t="s">
        <v>158</v>
      </c>
      <c r="D12" s="4" t="s">
        <v>173</v>
      </c>
      <c r="E12" s="13" t="str">
        <f>=IFERROR(ROUND($C$12/$E$11,2),0)</f>
      </c>
      <c r="AA12" s="3" t="s">
        <v>13</v>
      </c>
    </row>
    <row r="13" ht="22" customHeight="true">
      <c r="B13" s="4" t="s">
        <v>174</v>
      </c>
      <c r="C13" s="7" t="s">
        <v>158</v>
      </c>
      <c r="D13" s="4" t="s">
        <v>171</v>
      </c>
      <c r="E13" s="11" t="s">
        <v>158</v>
      </c>
      <c r="AA13" s="3" t="s">
        <v>14</v>
      </c>
    </row>
    <row r="14" ht="22" customHeight="true">
      <c r="B14" s="4" t="s">
        <v>175</v>
      </c>
      <c r="C14" s="12" t="s">
        <v>158</v>
      </c>
      <c r="D14" s="4" t="s">
        <v>176</v>
      </c>
      <c r="E14" s="13" t="str">
        <f>=IFERROR(ROUND($C$14/$E$13,2),0)</f>
      </c>
      <c r="AA14" s="3" t="s">
        <v>15</v>
      </c>
    </row>
    <row r="15">
      <c r="AA15" s="3" t="s">
        <v>16</v>
      </c>
    </row>
    <row r="16" ht="22" customHeight="true">
      <c r="B16" s="14" t="s">
        <v>177</v>
      </c>
      <c r="C16" s="14"/>
      <c r="D16" s="15" t="s">
        <v>178</v>
      </c>
      <c r="E16" s="16" t="s">
        <v>179</v>
      </c>
      <c r="AA16" s="3" t="s">
        <v>17</v>
      </c>
    </row>
    <row r="17" ht="22" customHeight="true">
      <c r="B17" s="14"/>
      <c r="C17" s="14"/>
      <c r="D17" s="15" t="s">
        <v>178</v>
      </c>
      <c r="E17" s="16" t="s">
        <v>180</v>
      </c>
      <c r="AA17" s="3" t="s">
        <v>18</v>
      </c>
    </row>
    <row r="18" ht="22" customHeight="true">
      <c r="B18" s="14"/>
      <c r="C18" s="14"/>
      <c r="D18" s="15" t="s">
        <v>178</v>
      </c>
      <c r="E18" s="16" t="s">
        <v>181</v>
      </c>
      <c r="AA18" s="3" t="s">
        <v>19</v>
      </c>
    </row>
    <row r="19" ht="22" customHeight="true">
      <c r="B19" s="14"/>
      <c r="C19" s="14"/>
      <c r="D19" s="15" t="s">
        <v>178</v>
      </c>
      <c r="E19" s="16" t="s">
        <v>182</v>
      </c>
      <c r="AA19" s="3" t="s">
        <v>20</v>
      </c>
    </row>
    <row r="20" ht="22" customHeight="true">
      <c r="B20" s="14"/>
      <c r="C20" s="14"/>
      <c r="D20" s="15" t="s">
        <v>178</v>
      </c>
      <c r="E20" s="16" t="s">
        <v>183</v>
      </c>
      <c r="AA20" s="3" t="s">
        <v>21</v>
      </c>
    </row>
    <row r="21" ht="22" customHeight="true">
      <c r="B21" s="14"/>
      <c r="C21" s="14"/>
      <c r="D21" s="15" t="s">
        <v>178</v>
      </c>
      <c r="E21" s="16" t="s">
        <v>184</v>
      </c>
      <c r="AA21" s="3" t="s">
        <v>22</v>
      </c>
    </row>
    <row r="22" ht="22" customHeight="true">
      <c r="B22" s="14"/>
      <c r="C22" s="14"/>
      <c r="D22" s="15" t="s">
        <v>178</v>
      </c>
      <c r="E22" s="16" t="s">
        <v>185</v>
      </c>
      <c r="AA22" s="3" t="s">
        <v>23</v>
      </c>
    </row>
    <row r="23">
      <c r="AA23" s="3" t="s">
        <v>24</v>
      </c>
    </row>
    <row r="24">
      <c r="AA24" s="3" t="s">
        <v>25</v>
      </c>
    </row>
    <row r="25">
      <c r="AA25" s="3" t="s">
        <v>26</v>
      </c>
    </row>
    <row r="26">
      <c r="AA26" s="3" t="s">
        <v>27</v>
      </c>
    </row>
    <row r="27">
      <c r="AA27" s="3" t="s">
        <v>28</v>
      </c>
    </row>
    <row r="28">
      <c r="AA28" s="3" t="s">
        <v>29</v>
      </c>
    </row>
    <row r="29">
      <c r="AA29" s="3" t="s">
        <v>30</v>
      </c>
    </row>
    <row r="30">
      <c r="AA30" s="3" t="s">
        <v>31</v>
      </c>
    </row>
    <row r="31">
      <c r="AA31" s="3" t="s">
        <v>32</v>
      </c>
    </row>
    <row r="32">
      <c r="AA32" s="3" t="s">
        <v>33</v>
      </c>
    </row>
    <row r="33">
      <c r="AA33" s="3" t="s">
        <v>34</v>
      </c>
    </row>
    <row r="34">
      <c r="AA34" s="3" t="s">
        <v>35</v>
      </c>
    </row>
    <row r="35">
      <c r="AA35" s="3" t="s">
        <v>36</v>
      </c>
    </row>
    <row r="36">
      <c r="AA36" s="3" t="s">
        <v>37</v>
      </c>
    </row>
    <row r="37">
      <c r="AA37" s="3" t="s">
        <v>38</v>
      </c>
    </row>
    <row r="38">
      <c r="AA38" s="3" t="s">
        <v>39</v>
      </c>
    </row>
    <row r="39">
      <c r="AA39" s="3" t="s">
        <v>40</v>
      </c>
    </row>
    <row r="40">
      <c r="AA40" s="3" t="s">
        <v>41</v>
      </c>
    </row>
    <row r="41">
      <c r="AA41" s="3" t="s">
        <v>42</v>
      </c>
    </row>
    <row r="42">
      <c r="AA42" s="3" t="s">
        <v>43</v>
      </c>
    </row>
    <row r="43">
      <c r="AA43" s="3" t="s">
        <v>44</v>
      </c>
    </row>
    <row r="44">
      <c r="AA44" s="3" t="s">
        <v>45</v>
      </c>
    </row>
    <row r="45">
      <c r="AA45" s="3" t="s">
        <v>46</v>
      </c>
    </row>
    <row r="46">
      <c r="AA46" s="3" t="s">
        <v>47</v>
      </c>
    </row>
    <row r="47">
      <c r="AA47" s="3" t="s">
        <v>48</v>
      </c>
    </row>
    <row r="48">
      <c r="AA48" s="3" t="s">
        <v>49</v>
      </c>
    </row>
    <row r="49">
      <c r="AA49" s="3" t="s">
        <v>50</v>
      </c>
    </row>
    <row r="50">
      <c r="AA50" s="3" t="s">
        <v>51</v>
      </c>
    </row>
    <row r="51">
      <c r="AA51" s="3" t="s">
        <v>52</v>
      </c>
    </row>
    <row r="52">
      <c r="AA52" s="3" t="s">
        <v>53</v>
      </c>
    </row>
    <row r="53">
      <c r="AA53" s="3" t="s">
        <v>54</v>
      </c>
    </row>
    <row r="54">
      <c r="AA54" s="3" t="s">
        <v>55</v>
      </c>
    </row>
    <row r="55">
      <c r="AA55" s="3" t="s">
        <v>56</v>
      </c>
    </row>
    <row r="56">
      <c r="AA56" s="3" t="s">
        <v>57</v>
      </c>
    </row>
    <row r="57">
      <c r="AA57" s="3" t="s">
        <v>58</v>
      </c>
    </row>
    <row r="58">
      <c r="AA58" s="3" t="s">
        <v>59</v>
      </c>
    </row>
    <row r="59">
      <c r="AA59" s="3" t="s">
        <v>60</v>
      </c>
    </row>
    <row r="60">
      <c r="AA60" s="3" t="s">
        <v>61</v>
      </c>
    </row>
    <row r="61">
      <c r="AA61" s="3" t="s">
        <v>62</v>
      </c>
    </row>
    <row r="62">
      <c r="AA62" s="3" t="s">
        <v>63</v>
      </c>
    </row>
    <row r="63">
      <c r="AA63" s="3" t="s">
        <v>64</v>
      </c>
    </row>
    <row r="64">
      <c r="AA64" s="3" t="s">
        <v>65</v>
      </c>
    </row>
    <row r="65">
      <c r="AA65" s="3" t="s">
        <v>66</v>
      </c>
    </row>
    <row r="66">
      <c r="AA66" s="3" t="s">
        <v>67</v>
      </c>
    </row>
    <row r="67">
      <c r="AA67" s="3" t="s">
        <v>68</v>
      </c>
    </row>
    <row r="68">
      <c r="AA68" s="3" t="s">
        <v>69</v>
      </c>
    </row>
    <row r="69">
      <c r="AA69" s="3" t="s">
        <v>70</v>
      </c>
    </row>
    <row r="70">
      <c r="AA70" s="3" t="s">
        <v>71</v>
      </c>
    </row>
    <row r="71">
      <c r="AA71" s="3" t="s">
        <v>72</v>
      </c>
    </row>
    <row r="72">
      <c r="AA72" s="3" t="s">
        <v>73</v>
      </c>
    </row>
    <row r="73">
      <c r="AA73" s="3" t="s">
        <v>74</v>
      </c>
    </row>
    <row r="74">
      <c r="AA74" s="3" t="s">
        <v>75</v>
      </c>
    </row>
    <row r="75">
      <c r="AA75" s="3" t="s">
        <v>76</v>
      </c>
    </row>
    <row r="76">
      <c r="AA76" s="3" t="s">
        <v>77</v>
      </c>
    </row>
    <row r="77">
      <c r="AA77" s="3" t="s">
        <v>78</v>
      </c>
    </row>
    <row r="78">
      <c r="AA78" s="3" t="s">
        <v>79</v>
      </c>
    </row>
    <row r="79">
      <c r="AA79" s="3" t="s">
        <v>80</v>
      </c>
    </row>
    <row r="80">
      <c r="AA80" s="3" t="s">
        <v>81</v>
      </c>
    </row>
    <row r="81">
      <c r="AA81" s="3" t="s">
        <v>82</v>
      </c>
    </row>
    <row r="82">
      <c r="AA82" s="3" t="s">
        <v>83</v>
      </c>
    </row>
    <row r="83">
      <c r="AA83" s="3" t="s">
        <v>84</v>
      </c>
    </row>
    <row r="84">
      <c r="AA84" s="3" t="s">
        <v>85</v>
      </c>
    </row>
    <row r="85">
      <c r="AA85" s="3" t="s">
        <v>86</v>
      </c>
    </row>
    <row r="86">
      <c r="AA86" s="3" t="s">
        <v>87</v>
      </c>
    </row>
    <row r="87">
      <c r="AA87" s="3" t="s">
        <v>88</v>
      </c>
    </row>
    <row r="88">
      <c r="AA88" s="3" t="s">
        <v>89</v>
      </c>
    </row>
    <row r="89">
      <c r="AA89" s="3" t="s">
        <v>90</v>
      </c>
    </row>
    <row r="90">
      <c r="AA90" s="3" t="s">
        <v>91</v>
      </c>
    </row>
    <row r="91">
      <c r="AA91" s="3" t="s">
        <v>92</v>
      </c>
    </row>
    <row r="92">
      <c r="AA92" s="3" t="s">
        <v>93</v>
      </c>
    </row>
    <row r="93">
      <c r="AA93" s="3" t="s">
        <v>94</v>
      </c>
    </row>
    <row r="94">
      <c r="AA94" s="3" t="s">
        <v>95</v>
      </c>
    </row>
    <row r="95">
      <c r="AA95" s="3" t="s">
        <v>96</v>
      </c>
    </row>
    <row r="96">
      <c r="AA96" s="3" t="s">
        <v>97</v>
      </c>
    </row>
    <row r="97">
      <c r="AA97" s="3" t="s">
        <v>98</v>
      </c>
    </row>
    <row r="98">
      <c r="AA98" s="3" t="s">
        <v>99</v>
      </c>
    </row>
    <row r="99">
      <c r="AA99" s="3" t="s">
        <v>100</v>
      </c>
    </row>
    <row r="100">
      <c r="AA100" s="3" t="s">
        <v>101</v>
      </c>
    </row>
    <row r="101">
      <c r="AA101" s="3" t="s">
        <v>102</v>
      </c>
    </row>
    <row r="102">
      <c r="AA102" s="3" t="s">
        <v>103</v>
      </c>
    </row>
    <row r="103">
      <c r="AA103" s="3" t="s">
        <v>104</v>
      </c>
    </row>
    <row r="104">
      <c r="AA104" s="3" t="s">
        <v>105</v>
      </c>
    </row>
    <row r="105">
      <c r="AA105" s="3" t="s">
        <v>106</v>
      </c>
    </row>
    <row r="106">
      <c r="AA106" s="3" t="s">
        <v>107</v>
      </c>
    </row>
    <row r="107">
      <c r="AA107" s="3" t="s">
        <v>108</v>
      </c>
    </row>
    <row r="108">
      <c r="AA108" s="3" t="s">
        <v>109</v>
      </c>
    </row>
    <row r="109">
      <c r="AA109" s="3" t="s">
        <v>110</v>
      </c>
    </row>
    <row r="110">
      <c r="AA110" s="3" t="s">
        <v>111</v>
      </c>
    </row>
    <row r="111">
      <c r="AA111" s="3" t="s">
        <v>112</v>
      </c>
    </row>
    <row r="112">
      <c r="AA112" s="3" t="s">
        <v>113</v>
      </c>
    </row>
    <row r="113">
      <c r="AA113" s="3" t="s">
        <v>114</v>
      </c>
    </row>
    <row r="114">
      <c r="AA114" s="3" t="s">
        <v>115</v>
      </c>
    </row>
    <row r="115">
      <c r="AA115" s="3" t="s">
        <v>116</v>
      </c>
    </row>
    <row r="116">
      <c r="AA116" s="3" t="s">
        <v>117</v>
      </c>
    </row>
    <row r="117">
      <c r="AA117" s="3" t="s">
        <v>118</v>
      </c>
    </row>
    <row r="118">
      <c r="AA118" s="3" t="s">
        <v>119</v>
      </c>
    </row>
    <row r="119">
      <c r="AA119" s="3" t="s">
        <v>120</v>
      </c>
    </row>
    <row r="120">
      <c r="AA120" s="3" t="s">
        <v>121</v>
      </c>
    </row>
    <row r="121">
      <c r="AA121" s="3" t="s">
        <v>122</v>
      </c>
    </row>
    <row r="122">
      <c r="AA122" s="3" t="s">
        <v>123</v>
      </c>
    </row>
    <row r="123">
      <c r="AA123" s="3" t="s">
        <v>124</v>
      </c>
    </row>
    <row r="124">
      <c r="AA124" s="3" t="s">
        <v>125</v>
      </c>
    </row>
    <row r="125">
      <c r="AA125" s="3" t="s">
        <v>126</v>
      </c>
    </row>
    <row r="126">
      <c r="AA126" s="3" t="s">
        <v>127</v>
      </c>
    </row>
    <row r="127">
      <c r="AA127" s="3" t="s">
        <v>128</v>
      </c>
    </row>
    <row r="128">
      <c r="AA128" s="3" t="s">
        <v>129</v>
      </c>
    </row>
    <row r="129">
      <c r="AA129" s="3" t="s">
        <v>130</v>
      </c>
    </row>
    <row r="130">
      <c r="AA130" s="3" t="s">
        <v>131</v>
      </c>
    </row>
    <row r="131">
      <c r="AA131" s="3" t="s">
        <v>132</v>
      </c>
    </row>
    <row r="132">
      <c r="AA132" s="3" t="s">
        <v>133</v>
      </c>
    </row>
    <row r="133">
      <c r="AA133" s="3" t="s">
        <v>134</v>
      </c>
    </row>
    <row r="134">
      <c r="AA134" s="3" t="s">
        <v>135</v>
      </c>
    </row>
    <row r="135">
      <c r="AA135" s="3" t="s">
        <v>136</v>
      </c>
    </row>
    <row r="136">
      <c r="AA136" s="3" t="s">
        <v>137</v>
      </c>
    </row>
    <row r="137">
      <c r="AA137" s="3" t="s">
        <v>138</v>
      </c>
    </row>
    <row r="138">
      <c r="AA138" s="3" t="s">
        <v>139</v>
      </c>
    </row>
    <row r="139">
      <c r="AA139" s="3" t="s">
        <v>140</v>
      </c>
    </row>
    <row r="140">
      <c r="AA140" s="3" t="s">
        <v>141</v>
      </c>
    </row>
    <row r="141">
      <c r="AA141" s="3" t="s">
        <v>142</v>
      </c>
    </row>
    <row r="142">
      <c r="AA142" s="3" t="s">
        <v>143</v>
      </c>
    </row>
    <row r="143">
      <c r="AA143" s="3" t="s">
        <v>144</v>
      </c>
    </row>
    <row r="144">
      <c r="AA144" s="3" t="s">
        <v>145</v>
      </c>
    </row>
    <row r="145">
      <c r="AA145" s="3" t="s">
        <v>146</v>
      </c>
    </row>
    <row r="146">
      <c r="AA146" s="3" t="s">
        <v>147</v>
      </c>
    </row>
    <row r="147">
      <c r="AA147" s="3" t="s">
        <v>148</v>
      </c>
    </row>
    <row r="148">
      <c r="AA148" s="3" t="s">
        <v>149</v>
      </c>
    </row>
    <row r="149">
      <c r="AA149" s="3" t="s">
        <v>150</v>
      </c>
    </row>
    <row r="150">
      <c r="AA150" s="3" t="s">
        <v>151</v>
      </c>
    </row>
    <row r="151">
      <c r="AA151" s="3" t="s">
        <v>152</v>
      </c>
    </row>
    <row r="152">
      <c r="AA152" s="3" t="s">
        <v>153</v>
      </c>
    </row>
    <row r="153">
      <c r="AA153" s="3" t="s">
        <v>154</v>
      </c>
    </row>
    <row r="154">
      <c r="AA154" s="3" t="s">
        <v>155</v>
      </c>
    </row>
    <row r="155">
      <c r="AA155" s="3" t="s">
        <v>156</v>
      </c>
    </row>
  </sheetData>
  <mergeCells count="4">
    <mergeCell ref="B2:E2"/>
    <mergeCell ref="B4:E4"/>
    <mergeCell ref="C6:E6"/>
    <mergeCell ref="B16:C22"/>
  </mergeCells>
  <conditionalFormatting sqref="B10:E14">
    <cfRule type="expression" dxfId="0" priority="1">
      <formula>$E$5="Nein"</formula>
    </cfRule>
  </conditionalFormatting>
  <conditionalFormatting sqref="E16:E22">
    <cfRule type="expression" dxfId="1" priority="2">
      <formula>$D16="Nein"</formula>
    </cfRule>
  </conditionalFormatting>
  <conditionalFormatting sqref="D16:E16">
    <cfRule type="expression" dxfId="0" priority="3">
      <formula>$E$5="Nein"</formula>
    </cfRule>
  </conditionalFormatting>
  <dataValidations count="10">
    <dataValidation allowBlank="true" sqref="E5" type="list">
      <formula1>"Ja,Nein"</formula1>
    </dataValidation>
    <dataValidation allowBlank="true" sqref="E7" type="list">
      <formula1>'Dashboard'!$AA$1:$AA$155</formula1>
    </dataValidation>
    <dataValidation allowBlank="true" sqref="E10" type="list">
      <formula1>'Dashboard'!$AA$1:$AA$155</formula1>
    </dataValidation>
    <dataValidation allowBlank="true" sqref="D16" type="list">
      <formula1>"Ja,Nein"</formula1>
    </dataValidation>
    <dataValidation allowBlank="true" sqref="D17" type="list">
      <formula1>"Ja,Nein"</formula1>
    </dataValidation>
    <dataValidation allowBlank="true" sqref="D18" type="list">
      <formula1>"Ja,Nein"</formula1>
    </dataValidation>
    <dataValidation allowBlank="true" sqref="D19" type="list">
      <formula1>"Ja,Nein"</formula1>
    </dataValidation>
    <dataValidation allowBlank="true" sqref="D20" type="list">
      <formula1>"Ja,Nein"</formula1>
    </dataValidation>
    <dataValidation allowBlank="true" sqref="D21" type="list">
      <formula1>"Ja,Nein"</formula1>
    </dataValidation>
    <dataValidation allowBlank="true" sqref="D22" type="list">
      <formula1>"Ja,Nein"</formula1>
    </dataValidation>
  </dataValidations>
</worksheet>
</file>

<file path=xl/worksheets/sheet3.xml><?xml version="1.0" encoding="utf-8"?>
<worksheet xmlns="http://schemas.openxmlformats.org/spreadsheetml/2006/main" xmlns:r="http://schemas.openxmlformats.org/officeDocument/2006/relationships" xmlns:mc="http://schemas.openxmlformats.org/markup-compatibility/2006">
  <sheetPr>
    <tabColor rgb="5B9BD5"/>
  </sheetPr>
  <dimension ref="A1"/>
  <sheetViews>
    <sheetView showGridLines="false" workbookViewId="0"/>
  </sheetViews>
  <sheetFormatPr defaultRowHeight="15"/>
  <cols>
    <col customWidth="true" max="2" min="2" width="25"/>
    <col customWidth="true" max="3" min="3" width="8"/>
    <col customWidth="true" max="4" min="4" width="30"/>
    <col customWidth="true" max="5" min="5" width="18"/>
    <col customWidth="true" max="8" min="6" width="14"/>
    <col customWidth="true" max="9" min="9" width="18"/>
    <col customWidth="true" max="10" min="10" width="3"/>
    <col customWidth="true" max="11" min="11" width="25"/>
    <col customWidth="true" max="12" min="12" width="14"/>
    <col customWidth="true" max="13" min="13" width="16"/>
    <col customWidth="true" hidden="true" max="16" min="15" width="9.140625"/>
    <col customWidth="true" hidden="true" max="19" min="18" width="9.140625"/>
  </cols>
  <sheetData>
    <row r="1">
      <c r="S1" cm="1" s="3">
        <f t="array" ref="S1">IFERROR(_xlfn._xlws.FILTER(TblBudgetAusgaben[ID],TblBudgetAusgaben[ID]&lt;&gt;""),"")</f>
        <v>0</v>
      </c>
    </row>
    <row r="2" ht="24" customHeight="true">
      <c r="B2" s="43" t="s">
        <v>186</v>
      </c>
      <c r="C2" s="17"/>
      <c r="D2" s="17"/>
      <c r="E2" s="17"/>
      <c r="F2" s="17"/>
      <c r="G2" s="17"/>
      <c r="H2" s="17"/>
      <c r="I2" s="44"/>
      <c r="K2" s="65" t="s">
        <v>364</v>
      </c>
    </row>
    <row r="3">
      <c r="B3" s="45"/>
      <c r="I3" s="46"/>
      <c r="K3" s="66" t="str">
        <f>=$P$11</f>
      </c>
    </row>
    <row r="4" ht="24" customHeight="true">
      <c r="B4" s="47" t="s">
        <v>187</v>
      </c>
      <c r="C4" s="18"/>
      <c r="D4" s="18"/>
      <c r="E4" s="18"/>
      <c r="F4" s="18"/>
      <c r="G4" s="19" t="s">
        <v>188</v>
      </c>
      <c r="H4" s="20" t="str">
        <f>=IFERROR($E$15/$I$15,0)</f>
      </c>
      <c r="I4" s="48"/>
      <c r="K4" s="67" t="s">
        <v>365</v>
      </c>
      <c r="O4" s="3" t="str">
        <f>=SUMIFS(TblBudgetAusgaben[Betrag (LC)],TblBudgetAusgaben[Kostenkategorie],"Bauausgaben")</f>
      </c>
      <c r="P4" s="3" t="str">
        <f>=SUMIFS(TblBudgetAusgaben[Betrag (EUR)],TblBudgetAusgaben[Kostenkategorie],"Bauausgaben")</f>
      </c>
    </row>
    <row r="5">
      <c r="B5" s="38" t="s">
        <v>189</v>
      </c>
      <c r="C5" s="21"/>
      <c r="D5" s="21"/>
      <c r="E5" s="21" t="s">
        <v>190</v>
      </c>
      <c r="F5" s="21" t="s">
        <v>191</v>
      </c>
      <c r="G5" s="21" t="s">
        <v>192</v>
      </c>
      <c r="H5" s="21" t="s">
        <v>193</v>
      </c>
      <c r="I5" s="39" t="s">
        <v>194</v>
      </c>
      <c r="K5" s="68" t="s">
        <v>178</v>
      </c>
      <c r="O5" s="3" t="str">
        <f>=SUMIFS(TblBudgetAusgaben[Betrag (LC)],TblBudgetAusgaben[Kostenkategorie],"Investitionen")</f>
      </c>
      <c r="P5" s="3" t="str">
        <f>=SUMIFS(TblBudgetAusgaben[Betrag (EUR)],TblBudgetAusgaben[Kostenkategorie],"Investitionen")</f>
      </c>
    </row>
    <row r="6" ht="20" customHeight="true">
      <c r="B6" s="49" t="s">
        <v>195</v>
      </c>
      <c r="C6" s="22"/>
      <c r="D6" s="22"/>
      <c r="E6" s="22"/>
      <c r="F6" s="22"/>
      <c r="G6" s="22"/>
      <c r="H6" s="22"/>
      <c r="I6" s="50"/>
      <c r="K6" s="69" t="str">
        <f>=IF($K$5="Ja","FREIGEGEBEN","NICHT FREIGEGEBEN")</f>
      </c>
      <c r="O6" s="3" t="str">
        <f>=SUMIFS(TblBudgetAusgaben[Betrag (LC)],TblBudgetAusgaben[Kostenkategorie],"Personalkosten")</f>
      </c>
      <c r="P6" s="3" t="str">
        <f>=SUMIFS(TblBudgetAusgaben[Betrag (EUR)],TblBudgetAusgaben[Kostenkategorie],"Personalkosten")</f>
      </c>
    </row>
    <row r="7" ht="22" customHeight="true">
      <c r="B7" s="51" t="s">
        <v>196</v>
      </c>
      <c r="E7" s="24">
        <v>120000</v>
      </c>
      <c r="F7" s="24">
        <v>50000</v>
      </c>
      <c r="G7" s="24">
        <v>30000</v>
      </c>
      <c r="H7" s="24">
        <v>40000</v>
      </c>
      <c r="I7" s="52">
        <v>60000</v>
      </c>
      <c r="O7" s="3" t="str">
        <f>=SUMIFS(TblBudgetAusgaben[Betrag (LC)],TblBudgetAusgaben[Kostenkategorie],"Projektaktivitaeten")</f>
      </c>
      <c r="P7" s="3" t="str">
        <f>=SUMIFS(TblBudgetAusgaben[Betrag (EUR)],TblBudgetAusgaben[Kostenkategorie],"Projektaktivitaeten")</f>
      </c>
    </row>
    <row r="8">
      <c r="B8" s="45"/>
      <c r="I8" s="46"/>
      <c r="K8" s="70" t="s">
        <v>366</v>
      </c>
      <c r="L8" s="70"/>
      <c r="M8" s="70"/>
      <c r="O8" s="3" t="str">
        <f>=SUMIFS(TblBudgetAusgaben[Betrag (LC)],TblBudgetAusgaben[Kostenkategorie],"Projektverwaltung")</f>
      </c>
      <c r="P8" s="3" t="str">
        <f>=SUMIFS(TblBudgetAusgaben[Betrag (EUR)],TblBudgetAusgaben[Kostenkategorie],"Projektverwaltung")</f>
      </c>
    </row>
    <row r="9" ht="20" customHeight="true">
      <c r="B9" s="49" t="s">
        <v>197</v>
      </c>
      <c r="C9" s="22"/>
      <c r="D9" s="22"/>
      <c r="E9" s="22"/>
      <c r="F9" s="22"/>
      <c r="G9" s="22"/>
      <c r="H9" s="22"/>
      <c r="I9" s="50"/>
      <c r="K9" s="71" t="s">
        <v>158</v>
      </c>
      <c r="L9" s="71"/>
      <c r="M9" s="71"/>
      <c r="O9" s="3" t="str">
        <f>=SUMIFS(TblBudgetAusgaben[Betrag (LC)],TblBudgetAusgaben[Kostenkategorie],"Evaluierung")</f>
      </c>
      <c r="P9" s="3" t="str">
        <f>=SUMIFS(TblBudgetAusgaben[Betrag (EUR)],TblBudgetAusgaben[Kostenkategorie],"Evaluierung")</f>
      </c>
    </row>
    <row r="10" ht="22" customHeight="true">
      <c r="B10" s="51" t="s">
        <v>198</v>
      </c>
      <c r="D10" s="26" t="s">
        <v>199</v>
      </c>
      <c r="E10" s="27" t="str">
        <f>=SUM(TblDrittmittel[Betrag (LC)])</f>
      </c>
      <c r="F10" s="24">
        <v>3000</v>
      </c>
      <c r="G10" s="24">
        <v>2000</v>
      </c>
      <c r="H10" s="24">
        <v>1000</v>
      </c>
      <c r="I10" s="53" t="str">
        <f>=SUM(TblDrittmittel[Betrag (EUR)])</f>
      </c>
      <c r="K10" s="71"/>
      <c r="L10" s="71"/>
      <c r="M10" s="71"/>
      <c r="O10" s="3" t="str">
        <f>=SUMIFS(TblBudgetAusgaben[Betrag (LC)],TblBudgetAusgaben[Kostenkategorie],"Audit")</f>
      </c>
      <c r="P10" s="3" t="str">
        <f>=SUMIFS(TblBudgetAusgaben[Betrag (EUR)],TblBudgetAusgaben[Kostenkategorie],"Audit")</f>
      </c>
    </row>
    <row r="11">
      <c r="B11" s="45"/>
      <c r="I11" s="46"/>
      <c r="K11" s="71"/>
      <c r="L11" s="71"/>
      <c r="M11" s="71"/>
      <c r="O11" s="3" t="str">
        <f>=SUMIFS(TblBudgetAusgaben[Betrag (LC)],TblBudgetAusgaben[Kostenkategorie],"Reserve")</f>
      </c>
      <c r="P11" s="3" t="str">
        <f>=SUMIFS(TblBudgetAusgaben[Betrag (EUR)],TblBudgetAusgaben[Kostenkategorie],"Reserve")</f>
      </c>
    </row>
    <row r="12" ht="20" customHeight="true">
      <c r="B12" s="49" t="s">
        <v>200</v>
      </c>
      <c r="C12" s="22"/>
      <c r="D12" s="22"/>
      <c r="E12" s="22"/>
      <c r="F12" s="22"/>
      <c r="G12" s="22"/>
      <c r="H12" s="22"/>
      <c r="I12" s="50"/>
      <c r="K12" s="71"/>
      <c r="L12" s="71"/>
      <c r="M12" s="71"/>
      <c r="O12" s="3" t="str">
        <f>=SUBTOTAL(109,TblBudgetAusgaben[Betrag (LC)])</f>
      </c>
      <c r="P12" s="3" t="str">
        <f>=SUBTOTAL(109,TblBudgetAusgaben[Betrag (EUR)])</f>
      </c>
    </row>
    <row r="13" ht="22" customHeight="true">
      <c r="B13" s="51" t="s">
        <v>201</v>
      </c>
      <c r="E13" s="24">
        <v>140700</v>
      </c>
      <c r="F13" s="24">
        <v>80350</v>
      </c>
      <c r="G13" s="24">
        <v>56900</v>
      </c>
      <c r="H13" s="24">
        <v>3450</v>
      </c>
      <c r="I13" s="52">
        <v>70350</v>
      </c>
    </row>
    <row r="14">
      <c r="B14" s="45"/>
      <c r="I14" s="46"/>
    </row>
    <row r="15" ht="20" customHeight="true">
      <c r="B15" s="54" t="s">
        <v>202</v>
      </c>
      <c r="C15" s="31"/>
      <c r="D15" s="31"/>
      <c r="E15" s="31" t="str">
        <f>=E7+E10+E13</f>
      </c>
      <c r="F15" s="31" t="str">
        <f>=F7+F10+F13</f>
      </c>
      <c r="G15" s="31" t="str">
        <f>=G7+G10+G13</f>
      </c>
      <c r="H15" s="31" t="str">
        <f>=H7+H10+H13</f>
      </c>
      <c r="I15" s="55" t="str">
        <f>=I7+I10+I13</f>
      </c>
    </row>
    <row r="16">
      <c r="B16" s="45"/>
      <c r="I16" s="46"/>
    </row>
    <row r="17" ht="24" customHeight="true">
      <c r="B17" s="47" t="s">
        <v>203</v>
      </c>
      <c r="C17" s="18"/>
      <c r="D17" s="18"/>
      <c r="E17" s="18"/>
      <c r="F17" s="18"/>
      <c r="G17" s="18"/>
      <c r="H17" s="18"/>
      <c r="I17" s="48"/>
      <c r="K17" s="35" t="s">
        <v>361</v>
      </c>
      <c r="L17" s="36"/>
      <c r="M17" s="37"/>
    </row>
    <row r="18">
      <c r="B18" s="38" t="s">
        <v>204</v>
      </c>
      <c r="C18" s="21" t="s">
        <v>205</v>
      </c>
      <c r="D18" s="21" t="s">
        <v>206</v>
      </c>
      <c r="E18" s="21" t="s">
        <v>190</v>
      </c>
      <c r="F18" s="21" t="s">
        <v>191</v>
      </c>
      <c r="G18" s="21" t="s">
        <v>192</v>
      </c>
      <c r="H18" s="21" t="s">
        <v>193</v>
      </c>
      <c r="I18" s="39" t="s">
        <v>194</v>
      </c>
      <c r="K18" s="38" t="s">
        <v>362</v>
      </c>
      <c r="L18" s="21" t="s">
        <v>190</v>
      </c>
      <c r="M18" s="39" t="s">
        <v>194</v>
      </c>
    </row>
    <row r="19">
      <c r="B19" s="56" t="s">
        <v>207</v>
      </c>
      <c r="C19" s="33" t="s">
        <v>208</v>
      </c>
      <c r="D19" s="32" t="s">
        <v>209</v>
      </c>
      <c r="E19" s="24">
        <v>3000</v>
      </c>
      <c r="F19" s="24">
        <v>1500</v>
      </c>
      <c r="G19" s="24">
        <v>1000</v>
      </c>
      <c r="H19" s="24">
        <v>500</v>
      </c>
      <c r="I19" s="52">
        <v>1500</v>
      </c>
      <c r="K19" s="40" t="s">
        <v>363</v>
      </c>
      <c r="L19" s="41">
        <v>6000</v>
      </c>
      <c r="M19" s="42">
        <v>3000</v>
      </c>
    </row>
    <row r="20">
      <c r="B20" s="56" t="s">
        <v>207</v>
      </c>
      <c r="C20" s="33" t="s">
        <v>210</v>
      </c>
      <c r="D20" s="32" t="s">
        <v>211</v>
      </c>
      <c r="E20" s="24">
        <v>3000</v>
      </c>
      <c r="F20" s="24">
        <v>1500</v>
      </c>
      <c r="G20" s="24">
        <v>1000</v>
      </c>
      <c r="H20" s="24">
        <v>500</v>
      </c>
      <c r="I20" s="52">
        <v>1500</v>
      </c>
    </row>
    <row r="21">
      <c r="B21" s="56" t="s">
        <v>207</v>
      </c>
      <c r="C21" s="33" t="s">
        <v>212</v>
      </c>
      <c r="D21" s="32" t="s">
        <v>213</v>
      </c>
      <c r="E21" s="24">
        <v>3000</v>
      </c>
      <c r="F21" s="24">
        <v>1500</v>
      </c>
      <c r="G21" s="24">
        <v>1000</v>
      </c>
      <c r="H21" s="24">
        <v>500</v>
      </c>
      <c r="I21" s="52">
        <v>1500</v>
      </c>
    </row>
    <row r="22">
      <c r="B22" s="56" t="s">
        <v>207</v>
      </c>
      <c r="C22" s="33" t="s">
        <v>214</v>
      </c>
      <c r="D22" s="32" t="s">
        <v>215</v>
      </c>
      <c r="E22" s="24">
        <v>3000</v>
      </c>
      <c r="F22" s="24">
        <v>1500</v>
      </c>
      <c r="G22" s="24">
        <v>1000</v>
      </c>
      <c r="H22" s="24">
        <v>500</v>
      </c>
      <c r="I22" s="52">
        <v>1500</v>
      </c>
    </row>
    <row r="23">
      <c r="B23" s="56" t="s">
        <v>207</v>
      </c>
      <c r="C23" s="33" t="s">
        <v>216</v>
      </c>
      <c r="D23" s="32" t="s">
        <v>217</v>
      </c>
      <c r="E23" s="24">
        <v>3000</v>
      </c>
      <c r="F23" s="24">
        <v>1500</v>
      </c>
      <c r="G23" s="24">
        <v>1000</v>
      </c>
      <c r="H23" s="24">
        <v>500</v>
      </c>
      <c r="I23" s="52">
        <v>1500</v>
      </c>
    </row>
    <row r="24">
      <c r="B24" s="56" t="s">
        <v>207</v>
      </c>
      <c r="C24" s="33" t="s">
        <v>218</v>
      </c>
      <c r="D24" s="32" t="s">
        <v>219</v>
      </c>
      <c r="E24" s="24">
        <v>3000</v>
      </c>
      <c r="F24" s="24">
        <v>1500</v>
      </c>
      <c r="G24" s="24">
        <v>1000</v>
      </c>
      <c r="H24" s="24">
        <v>500</v>
      </c>
      <c r="I24" s="52">
        <v>1500</v>
      </c>
    </row>
    <row r="25">
      <c r="B25" s="56" t="s">
        <v>207</v>
      </c>
      <c r="C25" s="33" t="s">
        <v>220</v>
      </c>
      <c r="D25" s="32" t="s">
        <v>221</v>
      </c>
      <c r="E25" s="24">
        <v>3000</v>
      </c>
      <c r="F25" s="24">
        <v>1500</v>
      </c>
      <c r="G25" s="24">
        <v>1000</v>
      </c>
      <c r="H25" s="24">
        <v>500</v>
      </c>
      <c r="I25" s="52">
        <v>1500</v>
      </c>
    </row>
    <row r="26">
      <c r="B26" s="56" t="s">
        <v>207</v>
      </c>
      <c r="C26" s="33" t="s">
        <v>222</v>
      </c>
      <c r="D26" s="32" t="s">
        <v>223</v>
      </c>
      <c r="E26" s="24">
        <v>3000</v>
      </c>
      <c r="F26" s="24">
        <v>1500</v>
      </c>
      <c r="G26" s="24">
        <v>1000</v>
      </c>
      <c r="H26" s="24">
        <v>500</v>
      </c>
      <c r="I26" s="52">
        <v>1500</v>
      </c>
    </row>
    <row r="27">
      <c r="B27" s="56" t="s">
        <v>207</v>
      </c>
      <c r="C27" s="33" t="s">
        <v>224</v>
      </c>
      <c r="D27" s="32" t="s">
        <v>225</v>
      </c>
      <c r="E27" s="24">
        <v>3000</v>
      </c>
      <c r="F27" s="24">
        <v>1500</v>
      </c>
      <c r="G27" s="24">
        <v>1000</v>
      </c>
      <c r="H27" s="24">
        <v>500</v>
      </c>
      <c r="I27" s="52">
        <v>1500</v>
      </c>
    </row>
    <row r="28">
      <c r="B28" s="56" t="s">
        <v>207</v>
      </c>
      <c r="C28" s="33" t="s">
        <v>226</v>
      </c>
      <c r="D28" s="32" t="s">
        <v>227</v>
      </c>
      <c r="E28" s="24">
        <v>3000</v>
      </c>
      <c r="F28" s="24">
        <v>1500</v>
      </c>
      <c r="G28" s="24">
        <v>1000</v>
      </c>
      <c r="H28" s="24">
        <v>500</v>
      </c>
      <c r="I28" s="52">
        <v>1500</v>
      </c>
    </row>
    <row r="29">
      <c r="B29" s="56" t="s">
        <v>207</v>
      </c>
      <c r="C29" s="33" t="s">
        <v>228</v>
      </c>
      <c r="D29" s="32" t="s">
        <v>229</v>
      </c>
      <c r="E29" s="24">
        <v>3000</v>
      </c>
      <c r="F29" s="24">
        <v>1500</v>
      </c>
      <c r="G29" s="24">
        <v>1000</v>
      </c>
      <c r="H29" s="24">
        <v>500</v>
      </c>
      <c r="I29" s="52">
        <v>1500</v>
      </c>
    </row>
    <row r="30">
      <c r="B30" s="56" t="s">
        <v>207</v>
      </c>
      <c r="C30" s="33" t="s">
        <v>230</v>
      </c>
      <c r="D30" s="32" t="s">
        <v>231</v>
      </c>
      <c r="E30" s="24">
        <v>3000</v>
      </c>
      <c r="F30" s="24">
        <v>1500</v>
      </c>
      <c r="G30" s="24">
        <v>1000</v>
      </c>
      <c r="H30" s="24">
        <v>500</v>
      </c>
      <c r="I30" s="52">
        <v>1500</v>
      </c>
    </row>
    <row r="31">
      <c r="B31" s="56" t="s">
        <v>207</v>
      </c>
      <c r="C31" s="33" t="s">
        <v>232</v>
      </c>
      <c r="D31" s="32" t="s">
        <v>233</v>
      </c>
      <c r="E31" s="24">
        <v>3000</v>
      </c>
      <c r="F31" s="24">
        <v>1500</v>
      </c>
      <c r="G31" s="24">
        <v>1000</v>
      </c>
      <c r="H31" s="24">
        <v>500</v>
      </c>
      <c r="I31" s="52">
        <v>1500</v>
      </c>
    </row>
    <row r="32">
      <c r="B32" s="56" t="s">
        <v>207</v>
      </c>
      <c r="C32" s="33" t="s">
        <v>234</v>
      </c>
      <c r="D32" s="32" t="s">
        <v>235</v>
      </c>
      <c r="E32" s="24">
        <v>3000</v>
      </c>
      <c r="F32" s="24">
        <v>1500</v>
      </c>
      <c r="G32" s="24">
        <v>1000</v>
      </c>
      <c r="H32" s="24">
        <v>500</v>
      </c>
      <c r="I32" s="52">
        <v>1500</v>
      </c>
    </row>
    <row r="33">
      <c r="B33" s="56" t="s">
        <v>207</v>
      </c>
      <c r="C33" s="33" t="s">
        <v>236</v>
      </c>
      <c r="D33" s="32" t="s">
        <v>237</v>
      </c>
      <c r="E33" s="24">
        <v>3000</v>
      </c>
      <c r="F33" s="24">
        <v>1500</v>
      </c>
      <c r="G33" s="24">
        <v>1000</v>
      </c>
      <c r="H33" s="24">
        <v>500</v>
      </c>
      <c r="I33" s="52">
        <v>1500</v>
      </c>
    </row>
    <row r="34">
      <c r="B34" s="56" t="s">
        <v>207</v>
      </c>
      <c r="C34" s="33" t="s">
        <v>238</v>
      </c>
      <c r="D34" s="32" t="s">
        <v>239</v>
      </c>
      <c r="E34" s="24">
        <v>3000</v>
      </c>
      <c r="F34" s="24">
        <v>1500</v>
      </c>
      <c r="G34" s="24">
        <v>1000</v>
      </c>
      <c r="H34" s="24">
        <v>500</v>
      </c>
      <c r="I34" s="52">
        <v>1500</v>
      </c>
    </row>
    <row r="35">
      <c r="B35" s="56" t="s">
        <v>207</v>
      </c>
      <c r="C35" s="33" t="s">
        <v>240</v>
      </c>
      <c r="D35" s="32" t="s">
        <v>241</v>
      </c>
      <c r="E35" s="24">
        <v>3000</v>
      </c>
      <c r="F35" s="24">
        <v>1500</v>
      </c>
      <c r="G35" s="24">
        <v>1000</v>
      </c>
      <c r="H35" s="24">
        <v>500</v>
      </c>
      <c r="I35" s="52">
        <v>1500</v>
      </c>
    </row>
    <row r="36">
      <c r="B36" s="56" t="s">
        <v>207</v>
      </c>
      <c r="C36" s="33" t="s">
        <v>242</v>
      </c>
      <c r="D36" s="32" t="s">
        <v>243</v>
      </c>
      <c r="E36" s="24">
        <v>3000</v>
      </c>
      <c r="F36" s="24">
        <v>1500</v>
      </c>
      <c r="G36" s="24">
        <v>1000</v>
      </c>
      <c r="H36" s="24">
        <v>500</v>
      </c>
      <c r="I36" s="52">
        <v>1500</v>
      </c>
    </row>
    <row r="37">
      <c r="B37" s="56" t="s">
        <v>207</v>
      </c>
      <c r="C37" s="33" t="s">
        <v>244</v>
      </c>
      <c r="D37" s="32" t="s">
        <v>245</v>
      </c>
      <c r="E37" s="24">
        <v>3000</v>
      </c>
      <c r="F37" s="24">
        <v>1500</v>
      </c>
      <c r="G37" s="24">
        <v>1000</v>
      </c>
      <c r="H37" s="24">
        <v>500</v>
      </c>
      <c r="I37" s="52">
        <v>1500</v>
      </c>
    </row>
    <row r="38">
      <c r="B38" s="56" t="s">
        <v>207</v>
      </c>
      <c r="C38" s="33" t="s">
        <v>246</v>
      </c>
      <c r="D38" s="32" t="s">
        <v>247</v>
      </c>
      <c r="E38" s="24">
        <v>3000</v>
      </c>
      <c r="F38" s="24">
        <v>1500</v>
      </c>
      <c r="G38" s="24">
        <v>1000</v>
      </c>
      <c r="H38" s="24">
        <v>500</v>
      </c>
      <c r="I38" s="52">
        <v>1500</v>
      </c>
    </row>
    <row r="39">
      <c r="B39" s="56" t="s">
        <v>248</v>
      </c>
      <c r="C39" s="33" t="s">
        <v>249</v>
      </c>
      <c r="D39" s="32" t="s">
        <v>209</v>
      </c>
      <c r="E39" s="24">
        <v>3000</v>
      </c>
      <c r="F39" s="24">
        <v>1500</v>
      </c>
      <c r="G39" s="24">
        <v>1000</v>
      </c>
      <c r="H39" s="24">
        <v>500</v>
      </c>
      <c r="I39" s="52">
        <v>1500</v>
      </c>
    </row>
    <row r="40">
      <c r="B40" s="56" t="s">
        <v>248</v>
      </c>
      <c r="C40" s="33" t="s">
        <v>250</v>
      </c>
      <c r="D40" s="32" t="s">
        <v>211</v>
      </c>
      <c r="E40" s="24">
        <v>3000</v>
      </c>
      <c r="F40" s="24">
        <v>1500</v>
      </c>
      <c r="G40" s="24">
        <v>1000</v>
      </c>
      <c r="H40" s="24">
        <v>500</v>
      </c>
      <c r="I40" s="52">
        <v>1500</v>
      </c>
    </row>
    <row r="41">
      <c r="B41" s="56" t="s">
        <v>248</v>
      </c>
      <c r="C41" s="33" t="s">
        <v>251</v>
      </c>
      <c r="D41" s="32" t="s">
        <v>213</v>
      </c>
      <c r="E41" s="24">
        <v>3000</v>
      </c>
      <c r="F41" s="24">
        <v>1500</v>
      </c>
      <c r="G41" s="24">
        <v>1000</v>
      </c>
      <c r="H41" s="24">
        <v>500</v>
      </c>
      <c r="I41" s="52">
        <v>1500</v>
      </c>
    </row>
    <row r="42">
      <c r="B42" s="56" t="s">
        <v>248</v>
      </c>
      <c r="C42" s="33" t="s">
        <v>252</v>
      </c>
      <c r="D42" s="32" t="s">
        <v>215</v>
      </c>
      <c r="E42" s="24">
        <v>3000</v>
      </c>
      <c r="F42" s="24">
        <v>1500</v>
      </c>
      <c r="G42" s="24">
        <v>1000</v>
      </c>
      <c r="H42" s="24">
        <v>500</v>
      </c>
      <c r="I42" s="52">
        <v>1500</v>
      </c>
    </row>
    <row r="43">
      <c r="B43" s="56" t="s">
        <v>248</v>
      </c>
      <c r="C43" s="33" t="s">
        <v>253</v>
      </c>
      <c r="D43" s="32" t="s">
        <v>217</v>
      </c>
      <c r="E43" s="24">
        <v>3000</v>
      </c>
      <c r="F43" s="24">
        <v>1500</v>
      </c>
      <c r="G43" s="24">
        <v>1000</v>
      </c>
      <c r="H43" s="24">
        <v>500</v>
      </c>
      <c r="I43" s="52">
        <v>1500</v>
      </c>
    </row>
    <row r="44">
      <c r="B44" s="56" t="s">
        <v>248</v>
      </c>
      <c r="C44" s="33" t="s">
        <v>254</v>
      </c>
      <c r="D44" s="32" t="s">
        <v>219</v>
      </c>
      <c r="E44" s="24">
        <v>3000</v>
      </c>
      <c r="F44" s="24">
        <v>1500</v>
      </c>
      <c r="G44" s="24">
        <v>1000</v>
      </c>
      <c r="H44" s="24">
        <v>500</v>
      </c>
      <c r="I44" s="52">
        <v>1500</v>
      </c>
    </row>
    <row r="45">
      <c r="B45" s="56" t="s">
        <v>248</v>
      </c>
      <c r="C45" s="33" t="s">
        <v>255</v>
      </c>
      <c r="D45" s="32" t="s">
        <v>221</v>
      </c>
      <c r="E45" s="24">
        <v>3000</v>
      </c>
      <c r="F45" s="24">
        <v>1500</v>
      </c>
      <c r="G45" s="24">
        <v>1000</v>
      </c>
      <c r="H45" s="24">
        <v>500</v>
      </c>
      <c r="I45" s="52">
        <v>1500</v>
      </c>
    </row>
    <row r="46">
      <c r="B46" s="56" t="s">
        <v>248</v>
      </c>
      <c r="C46" s="33" t="s">
        <v>256</v>
      </c>
      <c r="D46" s="32" t="s">
        <v>223</v>
      </c>
      <c r="E46" s="24">
        <v>3000</v>
      </c>
      <c r="F46" s="24">
        <v>1500</v>
      </c>
      <c r="G46" s="24">
        <v>1000</v>
      </c>
      <c r="H46" s="24">
        <v>500</v>
      </c>
      <c r="I46" s="52">
        <v>1500</v>
      </c>
    </row>
    <row r="47">
      <c r="B47" s="56" t="s">
        <v>248</v>
      </c>
      <c r="C47" s="33" t="s">
        <v>257</v>
      </c>
      <c r="D47" s="32" t="s">
        <v>225</v>
      </c>
      <c r="E47" s="24">
        <v>3000</v>
      </c>
      <c r="F47" s="24">
        <v>1500</v>
      </c>
      <c r="G47" s="24">
        <v>1000</v>
      </c>
      <c r="H47" s="24">
        <v>500</v>
      </c>
      <c r="I47" s="52">
        <v>1500</v>
      </c>
    </row>
    <row r="48">
      <c r="B48" s="56" t="s">
        <v>248</v>
      </c>
      <c r="C48" s="33" t="s">
        <v>258</v>
      </c>
      <c r="D48" s="32" t="s">
        <v>227</v>
      </c>
      <c r="E48" s="24">
        <v>3000</v>
      </c>
      <c r="F48" s="24">
        <v>1500</v>
      </c>
      <c r="G48" s="24">
        <v>1000</v>
      </c>
      <c r="H48" s="24">
        <v>500</v>
      </c>
      <c r="I48" s="52">
        <v>1500</v>
      </c>
    </row>
    <row r="49">
      <c r="B49" s="56" t="s">
        <v>248</v>
      </c>
      <c r="C49" s="33" t="s">
        <v>259</v>
      </c>
      <c r="D49" s="32" t="s">
        <v>229</v>
      </c>
      <c r="E49" s="24">
        <v>3000</v>
      </c>
      <c r="F49" s="24">
        <v>1500</v>
      </c>
      <c r="G49" s="24">
        <v>1000</v>
      </c>
      <c r="H49" s="24">
        <v>500</v>
      </c>
      <c r="I49" s="52">
        <v>1500</v>
      </c>
    </row>
    <row r="50">
      <c r="B50" s="56" t="s">
        <v>248</v>
      </c>
      <c r="C50" s="33" t="s">
        <v>260</v>
      </c>
      <c r="D50" s="32" t="s">
        <v>231</v>
      </c>
      <c r="E50" s="24">
        <v>3000</v>
      </c>
      <c r="F50" s="24">
        <v>1500</v>
      </c>
      <c r="G50" s="24">
        <v>1000</v>
      </c>
      <c r="H50" s="24">
        <v>500</v>
      </c>
      <c r="I50" s="52">
        <v>1500</v>
      </c>
    </row>
    <row r="51">
      <c r="B51" s="56" t="s">
        <v>248</v>
      </c>
      <c r="C51" s="33" t="s">
        <v>261</v>
      </c>
      <c r="D51" s="32" t="s">
        <v>233</v>
      </c>
      <c r="E51" s="24">
        <v>3000</v>
      </c>
      <c r="F51" s="24">
        <v>1500</v>
      </c>
      <c r="G51" s="24">
        <v>1000</v>
      </c>
      <c r="H51" s="24">
        <v>500</v>
      </c>
      <c r="I51" s="52">
        <v>1500</v>
      </c>
    </row>
    <row r="52">
      <c r="B52" s="56" t="s">
        <v>248</v>
      </c>
      <c r="C52" s="33" t="s">
        <v>262</v>
      </c>
      <c r="D52" s="32" t="s">
        <v>235</v>
      </c>
      <c r="E52" s="24">
        <v>3000</v>
      </c>
      <c r="F52" s="24">
        <v>1500</v>
      </c>
      <c r="G52" s="24">
        <v>1000</v>
      </c>
      <c r="H52" s="24">
        <v>500</v>
      </c>
      <c r="I52" s="52">
        <v>1500</v>
      </c>
    </row>
    <row r="53">
      <c r="B53" s="56" t="s">
        <v>248</v>
      </c>
      <c r="C53" s="33" t="s">
        <v>263</v>
      </c>
      <c r="D53" s="32" t="s">
        <v>237</v>
      </c>
      <c r="E53" s="24">
        <v>3000</v>
      </c>
      <c r="F53" s="24">
        <v>1500</v>
      </c>
      <c r="G53" s="24">
        <v>1000</v>
      </c>
      <c r="H53" s="24">
        <v>500</v>
      </c>
      <c r="I53" s="52">
        <v>1500</v>
      </c>
    </row>
    <row r="54">
      <c r="B54" s="56" t="s">
        <v>248</v>
      </c>
      <c r="C54" s="33" t="s">
        <v>264</v>
      </c>
      <c r="D54" s="32" t="s">
        <v>239</v>
      </c>
      <c r="E54" s="24">
        <v>3000</v>
      </c>
      <c r="F54" s="24">
        <v>1500</v>
      </c>
      <c r="G54" s="24">
        <v>1000</v>
      </c>
      <c r="H54" s="24">
        <v>500</v>
      </c>
      <c r="I54" s="52">
        <v>1500</v>
      </c>
    </row>
    <row r="55">
      <c r="B55" s="56" t="s">
        <v>248</v>
      </c>
      <c r="C55" s="33" t="s">
        <v>265</v>
      </c>
      <c r="D55" s="32" t="s">
        <v>241</v>
      </c>
      <c r="E55" s="24">
        <v>3000</v>
      </c>
      <c r="F55" s="24">
        <v>1500</v>
      </c>
      <c r="G55" s="24">
        <v>1000</v>
      </c>
      <c r="H55" s="24">
        <v>500</v>
      </c>
      <c r="I55" s="52">
        <v>1500</v>
      </c>
    </row>
    <row r="56">
      <c r="B56" s="56" t="s">
        <v>248</v>
      </c>
      <c r="C56" s="33" t="s">
        <v>266</v>
      </c>
      <c r="D56" s="32" t="s">
        <v>243</v>
      </c>
      <c r="E56" s="24">
        <v>3000</v>
      </c>
      <c r="F56" s="24">
        <v>1500</v>
      </c>
      <c r="G56" s="24">
        <v>1000</v>
      </c>
      <c r="H56" s="24">
        <v>500</v>
      </c>
      <c r="I56" s="52">
        <v>1500</v>
      </c>
    </row>
    <row r="57">
      <c r="B57" s="56" t="s">
        <v>248</v>
      </c>
      <c r="C57" s="33" t="s">
        <v>267</v>
      </c>
      <c r="D57" s="32" t="s">
        <v>245</v>
      </c>
      <c r="E57" s="24">
        <v>3000</v>
      </c>
      <c r="F57" s="24">
        <v>1500</v>
      </c>
      <c r="G57" s="24">
        <v>1000</v>
      </c>
      <c r="H57" s="24">
        <v>500</v>
      </c>
      <c r="I57" s="52">
        <v>1500</v>
      </c>
    </row>
    <row r="58">
      <c r="B58" s="56" t="s">
        <v>248</v>
      </c>
      <c r="C58" s="33" t="s">
        <v>268</v>
      </c>
      <c r="D58" s="32" t="s">
        <v>247</v>
      </c>
      <c r="E58" s="24">
        <v>3000</v>
      </c>
      <c r="F58" s="24">
        <v>1500</v>
      </c>
      <c r="G58" s="24">
        <v>1000</v>
      </c>
      <c r="H58" s="24">
        <v>500</v>
      </c>
      <c r="I58" s="52">
        <v>1500</v>
      </c>
    </row>
    <row r="59">
      <c r="B59" s="56" t="s">
        <v>269</v>
      </c>
      <c r="C59" s="33" t="s">
        <v>270</v>
      </c>
      <c r="D59" s="32" t="s">
        <v>269</v>
      </c>
      <c r="E59" s="24">
        <v>0</v>
      </c>
      <c r="F59" s="24"/>
      <c r="G59" s="24"/>
      <c r="H59" s="24"/>
      <c r="I59" s="52">
        <v>0</v>
      </c>
    </row>
    <row r="60">
      <c r="B60" s="56" t="s">
        <v>269</v>
      </c>
      <c r="C60" s="33" t="s">
        <v>271</v>
      </c>
      <c r="D60" s="32" t="s">
        <v>269</v>
      </c>
      <c r="E60" s="24">
        <v>0</v>
      </c>
      <c r="F60" s="24"/>
      <c r="G60" s="24"/>
      <c r="H60" s="24"/>
      <c r="I60" s="52">
        <v>0</v>
      </c>
    </row>
    <row r="61">
      <c r="B61" s="56" t="s">
        <v>269</v>
      </c>
      <c r="C61" s="33" t="s">
        <v>272</v>
      </c>
      <c r="D61" s="32" t="s">
        <v>269</v>
      </c>
      <c r="E61" s="24">
        <v>0</v>
      </c>
      <c r="F61" s="24"/>
      <c r="G61" s="24"/>
      <c r="H61" s="24"/>
      <c r="I61" s="52">
        <v>0</v>
      </c>
    </row>
    <row r="62">
      <c r="B62" s="56" t="s">
        <v>269</v>
      </c>
      <c r="C62" s="33" t="s">
        <v>273</v>
      </c>
      <c r="D62" s="32" t="s">
        <v>269</v>
      </c>
      <c r="E62" s="24">
        <v>0</v>
      </c>
      <c r="F62" s="24"/>
      <c r="G62" s="24"/>
      <c r="H62" s="24"/>
      <c r="I62" s="52">
        <v>0</v>
      </c>
    </row>
    <row r="63">
      <c r="B63" s="56" t="s">
        <v>269</v>
      </c>
      <c r="C63" s="33" t="s">
        <v>274</v>
      </c>
      <c r="D63" s="32" t="s">
        <v>269</v>
      </c>
      <c r="E63" s="24">
        <v>0</v>
      </c>
      <c r="F63" s="24"/>
      <c r="G63" s="24"/>
      <c r="H63" s="24"/>
      <c r="I63" s="52">
        <v>0</v>
      </c>
    </row>
    <row r="64">
      <c r="B64" s="56" t="s">
        <v>269</v>
      </c>
      <c r="C64" s="33" t="s">
        <v>275</v>
      </c>
      <c r="D64" s="32" t="s">
        <v>269</v>
      </c>
      <c r="E64" s="24">
        <v>0</v>
      </c>
      <c r="F64" s="24"/>
      <c r="G64" s="24"/>
      <c r="H64" s="24"/>
      <c r="I64" s="52">
        <v>0</v>
      </c>
    </row>
    <row r="65">
      <c r="B65" s="56" t="s">
        <v>269</v>
      </c>
      <c r="C65" s="33" t="s">
        <v>276</v>
      </c>
      <c r="D65" s="32" t="s">
        <v>269</v>
      </c>
      <c r="E65" s="24">
        <v>0</v>
      </c>
      <c r="F65" s="24"/>
      <c r="G65" s="24"/>
      <c r="H65" s="24"/>
      <c r="I65" s="52">
        <v>0</v>
      </c>
    </row>
    <row r="66">
      <c r="B66" s="56" t="s">
        <v>269</v>
      </c>
      <c r="C66" s="33" t="s">
        <v>277</v>
      </c>
      <c r="D66" s="32" t="s">
        <v>269</v>
      </c>
      <c r="E66" s="24">
        <v>0</v>
      </c>
      <c r="F66" s="24"/>
      <c r="G66" s="24"/>
      <c r="H66" s="24"/>
      <c r="I66" s="52">
        <v>0</v>
      </c>
    </row>
    <row r="67">
      <c r="B67" s="56" t="s">
        <v>269</v>
      </c>
      <c r="C67" s="33" t="s">
        <v>278</v>
      </c>
      <c r="D67" s="32" t="s">
        <v>269</v>
      </c>
      <c r="E67" s="24">
        <v>0</v>
      </c>
      <c r="F67" s="24"/>
      <c r="G67" s="24"/>
      <c r="H67" s="24"/>
      <c r="I67" s="52">
        <v>0</v>
      </c>
    </row>
    <row r="68">
      <c r="B68" s="56" t="s">
        <v>269</v>
      </c>
      <c r="C68" s="33" t="s">
        <v>279</v>
      </c>
      <c r="D68" s="32" t="s">
        <v>269</v>
      </c>
      <c r="E68" s="24">
        <v>0</v>
      </c>
      <c r="F68" s="24"/>
      <c r="G68" s="24"/>
      <c r="H68" s="24"/>
      <c r="I68" s="52">
        <v>0</v>
      </c>
    </row>
    <row r="69">
      <c r="B69" s="56" t="s">
        <v>269</v>
      </c>
      <c r="C69" s="33" t="s">
        <v>280</v>
      </c>
      <c r="D69" s="32" t="s">
        <v>269</v>
      </c>
      <c r="E69" s="24">
        <v>0</v>
      </c>
      <c r="F69" s="24"/>
      <c r="G69" s="24"/>
      <c r="H69" s="24"/>
      <c r="I69" s="52">
        <v>0</v>
      </c>
    </row>
    <row r="70">
      <c r="B70" s="56" t="s">
        <v>269</v>
      </c>
      <c r="C70" s="33" t="s">
        <v>281</v>
      </c>
      <c r="D70" s="32" t="s">
        <v>269</v>
      </c>
      <c r="E70" s="24">
        <v>0</v>
      </c>
      <c r="F70" s="24"/>
      <c r="G70" s="24"/>
      <c r="H70" s="24"/>
      <c r="I70" s="52">
        <v>0</v>
      </c>
    </row>
    <row r="71">
      <c r="B71" s="56" t="s">
        <v>269</v>
      </c>
      <c r="C71" s="33" t="s">
        <v>282</v>
      </c>
      <c r="D71" s="32" t="s">
        <v>269</v>
      </c>
      <c r="E71" s="24">
        <v>0</v>
      </c>
      <c r="F71" s="24"/>
      <c r="G71" s="24"/>
      <c r="H71" s="24"/>
      <c r="I71" s="52">
        <v>0</v>
      </c>
    </row>
    <row r="72">
      <c r="B72" s="56" t="s">
        <v>269</v>
      </c>
      <c r="C72" s="33" t="s">
        <v>283</v>
      </c>
      <c r="D72" s="32" t="s">
        <v>269</v>
      </c>
      <c r="E72" s="24">
        <v>0</v>
      </c>
      <c r="F72" s="24"/>
      <c r="G72" s="24"/>
      <c r="H72" s="24"/>
      <c r="I72" s="52">
        <v>0</v>
      </c>
    </row>
    <row r="73">
      <c r="B73" s="56" t="s">
        <v>269</v>
      </c>
      <c r="C73" s="33" t="s">
        <v>284</v>
      </c>
      <c r="D73" s="32" t="s">
        <v>269</v>
      </c>
      <c r="E73" s="24">
        <v>0</v>
      </c>
      <c r="F73" s="24"/>
      <c r="G73" s="24"/>
      <c r="H73" s="24"/>
      <c r="I73" s="52">
        <v>0</v>
      </c>
    </row>
    <row r="74">
      <c r="B74" s="56" t="s">
        <v>269</v>
      </c>
      <c r="C74" s="33" t="s">
        <v>285</v>
      </c>
      <c r="D74" s="32" t="s">
        <v>269</v>
      </c>
      <c r="E74" s="24">
        <v>0</v>
      </c>
      <c r="F74" s="24"/>
      <c r="G74" s="24"/>
      <c r="H74" s="24"/>
      <c r="I74" s="52">
        <v>0</v>
      </c>
    </row>
    <row r="75">
      <c r="B75" s="56" t="s">
        <v>269</v>
      </c>
      <c r="C75" s="33" t="s">
        <v>286</v>
      </c>
      <c r="D75" s="32" t="s">
        <v>269</v>
      </c>
      <c r="E75" s="24">
        <v>0</v>
      </c>
      <c r="F75" s="24"/>
      <c r="G75" s="24"/>
      <c r="H75" s="24"/>
      <c r="I75" s="52">
        <v>0</v>
      </c>
    </row>
    <row r="76">
      <c r="B76" s="56" t="s">
        <v>269</v>
      </c>
      <c r="C76" s="33" t="s">
        <v>287</v>
      </c>
      <c r="D76" s="32" t="s">
        <v>269</v>
      </c>
      <c r="E76" s="24">
        <v>0</v>
      </c>
      <c r="F76" s="24"/>
      <c r="G76" s="24"/>
      <c r="H76" s="24"/>
      <c r="I76" s="52">
        <v>0</v>
      </c>
    </row>
    <row r="77">
      <c r="B77" s="56" t="s">
        <v>269</v>
      </c>
      <c r="C77" s="33" t="s">
        <v>288</v>
      </c>
      <c r="D77" s="32" t="s">
        <v>269</v>
      </c>
      <c r="E77" s="24">
        <v>0</v>
      </c>
      <c r="F77" s="24"/>
      <c r="G77" s="24"/>
      <c r="H77" s="24"/>
      <c r="I77" s="52">
        <v>0</v>
      </c>
    </row>
    <row r="78">
      <c r="B78" s="56" t="s">
        <v>269</v>
      </c>
      <c r="C78" s="33" t="s">
        <v>289</v>
      </c>
      <c r="D78" s="32" t="s">
        <v>269</v>
      </c>
      <c r="E78" s="24">
        <v>0</v>
      </c>
      <c r="F78" s="24"/>
      <c r="G78" s="24"/>
      <c r="H78" s="24"/>
      <c r="I78" s="52">
        <v>0</v>
      </c>
    </row>
    <row r="79">
      <c r="B79" s="56" t="s">
        <v>269</v>
      </c>
      <c r="C79" s="33" t="s">
        <v>290</v>
      </c>
      <c r="D79" s="32" t="s">
        <v>269</v>
      </c>
      <c r="E79" s="24">
        <v>0</v>
      </c>
      <c r="F79" s="24"/>
      <c r="G79" s="24"/>
      <c r="H79" s="24"/>
      <c r="I79" s="52">
        <v>0</v>
      </c>
    </row>
    <row r="80">
      <c r="B80" s="56" t="s">
        <v>269</v>
      </c>
      <c r="C80" s="33" t="s">
        <v>291</v>
      </c>
      <c r="D80" s="32" t="s">
        <v>269</v>
      </c>
      <c r="E80" s="24">
        <v>0</v>
      </c>
      <c r="F80" s="24"/>
      <c r="G80" s="24"/>
      <c r="H80" s="24"/>
      <c r="I80" s="52">
        <v>0</v>
      </c>
    </row>
    <row r="81">
      <c r="B81" s="56" t="s">
        <v>269</v>
      </c>
      <c r="C81" s="33" t="s">
        <v>292</v>
      </c>
      <c r="D81" s="32" t="s">
        <v>269</v>
      </c>
      <c r="E81" s="24">
        <v>0</v>
      </c>
      <c r="F81" s="24"/>
      <c r="G81" s="24"/>
      <c r="H81" s="24"/>
      <c r="I81" s="52">
        <v>0</v>
      </c>
    </row>
    <row r="82">
      <c r="B82" s="56" t="s">
        <v>269</v>
      </c>
      <c r="C82" s="33" t="s">
        <v>293</v>
      </c>
      <c r="D82" s="32" t="s">
        <v>269</v>
      </c>
      <c r="E82" s="24">
        <v>0</v>
      </c>
      <c r="F82" s="24"/>
      <c r="G82" s="24"/>
      <c r="H82" s="24"/>
      <c r="I82" s="52">
        <v>0</v>
      </c>
    </row>
    <row r="83">
      <c r="B83" s="56" t="s">
        <v>269</v>
      </c>
      <c r="C83" s="33" t="s">
        <v>294</v>
      </c>
      <c r="D83" s="32" t="s">
        <v>269</v>
      </c>
      <c r="E83" s="24">
        <v>0</v>
      </c>
      <c r="F83" s="24"/>
      <c r="G83" s="24"/>
      <c r="H83" s="24"/>
      <c r="I83" s="52">
        <v>0</v>
      </c>
    </row>
    <row r="84">
      <c r="B84" s="56" t="s">
        <v>269</v>
      </c>
      <c r="C84" s="33" t="s">
        <v>295</v>
      </c>
      <c r="D84" s="32" t="s">
        <v>269</v>
      </c>
      <c r="E84" s="24">
        <v>0</v>
      </c>
      <c r="F84" s="24"/>
      <c r="G84" s="24"/>
      <c r="H84" s="24"/>
      <c r="I84" s="52">
        <v>0</v>
      </c>
    </row>
    <row r="85">
      <c r="B85" s="56" t="s">
        <v>269</v>
      </c>
      <c r="C85" s="33" t="s">
        <v>296</v>
      </c>
      <c r="D85" s="32" t="s">
        <v>269</v>
      </c>
      <c r="E85" s="24">
        <v>0</v>
      </c>
      <c r="F85" s="24"/>
      <c r="G85" s="24"/>
      <c r="H85" s="24"/>
      <c r="I85" s="52">
        <v>0</v>
      </c>
    </row>
    <row r="86">
      <c r="B86" s="56" t="s">
        <v>269</v>
      </c>
      <c r="C86" s="33" t="s">
        <v>297</v>
      </c>
      <c r="D86" s="32" t="s">
        <v>269</v>
      </c>
      <c r="E86" s="24">
        <v>0</v>
      </c>
      <c r="F86" s="24"/>
      <c r="G86" s="24"/>
      <c r="H86" s="24"/>
      <c r="I86" s="52">
        <v>0</v>
      </c>
    </row>
    <row r="87">
      <c r="B87" s="56" t="s">
        <v>269</v>
      </c>
      <c r="C87" s="33" t="s">
        <v>298</v>
      </c>
      <c r="D87" s="32" t="s">
        <v>269</v>
      </c>
      <c r="E87" s="24">
        <v>0</v>
      </c>
      <c r="F87" s="24"/>
      <c r="G87" s="24"/>
      <c r="H87" s="24"/>
      <c r="I87" s="52">
        <v>0</v>
      </c>
    </row>
    <row r="88">
      <c r="B88" s="56" t="s">
        <v>269</v>
      </c>
      <c r="C88" s="33" t="s">
        <v>299</v>
      </c>
      <c r="D88" s="32" t="s">
        <v>269</v>
      </c>
      <c r="E88" s="24">
        <v>0</v>
      </c>
      <c r="F88" s="24"/>
      <c r="G88" s="24"/>
      <c r="H88" s="24"/>
      <c r="I88" s="52">
        <v>0</v>
      </c>
    </row>
    <row r="89">
      <c r="B89" s="56" t="s">
        <v>300</v>
      </c>
      <c r="C89" s="33" t="s">
        <v>301</v>
      </c>
      <c r="D89" s="32" t="s">
        <v>209</v>
      </c>
      <c r="E89" s="24">
        <v>3000</v>
      </c>
      <c r="F89" s="24">
        <v>1500</v>
      </c>
      <c r="G89" s="24">
        <v>1000</v>
      </c>
      <c r="H89" s="24">
        <v>500</v>
      </c>
      <c r="I89" s="52">
        <v>1500</v>
      </c>
    </row>
    <row r="90">
      <c r="B90" s="56" t="s">
        <v>300</v>
      </c>
      <c r="C90" s="33" t="s">
        <v>302</v>
      </c>
      <c r="D90" s="32" t="s">
        <v>211</v>
      </c>
      <c r="E90" s="24">
        <v>3000</v>
      </c>
      <c r="F90" s="24">
        <v>1500</v>
      </c>
      <c r="G90" s="24">
        <v>1000</v>
      </c>
      <c r="H90" s="24">
        <v>500</v>
      </c>
      <c r="I90" s="52">
        <v>1500</v>
      </c>
    </row>
    <row r="91">
      <c r="B91" s="56" t="s">
        <v>300</v>
      </c>
      <c r="C91" s="33" t="s">
        <v>303</v>
      </c>
      <c r="D91" s="32" t="s">
        <v>213</v>
      </c>
      <c r="E91" s="24">
        <v>3000</v>
      </c>
      <c r="F91" s="24">
        <v>1500</v>
      </c>
      <c r="G91" s="24">
        <v>1000</v>
      </c>
      <c r="H91" s="24">
        <v>500</v>
      </c>
      <c r="I91" s="52">
        <v>1500</v>
      </c>
    </row>
    <row r="92">
      <c r="B92" s="56" t="s">
        <v>300</v>
      </c>
      <c r="C92" s="33" t="s">
        <v>304</v>
      </c>
      <c r="D92" s="32" t="s">
        <v>215</v>
      </c>
      <c r="E92" s="24">
        <v>3000</v>
      </c>
      <c r="F92" s="24">
        <v>1500</v>
      </c>
      <c r="G92" s="24">
        <v>1000</v>
      </c>
      <c r="H92" s="24">
        <v>500</v>
      </c>
      <c r="I92" s="52">
        <v>1500</v>
      </c>
    </row>
    <row r="93">
      <c r="B93" s="56" t="s">
        <v>300</v>
      </c>
      <c r="C93" s="33" t="s">
        <v>305</v>
      </c>
      <c r="D93" s="32" t="s">
        <v>217</v>
      </c>
      <c r="E93" s="24">
        <v>3000</v>
      </c>
      <c r="F93" s="24">
        <v>1500</v>
      </c>
      <c r="G93" s="24">
        <v>1000</v>
      </c>
      <c r="H93" s="24">
        <v>500</v>
      </c>
      <c r="I93" s="52">
        <v>1500</v>
      </c>
    </row>
    <row r="94">
      <c r="B94" s="56" t="s">
        <v>300</v>
      </c>
      <c r="C94" s="33" t="s">
        <v>306</v>
      </c>
      <c r="D94" s="32" t="s">
        <v>219</v>
      </c>
      <c r="E94" s="24">
        <v>3000</v>
      </c>
      <c r="F94" s="24">
        <v>1500</v>
      </c>
      <c r="G94" s="24">
        <v>1000</v>
      </c>
      <c r="H94" s="24">
        <v>500</v>
      </c>
      <c r="I94" s="52">
        <v>1500</v>
      </c>
    </row>
    <row r="95">
      <c r="B95" s="56" t="s">
        <v>300</v>
      </c>
      <c r="C95" s="33" t="s">
        <v>307</v>
      </c>
      <c r="D95" s="32" t="s">
        <v>221</v>
      </c>
      <c r="E95" s="24">
        <v>3000</v>
      </c>
      <c r="F95" s="24">
        <v>1500</v>
      </c>
      <c r="G95" s="24">
        <v>1000</v>
      </c>
      <c r="H95" s="24">
        <v>500</v>
      </c>
      <c r="I95" s="52">
        <v>1500</v>
      </c>
    </row>
    <row r="96">
      <c r="B96" s="56" t="s">
        <v>300</v>
      </c>
      <c r="C96" s="33" t="s">
        <v>308</v>
      </c>
      <c r="D96" s="32" t="s">
        <v>223</v>
      </c>
      <c r="E96" s="24">
        <v>3000</v>
      </c>
      <c r="F96" s="24">
        <v>1500</v>
      </c>
      <c r="G96" s="24">
        <v>1000</v>
      </c>
      <c r="H96" s="24">
        <v>500</v>
      </c>
      <c r="I96" s="52">
        <v>1500</v>
      </c>
    </row>
    <row r="97">
      <c r="B97" s="56" t="s">
        <v>300</v>
      </c>
      <c r="C97" s="33" t="s">
        <v>309</v>
      </c>
      <c r="D97" s="32" t="s">
        <v>225</v>
      </c>
      <c r="E97" s="24">
        <v>3000</v>
      </c>
      <c r="F97" s="24">
        <v>1500</v>
      </c>
      <c r="G97" s="24">
        <v>1000</v>
      </c>
      <c r="H97" s="24">
        <v>500</v>
      </c>
      <c r="I97" s="52">
        <v>1500</v>
      </c>
    </row>
    <row r="98">
      <c r="B98" s="56" t="s">
        <v>300</v>
      </c>
      <c r="C98" s="33" t="s">
        <v>310</v>
      </c>
      <c r="D98" s="32" t="s">
        <v>227</v>
      </c>
      <c r="E98" s="24">
        <v>3000</v>
      </c>
      <c r="F98" s="24">
        <v>1500</v>
      </c>
      <c r="G98" s="24">
        <v>1000</v>
      </c>
      <c r="H98" s="24">
        <v>500</v>
      </c>
      <c r="I98" s="52">
        <v>1500</v>
      </c>
    </row>
    <row r="99">
      <c r="B99" s="56" t="s">
        <v>300</v>
      </c>
      <c r="C99" s="33" t="s">
        <v>311</v>
      </c>
      <c r="D99" s="32" t="s">
        <v>229</v>
      </c>
      <c r="E99" s="24">
        <v>3000</v>
      </c>
      <c r="F99" s="24">
        <v>1500</v>
      </c>
      <c r="G99" s="24">
        <v>1000</v>
      </c>
      <c r="H99" s="24">
        <v>500</v>
      </c>
      <c r="I99" s="52">
        <v>1500</v>
      </c>
    </row>
    <row r="100">
      <c r="B100" s="56" t="s">
        <v>300</v>
      </c>
      <c r="C100" s="33" t="s">
        <v>312</v>
      </c>
      <c r="D100" s="32" t="s">
        <v>231</v>
      </c>
      <c r="E100" s="24">
        <v>3000</v>
      </c>
      <c r="F100" s="24">
        <v>1500</v>
      </c>
      <c r="G100" s="24">
        <v>1000</v>
      </c>
      <c r="H100" s="24">
        <v>500</v>
      </c>
      <c r="I100" s="52">
        <v>1500</v>
      </c>
    </row>
    <row r="101">
      <c r="B101" s="56" t="s">
        <v>300</v>
      </c>
      <c r="C101" s="33" t="s">
        <v>313</v>
      </c>
      <c r="D101" s="32" t="s">
        <v>233</v>
      </c>
      <c r="E101" s="24">
        <v>3000</v>
      </c>
      <c r="F101" s="24">
        <v>1500</v>
      </c>
      <c r="G101" s="24">
        <v>1000</v>
      </c>
      <c r="H101" s="24">
        <v>500</v>
      </c>
      <c r="I101" s="52">
        <v>1500</v>
      </c>
    </row>
    <row r="102">
      <c r="B102" s="56" t="s">
        <v>300</v>
      </c>
      <c r="C102" s="33" t="s">
        <v>314</v>
      </c>
      <c r="D102" s="32" t="s">
        <v>235</v>
      </c>
      <c r="E102" s="24">
        <v>3000</v>
      </c>
      <c r="F102" s="24">
        <v>1500</v>
      </c>
      <c r="G102" s="24">
        <v>1000</v>
      </c>
      <c r="H102" s="24">
        <v>500</v>
      </c>
      <c r="I102" s="52">
        <v>1500</v>
      </c>
    </row>
    <row r="103">
      <c r="B103" s="56" t="s">
        <v>300</v>
      </c>
      <c r="C103" s="33" t="s">
        <v>315</v>
      </c>
      <c r="D103" s="32" t="s">
        <v>237</v>
      </c>
      <c r="E103" s="24">
        <v>3000</v>
      </c>
      <c r="F103" s="24">
        <v>1500</v>
      </c>
      <c r="G103" s="24">
        <v>1000</v>
      </c>
      <c r="H103" s="24">
        <v>500</v>
      </c>
      <c r="I103" s="52">
        <v>1500</v>
      </c>
    </row>
    <row r="104">
      <c r="B104" s="56" t="s">
        <v>300</v>
      </c>
      <c r="C104" s="33" t="s">
        <v>316</v>
      </c>
      <c r="D104" s="32" t="s">
        <v>239</v>
      </c>
      <c r="E104" s="24">
        <v>3000</v>
      </c>
      <c r="F104" s="24">
        <v>1500</v>
      </c>
      <c r="G104" s="24">
        <v>1000</v>
      </c>
      <c r="H104" s="24">
        <v>500</v>
      </c>
      <c r="I104" s="52">
        <v>1500</v>
      </c>
    </row>
    <row r="105">
      <c r="B105" s="56" t="s">
        <v>300</v>
      </c>
      <c r="C105" s="33" t="s">
        <v>317</v>
      </c>
      <c r="D105" s="32" t="s">
        <v>241</v>
      </c>
      <c r="E105" s="24">
        <v>3000</v>
      </c>
      <c r="F105" s="24">
        <v>1500</v>
      </c>
      <c r="G105" s="24">
        <v>1000</v>
      </c>
      <c r="H105" s="24">
        <v>500</v>
      </c>
      <c r="I105" s="52">
        <v>1500</v>
      </c>
    </row>
    <row r="106">
      <c r="B106" s="56" t="s">
        <v>300</v>
      </c>
      <c r="C106" s="33" t="s">
        <v>318</v>
      </c>
      <c r="D106" s="32" t="s">
        <v>243</v>
      </c>
      <c r="E106" s="24">
        <v>3000</v>
      </c>
      <c r="F106" s="24">
        <v>1500</v>
      </c>
      <c r="G106" s="24">
        <v>1000</v>
      </c>
      <c r="H106" s="24">
        <v>500</v>
      </c>
      <c r="I106" s="52">
        <v>1500</v>
      </c>
    </row>
    <row r="107">
      <c r="B107" s="56" t="s">
        <v>300</v>
      </c>
      <c r="C107" s="33" t="s">
        <v>319</v>
      </c>
      <c r="D107" s="32" t="s">
        <v>245</v>
      </c>
      <c r="E107" s="24">
        <v>3000</v>
      </c>
      <c r="F107" s="24">
        <v>1500</v>
      </c>
      <c r="G107" s="24">
        <v>1000</v>
      </c>
      <c r="H107" s="24">
        <v>500</v>
      </c>
      <c r="I107" s="52">
        <v>1500</v>
      </c>
    </row>
    <row r="108">
      <c r="B108" s="56" t="s">
        <v>300</v>
      </c>
      <c r="C108" s="33" t="s">
        <v>320</v>
      </c>
      <c r="D108" s="32" t="s">
        <v>247</v>
      </c>
      <c r="E108" s="24">
        <v>3000</v>
      </c>
      <c r="F108" s="24">
        <v>1500</v>
      </c>
      <c r="G108" s="24">
        <v>1000</v>
      </c>
      <c r="H108" s="24">
        <v>500</v>
      </c>
      <c r="I108" s="52">
        <v>1500</v>
      </c>
    </row>
    <row r="109">
      <c r="B109" s="56" t="s">
        <v>300</v>
      </c>
      <c r="C109" s="33" t="s">
        <v>321</v>
      </c>
      <c r="D109" s="32" t="s">
        <v>300</v>
      </c>
      <c r="E109" s="24">
        <v>0</v>
      </c>
      <c r="F109" s="24"/>
      <c r="G109" s="24"/>
      <c r="H109" s="24"/>
      <c r="I109" s="52">
        <v>0</v>
      </c>
    </row>
    <row r="110">
      <c r="B110" s="56" t="s">
        <v>300</v>
      </c>
      <c r="C110" s="33" t="s">
        <v>322</v>
      </c>
      <c r="D110" s="32" t="s">
        <v>300</v>
      </c>
      <c r="E110" s="24">
        <v>0</v>
      </c>
      <c r="F110" s="24"/>
      <c r="G110" s="24"/>
      <c r="H110" s="24"/>
      <c r="I110" s="52">
        <v>0</v>
      </c>
    </row>
    <row r="111">
      <c r="B111" s="56" t="s">
        <v>300</v>
      </c>
      <c r="C111" s="33" t="s">
        <v>323</v>
      </c>
      <c r="D111" s="32" t="s">
        <v>300</v>
      </c>
      <c r="E111" s="24">
        <v>0</v>
      </c>
      <c r="F111" s="24"/>
      <c r="G111" s="24"/>
      <c r="H111" s="24"/>
      <c r="I111" s="52">
        <v>0</v>
      </c>
    </row>
    <row r="112">
      <c r="B112" s="56" t="s">
        <v>300</v>
      </c>
      <c r="C112" s="33" t="s">
        <v>324</v>
      </c>
      <c r="D112" s="32" t="s">
        <v>300</v>
      </c>
      <c r="E112" s="24">
        <v>0</v>
      </c>
      <c r="F112" s="24"/>
      <c r="G112" s="24"/>
      <c r="H112" s="24"/>
      <c r="I112" s="52">
        <v>0</v>
      </c>
    </row>
    <row r="113">
      <c r="B113" s="56" t="s">
        <v>300</v>
      </c>
      <c r="C113" s="33" t="s">
        <v>325</v>
      </c>
      <c r="D113" s="32" t="s">
        <v>300</v>
      </c>
      <c r="E113" s="24">
        <v>0</v>
      </c>
      <c r="F113" s="24"/>
      <c r="G113" s="24"/>
      <c r="H113" s="24"/>
      <c r="I113" s="52">
        <v>0</v>
      </c>
    </row>
    <row r="114">
      <c r="B114" s="56" t="s">
        <v>300</v>
      </c>
      <c r="C114" s="33" t="s">
        <v>326</v>
      </c>
      <c r="D114" s="32" t="s">
        <v>300</v>
      </c>
      <c r="E114" s="24">
        <v>0</v>
      </c>
      <c r="F114" s="24"/>
      <c r="G114" s="24"/>
      <c r="H114" s="24"/>
      <c r="I114" s="52">
        <v>0</v>
      </c>
    </row>
    <row r="115">
      <c r="B115" s="56" t="s">
        <v>300</v>
      </c>
      <c r="C115" s="33" t="s">
        <v>327</v>
      </c>
      <c r="D115" s="32" t="s">
        <v>300</v>
      </c>
      <c r="E115" s="24">
        <v>0</v>
      </c>
      <c r="F115" s="24"/>
      <c r="G115" s="24"/>
      <c r="H115" s="24"/>
      <c r="I115" s="52">
        <v>0</v>
      </c>
    </row>
    <row r="116">
      <c r="B116" s="56" t="s">
        <v>300</v>
      </c>
      <c r="C116" s="33" t="s">
        <v>328</v>
      </c>
      <c r="D116" s="32" t="s">
        <v>300</v>
      </c>
      <c r="E116" s="24">
        <v>0</v>
      </c>
      <c r="F116" s="24"/>
      <c r="G116" s="24"/>
      <c r="H116" s="24"/>
      <c r="I116" s="52">
        <v>0</v>
      </c>
    </row>
    <row r="117">
      <c r="B117" s="56" t="s">
        <v>300</v>
      </c>
      <c r="C117" s="33" t="s">
        <v>329</v>
      </c>
      <c r="D117" s="32" t="s">
        <v>300</v>
      </c>
      <c r="E117" s="24">
        <v>0</v>
      </c>
      <c r="F117" s="24"/>
      <c r="G117" s="24"/>
      <c r="H117" s="24"/>
      <c r="I117" s="52">
        <v>0</v>
      </c>
    </row>
    <row r="118">
      <c r="B118" s="56" t="s">
        <v>300</v>
      </c>
      <c r="C118" s="33" t="s">
        <v>330</v>
      </c>
      <c r="D118" s="32" t="s">
        <v>300</v>
      </c>
      <c r="E118" s="24">
        <v>0</v>
      </c>
      <c r="F118" s="24"/>
      <c r="G118" s="24"/>
      <c r="H118" s="24"/>
      <c r="I118" s="52">
        <v>0</v>
      </c>
    </row>
    <row r="119">
      <c r="B119" s="56" t="s">
        <v>331</v>
      </c>
      <c r="C119" s="33" t="s">
        <v>332</v>
      </c>
      <c r="D119" s="32" t="s">
        <v>209</v>
      </c>
      <c r="E119" s="24">
        <v>3000</v>
      </c>
      <c r="F119" s="24">
        <v>1500</v>
      </c>
      <c r="G119" s="24">
        <v>1000</v>
      </c>
      <c r="H119" s="24">
        <v>500</v>
      </c>
      <c r="I119" s="52">
        <v>1500</v>
      </c>
    </row>
    <row r="120">
      <c r="B120" s="56" t="s">
        <v>331</v>
      </c>
      <c r="C120" s="33" t="s">
        <v>333</v>
      </c>
      <c r="D120" s="32" t="s">
        <v>211</v>
      </c>
      <c r="E120" s="24">
        <v>3000</v>
      </c>
      <c r="F120" s="24">
        <v>1500</v>
      </c>
      <c r="G120" s="24">
        <v>1000</v>
      </c>
      <c r="H120" s="24">
        <v>500</v>
      </c>
      <c r="I120" s="52">
        <v>1500</v>
      </c>
    </row>
    <row r="121">
      <c r="B121" s="56" t="s">
        <v>331</v>
      </c>
      <c r="C121" s="33" t="s">
        <v>334</v>
      </c>
      <c r="D121" s="32" t="s">
        <v>213</v>
      </c>
      <c r="E121" s="24">
        <v>3000</v>
      </c>
      <c r="F121" s="24">
        <v>1500</v>
      </c>
      <c r="G121" s="24">
        <v>1000</v>
      </c>
      <c r="H121" s="24">
        <v>500</v>
      </c>
      <c r="I121" s="52">
        <v>1500</v>
      </c>
    </row>
    <row r="122">
      <c r="B122" s="56" t="s">
        <v>331</v>
      </c>
      <c r="C122" s="33" t="s">
        <v>335</v>
      </c>
      <c r="D122" s="32" t="s">
        <v>215</v>
      </c>
      <c r="E122" s="24">
        <v>3000</v>
      </c>
      <c r="F122" s="24">
        <v>1500</v>
      </c>
      <c r="G122" s="24">
        <v>1000</v>
      </c>
      <c r="H122" s="24">
        <v>500</v>
      </c>
      <c r="I122" s="52">
        <v>1500</v>
      </c>
    </row>
    <row r="123">
      <c r="B123" s="56" t="s">
        <v>331</v>
      </c>
      <c r="C123" s="33" t="s">
        <v>336</v>
      </c>
      <c r="D123" s="32" t="s">
        <v>217</v>
      </c>
      <c r="E123" s="24">
        <v>3000</v>
      </c>
      <c r="F123" s="24">
        <v>1500</v>
      </c>
      <c r="G123" s="24">
        <v>1000</v>
      </c>
      <c r="H123" s="24">
        <v>500</v>
      </c>
      <c r="I123" s="52">
        <v>1500</v>
      </c>
    </row>
    <row r="124">
      <c r="B124" s="56" t="s">
        <v>331</v>
      </c>
      <c r="C124" s="33" t="s">
        <v>337</v>
      </c>
      <c r="D124" s="32" t="s">
        <v>219</v>
      </c>
      <c r="E124" s="24">
        <v>3000</v>
      </c>
      <c r="F124" s="24">
        <v>1500</v>
      </c>
      <c r="G124" s="24">
        <v>1000</v>
      </c>
      <c r="H124" s="24">
        <v>500</v>
      </c>
      <c r="I124" s="52">
        <v>1500</v>
      </c>
    </row>
    <row r="125">
      <c r="B125" s="56" t="s">
        <v>331</v>
      </c>
      <c r="C125" s="33" t="s">
        <v>338</v>
      </c>
      <c r="D125" s="32" t="s">
        <v>221</v>
      </c>
      <c r="E125" s="24">
        <v>3000</v>
      </c>
      <c r="F125" s="24">
        <v>1500</v>
      </c>
      <c r="G125" s="24">
        <v>1000</v>
      </c>
      <c r="H125" s="24">
        <v>500</v>
      </c>
      <c r="I125" s="52">
        <v>1500</v>
      </c>
    </row>
    <row r="126">
      <c r="B126" s="56" t="s">
        <v>331</v>
      </c>
      <c r="C126" s="33" t="s">
        <v>339</v>
      </c>
      <c r="D126" s="32" t="s">
        <v>223</v>
      </c>
      <c r="E126" s="24">
        <v>3000</v>
      </c>
      <c r="F126" s="24">
        <v>1500</v>
      </c>
      <c r="G126" s="24">
        <v>1000</v>
      </c>
      <c r="H126" s="24">
        <v>500</v>
      </c>
      <c r="I126" s="52">
        <v>1500</v>
      </c>
    </row>
    <row r="127">
      <c r="B127" s="56" t="s">
        <v>331</v>
      </c>
      <c r="C127" s="33" t="s">
        <v>340</v>
      </c>
      <c r="D127" s="32" t="s">
        <v>225</v>
      </c>
      <c r="E127" s="24">
        <v>3000</v>
      </c>
      <c r="F127" s="24">
        <v>1500</v>
      </c>
      <c r="G127" s="24">
        <v>1000</v>
      </c>
      <c r="H127" s="24">
        <v>500</v>
      </c>
      <c r="I127" s="52">
        <v>1500</v>
      </c>
    </row>
    <row r="128">
      <c r="B128" s="56" t="s">
        <v>331</v>
      </c>
      <c r="C128" s="33" t="s">
        <v>341</v>
      </c>
      <c r="D128" s="32" t="s">
        <v>227</v>
      </c>
      <c r="E128" s="24">
        <v>3000</v>
      </c>
      <c r="F128" s="24">
        <v>1500</v>
      </c>
      <c r="G128" s="24">
        <v>1000</v>
      </c>
      <c r="H128" s="24">
        <v>500</v>
      </c>
      <c r="I128" s="52">
        <v>1500</v>
      </c>
    </row>
    <row r="129">
      <c r="B129" s="56" t="s">
        <v>331</v>
      </c>
      <c r="C129" s="33" t="s">
        <v>342</v>
      </c>
      <c r="D129" s="32" t="s">
        <v>229</v>
      </c>
      <c r="E129" s="24">
        <v>3000</v>
      </c>
      <c r="F129" s="24">
        <v>1500</v>
      </c>
      <c r="G129" s="24">
        <v>1000</v>
      </c>
      <c r="H129" s="24">
        <v>500</v>
      </c>
      <c r="I129" s="52">
        <v>1500</v>
      </c>
    </row>
    <row r="130">
      <c r="B130" s="56" t="s">
        <v>331</v>
      </c>
      <c r="C130" s="33" t="s">
        <v>343</v>
      </c>
      <c r="D130" s="32" t="s">
        <v>231</v>
      </c>
      <c r="E130" s="24">
        <v>3000</v>
      </c>
      <c r="F130" s="24">
        <v>1500</v>
      </c>
      <c r="G130" s="24">
        <v>1000</v>
      </c>
      <c r="H130" s="24">
        <v>500</v>
      </c>
      <c r="I130" s="52">
        <v>1500</v>
      </c>
    </row>
    <row r="131">
      <c r="B131" s="56" t="s">
        <v>331</v>
      </c>
      <c r="C131" s="33" t="s">
        <v>344</v>
      </c>
      <c r="D131" s="32" t="s">
        <v>233</v>
      </c>
      <c r="E131" s="24">
        <v>3000</v>
      </c>
      <c r="F131" s="24">
        <v>1500</v>
      </c>
      <c r="G131" s="24">
        <v>1000</v>
      </c>
      <c r="H131" s="24">
        <v>500</v>
      </c>
      <c r="I131" s="52">
        <v>1500</v>
      </c>
    </row>
    <row r="132">
      <c r="B132" s="56" t="s">
        <v>331</v>
      </c>
      <c r="C132" s="33" t="s">
        <v>345</v>
      </c>
      <c r="D132" s="32" t="s">
        <v>235</v>
      </c>
      <c r="E132" s="24">
        <v>3000</v>
      </c>
      <c r="F132" s="24">
        <v>1500</v>
      </c>
      <c r="G132" s="24">
        <v>1000</v>
      </c>
      <c r="H132" s="24">
        <v>500</v>
      </c>
      <c r="I132" s="52">
        <v>1500</v>
      </c>
    </row>
    <row r="133">
      <c r="B133" s="56" t="s">
        <v>331</v>
      </c>
      <c r="C133" s="33" t="s">
        <v>346</v>
      </c>
      <c r="D133" s="32" t="s">
        <v>237</v>
      </c>
      <c r="E133" s="24">
        <v>3000</v>
      </c>
      <c r="F133" s="24">
        <v>1500</v>
      </c>
      <c r="G133" s="24">
        <v>1000</v>
      </c>
      <c r="H133" s="24">
        <v>500</v>
      </c>
      <c r="I133" s="52">
        <v>1500</v>
      </c>
    </row>
    <row r="134">
      <c r="B134" s="56" t="s">
        <v>331</v>
      </c>
      <c r="C134" s="33" t="s">
        <v>347</v>
      </c>
      <c r="D134" s="32" t="s">
        <v>239</v>
      </c>
      <c r="E134" s="24">
        <v>3000</v>
      </c>
      <c r="F134" s="24">
        <v>1500</v>
      </c>
      <c r="G134" s="24">
        <v>1000</v>
      </c>
      <c r="H134" s="24">
        <v>500</v>
      </c>
      <c r="I134" s="52">
        <v>1500</v>
      </c>
    </row>
    <row r="135">
      <c r="B135" s="56" t="s">
        <v>331</v>
      </c>
      <c r="C135" s="33" t="s">
        <v>348</v>
      </c>
      <c r="D135" s="32" t="s">
        <v>241</v>
      </c>
      <c r="E135" s="24">
        <v>3000</v>
      </c>
      <c r="F135" s="24">
        <v>1500</v>
      </c>
      <c r="G135" s="24">
        <v>1000</v>
      </c>
      <c r="H135" s="24">
        <v>500</v>
      </c>
      <c r="I135" s="52">
        <v>1500</v>
      </c>
    </row>
    <row r="136">
      <c r="B136" s="56" t="s">
        <v>331</v>
      </c>
      <c r="C136" s="33" t="s">
        <v>349</v>
      </c>
      <c r="D136" s="32" t="s">
        <v>243</v>
      </c>
      <c r="E136" s="24">
        <v>3000</v>
      </c>
      <c r="F136" s="24">
        <v>1500</v>
      </c>
      <c r="G136" s="24">
        <v>1000</v>
      </c>
      <c r="H136" s="24">
        <v>500</v>
      </c>
      <c r="I136" s="52">
        <v>1500</v>
      </c>
    </row>
    <row r="137">
      <c r="B137" s="56" t="s">
        <v>331</v>
      </c>
      <c r="C137" s="33" t="s">
        <v>350</v>
      </c>
      <c r="D137" s="32" t="s">
        <v>245</v>
      </c>
      <c r="E137" s="24">
        <v>3000</v>
      </c>
      <c r="F137" s="24">
        <v>1500</v>
      </c>
      <c r="G137" s="24">
        <v>1000</v>
      </c>
      <c r="H137" s="24">
        <v>500</v>
      </c>
      <c r="I137" s="52">
        <v>1500</v>
      </c>
    </row>
    <row r="138">
      <c r="B138" s="56" t="s">
        <v>331</v>
      </c>
      <c r="C138" s="33" t="s">
        <v>351</v>
      </c>
      <c r="D138" s="32" t="s">
        <v>247</v>
      </c>
      <c r="E138" s="24">
        <v>3000</v>
      </c>
      <c r="F138" s="24">
        <v>1500</v>
      </c>
      <c r="G138" s="24">
        <v>1000</v>
      </c>
      <c r="H138" s="24">
        <v>500</v>
      </c>
      <c r="I138" s="52">
        <v>1500</v>
      </c>
    </row>
    <row r="139">
      <c r="B139" s="56" t="s">
        <v>352</v>
      </c>
      <c r="C139" s="33" t="s">
        <v>353</v>
      </c>
      <c r="D139" s="32" t="s">
        <v>354</v>
      </c>
      <c r="E139" s="24">
        <v>5000</v>
      </c>
      <c r="F139" s="24">
        <v>2500</v>
      </c>
      <c r="G139" s="24">
        <v>1666.6666666666667</v>
      </c>
      <c r="H139" s="24">
        <v>833.333333333333</v>
      </c>
      <c r="I139" s="52">
        <v>2500</v>
      </c>
    </row>
    <row r="140">
      <c r="B140" s="56" t="s">
        <v>355</v>
      </c>
      <c r="C140" s="33" t="s">
        <v>356</v>
      </c>
      <c r="D140" s="32" t="s">
        <v>355</v>
      </c>
      <c r="E140" s="24">
        <v>9000</v>
      </c>
      <c r="F140" s="24">
        <v>4500</v>
      </c>
      <c r="G140" s="24">
        <v>3000</v>
      </c>
      <c r="H140" s="24">
        <v>1500</v>
      </c>
      <c r="I140" s="52">
        <v>4500</v>
      </c>
    </row>
    <row r="141">
      <c r="B141" s="56" t="s">
        <v>357</v>
      </c>
      <c r="C141" s="33" t="s">
        <v>358</v>
      </c>
      <c r="D141" s="32" t="s">
        <v>359</v>
      </c>
      <c r="E141" s="24">
        <v>12700</v>
      </c>
      <c r="F141" s="24">
        <v>6350</v>
      </c>
      <c r="G141" s="24">
        <v>4233.333333333334</v>
      </c>
      <c r="H141" s="24">
        <v>2116.6666666666665</v>
      </c>
      <c r="I141" s="52">
        <v>6350</v>
      </c>
    </row>
    <row r="142" ht="20" customHeight="true">
      <c r="B142" s="57" t="s">
        <v>360</v>
      </c>
      <c r="C142" s="58"/>
      <c r="D142" s="58"/>
      <c r="E142" s="58" t="str">
        <f>=SUBTOTAL(109,TblBudgetAusgaben[Betrag (LC)])</f>
      </c>
      <c r="F142" s="58" t="str">
        <f>=SUBTOTAL(109,TblBudgetAusgaben[Jahr 1])</f>
      </c>
      <c r="G142" s="58" t="str">
        <f>=SUBTOTAL(109,TblBudgetAusgaben[Jahr 2])</f>
      </c>
      <c r="H142" s="58" t="str">
        <f>=SUBTOTAL(109,TblBudgetAusgaben[Jahr 3])</f>
      </c>
      <c r="I142" s="59" t="str">
        <f>=SUBTOTAL(109,TblBudgetAusgaben[Betrag (EUR)])</f>
      </c>
    </row>
    <row r="144">
      <c r="B144" s="73" t="s">
        <v>367</v>
      </c>
      <c r="C144" s="74"/>
      <c r="D144" s="74"/>
      <c r="E144" s="75"/>
    </row>
    <row r="145">
      <c r="B145" s="76" t="s">
        <v>368</v>
      </c>
      <c r="C145" s="72"/>
      <c r="D145" s="72"/>
      <c r="E145" s="77" t="str">
        <f>=IF(ROUND($E$15-$O$12,2)=0,"OK","Abweichung")</f>
      </c>
    </row>
    <row r="146">
      <c r="B146" s="76" t="s">
        <v>369</v>
      </c>
      <c r="C146" s="72"/>
      <c r="D146" s="72"/>
      <c r="E146" s="77" t="str">
        <f>=IF(ROUND($I$15-$P$12,2)=0,"OK","Abweichung")</f>
      </c>
    </row>
    <row r="147">
      <c r="B147" s="76" t="s">
        <v>370</v>
      </c>
      <c r="C147" s="72"/>
      <c r="D147" s="72"/>
      <c r="E147" s="77" t="str">
        <f>=IF(ROUND($H$4,4)=ROUND(IFERROR($O$12/$P$12,0),4),"OK","Abweichung")</f>
      </c>
    </row>
    <row r="148">
      <c r="B148" s="76" t="s">
        <v>371</v>
      </c>
      <c r="C148" s="72"/>
      <c r="D148" s="72"/>
      <c r="E148" s="77" t="str">
        <f>=IF(ROUND(($F$15+$G$15+$H$15)-$E$15,2)=0,"OK","Abweichung")</f>
      </c>
    </row>
    <row r="149">
      <c r="B149" s="78" t="s">
        <v>372</v>
      </c>
      <c r="C149" s="79"/>
      <c r="D149" s="79"/>
      <c r="E149" s="80" t="str">
        <f>=IF(ROUND(($F$142+$G$142+$H$142)-$O$12,2)=0,"OK","Abweichung")</f>
      </c>
    </row>
  </sheetData>
  <mergeCells count="9">
    <mergeCell ref="K17:M17"/>
    <mergeCell ref="K8:M8"/>
    <mergeCell ref="K9:M12"/>
    <mergeCell ref="B144:E144"/>
    <mergeCell ref="B145:D145"/>
    <mergeCell ref="B146:D146"/>
    <mergeCell ref="B147:D147"/>
    <mergeCell ref="B148:D148"/>
    <mergeCell ref="B149:D149"/>
  </mergeCells>
  <conditionalFormatting sqref="K6">
    <cfRule type="expression" dxfId="2" priority="1">
      <formula>$K$5="Ja"</formula>
    </cfRule>
  </conditionalFormatting>
  <conditionalFormatting sqref="K9:M12">
    <cfRule type="expression" dxfId="3" priority="2">
      <formula>$K$5="Ja"</formula>
    </cfRule>
  </conditionalFormatting>
  <conditionalFormatting sqref="E145">
    <cfRule type="expression" dxfId="4" priority="3">
      <formula>$E$145="OK"</formula>
    </cfRule>
  </conditionalFormatting>
  <conditionalFormatting sqref="E145">
    <cfRule type="expression" dxfId="5" priority="4">
      <formula>$E$145&lt;&gt;"OK"</formula>
    </cfRule>
  </conditionalFormatting>
  <conditionalFormatting sqref="E146">
    <cfRule type="expression" dxfId="4" priority="5">
      <formula>$E$146="OK"</formula>
    </cfRule>
  </conditionalFormatting>
  <conditionalFormatting sqref="E146">
    <cfRule type="expression" dxfId="5" priority="6">
      <formula>$E$146&lt;&gt;"OK"</formula>
    </cfRule>
  </conditionalFormatting>
  <conditionalFormatting sqref="E147">
    <cfRule type="expression" dxfId="4" priority="7">
      <formula>$E$147="OK"</formula>
    </cfRule>
  </conditionalFormatting>
  <conditionalFormatting sqref="E147">
    <cfRule type="expression" dxfId="5" priority="8">
      <formula>$E$147&lt;&gt;"OK"</formula>
    </cfRule>
  </conditionalFormatting>
  <conditionalFormatting sqref="E148">
    <cfRule type="expression" dxfId="4" priority="9">
      <formula>$E$148="OK"</formula>
    </cfRule>
  </conditionalFormatting>
  <conditionalFormatting sqref="E148">
    <cfRule type="expression" dxfId="5" priority="10">
      <formula>$E$148&lt;&gt;"OK"</formula>
    </cfRule>
  </conditionalFormatting>
  <conditionalFormatting sqref="E149">
    <cfRule type="expression" dxfId="6" priority="11">
      <formula>$E$149="OK"</formula>
    </cfRule>
  </conditionalFormatting>
  <conditionalFormatting sqref="E149">
    <cfRule type="expression" dxfId="7" priority="12">
      <formula>$E$149&lt;&gt;"OK"</formula>
    </cfRule>
  </conditionalFormatting>
  <dataValidations count="2">
    <dataValidation allowBlank="true" sqref="B19:B141" type="list">
      <formula1>"Bauausgaben,Investitionen,Personalkosten,Projektaktivitaeten,Projektverwaltung,Evaluierung,Audit,Reserve"</formula1>
    </dataValidation>
    <dataValidation allowBlank="true" sqref="K5" type="list">
      <formula1>"Ja,Nein"</formula1>
    </dataValidation>
  </dataValidations>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sheetPr>
    <tabColor rgb="FFFF00"/>
  </sheetPr>
  <dimension ref="A1"/>
  <sheetViews>
    <sheetView showGridLines="false" workbookViewId="0"/>
  </sheetViews>
  <sheetFormatPr defaultRowHeight="15"/>
  <cols>
    <col customWidth="true" max="2" min="2" width="15"/>
    <col customWidth="true" max="3" min="3" width="10"/>
    <col customWidth="true" max="4" min="4" width="20"/>
    <col customWidth="true" max="5" min="5" width="15"/>
    <col customWidth="true" hidden="true" max="26" min="26" width="9.140625"/>
  </cols>
  <sheetData>
    <row r="1">
      <c r="Z1" t="s">
        <v>374</v>
      </c>
    </row>
    <row r="2" ht="24" customHeight="true">
      <c r="B2" s="81" t="s">
        <v>373</v>
      </c>
      <c r="C2" s="81"/>
      <c r="D2" s="81"/>
      <c r="E2" s="81"/>
      <c r="Z2" t="s">
        <v>375</v>
      </c>
    </row>
    <row r="3">
      <c r="Z3" t="s">
        <v>376</v>
      </c>
    </row>
    <row r="4" ht="20" customHeight="true">
      <c r="B4" s="88" t="s">
        <v>410</v>
      </c>
      <c r="C4" s="89" t="s">
        <v>411</v>
      </c>
      <c r="D4" s="89" t="s">
        <v>412</v>
      </c>
      <c r="E4" s="90" t="s">
        <v>413</v>
      </c>
      <c r="Z4" t="s">
        <v>377</v>
      </c>
    </row>
    <row r="5">
      <c r="B5" s="91"/>
      <c r="C5" s="92"/>
      <c r="D5" s="93"/>
      <c r="E5" s="94"/>
      <c r="Z5" t="s">
        <v>378</v>
      </c>
    </row>
    <row r="6">
      <c r="B6" s="95"/>
      <c r="C6" s="82"/>
      <c r="D6" s="83"/>
      <c r="E6" s="96"/>
      <c r="Z6" t="s">
        <v>379</v>
      </c>
    </row>
    <row r="7">
      <c r="B7" s="95"/>
      <c r="C7" s="82"/>
      <c r="D7" s="83"/>
      <c r="E7" s="96"/>
      <c r="Z7" t="s">
        <v>380</v>
      </c>
    </row>
    <row r="8">
      <c r="B8" s="95"/>
      <c r="C8" s="82"/>
      <c r="D8" s="83"/>
      <c r="E8" s="96"/>
      <c r="Z8" t="s">
        <v>381</v>
      </c>
    </row>
    <row r="9">
      <c r="B9" s="95"/>
      <c r="C9" s="82"/>
      <c r="D9" s="83"/>
      <c r="E9" s="96"/>
      <c r="Z9" t="s">
        <v>382</v>
      </c>
    </row>
    <row r="10">
      <c r="B10" s="95"/>
      <c r="C10" s="82"/>
      <c r="D10" s="83"/>
      <c r="E10" s="96"/>
      <c r="Z10" t="s">
        <v>383</v>
      </c>
    </row>
    <row r="11">
      <c r="B11" s="95"/>
      <c r="C11" s="82"/>
      <c r="D11" s="83"/>
      <c r="E11" s="96"/>
      <c r="Z11" t="s">
        <v>384</v>
      </c>
    </row>
    <row r="12">
      <c r="B12" s="95"/>
      <c r="C12" s="82"/>
      <c r="D12" s="83"/>
      <c r="E12" s="96"/>
      <c r="Z12" t="s">
        <v>385</v>
      </c>
    </row>
    <row r="13">
      <c r="B13" s="95"/>
      <c r="C13" s="82"/>
      <c r="D13" s="83"/>
      <c r="E13" s="96"/>
      <c r="Z13" t="s">
        <v>386</v>
      </c>
    </row>
    <row r="14">
      <c r="B14" s="95"/>
      <c r="C14" s="82"/>
      <c r="D14" s="83"/>
      <c r="E14" s="96"/>
      <c r="Z14" t="s">
        <v>387</v>
      </c>
    </row>
    <row r="15">
      <c r="B15" s="95"/>
      <c r="C15" s="82"/>
      <c r="D15" s="83"/>
      <c r="E15" s="96"/>
      <c r="Z15" t="s">
        <v>388</v>
      </c>
    </row>
    <row r="16">
      <c r="B16" s="95"/>
      <c r="C16" s="82"/>
      <c r="D16" s="83"/>
      <c r="E16" s="96"/>
      <c r="Z16" t="s">
        <v>389</v>
      </c>
    </row>
    <row r="17">
      <c r="B17" s="95"/>
      <c r="C17" s="82"/>
      <c r="D17" s="83"/>
      <c r="E17" s="96"/>
      <c r="Z17" t="s">
        <v>390</v>
      </c>
    </row>
    <row r="18">
      <c r="B18" s="95"/>
      <c r="C18" s="82"/>
      <c r="D18" s="83"/>
      <c r="E18" s="96"/>
      <c r="Z18" t="s">
        <v>391</v>
      </c>
    </row>
    <row r="19">
      <c r="B19" s="95"/>
      <c r="C19" s="82"/>
      <c r="D19" s="83"/>
      <c r="E19" s="96"/>
      <c r="Z19" t="s">
        <v>392</v>
      </c>
    </row>
    <row r="20">
      <c r="B20" s="95"/>
      <c r="C20" s="82"/>
      <c r="D20" s="83"/>
      <c r="E20" s="96"/>
      <c r="Z20" t="s">
        <v>393</v>
      </c>
    </row>
    <row r="21">
      <c r="B21" s="95"/>
      <c r="C21" s="82"/>
      <c r="D21" s="83"/>
      <c r="E21" s="96"/>
      <c r="Z21" t="s">
        <v>394</v>
      </c>
    </row>
    <row r="22">
      <c r="B22" s="97"/>
      <c r="C22" s="98"/>
      <c r="D22" s="99"/>
      <c r="E22" s="100"/>
      <c r="Z22" t="s">
        <v>395</v>
      </c>
    </row>
    <row r="23">
      <c r="B23" s="101" t="s">
        <v>414</v>
      </c>
      <c r="C23" s="102"/>
      <c r="D23" s="103" t="str">
        <f>=SUBTOTAL(109,TblKMWMittel[Betrag])</f>
      </c>
      <c r="E23" s="104"/>
      <c r="Z23" t="s">
        <v>396</v>
      </c>
    </row>
    <row r="24">
      <c r="Z24" t="s">
        <v>397</v>
      </c>
    </row>
    <row r="25">
      <c r="Z25" t="s">
        <v>398</v>
      </c>
    </row>
    <row r="26">
      <c r="Z26" t="s">
        <v>399</v>
      </c>
    </row>
    <row r="27">
      <c r="Z27" t="s">
        <v>400</v>
      </c>
    </row>
    <row r="28">
      <c r="Z28" t="s">
        <v>401</v>
      </c>
    </row>
    <row r="29">
      <c r="Z29" t="s">
        <v>402</v>
      </c>
    </row>
    <row r="30">
      <c r="Z30" t="s">
        <v>403</v>
      </c>
    </row>
    <row r="31">
      <c r="Z31" t="s">
        <v>404</v>
      </c>
    </row>
    <row r="32">
      <c r="Z32" t="s">
        <v>405</v>
      </c>
    </row>
    <row r="33">
      <c r="Z33" t="s">
        <v>406</v>
      </c>
    </row>
    <row r="34">
      <c r="Z34" t="s">
        <v>407</v>
      </c>
    </row>
    <row r="35">
      <c r="Z35" t="s">
        <v>408</v>
      </c>
    </row>
    <row r="36">
      <c r="Z36" t="s">
        <v>409</v>
      </c>
    </row>
  </sheetData>
  <mergeCells count="1">
    <mergeCell ref="B2:E2"/>
  </mergeCells>
  <dataValidations count="2">
    <dataValidation allowBlank="true" sqref="B5:B22" type="list">
      <formula1>'II. KMW-Mittel'!$Z$1:$Z$36</formula1>
    </dataValidation>
    <dataValidation allowBlank="true" sqref="C5:C22" type="list">
      <formula1>"EUR,USD"</formula1>
    </dataValidation>
  </dataValidations>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sheetPr>
    <tabColor rgb="FFFF00"/>
  </sheetPr>
  <dimension ref="A1"/>
  <sheetViews>
    <sheetView showGridLines="false" workbookViewId="0"/>
  </sheetViews>
  <sheetFormatPr defaultRowHeight="15"/>
  <cols>
    <col customWidth="true" max="2" min="2" width="30.43"/>
    <col customWidth="true" max="6" min="3" width="24.71"/>
    <col customWidth="true" hidden="true" max="9" min="9" outlineLevel="1" width="30.43"/>
    <col customWidth="true" hidden="true" max="13" min="10" outlineLevel="1" width="24.71"/>
    <col customWidth="true" hidden="true" max="16" min="16" outlineLevel="1" width="30.43"/>
    <col customWidth="true" hidden="true" max="20" min="17" outlineLevel="1" width="24.71"/>
    <col customWidth="true" hidden="true" max="23" min="23" outlineLevel="1" width="30.43"/>
    <col customWidth="true" hidden="true" max="27" min="24" outlineLevel="1" width="24.71"/>
    <col customWidth="true" hidden="true" max="30" min="30" outlineLevel="1" width="30.43"/>
    <col customWidth="true" hidden="true" max="34" min="31" outlineLevel="1" width="24.71"/>
    <col customWidth="true" hidden="true" max="37" min="37" outlineLevel="1" width="30.43"/>
    <col customWidth="true" hidden="true" max="41" min="38" outlineLevel="1" width="24.71"/>
    <col customWidth="true" hidden="true" max="44" min="44" outlineLevel="1" width="30.43"/>
    <col customWidth="true" hidden="true" max="48" min="45" outlineLevel="1" width="24.71"/>
    <col customWidth="true" hidden="true" max="51" min="51" outlineLevel="1" width="30.43"/>
    <col customWidth="true" hidden="true" max="55" min="52" outlineLevel="1" width="24.71"/>
    <col customWidth="true" hidden="true" max="58" min="58" outlineLevel="1" width="30.43"/>
    <col customWidth="true" hidden="true" max="62" min="59" outlineLevel="1" width="24.71"/>
    <col customWidth="true" hidden="true" max="65" min="65" outlineLevel="1" width="30.43"/>
    <col customWidth="true" hidden="true" max="69" min="66" outlineLevel="1" width="24.71"/>
    <col customWidth="true" hidden="true" max="72" min="72" outlineLevel="1" width="30.43"/>
    <col customWidth="true" hidden="true" max="76" min="73" outlineLevel="1" width="24.71"/>
    <col customWidth="true" hidden="true" max="79" min="79" outlineLevel="1" width="30.43"/>
    <col customWidth="true" hidden="true" max="83" min="80" outlineLevel="1" width="24.71"/>
    <col customWidth="true" hidden="true" max="86" min="86" outlineLevel="1" width="30.43"/>
    <col customWidth="true" hidden="true" max="90" min="87" outlineLevel="1" width="24.71"/>
    <col customWidth="true" hidden="true" max="93" min="93" outlineLevel="1" width="30.43"/>
    <col customWidth="true" hidden="true" max="97" min="94" outlineLevel="1" width="24.71"/>
    <col customWidth="true" hidden="true" max="100" min="100" outlineLevel="1" width="30.43"/>
    <col customWidth="true" hidden="true" max="104" min="101" outlineLevel="1" width="24.71"/>
    <col customWidth="true" hidden="true" max="107" min="107" outlineLevel="1" width="30.43"/>
    <col customWidth="true" hidden="true" max="111" min="108" outlineLevel="1" width="24.71"/>
    <col customWidth="true" hidden="true" max="114" min="114" outlineLevel="1" width="30.43"/>
    <col customWidth="true" hidden="true" max="118" min="115" outlineLevel="1" width="24.71"/>
    <col customWidth="true" hidden="true" max="121" min="121" outlineLevel="1" width="30.43"/>
    <col customWidth="true" hidden="true" max="125" min="122" outlineLevel="1" width="24.71"/>
  </cols>
  <sheetData>
    <row r="3">
      <c r="H3" s="176" t="s">
        <v>450</v>
      </c>
      <c r="O3" s="176" t="s">
        <v>450</v>
      </c>
      <c r="V3" s="176" t="s">
        <v>450</v>
      </c>
      <c r="AC3" s="176" t="s">
        <v>450</v>
      </c>
      <c r="AJ3" s="176" t="s">
        <v>450</v>
      </c>
      <c r="AQ3" s="176" t="s">
        <v>450</v>
      </c>
      <c r="AX3" s="176" t="s">
        <v>450</v>
      </c>
      <c r="BE3" s="176" t="s">
        <v>450</v>
      </c>
      <c r="BL3" s="176" t="s">
        <v>450</v>
      </c>
      <c r="BS3" s="176" t="s">
        <v>450</v>
      </c>
      <c r="BZ3" s="176" t="s">
        <v>450</v>
      </c>
      <c r="CG3" s="176" t="s">
        <v>450</v>
      </c>
      <c r="CN3" s="176" t="s">
        <v>450</v>
      </c>
      <c r="CU3" s="176" t="s">
        <v>450</v>
      </c>
      <c r="DB3" s="176" t="s">
        <v>450</v>
      </c>
      <c r="DI3" s="176" t="s">
        <v>450</v>
      </c>
      <c r="DP3" s="176" t="s">
        <v>450</v>
      </c>
    </row>
    <row r="4">
      <c r="B4" s="134" t="s">
        <v>415</v>
      </c>
      <c r="C4" s="135" t="s">
        <v>374</v>
      </c>
      <c r="D4" s="135"/>
      <c r="E4" s="136"/>
      <c r="F4" s="137"/>
      <c r="I4" s="134" t="s">
        <v>415</v>
      </c>
      <c r="J4" s="135" t="s">
        <v>375</v>
      </c>
      <c r="K4" s="135"/>
      <c r="L4" s="136"/>
      <c r="M4" s="137"/>
      <c r="P4" s="134" t="s">
        <v>415</v>
      </c>
      <c r="Q4" s="135" t="s">
        <v>376</v>
      </c>
      <c r="R4" s="135"/>
      <c r="S4" s="136"/>
      <c r="T4" s="137"/>
      <c r="W4" s="134" t="s">
        <v>415</v>
      </c>
      <c r="X4" s="135" t="s">
        <v>377</v>
      </c>
      <c r="Y4" s="135"/>
      <c r="Z4" s="136"/>
      <c r="AA4" s="137"/>
      <c r="AD4" s="134" t="s">
        <v>415</v>
      </c>
      <c r="AE4" s="135" t="s">
        <v>378</v>
      </c>
      <c r="AF4" s="135"/>
      <c r="AG4" s="136"/>
      <c r="AH4" s="137"/>
      <c r="AK4" s="134" t="s">
        <v>415</v>
      </c>
      <c r="AL4" s="135" t="s">
        <v>379</v>
      </c>
      <c r="AM4" s="135"/>
      <c r="AN4" s="136"/>
      <c r="AO4" s="137"/>
      <c r="AR4" s="134" t="s">
        <v>415</v>
      </c>
      <c r="AS4" s="135" t="s">
        <v>380</v>
      </c>
      <c r="AT4" s="135"/>
      <c r="AU4" s="136"/>
      <c r="AV4" s="137"/>
      <c r="AY4" s="134" t="s">
        <v>415</v>
      </c>
      <c r="AZ4" s="135" t="s">
        <v>381</v>
      </c>
      <c r="BA4" s="135"/>
      <c r="BB4" s="136"/>
      <c r="BC4" s="137"/>
      <c r="BF4" s="134" t="s">
        <v>415</v>
      </c>
      <c r="BG4" s="135" t="s">
        <v>382</v>
      </c>
      <c r="BH4" s="135"/>
      <c r="BI4" s="136"/>
      <c r="BJ4" s="137"/>
      <c r="BM4" s="134" t="s">
        <v>415</v>
      </c>
      <c r="BN4" s="135" t="s">
        <v>383</v>
      </c>
      <c r="BO4" s="135"/>
      <c r="BP4" s="136"/>
      <c r="BQ4" s="137"/>
      <c r="BT4" s="134" t="s">
        <v>415</v>
      </c>
      <c r="BU4" s="135" t="s">
        <v>384</v>
      </c>
      <c r="BV4" s="135"/>
      <c r="BW4" s="136"/>
      <c r="BX4" s="137"/>
      <c r="CA4" s="134" t="s">
        <v>415</v>
      </c>
      <c r="CB4" s="135" t="s">
        <v>385</v>
      </c>
      <c r="CC4" s="135"/>
      <c r="CD4" s="136"/>
      <c r="CE4" s="137"/>
      <c r="CH4" s="134" t="s">
        <v>415</v>
      </c>
      <c r="CI4" s="135" t="s">
        <v>386</v>
      </c>
      <c r="CJ4" s="135"/>
      <c r="CK4" s="136"/>
      <c r="CL4" s="137"/>
      <c r="CO4" s="134" t="s">
        <v>415</v>
      </c>
      <c r="CP4" s="135" t="s">
        <v>387</v>
      </c>
      <c r="CQ4" s="135"/>
      <c r="CR4" s="136"/>
      <c r="CS4" s="137"/>
      <c r="CV4" s="134" t="s">
        <v>415</v>
      </c>
      <c r="CW4" s="135" t="s">
        <v>388</v>
      </c>
      <c r="CX4" s="135"/>
      <c r="CY4" s="136"/>
      <c r="CZ4" s="137"/>
      <c r="DC4" s="134" t="s">
        <v>415</v>
      </c>
      <c r="DD4" s="135" t="s">
        <v>389</v>
      </c>
      <c r="DE4" s="135"/>
      <c r="DF4" s="136"/>
      <c r="DG4" s="137"/>
      <c r="DJ4" s="134" t="s">
        <v>415</v>
      </c>
      <c r="DK4" s="135" t="s">
        <v>390</v>
      </c>
      <c r="DL4" s="135"/>
      <c r="DM4" s="136"/>
      <c r="DN4" s="137"/>
      <c r="DQ4" s="134" t="s">
        <v>415</v>
      </c>
      <c r="DR4" s="135" t="s">
        <v>391</v>
      </c>
      <c r="DS4" s="135"/>
      <c r="DT4" s="136"/>
      <c r="DU4" s="137"/>
    </row>
    <row r="5">
      <c r="B5" s="138" t="s">
        <v>416</v>
      </c>
      <c r="C5" s="108"/>
      <c r="D5" s="108"/>
      <c r="F5" s="46"/>
      <c r="I5" s="138" t="s">
        <v>416</v>
      </c>
      <c r="J5" s="108"/>
      <c r="K5" s="108"/>
      <c r="M5" s="46"/>
      <c r="P5" s="138" t="s">
        <v>416</v>
      </c>
      <c r="Q5" s="108"/>
      <c r="R5" s="108"/>
      <c r="T5" s="46"/>
      <c r="W5" s="138" t="s">
        <v>416</v>
      </c>
      <c r="X5" s="108"/>
      <c r="Y5" s="108"/>
      <c r="AA5" s="46"/>
      <c r="AD5" s="138" t="s">
        <v>416</v>
      </c>
      <c r="AE5" s="108"/>
      <c r="AF5" s="108"/>
      <c r="AH5" s="46"/>
      <c r="AK5" s="138" t="s">
        <v>416</v>
      </c>
      <c r="AL5" s="108"/>
      <c r="AM5" s="108"/>
      <c r="AO5" s="46"/>
      <c r="AR5" s="138" t="s">
        <v>416</v>
      </c>
      <c r="AS5" s="108"/>
      <c r="AT5" s="108"/>
      <c r="AV5" s="46"/>
      <c r="AY5" s="138" t="s">
        <v>416</v>
      </c>
      <c r="AZ5" s="108"/>
      <c r="BA5" s="108"/>
      <c r="BC5" s="46"/>
      <c r="BF5" s="138" t="s">
        <v>416</v>
      </c>
      <c r="BG5" s="108"/>
      <c r="BH5" s="108"/>
      <c r="BJ5" s="46"/>
      <c r="BM5" s="138" t="s">
        <v>416</v>
      </c>
      <c r="BN5" s="108"/>
      <c r="BO5" s="108"/>
      <c r="BQ5" s="46"/>
      <c r="BT5" s="138" t="s">
        <v>416</v>
      </c>
      <c r="BU5" s="108"/>
      <c r="BV5" s="108"/>
      <c r="BX5" s="46"/>
      <c r="CA5" s="138" t="s">
        <v>416</v>
      </c>
      <c r="CB5" s="108"/>
      <c r="CC5" s="108"/>
      <c r="CE5" s="46"/>
      <c r="CH5" s="138" t="s">
        <v>416</v>
      </c>
      <c r="CI5" s="108"/>
      <c r="CJ5" s="108"/>
      <c r="CL5" s="46"/>
      <c r="CO5" s="138" t="s">
        <v>416</v>
      </c>
      <c r="CP5" s="108"/>
      <c r="CQ5" s="108"/>
      <c r="CS5" s="46"/>
      <c r="CV5" s="138" t="s">
        <v>416</v>
      </c>
      <c r="CW5" s="108"/>
      <c r="CX5" s="108"/>
      <c r="CZ5" s="46"/>
      <c r="DC5" s="138" t="s">
        <v>416</v>
      </c>
      <c r="DD5" s="108"/>
      <c r="DE5" s="108"/>
      <c r="DG5" s="46"/>
      <c r="DJ5" s="138" t="s">
        <v>416</v>
      </c>
      <c r="DK5" s="108"/>
      <c r="DL5" s="108"/>
      <c r="DN5" s="46"/>
      <c r="DQ5" s="138" t="s">
        <v>416</v>
      </c>
      <c r="DR5" s="108"/>
      <c r="DS5" s="108"/>
      <c r="DU5" s="46"/>
    </row>
    <row r="6">
      <c r="B6" s="138" t="s">
        <v>417</v>
      </c>
      <c r="C6" s="108"/>
      <c r="D6" s="108"/>
      <c r="F6" s="46"/>
      <c r="I6" s="138" t="s">
        <v>417</v>
      </c>
      <c r="J6" s="108"/>
      <c r="K6" s="108"/>
      <c r="M6" s="46"/>
      <c r="P6" s="138" t="s">
        <v>417</v>
      </c>
      <c r="Q6" s="108"/>
      <c r="R6" s="108"/>
      <c r="T6" s="46"/>
      <c r="W6" s="138" t="s">
        <v>417</v>
      </c>
      <c r="X6" s="108"/>
      <c r="Y6" s="108"/>
      <c r="AA6" s="46"/>
      <c r="AD6" s="138" t="s">
        <v>417</v>
      </c>
      <c r="AE6" s="108"/>
      <c r="AF6" s="108"/>
      <c r="AH6" s="46"/>
      <c r="AK6" s="138" t="s">
        <v>417</v>
      </c>
      <c r="AL6" s="108"/>
      <c r="AM6" s="108"/>
      <c r="AO6" s="46"/>
      <c r="AR6" s="138" t="s">
        <v>417</v>
      </c>
      <c r="AS6" s="108"/>
      <c r="AT6" s="108"/>
      <c r="AV6" s="46"/>
      <c r="AY6" s="138" t="s">
        <v>417</v>
      </c>
      <c r="AZ6" s="108"/>
      <c r="BA6" s="108"/>
      <c r="BC6" s="46"/>
      <c r="BF6" s="138" t="s">
        <v>417</v>
      </c>
      <c r="BG6" s="108"/>
      <c r="BH6" s="108"/>
      <c r="BJ6" s="46"/>
      <c r="BM6" s="138" t="s">
        <v>417</v>
      </c>
      <c r="BN6" s="108"/>
      <c r="BO6" s="108"/>
      <c r="BQ6" s="46"/>
      <c r="BT6" s="138" t="s">
        <v>417</v>
      </c>
      <c r="BU6" s="108"/>
      <c r="BV6" s="108"/>
      <c r="BX6" s="46"/>
      <c r="CA6" s="138" t="s">
        <v>417</v>
      </c>
      <c r="CB6" s="108"/>
      <c r="CC6" s="108"/>
      <c r="CE6" s="46"/>
      <c r="CH6" s="138" t="s">
        <v>417</v>
      </c>
      <c r="CI6" s="108"/>
      <c r="CJ6" s="108"/>
      <c r="CL6" s="46"/>
      <c r="CO6" s="138" t="s">
        <v>417</v>
      </c>
      <c r="CP6" s="108"/>
      <c r="CQ6" s="108"/>
      <c r="CS6" s="46"/>
      <c r="CV6" s="138" t="s">
        <v>417</v>
      </c>
      <c r="CW6" s="108"/>
      <c r="CX6" s="108"/>
      <c r="CZ6" s="46"/>
      <c r="DC6" s="138" t="s">
        <v>417</v>
      </c>
      <c r="DD6" s="108"/>
      <c r="DE6" s="108"/>
      <c r="DG6" s="46"/>
      <c r="DJ6" s="138" t="s">
        <v>417</v>
      </c>
      <c r="DK6" s="108"/>
      <c r="DL6" s="108"/>
      <c r="DN6" s="46"/>
      <c r="DQ6" s="138" t="s">
        <v>417</v>
      </c>
      <c r="DR6" s="108"/>
      <c r="DS6" s="108"/>
      <c r="DU6" s="46"/>
    </row>
    <row r="7">
      <c r="B7" s="138" t="s">
        <v>418</v>
      </c>
      <c r="C7" s="109" t="str">
        <f>=IF(OR(C5="",C6=""),"",DATEDIF(C5,C6,"m")+1)</f>
        <v>158</v>
      </c>
      <c r="D7" s="109"/>
      <c r="F7" s="46"/>
      <c r="I7" s="138" t="s">
        <v>418</v>
      </c>
      <c r="J7" s="109" t="str">
        <f>=IF(OR(J5="",J6=""),"",DATEDIF(J5,J6,"m")+1)</f>
        <v>158</v>
      </c>
      <c r="K7" s="109"/>
      <c r="M7" s="46"/>
      <c r="P7" s="138" t="s">
        <v>418</v>
      </c>
      <c r="Q7" s="109" t="str">
        <f>=IF(OR(Q5="",Q6=""),"",DATEDIF(Q5,Q6,"m")+1)</f>
        <v>158</v>
      </c>
      <c r="R7" s="109"/>
      <c r="T7" s="46"/>
      <c r="W7" s="138" t="s">
        <v>418</v>
      </c>
      <c r="X7" s="109" t="str">
        <f>=IF(OR(X5="",X6=""),"",DATEDIF(X5,X6,"m")+1)</f>
        <v>158</v>
      </c>
      <c r="Y7" s="109"/>
      <c r="AA7" s="46"/>
      <c r="AD7" s="138" t="s">
        <v>418</v>
      </c>
      <c r="AE7" s="109" t="str">
        <f>=IF(OR(AE5="",AE6=""),"",DATEDIF(AE5,AE6,"m")+1)</f>
        <v>158</v>
      </c>
      <c r="AF7" s="109"/>
      <c r="AH7" s="46"/>
      <c r="AK7" s="138" t="s">
        <v>418</v>
      </c>
      <c r="AL7" s="109" t="str">
        <f>=IF(OR(AL5="",AL6=""),"",DATEDIF(AL5,AL6,"m")+1)</f>
        <v>158</v>
      </c>
      <c r="AM7" s="109"/>
      <c r="AO7" s="46"/>
      <c r="AR7" s="138" t="s">
        <v>418</v>
      </c>
      <c r="AS7" s="109" t="str">
        <f>=IF(OR(AS5="",AS6=""),"",DATEDIF(AS5,AS6,"m")+1)</f>
        <v>158</v>
      </c>
      <c r="AT7" s="109"/>
      <c r="AV7" s="46"/>
      <c r="AY7" s="138" t="s">
        <v>418</v>
      </c>
      <c r="AZ7" s="109" t="str">
        <f>=IF(OR(AZ5="",AZ6=""),"",DATEDIF(AZ5,AZ6,"m")+1)</f>
        <v>158</v>
      </c>
      <c r="BA7" s="109"/>
      <c r="BC7" s="46"/>
      <c r="BF7" s="138" t="s">
        <v>418</v>
      </c>
      <c r="BG7" s="109" t="str">
        <f>=IF(OR(BG5="",BG6=""),"",DATEDIF(BG5,BG6,"m")+1)</f>
        <v>158</v>
      </c>
      <c r="BH7" s="109"/>
      <c r="BJ7" s="46"/>
      <c r="BM7" s="138" t="s">
        <v>418</v>
      </c>
      <c r="BN7" s="109" t="str">
        <f>=IF(OR(BN5="",BN6=""),"",DATEDIF(BN5,BN6,"m")+1)</f>
        <v>158</v>
      </c>
      <c r="BO7" s="109"/>
      <c r="BQ7" s="46"/>
      <c r="BT7" s="138" t="s">
        <v>418</v>
      </c>
      <c r="BU7" s="109" t="str">
        <f>=IF(OR(BU5="",BU6=""),"",DATEDIF(BU5,BU6,"m")+1)</f>
        <v>158</v>
      </c>
      <c r="BV7" s="109"/>
      <c r="BX7" s="46"/>
      <c r="CA7" s="138" t="s">
        <v>418</v>
      </c>
      <c r="CB7" s="109" t="str">
        <f>=IF(OR(CB5="",CB6=""),"",DATEDIF(CB5,CB6,"m")+1)</f>
        <v>158</v>
      </c>
      <c r="CC7" s="109"/>
      <c r="CE7" s="46"/>
      <c r="CH7" s="138" t="s">
        <v>418</v>
      </c>
      <c r="CI7" s="109" t="str">
        <f>=IF(OR(CI5="",CI6=""),"",DATEDIF(CI5,CI6,"m")+1)</f>
        <v>158</v>
      </c>
      <c r="CJ7" s="109"/>
      <c r="CL7" s="46"/>
      <c r="CO7" s="138" t="s">
        <v>418</v>
      </c>
      <c r="CP7" s="109" t="str">
        <f>=IF(OR(CP5="",CP6=""),"",DATEDIF(CP5,CP6,"m")+1)</f>
        <v>158</v>
      </c>
      <c r="CQ7" s="109"/>
      <c r="CS7" s="46"/>
      <c r="CV7" s="138" t="s">
        <v>418</v>
      </c>
      <c r="CW7" s="109" t="str">
        <f>=IF(OR(CW5="",CW6=""),"",DATEDIF(CW5,CW6,"m")+1)</f>
        <v>158</v>
      </c>
      <c r="CX7" s="109"/>
      <c r="CZ7" s="46"/>
      <c r="DC7" s="138" t="s">
        <v>418</v>
      </c>
      <c r="DD7" s="109" t="str">
        <f>=IF(OR(DD5="",DD6=""),"",DATEDIF(DD5,DD6,"m")+1)</f>
        <v>158</v>
      </c>
      <c r="DE7" s="109"/>
      <c r="DG7" s="46"/>
      <c r="DJ7" s="138" t="s">
        <v>418</v>
      </c>
      <c r="DK7" s="109" t="str">
        <f>=IF(OR(DK5="",DK6=""),"",DATEDIF(DK5,DK6,"m")+1)</f>
        <v>158</v>
      </c>
      <c r="DL7" s="109"/>
      <c r="DN7" s="46"/>
      <c r="DQ7" s="138" t="s">
        <v>418</v>
      </c>
      <c r="DR7" s="109" t="str">
        <f>=IF(OR(DR5="",DR6=""),"",DATEDIF(DR5,DR6,"m")+1)</f>
        <v>158</v>
      </c>
      <c r="DS7" s="109"/>
      <c r="DU7" s="46"/>
    </row>
    <row r="8">
      <c r="B8" s="138" t="s">
        <v>419</v>
      </c>
      <c r="C8" s="111" t="str">
        <f>=ROUND(IFERROR(F161,0),6)</f>
        <v>158</v>
      </c>
      <c r="D8" s="111"/>
      <c r="F8" s="46"/>
      <c r="I8" s="138" t="s">
        <v>419</v>
      </c>
      <c r="J8" s="111" t="str">
        <f>=ROUND(IFERROR(M161,0),6)</f>
        <v>158</v>
      </c>
      <c r="K8" s="111"/>
      <c r="M8" s="46"/>
      <c r="P8" s="138" t="s">
        <v>419</v>
      </c>
      <c r="Q8" s="111" t="str">
        <f>=ROUND(IFERROR(T161,0),6)</f>
        <v>158</v>
      </c>
      <c r="R8" s="111"/>
      <c r="T8" s="46"/>
      <c r="W8" s="138" t="s">
        <v>419</v>
      </c>
      <c r="X8" s="111" t="str">
        <f>=ROUND(IFERROR(AA161,0),6)</f>
        <v>158</v>
      </c>
      <c r="Y8" s="111"/>
      <c r="AA8" s="46"/>
      <c r="AD8" s="138" t="s">
        <v>419</v>
      </c>
      <c r="AE8" s="111" t="str">
        <f>=ROUND(IFERROR(AH161,0),6)</f>
        <v>158</v>
      </c>
      <c r="AF8" s="111"/>
      <c r="AH8" s="46"/>
      <c r="AK8" s="138" t="s">
        <v>419</v>
      </c>
      <c r="AL8" s="111" t="str">
        <f>=ROUND(IFERROR(AO161,0),6)</f>
        <v>158</v>
      </c>
      <c r="AM8" s="111"/>
      <c r="AO8" s="46"/>
      <c r="AR8" s="138" t="s">
        <v>419</v>
      </c>
      <c r="AS8" s="111" t="str">
        <f>=ROUND(IFERROR(AV161,0),6)</f>
        <v>158</v>
      </c>
      <c r="AT8" s="111"/>
      <c r="AV8" s="46"/>
      <c r="AY8" s="138" t="s">
        <v>419</v>
      </c>
      <c r="AZ8" s="111" t="str">
        <f>=ROUND(IFERROR(BC161,0),6)</f>
        <v>158</v>
      </c>
      <c r="BA8" s="111"/>
      <c r="BC8" s="46"/>
      <c r="BF8" s="138" t="s">
        <v>419</v>
      </c>
      <c r="BG8" s="111" t="str">
        <f>=ROUND(IFERROR(BJ161,0),6)</f>
        <v>158</v>
      </c>
      <c r="BH8" s="111"/>
      <c r="BJ8" s="46"/>
      <c r="BM8" s="138" t="s">
        <v>419</v>
      </c>
      <c r="BN8" s="111" t="str">
        <f>=ROUND(IFERROR(BQ161,0),6)</f>
        <v>158</v>
      </c>
      <c r="BO8" s="111"/>
      <c r="BQ8" s="46"/>
      <c r="BT8" s="138" t="s">
        <v>419</v>
      </c>
      <c r="BU8" s="111" t="str">
        <f>=ROUND(IFERROR(BX161,0),6)</f>
        <v>158</v>
      </c>
      <c r="BV8" s="111"/>
      <c r="BX8" s="46"/>
      <c r="CA8" s="138" t="s">
        <v>419</v>
      </c>
      <c r="CB8" s="111" t="str">
        <f>=ROUND(IFERROR(CE161,0),6)</f>
        <v>158</v>
      </c>
      <c r="CC8" s="111"/>
      <c r="CE8" s="46"/>
      <c r="CH8" s="138" t="s">
        <v>419</v>
      </c>
      <c r="CI8" s="111" t="str">
        <f>=ROUND(IFERROR(CL161,0),6)</f>
        <v>158</v>
      </c>
      <c r="CJ8" s="111"/>
      <c r="CL8" s="46"/>
      <c r="CO8" s="138" t="s">
        <v>419</v>
      </c>
      <c r="CP8" s="111" t="str">
        <f>=ROUND(IFERROR(CS161,0),6)</f>
        <v>158</v>
      </c>
      <c r="CQ8" s="111"/>
      <c r="CS8" s="46"/>
      <c r="CV8" s="138" t="s">
        <v>419</v>
      </c>
      <c r="CW8" s="111" t="str">
        <f>=ROUND(IFERROR(CZ161,0),6)</f>
        <v>158</v>
      </c>
      <c r="CX8" s="111"/>
      <c r="CZ8" s="46"/>
      <c r="DC8" s="138" t="s">
        <v>419</v>
      </c>
      <c r="DD8" s="111" t="str">
        <f>=ROUND(IFERROR(DG161,0),6)</f>
        <v>158</v>
      </c>
      <c r="DE8" s="111"/>
      <c r="DG8" s="46"/>
      <c r="DJ8" s="138" t="s">
        <v>419</v>
      </c>
      <c r="DK8" s="111" t="str">
        <f>=ROUND(IFERROR(DN161,0),6)</f>
        <v>158</v>
      </c>
      <c r="DL8" s="111"/>
      <c r="DN8" s="46"/>
      <c r="DQ8" s="138" t="s">
        <v>419</v>
      </c>
      <c r="DR8" s="111" t="str">
        <f>=ROUND(IFERROR(DU161,0),6)</f>
        <v>158</v>
      </c>
      <c r="DS8" s="111"/>
      <c r="DU8" s="46"/>
    </row>
    <row r="9">
      <c r="B9" s="139" t="s">
        <v>420</v>
      </c>
      <c r="C9" s="112"/>
      <c r="D9" s="112"/>
      <c r="E9" s="112"/>
      <c r="F9" s="140"/>
      <c r="I9" s="139" t="s">
        <v>420</v>
      </c>
      <c r="J9" s="112"/>
      <c r="K9" s="112"/>
      <c r="L9" s="112"/>
      <c r="M9" s="140"/>
      <c r="P9" s="139" t="s">
        <v>420</v>
      </c>
      <c r="Q9" s="112"/>
      <c r="R9" s="112"/>
      <c r="S9" s="112"/>
      <c r="T9" s="140"/>
      <c r="W9" s="139" t="s">
        <v>420</v>
      </c>
      <c r="X9" s="112"/>
      <c r="Y9" s="112"/>
      <c r="Z9" s="112"/>
      <c r="AA9" s="140"/>
      <c r="AD9" s="139" t="s">
        <v>420</v>
      </c>
      <c r="AE9" s="112"/>
      <c r="AF9" s="112"/>
      <c r="AG9" s="112"/>
      <c r="AH9" s="140"/>
      <c r="AK9" s="139" t="s">
        <v>420</v>
      </c>
      <c r="AL9" s="112"/>
      <c r="AM9" s="112"/>
      <c r="AN9" s="112"/>
      <c r="AO9" s="140"/>
      <c r="AR9" s="139" t="s">
        <v>420</v>
      </c>
      <c r="AS9" s="112"/>
      <c r="AT9" s="112"/>
      <c r="AU9" s="112"/>
      <c r="AV9" s="140"/>
      <c r="AY9" s="139" t="s">
        <v>420</v>
      </c>
      <c r="AZ9" s="112"/>
      <c r="BA9" s="112"/>
      <c r="BB9" s="112"/>
      <c r="BC9" s="140"/>
      <c r="BF9" s="139" t="s">
        <v>420</v>
      </c>
      <c r="BG9" s="112"/>
      <c r="BH9" s="112"/>
      <c r="BI9" s="112"/>
      <c r="BJ9" s="140"/>
      <c r="BM9" s="139" t="s">
        <v>420</v>
      </c>
      <c r="BN9" s="112"/>
      <c r="BO9" s="112"/>
      <c r="BP9" s="112"/>
      <c r="BQ9" s="140"/>
      <c r="BT9" s="139" t="s">
        <v>420</v>
      </c>
      <c r="BU9" s="112"/>
      <c r="BV9" s="112"/>
      <c r="BW9" s="112"/>
      <c r="BX9" s="140"/>
      <c r="CA9" s="139" t="s">
        <v>420</v>
      </c>
      <c r="CB9" s="112"/>
      <c r="CC9" s="112"/>
      <c r="CD9" s="112"/>
      <c r="CE9" s="140"/>
      <c r="CH9" s="139" t="s">
        <v>420</v>
      </c>
      <c r="CI9" s="112"/>
      <c r="CJ9" s="112"/>
      <c r="CK9" s="112"/>
      <c r="CL9" s="140"/>
      <c r="CO9" s="139" t="s">
        <v>420</v>
      </c>
      <c r="CP9" s="112"/>
      <c r="CQ9" s="112"/>
      <c r="CR9" s="112"/>
      <c r="CS9" s="140"/>
      <c r="CV9" s="139" t="s">
        <v>420</v>
      </c>
      <c r="CW9" s="112"/>
      <c r="CX9" s="112"/>
      <c r="CY9" s="112"/>
      <c r="CZ9" s="140"/>
      <c r="DC9" s="139" t="s">
        <v>420</v>
      </c>
      <c r="DD9" s="112"/>
      <c r="DE9" s="112"/>
      <c r="DF9" s="112"/>
      <c r="DG9" s="140"/>
      <c r="DJ9" s="139" t="s">
        <v>420</v>
      </c>
      <c r="DK9" s="112"/>
      <c r="DL9" s="112"/>
      <c r="DM9" s="112"/>
      <c r="DN9" s="140"/>
      <c r="DQ9" s="139" t="s">
        <v>420</v>
      </c>
      <c r="DR9" s="112"/>
      <c r="DS9" s="112"/>
      <c r="DT9" s="112"/>
      <c r="DU9" s="140"/>
    </row>
    <row r="10">
      <c r="B10" s="141" t="s">
        <v>421</v>
      </c>
      <c r="C10" s="114" t="s">
        <v>422</v>
      </c>
      <c r="D10" s="114" t="s">
        <v>423</v>
      </c>
      <c r="E10" s="114" t="s">
        <v>424</v>
      </c>
      <c r="F10" s="142" t="s">
        <v>425</v>
      </c>
      <c r="I10" s="141" t="s">
        <v>421</v>
      </c>
      <c r="J10" s="114" t="s">
        <v>422</v>
      </c>
      <c r="K10" s="114" t="s">
        <v>423</v>
      </c>
      <c r="L10" s="114" t="s">
        <v>424</v>
      </c>
      <c r="M10" s="142" t="s">
        <v>425</v>
      </c>
      <c r="P10" s="141" t="s">
        <v>421</v>
      </c>
      <c r="Q10" s="114" t="s">
        <v>422</v>
      </c>
      <c r="R10" s="114" t="s">
        <v>423</v>
      </c>
      <c r="S10" s="114" t="s">
        <v>424</v>
      </c>
      <c r="T10" s="142" t="s">
        <v>425</v>
      </c>
      <c r="W10" s="141" t="s">
        <v>421</v>
      </c>
      <c r="X10" s="114" t="s">
        <v>422</v>
      </c>
      <c r="Y10" s="114" t="s">
        <v>423</v>
      </c>
      <c r="Z10" s="114" t="s">
        <v>424</v>
      </c>
      <c r="AA10" s="142" t="s">
        <v>425</v>
      </c>
      <c r="AD10" s="141" t="s">
        <v>421</v>
      </c>
      <c r="AE10" s="114" t="s">
        <v>422</v>
      </c>
      <c r="AF10" s="114" t="s">
        <v>423</v>
      </c>
      <c r="AG10" s="114" t="s">
        <v>424</v>
      </c>
      <c r="AH10" s="142" t="s">
        <v>425</v>
      </c>
      <c r="AK10" s="141" t="s">
        <v>421</v>
      </c>
      <c r="AL10" s="114" t="s">
        <v>422</v>
      </c>
      <c r="AM10" s="114" t="s">
        <v>423</v>
      </c>
      <c r="AN10" s="114" t="s">
        <v>424</v>
      </c>
      <c r="AO10" s="142" t="s">
        <v>425</v>
      </c>
      <c r="AR10" s="141" t="s">
        <v>421</v>
      </c>
      <c r="AS10" s="114" t="s">
        <v>422</v>
      </c>
      <c r="AT10" s="114" t="s">
        <v>423</v>
      </c>
      <c r="AU10" s="114" t="s">
        <v>424</v>
      </c>
      <c r="AV10" s="142" t="s">
        <v>425</v>
      </c>
      <c r="AY10" s="141" t="s">
        <v>421</v>
      </c>
      <c r="AZ10" s="114" t="s">
        <v>422</v>
      </c>
      <c r="BA10" s="114" t="s">
        <v>423</v>
      </c>
      <c r="BB10" s="114" t="s">
        <v>424</v>
      </c>
      <c r="BC10" s="142" t="s">
        <v>425</v>
      </c>
      <c r="BF10" s="141" t="s">
        <v>421</v>
      </c>
      <c r="BG10" s="114" t="s">
        <v>422</v>
      </c>
      <c r="BH10" s="114" t="s">
        <v>423</v>
      </c>
      <c r="BI10" s="114" t="s">
        <v>424</v>
      </c>
      <c r="BJ10" s="142" t="s">
        <v>425</v>
      </c>
      <c r="BM10" s="141" t="s">
        <v>421</v>
      </c>
      <c r="BN10" s="114" t="s">
        <v>422</v>
      </c>
      <c r="BO10" s="114" t="s">
        <v>423</v>
      </c>
      <c r="BP10" s="114" t="s">
        <v>424</v>
      </c>
      <c r="BQ10" s="142" t="s">
        <v>425</v>
      </c>
      <c r="BT10" s="141" t="s">
        <v>421</v>
      </c>
      <c r="BU10" s="114" t="s">
        <v>422</v>
      </c>
      <c r="BV10" s="114" t="s">
        <v>423</v>
      </c>
      <c r="BW10" s="114" t="s">
        <v>424</v>
      </c>
      <c r="BX10" s="142" t="s">
        <v>425</v>
      </c>
      <c r="CA10" s="141" t="s">
        <v>421</v>
      </c>
      <c r="CB10" s="114" t="s">
        <v>422</v>
      </c>
      <c r="CC10" s="114" t="s">
        <v>423</v>
      </c>
      <c r="CD10" s="114" t="s">
        <v>424</v>
      </c>
      <c r="CE10" s="142" t="s">
        <v>425</v>
      </c>
      <c r="CH10" s="141" t="s">
        <v>421</v>
      </c>
      <c r="CI10" s="114" t="s">
        <v>422</v>
      </c>
      <c r="CJ10" s="114" t="s">
        <v>423</v>
      </c>
      <c r="CK10" s="114" t="s">
        <v>424</v>
      </c>
      <c r="CL10" s="142" t="s">
        <v>425</v>
      </c>
      <c r="CO10" s="141" t="s">
        <v>421</v>
      </c>
      <c r="CP10" s="114" t="s">
        <v>422</v>
      </c>
      <c r="CQ10" s="114" t="s">
        <v>423</v>
      </c>
      <c r="CR10" s="114" t="s">
        <v>424</v>
      </c>
      <c r="CS10" s="142" t="s">
        <v>425</v>
      </c>
      <c r="CV10" s="141" t="s">
        <v>421</v>
      </c>
      <c r="CW10" s="114" t="s">
        <v>422</v>
      </c>
      <c r="CX10" s="114" t="s">
        <v>423</v>
      </c>
      <c r="CY10" s="114" t="s">
        <v>424</v>
      </c>
      <c r="CZ10" s="142" t="s">
        <v>425</v>
      </c>
      <c r="DC10" s="141" t="s">
        <v>421</v>
      </c>
      <c r="DD10" s="114" t="s">
        <v>422</v>
      </c>
      <c r="DE10" s="114" t="s">
        <v>423</v>
      </c>
      <c r="DF10" s="114" t="s">
        <v>424</v>
      </c>
      <c r="DG10" s="142" t="s">
        <v>425</v>
      </c>
      <c r="DJ10" s="141" t="s">
        <v>421</v>
      </c>
      <c r="DK10" s="114" t="s">
        <v>422</v>
      </c>
      <c r="DL10" s="114" t="s">
        <v>423</v>
      </c>
      <c r="DM10" s="114" t="s">
        <v>424</v>
      </c>
      <c r="DN10" s="142" t="s">
        <v>425</v>
      </c>
      <c r="DQ10" s="141" t="s">
        <v>421</v>
      </c>
      <c r="DR10" s="114" t="s">
        <v>422</v>
      </c>
      <c r="DS10" s="114" t="s">
        <v>423</v>
      </c>
      <c r="DT10" s="114" t="s">
        <v>424</v>
      </c>
      <c r="DU10" s="142" t="s">
        <v>425</v>
      </c>
    </row>
    <row r="11">
      <c r="B11" s="143" t="s">
        <v>426</v>
      </c>
      <c r="C11" s="116" t="str">
        <f>=ROUND(IF(Saldovortrag_LW="",0,Saldovortrag_LW),2)</f>
      </c>
      <c r="D11" s="117" t="str">
        <f>=ROUND(IF(Saldovortrag_EUR="",0,Saldovortrag_EUR),2)</f>
      </c>
      <c r="E11" s="116" t="str">
        <f>=ROUND(IF(Saldovortrag_LW="",0,Saldovortrag_LW),2)</f>
      </c>
      <c r="F11" s="144" t="str">
        <f>=ROUND(IF(Saldovortrag_EUR="",0,Saldovortrag_EUR),2)</f>
      </c>
      <c r="I11" s="143" t="s">
        <v>451</v>
      </c>
      <c r="J11" s="116" t="str">
        <f>=ROUND(FB_SaldoLC_1,2)</f>
      </c>
      <c r="K11" s="117" t="str">
        <f>=ROUND(FB_SaldoEUR_1,2)</f>
      </c>
      <c r="L11" s="116" t="str">
        <f>=ROUND(FB_SaldoLC_1,2)</f>
      </c>
      <c r="M11" s="144" t="str">
        <f>=ROUND(FB_SaldoEUR_1,2)</f>
      </c>
      <c r="P11" s="143" t="s">
        <v>451</v>
      </c>
      <c r="Q11" s="116" t="str">
        <f>=ROUND(FB_SaldoLC_2,2)</f>
      </c>
      <c r="R11" s="117" t="str">
        <f>=ROUND(FB_SaldoEUR_2,2)</f>
      </c>
      <c r="S11" s="116" t="str">
        <f>=ROUND(FB_SaldoLC_2,2)</f>
      </c>
      <c r="T11" s="144" t="str">
        <f>=ROUND(FB_SaldoEUR_2,2)</f>
      </c>
      <c r="W11" s="143" t="s">
        <v>451</v>
      </c>
      <c r="X11" s="116" t="str">
        <f>=ROUND(FB_SaldoLC_3,2)</f>
      </c>
      <c r="Y11" s="117" t="str">
        <f>=ROUND(FB_SaldoEUR_3,2)</f>
      </c>
      <c r="Z11" s="116" t="str">
        <f>=ROUND(FB_SaldoLC_3,2)</f>
      </c>
      <c r="AA11" s="144" t="str">
        <f>=ROUND(FB_SaldoEUR_3,2)</f>
      </c>
      <c r="AD11" s="143" t="s">
        <v>451</v>
      </c>
      <c r="AE11" s="116" t="str">
        <f>=ROUND(FB_SaldoLC_4,2)</f>
      </c>
      <c r="AF11" s="117" t="str">
        <f>=ROUND(FB_SaldoEUR_4,2)</f>
      </c>
      <c r="AG11" s="116" t="str">
        <f>=ROUND(FB_SaldoLC_4,2)</f>
      </c>
      <c r="AH11" s="144" t="str">
        <f>=ROUND(FB_SaldoEUR_4,2)</f>
      </c>
      <c r="AK11" s="143" t="s">
        <v>451</v>
      </c>
      <c r="AL11" s="116" t="str">
        <f>=ROUND(FB_SaldoLC_5,2)</f>
      </c>
      <c r="AM11" s="117" t="str">
        <f>=ROUND(FB_SaldoEUR_5,2)</f>
      </c>
      <c r="AN11" s="116" t="str">
        <f>=ROUND(FB_SaldoLC_5,2)</f>
      </c>
      <c r="AO11" s="144" t="str">
        <f>=ROUND(FB_SaldoEUR_5,2)</f>
      </c>
      <c r="AR11" s="143" t="s">
        <v>451</v>
      </c>
      <c r="AS11" s="116" t="str">
        <f>=ROUND(FB_SaldoLC_6,2)</f>
      </c>
      <c r="AT11" s="117" t="str">
        <f>=ROUND(FB_SaldoEUR_6,2)</f>
      </c>
      <c r="AU11" s="116" t="str">
        <f>=ROUND(FB_SaldoLC_6,2)</f>
      </c>
      <c r="AV11" s="144" t="str">
        <f>=ROUND(FB_SaldoEUR_6,2)</f>
      </c>
      <c r="AY11" s="143" t="s">
        <v>451</v>
      </c>
      <c r="AZ11" s="116" t="str">
        <f>=ROUND(FB_SaldoLC_7,2)</f>
      </c>
      <c r="BA11" s="117" t="str">
        <f>=ROUND(FB_SaldoEUR_7,2)</f>
      </c>
      <c r="BB11" s="116" t="str">
        <f>=ROUND(FB_SaldoLC_7,2)</f>
      </c>
      <c r="BC11" s="144" t="str">
        <f>=ROUND(FB_SaldoEUR_7,2)</f>
      </c>
      <c r="BF11" s="143" t="s">
        <v>451</v>
      </c>
      <c r="BG11" s="116" t="str">
        <f>=ROUND(FB_SaldoLC_8,2)</f>
      </c>
      <c r="BH11" s="117" t="str">
        <f>=ROUND(FB_SaldoEUR_8,2)</f>
      </c>
      <c r="BI11" s="116" t="str">
        <f>=ROUND(FB_SaldoLC_8,2)</f>
      </c>
      <c r="BJ11" s="144" t="str">
        <f>=ROUND(FB_SaldoEUR_8,2)</f>
      </c>
      <c r="BM11" s="143" t="s">
        <v>451</v>
      </c>
      <c r="BN11" s="116" t="str">
        <f>=ROUND(FB_SaldoLC_9,2)</f>
      </c>
      <c r="BO11" s="117" t="str">
        <f>=ROUND(FB_SaldoEUR_9,2)</f>
      </c>
      <c r="BP11" s="116" t="str">
        <f>=ROUND(FB_SaldoLC_9,2)</f>
      </c>
      <c r="BQ11" s="144" t="str">
        <f>=ROUND(FB_SaldoEUR_9,2)</f>
      </c>
      <c r="BT11" s="143" t="s">
        <v>451</v>
      </c>
      <c r="BU11" s="116" t="str">
        <f>=ROUND(FB_SaldoLC_10,2)</f>
      </c>
      <c r="BV11" s="117" t="str">
        <f>=ROUND(FB_SaldoEUR_10,2)</f>
      </c>
      <c r="BW11" s="116" t="str">
        <f>=ROUND(FB_SaldoLC_10,2)</f>
      </c>
      <c r="BX11" s="144" t="str">
        <f>=ROUND(FB_SaldoEUR_10,2)</f>
      </c>
      <c r="CA11" s="143" t="s">
        <v>451</v>
      </c>
      <c r="CB11" s="116" t="str">
        <f>=ROUND(FB_SaldoLC_11,2)</f>
      </c>
      <c r="CC11" s="117" t="str">
        <f>=ROUND(FB_SaldoEUR_11,2)</f>
      </c>
      <c r="CD11" s="116" t="str">
        <f>=ROUND(FB_SaldoLC_11,2)</f>
      </c>
      <c r="CE11" s="144" t="str">
        <f>=ROUND(FB_SaldoEUR_11,2)</f>
      </c>
      <c r="CH11" s="143" t="s">
        <v>451</v>
      </c>
      <c r="CI11" s="116" t="str">
        <f>=ROUND(FB_SaldoLC_12,2)</f>
      </c>
      <c r="CJ11" s="117" t="str">
        <f>=ROUND(FB_SaldoEUR_12,2)</f>
      </c>
      <c r="CK11" s="116" t="str">
        <f>=ROUND(FB_SaldoLC_12,2)</f>
      </c>
      <c r="CL11" s="144" t="str">
        <f>=ROUND(FB_SaldoEUR_12,2)</f>
      </c>
      <c r="CO11" s="143" t="s">
        <v>451</v>
      </c>
      <c r="CP11" s="116" t="str">
        <f>=ROUND(FB_SaldoLC_13,2)</f>
      </c>
      <c r="CQ11" s="117" t="str">
        <f>=ROUND(FB_SaldoEUR_13,2)</f>
      </c>
      <c r="CR11" s="116" t="str">
        <f>=ROUND(FB_SaldoLC_13,2)</f>
      </c>
      <c r="CS11" s="144" t="str">
        <f>=ROUND(FB_SaldoEUR_13,2)</f>
      </c>
      <c r="CV11" s="143" t="s">
        <v>451</v>
      </c>
      <c r="CW11" s="116" t="str">
        <f>=ROUND(FB_SaldoLC_14,2)</f>
      </c>
      <c r="CX11" s="117" t="str">
        <f>=ROUND(FB_SaldoEUR_14,2)</f>
      </c>
      <c r="CY11" s="116" t="str">
        <f>=ROUND(FB_SaldoLC_14,2)</f>
      </c>
      <c r="CZ11" s="144" t="str">
        <f>=ROUND(FB_SaldoEUR_14,2)</f>
      </c>
      <c r="DC11" s="143" t="s">
        <v>451</v>
      </c>
      <c r="DD11" s="116" t="str">
        <f>=ROUND(FB_SaldoLC_15,2)</f>
      </c>
      <c r="DE11" s="117" t="str">
        <f>=ROUND(FB_SaldoEUR_15,2)</f>
      </c>
      <c r="DF11" s="116" t="str">
        <f>=ROUND(FB_SaldoLC_15,2)</f>
      </c>
      <c r="DG11" s="144" t="str">
        <f>=ROUND(FB_SaldoEUR_15,2)</f>
      </c>
      <c r="DJ11" s="143" t="s">
        <v>451</v>
      </c>
      <c r="DK11" s="116" t="str">
        <f>=ROUND(FB_SaldoLC_16,2)</f>
      </c>
      <c r="DL11" s="117" t="str">
        <f>=ROUND(FB_SaldoEUR_16,2)</f>
      </c>
      <c r="DM11" s="116" t="str">
        <f>=ROUND(FB_SaldoLC_16,2)</f>
      </c>
      <c r="DN11" s="144" t="str">
        <f>=ROUND(FB_SaldoEUR_16,2)</f>
      </c>
      <c r="DQ11" s="143" t="s">
        <v>451</v>
      </c>
      <c r="DR11" s="116" t="str">
        <f>=ROUND(FB_SaldoLC_17,2)</f>
      </c>
      <c r="DS11" s="117" t="str">
        <f>=ROUND(FB_SaldoEUR_17,2)</f>
      </c>
      <c r="DT11" s="116" t="str">
        <f>=ROUND(FB_SaldoLC_17,2)</f>
      </c>
      <c r="DU11" s="144" t="str">
        <f>=ROUND(FB_SaldoEUR_17,2)</f>
      </c>
    </row>
    <row r="12">
      <c r="B12" s="143" t="s">
        <v>196</v>
      </c>
      <c r="C12" s="116" t="str">
        <f>=ROUND(SUMIF($B$156:$B$160,"Eigenmittel",$D$156:$D$160)+SUMIF($B$165:$B$170,"Eigenmittel",$D$165:$D$170),2)</f>
      </c>
      <c r="D12" s="117" t="str">
        <f>=ROUND(SUMIF($B$156:$B$160,"Eigenmittel",$E$156:$E$160)+SUMIF($B$165:$B$170,"Eigenmittel",$E$165:$E$170),2)</f>
      </c>
      <c r="E12" s="116" t="str">
        <f>=ROUND(SUMIF($B$156:$B$160,"Eigenmittel",$D$156:$D$160)+SUMIF($B$165:$B$170,"Eigenmittel",$D$165:$D$170),2)</f>
      </c>
      <c r="F12" s="144" t="str">
        <f>=ROUND(SUMIF($B$156:$B$160,"Eigenmittel",$E$156:$E$160)+SUMIF($B$165:$B$170,"Eigenmittel",$E$165:$E$170),2)</f>
      </c>
      <c r="I12" s="143" t="s">
        <v>196</v>
      </c>
      <c r="J12" s="116" t="str">
        <f>=ROUND(SUMIF($I$156:$I$160,"Eigenmittel",$K$156:$K$160)+SUMIF($I$165:$I$170,"Eigenmittel",$K$165:$K$170),2)</f>
      </c>
      <c r="K12" s="117" t="str">
        <f>=ROUND(SUMIF($I$156:$I$160,"Eigenmittel",$L$156:$L$160)+SUMIF($I$165:$I$170,"Eigenmittel",$L$165:$L$170),2)</f>
      </c>
      <c r="L12" s="116" t="str">
        <f>=IFERROR(ROUND(E12 + J12, 2), J12)</f>
      </c>
      <c r="M12" s="144" t="str">
        <f>=IFERROR(ROUND(F12 + K12, 2), K12)</f>
      </c>
      <c r="P12" s="143" t="s">
        <v>196</v>
      </c>
      <c r="Q12" s="116" t="str">
        <f>=ROUND(SUMIF($P$156:$P$160,"Eigenmittel",$R$156:$R$160)+SUMIF($P$165:$P$170,"Eigenmittel",$R$165:$R$170),2)</f>
      </c>
      <c r="R12" s="117" t="str">
        <f>=ROUND(SUMIF($P$156:$P$160,"Eigenmittel",$S$156:$S$160)+SUMIF($P$165:$P$170,"Eigenmittel",$S$165:$S$170),2)</f>
      </c>
      <c r="S12" s="116" t="str">
        <f>=IFERROR(ROUND(L12 + Q12, 2), Q12)</f>
      </c>
      <c r="T12" s="144" t="str">
        <f>=IFERROR(ROUND(M12 + R12, 2), R12)</f>
      </c>
      <c r="W12" s="143" t="s">
        <v>196</v>
      </c>
      <c r="X12" s="116" t="str">
        <f>=ROUND(SUMIF($W$156:$W$160,"Eigenmittel",$Y$156:$Y$160)+SUMIF($W$165:$W$170,"Eigenmittel",$Y$165:$Y$170),2)</f>
      </c>
      <c r="Y12" s="117" t="str">
        <f>=ROUND(SUMIF($W$156:$W$160,"Eigenmittel",$Z$156:$Z$160)+SUMIF($W$165:$W$170,"Eigenmittel",$Z$165:$Z$170),2)</f>
      </c>
      <c r="Z12" s="116" t="str">
        <f>=IFERROR(ROUND(S12 + X12, 2), X12)</f>
      </c>
      <c r="AA12" s="144" t="str">
        <f>=IFERROR(ROUND(T12 + Y12, 2), Y12)</f>
      </c>
      <c r="AD12" s="143" t="s">
        <v>196</v>
      </c>
      <c r="AE12" s="116" t="str">
        <f>=ROUND(SUMIF($AD$156:$AD$160,"Eigenmittel",$AF$156:$AF$160)+SUMIF($AD$165:$AD$170,"Eigenmittel",$AF$165:$AF$170),2)</f>
      </c>
      <c r="AF12" s="117" t="str">
        <f>=ROUND(SUMIF($AD$156:$AD$160,"Eigenmittel",$AG$156:$AG$160)+SUMIF($AD$165:$AD$170,"Eigenmittel",$AG$165:$AG$170),2)</f>
      </c>
      <c r="AG12" s="116" t="str">
        <f>=IFERROR(ROUND(Z12 + AE12, 2), AE12)</f>
      </c>
      <c r="AH12" s="144" t="str">
        <f>=IFERROR(ROUND(AA12 + AF12, 2), AF12)</f>
      </c>
      <c r="AK12" s="143" t="s">
        <v>196</v>
      </c>
      <c r="AL12" s="116" t="str">
        <f>=ROUND(SUMIF($AK$156:$AK$160,"Eigenmittel",$AM$156:$AM$160)+SUMIF($AK$165:$AK$170,"Eigenmittel",$AM$165:$AM$170),2)</f>
      </c>
      <c r="AM12" s="117" t="str">
        <f>=ROUND(SUMIF($AK$156:$AK$160,"Eigenmittel",$AN$156:$AN$160)+SUMIF($AK$165:$AK$170,"Eigenmittel",$AN$165:$AN$170),2)</f>
      </c>
      <c r="AN12" s="116" t="str">
        <f>=IFERROR(ROUND(AG12 + AL12, 2), AL12)</f>
      </c>
      <c r="AO12" s="144" t="str">
        <f>=IFERROR(ROUND(AH12 + AM12, 2), AM12)</f>
      </c>
      <c r="AR12" s="143" t="s">
        <v>196</v>
      </c>
      <c r="AS12" s="116" t="str">
        <f>=ROUND(SUMIF($AR$156:$AR$160,"Eigenmittel",$AT$156:$AT$160)+SUMIF($AR$165:$AR$170,"Eigenmittel",$AT$165:$AT$170),2)</f>
      </c>
      <c r="AT12" s="117" t="str">
        <f>=ROUND(SUMIF($AR$156:$AR$160,"Eigenmittel",$AU$156:$AU$160)+SUMIF($AR$165:$AR$170,"Eigenmittel",$AU$165:$AU$170),2)</f>
      </c>
      <c r="AU12" s="116" t="str">
        <f>=IFERROR(ROUND(AN12 + AS12, 2), AS12)</f>
      </c>
      <c r="AV12" s="144" t="str">
        <f>=IFERROR(ROUND(AO12 + AT12, 2), AT12)</f>
      </c>
      <c r="AY12" s="143" t="s">
        <v>196</v>
      </c>
      <c r="AZ12" s="116" t="str">
        <f>=ROUND(SUMIF($AY$156:$AY$160,"Eigenmittel",$BA$156:$BA$160)+SUMIF($AY$165:$AY$170,"Eigenmittel",$BA$165:$BA$170),2)</f>
      </c>
      <c r="BA12" s="117" t="str">
        <f>=ROUND(SUMIF($AY$156:$AY$160,"Eigenmittel",$BB$156:$BB$160)+SUMIF($AY$165:$AY$170,"Eigenmittel",$BB$165:$BB$170),2)</f>
      </c>
      <c r="BB12" s="116" t="str">
        <f>=IFERROR(ROUND(AU12 + AZ12, 2), AZ12)</f>
      </c>
      <c r="BC12" s="144" t="str">
        <f>=IFERROR(ROUND(AV12 + BA12, 2), BA12)</f>
      </c>
      <c r="BF12" s="143" t="s">
        <v>196</v>
      </c>
      <c r="BG12" s="116" t="str">
        <f>=ROUND(SUMIF($BF$156:$BF$160,"Eigenmittel",$BH$156:$BH$160)+SUMIF($BF$165:$BF$170,"Eigenmittel",$BH$165:$BH$170),2)</f>
      </c>
      <c r="BH12" s="117" t="str">
        <f>=ROUND(SUMIF($BF$156:$BF$160,"Eigenmittel",$BI$156:$BI$160)+SUMIF($BF$165:$BF$170,"Eigenmittel",$BI$165:$BI$170),2)</f>
      </c>
      <c r="BI12" s="116" t="str">
        <f>=IFERROR(ROUND(BB12 + BG12, 2), BG12)</f>
      </c>
      <c r="BJ12" s="144" t="str">
        <f>=IFERROR(ROUND(BC12 + BH12, 2), BH12)</f>
      </c>
      <c r="BM12" s="143" t="s">
        <v>196</v>
      </c>
      <c r="BN12" s="116" t="str">
        <f>=ROUND(SUMIF($BM$156:$BM$160,"Eigenmittel",$BO$156:$BO$160)+SUMIF($BM$165:$BM$170,"Eigenmittel",$BO$165:$BO$170),2)</f>
      </c>
      <c r="BO12" s="117" t="str">
        <f>=ROUND(SUMIF($BM$156:$BM$160,"Eigenmittel",$BP$156:$BP$160)+SUMIF($BM$165:$BM$170,"Eigenmittel",$BP$165:$BP$170),2)</f>
      </c>
      <c r="BP12" s="116" t="str">
        <f>=IFERROR(ROUND(BI12 + BN12, 2), BN12)</f>
      </c>
      <c r="BQ12" s="144" t="str">
        <f>=IFERROR(ROUND(BJ12 + BO12, 2), BO12)</f>
      </c>
      <c r="BT12" s="143" t="s">
        <v>196</v>
      </c>
      <c r="BU12" s="116" t="str">
        <f>=ROUND(SUMIF($BT$156:$BT$160,"Eigenmittel",$BV$156:$BV$160)+SUMIF($BT$165:$BT$170,"Eigenmittel",$BV$165:$BV$170),2)</f>
      </c>
      <c r="BV12" s="117" t="str">
        <f>=ROUND(SUMIF($BT$156:$BT$160,"Eigenmittel",$BW$156:$BW$160)+SUMIF($BT$165:$BT$170,"Eigenmittel",$BW$165:$BW$170),2)</f>
      </c>
      <c r="BW12" s="116" t="str">
        <f>=IFERROR(ROUND(BP12 + BU12, 2), BU12)</f>
      </c>
      <c r="BX12" s="144" t="str">
        <f>=IFERROR(ROUND(BQ12 + BV12, 2), BV12)</f>
      </c>
      <c r="CA12" s="143" t="s">
        <v>196</v>
      </c>
      <c r="CB12" s="116" t="str">
        <f>=ROUND(SUMIF($CA$156:$CA$160,"Eigenmittel",$CC$156:$CC$160)+SUMIF($CA$165:$CA$170,"Eigenmittel",$CC$165:$CC$170),2)</f>
      </c>
      <c r="CC12" s="117" t="str">
        <f>=ROUND(SUMIF($CA$156:$CA$160,"Eigenmittel",$CD$156:$CD$160)+SUMIF($CA$165:$CA$170,"Eigenmittel",$CD$165:$CD$170),2)</f>
      </c>
      <c r="CD12" s="116" t="str">
        <f>=IFERROR(ROUND(BW12 + CB12, 2), CB12)</f>
      </c>
      <c r="CE12" s="144" t="str">
        <f>=IFERROR(ROUND(BX12 + CC12, 2), CC12)</f>
      </c>
      <c r="CH12" s="143" t="s">
        <v>196</v>
      </c>
      <c r="CI12" s="116" t="str">
        <f>=ROUND(SUMIF($CH$156:$CH$160,"Eigenmittel",$CJ$156:$CJ$160)+SUMIF($CH$165:$CH$170,"Eigenmittel",$CJ$165:$CJ$170),2)</f>
      </c>
      <c r="CJ12" s="117" t="str">
        <f>=ROUND(SUMIF($CH$156:$CH$160,"Eigenmittel",$CK$156:$CK$160)+SUMIF($CH$165:$CH$170,"Eigenmittel",$CK$165:$CK$170),2)</f>
      </c>
      <c r="CK12" s="116" t="str">
        <f>=IFERROR(ROUND(CD12 + CI12, 2), CI12)</f>
      </c>
      <c r="CL12" s="144" t="str">
        <f>=IFERROR(ROUND(CE12 + CJ12, 2), CJ12)</f>
      </c>
      <c r="CO12" s="143" t="s">
        <v>196</v>
      </c>
      <c r="CP12" s="116" t="str">
        <f>=ROUND(SUMIF($CO$156:$CO$160,"Eigenmittel",$CQ$156:$CQ$160)+SUMIF($CO$165:$CO$170,"Eigenmittel",$CQ$165:$CQ$170),2)</f>
      </c>
      <c r="CQ12" s="117" t="str">
        <f>=ROUND(SUMIF($CO$156:$CO$160,"Eigenmittel",$CR$156:$CR$160)+SUMIF($CO$165:$CO$170,"Eigenmittel",$CR$165:$CR$170),2)</f>
      </c>
      <c r="CR12" s="116" t="str">
        <f>=IFERROR(ROUND(CK12 + CP12, 2), CP12)</f>
      </c>
      <c r="CS12" s="144" t="str">
        <f>=IFERROR(ROUND(CL12 + CQ12, 2), CQ12)</f>
      </c>
      <c r="CV12" s="143" t="s">
        <v>196</v>
      </c>
      <c r="CW12" s="116" t="str">
        <f>=ROUND(SUMIF($CV$156:$CV$160,"Eigenmittel",$CX$156:$CX$160)+SUMIF($CV$165:$CV$170,"Eigenmittel",$CX$165:$CX$170),2)</f>
      </c>
      <c r="CX12" s="117" t="str">
        <f>=ROUND(SUMIF($CV$156:$CV$160,"Eigenmittel",$CY$156:$CY$160)+SUMIF($CV$165:$CV$170,"Eigenmittel",$CY$165:$CY$170),2)</f>
      </c>
      <c r="CY12" s="116" t="str">
        <f>=IFERROR(ROUND(CR12 + CW12, 2), CW12)</f>
      </c>
      <c r="CZ12" s="144" t="str">
        <f>=IFERROR(ROUND(CS12 + CX12, 2), CX12)</f>
      </c>
      <c r="DC12" s="143" t="s">
        <v>196</v>
      </c>
      <c r="DD12" s="116" t="str">
        <f>=ROUND(SUMIF($DC$156:$DC$160,"Eigenmittel",$DE$156:$DE$160)+SUMIF($DC$165:$DC$170,"Eigenmittel",$DE$165:$DE$170),2)</f>
      </c>
      <c r="DE12" s="117" t="str">
        <f>=ROUND(SUMIF($DC$156:$DC$160,"Eigenmittel",$DF$156:$DF$160)+SUMIF($DC$165:$DC$170,"Eigenmittel",$DF$165:$DF$170),2)</f>
      </c>
      <c r="DF12" s="116" t="str">
        <f>=IFERROR(ROUND(CY12 + DD12, 2), DD12)</f>
      </c>
      <c r="DG12" s="144" t="str">
        <f>=IFERROR(ROUND(CZ12 + DE12, 2), DE12)</f>
      </c>
      <c r="DJ12" s="143" t="s">
        <v>196</v>
      </c>
      <c r="DK12" s="116" t="str">
        <f>=ROUND(SUMIF($DJ$156:$DJ$160,"Eigenmittel",$DL$156:$DL$160)+SUMIF($DJ$165:$DJ$170,"Eigenmittel",$DL$165:$DL$170),2)</f>
      </c>
      <c r="DL12" s="117" t="str">
        <f>=ROUND(SUMIF($DJ$156:$DJ$160,"Eigenmittel",$DM$156:$DM$160)+SUMIF($DJ$165:$DJ$170,"Eigenmittel",$DM$165:$DM$170),2)</f>
      </c>
      <c r="DM12" s="116" t="str">
        <f>=IFERROR(ROUND(DF12 + DK12, 2), DK12)</f>
      </c>
      <c r="DN12" s="144" t="str">
        <f>=IFERROR(ROUND(DG12 + DL12, 2), DL12)</f>
      </c>
      <c r="DQ12" s="143" t="s">
        <v>196</v>
      </c>
      <c r="DR12" s="116" t="str">
        <f>=ROUND(SUMIF($DQ$156:$DQ$160,"Eigenmittel",$DS$156:$DS$160)+SUMIF($DQ$165:$DQ$170,"Eigenmittel",$DS$165:$DS$170),2)</f>
      </c>
      <c r="DS12" s="117" t="str">
        <f>=ROUND(SUMIF($DQ$156:$DQ$160,"Eigenmittel",$DT$156:$DT$160)+SUMIF($DQ$165:$DQ$170,"Eigenmittel",$DT$165:$DT$170),2)</f>
      </c>
      <c r="DT12" s="116" t="str">
        <f>=IFERROR(ROUND(DM12 + DR12, 2), DR12)</f>
      </c>
      <c r="DU12" s="144" t="str">
        <f>=IFERROR(ROUND(DN12 + DS12, 2), DS12)</f>
      </c>
    </row>
    <row r="13">
      <c r="B13" s="143" t="s">
        <v>427</v>
      </c>
      <c r="C13" s="116" t="str">
        <f>=ROUND(SUMIF($B$156:$B$160,"Drittmittel",$D$156:$D$160)+SUMIF($B$165:$B$170,"Drittmittel",$D$165:$D$170),2)</f>
      </c>
      <c r="D13" s="117" t="str">
        <f>=ROUND(SUMIF($B$156:$B$160,"Drittmittel",$E$156:$E$160)+SUMIF($B$165:$B$170,"Drittmittel",$E$165:$E$170),2)</f>
      </c>
      <c r="E13" s="116" t="str">
        <f>=ROUND(SUMIF($B$156:$B$160,"Drittmittel",$D$156:$D$160)+SUMIF($B$165:$B$170,"Drittmittel",$D$165:$D$170),2)</f>
      </c>
      <c r="F13" s="144" t="str">
        <f>=ROUND(SUMIF($B$156:$B$160,"Drittmittel",$E$156:$E$160)+SUMIF($B$165:$B$170,"Drittmittel",$E$165:$E$170),2)</f>
      </c>
      <c r="I13" s="143" t="s">
        <v>427</v>
      </c>
      <c r="J13" s="116" t="str">
        <f>=ROUND(SUMIF($I$156:$I$160,"Drittmittel",$K$156:$K$160)+SUMIF($I$165:$I$170,"Drittmittel",$K$165:$K$170),2)</f>
      </c>
      <c r="K13" s="117" t="str">
        <f>=ROUND(SUMIF($I$156:$I$160,"Drittmittel",$L$156:$L$160)+SUMIF($I$165:$I$170,"Drittmittel",$L$165:$L$170),2)</f>
      </c>
      <c r="L13" s="116" t="str">
        <f>=IFERROR(ROUND(E13 + J13, 2), J13)</f>
      </c>
      <c r="M13" s="144" t="str">
        <f>=IFERROR(ROUND(F13 + K13, 2), K13)</f>
      </c>
      <c r="P13" s="143" t="s">
        <v>427</v>
      </c>
      <c r="Q13" s="116" t="str">
        <f>=ROUND(SUMIF($P$156:$P$160,"Drittmittel",$R$156:$R$160)+SUMIF($P$165:$P$170,"Drittmittel",$R$165:$R$170),2)</f>
      </c>
      <c r="R13" s="117" t="str">
        <f>=ROUND(SUMIF($P$156:$P$160,"Drittmittel",$S$156:$S$160)+SUMIF($P$165:$P$170,"Drittmittel",$S$165:$S$170),2)</f>
      </c>
      <c r="S13" s="116" t="str">
        <f>=IFERROR(ROUND(L13 + Q13, 2), Q13)</f>
      </c>
      <c r="T13" s="144" t="str">
        <f>=IFERROR(ROUND(M13 + R13, 2), R13)</f>
      </c>
      <c r="W13" s="143" t="s">
        <v>427</v>
      </c>
      <c r="X13" s="116" t="str">
        <f>=ROUND(SUMIF($W$156:$W$160,"Drittmittel",$Y$156:$Y$160)+SUMIF($W$165:$W$170,"Drittmittel",$Y$165:$Y$170),2)</f>
      </c>
      <c r="Y13" s="117" t="str">
        <f>=ROUND(SUMIF($W$156:$W$160,"Drittmittel",$Z$156:$Z$160)+SUMIF($W$165:$W$170,"Drittmittel",$Z$165:$Z$170),2)</f>
      </c>
      <c r="Z13" s="116" t="str">
        <f>=IFERROR(ROUND(S13 + X13, 2), X13)</f>
      </c>
      <c r="AA13" s="144" t="str">
        <f>=IFERROR(ROUND(T13 + Y13, 2), Y13)</f>
      </c>
      <c r="AD13" s="143" t="s">
        <v>427</v>
      </c>
      <c r="AE13" s="116" t="str">
        <f>=ROUND(SUMIF($AD$156:$AD$160,"Drittmittel",$AF$156:$AF$160)+SUMIF($AD$165:$AD$170,"Drittmittel",$AF$165:$AF$170),2)</f>
      </c>
      <c r="AF13" s="117" t="str">
        <f>=ROUND(SUMIF($AD$156:$AD$160,"Drittmittel",$AG$156:$AG$160)+SUMIF($AD$165:$AD$170,"Drittmittel",$AG$165:$AG$170),2)</f>
      </c>
      <c r="AG13" s="116" t="str">
        <f>=IFERROR(ROUND(Z13 + AE13, 2), AE13)</f>
      </c>
      <c r="AH13" s="144" t="str">
        <f>=IFERROR(ROUND(AA13 + AF13, 2), AF13)</f>
      </c>
      <c r="AK13" s="143" t="s">
        <v>427</v>
      </c>
      <c r="AL13" s="116" t="str">
        <f>=ROUND(SUMIF($AK$156:$AK$160,"Drittmittel",$AM$156:$AM$160)+SUMIF($AK$165:$AK$170,"Drittmittel",$AM$165:$AM$170),2)</f>
      </c>
      <c r="AM13" s="117" t="str">
        <f>=ROUND(SUMIF($AK$156:$AK$160,"Drittmittel",$AN$156:$AN$160)+SUMIF($AK$165:$AK$170,"Drittmittel",$AN$165:$AN$170),2)</f>
      </c>
      <c r="AN13" s="116" t="str">
        <f>=IFERROR(ROUND(AG13 + AL13, 2), AL13)</f>
      </c>
      <c r="AO13" s="144" t="str">
        <f>=IFERROR(ROUND(AH13 + AM13, 2), AM13)</f>
      </c>
      <c r="AR13" s="143" t="s">
        <v>427</v>
      </c>
      <c r="AS13" s="116" t="str">
        <f>=ROUND(SUMIF($AR$156:$AR$160,"Drittmittel",$AT$156:$AT$160)+SUMIF($AR$165:$AR$170,"Drittmittel",$AT$165:$AT$170),2)</f>
      </c>
      <c r="AT13" s="117" t="str">
        <f>=ROUND(SUMIF($AR$156:$AR$160,"Drittmittel",$AU$156:$AU$160)+SUMIF($AR$165:$AR$170,"Drittmittel",$AU$165:$AU$170),2)</f>
      </c>
      <c r="AU13" s="116" t="str">
        <f>=IFERROR(ROUND(AN13 + AS13, 2), AS13)</f>
      </c>
      <c r="AV13" s="144" t="str">
        <f>=IFERROR(ROUND(AO13 + AT13, 2), AT13)</f>
      </c>
      <c r="AY13" s="143" t="s">
        <v>427</v>
      </c>
      <c r="AZ13" s="116" t="str">
        <f>=ROUND(SUMIF($AY$156:$AY$160,"Drittmittel",$BA$156:$BA$160)+SUMIF($AY$165:$AY$170,"Drittmittel",$BA$165:$BA$170),2)</f>
      </c>
      <c r="BA13" s="117" t="str">
        <f>=ROUND(SUMIF($AY$156:$AY$160,"Drittmittel",$BB$156:$BB$160)+SUMIF($AY$165:$AY$170,"Drittmittel",$BB$165:$BB$170),2)</f>
      </c>
      <c r="BB13" s="116" t="str">
        <f>=IFERROR(ROUND(AU13 + AZ13, 2), AZ13)</f>
      </c>
      <c r="BC13" s="144" t="str">
        <f>=IFERROR(ROUND(AV13 + BA13, 2), BA13)</f>
      </c>
      <c r="BF13" s="143" t="s">
        <v>427</v>
      </c>
      <c r="BG13" s="116" t="str">
        <f>=ROUND(SUMIF($BF$156:$BF$160,"Drittmittel",$BH$156:$BH$160)+SUMIF($BF$165:$BF$170,"Drittmittel",$BH$165:$BH$170),2)</f>
      </c>
      <c r="BH13" s="117" t="str">
        <f>=ROUND(SUMIF($BF$156:$BF$160,"Drittmittel",$BI$156:$BI$160)+SUMIF($BF$165:$BF$170,"Drittmittel",$BI$165:$BI$170),2)</f>
      </c>
      <c r="BI13" s="116" t="str">
        <f>=IFERROR(ROUND(BB13 + BG13, 2), BG13)</f>
      </c>
      <c r="BJ13" s="144" t="str">
        <f>=IFERROR(ROUND(BC13 + BH13, 2), BH13)</f>
      </c>
      <c r="BM13" s="143" t="s">
        <v>427</v>
      </c>
      <c r="BN13" s="116" t="str">
        <f>=ROUND(SUMIF($BM$156:$BM$160,"Drittmittel",$BO$156:$BO$160)+SUMIF($BM$165:$BM$170,"Drittmittel",$BO$165:$BO$170),2)</f>
      </c>
      <c r="BO13" s="117" t="str">
        <f>=ROUND(SUMIF($BM$156:$BM$160,"Drittmittel",$BP$156:$BP$160)+SUMIF($BM$165:$BM$170,"Drittmittel",$BP$165:$BP$170),2)</f>
      </c>
      <c r="BP13" s="116" t="str">
        <f>=IFERROR(ROUND(BI13 + BN13, 2), BN13)</f>
      </c>
      <c r="BQ13" s="144" t="str">
        <f>=IFERROR(ROUND(BJ13 + BO13, 2), BO13)</f>
      </c>
      <c r="BT13" s="143" t="s">
        <v>427</v>
      </c>
      <c r="BU13" s="116" t="str">
        <f>=ROUND(SUMIF($BT$156:$BT$160,"Drittmittel",$BV$156:$BV$160)+SUMIF($BT$165:$BT$170,"Drittmittel",$BV$165:$BV$170),2)</f>
      </c>
      <c r="BV13" s="117" t="str">
        <f>=ROUND(SUMIF($BT$156:$BT$160,"Drittmittel",$BW$156:$BW$160)+SUMIF($BT$165:$BT$170,"Drittmittel",$BW$165:$BW$170),2)</f>
      </c>
      <c r="BW13" s="116" t="str">
        <f>=IFERROR(ROUND(BP13 + BU13, 2), BU13)</f>
      </c>
      <c r="BX13" s="144" t="str">
        <f>=IFERROR(ROUND(BQ13 + BV13, 2), BV13)</f>
      </c>
      <c r="CA13" s="143" t="s">
        <v>427</v>
      </c>
      <c r="CB13" s="116" t="str">
        <f>=ROUND(SUMIF($CA$156:$CA$160,"Drittmittel",$CC$156:$CC$160)+SUMIF($CA$165:$CA$170,"Drittmittel",$CC$165:$CC$170),2)</f>
      </c>
      <c r="CC13" s="117" t="str">
        <f>=ROUND(SUMIF($CA$156:$CA$160,"Drittmittel",$CD$156:$CD$160)+SUMIF($CA$165:$CA$170,"Drittmittel",$CD$165:$CD$170),2)</f>
      </c>
      <c r="CD13" s="116" t="str">
        <f>=IFERROR(ROUND(BW13 + CB13, 2), CB13)</f>
      </c>
      <c r="CE13" s="144" t="str">
        <f>=IFERROR(ROUND(BX13 + CC13, 2), CC13)</f>
      </c>
      <c r="CH13" s="143" t="s">
        <v>427</v>
      </c>
      <c r="CI13" s="116" t="str">
        <f>=ROUND(SUMIF($CH$156:$CH$160,"Drittmittel",$CJ$156:$CJ$160)+SUMIF($CH$165:$CH$170,"Drittmittel",$CJ$165:$CJ$170),2)</f>
      </c>
      <c r="CJ13" s="117" t="str">
        <f>=ROUND(SUMIF($CH$156:$CH$160,"Drittmittel",$CK$156:$CK$160)+SUMIF($CH$165:$CH$170,"Drittmittel",$CK$165:$CK$170),2)</f>
      </c>
      <c r="CK13" s="116" t="str">
        <f>=IFERROR(ROUND(CD13 + CI13, 2), CI13)</f>
      </c>
      <c r="CL13" s="144" t="str">
        <f>=IFERROR(ROUND(CE13 + CJ13, 2), CJ13)</f>
      </c>
      <c r="CO13" s="143" t="s">
        <v>427</v>
      </c>
      <c r="CP13" s="116" t="str">
        <f>=ROUND(SUMIF($CO$156:$CO$160,"Drittmittel",$CQ$156:$CQ$160)+SUMIF($CO$165:$CO$170,"Drittmittel",$CQ$165:$CQ$170),2)</f>
      </c>
      <c r="CQ13" s="117" t="str">
        <f>=ROUND(SUMIF($CO$156:$CO$160,"Drittmittel",$CR$156:$CR$160)+SUMIF($CO$165:$CO$170,"Drittmittel",$CR$165:$CR$170),2)</f>
      </c>
      <c r="CR13" s="116" t="str">
        <f>=IFERROR(ROUND(CK13 + CP13, 2), CP13)</f>
      </c>
      <c r="CS13" s="144" t="str">
        <f>=IFERROR(ROUND(CL13 + CQ13, 2), CQ13)</f>
      </c>
      <c r="CV13" s="143" t="s">
        <v>427</v>
      </c>
      <c r="CW13" s="116" t="str">
        <f>=ROUND(SUMIF($CV$156:$CV$160,"Drittmittel",$CX$156:$CX$160)+SUMIF($CV$165:$CV$170,"Drittmittel",$CX$165:$CX$170),2)</f>
      </c>
      <c r="CX13" s="117" t="str">
        <f>=ROUND(SUMIF($CV$156:$CV$160,"Drittmittel",$CY$156:$CY$160)+SUMIF($CV$165:$CV$170,"Drittmittel",$CY$165:$CY$170),2)</f>
      </c>
      <c r="CY13" s="116" t="str">
        <f>=IFERROR(ROUND(CR13 + CW13, 2), CW13)</f>
      </c>
      <c r="CZ13" s="144" t="str">
        <f>=IFERROR(ROUND(CS13 + CX13, 2), CX13)</f>
      </c>
      <c r="DC13" s="143" t="s">
        <v>427</v>
      </c>
      <c r="DD13" s="116" t="str">
        <f>=ROUND(SUMIF($DC$156:$DC$160,"Drittmittel",$DE$156:$DE$160)+SUMIF($DC$165:$DC$170,"Drittmittel",$DE$165:$DE$170),2)</f>
      </c>
      <c r="DE13" s="117" t="str">
        <f>=ROUND(SUMIF($DC$156:$DC$160,"Drittmittel",$DF$156:$DF$160)+SUMIF($DC$165:$DC$170,"Drittmittel",$DF$165:$DF$170),2)</f>
      </c>
      <c r="DF13" s="116" t="str">
        <f>=IFERROR(ROUND(CY13 + DD13, 2), DD13)</f>
      </c>
      <c r="DG13" s="144" t="str">
        <f>=IFERROR(ROUND(CZ13 + DE13, 2), DE13)</f>
      </c>
      <c r="DJ13" s="143" t="s">
        <v>427</v>
      </c>
      <c r="DK13" s="116" t="str">
        <f>=ROUND(SUMIF($DJ$156:$DJ$160,"Drittmittel",$DL$156:$DL$160)+SUMIF($DJ$165:$DJ$170,"Drittmittel",$DL$165:$DL$170),2)</f>
      </c>
      <c r="DL13" s="117" t="str">
        <f>=ROUND(SUMIF($DJ$156:$DJ$160,"Drittmittel",$DM$156:$DM$160)+SUMIF($DJ$165:$DJ$170,"Drittmittel",$DM$165:$DM$170),2)</f>
      </c>
      <c r="DM13" s="116" t="str">
        <f>=IFERROR(ROUND(DF13 + DK13, 2), DK13)</f>
      </c>
      <c r="DN13" s="144" t="str">
        <f>=IFERROR(ROUND(DG13 + DL13, 2), DL13)</f>
      </c>
      <c r="DQ13" s="143" t="s">
        <v>427</v>
      </c>
      <c r="DR13" s="116" t="str">
        <f>=ROUND(SUMIF($DQ$156:$DQ$160,"Drittmittel",$DS$156:$DS$160)+SUMIF($DQ$165:$DQ$170,"Drittmittel",$DS$165:$DS$170),2)</f>
      </c>
      <c r="DS13" s="117" t="str">
        <f>=ROUND(SUMIF($DQ$156:$DQ$160,"Drittmittel",$DT$156:$DT$160)+SUMIF($DQ$165:$DQ$170,"Drittmittel",$DT$165:$DT$170),2)</f>
      </c>
      <c r="DT13" s="116" t="str">
        <f>=IFERROR(ROUND(DM13 + DR13, 2), DR13)</f>
      </c>
      <c r="DU13" s="144" t="str">
        <f>=IFERROR(ROUND(DN13 + DS13, 2), DS13)</f>
      </c>
    </row>
    <row r="14">
      <c r="B14" s="143" t="s">
        <v>201</v>
      </c>
      <c r="C14" s="116" t="str">
        <f>=ROUND(SUMIF($B$156:$B$160,"KMW-Mittel",$D$156:$D$160)+SUMIF($B$165:$B$170,"KMW-Mittel",$D$165:$D$170),2)</f>
      </c>
      <c r="D14" s="117" t="str">
        <f>=ROUND(SUMIF($B$156:$B$160,"KMW-Mittel",$E$156:$E$160)+SUMIF($B$165:$B$170,"KMW-Mittel",$E$165:$E$170),2)</f>
      </c>
      <c r="E14" s="116" t="str">
        <f>=ROUND(SUMIF($B$156:$B$160,"KMW-Mittel",$D$156:$D$160)+SUMIF($B$165:$B$170,"KMW-Mittel",$D$165:$D$170),2)</f>
      </c>
      <c r="F14" s="144" t="str">
        <f>=ROUND(SUMIF($B$156:$B$160,"KMW-Mittel",$E$156:$E$160)+SUMIF($B$165:$B$170,"KMW-Mittel",$E$165:$E$170),2)</f>
      </c>
      <c r="I14" s="143" t="s">
        <v>201</v>
      </c>
      <c r="J14" s="116" t="str">
        <f>=ROUND(SUMIF($I$156:$I$160,"KMW-Mittel",$K$156:$K$160)+SUMIF($I$165:$I$170,"KMW-Mittel",$K$165:$K$170),2)</f>
      </c>
      <c r="K14" s="117" t="str">
        <f>=ROUND(SUMIF($I$156:$I$160,"KMW-Mittel",$L$156:$L$160)+SUMIF($I$165:$I$170,"KMW-Mittel",$L$165:$L$170),2)</f>
      </c>
      <c r="L14" s="116" t="str">
        <f>=IFERROR(ROUND(E14 + J14, 2), J14)</f>
      </c>
      <c r="M14" s="144" t="str">
        <f>=IFERROR(ROUND(F14 + K14, 2), K14)</f>
      </c>
      <c r="P14" s="143" t="s">
        <v>201</v>
      </c>
      <c r="Q14" s="116" t="str">
        <f>=ROUND(SUMIF($P$156:$P$160,"KMW-Mittel",$R$156:$R$160)+SUMIF($P$165:$P$170,"KMW-Mittel",$R$165:$R$170),2)</f>
      </c>
      <c r="R14" s="117" t="str">
        <f>=ROUND(SUMIF($P$156:$P$160,"KMW-Mittel",$S$156:$S$160)+SUMIF($P$165:$P$170,"KMW-Mittel",$S$165:$S$170),2)</f>
      </c>
      <c r="S14" s="116" t="str">
        <f>=IFERROR(ROUND(L14 + Q14, 2), Q14)</f>
      </c>
      <c r="T14" s="144" t="str">
        <f>=IFERROR(ROUND(M14 + R14, 2), R14)</f>
      </c>
      <c r="W14" s="143" t="s">
        <v>201</v>
      </c>
      <c r="X14" s="116" t="str">
        <f>=ROUND(SUMIF($W$156:$W$160,"KMW-Mittel",$Y$156:$Y$160)+SUMIF($W$165:$W$170,"KMW-Mittel",$Y$165:$Y$170),2)</f>
      </c>
      <c r="Y14" s="117" t="str">
        <f>=ROUND(SUMIF($W$156:$W$160,"KMW-Mittel",$Z$156:$Z$160)+SUMIF($W$165:$W$170,"KMW-Mittel",$Z$165:$Z$170),2)</f>
      </c>
      <c r="Z14" s="116" t="str">
        <f>=IFERROR(ROUND(S14 + X14, 2), X14)</f>
      </c>
      <c r="AA14" s="144" t="str">
        <f>=IFERROR(ROUND(T14 + Y14, 2), Y14)</f>
      </c>
      <c r="AD14" s="143" t="s">
        <v>201</v>
      </c>
      <c r="AE14" s="116" t="str">
        <f>=ROUND(SUMIF($AD$156:$AD$160,"KMW-Mittel",$AF$156:$AF$160)+SUMIF($AD$165:$AD$170,"KMW-Mittel",$AF$165:$AF$170),2)</f>
      </c>
      <c r="AF14" s="117" t="str">
        <f>=ROUND(SUMIF($AD$156:$AD$160,"KMW-Mittel",$AG$156:$AG$160)+SUMIF($AD$165:$AD$170,"KMW-Mittel",$AG$165:$AG$170),2)</f>
      </c>
      <c r="AG14" s="116" t="str">
        <f>=IFERROR(ROUND(Z14 + AE14, 2), AE14)</f>
      </c>
      <c r="AH14" s="144" t="str">
        <f>=IFERROR(ROUND(AA14 + AF14, 2), AF14)</f>
      </c>
      <c r="AK14" s="143" t="s">
        <v>201</v>
      </c>
      <c r="AL14" s="116" t="str">
        <f>=ROUND(SUMIF($AK$156:$AK$160,"KMW-Mittel",$AM$156:$AM$160)+SUMIF($AK$165:$AK$170,"KMW-Mittel",$AM$165:$AM$170),2)</f>
      </c>
      <c r="AM14" s="117" t="str">
        <f>=ROUND(SUMIF($AK$156:$AK$160,"KMW-Mittel",$AN$156:$AN$160)+SUMIF($AK$165:$AK$170,"KMW-Mittel",$AN$165:$AN$170),2)</f>
      </c>
      <c r="AN14" s="116" t="str">
        <f>=IFERROR(ROUND(AG14 + AL14, 2), AL14)</f>
      </c>
      <c r="AO14" s="144" t="str">
        <f>=IFERROR(ROUND(AH14 + AM14, 2), AM14)</f>
      </c>
      <c r="AR14" s="143" t="s">
        <v>201</v>
      </c>
      <c r="AS14" s="116" t="str">
        <f>=ROUND(SUMIF($AR$156:$AR$160,"KMW-Mittel",$AT$156:$AT$160)+SUMIF($AR$165:$AR$170,"KMW-Mittel",$AT$165:$AT$170),2)</f>
      </c>
      <c r="AT14" s="117" t="str">
        <f>=ROUND(SUMIF($AR$156:$AR$160,"KMW-Mittel",$AU$156:$AU$160)+SUMIF($AR$165:$AR$170,"KMW-Mittel",$AU$165:$AU$170),2)</f>
      </c>
      <c r="AU14" s="116" t="str">
        <f>=IFERROR(ROUND(AN14 + AS14, 2), AS14)</f>
      </c>
      <c r="AV14" s="144" t="str">
        <f>=IFERROR(ROUND(AO14 + AT14, 2), AT14)</f>
      </c>
      <c r="AY14" s="143" t="s">
        <v>201</v>
      </c>
      <c r="AZ14" s="116" t="str">
        <f>=ROUND(SUMIF($AY$156:$AY$160,"KMW-Mittel",$BA$156:$BA$160)+SUMIF($AY$165:$AY$170,"KMW-Mittel",$BA$165:$BA$170),2)</f>
      </c>
      <c r="BA14" s="117" t="str">
        <f>=ROUND(SUMIF($AY$156:$AY$160,"KMW-Mittel",$BB$156:$BB$160)+SUMIF($AY$165:$AY$170,"KMW-Mittel",$BB$165:$BB$170),2)</f>
      </c>
      <c r="BB14" s="116" t="str">
        <f>=IFERROR(ROUND(AU14 + AZ14, 2), AZ14)</f>
      </c>
      <c r="BC14" s="144" t="str">
        <f>=IFERROR(ROUND(AV14 + BA14, 2), BA14)</f>
      </c>
      <c r="BF14" s="143" t="s">
        <v>201</v>
      </c>
      <c r="BG14" s="116" t="str">
        <f>=ROUND(SUMIF($BF$156:$BF$160,"KMW-Mittel",$BH$156:$BH$160)+SUMIF($BF$165:$BF$170,"KMW-Mittel",$BH$165:$BH$170),2)</f>
      </c>
      <c r="BH14" s="117" t="str">
        <f>=ROUND(SUMIF($BF$156:$BF$160,"KMW-Mittel",$BI$156:$BI$160)+SUMIF($BF$165:$BF$170,"KMW-Mittel",$BI$165:$BI$170),2)</f>
      </c>
      <c r="BI14" s="116" t="str">
        <f>=IFERROR(ROUND(BB14 + BG14, 2), BG14)</f>
      </c>
      <c r="BJ14" s="144" t="str">
        <f>=IFERROR(ROUND(BC14 + BH14, 2), BH14)</f>
      </c>
      <c r="BM14" s="143" t="s">
        <v>201</v>
      </c>
      <c r="BN14" s="116" t="str">
        <f>=ROUND(SUMIF($BM$156:$BM$160,"KMW-Mittel",$BO$156:$BO$160)+SUMIF($BM$165:$BM$170,"KMW-Mittel",$BO$165:$BO$170),2)</f>
      </c>
      <c r="BO14" s="117" t="str">
        <f>=ROUND(SUMIF($BM$156:$BM$160,"KMW-Mittel",$BP$156:$BP$160)+SUMIF($BM$165:$BM$170,"KMW-Mittel",$BP$165:$BP$170),2)</f>
      </c>
      <c r="BP14" s="116" t="str">
        <f>=IFERROR(ROUND(BI14 + BN14, 2), BN14)</f>
      </c>
      <c r="BQ14" s="144" t="str">
        <f>=IFERROR(ROUND(BJ14 + BO14, 2), BO14)</f>
      </c>
      <c r="BT14" s="143" t="s">
        <v>201</v>
      </c>
      <c r="BU14" s="116" t="str">
        <f>=ROUND(SUMIF($BT$156:$BT$160,"KMW-Mittel",$BV$156:$BV$160)+SUMIF($BT$165:$BT$170,"KMW-Mittel",$BV$165:$BV$170),2)</f>
      </c>
      <c r="BV14" s="117" t="str">
        <f>=ROUND(SUMIF($BT$156:$BT$160,"KMW-Mittel",$BW$156:$BW$160)+SUMIF($BT$165:$BT$170,"KMW-Mittel",$BW$165:$BW$170),2)</f>
      </c>
      <c r="BW14" s="116" t="str">
        <f>=IFERROR(ROUND(BP14 + BU14, 2), BU14)</f>
      </c>
      <c r="BX14" s="144" t="str">
        <f>=IFERROR(ROUND(BQ14 + BV14, 2), BV14)</f>
      </c>
      <c r="CA14" s="143" t="s">
        <v>201</v>
      </c>
      <c r="CB14" s="116" t="str">
        <f>=ROUND(SUMIF($CA$156:$CA$160,"KMW-Mittel",$CC$156:$CC$160)+SUMIF($CA$165:$CA$170,"KMW-Mittel",$CC$165:$CC$170),2)</f>
      </c>
      <c r="CC14" s="117" t="str">
        <f>=ROUND(SUMIF($CA$156:$CA$160,"KMW-Mittel",$CD$156:$CD$160)+SUMIF($CA$165:$CA$170,"KMW-Mittel",$CD$165:$CD$170),2)</f>
      </c>
      <c r="CD14" s="116" t="str">
        <f>=IFERROR(ROUND(BW14 + CB14, 2), CB14)</f>
      </c>
      <c r="CE14" s="144" t="str">
        <f>=IFERROR(ROUND(BX14 + CC14, 2), CC14)</f>
      </c>
      <c r="CH14" s="143" t="s">
        <v>201</v>
      </c>
      <c r="CI14" s="116" t="str">
        <f>=ROUND(SUMIF($CH$156:$CH$160,"KMW-Mittel",$CJ$156:$CJ$160)+SUMIF($CH$165:$CH$170,"KMW-Mittel",$CJ$165:$CJ$170),2)</f>
      </c>
      <c r="CJ14" s="117" t="str">
        <f>=ROUND(SUMIF($CH$156:$CH$160,"KMW-Mittel",$CK$156:$CK$160)+SUMIF($CH$165:$CH$170,"KMW-Mittel",$CK$165:$CK$170),2)</f>
      </c>
      <c r="CK14" s="116" t="str">
        <f>=IFERROR(ROUND(CD14 + CI14, 2), CI14)</f>
      </c>
      <c r="CL14" s="144" t="str">
        <f>=IFERROR(ROUND(CE14 + CJ14, 2), CJ14)</f>
      </c>
      <c r="CO14" s="143" t="s">
        <v>201</v>
      </c>
      <c r="CP14" s="116" t="str">
        <f>=ROUND(SUMIF($CO$156:$CO$160,"KMW-Mittel",$CQ$156:$CQ$160)+SUMIF($CO$165:$CO$170,"KMW-Mittel",$CQ$165:$CQ$170),2)</f>
      </c>
      <c r="CQ14" s="117" t="str">
        <f>=ROUND(SUMIF($CO$156:$CO$160,"KMW-Mittel",$CR$156:$CR$160)+SUMIF($CO$165:$CO$170,"KMW-Mittel",$CR$165:$CR$170),2)</f>
      </c>
      <c r="CR14" s="116" t="str">
        <f>=IFERROR(ROUND(CK14 + CP14, 2), CP14)</f>
      </c>
      <c r="CS14" s="144" t="str">
        <f>=IFERROR(ROUND(CL14 + CQ14, 2), CQ14)</f>
      </c>
      <c r="CV14" s="143" t="s">
        <v>201</v>
      </c>
      <c r="CW14" s="116" t="str">
        <f>=ROUND(SUMIF($CV$156:$CV$160,"KMW-Mittel",$CX$156:$CX$160)+SUMIF($CV$165:$CV$170,"KMW-Mittel",$CX$165:$CX$170),2)</f>
      </c>
      <c r="CX14" s="117" t="str">
        <f>=ROUND(SUMIF($CV$156:$CV$160,"KMW-Mittel",$CY$156:$CY$160)+SUMIF($CV$165:$CV$170,"KMW-Mittel",$CY$165:$CY$170),2)</f>
      </c>
      <c r="CY14" s="116" t="str">
        <f>=IFERROR(ROUND(CR14 + CW14, 2), CW14)</f>
      </c>
      <c r="CZ14" s="144" t="str">
        <f>=IFERROR(ROUND(CS14 + CX14, 2), CX14)</f>
      </c>
      <c r="DC14" s="143" t="s">
        <v>201</v>
      </c>
      <c r="DD14" s="116" t="str">
        <f>=ROUND(SUMIF($DC$156:$DC$160,"KMW-Mittel",$DE$156:$DE$160)+SUMIF($DC$165:$DC$170,"KMW-Mittel",$DE$165:$DE$170),2)</f>
      </c>
      <c r="DE14" s="117" t="str">
        <f>=ROUND(SUMIF($DC$156:$DC$160,"KMW-Mittel",$DF$156:$DF$160)+SUMIF($DC$165:$DC$170,"KMW-Mittel",$DF$165:$DF$170),2)</f>
      </c>
      <c r="DF14" s="116" t="str">
        <f>=IFERROR(ROUND(CY14 + DD14, 2), DD14)</f>
      </c>
      <c r="DG14" s="144" t="str">
        <f>=IFERROR(ROUND(CZ14 + DE14, 2), DE14)</f>
      </c>
      <c r="DJ14" s="143" t="s">
        <v>201</v>
      </c>
      <c r="DK14" s="116" t="str">
        <f>=ROUND(SUMIF($DJ$156:$DJ$160,"KMW-Mittel",$DL$156:$DL$160)+SUMIF($DJ$165:$DJ$170,"KMW-Mittel",$DL$165:$DL$170),2)</f>
      </c>
      <c r="DL14" s="117" t="str">
        <f>=ROUND(SUMIF($DJ$156:$DJ$160,"KMW-Mittel",$DM$156:$DM$160)+SUMIF($DJ$165:$DJ$170,"KMW-Mittel",$DM$165:$DM$170),2)</f>
      </c>
      <c r="DM14" s="116" t="str">
        <f>=IFERROR(ROUND(DF14 + DK14, 2), DK14)</f>
      </c>
      <c r="DN14" s="144" t="str">
        <f>=IFERROR(ROUND(DG14 + DL14, 2), DL14)</f>
      </c>
      <c r="DQ14" s="143" t="s">
        <v>201</v>
      </c>
      <c r="DR14" s="116" t="str">
        <f>=ROUND(SUMIF($DQ$156:$DQ$160,"KMW-Mittel",$DS$156:$DS$160)+SUMIF($DQ$165:$DQ$170,"KMW-Mittel",$DS$165:$DS$170),2)</f>
      </c>
      <c r="DS14" s="117" t="str">
        <f>=ROUND(SUMIF($DQ$156:$DQ$160,"KMW-Mittel",$DT$156:$DT$160)+SUMIF($DQ$165:$DQ$170,"KMW-Mittel",$DT$165:$DT$170),2)</f>
      </c>
      <c r="DT14" s="116" t="str">
        <f>=IFERROR(ROUND(DM14 + DR14, 2), DR14)</f>
      </c>
      <c r="DU14" s="144" t="str">
        <f>=IFERROR(ROUND(DN14 + DS14, 2), DS14)</f>
      </c>
    </row>
    <row r="15">
      <c r="B15" s="143" t="s">
        <v>428</v>
      </c>
      <c r="C15" s="116" t="str">
        <f>=ROUND(SUMIF($B$156:$B$160,"Zinsertraege",$D$156:$D$160)+SUMIF($B$165:$B$170,"Zinsertraege",$D$165:$D$170),2)</f>
      </c>
      <c r="D15" s="117" t="str">
        <f>=ROUND(SUMIF($B$156:$B$160,"Zinsertraege",$E$156:$E$160)+SUMIF($B$165:$B$170,"Zinsertraege",$E$165:$E$170),2)</f>
      </c>
      <c r="E15" s="116" t="str">
        <f>=ROUND(SUMIF($B$156:$B$160,"Zinsertraege",$D$156:$D$160)+SUMIF($B$165:$B$170,"Zinsertraege",$D$165:$D$170),2)</f>
      </c>
      <c r="F15" s="144" t="str">
        <f>=ROUND(SUMIF($B$156:$B$160,"Zinsertraege",$E$156:$E$160)+SUMIF($B$165:$B$170,"Zinsertraege",$E$165:$E$170),2)</f>
      </c>
      <c r="I15" s="143" t="s">
        <v>428</v>
      </c>
      <c r="J15" s="116" t="str">
        <f>=ROUND(SUMIF($I$156:$I$160,"Zinsertraege",$K$156:$K$160)+SUMIF($I$165:$I$170,"Zinsertraege",$K$165:$K$170),2)</f>
      </c>
      <c r="K15" s="117" t="str">
        <f>=ROUND(SUMIF($I$156:$I$160,"Zinsertraege",$L$156:$L$160)+SUMIF($I$165:$I$170,"Zinsertraege",$L$165:$L$170),2)</f>
      </c>
      <c r="L15" s="116" t="str">
        <f>=IFERROR(ROUND(E15 + J15, 2), J15)</f>
      </c>
      <c r="M15" s="144" t="str">
        <f>=IFERROR(ROUND(F15 + K15, 2), K15)</f>
      </c>
      <c r="P15" s="143" t="s">
        <v>428</v>
      </c>
      <c r="Q15" s="116" t="str">
        <f>=ROUND(SUMIF($P$156:$P$160,"Zinsertraege",$R$156:$R$160)+SUMIF($P$165:$P$170,"Zinsertraege",$R$165:$R$170),2)</f>
      </c>
      <c r="R15" s="117" t="str">
        <f>=ROUND(SUMIF($P$156:$P$160,"Zinsertraege",$S$156:$S$160)+SUMIF($P$165:$P$170,"Zinsertraege",$S$165:$S$170),2)</f>
      </c>
      <c r="S15" s="116" t="str">
        <f>=IFERROR(ROUND(L15 + Q15, 2), Q15)</f>
      </c>
      <c r="T15" s="144" t="str">
        <f>=IFERROR(ROUND(M15 + R15, 2), R15)</f>
      </c>
      <c r="W15" s="143" t="s">
        <v>428</v>
      </c>
      <c r="X15" s="116" t="str">
        <f>=ROUND(SUMIF($W$156:$W$160,"Zinsertraege",$Y$156:$Y$160)+SUMIF($W$165:$W$170,"Zinsertraege",$Y$165:$Y$170),2)</f>
      </c>
      <c r="Y15" s="117" t="str">
        <f>=ROUND(SUMIF($W$156:$W$160,"Zinsertraege",$Z$156:$Z$160)+SUMIF($W$165:$W$170,"Zinsertraege",$Z$165:$Z$170),2)</f>
      </c>
      <c r="Z15" s="116" t="str">
        <f>=IFERROR(ROUND(S15 + X15, 2), X15)</f>
      </c>
      <c r="AA15" s="144" t="str">
        <f>=IFERROR(ROUND(T15 + Y15, 2), Y15)</f>
      </c>
      <c r="AD15" s="143" t="s">
        <v>428</v>
      </c>
      <c r="AE15" s="116" t="str">
        <f>=ROUND(SUMIF($AD$156:$AD$160,"Zinsertraege",$AF$156:$AF$160)+SUMIF($AD$165:$AD$170,"Zinsertraege",$AF$165:$AF$170),2)</f>
      </c>
      <c r="AF15" s="117" t="str">
        <f>=ROUND(SUMIF($AD$156:$AD$160,"Zinsertraege",$AG$156:$AG$160)+SUMIF($AD$165:$AD$170,"Zinsertraege",$AG$165:$AG$170),2)</f>
      </c>
      <c r="AG15" s="116" t="str">
        <f>=IFERROR(ROUND(Z15 + AE15, 2), AE15)</f>
      </c>
      <c r="AH15" s="144" t="str">
        <f>=IFERROR(ROUND(AA15 + AF15, 2), AF15)</f>
      </c>
      <c r="AK15" s="143" t="s">
        <v>428</v>
      </c>
      <c r="AL15" s="116" t="str">
        <f>=ROUND(SUMIF($AK$156:$AK$160,"Zinsertraege",$AM$156:$AM$160)+SUMIF($AK$165:$AK$170,"Zinsertraege",$AM$165:$AM$170),2)</f>
      </c>
      <c r="AM15" s="117" t="str">
        <f>=ROUND(SUMIF($AK$156:$AK$160,"Zinsertraege",$AN$156:$AN$160)+SUMIF($AK$165:$AK$170,"Zinsertraege",$AN$165:$AN$170),2)</f>
      </c>
      <c r="AN15" s="116" t="str">
        <f>=IFERROR(ROUND(AG15 + AL15, 2), AL15)</f>
      </c>
      <c r="AO15" s="144" t="str">
        <f>=IFERROR(ROUND(AH15 + AM15, 2), AM15)</f>
      </c>
      <c r="AR15" s="143" t="s">
        <v>428</v>
      </c>
      <c r="AS15" s="116" t="str">
        <f>=ROUND(SUMIF($AR$156:$AR$160,"Zinsertraege",$AT$156:$AT$160)+SUMIF($AR$165:$AR$170,"Zinsertraege",$AT$165:$AT$170),2)</f>
      </c>
      <c r="AT15" s="117" t="str">
        <f>=ROUND(SUMIF($AR$156:$AR$160,"Zinsertraege",$AU$156:$AU$160)+SUMIF($AR$165:$AR$170,"Zinsertraege",$AU$165:$AU$170),2)</f>
      </c>
      <c r="AU15" s="116" t="str">
        <f>=IFERROR(ROUND(AN15 + AS15, 2), AS15)</f>
      </c>
      <c r="AV15" s="144" t="str">
        <f>=IFERROR(ROUND(AO15 + AT15, 2), AT15)</f>
      </c>
      <c r="AY15" s="143" t="s">
        <v>428</v>
      </c>
      <c r="AZ15" s="116" t="str">
        <f>=ROUND(SUMIF($AY$156:$AY$160,"Zinsertraege",$BA$156:$BA$160)+SUMIF($AY$165:$AY$170,"Zinsertraege",$BA$165:$BA$170),2)</f>
      </c>
      <c r="BA15" s="117" t="str">
        <f>=ROUND(SUMIF($AY$156:$AY$160,"Zinsertraege",$BB$156:$BB$160)+SUMIF($AY$165:$AY$170,"Zinsertraege",$BB$165:$BB$170),2)</f>
      </c>
      <c r="BB15" s="116" t="str">
        <f>=IFERROR(ROUND(AU15 + AZ15, 2), AZ15)</f>
      </c>
      <c r="BC15" s="144" t="str">
        <f>=IFERROR(ROUND(AV15 + BA15, 2), BA15)</f>
      </c>
      <c r="BF15" s="143" t="s">
        <v>428</v>
      </c>
      <c r="BG15" s="116" t="str">
        <f>=ROUND(SUMIF($BF$156:$BF$160,"Zinsertraege",$BH$156:$BH$160)+SUMIF($BF$165:$BF$170,"Zinsertraege",$BH$165:$BH$170),2)</f>
      </c>
      <c r="BH15" s="117" t="str">
        <f>=ROUND(SUMIF($BF$156:$BF$160,"Zinsertraege",$BI$156:$BI$160)+SUMIF($BF$165:$BF$170,"Zinsertraege",$BI$165:$BI$170),2)</f>
      </c>
      <c r="BI15" s="116" t="str">
        <f>=IFERROR(ROUND(BB15 + BG15, 2), BG15)</f>
      </c>
      <c r="BJ15" s="144" t="str">
        <f>=IFERROR(ROUND(BC15 + BH15, 2), BH15)</f>
      </c>
      <c r="BM15" s="143" t="s">
        <v>428</v>
      </c>
      <c r="BN15" s="116" t="str">
        <f>=ROUND(SUMIF($BM$156:$BM$160,"Zinsertraege",$BO$156:$BO$160)+SUMIF($BM$165:$BM$170,"Zinsertraege",$BO$165:$BO$170),2)</f>
      </c>
      <c r="BO15" s="117" t="str">
        <f>=ROUND(SUMIF($BM$156:$BM$160,"Zinsertraege",$BP$156:$BP$160)+SUMIF($BM$165:$BM$170,"Zinsertraege",$BP$165:$BP$170),2)</f>
      </c>
      <c r="BP15" s="116" t="str">
        <f>=IFERROR(ROUND(BI15 + BN15, 2), BN15)</f>
      </c>
      <c r="BQ15" s="144" t="str">
        <f>=IFERROR(ROUND(BJ15 + BO15, 2), BO15)</f>
      </c>
      <c r="BT15" s="143" t="s">
        <v>428</v>
      </c>
      <c r="BU15" s="116" t="str">
        <f>=ROUND(SUMIF($BT$156:$BT$160,"Zinsertraege",$BV$156:$BV$160)+SUMIF($BT$165:$BT$170,"Zinsertraege",$BV$165:$BV$170),2)</f>
      </c>
      <c r="BV15" s="117" t="str">
        <f>=ROUND(SUMIF($BT$156:$BT$160,"Zinsertraege",$BW$156:$BW$160)+SUMIF($BT$165:$BT$170,"Zinsertraege",$BW$165:$BW$170),2)</f>
      </c>
      <c r="BW15" s="116" t="str">
        <f>=IFERROR(ROUND(BP15 + BU15, 2), BU15)</f>
      </c>
      <c r="BX15" s="144" t="str">
        <f>=IFERROR(ROUND(BQ15 + BV15, 2), BV15)</f>
      </c>
      <c r="CA15" s="143" t="s">
        <v>428</v>
      </c>
      <c r="CB15" s="116" t="str">
        <f>=ROUND(SUMIF($CA$156:$CA$160,"Zinsertraege",$CC$156:$CC$160)+SUMIF($CA$165:$CA$170,"Zinsertraege",$CC$165:$CC$170),2)</f>
      </c>
      <c r="CC15" s="117" t="str">
        <f>=ROUND(SUMIF($CA$156:$CA$160,"Zinsertraege",$CD$156:$CD$160)+SUMIF($CA$165:$CA$170,"Zinsertraege",$CD$165:$CD$170),2)</f>
      </c>
      <c r="CD15" s="116" t="str">
        <f>=IFERROR(ROUND(BW15 + CB15, 2), CB15)</f>
      </c>
      <c r="CE15" s="144" t="str">
        <f>=IFERROR(ROUND(BX15 + CC15, 2), CC15)</f>
      </c>
      <c r="CH15" s="143" t="s">
        <v>428</v>
      </c>
      <c r="CI15" s="116" t="str">
        <f>=ROUND(SUMIF($CH$156:$CH$160,"Zinsertraege",$CJ$156:$CJ$160)+SUMIF($CH$165:$CH$170,"Zinsertraege",$CJ$165:$CJ$170),2)</f>
      </c>
      <c r="CJ15" s="117" t="str">
        <f>=ROUND(SUMIF($CH$156:$CH$160,"Zinsertraege",$CK$156:$CK$160)+SUMIF($CH$165:$CH$170,"Zinsertraege",$CK$165:$CK$170),2)</f>
      </c>
      <c r="CK15" s="116" t="str">
        <f>=IFERROR(ROUND(CD15 + CI15, 2), CI15)</f>
      </c>
      <c r="CL15" s="144" t="str">
        <f>=IFERROR(ROUND(CE15 + CJ15, 2), CJ15)</f>
      </c>
      <c r="CO15" s="143" t="s">
        <v>428</v>
      </c>
      <c r="CP15" s="116" t="str">
        <f>=ROUND(SUMIF($CO$156:$CO$160,"Zinsertraege",$CQ$156:$CQ$160)+SUMIF($CO$165:$CO$170,"Zinsertraege",$CQ$165:$CQ$170),2)</f>
      </c>
      <c r="CQ15" s="117" t="str">
        <f>=ROUND(SUMIF($CO$156:$CO$160,"Zinsertraege",$CR$156:$CR$160)+SUMIF($CO$165:$CO$170,"Zinsertraege",$CR$165:$CR$170),2)</f>
      </c>
      <c r="CR15" s="116" t="str">
        <f>=IFERROR(ROUND(CK15 + CP15, 2), CP15)</f>
      </c>
      <c r="CS15" s="144" t="str">
        <f>=IFERROR(ROUND(CL15 + CQ15, 2), CQ15)</f>
      </c>
      <c r="CV15" s="143" t="s">
        <v>428</v>
      </c>
      <c r="CW15" s="116" t="str">
        <f>=ROUND(SUMIF($CV$156:$CV$160,"Zinsertraege",$CX$156:$CX$160)+SUMIF($CV$165:$CV$170,"Zinsertraege",$CX$165:$CX$170),2)</f>
      </c>
      <c r="CX15" s="117" t="str">
        <f>=ROUND(SUMIF($CV$156:$CV$160,"Zinsertraege",$CY$156:$CY$160)+SUMIF($CV$165:$CV$170,"Zinsertraege",$CY$165:$CY$170),2)</f>
      </c>
      <c r="CY15" s="116" t="str">
        <f>=IFERROR(ROUND(CR15 + CW15, 2), CW15)</f>
      </c>
      <c r="CZ15" s="144" t="str">
        <f>=IFERROR(ROUND(CS15 + CX15, 2), CX15)</f>
      </c>
      <c r="DC15" s="143" t="s">
        <v>428</v>
      </c>
      <c r="DD15" s="116" t="str">
        <f>=ROUND(SUMIF($DC$156:$DC$160,"Zinsertraege",$DE$156:$DE$160)+SUMIF($DC$165:$DC$170,"Zinsertraege",$DE$165:$DE$170),2)</f>
      </c>
      <c r="DE15" s="117" t="str">
        <f>=ROUND(SUMIF($DC$156:$DC$160,"Zinsertraege",$DF$156:$DF$160)+SUMIF($DC$165:$DC$170,"Zinsertraege",$DF$165:$DF$170),2)</f>
      </c>
      <c r="DF15" s="116" t="str">
        <f>=IFERROR(ROUND(CY15 + DD15, 2), DD15)</f>
      </c>
      <c r="DG15" s="144" t="str">
        <f>=IFERROR(ROUND(CZ15 + DE15, 2), DE15)</f>
      </c>
      <c r="DJ15" s="143" t="s">
        <v>428</v>
      </c>
      <c r="DK15" s="116" t="str">
        <f>=ROUND(SUMIF($DJ$156:$DJ$160,"Zinsertraege",$DL$156:$DL$160)+SUMIF($DJ$165:$DJ$170,"Zinsertraege",$DL$165:$DL$170),2)</f>
      </c>
      <c r="DL15" s="117" t="str">
        <f>=ROUND(SUMIF($DJ$156:$DJ$160,"Zinsertraege",$DM$156:$DM$160)+SUMIF($DJ$165:$DJ$170,"Zinsertraege",$DM$165:$DM$170),2)</f>
      </c>
      <c r="DM15" s="116" t="str">
        <f>=IFERROR(ROUND(DF15 + DK15, 2), DK15)</f>
      </c>
      <c r="DN15" s="144" t="str">
        <f>=IFERROR(ROUND(DG15 + DL15, 2), DL15)</f>
      </c>
      <c r="DQ15" s="143" t="s">
        <v>428</v>
      </c>
      <c r="DR15" s="116" t="str">
        <f>=ROUND(SUMIF($DQ$156:$DQ$160,"Zinsertraege",$DS$156:$DS$160)+SUMIF($DQ$165:$DQ$170,"Zinsertraege",$DS$165:$DS$170),2)</f>
      </c>
      <c r="DS15" s="117" t="str">
        <f>=ROUND(SUMIF($DQ$156:$DQ$160,"Zinsertraege",$DT$156:$DT$160)+SUMIF($DQ$165:$DQ$170,"Zinsertraege",$DT$165:$DT$170),2)</f>
      </c>
      <c r="DT15" s="116" t="str">
        <f>=IFERROR(ROUND(DM15 + DR15, 2), DR15)</f>
      </c>
      <c r="DU15" s="144" t="str">
        <f>=IFERROR(ROUND(DN15 + DS15, 2), DS15)</f>
      </c>
    </row>
    <row r="16">
      <c r="B16" s="145" t="s">
        <v>429</v>
      </c>
      <c r="C16" s="119" t="str">
        <f>=ROUND(SUM(C11:C15),2)</f>
      </c>
      <c r="D16" s="120" t="str">
        <f>=ROUND(SUM(D11:D15),2)</f>
      </c>
      <c r="E16" s="119" t="str">
        <f>=ROUND(SUM(E11:E15),2)</f>
      </c>
      <c r="F16" s="146" t="str">
        <f>=ROUND(SUM(F11:F15),2)</f>
      </c>
      <c r="I16" s="145" t="s">
        <v>429</v>
      </c>
      <c r="J16" s="119" t="str">
        <f>=ROUND(SUM(J11:J15),2)</f>
      </c>
      <c r="K16" s="120" t="str">
        <f>=ROUND(SUM(K11:K15),2)</f>
      </c>
      <c r="L16" s="119" t="str">
        <f>=ROUND(SUM(L11:L15),2)</f>
      </c>
      <c r="M16" s="146" t="str">
        <f>=ROUND(SUM(M11:M15),2)</f>
      </c>
      <c r="P16" s="145" t="s">
        <v>429</v>
      </c>
      <c r="Q16" s="119" t="str">
        <f>=ROUND(SUM(Q11:Q15),2)</f>
      </c>
      <c r="R16" s="120" t="str">
        <f>=ROUND(SUM(R11:R15),2)</f>
      </c>
      <c r="S16" s="119" t="str">
        <f>=ROUND(SUM(S11:S15),2)</f>
      </c>
      <c r="T16" s="146" t="str">
        <f>=ROUND(SUM(T11:T15),2)</f>
      </c>
      <c r="W16" s="145" t="s">
        <v>429</v>
      </c>
      <c r="X16" s="119" t="str">
        <f>=ROUND(SUM(X11:X15),2)</f>
      </c>
      <c r="Y16" s="120" t="str">
        <f>=ROUND(SUM(Y11:Y15),2)</f>
      </c>
      <c r="Z16" s="119" t="str">
        <f>=ROUND(SUM(Z11:Z15),2)</f>
      </c>
      <c r="AA16" s="146" t="str">
        <f>=ROUND(SUM(AA11:AA15),2)</f>
      </c>
      <c r="AD16" s="145" t="s">
        <v>429</v>
      </c>
      <c r="AE16" s="119" t="str">
        <f>=ROUND(SUM(AE11:AE15),2)</f>
      </c>
      <c r="AF16" s="120" t="str">
        <f>=ROUND(SUM(AF11:AF15),2)</f>
      </c>
      <c r="AG16" s="119" t="str">
        <f>=ROUND(SUM(AG11:AG15),2)</f>
      </c>
      <c r="AH16" s="146" t="str">
        <f>=ROUND(SUM(AH11:AH15),2)</f>
      </c>
      <c r="AK16" s="145" t="s">
        <v>429</v>
      </c>
      <c r="AL16" s="119" t="str">
        <f>=ROUND(SUM(AL11:AL15),2)</f>
      </c>
      <c r="AM16" s="120" t="str">
        <f>=ROUND(SUM(AM11:AM15),2)</f>
      </c>
      <c r="AN16" s="119" t="str">
        <f>=ROUND(SUM(AN11:AN15),2)</f>
      </c>
      <c r="AO16" s="146" t="str">
        <f>=ROUND(SUM(AO11:AO15),2)</f>
      </c>
      <c r="AR16" s="145" t="s">
        <v>429</v>
      </c>
      <c r="AS16" s="119" t="str">
        <f>=ROUND(SUM(AS11:AS15),2)</f>
      </c>
      <c r="AT16" s="120" t="str">
        <f>=ROUND(SUM(AT11:AT15),2)</f>
      </c>
      <c r="AU16" s="119" t="str">
        <f>=ROUND(SUM(AU11:AU15),2)</f>
      </c>
      <c r="AV16" s="146" t="str">
        <f>=ROUND(SUM(AV11:AV15),2)</f>
      </c>
      <c r="AY16" s="145" t="s">
        <v>429</v>
      </c>
      <c r="AZ16" s="119" t="str">
        <f>=ROUND(SUM(AZ11:AZ15),2)</f>
      </c>
      <c r="BA16" s="120" t="str">
        <f>=ROUND(SUM(BA11:BA15),2)</f>
      </c>
      <c r="BB16" s="119" t="str">
        <f>=ROUND(SUM(BB11:BB15),2)</f>
      </c>
      <c r="BC16" s="146" t="str">
        <f>=ROUND(SUM(BC11:BC15),2)</f>
      </c>
      <c r="BF16" s="145" t="s">
        <v>429</v>
      </c>
      <c r="BG16" s="119" t="str">
        <f>=ROUND(SUM(BG11:BG15),2)</f>
      </c>
      <c r="BH16" s="120" t="str">
        <f>=ROUND(SUM(BH11:BH15),2)</f>
      </c>
      <c r="BI16" s="119" t="str">
        <f>=ROUND(SUM(BI11:BI15),2)</f>
      </c>
      <c r="BJ16" s="146" t="str">
        <f>=ROUND(SUM(BJ11:BJ15),2)</f>
      </c>
      <c r="BM16" s="145" t="s">
        <v>429</v>
      </c>
      <c r="BN16" s="119" t="str">
        <f>=ROUND(SUM(BN11:BN15),2)</f>
      </c>
      <c r="BO16" s="120" t="str">
        <f>=ROUND(SUM(BO11:BO15),2)</f>
      </c>
      <c r="BP16" s="119" t="str">
        <f>=ROUND(SUM(BP11:BP15),2)</f>
      </c>
      <c r="BQ16" s="146" t="str">
        <f>=ROUND(SUM(BQ11:BQ15),2)</f>
      </c>
      <c r="BT16" s="145" t="s">
        <v>429</v>
      </c>
      <c r="BU16" s="119" t="str">
        <f>=ROUND(SUM(BU11:BU15),2)</f>
      </c>
      <c r="BV16" s="120" t="str">
        <f>=ROUND(SUM(BV11:BV15),2)</f>
      </c>
      <c r="BW16" s="119" t="str">
        <f>=ROUND(SUM(BW11:BW15),2)</f>
      </c>
      <c r="BX16" s="146" t="str">
        <f>=ROUND(SUM(BX11:BX15),2)</f>
      </c>
      <c r="CA16" s="145" t="s">
        <v>429</v>
      </c>
      <c r="CB16" s="119" t="str">
        <f>=ROUND(SUM(CB11:CB15),2)</f>
      </c>
      <c r="CC16" s="120" t="str">
        <f>=ROUND(SUM(CC11:CC15),2)</f>
      </c>
      <c r="CD16" s="119" t="str">
        <f>=ROUND(SUM(CD11:CD15),2)</f>
      </c>
      <c r="CE16" s="146" t="str">
        <f>=ROUND(SUM(CE11:CE15),2)</f>
      </c>
      <c r="CH16" s="145" t="s">
        <v>429</v>
      </c>
      <c r="CI16" s="119" t="str">
        <f>=ROUND(SUM(CI11:CI15),2)</f>
      </c>
      <c r="CJ16" s="120" t="str">
        <f>=ROUND(SUM(CJ11:CJ15),2)</f>
      </c>
      <c r="CK16" s="119" t="str">
        <f>=ROUND(SUM(CK11:CK15),2)</f>
      </c>
      <c r="CL16" s="146" t="str">
        <f>=ROUND(SUM(CL11:CL15),2)</f>
      </c>
      <c r="CO16" s="145" t="s">
        <v>429</v>
      </c>
      <c r="CP16" s="119" t="str">
        <f>=ROUND(SUM(CP11:CP15),2)</f>
      </c>
      <c r="CQ16" s="120" t="str">
        <f>=ROUND(SUM(CQ11:CQ15),2)</f>
      </c>
      <c r="CR16" s="119" t="str">
        <f>=ROUND(SUM(CR11:CR15),2)</f>
      </c>
      <c r="CS16" s="146" t="str">
        <f>=ROUND(SUM(CS11:CS15),2)</f>
      </c>
      <c r="CV16" s="145" t="s">
        <v>429</v>
      </c>
      <c r="CW16" s="119" t="str">
        <f>=ROUND(SUM(CW11:CW15),2)</f>
      </c>
      <c r="CX16" s="120" t="str">
        <f>=ROUND(SUM(CX11:CX15),2)</f>
      </c>
      <c r="CY16" s="119" t="str">
        <f>=ROUND(SUM(CY11:CY15),2)</f>
      </c>
      <c r="CZ16" s="146" t="str">
        <f>=ROUND(SUM(CZ11:CZ15),2)</f>
      </c>
      <c r="DC16" s="145" t="s">
        <v>429</v>
      </c>
      <c r="DD16" s="119" t="str">
        <f>=ROUND(SUM(DD11:DD15),2)</f>
      </c>
      <c r="DE16" s="120" t="str">
        <f>=ROUND(SUM(DE11:DE15),2)</f>
      </c>
      <c r="DF16" s="119" t="str">
        <f>=ROUND(SUM(DF11:DF15),2)</f>
      </c>
      <c r="DG16" s="146" t="str">
        <f>=ROUND(SUM(DG11:DG15),2)</f>
      </c>
      <c r="DJ16" s="145" t="s">
        <v>429</v>
      </c>
      <c r="DK16" s="119" t="str">
        <f>=ROUND(SUM(DK11:DK15),2)</f>
      </c>
      <c r="DL16" s="120" t="str">
        <f>=ROUND(SUM(DL11:DL15),2)</f>
      </c>
      <c r="DM16" s="119" t="str">
        <f>=ROUND(SUM(DM11:DM15),2)</f>
      </c>
      <c r="DN16" s="146" t="str">
        <f>=ROUND(SUM(DN11:DN15),2)</f>
      </c>
      <c r="DQ16" s="145" t="s">
        <v>429</v>
      </c>
      <c r="DR16" s="119" t="str">
        <f>=ROUND(SUM(DR11:DR15),2)</f>
      </c>
      <c r="DS16" s="120" t="str">
        <f>=ROUND(SUM(DS11:DS15),2)</f>
      </c>
      <c r="DT16" s="119" t="str">
        <f>=ROUND(SUM(DT11:DT15),2)</f>
      </c>
      <c r="DU16" s="146" t="str">
        <f>=ROUND(SUM(DU11:DU15),2)</f>
      </c>
    </row>
    <row r="17">
      <c r="B17" s="139" t="s">
        <v>430</v>
      </c>
      <c r="C17" s="112"/>
      <c r="D17" s="112"/>
      <c r="E17" s="112"/>
      <c r="F17" s="140"/>
      <c r="I17" s="139" t="s">
        <v>430</v>
      </c>
      <c r="J17" s="112"/>
      <c r="K17" s="112"/>
      <c r="L17" s="112"/>
      <c r="M17" s="140"/>
      <c r="P17" s="139" t="s">
        <v>430</v>
      </c>
      <c r="Q17" s="112"/>
      <c r="R17" s="112"/>
      <c r="S17" s="112"/>
      <c r="T17" s="140"/>
      <c r="W17" s="139" t="s">
        <v>430</v>
      </c>
      <c r="X17" s="112"/>
      <c r="Y17" s="112"/>
      <c r="Z17" s="112"/>
      <c r="AA17" s="140"/>
      <c r="AD17" s="139" t="s">
        <v>430</v>
      </c>
      <c r="AE17" s="112"/>
      <c r="AF17" s="112"/>
      <c r="AG17" s="112"/>
      <c r="AH17" s="140"/>
      <c r="AK17" s="139" t="s">
        <v>430</v>
      </c>
      <c r="AL17" s="112"/>
      <c r="AM17" s="112"/>
      <c r="AN17" s="112"/>
      <c r="AO17" s="140"/>
      <c r="AR17" s="139" t="s">
        <v>430</v>
      </c>
      <c r="AS17" s="112"/>
      <c r="AT17" s="112"/>
      <c r="AU17" s="112"/>
      <c r="AV17" s="140"/>
      <c r="AY17" s="139" t="s">
        <v>430</v>
      </c>
      <c r="AZ17" s="112"/>
      <c r="BA17" s="112"/>
      <c r="BB17" s="112"/>
      <c r="BC17" s="140"/>
      <c r="BF17" s="139" t="s">
        <v>430</v>
      </c>
      <c r="BG17" s="112"/>
      <c r="BH17" s="112"/>
      <c r="BI17" s="112"/>
      <c r="BJ17" s="140"/>
      <c r="BM17" s="139" t="s">
        <v>430</v>
      </c>
      <c r="BN17" s="112"/>
      <c r="BO17" s="112"/>
      <c r="BP17" s="112"/>
      <c r="BQ17" s="140"/>
      <c r="BT17" s="139" t="s">
        <v>430</v>
      </c>
      <c r="BU17" s="112"/>
      <c r="BV17" s="112"/>
      <c r="BW17" s="112"/>
      <c r="BX17" s="140"/>
      <c r="CA17" s="139" t="s">
        <v>430</v>
      </c>
      <c r="CB17" s="112"/>
      <c r="CC17" s="112"/>
      <c r="CD17" s="112"/>
      <c r="CE17" s="140"/>
      <c r="CH17" s="139" t="s">
        <v>430</v>
      </c>
      <c r="CI17" s="112"/>
      <c r="CJ17" s="112"/>
      <c r="CK17" s="112"/>
      <c r="CL17" s="140"/>
      <c r="CO17" s="139" t="s">
        <v>430</v>
      </c>
      <c r="CP17" s="112"/>
      <c r="CQ17" s="112"/>
      <c r="CR17" s="112"/>
      <c r="CS17" s="140"/>
      <c r="CV17" s="139" t="s">
        <v>430</v>
      </c>
      <c r="CW17" s="112"/>
      <c r="CX17" s="112"/>
      <c r="CY17" s="112"/>
      <c r="CZ17" s="140"/>
      <c r="DC17" s="139" t="s">
        <v>430</v>
      </c>
      <c r="DD17" s="112"/>
      <c r="DE17" s="112"/>
      <c r="DF17" s="112"/>
      <c r="DG17" s="140"/>
      <c r="DJ17" s="139" t="s">
        <v>430</v>
      </c>
      <c r="DK17" s="112"/>
      <c r="DL17" s="112"/>
      <c r="DM17" s="112"/>
      <c r="DN17" s="140"/>
      <c r="DQ17" s="139" t="s">
        <v>430</v>
      </c>
      <c r="DR17" s="112"/>
      <c r="DS17" s="112"/>
      <c r="DT17" s="112"/>
      <c r="DU17" s="140"/>
    </row>
    <row r="18">
      <c r="B18" s="147" t="s">
        <v>205</v>
      </c>
      <c r="C18" s="121" t="s">
        <v>431</v>
      </c>
      <c r="D18" s="121" t="s">
        <v>432</v>
      </c>
      <c r="E18" s="121" t="s">
        <v>433</v>
      </c>
      <c r="F18" s="148" t="s">
        <v>434</v>
      </c>
      <c r="I18" s="147" t="s">
        <v>205</v>
      </c>
      <c r="J18" s="121" t="s">
        <v>431</v>
      </c>
      <c r="K18" s="121" t="s">
        <v>432</v>
      </c>
      <c r="L18" s="121" t="s">
        <v>433</v>
      </c>
      <c r="M18" s="148" t="s">
        <v>434</v>
      </c>
      <c r="P18" s="147" t="s">
        <v>205</v>
      </c>
      <c r="Q18" s="121" t="s">
        <v>431</v>
      </c>
      <c r="R18" s="121" t="s">
        <v>432</v>
      </c>
      <c r="S18" s="121" t="s">
        <v>433</v>
      </c>
      <c r="T18" s="148" t="s">
        <v>434</v>
      </c>
      <c r="W18" s="147" t="s">
        <v>205</v>
      </c>
      <c r="X18" s="121" t="s">
        <v>431</v>
      </c>
      <c r="Y18" s="121" t="s">
        <v>432</v>
      </c>
      <c r="Z18" s="121" t="s">
        <v>433</v>
      </c>
      <c r="AA18" s="148" t="s">
        <v>434</v>
      </c>
      <c r="AD18" s="147" t="s">
        <v>205</v>
      </c>
      <c r="AE18" s="121" t="s">
        <v>431</v>
      </c>
      <c r="AF18" s="121" t="s">
        <v>432</v>
      </c>
      <c r="AG18" s="121" t="s">
        <v>433</v>
      </c>
      <c r="AH18" s="148" t="s">
        <v>434</v>
      </c>
      <c r="AK18" s="147" t="s">
        <v>205</v>
      </c>
      <c r="AL18" s="121" t="s">
        <v>431</v>
      </c>
      <c r="AM18" s="121" t="s">
        <v>432</v>
      </c>
      <c r="AN18" s="121" t="s">
        <v>433</v>
      </c>
      <c r="AO18" s="148" t="s">
        <v>434</v>
      </c>
      <c r="AR18" s="147" t="s">
        <v>205</v>
      </c>
      <c r="AS18" s="121" t="s">
        <v>431</v>
      </c>
      <c r="AT18" s="121" t="s">
        <v>432</v>
      </c>
      <c r="AU18" s="121" t="s">
        <v>433</v>
      </c>
      <c r="AV18" s="148" t="s">
        <v>434</v>
      </c>
      <c r="AY18" s="147" t="s">
        <v>205</v>
      </c>
      <c r="AZ18" s="121" t="s">
        <v>431</v>
      </c>
      <c r="BA18" s="121" t="s">
        <v>432</v>
      </c>
      <c r="BB18" s="121" t="s">
        <v>433</v>
      </c>
      <c r="BC18" s="148" t="s">
        <v>434</v>
      </c>
      <c r="BF18" s="147" t="s">
        <v>205</v>
      </c>
      <c r="BG18" s="121" t="s">
        <v>431</v>
      </c>
      <c r="BH18" s="121" t="s">
        <v>432</v>
      </c>
      <c r="BI18" s="121" t="s">
        <v>433</v>
      </c>
      <c r="BJ18" s="148" t="s">
        <v>434</v>
      </c>
      <c r="BM18" s="147" t="s">
        <v>205</v>
      </c>
      <c r="BN18" s="121" t="s">
        <v>431</v>
      </c>
      <c r="BO18" s="121" t="s">
        <v>432</v>
      </c>
      <c r="BP18" s="121" t="s">
        <v>433</v>
      </c>
      <c r="BQ18" s="148" t="s">
        <v>434</v>
      </c>
      <c r="BT18" s="147" t="s">
        <v>205</v>
      </c>
      <c r="BU18" s="121" t="s">
        <v>431</v>
      </c>
      <c r="BV18" s="121" t="s">
        <v>432</v>
      </c>
      <c r="BW18" s="121" t="s">
        <v>433</v>
      </c>
      <c r="BX18" s="148" t="s">
        <v>434</v>
      </c>
      <c r="CA18" s="147" t="s">
        <v>205</v>
      </c>
      <c r="CB18" s="121" t="s">
        <v>431</v>
      </c>
      <c r="CC18" s="121" t="s">
        <v>432</v>
      </c>
      <c r="CD18" s="121" t="s">
        <v>433</v>
      </c>
      <c r="CE18" s="148" t="s">
        <v>434</v>
      </c>
      <c r="CH18" s="147" t="s">
        <v>205</v>
      </c>
      <c r="CI18" s="121" t="s">
        <v>431</v>
      </c>
      <c r="CJ18" s="121" t="s">
        <v>432</v>
      </c>
      <c r="CK18" s="121" t="s">
        <v>433</v>
      </c>
      <c r="CL18" s="148" t="s">
        <v>434</v>
      </c>
      <c r="CO18" s="147" t="s">
        <v>205</v>
      </c>
      <c r="CP18" s="121" t="s">
        <v>431</v>
      </c>
      <c r="CQ18" s="121" t="s">
        <v>432</v>
      </c>
      <c r="CR18" s="121" t="s">
        <v>433</v>
      </c>
      <c r="CS18" s="148" t="s">
        <v>434</v>
      </c>
      <c r="CV18" s="147" t="s">
        <v>205</v>
      </c>
      <c r="CW18" s="121" t="s">
        <v>431</v>
      </c>
      <c r="CX18" s="121" t="s">
        <v>432</v>
      </c>
      <c r="CY18" s="121" t="s">
        <v>433</v>
      </c>
      <c r="CZ18" s="148" t="s">
        <v>434</v>
      </c>
      <c r="DC18" s="147" t="s">
        <v>205</v>
      </c>
      <c r="DD18" s="121" t="s">
        <v>431</v>
      </c>
      <c r="DE18" s="121" t="s">
        <v>432</v>
      </c>
      <c r="DF18" s="121" t="s">
        <v>433</v>
      </c>
      <c r="DG18" s="148" t="s">
        <v>434</v>
      </c>
      <c r="DJ18" s="147" t="s">
        <v>205</v>
      </c>
      <c r="DK18" s="121" t="s">
        <v>431</v>
      </c>
      <c r="DL18" s="121" t="s">
        <v>432</v>
      </c>
      <c r="DM18" s="121" t="s">
        <v>433</v>
      </c>
      <c r="DN18" s="148" t="s">
        <v>434</v>
      </c>
      <c r="DQ18" s="147" t="s">
        <v>205</v>
      </c>
      <c r="DR18" s="121" t="s">
        <v>431</v>
      </c>
      <c r="DS18" s="121" t="s">
        <v>432</v>
      </c>
      <c r="DT18" s="121" t="s">
        <v>433</v>
      </c>
      <c r="DU18" s="148" t="s">
        <v>434</v>
      </c>
    </row>
    <row r="19">
      <c r="B19" s="149" t="s">
        <v>208</v>
      </c>
      <c r="C19" s="24"/>
      <c r="D19" s="117" t="str">
        <f>=IFERROR(ROUND(C19/FB_Kurs_1,2),0)</f>
      </c>
      <c r="E19" s="116" t="str">
        <f>=ROUND(C19,2)</f>
      </c>
      <c r="F19" s="144" t="str">
        <f>=ROUND(D19,2)</f>
      </c>
      <c r="I19" s="149" t="s">
        <v>208</v>
      </c>
      <c r="J19" s="24"/>
      <c r="K19" s="117" t="str">
        <f>=IFERROR(ROUND(J19/FB_Kurs_2,2),0)</f>
      </c>
      <c r="L19" s="116" t="str">
        <f>=ROUND(J19+E19,2)</f>
      </c>
      <c r="M19" s="144" t="str">
        <f>=ROUND(K19+F19,2)</f>
      </c>
      <c r="P19" s="149" t="s">
        <v>208</v>
      </c>
      <c r="Q19" s="24"/>
      <c r="R19" s="117" t="str">
        <f>=IFERROR(ROUND(Q19/FB_Kurs_3,2),0)</f>
      </c>
      <c r="S19" s="116" t="str">
        <f>=ROUND(Q19+L19,2)</f>
      </c>
      <c r="T19" s="144" t="str">
        <f>=ROUND(R19+M19,2)</f>
      </c>
      <c r="W19" s="149" t="s">
        <v>208</v>
      </c>
      <c r="X19" s="24"/>
      <c r="Y19" s="117" t="str">
        <f>=IFERROR(ROUND(X19/FB_Kurs_4,2),0)</f>
      </c>
      <c r="Z19" s="116" t="str">
        <f>=ROUND(X19+S19,2)</f>
      </c>
      <c r="AA19" s="144" t="str">
        <f>=ROUND(Y19+T19,2)</f>
      </c>
      <c r="AD19" s="149" t="s">
        <v>208</v>
      </c>
      <c r="AE19" s="24"/>
      <c r="AF19" s="117" t="str">
        <f>=IFERROR(ROUND(AE19/FB_Kurs_5,2),0)</f>
      </c>
      <c r="AG19" s="116" t="str">
        <f>=ROUND(AE19+Z19,2)</f>
      </c>
      <c r="AH19" s="144" t="str">
        <f>=ROUND(AF19+AA19,2)</f>
      </c>
      <c r="AK19" s="149" t="s">
        <v>208</v>
      </c>
      <c r="AL19" s="24"/>
      <c r="AM19" s="117" t="str">
        <f>=IFERROR(ROUND(AL19/FB_Kurs_6,2),0)</f>
      </c>
      <c r="AN19" s="116" t="str">
        <f>=ROUND(AL19+AG19,2)</f>
      </c>
      <c r="AO19" s="144" t="str">
        <f>=ROUND(AM19+AH19,2)</f>
      </c>
      <c r="AR19" s="149" t="s">
        <v>208</v>
      </c>
      <c r="AS19" s="24"/>
      <c r="AT19" s="117" t="str">
        <f>=IFERROR(ROUND(AS19/FB_Kurs_7,2),0)</f>
      </c>
      <c r="AU19" s="116" t="str">
        <f>=ROUND(AS19+AN19,2)</f>
      </c>
      <c r="AV19" s="144" t="str">
        <f>=ROUND(AT19+AO19,2)</f>
      </c>
      <c r="AY19" s="149" t="s">
        <v>208</v>
      </c>
      <c r="AZ19" s="24"/>
      <c r="BA19" s="117" t="str">
        <f>=IFERROR(ROUND(AZ19/FB_Kurs_8,2),0)</f>
      </c>
      <c r="BB19" s="116" t="str">
        <f>=ROUND(AZ19+AU19,2)</f>
      </c>
      <c r="BC19" s="144" t="str">
        <f>=ROUND(BA19+AV19,2)</f>
      </c>
      <c r="BF19" s="149" t="s">
        <v>208</v>
      </c>
      <c r="BG19" s="24"/>
      <c r="BH19" s="117" t="str">
        <f>=IFERROR(ROUND(BG19/FB_Kurs_9,2),0)</f>
      </c>
      <c r="BI19" s="116" t="str">
        <f>=ROUND(BG19+BB19,2)</f>
      </c>
      <c r="BJ19" s="144" t="str">
        <f>=ROUND(BH19+BC19,2)</f>
      </c>
      <c r="BM19" s="149" t="s">
        <v>208</v>
      </c>
      <c r="BN19" s="24"/>
      <c r="BO19" s="117" t="str">
        <f>=IFERROR(ROUND(BN19/FB_Kurs_10,2),0)</f>
      </c>
      <c r="BP19" s="116" t="str">
        <f>=ROUND(BN19+BI19,2)</f>
      </c>
      <c r="BQ19" s="144" t="str">
        <f>=ROUND(BO19+BJ19,2)</f>
      </c>
      <c r="BT19" s="149" t="s">
        <v>208</v>
      </c>
      <c r="BU19" s="24"/>
      <c r="BV19" s="117" t="str">
        <f>=IFERROR(ROUND(BU19/FB_Kurs_11,2),0)</f>
      </c>
      <c r="BW19" s="116" t="str">
        <f>=ROUND(BU19+BP19,2)</f>
      </c>
      <c r="BX19" s="144" t="str">
        <f>=ROUND(BV19+BQ19,2)</f>
      </c>
      <c r="CA19" s="149" t="s">
        <v>208</v>
      </c>
      <c r="CB19" s="24"/>
      <c r="CC19" s="117" t="str">
        <f>=IFERROR(ROUND(CB19/FB_Kurs_12,2),0)</f>
      </c>
      <c r="CD19" s="116" t="str">
        <f>=ROUND(CB19+BW19,2)</f>
      </c>
      <c r="CE19" s="144" t="str">
        <f>=ROUND(CC19+BX19,2)</f>
      </c>
      <c r="CH19" s="149" t="s">
        <v>208</v>
      </c>
      <c r="CI19" s="24"/>
      <c r="CJ19" s="117" t="str">
        <f>=IFERROR(ROUND(CI19/FB_Kurs_13,2),0)</f>
      </c>
      <c r="CK19" s="116" t="str">
        <f>=ROUND(CI19+CD19,2)</f>
      </c>
      <c r="CL19" s="144" t="str">
        <f>=ROUND(CJ19+CE19,2)</f>
      </c>
      <c r="CO19" s="149" t="s">
        <v>208</v>
      </c>
      <c r="CP19" s="24"/>
      <c r="CQ19" s="117" t="str">
        <f>=IFERROR(ROUND(CP19/FB_Kurs_14,2),0)</f>
      </c>
      <c r="CR19" s="116" t="str">
        <f>=ROUND(CP19+CK19,2)</f>
      </c>
      <c r="CS19" s="144" t="str">
        <f>=ROUND(CQ19+CL19,2)</f>
      </c>
      <c r="CV19" s="149" t="s">
        <v>208</v>
      </c>
      <c r="CW19" s="24"/>
      <c r="CX19" s="117" t="str">
        <f>=IFERROR(ROUND(CW19/FB_Kurs_15,2),0)</f>
      </c>
      <c r="CY19" s="116" t="str">
        <f>=ROUND(CW19+CR19,2)</f>
      </c>
      <c r="CZ19" s="144" t="str">
        <f>=ROUND(CX19+CS19,2)</f>
      </c>
      <c r="DC19" s="149" t="s">
        <v>208</v>
      </c>
      <c r="DD19" s="24"/>
      <c r="DE19" s="117" t="str">
        <f>=IFERROR(ROUND(DD19/FB_Kurs_16,2),0)</f>
      </c>
      <c r="DF19" s="116" t="str">
        <f>=ROUND(DD19+CY19,2)</f>
      </c>
      <c r="DG19" s="144" t="str">
        <f>=ROUND(DE19+CZ19,2)</f>
      </c>
      <c r="DJ19" s="149" t="s">
        <v>208</v>
      </c>
      <c r="DK19" s="24"/>
      <c r="DL19" s="117" t="str">
        <f>=IFERROR(ROUND(DK19/FB_Kurs_17,2),0)</f>
      </c>
      <c r="DM19" s="116" t="str">
        <f>=ROUND(DK19+DF19,2)</f>
      </c>
      <c r="DN19" s="144" t="str">
        <f>=ROUND(DL19+DG19,2)</f>
      </c>
      <c r="DQ19" s="149" t="s">
        <v>208</v>
      </c>
      <c r="DR19" s="24"/>
      <c r="DS19" s="117" t="str">
        <f>=IFERROR(ROUND(DR19/FB_Kurs_18,2),0)</f>
      </c>
      <c r="DT19" s="116" t="str">
        <f>=ROUND(DR19+DM19,2)</f>
      </c>
      <c r="DU19" s="144" t="str">
        <f>=ROUND(DS19+DN19,2)</f>
      </c>
    </row>
    <row r="20">
      <c r="B20" s="149" t="s">
        <v>210</v>
      </c>
      <c r="C20" s="24"/>
      <c r="D20" s="117" t="str">
        <f>=IFERROR(ROUND(C20/FB_Kurs_1,2),0)</f>
      </c>
      <c r="E20" s="116" t="str">
        <f>=ROUND(C20,2)</f>
      </c>
      <c r="F20" s="144" t="str">
        <f>=ROUND(D20,2)</f>
      </c>
      <c r="I20" s="149" t="s">
        <v>210</v>
      </c>
      <c r="J20" s="24"/>
      <c r="K20" s="117" t="str">
        <f>=IFERROR(ROUND(J20/FB_Kurs_2,2),0)</f>
      </c>
      <c r="L20" s="116" t="str">
        <f>=ROUND(J20+E20,2)</f>
      </c>
      <c r="M20" s="144" t="str">
        <f>=ROUND(K20+F20,2)</f>
      </c>
      <c r="P20" s="149" t="s">
        <v>210</v>
      </c>
      <c r="Q20" s="24"/>
      <c r="R20" s="117" t="str">
        <f>=IFERROR(ROUND(Q20/FB_Kurs_3,2),0)</f>
      </c>
      <c r="S20" s="116" t="str">
        <f>=ROUND(Q20+L20,2)</f>
      </c>
      <c r="T20" s="144" t="str">
        <f>=ROUND(R20+M20,2)</f>
      </c>
      <c r="W20" s="149" t="s">
        <v>210</v>
      </c>
      <c r="X20" s="24"/>
      <c r="Y20" s="117" t="str">
        <f>=IFERROR(ROUND(X20/FB_Kurs_4,2),0)</f>
      </c>
      <c r="Z20" s="116" t="str">
        <f>=ROUND(X20+S20,2)</f>
      </c>
      <c r="AA20" s="144" t="str">
        <f>=ROUND(Y20+T20,2)</f>
      </c>
      <c r="AD20" s="149" t="s">
        <v>210</v>
      </c>
      <c r="AE20" s="24"/>
      <c r="AF20" s="117" t="str">
        <f>=IFERROR(ROUND(AE20/FB_Kurs_5,2),0)</f>
      </c>
      <c r="AG20" s="116" t="str">
        <f>=ROUND(AE20+Z20,2)</f>
      </c>
      <c r="AH20" s="144" t="str">
        <f>=ROUND(AF20+AA20,2)</f>
      </c>
      <c r="AK20" s="149" t="s">
        <v>210</v>
      </c>
      <c r="AL20" s="24"/>
      <c r="AM20" s="117" t="str">
        <f>=IFERROR(ROUND(AL20/FB_Kurs_6,2),0)</f>
      </c>
      <c r="AN20" s="116" t="str">
        <f>=ROUND(AL20+AG20,2)</f>
      </c>
      <c r="AO20" s="144" t="str">
        <f>=ROUND(AM20+AH20,2)</f>
      </c>
      <c r="AR20" s="149" t="s">
        <v>210</v>
      </c>
      <c r="AS20" s="24"/>
      <c r="AT20" s="117" t="str">
        <f>=IFERROR(ROUND(AS20/FB_Kurs_7,2),0)</f>
      </c>
      <c r="AU20" s="116" t="str">
        <f>=ROUND(AS20+AN20,2)</f>
      </c>
      <c r="AV20" s="144" t="str">
        <f>=ROUND(AT20+AO20,2)</f>
      </c>
      <c r="AY20" s="149" t="s">
        <v>210</v>
      </c>
      <c r="AZ20" s="24"/>
      <c r="BA20" s="117" t="str">
        <f>=IFERROR(ROUND(AZ20/FB_Kurs_8,2),0)</f>
      </c>
      <c r="BB20" s="116" t="str">
        <f>=ROUND(AZ20+AU20,2)</f>
      </c>
      <c r="BC20" s="144" t="str">
        <f>=ROUND(BA20+AV20,2)</f>
      </c>
      <c r="BF20" s="149" t="s">
        <v>210</v>
      </c>
      <c r="BG20" s="24"/>
      <c r="BH20" s="117" t="str">
        <f>=IFERROR(ROUND(BG20/FB_Kurs_9,2),0)</f>
      </c>
      <c r="BI20" s="116" t="str">
        <f>=ROUND(BG20+BB20,2)</f>
      </c>
      <c r="BJ20" s="144" t="str">
        <f>=ROUND(BH20+BC20,2)</f>
      </c>
      <c r="BM20" s="149" t="s">
        <v>210</v>
      </c>
      <c r="BN20" s="24"/>
      <c r="BO20" s="117" t="str">
        <f>=IFERROR(ROUND(BN20/FB_Kurs_10,2),0)</f>
      </c>
      <c r="BP20" s="116" t="str">
        <f>=ROUND(BN20+BI20,2)</f>
      </c>
      <c r="BQ20" s="144" t="str">
        <f>=ROUND(BO20+BJ20,2)</f>
      </c>
      <c r="BT20" s="149" t="s">
        <v>210</v>
      </c>
      <c r="BU20" s="24"/>
      <c r="BV20" s="117" t="str">
        <f>=IFERROR(ROUND(BU20/FB_Kurs_11,2),0)</f>
      </c>
      <c r="BW20" s="116" t="str">
        <f>=ROUND(BU20+BP20,2)</f>
      </c>
      <c r="BX20" s="144" t="str">
        <f>=ROUND(BV20+BQ20,2)</f>
      </c>
      <c r="CA20" s="149" t="s">
        <v>210</v>
      </c>
      <c r="CB20" s="24"/>
      <c r="CC20" s="117" t="str">
        <f>=IFERROR(ROUND(CB20/FB_Kurs_12,2),0)</f>
      </c>
      <c r="CD20" s="116" t="str">
        <f>=ROUND(CB20+BW20,2)</f>
      </c>
      <c r="CE20" s="144" t="str">
        <f>=ROUND(CC20+BX20,2)</f>
      </c>
      <c r="CH20" s="149" t="s">
        <v>210</v>
      </c>
      <c r="CI20" s="24"/>
      <c r="CJ20" s="117" t="str">
        <f>=IFERROR(ROUND(CI20/FB_Kurs_13,2),0)</f>
      </c>
      <c r="CK20" s="116" t="str">
        <f>=ROUND(CI20+CD20,2)</f>
      </c>
      <c r="CL20" s="144" t="str">
        <f>=ROUND(CJ20+CE20,2)</f>
      </c>
      <c r="CO20" s="149" t="s">
        <v>210</v>
      </c>
      <c r="CP20" s="24"/>
      <c r="CQ20" s="117" t="str">
        <f>=IFERROR(ROUND(CP20/FB_Kurs_14,2),0)</f>
      </c>
      <c r="CR20" s="116" t="str">
        <f>=ROUND(CP20+CK20,2)</f>
      </c>
      <c r="CS20" s="144" t="str">
        <f>=ROUND(CQ20+CL20,2)</f>
      </c>
      <c r="CV20" s="149" t="s">
        <v>210</v>
      </c>
      <c r="CW20" s="24"/>
      <c r="CX20" s="117" t="str">
        <f>=IFERROR(ROUND(CW20/FB_Kurs_15,2),0)</f>
      </c>
      <c r="CY20" s="116" t="str">
        <f>=ROUND(CW20+CR20,2)</f>
      </c>
      <c r="CZ20" s="144" t="str">
        <f>=ROUND(CX20+CS20,2)</f>
      </c>
      <c r="DC20" s="149" t="s">
        <v>210</v>
      </c>
      <c r="DD20" s="24"/>
      <c r="DE20" s="117" t="str">
        <f>=IFERROR(ROUND(DD20/FB_Kurs_16,2),0)</f>
      </c>
      <c r="DF20" s="116" t="str">
        <f>=ROUND(DD20+CY20,2)</f>
      </c>
      <c r="DG20" s="144" t="str">
        <f>=ROUND(DE20+CZ20,2)</f>
      </c>
      <c r="DJ20" s="149" t="s">
        <v>210</v>
      </c>
      <c r="DK20" s="24"/>
      <c r="DL20" s="117" t="str">
        <f>=IFERROR(ROUND(DK20/FB_Kurs_17,2),0)</f>
      </c>
      <c r="DM20" s="116" t="str">
        <f>=ROUND(DK20+DF20,2)</f>
      </c>
      <c r="DN20" s="144" t="str">
        <f>=ROUND(DL20+DG20,2)</f>
      </c>
      <c r="DQ20" s="149" t="s">
        <v>210</v>
      </c>
      <c r="DR20" s="24"/>
      <c r="DS20" s="117" t="str">
        <f>=IFERROR(ROUND(DR20/FB_Kurs_18,2),0)</f>
      </c>
      <c r="DT20" s="116" t="str">
        <f>=ROUND(DR20+DM20,2)</f>
      </c>
      <c r="DU20" s="144" t="str">
        <f>=ROUND(DS20+DN20,2)</f>
      </c>
    </row>
    <row r="21">
      <c r="B21" s="149" t="s">
        <v>212</v>
      </c>
      <c r="C21" s="24"/>
      <c r="D21" s="117" t="str">
        <f>=IFERROR(ROUND(C21/FB_Kurs_1,2),0)</f>
      </c>
      <c r="E21" s="116" t="str">
        <f>=ROUND(C21,2)</f>
      </c>
      <c r="F21" s="144" t="str">
        <f>=ROUND(D21,2)</f>
      </c>
      <c r="I21" s="149" t="s">
        <v>212</v>
      </c>
      <c r="J21" s="24"/>
      <c r="K21" s="117" t="str">
        <f>=IFERROR(ROUND(J21/FB_Kurs_2,2),0)</f>
      </c>
      <c r="L21" s="116" t="str">
        <f>=ROUND(J21+E21,2)</f>
      </c>
      <c r="M21" s="144" t="str">
        <f>=ROUND(K21+F21,2)</f>
      </c>
      <c r="P21" s="149" t="s">
        <v>212</v>
      </c>
      <c r="Q21" s="24"/>
      <c r="R21" s="117" t="str">
        <f>=IFERROR(ROUND(Q21/FB_Kurs_3,2),0)</f>
      </c>
      <c r="S21" s="116" t="str">
        <f>=ROUND(Q21+L21,2)</f>
      </c>
      <c r="T21" s="144" t="str">
        <f>=ROUND(R21+M21,2)</f>
      </c>
      <c r="W21" s="149" t="s">
        <v>212</v>
      </c>
      <c r="X21" s="24"/>
      <c r="Y21" s="117" t="str">
        <f>=IFERROR(ROUND(X21/FB_Kurs_4,2),0)</f>
      </c>
      <c r="Z21" s="116" t="str">
        <f>=ROUND(X21+S21,2)</f>
      </c>
      <c r="AA21" s="144" t="str">
        <f>=ROUND(Y21+T21,2)</f>
      </c>
      <c r="AD21" s="149" t="s">
        <v>212</v>
      </c>
      <c r="AE21" s="24"/>
      <c r="AF21" s="117" t="str">
        <f>=IFERROR(ROUND(AE21/FB_Kurs_5,2),0)</f>
      </c>
      <c r="AG21" s="116" t="str">
        <f>=ROUND(AE21+Z21,2)</f>
      </c>
      <c r="AH21" s="144" t="str">
        <f>=ROUND(AF21+AA21,2)</f>
      </c>
      <c r="AK21" s="149" t="s">
        <v>212</v>
      </c>
      <c r="AL21" s="24"/>
      <c r="AM21" s="117" t="str">
        <f>=IFERROR(ROUND(AL21/FB_Kurs_6,2),0)</f>
      </c>
      <c r="AN21" s="116" t="str">
        <f>=ROUND(AL21+AG21,2)</f>
      </c>
      <c r="AO21" s="144" t="str">
        <f>=ROUND(AM21+AH21,2)</f>
      </c>
      <c r="AR21" s="149" t="s">
        <v>212</v>
      </c>
      <c r="AS21" s="24"/>
      <c r="AT21" s="117" t="str">
        <f>=IFERROR(ROUND(AS21/FB_Kurs_7,2),0)</f>
      </c>
      <c r="AU21" s="116" t="str">
        <f>=ROUND(AS21+AN21,2)</f>
      </c>
      <c r="AV21" s="144" t="str">
        <f>=ROUND(AT21+AO21,2)</f>
      </c>
      <c r="AY21" s="149" t="s">
        <v>212</v>
      </c>
      <c r="AZ21" s="24"/>
      <c r="BA21" s="117" t="str">
        <f>=IFERROR(ROUND(AZ21/FB_Kurs_8,2),0)</f>
      </c>
      <c r="BB21" s="116" t="str">
        <f>=ROUND(AZ21+AU21,2)</f>
      </c>
      <c r="BC21" s="144" t="str">
        <f>=ROUND(BA21+AV21,2)</f>
      </c>
      <c r="BF21" s="149" t="s">
        <v>212</v>
      </c>
      <c r="BG21" s="24"/>
      <c r="BH21" s="117" t="str">
        <f>=IFERROR(ROUND(BG21/FB_Kurs_9,2),0)</f>
      </c>
      <c r="BI21" s="116" t="str">
        <f>=ROUND(BG21+BB21,2)</f>
      </c>
      <c r="BJ21" s="144" t="str">
        <f>=ROUND(BH21+BC21,2)</f>
      </c>
      <c r="BM21" s="149" t="s">
        <v>212</v>
      </c>
      <c r="BN21" s="24"/>
      <c r="BO21" s="117" t="str">
        <f>=IFERROR(ROUND(BN21/FB_Kurs_10,2),0)</f>
      </c>
      <c r="BP21" s="116" t="str">
        <f>=ROUND(BN21+BI21,2)</f>
      </c>
      <c r="BQ21" s="144" t="str">
        <f>=ROUND(BO21+BJ21,2)</f>
      </c>
      <c r="BT21" s="149" t="s">
        <v>212</v>
      </c>
      <c r="BU21" s="24"/>
      <c r="BV21" s="117" t="str">
        <f>=IFERROR(ROUND(BU21/FB_Kurs_11,2),0)</f>
      </c>
      <c r="BW21" s="116" t="str">
        <f>=ROUND(BU21+BP21,2)</f>
      </c>
      <c r="BX21" s="144" t="str">
        <f>=ROUND(BV21+BQ21,2)</f>
      </c>
      <c r="CA21" s="149" t="s">
        <v>212</v>
      </c>
      <c r="CB21" s="24"/>
      <c r="CC21" s="117" t="str">
        <f>=IFERROR(ROUND(CB21/FB_Kurs_12,2),0)</f>
      </c>
      <c r="CD21" s="116" t="str">
        <f>=ROUND(CB21+BW21,2)</f>
      </c>
      <c r="CE21" s="144" t="str">
        <f>=ROUND(CC21+BX21,2)</f>
      </c>
      <c r="CH21" s="149" t="s">
        <v>212</v>
      </c>
      <c r="CI21" s="24"/>
      <c r="CJ21" s="117" t="str">
        <f>=IFERROR(ROUND(CI21/FB_Kurs_13,2),0)</f>
      </c>
      <c r="CK21" s="116" t="str">
        <f>=ROUND(CI21+CD21,2)</f>
      </c>
      <c r="CL21" s="144" t="str">
        <f>=ROUND(CJ21+CE21,2)</f>
      </c>
      <c r="CO21" s="149" t="s">
        <v>212</v>
      </c>
      <c r="CP21" s="24"/>
      <c r="CQ21" s="117" t="str">
        <f>=IFERROR(ROUND(CP21/FB_Kurs_14,2),0)</f>
      </c>
      <c r="CR21" s="116" t="str">
        <f>=ROUND(CP21+CK21,2)</f>
      </c>
      <c r="CS21" s="144" t="str">
        <f>=ROUND(CQ21+CL21,2)</f>
      </c>
      <c r="CV21" s="149" t="s">
        <v>212</v>
      </c>
      <c r="CW21" s="24"/>
      <c r="CX21" s="117" t="str">
        <f>=IFERROR(ROUND(CW21/FB_Kurs_15,2),0)</f>
      </c>
      <c r="CY21" s="116" t="str">
        <f>=ROUND(CW21+CR21,2)</f>
      </c>
      <c r="CZ21" s="144" t="str">
        <f>=ROUND(CX21+CS21,2)</f>
      </c>
      <c r="DC21" s="149" t="s">
        <v>212</v>
      </c>
      <c r="DD21" s="24"/>
      <c r="DE21" s="117" t="str">
        <f>=IFERROR(ROUND(DD21/FB_Kurs_16,2),0)</f>
      </c>
      <c r="DF21" s="116" t="str">
        <f>=ROUND(DD21+CY21,2)</f>
      </c>
      <c r="DG21" s="144" t="str">
        <f>=ROUND(DE21+CZ21,2)</f>
      </c>
      <c r="DJ21" s="149" t="s">
        <v>212</v>
      </c>
      <c r="DK21" s="24"/>
      <c r="DL21" s="117" t="str">
        <f>=IFERROR(ROUND(DK21/FB_Kurs_17,2),0)</f>
      </c>
      <c r="DM21" s="116" t="str">
        <f>=ROUND(DK21+DF21,2)</f>
      </c>
      <c r="DN21" s="144" t="str">
        <f>=ROUND(DL21+DG21,2)</f>
      </c>
      <c r="DQ21" s="149" t="s">
        <v>212</v>
      </c>
      <c r="DR21" s="24"/>
      <c r="DS21" s="117" t="str">
        <f>=IFERROR(ROUND(DR21/FB_Kurs_18,2),0)</f>
      </c>
      <c r="DT21" s="116" t="str">
        <f>=ROUND(DR21+DM21,2)</f>
      </c>
      <c r="DU21" s="144" t="str">
        <f>=ROUND(DS21+DN21,2)</f>
      </c>
    </row>
    <row r="22">
      <c r="B22" s="149" t="s">
        <v>214</v>
      </c>
      <c r="C22" s="24"/>
      <c r="D22" s="117" t="str">
        <f>=IFERROR(ROUND(C22/FB_Kurs_1,2),0)</f>
      </c>
      <c r="E22" s="116" t="str">
        <f>=ROUND(C22,2)</f>
      </c>
      <c r="F22" s="144" t="str">
        <f>=ROUND(D22,2)</f>
      </c>
      <c r="I22" s="149" t="s">
        <v>214</v>
      </c>
      <c r="J22" s="24"/>
      <c r="K22" s="117" t="str">
        <f>=IFERROR(ROUND(J22/FB_Kurs_2,2),0)</f>
      </c>
      <c r="L22" s="116" t="str">
        <f>=ROUND(J22+E22,2)</f>
      </c>
      <c r="M22" s="144" t="str">
        <f>=ROUND(K22+F22,2)</f>
      </c>
      <c r="P22" s="149" t="s">
        <v>214</v>
      </c>
      <c r="Q22" s="24"/>
      <c r="R22" s="117" t="str">
        <f>=IFERROR(ROUND(Q22/FB_Kurs_3,2),0)</f>
      </c>
      <c r="S22" s="116" t="str">
        <f>=ROUND(Q22+L22,2)</f>
      </c>
      <c r="T22" s="144" t="str">
        <f>=ROUND(R22+M22,2)</f>
      </c>
      <c r="W22" s="149" t="s">
        <v>214</v>
      </c>
      <c r="X22" s="24"/>
      <c r="Y22" s="117" t="str">
        <f>=IFERROR(ROUND(X22/FB_Kurs_4,2),0)</f>
      </c>
      <c r="Z22" s="116" t="str">
        <f>=ROUND(X22+S22,2)</f>
      </c>
      <c r="AA22" s="144" t="str">
        <f>=ROUND(Y22+T22,2)</f>
      </c>
      <c r="AD22" s="149" t="s">
        <v>214</v>
      </c>
      <c r="AE22" s="24"/>
      <c r="AF22" s="117" t="str">
        <f>=IFERROR(ROUND(AE22/FB_Kurs_5,2),0)</f>
      </c>
      <c r="AG22" s="116" t="str">
        <f>=ROUND(AE22+Z22,2)</f>
      </c>
      <c r="AH22" s="144" t="str">
        <f>=ROUND(AF22+AA22,2)</f>
      </c>
      <c r="AK22" s="149" t="s">
        <v>214</v>
      </c>
      <c r="AL22" s="24"/>
      <c r="AM22" s="117" t="str">
        <f>=IFERROR(ROUND(AL22/FB_Kurs_6,2),0)</f>
      </c>
      <c r="AN22" s="116" t="str">
        <f>=ROUND(AL22+AG22,2)</f>
      </c>
      <c r="AO22" s="144" t="str">
        <f>=ROUND(AM22+AH22,2)</f>
      </c>
      <c r="AR22" s="149" t="s">
        <v>214</v>
      </c>
      <c r="AS22" s="24"/>
      <c r="AT22" s="117" t="str">
        <f>=IFERROR(ROUND(AS22/FB_Kurs_7,2),0)</f>
      </c>
      <c r="AU22" s="116" t="str">
        <f>=ROUND(AS22+AN22,2)</f>
      </c>
      <c r="AV22" s="144" t="str">
        <f>=ROUND(AT22+AO22,2)</f>
      </c>
      <c r="AY22" s="149" t="s">
        <v>214</v>
      </c>
      <c r="AZ22" s="24"/>
      <c r="BA22" s="117" t="str">
        <f>=IFERROR(ROUND(AZ22/FB_Kurs_8,2),0)</f>
      </c>
      <c r="BB22" s="116" t="str">
        <f>=ROUND(AZ22+AU22,2)</f>
      </c>
      <c r="BC22" s="144" t="str">
        <f>=ROUND(BA22+AV22,2)</f>
      </c>
      <c r="BF22" s="149" t="s">
        <v>214</v>
      </c>
      <c r="BG22" s="24"/>
      <c r="BH22" s="117" t="str">
        <f>=IFERROR(ROUND(BG22/FB_Kurs_9,2),0)</f>
      </c>
      <c r="BI22" s="116" t="str">
        <f>=ROUND(BG22+BB22,2)</f>
      </c>
      <c r="BJ22" s="144" t="str">
        <f>=ROUND(BH22+BC22,2)</f>
      </c>
      <c r="BM22" s="149" t="s">
        <v>214</v>
      </c>
      <c r="BN22" s="24"/>
      <c r="BO22" s="117" t="str">
        <f>=IFERROR(ROUND(BN22/FB_Kurs_10,2),0)</f>
      </c>
      <c r="BP22" s="116" t="str">
        <f>=ROUND(BN22+BI22,2)</f>
      </c>
      <c r="BQ22" s="144" t="str">
        <f>=ROUND(BO22+BJ22,2)</f>
      </c>
      <c r="BT22" s="149" t="s">
        <v>214</v>
      </c>
      <c r="BU22" s="24"/>
      <c r="BV22" s="117" t="str">
        <f>=IFERROR(ROUND(BU22/FB_Kurs_11,2),0)</f>
      </c>
      <c r="BW22" s="116" t="str">
        <f>=ROUND(BU22+BP22,2)</f>
      </c>
      <c r="BX22" s="144" t="str">
        <f>=ROUND(BV22+BQ22,2)</f>
      </c>
      <c r="CA22" s="149" t="s">
        <v>214</v>
      </c>
      <c r="CB22" s="24"/>
      <c r="CC22" s="117" t="str">
        <f>=IFERROR(ROUND(CB22/FB_Kurs_12,2),0)</f>
      </c>
      <c r="CD22" s="116" t="str">
        <f>=ROUND(CB22+BW22,2)</f>
      </c>
      <c r="CE22" s="144" t="str">
        <f>=ROUND(CC22+BX22,2)</f>
      </c>
      <c r="CH22" s="149" t="s">
        <v>214</v>
      </c>
      <c r="CI22" s="24"/>
      <c r="CJ22" s="117" t="str">
        <f>=IFERROR(ROUND(CI22/FB_Kurs_13,2),0)</f>
      </c>
      <c r="CK22" s="116" t="str">
        <f>=ROUND(CI22+CD22,2)</f>
      </c>
      <c r="CL22" s="144" t="str">
        <f>=ROUND(CJ22+CE22,2)</f>
      </c>
      <c r="CO22" s="149" t="s">
        <v>214</v>
      </c>
      <c r="CP22" s="24"/>
      <c r="CQ22" s="117" t="str">
        <f>=IFERROR(ROUND(CP22/FB_Kurs_14,2),0)</f>
      </c>
      <c r="CR22" s="116" t="str">
        <f>=ROUND(CP22+CK22,2)</f>
      </c>
      <c r="CS22" s="144" t="str">
        <f>=ROUND(CQ22+CL22,2)</f>
      </c>
      <c r="CV22" s="149" t="s">
        <v>214</v>
      </c>
      <c r="CW22" s="24"/>
      <c r="CX22" s="117" t="str">
        <f>=IFERROR(ROUND(CW22/FB_Kurs_15,2),0)</f>
      </c>
      <c r="CY22" s="116" t="str">
        <f>=ROUND(CW22+CR22,2)</f>
      </c>
      <c r="CZ22" s="144" t="str">
        <f>=ROUND(CX22+CS22,2)</f>
      </c>
      <c r="DC22" s="149" t="s">
        <v>214</v>
      </c>
      <c r="DD22" s="24"/>
      <c r="DE22" s="117" t="str">
        <f>=IFERROR(ROUND(DD22/FB_Kurs_16,2),0)</f>
      </c>
      <c r="DF22" s="116" t="str">
        <f>=ROUND(DD22+CY22,2)</f>
      </c>
      <c r="DG22" s="144" t="str">
        <f>=ROUND(DE22+CZ22,2)</f>
      </c>
      <c r="DJ22" s="149" t="s">
        <v>214</v>
      </c>
      <c r="DK22" s="24"/>
      <c r="DL22" s="117" t="str">
        <f>=IFERROR(ROUND(DK22/FB_Kurs_17,2),0)</f>
      </c>
      <c r="DM22" s="116" t="str">
        <f>=ROUND(DK22+DF22,2)</f>
      </c>
      <c r="DN22" s="144" t="str">
        <f>=ROUND(DL22+DG22,2)</f>
      </c>
      <c r="DQ22" s="149" t="s">
        <v>214</v>
      </c>
      <c r="DR22" s="24"/>
      <c r="DS22" s="117" t="str">
        <f>=IFERROR(ROUND(DR22/FB_Kurs_18,2),0)</f>
      </c>
      <c r="DT22" s="116" t="str">
        <f>=ROUND(DR22+DM22,2)</f>
      </c>
      <c r="DU22" s="144" t="str">
        <f>=ROUND(DS22+DN22,2)</f>
      </c>
    </row>
    <row r="23">
      <c r="B23" s="149" t="s">
        <v>216</v>
      </c>
      <c r="C23" s="24"/>
      <c r="D23" s="117" t="str">
        <f>=IFERROR(ROUND(C23/FB_Kurs_1,2),0)</f>
      </c>
      <c r="E23" s="116" t="str">
        <f>=ROUND(C23,2)</f>
      </c>
      <c r="F23" s="144" t="str">
        <f>=ROUND(D23,2)</f>
      </c>
      <c r="I23" s="149" t="s">
        <v>216</v>
      </c>
      <c r="J23" s="24"/>
      <c r="K23" s="117" t="str">
        <f>=IFERROR(ROUND(J23/FB_Kurs_2,2),0)</f>
      </c>
      <c r="L23" s="116" t="str">
        <f>=ROUND(J23+E23,2)</f>
      </c>
      <c r="M23" s="144" t="str">
        <f>=ROUND(K23+F23,2)</f>
      </c>
      <c r="P23" s="149" t="s">
        <v>216</v>
      </c>
      <c r="Q23" s="24"/>
      <c r="R23" s="117" t="str">
        <f>=IFERROR(ROUND(Q23/FB_Kurs_3,2),0)</f>
      </c>
      <c r="S23" s="116" t="str">
        <f>=ROUND(Q23+L23,2)</f>
      </c>
      <c r="T23" s="144" t="str">
        <f>=ROUND(R23+M23,2)</f>
      </c>
      <c r="W23" s="149" t="s">
        <v>216</v>
      </c>
      <c r="X23" s="24"/>
      <c r="Y23" s="117" t="str">
        <f>=IFERROR(ROUND(X23/FB_Kurs_4,2),0)</f>
      </c>
      <c r="Z23" s="116" t="str">
        <f>=ROUND(X23+S23,2)</f>
      </c>
      <c r="AA23" s="144" t="str">
        <f>=ROUND(Y23+T23,2)</f>
      </c>
      <c r="AD23" s="149" t="s">
        <v>216</v>
      </c>
      <c r="AE23" s="24"/>
      <c r="AF23" s="117" t="str">
        <f>=IFERROR(ROUND(AE23/FB_Kurs_5,2),0)</f>
      </c>
      <c r="AG23" s="116" t="str">
        <f>=ROUND(AE23+Z23,2)</f>
      </c>
      <c r="AH23" s="144" t="str">
        <f>=ROUND(AF23+AA23,2)</f>
      </c>
      <c r="AK23" s="149" t="s">
        <v>216</v>
      </c>
      <c r="AL23" s="24"/>
      <c r="AM23" s="117" t="str">
        <f>=IFERROR(ROUND(AL23/FB_Kurs_6,2),0)</f>
      </c>
      <c r="AN23" s="116" t="str">
        <f>=ROUND(AL23+AG23,2)</f>
      </c>
      <c r="AO23" s="144" t="str">
        <f>=ROUND(AM23+AH23,2)</f>
      </c>
      <c r="AR23" s="149" t="s">
        <v>216</v>
      </c>
      <c r="AS23" s="24"/>
      <c r="AT23" s="117" t="str">
        <f>=IFERROR(ROUND(AS23/FB_Kurs_7,2),0)</f>
      </c>
      <c r="AU23" s="116" t="str">
        <f>=ROUND(AS23+AN23,2)</f>
      </c>
      <c r="AV23" s="144" t="str">
        <f>=ROUND(AT23+AO23,2)</f>
      </c>
      <c r="AY23" s="149" t="s">
        <v>216</v>
      </c>
      <c r="AZ23" s="24"/>
      <c r="BA23" s="117" t="str">
        <f>=IFERROR(ROUND(AZ23/FB_Kurs_8,2),0)</f>
      </c>
      <c r="BB23" s="116" t="str">
        <f>=ROUND(AZ23+AU23,2)</f>
      </c>
      <c r="BC23" s="144" t="str">
        <f>=ROUND(BA23+AV23,2)</f>
      </c>
      <c r="BF23" s="149" t="s">
        <v>216</v>
      </c>
      <c r="BG23" s="24"/>
      <c r="BH23" s="117" t="str">
        <f>=IFERROR(ROUND(BG23/FB_Kurs_9,2),0)</f>
      </c>
      <c r="BI23" s="116" t="str">
        <f>=ROUND(BG23+BB23,2)</f>
      </c>
      <c r="BJ23" s="144" t="str">
        <f>=ROUND(BH23+BC23,2)</f>
      </c>
      <c r="BM23" s="149" t="s">
        <v>216</v>
      </c>
      <c r="BN23" s="24"/>
      <c r="BO23" s="117" t="str">
        <f>=IFERROR(ROUND(BN23/FB_Kurs_10,2),0)</f>
      </c>
      <c r="BP23" s="116" t="str">
        <f>=ROUND(BN23+BI23,2)</f>
      </c>
      <c r="BQ23" s="144" t="str">
        <f>=ROUND(BO23+BJ23,2)</f>
      </c>
      <c r="BT23" s="149" t="s">
        <v>216</v>
      </c>
      <c r="BU23" s="24"/>
      <c r="BV23" s="117" t="str">
        <f>=IFERROR(ROUND(BU23/FB_Kurs_11,2),0)</f>
      </c>
      <c r="BW23" s="116" t="str">
        <f>=ROUND(BU23+BP23,2)</f>
      </c>
      <c r="BX23" s="144" t="str">
        <f>=ROUND(BV23+BQ23,2)</f>
      </c>
      <c r="CA23" s="149" t="s">
        <v>216</v>
      </c>
      <c r="CB23" s="24"/>
      <c r="CC23" s="117" t="str">
        <f>=IFERROR(ROUND(CB23/FB_Kurs_12,2),0)</f>
      </c>
      <c r="CD23" s="116" t="str">
        <f>=ROUND(CB23+BW23,2)</f>
      </c>
      <c r="CE23" s="144" t="str">
        <f>=ROUND(CC23+BX23,2)</f>
      </c>
      <c r="CH23" s="149" t="s">
        <v>216</v>
      </c>
      <c r="CI23" s="24"/>
      <c r="CJ23" s="117" t="str">
        <f>=IFERROR(ROUND(CI23/FB_Kurs_13,2),0)</f>
      </c>
      <c r="CK23" s="116" t="str">
        <f>=ROUND(CI23+CD23,2)</f>
      </c>
      <c r="CL23" s="144" t="str">
        <f>=ROUND(CJ23+CE23,2)</f>
      </c>
      <c r="CO23" s="149" t="s">
        <v>216</v>
      </c>
      <c r="CP23" s="24"/>
      <c r="CQ23" s="117" t="str">
        <f>=IFERROR(ROUND(CP23/FB_Kurs_14,2),0)</f>
      </c>
      <c r="CR23" s="116" t="str">
        <f>=ROUND(CP23+CK23,2)</f>
      </c>
      <c r="CS23" s="144" t="str">
        <f>=ROUND(CQ23+CL23,2)</f>
      </c>
      <c r="CV23" s="149" t="s">
        <v>216</v>
      </c>
      <c r="CW23" s="24"/>
      <c r="CX23" s="117" t="str">
        <f>=IFERROR(ROUND(CW23/FB_Kurs_15,2),0)</f>
      </c>
      <c r="CY23" s="116" t="str">
        <f>=ROUND(CW23+CR23,2)</f>
      </c>
      <c r="CZ23" s="144" t="str">
        <f>=ROUND(CX23+CS23,2)</f>
      </c>
      <c r="DC23" s="149" t="s">
        <v>216</v>
      </c>
      <c r="DD23" s="24"/>
      <c r="DE23" s="117" t="str">
        <f>=IFERROR(ROUND(DD23/FB_Kurs_16,2),0)</f>
      </c>
      <c r="DF23" s="116" t="str">
        <f>=ROUND(DD23+CY23,2)</f>
      </c>
      <c r="DG23" s="144" t="str">
        <f>=ROUND(DE23+CZ23,2)</f>
      </c>
      <c r="DJ23" s="149" t="s">
        <v>216</v>
      </c>
      <c r="DK23" s="24"/>
      <c r="DL23" s="117" t="str">
        <f>=IFERROR(ROUND(DK23/FB_Kurs_17,2),0)</f>
      </c>
      <c r="DM23" s="116" t="str">
        <f>=ROUND(DK23+DF23,2)</f>
      </c>
      <c r="DN23" s="144" t="str">
        <f>=ROUND(DL23+DG23,2)</f>
      </c>
      <c r="DQ23" s="149" t="s">
        <v>216</v>
      </c>
      <c r="DR23" s="24"/>
      <c r="DS23" s="117" t="str">
        <f>=IFERROR(ROUND(DR23/FB_Kurs_18,2),0)</f>
      </c>
      <c r="DT23" s="116" t="str">
        <f>=ROUND(DR23+DM23,2)</f>
      </c>
      <c r="DU23" s="144" t="str">
        <f>=ROUND(DS23+DN23,2)</f>
      </c>
    </row>
    <row r="24">
      <c r="B24" s="149" t="s">
        <v>218</v>
      </c>
      <c r="C24" s="24"/>
      <c r="D24" s="117" t="str">
        <f>=IFERROR(ROUND(C24/FB_Kurs_1,2),0)</f>
      </c>
      <c r="E24" s="116" t="str">
        <f>=ROUND(C24,2)</f>
      </c>
      <c r="F24" s="144" t="str">
        <f>=ROUND(D24,2)</f>
      </c>
      <c r="I24" s="149" t="s">
        <v>218</v>
      </c>
      <c r="J24" s="24"/>
      <c r="K24" s="117" t="str">
        <f>=IFERROR(ROUND(J24/FB_Kurs_2,2),0)</f>
      </c>
      <c r="L24" s="116" t="str">
        <f>=ROUND(J24+E24,2)</f>
      </c>
      <c r="M24" s="144" t="str">
        <f>=ROUND(K24+F24,2)</f>
      </c>
      <c r="P24" s="149" t="s">
        <v>218</v>
      </c>
      <c r="Q24" s="24"/>
      <c r="R24" s="117" t="str">
        <f>=IFERROR(ROUND(Q24/FB_Kurs_3,2),0)</f>
      </c>
      <c r="S24" s="116" t="str">
        <f>=ROUND(Q24+L24,2)</f>
      </c>
      <c r="T24" s="144" t="str">
        <f>=ROUND(R24+M24,2)</f>
      </c>
      <c r="W24" s="149" t="s">
        <v>218</v>
      </c>
      <c r="X24" s="24"/>
      <c r="Y24" s="117" t="str">
        <f>=IFERROR(ROUND(X24/FB_Kurs_4,2),0)</f>
      </c>
      <c r="Z24" s="116" t="str">
        <f>=ROUND(X24+S24,2)</f>
      </c>
      <c r="AA24" s="144" t="str">
        <f>=ROUND(Y24+T24,2)</f>
      </c>
      <c r="AD24" s="149" t="s">
        <v>218</v>
      </c>
      <c r="AE24" s="24"/>
      <c r="AF24" s="117" t="str">
        <f>=IFERROR(ROUND(AE24/FB_Kurs_5,2),0)</f>
      </c>
      <c r="AG24" s="116" t="str">
        <f>=ROUND(AE24+Z24,2)</f>
      </c>
      <c r="AH24" s="144" t="str">
        <f>=ROUND(AF24+AA24,2)</f>
      </c>
      <c r="AK24" s="149" t="s">
        <v>218</v>
      </c>
      <c r="AL24" s="24"/>
      <c r="AM24" s="117" t="str">
        <f>=IFERROR(ROUND(AL24/FB_Kurs_6,2),0)</f>
      </c>
      <c r="AN24" s="116" t="str">
        <f>=ROUND(AL24+AG24,2)</f>
      </c>
      <c r="AO24" s="144" t="str">
        <f>=ROUND(AM24+AH24,2)</f>
      </c>
      <c r="AR24" s="149" t="s">
        <v>218</v>
      </c>
      <c r="AS24" s="24"/>
      <c r="AT24" s="117" t="str">
        <f>=IFERROR(ROUND(AS24/FB_Kurs_7,2),0)</f>
      </c>
      <c r="AU24" s="116" t="str">
        <f>=ROUND(AS24+AN24,2)</f>
      </c>
      <c r="AV24" s="144" t="str">
        <f>=ROUND(AT24+AO24,2)</f>
      </c>
      <c r="AY24" s="149" t="s">
        <v>218</v>
      </c>
      <c r="AZ24" s="24"/>
      <c r="BA24" s="117" t="str">
        <f>=IFERROR(ROUND(AZ24/FB_Kurs_8,2),0)</f>
      </c>
      <c r="BB24" s="116" t="str">
        <f>=ROUND(AZ24+AU24,2)</f>
      </c>
      <c r="BC24" s="144" t="str">
        <f>=ROUND(BA24+AV24,2)</f>
      </c>
      <c r="BF24" s="149" t="s">
        <v>218</v>
      </c>
      <c r="BG24" s="24"/>
      <c r="BH24" s="117" t="str">
        <f>=IFERROR(ROUND(BG24/FB_Kurs_9,2),0)</f>
      </c>
      <c r="BI24" s="116" t="str">
        <f>=ROUND(BG24+BB24,2)</f>
      </c>
      <c r="BJ24" s="144" t="str">
        <f>=ROUND(BH24+BC24,2)</f>
      </c>
      <c r="BM24" s="149" t="s">
        <v>218</v>
      </c>
      <c r="BN24" s="24"/>
      <c r="BO24" s="117" t="str">
        <f>=IFERROR(ROUND(BN24/FB_Kurs_10,2),0)</f>
      </c>
      <c r="BP24" s="116" t="str">
        <f>=ROUND(BN24+BI24,2)</f>
      </c>
      <c r="BQ24" s="144" t="str">
        <f>=ROUND(BO24+BJ24,2)</f>
      </c>
      <c r="BT24" s="149" t="s">
        <v>218</v>
      </c>
      <c r="BU24" s="24"/>
      <c r="BV24" s="117" t="str">
        <f>=IFERROR(ROUND(BU24/FB_Kurs_11,2),0)</f>
      </c>
      <c r="BW24" s="116" t="str">
        <f>=ROUND(BU24+BP24,2)</f>
      </c>
      <c r="BX24" s="144" t="str">
        <f>=ROUND(BV24+BQ24,2)</f>
      </c>
      <c r="CA24" s="149" t="s">
        <v>218</v>
      </c>
      <c r="CB24" s="24"/>
      <c r="CC24" s="117" t="str">
        <f>=IFERROR(ROUND(CB24/FB_Kurs_12,2),0)</f>
      </c>
      <c r="CD24" s="116" t="str">
        <f>=ROUND(CB24+BW24,2)</f>
      </c>
      <c r="CE24" s="144" t="str">
        <f>=ROUND(CC24+BX24,2)</f>
      </c>
      <c r="CH24" s="149" t="s">
        <v>218</v>
      </c>
      <c r="CI24" s="24"/>
      <c r="CJ24" s="117" t="str">
        <f>=IFERROR(ROUND(CI24/FB_Kurs_13,2),0)</f>
      </c>
      <c r="CK24" s="116" t="str">
        <f>=ROUND(CI24+CD24,2)</f>
      </c>
      <c r="CL24" s="144" t="str">
        <f>=ROUND(CJ24+CE24,2)</f>
      </c>
      <c r="CO24" s="149" t="s">
        <v>218</v>
      </c>
      <c r="CP24" s="24"/>
      <c r="CQ24" s="117" t="str">
        <f>=IFERROR(ROUND(CP24/FB_Kurs_14,2),0)</f>
      </c>
      <c r="CR24" s="116" t="str">
        <f>=ROUND(CP24+CK24,2)</f>
      </c>
      <c r="CS24" s="144" t="str">
        <f>=ROUND(CQ24+CL24,2)</f>
      </c>
      <c r="CV24" s="149" t="s">
        <v>218</v>
      </c>
      <c r="CW24" s="24"/>
      <c r="CX24" s="117" t="str">
        <f>=IFERROR(ROUND(CW24/FB_Kurs_15,2),0)</f>
      </c>
      <c r="CY24" s="116" t="str">
        <f>=ROUND(CW24+CR24,2)</f>
      </c>
      <c r="CZ24" s="144" t="str">
        <f>=ROUND(CX24+CS24,2)</f>
      </c>
      <c r="DC24" s="149" t="s">
        <v>218</v>
      </c>
      <c r="DD24" s="24"/>
      <c r="DE24" s="117" t="str">
        <f>=IFERROR(ROUND(DD24/FB_Kurs_16,2),0)</f>
      </c>
      <c r="DF24" s="116" t="str">
        <f>=ROUND(DD24+CY24,2)</f>
      </c>
      <c r="DG24" s="144" t="str">
        <f>=ROUND(DE24+CZ24,2)</f>
      </c>
      <c r="DJ24" s="149" t="s">
        <v>218</v>
      </c>
      <c r="DK24" s="24"/>
      <c r="DL24" s="117" t="str">
        <f>=IFERROR(ROUND(DK24/FB_Kurs_17,2),0)</f>
      </c>
      <c r="DM24" s="116" t="str">
        <f>=ROUND(DK24+DF24,2)</f>
      </c>
      <c r="DN24" s="144" t="str">
        <f>=ROUND(DL24+DG24,2)</f>
      </c>
      <c r="DQ24" s="149" t="s">
        <v>218</v>
      </c>
      <c r="DR24" s="24"/>
      <c r="DS24" s="117" t="str">
        <f>=IFERROR(ROUND(DR24/FB_Kurs_18,2),0)</f>
      </c>
      <c r="DT24" s="116" t="str">
        <f>=ROUND(DR24+DM24,2)</f>
      </c>
      <c r="DU24" s="144" t="str">
        <f>=ROUND(DS24+DN24,2)</f>
      </c>
    </row>
    <row r="25">
      <c r="B25" s="149" t="s">
        <v>220</v>
      </c>
      <c r="C25" s="24"/>
      <c r="D25" s="117" t="str">
        <f>=IFERROR(ROUND(C25/FB_Kurs_1,2),0)</f>
      </c>
      <c r="E25" s="116" t="str">
        <f>=ROUND(C25,2)</f>
      </c>
      <c r="F25" s="144" t="str">
        <f>=ROUND(D25,2)</f>
      </c>
      <c r="I25" s="149" t="s">
        <v>220</v>
      </c>
      <c r="J25" s="24"/>
      <c r="K25" s="117" t="str">
        <f>=IFERROR(ROUND(J25/FB_Kurs_2,2),0)</f>
      </c>
      <c r="L25" s="116" t="str">
        <f>=ROUND(J25+E25,2)</f>
      </c>
      <c r="M25" s="144" t="str">
        <f>=ROUND(K25+F25,2)</f>
      </c>
      <c r="P25" s="149" t="s">
        <v>220</v>
      </c>
      <c r="Q25" s="24"/>
      <c r="R25" s="117" t="str">
        <f>=IFERROR(ROUND(Q25/FB_Kurs_3,2),0)</f>
      </c>
      <c r="S25" s="116" t="str">
        <f>=ROUND(Q25+L25,2)</f>
      </c>
      <c r="T25" s="144" t="str">
        <f>=ROUND(R25+M25,2)</f>
      </c>
      <c r="W25" s="149" t="s">
        <v>220</v>
      </c>
      <c r="X25" s="24"/>
      <c r="Y25" s="117" t="str">
        <f>=IFERROR(ROUND(X25/FB_Kurs_4,2),0)</f>
      </c>
      <c r="Z25" s="116" t="str">
        <f>=ROUND(X25+S25,2)</f>
      </c>
      <c r="AA25" s="144" t="str">
        <f>=ROUND(Y25+T25,2)</f>
      </c>
      <c r="AD25" s="149" t="s">
        <v>220</v>
      </c>
      <c r="AE25" s="24"/>
      <c r="AF25" s="117" t="str">
        <f>=IFERROR(ROUND(AE25/FB_Kurs_5,2),0)</f>
      </c>
      <c r="AG25" s="116" t="str">
        <f>=ROUND(AE25+Z25,2)</f>
      </c>
      <c r="AH25" s="144" t="str">
        <f>=ROUND(AF25+AA25,2)</f>
      </c>
      <c r="AK25" s="149" t="s">
        <v>220</v>
      </c>
      <c r="AL25" s="24"/>
      <c r="AM25" s="117" t="str">
        <f>=IFERROR(ROUND(AL25/FB_Kurs_6,2),0)</f>
      </c>
      <c r="AN25" s="116" t="str">
        <f>=ROUND(AL25+AG25,2)</f>
      </c>
      <c r="AO25" s="144" t="str">
        <f>=ROUND(AM25+AH25,2)</f>
      </c>
      <c r="AR25" s="149" t="s">
        <v>220</v>
      </c>
      <c r="AS25" s="24"/>
      <c r="AT25" s="117" t="str">
        <f>=IFERROR(ROUND(AS25/FB_Kurs_7,2),0)</f>
      </c>
      <c r="AU25" s="116" t="str">
        <f>=ROUND(AS25+AN25,2)</f>
      </c>
      <c r="AV25" s="144" t="str">
        <f>=ROUND(AT25+AO25,2)</f>
      </c>
      <c r="AY25" s="149" t="s">
        <v>220</v>
      </c>
      <c r="AZ25" s="24"/>
      <c r="BA25" s="117" t="str">
        <f>=IFERROR(ROUND(AZ25/FB_Kurs_8,2),0)</f>
      </c>
      <c r="BB25" s="116" t="str">
        <f>=ROUND(AZ25+AU25,2)</f>
      </c>
      <c r="BC25" s="144" t="str">
        <f>=ROUND(BA25+AV25,2)</f>
      </c>
      <c r="BF25" s="149" t="s">
        <v>220</v>
      </c>
      <c r="BG25" s="24"/>
      <c r="BH25" s="117" t="str">
        <f>=IFERROR(ROUND(BG25/FB_Kurs_9,2),0)</f>
      </c>
      <c r="BI25" s="116" t="str">
        <f>=ROUND(BG25+BB25,2)</f>
      </c>
      <c r="BJ25" s="144" t="str">
        <f>=ROUND(BH25+BC25,2)</f>
      </c>
      <c r="BM25" s="149" t="s">
        <v>220</v>
      </c>
      <c r="BN25" s="24"/>
      <c r="BO25" s="117" t="str">
        <f>=IFERROR(ROUND(BN25/FB_Kurs_10,2),0)</f>
      </c>
      <c r="BP25" s="116" t="str">
        <f>=ROUND(BN25+BI25,2)</f>
      </c>
      <c r="BQ25" s="144" t="str">
        <f>=ROUND(BO25+BJ25,2)</f>
      </c>
      <c r="BT25" s="149" t="s">
        <v>220</v>
      </c>
      <c r="BU25" s="24"/>
      <c r="BV25" s="117" t="str">
        <f>=IFERROR(ROUND(BU25/FB_Kurs_11,2),0)</f>
      </c>
      <c r="BW25" s="116" t="str">
        <f>=ROUND(BU25+BP25,2)</f>
      </c>
      <c r="BX25" s="144" t="str">
        <f>=ROUND(BV25+BQ25,2)</f>
      </c>
      <c r="CA25" s="149" t="s">
        <v>220</v>
      </c>
      <c r="CB25" s="24"/>
      <c r="CC25" s="117" t="str">
        <f>=IFERROR(ROUND(CB25/FB_Kurs_12,2),0)</f>
      </c>
      <c r="CD25" s="116" t="str">
        <f>=ROUND(CB25+BW25,2)</f>
      </c>
      <c r="CE25" s="144" t="str">
        <f>=ROUND(CC25+BX25,2)</f>
      </c>
      <c r="CH25" s="149" t="s">
        <v>220</v>
      </c>
      <c r="CI25" s="24"/>
      <c r="CJ25" s="117" t="str">
        <f>=IFERROR(ROUND(CI25/FB_Kurs_13,2),0)</f>
      </c>
      <c r="CK25" s="116" t="str">
        <f>=ROUND(CI25+CD25,2)</f>
      </c>
      <c r="CL25" s="144" t="str">
        <f>=ROUND(CJ25+CE25,2)</f>
      </c>
      <c r="CO25" s="149" t="s">
        <v>220</v>
      </c>
      <c r="CP25" s="24"/>
      <c r="CQ25" s="117" t="str">
        <f>=IFERROR(ROUND(CP25/FB_Kurs_14,2),0)</f>
      </c>
      <c r="CR25" s="116" t="str">
        <f>=ROUND(CP25+CK25,2)</f>
      </c>
      <c r="CS25" s="144" t="str">
        <f>=ROUND(CQ25+CL25,2)</f>
      </c>
      <c r="CV25" s="149" t="s">
        <v>220</v>
      </c>
      <c r="CW25" s="24"/>
      <c r="CX25" s="117" t="str">
        <f>=IFERROR(ROUND(CW25/FB_Kurs_15,2),0)</f>
      </c>
      <c r="CY25" s="116" t="str">
        <f>=ROUND(CW25+CR25,2)</f>
      </c>
      <c r="CZ25" s="144" t="str">
        <f>=ROUND(CX25+CS25,2)</f>
      </c>
      <c r="DC25" s="149" t="s">
        <v>220</v>
      </c>
      <c r="DD25" s="24"/>
      <c r="DE25" s="117" t="str">
        <f>=IFERROR(ROUND(DD25/FB_Kurs_16,2),0)</f>
      </c>
      <c r="DF25" s="116" t="str">
        <f>=ROUND(DD25+CY25,2)</f>
      </c>
      <c r="DG25" s="144" t="str">
        <f>=ROUND(DE25+CZ25,2)</f>
      </c>
      <c r="DJ25" s="149" t="s">
        <v>220</v>
      </c>
      <c r="DK25" s="24"/>
      <c r="DL25" s="117" t="str">
        <f>=IFERROR(ROUND(DK25/FB_Kurs_17,2),0)</f>
      </c>
      <c r="DM25" s="116" t="str">
        <f>=ROUND(DK25+DF25,2)</f>
      </c>
      <c r="DN25" s="144" t="str">
        <f>=ROUND(DL25+DG25,2)</f>
      </c>
      <c r="DQ25" s="149" t="s">
        <v>220</v>
      </c>
      <c r="DR25" s="24"/>
      <c r="DS25" s="117" t="str">
        <f>=IFERROR(ROUND(DR25/FB_Kurs_18,2),0)</f>
      </c>
      <c r="DT25" s="116" t="str">
        <f>=ROUND(DR25+DM25,2)</f>
      </c>
      <c r="DU25" s="144" t="str">
        <f>=ROUND(DS25+DN25,2)</f>
      </c>
    </row>
    <row r="26">
      <c r="B26" s="149" t="s">
        <v>222</v>
      </c>
      <c r="C26" s="24"/>
      <c r="D26" s="117" t="str">
        <f>=IFERROR(ROUND(C26/FB_Kurs_1,2),0)</f>
      </c>
      <c r="E26" s="116" t="str">
        <f>=ROUND(C26,2)</f>
      </c>
      <c r="F26" s="144" t="str">
        <f>=ROUND(D26,2)</f>
      </c>
      <c r="I26" s="149" t="s">
        <v>222</v>
      </c>
      <c r="J26" s="24"/>
      <c r="K26" s="117" t="str">
        <f>=IFERROR(ROUND(J26/FB_Kurs_2,2),0)</f>
      </c>
      <c r="L26" s="116" t="str">
        <f>=ROUND(J26+E26,2)</f>
      </c>
      <c r="M26" s="144" t="str">
        <f>=ROUND(K26+F26,2)</f>
      </c>
      <c r="P26" s="149" t="s">
        <v>222</v>
      </c>
      <c r="Q26" s="24"/>
      <c r="R26" s="117" t="str">
        <f>=IFERROR(ROUND(Q26/FB_Kurs_3,2),0)</f>
      </c>
      <c r="S26" s="116" t="str">
        <f>=ROUND(Q26+L26,2)</f>
      </c>
      <c r="T26" s="144" t="str">
        <f>=ROUND(R26+M26,2)</f>
      </c>
      <c r="W26" s="149" t="s">
        <v>222</v>
      </c>
      <c r="X26" s="24"/>
      <c r="Y26" s="117" t="str">
        <f>=IFERROR(ROUND(X26/FB_Kurs_4,2),0)</f>
      </c>
      <c r="Z26" s="116" t="str">
        <f>=ROUND(X26+S26,2)</f>
      </c>
      <c r="AA26" s="144" t="str">
        <f>=ROUND(Y26+T26,2)</f>
      </c>
      <c r="AD26" s="149" t="s">
        <v>222</v>
      </c>
      <c r="AE26" s="24"/>
      <c r="AF26" s="117" t="str">
        <f>=IFERROR(ROUND(AE26/FB_Kurs_5,2),0)</f>
      </c>
      <c r="AG26" s="116" t="str">
        <f>=ROUND(AE26+Z26,2)</f>
      </c>
      <c r="AH26" s="144" t="str">
        <f>=ROUND(AF26+AA26,2)</f>
      </c>
      <c r="AK26" s="149" t="s">
        <v>222</v>
      </c>
      <c r="AL26" s="24"/>
      <c r="AM26" s="117" t="str">
        <f>=IFERROR(ROUND(AL26/FB_Kurs_6,2),0)</f>
      </c>
      <c r="AN26" s="116" t="str">
        <f>=ROUND(AL26+AG26,2)</f>
      </c>
      <c r="AO26" s="144" t="str">
        <f>=ROUND(AM26+AH26,2)</f>
      </c>
      <c r="AR26" s="149" t="s">
        <v>222</v>
      </c>
      <c r="AS26" s="24"/>
      <c r="AT26" s="117" t="str">
        <f>=IFERROR(ROUND(AS26/FB_Kurs_7,2),0)</f>
      </c>
      <c r="AU26" s="116" t="str">
        <f>=ROUND(AS26+AN26,2)</f>
      </c>
      <c r="AV26" s="144" t="str">
        <f>=ROUND(AT26+AO26,2)</f>
      </c>
      <c r="AY26" s="149" t="s">
        <v>222</v>
      </c>
      <c r="AZ26" s="24"/>
      <c r="BA26" s="117" t="str">
        <f>=IFERROR(ROUND(AZ26/FB_Kurs_8,2),0)</f>
      </c>
      <c r="BB26" s="116" t="str">
        <f>=ROUND(AZ26+AU26,2)</f>
      </c>
      <c r="BC26" s="144" t="str">
        <f>=ROUND(BA26+AV26,2)</f>
      </c>
      <c r="BF26" s="149" t="s">
        <v>222</v>
      </c>
      <c r="BG26" s="24"/>
      <c r="BH26" s="117" t="str">
        <f>=IFERROR(ROUND(BG26/FB_Kurs_9,2),0)</f>
      </c>
      <c r="BI26" s="116" t="str">
        <f>=ROUND(BG26+BB26,2)</f>
      </c>
      <c r="BJ26" s="144" t="str">
        <f>=ROUND(BH26+BC26,2)</f>
      </c>
      <c r="BM26" s="149" t="s">
        <v>222</v>
      </c>
      <c r="BN26" s="24"/>
      <c r="BO26" s="117" t="str">
        <f>=IFERROR(ROUND(BN26/FB_Kurs_10,2),0)</f>
      </c>
      <c r="BP26" s="116" t="str">
        <f>=ROUND(BN26+BI26,2)</f>
      </c>
      <c r="BQ26" s="144" t="str">
        <f>=ROUND(BO26+BJ26,2)</f>
      </c>
      <c r="BT26" s="149" t="s">
        <v>222</v>
      </c>
      <c r="BU26" s="24"/>
      <c r="BV26" s="117" t="str">
        <f>=IFERROR(ROUND(BU26/FB_Kurs_11,2),0)</f>
      </c>
      <c r="BW26" s="116" t="str">
        <f>=ROUND(BU26+BP26,2)</f>
      </c>
      <c r="BX26" s="144" t="str">
        <f>=ROUND(BV26+BQ26,2)</f>
      </c>
      <c r="CA26" s="149" t="s">
        <v>222</v>
      </c>
      <c r="CB26" s="24"/>
      <c r="CC26" s="117" t="str">
        <f>=IFERROR(ROUND(CB26/FB_Kurs_12,2),0)</f>
      </c>
      <c r="CD26" s="116" t="str">
        <f>=ROUND(CB26+BW26,2)</f>
      </c>
      <c r="CE26" s="144" t="str">
        <f>=ROUND(CC26+BX26,2)</f>
      </c>
      <c r="CH26" s="149" t="s">
        <v>222</v>
      </c>
      <c r="CI26" s="24"/>
      <c r="CJ26" s="117" t="str">
        <f>=IFERROR(ROUND(CI26/FB_Kurs_13,2),0)</f>
      </c>
      <c r="CK26" s="116" t="str">
        <f>=ROUND(CI26+CD26,2)</f>
      </c>
      <c r="CL26" s="144" t="str">
        <f>=ROUND(CJ26+CE26,2)</f>
      </c>
      <c r="CO26" s="149" t="s">
        <v>222</v>
      </c>
      <c r="CP26" s="24"/>
      <c r="CQ26" s="117" t="str">
        <f>=IFERROR(ROUND(CP26/FB_Kurs_14,2),0)</f>
      </c>
      <c r="CR26" s="116" t="str">
        <f>=ROUND(CP26+CK26,2)</f>
      </c>
      <c r="CS26" s="144" t="str">
        <f>=ROUND(CQ26+CL26,2)</f>
      </c>
      <c r="CV26" s="149" t="s">
        <v>222</v>
      </c>
      <c r="CW26" s="24"/>
      <c r="CX26" s="117" t="str">
        <f>=IFERROR(ROUND(CW26/FB_Kurs_15,2),0)</f>
      </c>
      <c r="CY26" s="116" t="str">
        <f>=ROUND(CW26+CR26,2)</f>
      </c>
      <c r="CZ26" s="144" t="str">
        <f>=ROUND(CX26+CS26,2)</f>
      </c>
      <c r="DC26" s="149" t="s">
        <v>222</v>
      </c>
      <c r="DD26" s="24"/>
      <c r="DE26" s="117" t="str">
        <f>=IFERROR(ROUND(DD26/FB_Kurs_16,2),0)</f>
      </c>
      <c r="DF26" s="116" t="str">
        <f>=ROUND(DD26+CY26,2)</f>
      </c>
      <c r="DG26" s="144" t="str">
        <f>=ROUND(DE26+CZ26,2)</f>
      </c>
      <c r="DJ26" s="149" t="s">
        <v>222</v>
      </c>
      <c r="DK26" s="24"/>
      <c r="DL26" s="117" t="str">
        <f>=IFERROR(ROUND(DK26/FB_Kurs_17,2),0)</f>
      </c>
      <c r="DM26" s="116" t="str">
        <f>=ROUND(DK26+DF26,2)</f>
      </c>
      <c r="DN26" s="144" t="str">
        <f>=ROUND(DL26+DG26,2)</f>
      </c>
      <c r="DQ26" s="149" t="s">
        <v>222</v>
      </c>
      <c r="DR26" s="24"/>
      <c r="DS26" s="117" t="str">
        <f>=IFERROR(ROUND(DR26/FB_Kurs_18,2),0)</f>
      </c>
      <c r="DT26" s="116" t="str">
        <f>=ROUND(DR26+DM26,2)</f>
      </c>
      <c r="DU26" s="144" t="str">
        <f>=ROUND(DS26+DN26,2)</f>
      </c>
    </row>
    <row r="27">
      <c r="B27" s="149" t="s">
        <v>224</v>
      </c>
      <c r="C27" s="24"/>
      <c r="D27" s="117" t="str">
        <f>=IFERROR(ROUND(C27/FB_Kurs_1,2),0)</f>
      </c>
      <c r="E27" s="116" t="str">
        <f>=ROUND(C27,2)</f>
      </c>
      <c r="F27" s="144" t="str">
        <f>=ROUND(D27,2)</f>
      </c>
      <c r="I27" s="149" t="s">
        <v>224</v>
      </c>
      <c r="J27" s="24"/>
      <c r="K27" s="117" t="str">
        <f>=IFERROR(ROUND(J27/FB_Kurs_2,2),0)</f>
      </c>
      <c r="L27" s="116" t="str">
        <f>=ROUND(J27+E27,2)</f>
      </c>
      <c r="M27" s="144" t="str">
        <f>=ROUND(K27+F27,2)</f>
      </c>
      <c r="P27" s="149" t="s">
        <v>224</v>
      </c>
      <c r="Q27" s="24"/>
      <c r="R27" s="117" t="str">
        <f>=IFERROR(ROUND(Q27/FB_Kurs_3,2),0)</f>
      </c>
      <c r="S27" s="116" t="str">
        <f>=ROUND(Q27+L27,2)</f>
      </c>
      <c r="T27" s="144" t="str">
        <f>=ROUND(R27+M27,2)</f>
      </c>
      <c r="W27" s="149" t="s">
        <v>224</v>
      </c>
      <c r="X27" s="24"/>
      <c r="Y27" s="117" t="str">
        <f>=IFERROR(ROUND(X27/FB_Kurs_4,2),0)</f>
      </c>
      <c r="Z27" s="116" t="str">
        <f>=ROUND(X27+S27,2)</f>
      </c>
      <c r="AA27" s="144" t="str">
        <f>=ROUND(Y27+T27,2)</f>
      </c>
      <c r="AD27" s="149" t="s">
        <v>224</v>
      </c>
      <c r="AE27" s="24"/>
      <c r="AF27" s="117" t="str">
        <f>=IFERROR(ROUND(AE27/FB_Kurs_5,2),0)</f>
      </c>
      <c r="AG27" s="116" t="str">
        <f>=ROUND(AE27+Z27,2)</f>
      </c>
      <c r="AH27" s="144" t="str">
        <f>=ROUND(AF27+AA27,2)</f>
      </c>
      <c r="AK27" s="149" t="s">
        <v>224</v>
      </c>
      <c r="AL27" s="24"/>
      <c r="AM27" s="117" t="str">
        <f>=IFERROR(ROUND(AL27/FB_Kurs_6,2),0)</f>
      </c>
      <c r="AN27" s="116" t="str">
        <f>=ROUND(AL27+AG27,2)</f>
      </c>
      <c r="AO27" s="144" t="str">
        <f>=ROUND(AM27+AH27,2)</f>
      </c>
      <c r="AR27" s="149" t="s">
        <v>224</v>
      </c>
      <c r="AS27" s="24"/>
      <c r="AT27" s="117" t="str">
        <f>=IFERROR(ROUND(AS27/FB_Kurs_7,2),0)</f>
      </c>
      <c r="AU27" s="116" t="str">
        <f>=ROUND(AS27+AN27,2)</f>
      </c>
      <c r="AV27" s="144" t="str">
        <f>=ROUND(AT27+AO27,2)</f>
      </c>
      <c r="AY27" s="149" t="s">
        <v>224</v>
      </c>
      <c r="AZ27" s="24"/>
      <c r="BA27" s="117" t="str">
        <f>=IFERROR(ROUND(AZ27/FB_Kurs_8,2),0)</f>
      </c>
      <c r="BB27" s="116" t="str">
        <f>=ROUND(AZ27+AU27,2)</f>
      </c>
      <c r="BC27" s="144" t="str">
        <f>=ROUND(BA27+AV27,2)</f>
      </c>
      <c r="BF27" s="149" t="s">
        <v>224</v>
      </c>
      <c r="BG27" s="24"/>
      <c r="BH27" s="117" t="str">
        <f>=IFERROR(ROUND(BG27/FB_Kurs_9,2),0)</f>
      </c>
      <c r="BI27" s="116" t="str">
        <f>=ROUND(BG27+BB27,2)</f>
      </c>
      <c r="BJ27" s="144" t="str">
        <f>=ROUND(BH27+BC27,2)</f>
      </c>
      <c r="BM27" s="149" t="s">
        <v>224</v>
      </c>
      <c r="BN27" s="24"/>
      <c r="BO27" s="117" t="str">
        <f>=IFERROR(ROUND(BN27/FB_Kurs_10,2),0)</f>
      </c>
      <c r="BP27" s="116" t="str">
        <f>=ROUND(BN27+BI27,2)</f>
      </c>
      <c r="BQ27" s="144" t="str">
        <f>=ROUND(BO27+BJ27,2)</f>
      </c>
      <c r="BT27" s="149" t="s">
        <v>224</v>
      </c>
      <c r="BU27" s="24"/>
      <c r="BV27" s="117" t="str">
        <f>=IFERROR(ROUND(BU27/FB_Kurs_11,2),0)</f>
      </c>
      <c r="BW27" s="116" t="str">
        <f>=ROUND(BU27+BP27,2)</f>
      </c>
      <c r="BX27" s="144" t="str">
        <f>=ROUND(BV27+BQ27,2)</f>
      </c>
      <c r="CA27" s="149" t="s">
        <v>224</v>
      </c>
      <c r="CB27" s="24"/>
      <c r="CC27" s="117" t="str">
        <f>=IFERROR(ROUND(CB27/FB_Kurs_12,2),0)</f>
      </c>
      <c r="CD27" s="116" t="str">
        <f>=ROUND(CB27+BW27,2)</f>
      </c>
      <c r="CE27" s="144" t="str">
        <f>=ROUND(CC27+BX27,2)</f>
      </c>
      <c r="CH27" s="149" t="s">
        <v>224</v>
      </c>
      <c r="CI27" s="24"/>
      <c r="CJ27" s="117" t="str">
        <f>=IFERROR(ROUND(CI27/FB_Kurs_13,2),0)</f>
      </c>
      <c r="CK27" s="116" t="str">
        <f>=ROUND(CI27+CD27,2)</f>
      </c>
      <c r="CL27" s="144" t="str">
        <f>=ROUND(CJ27+CE27,2)</f>
      </c>
      <c r="CO27" s="149" t="s">
        <v>224</v>
      </c>
      <c r="CP27" s="24"/>
      <c r="CQ27" s="117" t="str">
        <f>=IFERROR(ROUND(CP27/FB_Kurs_14,2),0)</f>
      </c>
      <c r="CR27" s="116" t="str">
        <f>=ROUND(CP27+CK27,2)</f>
      </c>
      <c r="CS27" s="144" t="str">
        <f>=ROUND(CQ27+CL27,2)</f>
      </c>
      <c r="CV27" s="149" t="s">
        <v>224</v>
      </c>
      <c r="CW27" s="24"/>
      <c r="CX27" s="117" t="str">
        <f>=IFERROR(ROUND(CW27/FB_Kurs_15,2),0)</f>
      </c>
      <c r="CY27" s="116" t="str">
        <f>=ROUND(CW27+CR27,2)</f>
      </c>
      <c r="CZ27" s="144" t="str">
        <f>=ROUND(CX27+CS27,2)</f>
      </c>
      <c r="DC27" s="149" t="s">
        <v>224</v>
      </c>
      <c r="DD27" s="24"/>
      <c r="DE27" s="117" t="str">
        <f>=IFERROR(ROUND(DD27/FB_Kurs_16,2),0)</f>
      </c>
      <c r="DF27" s="116" t="str">
        <f>=ROUND(DD27+CY27,2)</f>
      </c>
      <c r="DG27" s="144" t="str">
        <f>=ROUND(DE27+CZ27,2)</f>
      </c>
      <c r="DJ27" s="149" t="s">
        <v>224</v>
      </c>
      <c r="DK27" s="24"/>
      <c r="DL27" s="117" t="str">
        <f>=IFERROR(ROUND(DK27/FB_Kurs_17,2),0)</f>
      </c>
      <c r="DM27" s="116" t="str">
        <f>=ROUND(DK27+DF27,2)</f>
      </c>
      <c r="DN27" s="144" t="str">
        <f>=ROUND(DL27+DG27,2)</f>
      </c>
      <c r="DQ27" s="149" t="s">
        <v>224</v>
      </c>
      <c r="DR27" s="24"/>
      <c r="DS27" s="117" t="str">
        <f>=IFERROR(ROUND(DR27/FB_Kurs_18,2),0)</f>
      </c>
      <c r="DT27" s="116" t="str">
        <f>=ROUND(DR27+DM27,2)</f>
      </c>
      <c r="DU27" s="144" t="str">
        <f>=ROUND(DS27+DN27,2)</f>
      </c>
    </row>
    <row r="28">
      <c r="B28" s="149" t="s">
        <v>226</v>
      </c>
      <c r="C28" s="24"/>
      <c r="D28" s="117" t="str">
        <f>=IFERROR(ROUND(C28/FB_Kurs_1,2),0)</f>
      </c>
      <c r="E28" s="116" t="str">
        <f>=ROUND(C28,2)</f>
      </c>
      <c r="F28" s="144" t="str">
        <f>=ROUND(D28,2)</f>
      </c>
      <c r="I28" s="149" t="s">
        <v>226</v>
      </c>
      <c r="J28" s="24"/>
      <c r="K28" s="117" t="str">
        <f>=IFERROR(ROUND(J28/FB_Kurs_2,2),0)</f>
      </c>
      <c r="L28" s="116" t="str">
        <f>=ROUND(J28+E28,2)</f>
      </c>
      <c r="M28" s="144" t="str">
        <f>=ROUND(K28+F28,2)</f>
      </c>
      <c r="P28" s="149" t="s">
        <v>226</v>
      </c>
      <c r="Q28" s="24"/>
      <c r="R28" s="117" t="str">
        <f>=IFERROR(ROUND(Q28/FB_Kurs_3,2),0)</f>
      </c>
      <c r="S28" s="116" t="str">
        <f>=ROUND(Q28+L28,2)</f>
      </c>
      <c r="T28" s="144" t="str">
        <f>=ROUND(R28+M28,2)</f>
      </c>
      <c r="W28" s="149" t="s">
        <v>226</v>
      </c>
      <c r="X28" s="24"/>
      <c r="Y28" s="117" t="str">
        <f>=IFERROR(ROUND(X28/FB_Kurs_4,2),0)</f>
      </c>
      <c r="Z28" s="116" t="str">
        <f>=ROUND(X28+S28,2)</f>
      </c>
      <c r="AA28" s="144" t="str">
        <f>=ROUND(Y28+T28,2)</f>
      </c>
      <c r="AD28" s="149" t="s">
        <v>226</v>
      </c>
      <c r="AE28" s="24"/>
      <c r="AF28" s="117" t="str">
        <f>=IFERROR(ROUND(AE28/FB_Kurs_5,2),0)</f>
      </c>
      <c r="AG28" s="116" t="str">
        <f>=ROUND(AE28+Z28,2)</f>
      </c>
      <c r="AH28" s="144" t="str">
        <f>=ROUND(AF28+AA28,2)</f>
      </c>
      <c r="AK28" s="149" t="s">
        <v>226</v>
      </c>
      <c r="AL28" s="24"/>
      <c r="AM28" s="117" t="str">
        <f>=IFERROR(ROUND(AL28/FB_Kurs_6,2),0)</f>
      </c>
      <c r="AN28" s="116" t="str">
        <f>=ROUND(AL28+AG28,2)</f>
      </c>
      <c r="AO28" s="144" t="str">
        <f>=ROUND(AM28+AH28,2)</f>
      </c>
      <c r="AR28" s="149" t="s">
        <v>226</v>
      </c>
      <c r="AS28" s="24"/>
      <c r="AT28" s="117" t="str">
        <f>=IFERROR(ROUND(AS28/FB_Kurs_7,2),0)</f>
      </c>
      <c r="AU28" s="116" t="str">
        <f>=ROUND(AS28+AN28,2)</f>
      </c>
      <c r="AV28" s="144" t="str">
        <f>=ROUND(AT28+AO28,2)</f>
      </c>
      <c r="AY28" s="149" t="s">
        <v>226</v>
      </c>
      <c r="AZ28" s="24"/>
      <c r="BA28" s="117" t="str">
        <f>=IFERROR(ROUND(AZ28/FB_Kurs_8,2),0)</f>
      </c>
      <c r="BB28" s="116" t="str">
        <f>=ROUND(AZ28+AU28,2)</f>
      </c>
      <c r="BC28" s="144" t="str">
        <f>=ROUND(BA28+AV28,2)</f>
      </c>
      <c r="BF28" s="149" t="s">
        <v>226</v>
      </c>
      <c r="BG28" s="24"/>
      <c r="BH28" s="117" t="str">
        <f>=IFERROR(ROUND(BG28/FB_Kurs_9,2),0)</f>
      </c>
      <c r="BI28" s="116" t="str">
        <f>=ROUND(BG28+BB28,2)</f>
      </c>
      <c r="BJ28" s="144" t="str">
        <f>=ROUND(BH28+BC28,2)</f>
      </c>
      <c r="BM28" s="149" t="s">
        <v>226</v>
      </c>
      <c r="BN28" s="24"/>
      <c r="BO28" s="117" t="str">
        <f>=IFERROR(ROUND(BN28/FB_Kurs_10,2),0)</f>
      </c>
      <c r="BP28" s="116" t="str">
        <f>=ROUND(BN28+BI28,2)</f>
      </c>
      <c r="BQ28" s="144" t="str">
        <f>=ROUND(BO28+BJ28,2)</f>
      </c>
      <c r="BT28" s="149" t="s">
        <v>226</v>
      </c>
      <c r="BU28" s="24"/>
      <c r="BV28" s="117" t="str">
        <f>=IFERROR(ROUND(BU28/FB_Kurs_11,2),0)</f>
      </c>
      <c r="BW28" s="116" t="str">
        <f>=ROUND(BU28+BP28,2)</f>
      </c>
      <c r="BX28" s="144" t="str">
        <f>=ROUND(BV28+BQ28,2)</f>
      </c>
      <c r="CA28" s="149" t="s">
        <v>226</v>
      </c>
      <c r="CB28" s="24"/>
      <c r="CC28" s="117" t="str">
        <f>=IFERROR(ROUND(CB28/FB_Kurs_12,2),0)</f>
      </c>
      <c r="CD28" s="116" t="str">
        <f>=ROUND(CB28+BW28,2)</f>
      </c>
      <c r="CE28" s="144" t="str">
        <f>=ROUND(CC28+BX28,2)</f>
      </c>
      <c r="CH28" s="149" t="s">
        <v>226</v>
      </c>
      <c r="CI28" s="24"/>
      <c r="CJ28" s="117" t="str">
        <f>=IFERROR(ROUND(CI28/FB_Kurs_13,2),0)</f>
      </c>
      <c r="CK28" s="116" t="str">
        <f>=ROUND(CI28+CD28,2)</f>
      </c>
      <c r="CL28" s="144" t="str">
        <f>=ROUND(CJ28+CE28,2)</f>
      </c>
      <c r="CO28" s="149" t="s">
        <v>226</v>
      </c>
      <c r="CP28" s="24"/>
      <c r="CQ28" s="117" t="str">
        <f>=IFERROR(ROUND(CP28/FB_Kurs_14,2),0)</f>
      </c>
      <c r="CR28" s="116" t="str">
        <f>=ROUND(CP28+CK28,2)</f>
      </c>
      <c r="CS28" s="144" t="str">
        <f>=ROUND(CQ28+CL28,2)</f>
      </c>
      <c r="CV28" s="149" t="s">
        <v>226</v>
      </c>
      <c r="CW28" s="24"/>
      <c r="CX28" s="117" t="str">
        <f>=IFERROR(ROUND(CW28/FB_Kurs_15,2),0)</f>
      </c>
      <c r="CY28" s="116" t="str">
        <f>=ROUND(CW28+CR28,2)</f>
      </c>
      <c r="CZ28" s="144" t="str">
        <f>=ROUND(CX28+CS28,2)</f>
      </c>
      <c r="DC28" s="149" t="s">
        <v>226</v>
      </c>
      <c r="DD28" s="24"/>
      <c r="DE28" s="117" t="str">
        <f>=IFERROR(ROUND(DD28/FB_Kurs_16,2),0)</f>
      </c>
      <c r="DF28" s="116" t="str">
        <f>=ROUND(DD28+CY28,2)</f>
      </c>
      <c r="DG28" s="144" t="str">
        <f>=ROUND(DE28+CZ28,2)</f>
      </c>
      <c r="DJ28" s="149" t="s">
        <v>226</v>
      </c>
      <c r="DK28" s="24"/>
      <c r="DL28" s="117" t="str">
        <f>=IFERROR(ROUND(DK28/FB_Kurs_17,2),0)</f>
      </c>
      <c r="DM28" s="116" t="str">
        <f>=ROUND(DK28+DF28,2)</f>
      </c>
      <c r="DN28" s="144" t="str">
        <f>=ROUND(DL28+DG28,2)</f>
      </c>
      <c r="DQ28" s="149" t="s">
        <v>226</v>
      </c>
      <c r="DR28" s="24"/>
      <c r="DS28" s="117" t="str">
        <f>=IFERROR(ROUND(DR28/FB_Kurs_18,2),0)</f>
      </c>
      <c r="DT28" s="116" t="str">
        <f>=ROUND(DR28+DM28,2)</f>
      </c>
      <c r="DU28" s="144" t="str">
        <f>=ROUND(DS28+DN28,2)</f>
      </c>
    </row>
    <row r="29">
      <c r="B29" s="149" t="s">
        <v>228</v>
      </c>
      <c r="C29" s="24"/>
      <c r="D29" s="117" t="str">
        <f>=IFERROR(ROUND(C29/FB_Kurs_1,2),0)</f>
      </c>
      <c r="E29" s="116" t="str">
        <f>=ROUND(C29,2)</f>
      </c>
      <c r="F29" s="144" t="str">
        <f>=ROUND(D29,2)</f>
      </c>
      <c r="I29" s="149" t="s">
        <v>228</v>
      </c>
      <c r="J29" s="24"/>
      <c r="K29" s="117" t="str">
        <f>=IFERROR(ROUND(J29/FB_Kurs_2,2),0)</f>
      </c>
      <c r="L29" s="116" t="str">
        <f>=ROUND(J29+E29,2)</f>
      </c>
      <c r="M29" s="144" t="str">
        <f>=ROUND(K29+F29,2)</f>
      </c>
      <c r="P29" s="149" t="s">
        <v>228</v>
      </c>
      <c r="Q29" s="24"/>
      <c r="R29" s="117" t="str">
        <f>=IFERROR(ROUND(Q29/FB_Kurs_3,2),0)</f>
      </c>
      <c r="S29" s="116" t="str">
        <f>=ROUND(Q29+L29,2)</f>
      </c>
      <c r="T29" s="144" t="str">
        <f>=ROUND(R29+M29,2)</f>
      </c>
      <c r="W29" s="149" t="s">
        <v>228</v>
      </c>
      <c r="X29" s="24"/>
      <c r="Y29" s="117" t="str">
        <f>=IFERROR(ROUND(X29/FB_Kurs_4,2),0)</f>
      </c>
      <c r="Z29" s="116" t="str">
        <f>=ROUND(X29+S29,2)</f>
      </c>
      <c r="AA29" s="144" t="str">
        <f>=ROUND(Y29+T29,2)</f>
      </c>
      <c r="AD29" s="149" t="s">
        <v>228</v>
      </c>
      <c r="AE29" s="24"/>
      <c r="AF29" s="117" t="str">
        <f>=IFERROR(ROUND(AE29/FB_Kurs_5,2),0)</f>
      </c>
      <c r="AG29" s="116" t="str">
        <f>=ROUND(AE29+Z29,2)</f>
      </c>
      <c r="AH29" s="144" t="str">
        <f>=ROUND(AF29+AA29,2)</f>
      </c>
      <c r="AK29" s="149" t="s">
        <v>228</v>
      </c>
      <c r="AL29" s="24"/>
      <c r="AM29" s="117" t="str">
        <f>=IFERROR(ROUND(AL29/FB_Kurs_6,2),0)</f>
      </c>
      <c r="AN29" s="116" t="str">
        <f>=ROUND(AL29+AG29,2)</f>
      </c>
      <c r="AO29" s="144" t="str">
        <f>=ROUND(AM29+AH29,2)</f>
      </c>
      <c r="AR29" s="149" t="s">
        <v>228</v>
      </c>
      <c r="AS29" s="24"/>
      <c r="AT29" s="117" t="str">
        <f>=IFERROR(ROUND(AS29/FB_Kurs_7,2),0)</f>
      </c>
      <c r="AU29" s="116" t="str">
        <f>=ROUND(AS29+AN29,2)</f>
      </c>
      <c r="AV29" s="144" t="str">
        <f>=ROUND(AT29+AO29,2)</f>
      </c>
      <c r="AY29" s="149" t="s">
        <v>228</v>
      </c>
      <c r="AZ29" s="24"/>
      <c r="BA29" s="117" t="str">
        <f>=IFERROR(ROUND(AZ29/FB_Kurs_8,2),0)</f>
      </c>
      <c r="BB29" s="116" t="str">
        <f>=ROUND(AZ29+AU29,2)</f>
      </c>
      <c r="BC29" s="144" t="str">
        <f>=ROUND(BA29+AV29,2)</f>
      </c>
      <c r="BF29" s="149" t="s">
        <v>228</v>
      </c>
      <c r="BG29" s="24"/>
      <c r="BH29" s="117" t="str">
        <f>=IFERROR(ROUND(BG29/FB_Kurs_9,2),0)</f>
      </c>
      <c r="BI29" s="116" t="str">
        <f>=ROUND(BG29+BB29,2)</f>
      </c>
      <c r="BJ29" s="144" t="str">
        <f>=ROUND(BH29+BC29,2)</f>
      </c>
      <c r="BM29" s="149" t="s">
        <v>228</v>
      </c>
      <c r="BN29" s="24"/>
      <c r="BO29" s="117" t="str">
        <f>=IFERROR(ROUND(BN29/FB_Kurs_10,2),0)</f>
      </c>
      <c r="BP29" s="116" t="str">
        <f>=ROUND(BN29+BI29,2)</f>
      </c>
      <c r="BQ29" s="144" t="str">
        <f>=ROUND(BO29+BJ29,2)</f>
      </c>
      <c r="BT29" s="149" t="s">
        <v>228</v>
      </c>
      <c r="BU29" s="24"/>
      <c r="BV29" s="117" t="str">
        <f>=IFERROR(ROUND(BU29/FB_Kurs_11,2),0)</f>
      </c>
      <c r="BW29" s="116" t="str">
        <f>=ROUND(BU29+BP29,2)</f>
      </c>
      <c r="BX29" s="144" t="str">
        <f>=ROUND(BV29+BQ29,2)</f>
      </c>
      <c r="CA29" s="149" t="s">
        <v>228</v>
      </c>
      <c r="CB29" s="24"/>
      <c r="CC29" s="117" t="str">
        <f>=IFERROR(ROUND(CB29/FB_Kurs_12,2),0)</f>
      </c>
      <c r="CD29" s="116" t="str">
        <f>=ROUND(CB29+BW29,2)</f>
      </c>
      <c r="CE29" s="144" t="str">
        <f>=ROUND(CC29+BX29,2)</f>
      </c>
      <c r="CH29" s="149" t="s">
        <v>228</v>
      </c>
      <c r="CI29" s="24"/>
      <c r="CJ29" s="117" t="str">
        <f>=IFERROR(ROUND(CI29/FB_Kurs_13,2),0)</f>
      </c>
      <c r="CK29" s="116" t="str">
        <f>=ROUND(CI29+CD29,2)</f>
      </c>
      <c r="CL29" s="144" t="str">
        <f>=ROUND(CJ29+CE29,2)</f>
      </c>
      <c r="CO29" s="149" t="s">
        <v>228</v>
      </c>
      <c r="CP29" s="24"/>
      <c r="CQ29" s="117" t="str">
        <f>=IFERROR(ROUND(CP29/FB_Kurs_14,2),0)</f>
      </c>
      <c r="CR29" s="116" t="str">
        <f>=ROUND(CP29+CK29,2)</f>
      </c>
      <c r="CS29" s="144" t="str">
        <f>=ROUND(CQ29+CL29,2)</f>
      </c>
      <c r="CV29" s="149" t="s">
        <v>228</v>
      </c>
      <c r="CW29" s="24"/>
      <c r="CX29" s="117" t="str">
        <f>=IFERROR(ROUND(CW29/FB_Kurs_15,2),0)</f>
      </c>
      <c r="CY29" s="116" t="str">
        <f>=ROUND(CW29+CR29,2)</f>
      </c>
      <c r="CZ29" s="144" t="str">
        <f>=ROUND(CX29+CS29,2)</f>
      </c>
      <c r="DC29" s="149" t="s">
        <v>228</v>
      </c>
      <c r="DD29" s="24"/>
      <c r="DE29" s="117" t="str">
        <f>=IFERROR(ROUND(DD29/FB_Kurs_16,2),0)</f>
      </c>
      <c r="DF29" s="116" t="str">
        <f>=ROUND(DD29+CY29,2)</f>
      </c>
      <c r="DG29" s="144" t="str">
        <f>=ROUND(DE29+CZ29,2)</f>
      </c>
      <c r="DJ29" s="149" t="s">
        <v>228</v>
      </c>
      <c r="DK29" s="24"/>
      <c r="DL29" s="117" t="str">
        <f>=IFERROR(ROUND(DK29/FB_Kurs_17,2),0)</f>
      </c>
      <c r="DM29" s="116" t="str">
        <f>=ROUND(DK29+DF29,2)</f>
      </c>
      <c r="DN29" s="144" t="str">
        <f>=ROUND(DL29+DG29,2)</f>
      </c>
      <c r="DQ29" s="149" t="s">
        <v>228</v>
      </c>
      <c r="DR29" s="24"/>
      <c r="DS29" s="117" t="str">
        <f>=IFERROR(ROUND(DR29/FB_Kurs_18,2),0)</f>
      </c>
      <c r="DT29" s="116" t="str">
        <f>=ROUND(DR29+DM29,2)</f>
      </c>
      <c r="DU29" s="144" t="str">
        <f>=ROUND(DS29+DN29,2)</f>
      </c>
    </row>
    <row r="30">
      <c r="B30" s="149" t="s">
        <v>230</v>
      </c>
      <c r="C30" s="24"/>
      <c r="D30" s="117" t="str">
        <f>=IFERROR(ROUND(C30/FB_Kurs_1,2),0)</f>
      </c>
      <c r="E30" s="116" t="str">
        <f>=ROUND(C30,2)</f>
      </c>
      <c r="F30" s="144" t="str">
        <f>=ROUND(D30,2)</f>
      </c>
      <c r="I30" s="149" t="s">
        <v>230</v>
      </c>
      <c r="J30" s="24"/>
      <c r="K30" s="117" t="str">
        <f>=IFERROR(ROUND(J30/FB_Kurs_2,2),0)</f>
      </c>
      <c r="L30" s="116" t="str">
        <f>=ROUND(J30+E30,2)</f>
      </c>
      <c r="M30" s="144" t="str">
        <f>=ROUND(K30+F30,2)</f>
      </c>
      <c r="P30" s="149" t="s">
        <v>230</v>
      </c>
      <c r="Q30" s="24"/>
      <c r="R30" s="117" t="str">
        <f>=IFERROR(ROUND(Q30/FB_Kurs_3,2),0)</f>
      </c>
      <c r="S30" s="116" t="str">
        <f>=ROUND(Q30+L30,2)</f>
      </c>
      <c r="T30" s="144" t="str">
        <f>=ROUND(R30+M30,2)</f>
      </c>
      <c r="W30" s="149" t="s">
        <v>230</v>
      </c>
      <c r="X30" s="24"/>
      <c r="Y30" s="117" t="str">
        <f>=IFERROR(ROUND(X30/FB_Kurs_4,2),0)</f>
      </c>
      <c r="Z30" s="116" t="str">
        <f>=ROUND(X30+S30,2)</f>
      </c>
      <c r="AA30" s="144" t="str">
        <f>=ROUND(Y30+T30,2)</f>
      </c>
      <c r="AD30" s="149" t="s">
        <v>230</v>
      </c>
      <c r="AE30" s="24"/>
      <c r="AF30" s="117" t="str">
        <f>=IFERROR(ROUND(AE30/FB_Kurs_5,2),0)</f>
      </c>
      <c r="AG30" s="116" t="str">
        <f>=ROUND(AE30+Z30,2)</f>
      </c>
      <c r="AH30" s="144" t="str">
        <f>=ROUND(AF30+AA30,2)</f>
      </c>
      <c r="AK30" s="149" t="s">
        <v>230</v>
      </c>
      <c r="AL30" s="24"/>
      <c r="AM30" s="117" t="str">
        <f>=IFERROR(ROUND(AL30/FB_Kurs_6,2),0)</f>
      </c>
      <c r="AN30" s="116" t="str">
        <f>=ROUND(AL30+AG30,2)</f>
      </c>
      <c r="AO30" s="144" t="str">
        <f>=ROUND(AM30+AH30,2)</f>
      </c>
      <c r="AR30" s="149" t="s">
        <v>230</v>
      </c>
      <c r="AS30" s="24"/>
      <c r="AT30" s="117" t="str">
        <f>=IFERROR(ROUND(AS30/FB_Kurs_7,2),0)</f>
      </c>
      <c r="AU30" s="116" t="str">
        <f>=ROUND(AS30+AN30,2)</f>
      </c>
      <c r="AV30" s="144" t="str">
        <f>=ROUND(AT30+AO30,2)</f>
      </c>
      <c r="AY30" s="149" t="s">
        <v>230</v>
      </c>
      <c r="AZ30" s="24"/>
      <c r="BA30" s="117" t="str">
        <f>=IFERROR(ROUND(AZ30/FB_Kurs_8,2),0)</f>
      </c>
      <c r="BB30" s="116" t="str">
        <f>=ROUND(AZ30+AU30,2)</f>
      </c>
      <c r="BC30" s="144" t="str">
        <f>=ROUND(BA30+AV30,2)</f>
      </c>
      <c r="BF30" s="149" t="s">
        <v>230</v>
      </c>
      <c r="BG30" s="24"/>
      <c r="BH30" s="117" t="str">
        <f>=IFERROR(ROUND(BG30/FB_Kurs_9,2),0)</f>
      </c>
      <c r="BI30" s="116" t="str">
        <f>=ROUND(BG30+BB30,2)</f>
      </c>
      <c r="BJ30" s="144" t="str">
        <f>=ROUND(BH30+BC30,2)</f>
      </c>
      <c r="BM30" s="149" t="s">
        <v>230</v>
      </c>
      <c r="BN30" s="24"/>
      <c r="BO30" s="117" t="str">
        <f>=IFERROR(ROUND(BN30/FB_Kurs_10,2),0)</f>
      </c>
      <c r="BP30" s="116" t="str">
        <f>=ROUND(BN30+BI30,2)</f>
      </c>
      <c r="BQ30" s="144" t="str">
        <f>=ROUND(BO30+BJ30,2)</f>
      </c>
      <c r="BT30" s="149" t="s">
        <v>230</v>
      </c>
      <c r="BU30" s="24"/>
      <c r="BV30" s="117" t="str">
        <f>=IFERROR(ROUND(BU30/FB_Kurs_11,2),0)</f>
      </c>
      <c r="BW30" s="116" t="str">
        <f>=ROUND(BU30+BP30,2)</f>
      </c>
      <c r="BX30" s="144" t="str">
        <f>=ROUND(BV30+BQ30,2)</f>
      </c>
      <c r="CA30" s="149" t="s">
        <v>230</v>
      </c>
      <c r="CB30" s="24"/>
      <c r="CC30" s="117" t="str">
        <f>=IFERROR(ROUND(CB30/FB_Kurs_12,2),0)</f>
      </c>
      <c r="CD30" s="116" t="str">
        <f>=ROUND(CB30+BW30,2)</f>
      </c>
      <c r="CE30" s="144" t="str">
        <f>=ROUND(CC30+BX30,2)</f>
      </c>
      <c r="CH30" s="149" t="s">
        <v>230</v>
      </c>
      <c r="CI30" s="24"/>
      <c r="CJ30" s="117" t="str">
        <f>=IFERROR(ROUND(CI30/FB_Kurs_13,2),0)</f>
      </c>
      <c r="CK30" s="116" t="str">
        <f>=ROUND(CI30+CD30,2)</f>
      </c>
      <c r="CL30" s="144" t="str">
        <f>=ROUND(CJ30+CE30,2)</f>
      </c>
      <c r="CO30" s="149" t="s">
        <v>230</v>
      </c>
      <c r="CP30" s="24"/>
      <c r="CQ30" s="117" t="str">
        <f>=IFERROR(ROUND(CP30/FB_Kurs_14,2),0)</f>
      </c>
      <c r="CR30" s="116" t="str">
        <f>=ROUND(CP30+CK30,2)</f>
      </c>
      <c r="CS30" s="144" t="str">
        <f>=ROUND(CQ30+CL30,2)</f>
      </c>
      <c r="CV30" s="149" t="s">
        <v>230</v>
      </c>
      <c r="CW30" s="24"/>
      <c r="CX30" s="117" t="str">
        <f>=IFERROR(ROUND(CW30/FB_Kurs_15,2),0)</f>
      </c>
      <c r="CY30" s="116" t="str">
        <f>=ROUND(CW30+CR30,2)</f>
      </c>
      <c r="CZ30" s="144" t="str">
        <f>=ROUND(CX30+CS30,2)</f>
      </c>
      <c r="DC30" s="149" t="s">
        <v>230</v>
      </c>
      <c r="DD30" s="24"/>
      <c r="DE30" s="117" t="str">
        <f>=IFERROR(ROUND(DD30/FB_Kurs_16,2),0)</f>
      </c>
      <c r="DF30" s="116" t="str">
        <f>=ROUND(DD30+CY30,2)</f>
      </c>
      <c r="DG30" s="144" t="str">
        <f>=ROUND(DE30+CZ30,2)</f>
      </c>
      <c r="DJ30" s="149" t="s">
        <v>230</v>
      </c>
      <c r="DK30" s="24"/>
      <c r="DL30" s="117" t="str">
        <f>=IFERROR(ROUND(DK30/FB_Kurs_17,2),0)</f>
      </c>
      <c r="DM30" s="116" t="str">
        <f>=ROUND(DK30+DF30,2)</f>
      </c>
      <c r="DN30" s="144" t="str">
        <f>=ROUND(DL30+DG30,2)</f>
      </c>
      <c r="DQ30" s="149" t="s">
        <v>230</v>
      </c>
      <c r="DR30" s="24"/>
      <c r="DS30" s="117" t="str">
        <f>=IFERROR(ROUND(DR30/FB_Kurs_18,2),0)</f>
      </c>
      <c r="DT30" s="116" t="str">
        <f>=ROUND(DR30+DM30,2)</f>
      </c>
      <c r="DU30" s="144" t="str">
        <f>=ROUND(DS30+DN30,2)</f>
      </c>
    </row>
    <row r="31">
      <c r="B31" s="149" t="s">
        <v>232</v>
      </c>
      <c r="C31" s="24"/>
      <c r="D31" s="117" t="str">
        <f>=IFERROR(ROUND(C31/FB_Kurs_1,2),0)</f>
      </c>
      <c r="E31" s="116" t="str">
        <f>=ROUND(C31,2)</f>
      </c>
      <c r="F31" s="144" t="str">
        <f>=ROUND(D31,2)</f>
      </c>
      <c r="I31" s="149" t="s">
        <v>232</v>
      </c>
      <c r="J31" s="24"/>
      <c r="K31" s="117" t="str">
        <f>=IFERROR(ROUND(J31/FB_Kurs_2,2),0)</f>
      </c>
      <c r="L31" s="116" t="str">
        <f>=ROUND(J31+E31,2)</f>
      </c>
      <c r="M31" s="144" t="str">
        <f>=ROUND(K31+F31,2)</f>
      </c>
      <c r="P31" s="149" t="s">
        <v>232</v>
      </c>
      <c r="Q31" s="24"/>
      <c r="R31" s="117" t="str">
        <f>=IFERROR(ROUND(Q31/FB_Kurs_3,2),0)</f>
      </c>
      <c r="S31" s="116" t="str">
        <f>=ROUND(Q31+L31,2)</f>
      </c>
      <c r="T31" s="144" t="str">
        <f>=ROUND(R31+M31,2)</f>
      </c>
      <c r="W31" s="149" t="s">
        <v>232</v>
      </c>
      <c r="X31" s="24"/>
      <c r="Y31" s="117" t="str">
        <f>=IFERROR(ROUND(X31/FB_Kurs_4,2),0)</f>
      </c>
      <c r="Z31" s="116" t="str">
        <f>=ROUND(X31+S31,2)</f>
      </c>
      <c r="AA31" s="144" t="str">
        <f>=ROUND(Y31+T31,2)</f>
      </c>
      <c r="AD31" s="149" t="s">
        <v>232</v>
      </c>
      <c r="AE31" s="24"/>
      <c r="AF31" s="117" t="str">
        <f>=IFERROR(ROUND(AE31/FB_Kurs_5,2),0)</f>
      </c>
      <c r="AG31" s="116" t="str">
        <f>=ROUND(AE31+Z31,2)</f>
      </c>
      <c r="AH31" s="144" t="str">
        <f>=ROUND(AF31+AA31,2)</f>
      </c>
      <c r="AK31" s="149" t="s">
        <v>232</v>
      </c>
      <c r="AL31" s="24"/>
      <c r="AM31" s="117" t="str">
        <f>=IFERROR(ROUND(AL31/FB_Kurs_6,2),0)</f>
      </c>
      <c r="AN31" s="116" t="str">
        <f>=ROUND(AL31+AG31,2)</f>
      </c>
      <c r="AO31" s="144" t="str">
        <f>=ROUND(AM31+AH31,2)</f>
      </c>
      <c r="AR31" s="149" t="s">
        <v>232</v>
      </c>
      <c r="AS31" s="24"/>
      <c r="AT31" s="117" t="str">
        <f>=IFERROR(ROUND(AS31/FB_Kurs_7,2),0)</f>
      </c>
      <c r="AU31" s="116" t="str">
        <f>=ROUND(AS31+AN31,2)</f>
      </c>
      <c r="AV31" s="144" t="str">
        <f>=ROUND(AT31+AO31,2)</f>
      </c>
      <c r="AY31" s="149" t="s">
        <v>232</v>
      </c>
      <c r="AZ31" s="24"/>
      <c r="BA31" s="117" t="str">
        <f>=IFERROR(ROUND(AZ31/FB_Kurs_8,2),0)</f>
      </c>
      <c r="BB31" s="116" t="str">
        <f>=ROUND(AZ31+AU31,2)</f>
      </c>
      <c r="BC31" s="144" t="str">
        <f>=ROUND(BA31+AV31,2)</f>
      </c>
      <c r="BF31" s="149" t="s">
        <v>232</v>
      </c>
      <c r="BG31" s="24"/>
      <c r="BH31" s="117" t="str">
        <f>=IFERROR(ROUND(BG31/FB_Kurs_9,2),0)</f>
      </c>
      <c r="BI31" s="116" t="str">
        <f>=ROUND(BG31+BB31,2)</f>
      </c>
      <c r="BJ31" s="144" t="str">
        <f>=ROUND(BH31+BC31,2)</f>
      </c>
      <c r="BM31" s="149" t="s">
        <v>232</v>
      </c>
      <c r="BN31" s="24"/>
      <c r="BO31" s="117" t="str">
        <f>=IFERROR(ROUND(BN31/FB_Kurs_10,2),0)</f>
      </c>
      <c r="BP31" s="116" t="str">
        <f>=ROUND(BN31+BI31,2)</f>
      </c>
      <c r="BQ31" s="144" t="str">
        <f>=ROUND(BO31+BJ31,2)</f>
      </c>
      <c r="BT31" s="149" t="s">
        <v>232</v>
      </c>
      <c r="BU31" s="24"/>
      <c r="BV31" s="117" t="str">
        <f>=IFERROR(ROUND(BU31/FB_Kurs_11,2),0)</f>
      </c>
      <c r="BW31" s="116" t="str">
        <f>=ROUND(BU31+BP31,2)</f>
      </c>
      <c r="BX31" s="144" t="str">
        <f>=ROUND(BV31+BQ31,2)</f>
      </c>
      <c r="CA31" s="149" t="s">
        <v>232</v>
      </c>
      <c r="CB31" s="24"/>
      <c r="CC31" s="117" t="str">
        <f>=IFERROR(ROUND(CB31/FB_Kurs_12,2),0)</f>
      </c>
      <c r="CD31" s="116" t="str">
        <f>=ROUND(CB31+BW31,2)</f>
      </c>
      <c r="CE31" s="144" t="str">
        <f>=ROUND(CC31+BX31,2)</f>
      </c>
      <c r="CH31" s="149" t="s">
        <v>232</v>
      </c>
      <c r="CI31" s="24"/>
      <c r="CJ31" s="117" t="str">
        <f>=IFERROR(ROUND(CI31/FB_Kurs_13,2),0)</f>
      </c>
      <c r="CK31" s="116" t="str">
        <f>=ROUND(CI31+CD31,2)</f>
      </c>
      <c r="CL31" s="144" t="str">
        <f>=ROUND(CJ31+CE31,2)</f>
      </c>
      <c r="CO31" s="149" t="s">
        <v>232</v>
      </c>
      <c r="CP31" s="24"/>
      <c r="CQ31" s="117" t="str">
        <f>=IFERROR(ROUND(CP31/FB_Kurs_14,2),0)</f>
      </c>
      <c r="CR31" s="116" t="str">
        <f>=ROUND(CP31+CK31,2)</f>
      </c>
      <c r="CS31" s="144" t="str">
        <f>=ROUND(CQ31+CL31,2)</f>
      </c>
      <c r="CV31" s="149" t="s">
        <v>232</v>
      </c>
      <c r="CW31" s="24"/>
      <c r="CX31" s="117" t="str">
        <f>=IFERROR(ROUND(CW31/FB_Kurs_15,2),0)</f>
      </c>
      <c r="CY31" s="116" t="str">
        <f>=ROUND(CW31+CR31,2)</f>
      </c>
      <c r="CZ31" s="144" t="str">
        <f>=ROUND(CX31+CS31,2)</f>
      </c>
      <c r="DC31" s="149" t="s">
        <v>232</v>
      </c>
      <c r="DD31" s="24"/>
      <c r="DE31" s="117" t="str">
        <f>=IFERROR(ROUND(DD31/FB_Kurs_16,2),0)</f>
      </c>
      <c r="DF31" s="116" t="str">
        <f>=ROUND(DD31+CY31,2)</f>
      </c>
      <c r="DG31" s="144" t="str">
        <f>=ROUND(DE31+CZ31,2)</f>
      </c>
      <c r="DJ31" s="149" t="s">
        <v>232</v>
      </c>
      <c r="DK31" s="24"/>
      <c r="DL31" s="117" t="str">
        <f>=IFERROR(ROUND(DK31/FB_Kurs_17,2),0)</f>
      </c>
      <c r="DM31" s="116" t="str">
        <f>=ROUND(DK31+DF31,2)</f>
      </c>
      <c r="DN31" s="144" t="str">
        <f>=ROUND(DL31+DG31,2)</f>
      </c>
      <c r="DQ31" s="149" t="s">
        <v>232</v>
      </c>
      <c r="DR31" s="24"/>
      <c r="DS31" s="117" t="str">
        <f>=IFERROR(ROUND(DR31/FB_Kurs_18,2),0)</f>
      </c>
      <c r="DT31" s="116" t="str">
        <f>=ROUND(DR31+DM31,2)</f>
      </c>
      <c r="DU31" s="144" t="str">
        <f>=ROUND(DS31+DN31,2)</f>
      </c>
    </row>
    <row r="32">
      <c r="B32" s="149" t="s">
        <v>234</v>
      </c>
      <c r="C32" s="24"/>
      <c r="D32" s="117" t="str">
        <f>=IFERROR(ROUND(C32/FB_Kurs_1,2),0)</f>
      </c>
      <c r="E32" s="116" t="str">
        <f>=ROUND(C32,2)</f>
      </c>
      <c r="F32" s="144" t="str">
        <f>=ROUND(D32,2)</f>
      </c>
      <c r="I32" s="149" t="s">
        <v>234</v>
      </c>
      <c r="J32" s="24"/>
      <c r="K32" s="117" t="str">
        <f>=IFERROR(ROUND(J32/FB_Kurs_2,2),0)</f>
      </c>
      <c r="L32" s="116" t="str">
        <f>=ROUND(J32+E32,2)</f>
      </c>
      <c r="M32" s="144" t="str">
        <f>=ROUND(K32+F32,2)</f>
      </c>
      <c r="P32" s="149" t="s">
        <v>234</v>
      </c>
      <c r="Q32" s="24"/>
      <c r="R32" s="117" t="str">
        <f>=IFERROR(ROUND(Q32/FB_Kurs_3,2),0)</f>
      </c>
      <c r="S32" s="116" t="str">
        <f>=ROUND(Q32+L32,2)</f>
      </c>
      <c r="T32" s="144" t="str">
        <f>=ROUND(R32+M32,2)</f>
      </c>
      <c r="W32" s="149" t="s">
        <v>234</v>
      </c>
      <c r="X32" s="24"/>
      <c r="Y32" s="117" t="str">
        <f>=IFERROR(ROUND(X32/FB_Kurs_4,2),0)</f>
      </c>
      <c r="Z32" s="116" t="str">
        <f>=ROUND(X32+S32,2)</f>
      </c>
      <c r="AA32" s="144" t="str">
        <f>=ROUND(Y32+T32,2)</f>
      </c>
      <c r="AD32" s="149" t="s">
        <v>234</v>
      </c>
      <c r="AE32" s="24"/>
      <c r="AF32" s="117" t="str">
        <f>=IFERROR(ROUND(AE32/FB_Kurs_5,2),0)</f>
      </c>
      <c r="AG32" s="116" t="str">
        <f>=ROUND(AE32+Z32,2)</f>
      </c>
      <c r="AH32" s="144" t="str">
        <f>=ROUND(AF32+AA32,2)</f>
      </c>
      <c r="AK32" s="149" t="s">
        <v>234</v>
      </c>
      <c r="AL32" s="24"/>
      <c r="AM32" s="117" t="str">
        <f>=IFERROR(ROUND(AL32/FB_Kurs_6,2),0)</f>
      </c>
      <c r="AN32" s="116" t="str">
        <f>=ROUND(AL32+AG32,2)</f>
      </c>
      <c r="AO32" s="144" t="str">
        <f>=ROUND(AM32+AH32,2)</f>
      </c>
      <c r="AR32" s="149" t="s">
        <v>234</v>
      </c>
      <c r="AS32" s="24"/>
      <c r="AT32" s="117" t="str">
        <f>=IFERROR(ROUND(AS32/FB_Kurs_7,2),0)</f>
      </c>
      <c r="AU32" s="116" t="str">
        <f>=ROUND(AS32+AN32,2)</f>
      </c>
      <c r="AV32" s="144" t="str">
        <f>=ROUND(AT32+AO32,2)</f>
      </c>
      <c r="AY32" s="149" t="s">
        <v>234</v>
      </c>
      <c r="AZ32" s="24"/>
      <c r="BA32" s="117" t="str">
        <f>=IFERROR(ROUND(AZ32/FB_Kurs_8,2),0)</f>
      </c>
      <c r="BB32" s="116" t="str">
        <f>=ROUND(AZ32+AU32,2)</f>
      </c>
      <c r="BC32" s="144" t="str">
        <f>=ROUND(BA32+AV32,2)</f>
      </c>
      <c r="BF32" s="149" t="s">
        <v>234</v>
      </c>
      <c r="BG32" s="24"/>
      <c r="BH32" s="117" t="str">
        <f>=IFERROR(ROUND(BG32/FB_Kurs_9,2),0)</f>
      </c>
      <c r="BI32" s="116" t="str">
        <f>=ROUND(BG32+BB32,2)</f>
      </c>
      <c r="BJ32" s="144" t="str">
        <f>=ROUND(BH32+BC32,2)</f>
      </c>
      <c r="BM32" s="149" t="s">
        <v>234</v>
      </c>
      <c r="BN32" s="24"/>
      <c r="BO32" s="117" t="str">
        <f>=IFERROR(ROUND(BN32/FB_Kurs_10,2),0)</f>
      </c>
      <c r="BP32" s="116" t="str">
        <f>=ROUND(BN32+BI32,2)</f>
      </c>
      <c r="BQ32" s="144" t="str">
        <f>=ROUND(BO32+BJ32,2)</f>
      </c>
      <c r="BT32" s="149" t="s">
        <v>234</v>
      </c>
      <c r="BU32" s="24"/>
      <c r="BV32" s="117" t="str">
        <f>=IFERROR(ROUND(BU32/FB_Kurs_11,2),0)</f>
      </c>
      <c r="BW32" s="116" t="str">
        <f>=ROUND(BU32+BP32,2)</f>
      </c>
      <c r="BX32" s="144" t="str">
        <f>=ROUND(BV32+BQ32,2)</f>
      </c>
      <c r="CA32" s="149" t="s">
        <v>234</v>
      </c>
      <c r="CB32" s="24"/>
      <c r="CC32" s="117" t="str">
        <f>=IFERROR(ROUND(CB32/FB_Kurs_12,2),0)</f>
      </c>
      <c r="CD32" s="116" t="str">
        <f>=ROUND(CB32+BW32,2)</f>
      </c>
      <c r="CE32" s="144" t="str">
        <f>=ROUND(CC32+BX32,2)</f>
      </c>
      <c r="CH32" s="149" t="s">
        <v>234</v>
      </c>
      <c r="CI32" s="24"/>
      <c r="CJ32" s="117" t="str">
        <f>=IFERROR(ROUND(CI32/FB_Kurs_13,2),0)</f>
      </c>
      <c r="CK32" s="116" t="str">
        <f>=ROUND(CI32+CD32,2)</f>
      </c>
      <c r="CL32" s="144" t="str">
        <f>=ROUND(CJ32+CE32,2)</f>
      </c>
      <c r="CO32" s="149" t="s">
        <v>234</v>
      </c>
      <c r="CP32" s="24"/>
      <c r="CQ32" s="117" t="str">
        <f>=IFERROR(ROUND(CP32/FB_Kurs_14,2),0)</f>
      </c>
      <c r="CR32" s="116" t="str">
        <f>=ROUND(CP32+CK32,2)</f>
      </c>
      <c r="CS32" s="144" t="str">
        <f>=ROUND(CQ32+CL32,2)</f>
      </c>
      <c r="CV32" s="149" t="s">
        <v>234</v>
      </c>
      <c r="CW32" s="24"/>
      <c r="CX32" s="117" t="str">
        <f>=IFERROR(ROUND(CW32/FB_Kurs_15,2),0)</f>
      </c>
      <c r="CY32" s="116" t="str">
        <f>=ROUND(CW32+CR32,2)</f>
      </c>
      <c r="CZ32" s="144" t="str">
        <f>=ROUND(CX32+CS32,2)</f>
      </c>
      <c r="DC32" s="149" t="s">
        <v>234</v>
      </c>
      <c r="DD32" s="24"/>
      <c r="DE32" s="117" t="str">
        <f>=IFERROR(ROUND(DD32/FB_Kurs_16,2),0)</f>
      </c>
      <c r="DF32" s="116" t="str">
        <f>=ROUND(DD32+CY32,2)</f>
      </c>
      <c r="DG32" s="144" t="str">
        <f>=ROUND(DE32+CZ32,2)</f>
      </c>
      <c r="DJ32" s="149" t="s">
        <v>234</v>
      </c>
      <c r="DK32" s="24"/>
      <c r="DL32" s="117" t="str">
        <f>=IFERROR(ROUND(DK32/FB_Kurs_17,2),0)</f>
      </c>
      <c r="DM32" s="116" t="str">
        <f>=ROUND(DK32+DF32,2)</f>
      </c>
      <c r="DN32" s="144" t="str">
        <f>=ROUND(DL32+DG32,2)</f>
      </c>
      <c r="DQ32" s="149" t="s">
        <v>234</v>
      </c>
      <c r="DR32" s="24"/>
      <c r="DS32" s="117" t="str">
        <f>=IFERROR(ROUND(DR32/FB_Kurs_18,2),0)</f>
      </c>
      <c r="DT32" s="116" t="str">
        <f>=ROUND(DR32+DM32,2)</f>
      </c>
      <c r="DU32" s="144" t="str">
        <f>=ROUND(DS32+DN32,2)</f>
      </c>
    </row>
    <row r="33">
      <c r="B33" s="149" t="s">
        <v>236</v>
      </c>
      <c r="C33" s="24"/>
      <c r="D33" s="117" t="str">
        <f>=IFERROR(ROUND(C33/FB_Kurs_1,2),0)</f>
      </c>
      <c r="E33" s="116" t="str">
        <f>=ROUND(C33,2)</f>
      </c>
      <c r="F33" s="144" t="str">
        <f>=ROUND(D33,2)</f>
      </c>
      <c r="I33" s="149" t="s">
        <v>236</v>
      </c>
      <c r="J33" s="24"/>
      <c r="K33" s="117" t="str">
        <f>=IFERROR(ROUND(J33/FB_Kurs_2,2),0)</f>
      </c>
      <c r="L33" s="116" t="str">
        <f>=ROUND(J33+E33,2)</f>
      </c>
      <c r="M33" s="144" t="str">
        <f>=ROUND(K33+F33,2)</f>
      </c>
      <c r="P33" s="149" t="s">
        <v>236</v>
      </c>
      <c r="Q33" s="24"/>
      <c r="R33" s="117" t="str">
        <f>=IFERROR(ROUND(Q33/FB_Kurs_3,2),0)</f>
      </c>
      <c r="S33" s="116" t="str">
        <f>=ROUND(Q33+L33,2)</f>
      </c>
      <c r="T33" s="144" t="str">
        <f>=ROUND(R33+M33,2)</f>
      </c>
      <c r="W33" s="149" t="s">
        <v>236</v>
      </c>
      <c r="X33" s="24"/>
      <c r="Y33" s="117" t="str">
        <f>=IFERROR(ROUND(X33/FB_Kurs_4,2),0)</f>
      </c>
      <c r="Z33" s="116" t="str">
        <f>=ROUND(X33+S33,2)</f>
      </c>
      <c r="AA33" s="144" t="str">
        <f>=ROUND(Y33+T33,2)</f>
      </c>
      <c r="AD33" s="149" t="s">
        <v>236</v>
      </c>
      <c r="AE33" s="24"/>
      <c r="AF33" s="117" t="str">
        <f>=IFERROR(ROUND(AE33/FB_Kurs_5,2),0)</f>
      </c>
      <c r="AG33" s="116" t="str">
        <f>=ROUND(AE33+Z33,2)</f>
      </c>
      <c r="AH33" s="144" t="str">
        <f>=ROUND(AF33+AA33,2)</f>
      </c>
      <c r="AK33" s="149" t="s">
        <v>236</v>
      </c>
      <c r="AL33" s="24"/>
      <c r="AM33" s="117" t="str">
        <f>=IFERROR(ROUND(AL33/FB_Kurs_6,2),0)</f>
      </c>
      <c r="AN33" s="116" t="str">
        <f>=ROUND(AL33+AG33,2)</f>
      </c>
      <c r="AO33" s="144" t="str">
        <f>=ROUND(AM33+AH33,2)</f>
      </c>
      <c r="AR33" s="149" t="s">
        <v>236</v>
      </c>
      <c r="AS33" s="24"/>
      <c r="AT33" s="117" t="str">
        <f>=IFERROR(ROUND(AS33/FB_Kurs_7,2),0)</f>
      </c>
      <c r="AU33" s="116" t="str">
        <f>=ROUND(AS33+AN33,2)</f>
      </c>
      <c r="AV33" s="144" t="str">
        <f>=ROUND(AT33+AO33,2)</f>
      </c>
      <c r="AY33" s="149" t="s">
        <v>236</v>
      </c>
      <c r="AZ33" s="24"/>
      <c r="BA33" s="117" t="str">
        <f>=IFERROR(ROUND(AZ33/FB_Kurs_8,2),0)</f>
      </c>
      <c r="BB33" s="116" t="str">
        <f>=ROUND(AZ33+AU33,2)</f>
      </c>
      <c r="BC33" s="144" t="str">
        <f>=ROUND(BA33+AV33,2)</f>
      </c>
      <c r="BF33" s="149" t="s">
        <v>236</v>
      </c>
      <c r="BG33" s="24"/>
      <c r="BH33" s="117" t="str">
        <f>=IFERROR(ROUND(BG33/FB_Kurs_9,2),0)</f>
      </c>
      <c r="BI33" s="116" t="str">
        <f>=ROUND(BG33+BB33,2)</f>
      </c>
      <c r="BJ33" s="144" t="str">
        <f>=ROUND(BH33+BC33,2)</f>
      </c>
      <c r="BM33" s="149" t="s">
        <v>236</v>
      </c>
      <c r="BN33" s="24"/>
      <c r="BO33" s="117" t="str">
        <f>=IFERROR(ROUND(BN33/FB_Kurs_10,2),0)</f>
      </c>
      <c r="BP33" s="116" t="str">
        <f>=ROUND(BN33+BI33,2)</f>
      </c>
      <c r="BQ33" s="144" t="str">
        <f>=ROUND(BO33+BJ33,2)</f>
      </c>
      <c r="BT33" s="149" t="s">
        <v>236</v>
      </c>
      <c r="BU33" s="24"/>
      <c r="BV33" s="117" t="str">
        <f>=IFERROR(ROUND(BU33/FB_Kurs_11,2),0)</f>
      </c>
      <c r="BW33" s="116" t="str">
        <f>=ROUND(BU33+BP33,2)</f>
      </c>
      <c r="BX33" s="144" t="str">
        <f>=ROUND(BV33+BQ33,2)</f>
      </c>
      <c r="CA33" s="149" t="s">
        <v>236</v>
      </c>
      <c r="CB33" s="24"/>
      <c r="CC33" s="117" t="str">
        <f>=IFERROR(ROUND(CB33/FB_Kurs_12,2),0)</f>
      </c>
      <c r="CD33" s="116" t="str">
        <f>=ROUND(CB33+BW33,2)</f>
      </c>
      <c r="CE33" s="144" t="str">
        <f>=ROUND(CC33+BX33,2)</f>
      </c>
      <c r="CH33" s="149" t="s">
        <v>236</v>
      </c>
      <c r="CI33" s="24"/>
      <c r="CJ33" s="117" t="str">
        <f>=IFERROR(ROUND(CI33/FB_Kurs_13,2),0)</f>
      </c>
      <c r="CK33" s="116" t="str">
        <f>=ROUND(CI33+CD33,2)</f>
      </c>
      <c r="CL33" s="144" t="str">
        <f>=ROUND(CJ33+CE33,2)</f>
      </c>
      <c r="CO33" s="149" t="s">
        <v>236</v>
      </c>
      <c r="CP33" s="24"/>
      <c r="CQ33" s="117" t="str">
        <f>=IFERROR(ROUND(CP33/FB_Kurs_14,2),0)</f>
      </c>
      <c r="CR33" s="116" t="str">
        <f>=ROUND(CP33+CK33,2)</f>
      </c>
      <c r="CS33" s="144" t="str">
        <f>=ROUND(CQ33+CL33,2)</f>
      </c>
      <c r="CV33" s="149" t="s">
        <v>236</v>
      </c>
      <c r="CW33" s="24"/>
      <c r="CX33" s="117" t="str">
        <f>=IFERROR(ROUND(CW33/FB_Kurs_15,2),0)</f>
      </c>
      <c r="CY33" s="116" t="str">
        <f>=ROUND(CW33+CR33,2)</f>
      </c>
      <c r="CZ33" s="144" t="str">
        <f>=ROUND(CX33+CS33,2)</f>
      </c>
      <c r="DC33" s="149" t="s">
        <v>236</v>
      </c>
      <c r="DD33" s="24"/>
      <c r="DE33" s="117" t="str">
        <f>=IFERROR(ROUND(DD33/FB_Kurs_16,2),0)</f>
      </c>
      <c r="DF33" s="116" t="str">
        <f>=ROUND(DD33+CY33,2)</f>
      </c>
      <c r="DG33" s="144" t="str">
        <f>=ROUND(DE33+CZ33,2)</f>
      </c>
      <c r="DJ33" s="149" t="s">
        <v>236</v>
      </c>
      <c r="DK33" s="24"/>
      <c r="DL33" s="117" t="str">
        <f>=IFERROR(ROUND(DK33/FB_Kurs_17,2),0)</f>
      </c>
      <c r="DM33" s="116" t="str">
        <f>=ROUND(DK33+DF33,2)</f>
      </c>
      <c r="DN33" s="144" t="str">
        <f>=ROUND(DL33+DG33,2)</f>
      </c>
      <c r="DQ33" s="149" t="s">
        <v>236</v>
      </c>
      <c r="DR33" s="24"/>
      <c r="DS33" s="117" t="str">
        <f>=IFERROR(ROUND(DR33/FB_Kurs_18,2),0)</f>
      </c>
      <c r="DT33" s="116" t="str">
        <f>=ROUND(DR33+DM33,2)</f>
      </c>
      <c r="DU33" s="144" t="str">
        <f>=ROUND(DS33+DN33,2)</f>
      </c>
    </row>
    <row r="34">
      <c r="B34" s="149" t="s">
        <v>238</v>
      </c>
      <c r="C34" s="24"/>
      <c r="D34" s="117" t="str">
        <f>=IFERROR(ROUND(C34/FB_Kurs_1,2),0)</f>
      </c>
      <c r="E34" s="116" t="str">
        <f>=ROUND(C34,2)</f>
      </c>
      <c r="F34" s="144" t="str">
        <f>=ROUND(D34,2)</f>
      </c>
      <c r="I34" s="149" t="s">
        <v>238</v>
      </c>
      <c r="J34" s="24"/>
      <c r="K34" s="117" t="str">
        <f>=IFERROR(ROUND(J34/FB_Kurs_2,2),0)</f>
      </c>
      <c r="L34" s="116" t="str">
        <f>=ROUND(J34+E34,2)</f>
      </c>
      <c r="M34" s="144" t="str">
        <f>=ROUND(K34+F34,2)</f>
      </c>
      <c r="P34" s="149" t="s">
        <v>238</v>
      </c>
      <c r="Q34" s="24"/>
      <c r="R34" s="117" t="str">
        <f>=IFERROR(ROUND(Q34/FB_Kurs_3,2),0)</f>
      </c>
      <c r="S34" s="116" t="str">
        <f>=ROUND(Q34+L34,2)</f>
      </c>
      <c r="T34" s="144" t="str">
        <f>=ROUND(R34+M34,2)</f>
      </c>
      <c r="W34" s="149" t="s">
        <v>238</v>
      </c>
      <c r="X34" s="24"/>
      <c r="Y34" s="117" t="str">
        <f>=IFERROR(ROUND(X34/FB_Kurs_4,2),0)</f>
      </c>
      <c r="Z34" s="116" t="str">
        <f>=ROUND(X34+S34,2)</f>
      </c>
      <c r="AA34" s="144" t="str">
        <f>=ROUND(Y34+T34,2)</f>
      </c>
      <c r="AD34" s="149" t="s">
        <v>238</v>
      </c>
      <c r="AE34" s="24"/>
      <c r="AF34" s="117" t="str">
        <f>=IFERROR(ROUND(AE34/FB_Kurs_5,2),0)</f>
      </c>
      <c r="AG34" s="116" t="str">
        <f>=ROUND(AE34+Z34,2)</f>
      </c>
      <c r="AH34" s="144" t="str">
        <f>=ROUND(AF34+AA34,2)</f>
      </c>
      <c r="AK34" s="149" t="s">
        <v>238</v>
      </c>
      <c r="AL34" s="24"/>
      <c r="AM34" s="117" t="str">
        <f>=IFERROR(ROUND(AL34/FB_Kurs_6,2),0)</f>
      </c>
      <c r="AN34" s="116" t="str">
        <f>=ROUND(AL34+AG34,2)</f>
      </c>
      <c r="AO34" s="144" t="str">
        <f>=ROUND(AM34+AH34,2)</f>
      </c>
      <c r="AR34" s="149" t="s">
        <v>238</v>
      </c>
      <c r="AS34" s="24"/>
      <c r="AT34" s="117" t="str">
        <f>=IFERROR(ROUND(AS34/FB_Kurs_7,2),0)</f>
      </c>
      <c r="AU34" s="116" t="str">
        <f>=ROUND(AS34+AN34,2)</f>
      </c>
      <c r="AV34" s="144" t="str">
        <f>=ROUND(AT34+AO34,2)</f>
      </c>
      <c r="AY34" s="149" t="s">
        <v>238</v>
      </c>
      <c r="AZ34" s="24"/>
      <c r="BA34" s="117" t="str">
        <f>=IFERROR(ROUND(AZ34/FB_Kurs_8,2),0)</f>
      </c>
      <c r="BB34" s="116" t="str">
        <f>=ROUND(AZ34+AU34,2)</f>
      </c>
      <c r="BC34" s="144" t="str">
        <f>=ROUND(BA34+AV34,2)</f>
      </c>
      <c r="BF34" s="149" t="s">
        <v>238</v>
      </c>
      <c r="BG34" s="24"/>
      <c r="BH34" s="117" t="str">
        <f>=IFERROR(ROUND(BG34/FB_Kurs_9,2),0)</f>
      </c>
      <c r="BI34" s="116" t="str">
        <f>=ROUND(BG34+BB34,2)</f>
      </c>
      <c r="BJ34" s="144" t="str">
        <f>=ROUND(BH34+BC34,2)</f>
      </c>
      <c r="BM34" s="149" t="s">
        <v>238</v>
      </c>
      <c r="BN34" s="24"/>
      <c r="BO34" s="117" t="str">
        <f>=IFERROR(ROUND(BN34/FB_Kurs_10,2),0)</f>
      </c>
      <c r="BP34" s="116" t="str">
        <f>=ROUND(BN34+BI34,2)</f>
      </c>
      <c r="BQ34" s="144" t="str">
        <f>=ROUND(BO34+BJ34,2)</f>
      </c>
      <c r="BT34" s="149" t="s">
        <v>238</v>
      </c>
      <c r="BU34" s="24"/>
      <c r="BV34" s="117" t="str">
        <f>=IFERROR(ROUND(BU34/FB_Kurs_11,2),0)</f>
      </c>
      <c r="BW34" s="116" t="str">
        <f>=ROUND(BU34+BP34,2)</f>
      </c>
      <c r="BX34" s="144" t="str">
        <f>=ROUND(BV34+BQ34,2)</f>
      </c>
      <c r="CA34" s="149" t="s">
        <v>238</v>
      </c>
      <c r="CB34" s="24"/>
      <c r="CC34" s="117" t="str">
        <f>=IFERROR(ROUND(CB34/FB_Kurs_12,2),0)</f>
      </c>
      <c r="CD34" s="116" t="str">
        <f>=ROUND(CB34+BW34,2)</f>
      </c>
      <c r="CE34" s="144" t="str">
        <f>=ROUND(CC34+BX34,2)</f>
      </c>
      <c r="CH34" s="149" t="s">
        <v>238</v>
      </c>
      <c r="CI34" s="24"/>
      <c r="CJ34" s="117" t="str">
        <f>=IFERROR(ROUND(CI34/FB_Kurs_13,2),0)</f>
      </c>
      <c r="CK34" s="116" t="str">
        <f>=ROUND(CI34+CD34,2)</f>
      </c>
      <c r="CL34" s="144" t="str">
        <f>=ROUND(CJ34+CE34,2)</f>
      </c>
      <c r="CO34" s="149" t="s">
        <v>238</v>
      </c>
      <c r="CP34" s="24"/>
      <c r="CQ34" s="117" t="str">
        <f>=IFERROR(ROUND(CP34/FB_Kurs_14,2),0)</f>
      </c>
      <c r="CR34" s="116" t="str">
        <f>=ROUND(CP34+CK34,2)</f>
      </c>
      <c r="CS34" s="144" t="str">
        <f>=ROUND(CQ34+CL34,2)</f>
      </c>
      <c r="CV34" s="149" t="s">
        <v>238</v>
      </c>
      <c r="CW34" s="24"/>
      <c r="CX34" s="117" t="str">
        <f>=IFERROR(ROUND(CW34/FB_Kurs_15,2),0)</f>
      </c>
      <c r="CY34" s="116" t="str">
        <f>=ROUND(CW34+CR34,2)</f>
      </c>
      <c r="CZ34" s="144" t="str">
        <f>=ROUND(CX34+CS34,2)</f>
      </c>
      <c r="DC34" s="149" t="s">
        <v>238</v>
      </c>
      <c r="DD34" s="24"/>
      <c r="DE34" s="117" t="str">
        <f>=IFERROR(ROUND(DD34/FB_Kurs_16,2),0)</f>
      </c>
      <c r="DF34" s="116" t="str">
        <f>=ROUND(DD34+CY34,2)</f>
      </c>
      <c r="DG34" s="144" t="str">
        <f>=ROUND(DE34+CZ34,2)</f>
      </c>
      <c r="DJ34" s="149" t="s">
        <v>238</v>
      </c>
      <c r="DK34" s="24"/>
      <c r="DL34" s="117" t="str">
        <f>=IFERROR(ROUND(DK34/FB_Kurs_17,2),0)</f>
      </c>
      <c r="DM34" s="116" t="str">
        <f>=ROUND(DK34+DF34,2)</f>
      </c>
      <c r="DN34" s="144" t="str">
        <f>=ROUND(DL34+DG34,2)</f>
      </c>
      <c r="DQ34" s="149" t="s">
        <v>238</v>
      </c>
      <c r="DR34" s="24"/>
      <c r="DS34" s="117" t="str">
        <f>=IFERROR(ROUND(DR34/FB_Kurs_18,2),0)</f>
      </c>
      <c r="DT34" s="116" t="str">
        <f>=ROUND(DR34+DM34,2)</f>
      </c>
      <c r="DU34" s="144" t="str">
        <f>=ROUND(DS34+DN34,2)</f>
      </c>
    </row>
    <row r="35">
      <c r="B35" s="149" t="s">
        <v>240</v>
      </c>
      <c r="C35" s="24"/>
      <c r="D35" s="117" t="str">
        <f>=IFERROR(ROUND(C35/FB_Kurs_1,2),0)</f>
      </c>
      <c r="E35" s="116" t="str">
        <f>=ROUND(C35,2)</f>
      </c>
      <c r="F35" s="144" t="str">
        <f>=ROUND(D35,2)</f>
      </c>
      <c r="I35" s="149" t="s">
        <v>240</v>
      </c>
      <c r="J35" s="24"/>
      <c r="K35" s="117" t="str">
        <f>=IFERROR(ROUND(J35/FB_Kurs_2,2),0)</f>
      </c>
      <c r="L35" s="116" t="str">
        <f>=ROUND(J35+E35,2)</f>
      </c>
      <c r="M35" s="144" t="str">
        <f>=ROUND(K35+F35,2)</f>
      </c>
      <c r="P35" s="149" t="s">
        <v>240</v>
      </c>
      <c r="Q35" s="24"/>
      <c r="R35" s="117" t="str">
        <f>=IFERROR(ROUND(Q35/FB_Kurs_3,2),0)</f>
      </c>
      <c r="S35" s="116" t="str">
        <f>=ROUND(Q35+L35,2)</f>
      </c>
      <c r="T35" s="144" t="str">
        <f>=ROUND(R35+M35,2)</f>
      </c>
      <c r="W35" s="149" t="s">
        <v>240</v>
      </c>
      <c r="X35" s="24"/>
      <c r="Y35" s="117" t="str">
        <f>=IFERROR(ROUND(X35/FB_Kurs_4,2),0)</f>
      </c>
      <c r="Z35" s="116" t="str">
        <f>=ROUND(X35+S35,2)</f>
      </c>
      <c r="AA35" s="144" t="str">
        <f>=ROUND(Y35+T35,2)</f>
      </c>
      <c r="AD35" s="149" t="s">
        <v>240</v>
      </c>
      <c r="AE35" s="24"/>
      <c r="AF35" s="117" t="str">
        <f>=IFERROR(ROUND(AE35/FB_Kurs_5,2),0)</f>
      </c>
      <c r="AG35" s="116" t="str">
        <f>=ROUND(AE35+Z35,2)</f>
      </c>
      <c r="AH35" s="144" t="str">
        <f>=ROUND(AF35+AA35,2)</f>
      </c>
      <c r="AK35" s="149" t="s">
        <v>240</v>
      </c>
      <c r="AL35" s="24"/>
      <c r="AM35" s="117" t="str">
        <f>=IFERROR(ROUND(AL35/FB_Kurs_6,2),0)</f>
      </c>
      <c r="AN35" s="116" t="str">
        <f>=ROUND(AL35+AG35,2)</f>
      </c>
      <c r="AO35" s="144" t="str">
        <f>=ROUND(AM35+AH35,2)</f>
      </c>
      <c r="AR35" s="149" t="s">
        <v>240</v>
      </c>
      <c r="AS35" s="24"/>
      <c r="AT35" s="117" t="str">
        <f>=IFERROR(ROUND(AS35/FB_Kurs_7,2),0)</f>
      </c>
      <c r="AU35" s="116" t="str">
        <f>=ROUND(AS35+AN35,2)</f>
      </c>
      <c r="AV35" s="144" t="str">
        <f>=ROUND(AT35+AO35,2)</f>
      </c>
      <c r="AY35" s="149" t="s">
        <v>240</v>
      </c>
      <c r="AZ35" s="24"/>
      <c r="BA35" s="117" t="str">
        <f>=IFERROR(ROUND(AZ35/FB_Kurs_8,2),0)</f>
      </c>
      <c r="BB35" s="116" t="str">
        <f>=ROUND(AZ35+AU35,2)</f>
      </c>
      <c r="BC35" s="144" t="str">
        <f>=ROUND(BA35+AV35,2)</f>
      </c>
      <c r="BF35" s="149" t="s">
        <v>240</v>
      </c>
      <c r="BG35" s="24"/>
      <c r="BH35" s="117" t="str">
        <f>=IFERROR(ROUND(BG35/FB_Kurs_9,2),0)</f>
      </c>
      <c r="BI35" s="116" t="str">
        <f>=ROUND(BG35+BB35,2)</f>
      </c>
      <c r="BJ35" s="144" t="str">
        <f>=ROUND(BH35+BC35,2)</f>
      </c>
      <c r="BM35" s="149" t="s">
        <v>240</v>
      </c>
      <c r="BN35" s="24"/>
      <c r="BO35" s="117" t="str">
        <f>=IFERROR(ROUND(BN35/FB_Kurs_10,2),0)</f>
      </c>
      <c r="BP35" s="116" t="str">
        <f>=ROUND(BN35+BI35,2)</f>
      </c>
      <c r="BQ35" s="144" t="str">
        <f>=ROUND(BO35+BJ35,2)</f>
      </c>
      <c r="BT35" s="149" t="s">
        <v>240</v>
      </c>
      <c r="BU35" s="24"/>
      <c r="BV35" s="117" t="str">
        <f>=IFERROR(ROUND(BU35/FB_Kurs_11,2),0)</f>
      </c>
      <c r="BW35" s="116" t="str">
        <f>=ROUND(BU35+BP35,2)</f>
      </c>
      <c r="BX35" s="144" t="str">
        <f>=ROUND(BV35+BQ35,2)</f>
      </c>
      <c r="CA35" s="149" t="s">
        <v>240</v>
      </c>
      <c r="CB35" s="24"/>
      <c r="CC35" s="117" t="str">
        <f>=IFERROR(ROUND(CB35/FB_Kurs_12,2),0)</f>
      </c>
      <c r="CD35" s="116" t="str">
        <f>=ROUND(CB35+BW35,2)</f>
      </c>
      <c r="CE35" s="144" t="str">
        <f>=ROUND(CC35+BX35,2)</f>
      </c>
      <c r="CH35" s="149" t="s">
        <v>240</v>
      </c>
      <c r="CI35" s="24"/>
      <c r="CJ35" s="117" t="str">
        <f>=IFERROR(ROUND(CI35/FB_Kurs_13,2),0)</f>
      </c>
      <c r="CK35" s="116" t="str">
        <f>=ROUND(CI35+CD35,2)</f>
      </c>
      <c r="CL35" s="144" t="str">
        <f>=ROUND(CJ35+CE35,2)</f>
      </c>
      <c r="CO35" s="149" t="s">
        <v>240</v>
      </c>
      <c r="CP35" s="24"/>
      <c r="CQ35" s="117" t="str">
        <f>=IFERROR(ROUND(CP35/FB_Kurs_14,2),0)</f>
      </c>
      <c r="CR35" s="116" t="str">
        <f>=ROUND(CP35+CK35,2)</f>
      </c>
      <c r="CS35" s="144" t="str">
        <f>=ROUND(CQ35+CL35,2)</f>
      </c>
      <c r="CV35" s="149" t="s">
        <v>240</v>
      </c>
      <c r="CW35" s="24"/>
      <c r="CX35" s="117" t="str">
        <f>=IFERROR(ROUND(CW35/FB_Kurs_15,2),0)</f>
      </c>
      <c r="CY35" s="116" t="str">
        <f>=ROUND(CW35+CR35,2)</f>
      </c>
      <c r="CZ35" s="144" t="str">
        <f>=ROUND(CX35+CS35,2)</f>
      </c>
      <c r="DC35" s="149" t="s">
        <v>240</v>
      </c>
      <c r="DD35" s="24"/>
      <c r="DE35" s="117" t="str">
        <f>=IFERROR(ROUND(DD35/FB_Kurs_16,2),0)</f>
      </c>
      <c r="DF35" s="116" t="str">
        <f>=ROUND(DD35+CY35,2)</f>
      </c>
      <c r="DG35" s="144" t="str">
        <f>=ROUND(DE35+CZ35,2)</f>
      </c>
      <c r="DJ35" s="149" t="s">
        <v>240</v>
      </c>
      <c r="DK35" s="24"/>
      <c r="DL35" s="117" t="str">
        <f>=IFERROR(ROUND(DK35/FB_Kurs_17,2),0)</f>
      </c>
      <c r="DM35" s="116" t="str">
        <f>=ROUND(DK35+DF35,2)</f>
      </c>
      <c r="DN35" s="144" t="str">
        <f>=ROUND(DL35+DG35,2)</f>
      </c>
      <c r="DQ35" s="149" t="s">
        <v>240</v>
      </c>
      <c r="DR35" s="24"/>
      <c r="DS35" s="117" t="str">
        <f>=IFERROR(ROUND(DR35/FB_Kurs_18,2),0)</f>
      </c>
      <c r="DT35" s="116" t="str">
        <f>=ROUND(DR35+DM35,2)</f>
      </c>
      <c r="DU35" s="144" t="str">
        <f>=ROUND(DS35+DN35,2)</f>
      </c>
    </row>
    <row r="36">
      <c r="B36" s="149" t="s">
        <v>242</v>
      </c>
      <c r="C36" s="24"/>
      <c r="D36" s="117" t="str">
        <f>=IFERROR(ROUND(C36/FB_Kurs_1,2),0)</f>
      </c>
      <c r="E36" s="116" t="str">
        <f>=ROUND(C36,2)</f>
      </c>
      <c r="F36" s="144" t="str">
        <f>=ROUND(D36,2)</f>
      </c>
      <c r="I36" s="149" t="s">
        <v>242</v>
      </c>
      <c r="J36" s="24"/>
      <c r="K36" s="117" t="str">
        <f>=IFERROR(ROUND(J36/FB_Kurs_2,2),0)</f>
      </c>
      <c r="L36" s="116" t="str">
        <f>=ROUND(J36+E36,2)</f>
      </c>
      <c r="M36" s="144" t="str">
        <f>=ROUND(K36+F36,2)</f>
      </c>
      <c r="P36" s="149" t="s">
        <v>242</v>
      </c>
      <c r="Q36" s="24"/>
      <c r="R36" s="117" t="str">
        <f>=IFERROR(ROUND(Q36/FB_Kurs_3,2),0)</f>
      </c>
      <c r="S36" s="116" t="str">
        <f>=ROUND(Q36+L36,2)</f>
      </c>
      <c r="T36" s="144" t="str">
        <f>=ROUND(R36+M36,2)</f>
      </c>
      <c r="W36" s="149" t="s">
        <v>242</v>
      </c>
      <c r="X36" s="24"/>
      <c r="Y36" s="117" t="str">
        <f>=IFERROR(ROUND(X36/FB_Kurs_4,2),0)</f>
      </c>
      <c r="Z36" s="116" t="str">
        <f>=ROUND(X36+S36,2)</f>
      </c>
      <c r="AA36" s="144" t="str">
        <f>=ROUND(Y36+T36,2)</f>
      </c>
      <c r="AD36" s="149" t="s">
        <v>242</v>
      </c>
      <c r="AE36" s="24"/>
      <c r="AF36" s="117" t="str">
        <f>=IFERROR(ROUND(AE36/FB_Kurs_5,2),0)</f>
      </c>
      <c r="AG36" s="116" t="str">
        <f>=ROUND(AE36+Z36,2)</f>
      </c>
      <c r="AH36" s="144" t="str">
        <f>=ROUND(AF36+AA36,2)</f>
      </c>
      <c r="AK36" s="149" t="s">
        <v>242</v>
      </c>
      <c r="AL36" s="24"/>
      <c r="AM36" s="117" t="str">
        <f>=IFERROR(ROUND(AL36/FB_Kurs_6,2),0)</f>
      </c>
      <c r="AN36" s="116" t="str">
        <f>=ROUND(AL36+AG36,2)</f>
      </c>
      <c r="AO36" s="144" t="str">
        <f>=ROUND(AM36+AH36,2)</f>
      </c>
      <c r="AR36" s="149" t="s">
        <v>242</v>
      </c>
      <c r="AS36" s="24"/>
      <c r="AT36" s="117" t="str">
        <f>=IFERROR(ROUND(AS36/FB_Kurs_7,2),0)</f>
      </c>
      <c r="AU36" s="116" t="str">
        <f>=ROUND(AS36+AN36,2)</f>
      </c>
      <c r="AV36" s="144" t="str">
        <f>=ROUND(AT36+AO36,2)</f>
      </c>
      <c r="AY36" s="149" t="s">
        <v>242</v>
      </c>
      <c r="AZ36" s="24"/>
      <c r="BA36" s="117" t="str">
        <f>=IFERROR(ROUND(AZ36/FB_Kurs_8,2),0)</f>
      </c>
      <c r="BB36" s="116" t="str">
        <f>=ROUND(AZ36+AU36,2)</f>
      </c>
      <c r="BC36" s="144" t="str">
        <f>=ROUND(BA36+AV36,2)</f>
      </c>
      <c r="BF36" s="149" t="s">
        <v>242</v>
      </c>
      <c r="BG36" s="24"/>
      <c r="BH36" s="117" t="str">
        <f>=IFERROR(ROUND(BG36/FB_Kurs_9,2),0)</f>
      </c>
      <c r="BI36" s="116" t="str">
        <f>=ROUND(BG36+BB36,2)</f>
      </c>
      <c r="BJ36" s="144" t="str">
        <f>=ROUND(BH36+BC36,2)</f>
      </c>
      <c r="BM36" s="149" t="s">
        <v>242</v>
      </c>
      <c r="BN36" s="24"/>
      <c r="BO36" s="117" t="str">
        <f>=IFERROR(ROUND(BN36/FB_Kurs_10,2),0)</f>
      </c>
      <c r="BP36" s="116" t="str">
        <f>=ROUND(BN36+BI36,2)</f>
      </c>
      <c r="BQ36" s="144" t="str">
        <f>=ROUND(BO36+BJ36,2)</f>
      </c>
      <c r="BT36" s="149" t="s">
        <v>242</v>
      </c>
      <c r="BU36" s="24"/>
      <c r="BV36" s="117" t="str">
        <f>=IFERROR(ROUND(BU36/FB_Kurs_11,2),0)</f>
      </c>
      <c r="BW36" s="116" t="str">
        <f>=ROUND(BU36+BP36,2)</f>
      </c>
      <c r="BX36" s="144" t="str">
        <f>=ROUND(BV36+BQ36,2)</f>
      </c>
      <c r="CA36" s="149" t="s">
        <v>242</v>
      </c>
      <c r="CB36" s="24"/>
      <c r="CC36" s="117" t="str">
        <f>=IFERROR(ROUND(CB36/FB_Kurs_12,2),0)</f>
      </c>
      <c r="CD36" s="116" t="str">
        <f>=ROUND(CB36+BW36,2)</f>
      </c>
      <c r="CE36" s="144" t="str">
        <f>=ROUND(CC36+BX36,2)</f>
      </c>
      <c r="CH36" s="149" t="s">
        <v>242</v>
      </c>
      <c r="CI36" s="24"/>
      <c r="CJ36" s="117" t="str">
        <f>=IFERROR(ROUND(CI36/FB_Kurs_13,2),0)</f>
      </c>
      <c r="CK36" s="116" t="str">
        <f>=ROUND(CI36+CD36,2)</f>
      </c>
      <c r="CL36" s="144" t="str">
        <f>=ROUND(CJ36+CE36,2)</f>
      </c>
      <c r="CO36" s="149" t="s">
        <v>242</v>
      </c>
      <c r="CP36" s="24"/>
      <c r="CQ36" s="117" t="str">
        <f>=IFERROR(ROUND(CP36/FB_Kurs_14,2),0)</f>
      </c>
      <c r="CR36" s="116" t="str">
        <f>=ROUND(CP36+CK36,2)</f>
      </c>
      <c r="CS36" s="144" t="str">
        <f>=ROUND(CQ36+CL36,2)</f>
      </c>
      <c r="CV36" s="149" t="s">
        <v>242</v>
      </c>
      <c r="CW36" s="24"/>
      <c r="CX36" s="117" t="str">
        <f>=IFERROR(ROUND(CW36/FB_Kurs_15,2),0)</f>
      </c>
      <c r="CY36" s="116" t="str">
        <f>=ROUND(CW36+CR36,2)</f>
      </c>
      <c r="CZ36" s="144" t="str">
        <f>=ROUND(CX36+CS36,2)</f>
      </c>
      <c r="DC36" s="149" t="s">
        <v>242</v>
      </c>
      <c r="DD36" s="24"/>
      <c r="DE36" s="117" t="str">
        <f>=IFERROR(ROUND(DD36/FB_Kurs_16,2),0)</f>
      </c>
      <c r="DF36" s="116" t="str">
        <f>=ROUND(DD36+CY36,2)</f>
      </c>
      <c r="DG36" s="144" t="str">
        <f>=ROUND(DE36+CZ36,2)</f>
      </c>
      <c r="DJ36" s="149" t="s">
        <v>242</v>
      </c>
      <c r="DK36" s="24"/>
      <c r="DL36" s="117" t="str">
        <f>=IFERROR(ROUND(DK36/FB_Kurs_17,2),0)</f>
      </c>
      <c r="DM36" s="116" t="str">
        <f>=ROUND(DK36+DF36,2)</f>
      </c>
      <c r="DN36" s="144" t="str">
        <f>=ROUND(DL36+DG36,2)</f>
      </c>
      <c r="DQ36" s="149" t="s">
        <v>242</v>
      </c>
      <c r="DR36" s="24"/>
      <c r="DS36" s="117" t="str">
        <f>=IFERROR(ROUND(DR36/FB_Kurs_18,2),0)</f>
      </c>
      <c r="DT36" s="116" t="str">
        <f>=ROUND(DR36+DM36,2)</f>
      </c>
      <c r="DU36" s="144" t="str">
        <f>=ROUND(DS36+DN36,2)</f>
      </c>
    </row>
    <row r="37">
      <c r="B37" s="149" t="s">
        <v>244</v>
      </c>
      <c r="C37" s="24"/>
      <c r="D37" s="117" t="str">
        <f>=IFERROR(ROUND(C37/FB_Kurs_1,2),0)</f>
      </c>
      <c r="E37" s="116" t="str">
        <f>=ROUND(C37,2)</f>
      </c>
      <c r="F37" s="144" t="str">
        <f>=ROUND(D37,2)</f>
      </c>
      <c r="I37" s="149" t="s">
        <v>244</v>
      </c>
      <c r="J37" s="24"/>
      <c r="K37" s="117" t="str">
        <f>=IFERROR(ROUND(J37/FB_Kurs_2,2),0)</f>
      </c>
      <c r="L37" s="116" t="str">
        <f>=ROUND(J37+E37,2)</f>
      </c>
      <c r="M37" s="144" t="str">
        <f>=ROUND(K37+F37,2)</f>
      </c>
      <c r="P37" s="149" t="s">
        <v>244</v>
      </c>
      <c r="Q37" s="24"/>
      <c r="R37" s="117" t="str">
        <f>=IFERROR(ROUND(Q37/FB_Kurs_3,2),0)</f>
      </c>
      <c r="S37" s="116" t="str">
        <f>=ROUND(Q37+L37,2)</f>
      </c>
      <c r="T37" s="144" t="str">
        <f>=ROUND(R37+M37,2)</f>
      </c>
      <c r="W37" s="149" t="s">
        <v>244</v>
      </c>
      <c r="X37" s="24"/>
      <c r="Y37" s="117" t="str">
        <f>=IFERROR(ROUND(X37/FB_Kurs_4,2),0)</f>
      </c>
      <c r="Z37" s="116" t="str">
        <f>=ROUND(X37+S37,2)</f>
      </c>
      <c r="AA37" s="144" t="str">
        <f>=ROUND(Y37+T37,2)</f>
      </c>
      <c r="AD37" s="149" t="s">
        <v>244</v>
      </c>
      <c r="AE37" s="24"/>
      <c r="AF37" s="117" t="str">
        <f>=IFERROR(ROUND(AE37/FB_Kurs_5,2),0)</f>
      </c>
      <c r="AG37" s="116" t="str">
        <f>=ROUND(AE37+Z37,2)</f>
      </c>
      <c r="AH37" s="144" t="str">
        <f>=ROUND(AF37+AA37,2)</f>
      </c>
      <c r="AK37" s="149" t="s">
        <v>244</v>
      </c>
      <c r="AL37" s="24"/>
      <c r="AM37" s="117" t="str">
        <f>=IFERROR(ROUND(AL37/FB_Kurs_6,2),0)</f>
      </c>
      <c r="AN37" s="116" t="str">
        <f>=ROUND(AL37+AG37,2)</f>
      </c>
      <c r="AO37" s="144" t="str">
        <f>=ROUND(AM37+AH37,2)</f>
      </c>
      <c r="AR37" s="149" t="s">
        <v>244</v>
      </c>
      <c r="AS37" s="24"/>
      <c r="AT37" s="117" t="str">
        <f>=IFERROR(ROUND(AS37/FB_Kurs_7,2),0)</f>
      </c>
      <c r="AU37" s="116" t="str">
        <f>=ROUND(AS37+AN37,2)</f>
      </c>
      <c r="AV37" s="144" t="str">
        <f>=ROUND(AT37+AO37,2)</f>
      </c>
      <c r="AY37" s="149" t="s">
        <v>244</v>
      </c>
      <c r="AZ37" s="24"/>
      <c r="BA37" s="117" t="str">
        <f>=IFERROR(ROUND(AZ37/FB_Kurs_8,2),0)</f>
      </c>
      <c r="BB37" s="116" t="str">
        <f>=ROUND(AZ37+AU37,2)</f>
      </c>
      <c r="BC37" s="144" t="str">
        <f>=ROUND(BA37+AV37,2)</f>
      </c>
      <c r="BF37" s="149" t="s">
        <v>244</v>
      </c>
      <c r="BG37" s="24"/>
      <c r="BH37" s="117" t="str">
        <f>=IFERROR(ROUND(BG37/FB_Kurs_9,2),0)</f>
      </c>
      <c r="BI37" s="116" t="str">
        <f>=ROUND(BG37+BB37,2)</f>
      </c>
      <c r="BJ37" s="144" t="str">
        <f>=ROUND(BH37+BC37,2)</f>
      </c>
      <c r="BM37" s="149" t="s">
        <v>244</v>
      </c>
      <c r="BN37" s="24"/>
      <c r="BO37" s="117" t="str">
        <f>=IFERROR(ROUND(BN37/FB_Kurs_10,2),0)</f>
      </c>
      <c r="BP37" s="116" t="str">
        <f>=ROUND(BN37+BI37,2)</f>
      </c>
      <c r="BQ37" s="144" t="str">
        <f>=ROUND(BO37+BJ37,2)</f>
      </c>
      <c r="BT37" s="149" t="s">
        <v>244</v>
      </c>
      <c r="BU37" s="24"/>
      <c r="BV37" s="117" t="str">
        <f>=IFERROR(ROUND(BU37/FB_Kurs_11,2),0)</f>
      </c>
      <c r="BW37" s="116" t="str">
        <f>=ROUND(BU37+BP37,2)</f>
      </c>
      <c r="BX37" s="144" t="str">
        <f>=ROUND(BV37+BQ37,2)</f>
      </c>
      <c r="CA37" s="149" t="s">
        <v>244</v>
      </c>
      <c r="CB37" s="24"/>
      <c r="CC37" s="117" t="str">
        <f>=IFERROR(ROUND(CB37/FB_Kurs_12,2),0)</f>
      </c>
      <c r="CD37" s="116" t="str">
        <f>=ROUND(CB37+BW37,2)</f>
      </c>
      <c r="CE37" s="144" t="str">
        <f>=ROUND(CC37+BX37,2)</f>
      </c>
      <c r="CH37" s="149" t="s">
        <v>244</v>
      </c>
      <c r="CI37" s="24"/>
      <c r="CJ37" s="117" t="str">
        <f>=IFERROR(ROUND(CI37/FB_Kurs_13,2),0)</f>
      </c>
      <c r="CK37" s="116" t="str">
        <f>=ROUND(CI37+CD37,2)</f>
      </c>
      <c r="CL37" s="144" t="str">
        <f>=ROUND(CJ37+CE37,2)</f>
      </c>
      <c r="CO37" s="149" t="s">
        <v>244</v>
      </c>
      <c r="CP37" s="24"/>
      <c r="CQ37" s="117" t="str">
        <f>=IFERROR(ROUND(CP37/FB_Kurs_14,2),0)</f>
      </c>
      <c r="CR37" s="116" t="str">
        <f>=ROUND(CP37+CK37,2)</f>
      </c>
      <c r="CS37" s="144" t="str">
        <f>=ROUND(CQ37+CL37,2)</f>
      </c>
      <c r="CV37" s="149" t="s">
        <v>244</v>
      </c>
      <c r="CW37" s="24"/>
      <c r="CX37" s="117" t="str">
        <f>=IFERROR(ROUND(CW37/FB_Kurs_15,2),0)</f>
      </c>
      <c r="CY37" s="116" t="str">
        <f>=ROUND(CW37+CR37,2)</f>
      </c>
      <c r="CZ37" s="144" t="str">
        <f>=ROUND(CX37+CS37,2)</f>
      </c>
      <c r="DC37" s="149" t="s">
        <v>244</v>
      </c>
      <c r="DD37" s="24"/>
      <c r="DE37" s="117" t="str">
        <f>=IFERROR(ROUND(DD37/FB_Kurs_16,2),0)</f>
      </c>
      <c r="DF37" s="116" t="str">
        <f>=ROUND(DD37+CY37,2)</f>
      </c>
      <c r="DG37" s="144" t="str">
        <f>=ROUND(DE37+CZ37,2)</f>
      </c>
      <c r="DJ37" s="149" t="s">
        <v>244</v>
      </c>
      <c r="DK37" s="24"/>
      <c r="DL37" s="117" t="str">
        <f>=IFERROR(ROUND(DK37/FB_Kurs_17,2),0)</f>
      </c>
      <c r="DM37" s="116" t="str">
        <f>=ROUND(DK37+DF37,2)</f>
      </c>
      <c r="DN37" s="144" t="str">
        <f>=ROUND(DL37+DG37,2)</f>
      </c>
      <c r="DQ37" s="149" t="s">
        <v>244</v>
      </c>
      <c r="DR37" s="24"/>
      <c r="DS37" s="117" t="str">
        <f>=IFERROR(ROUND(DR37/FB_Kurs_18,2),0)</f>
      </c>
      <c r="DT37" s="116" t="str">
        <f>=ROUND(DR37+DM37,2)</f>
      </c>
      <c r="DU37" s="144" t="str">
        <f>=ROUND(DS37+DN37,2)</f>
      </c>
    </row>
    <row r="38">
      <c r="B38" s="149" t="s">
        <v>246</v>
      </c>
      <c r="C38" s="24"/>
      <c r="D38" s="117" t="str">
        <f>=IFERROR(ROUND(C38/FB_Kurs_1,2),0)</f>
      </c>
      <c r="E38" s="116" t="str">
        <f>=ROUND(C38,2)</f>
      </c>
      <c r="F38" s="144" t="str">
        <f>=ROUND(D38,2)</f>
      </c>
      <c r="I38" s="149" t="s">
        <v>246</v>
      </c>
      <c r="J38" s="24"/>
      <c r="K38" s="117" t="str">
        <f>=IFERROR(ROUND(J38/FB_Kurs_2,2),0)</f>
      </c>
      <c r="L38" s="116" t="str">
        <f>=ROUND(J38+E38,2)</f>
      </c>
      <c r="M38" s="144" t="str">
        <f>=ROUND(K38+F38,2)</f>
      </c>
      <c r="P38" s="149" t="s">
        <v>246</v>
      </c>
      <c r="Q38" s="24"/>
      <c r="R38" s="117" t="str">
        <f>=IFERROR(ROUND(Q38/FB_Kurs_3,2),0)</f>
      </c>
      <c r="S38" s="116" t="str">
        <f>=ROUND(Q38+L38,2)</f>
      </c>
      <c r="T38" s="144" t="str">
        <f>=ROUND(R38+M38,2)</f>
      </c>
      <c r="W38" s="149" t="s">
        <v>246</v>
      </c>
      <c r="X38" s="24"/>
      <c r="Y38" s="117" t="str">
        <f>=IFERROR(ROUND(X38/FB_Kurs_4,2),0)</f>
      </c>
      <c r="Z38" s="116" t="str">
        <f>=ROUND(X38+S38,2)</f>
      </c>
      <c r="AA38" s="144" t="str">
        <f>=ROUND(Y38+T38,2)</f>
      </c>
      <c r="AD38" s="149" t="s">
        <v>246</v>
      </c>
      <c r="AE38" s="24"/>
      <c r="AF38" s="117" t="str">
        <f>=IFERROR(ROUND(AE38/FB_Kurs_5,2),0)</f>
      </c>
      <c r="AG38" s="116" t="str">
        <f>=ROUND(AE38+Z38,2)</f>
      </c>
      <c r="AH38" s="144" t="str">
        <f>=ROUND(AF38+AA38,2)</f>
      </c>
      <c r="AK38" s="149" t="s">
        <v>246</v>
      </c>
      <c r="AL38" s="24"/>
      <c r="AM38" s="117" t="str">
        <f>=IFERROR(ROUND(AL38/FB_Kurs_6,2),0)</f>
      </c>
      <c r="AN38" s="116" t="str">
        <f>=ROUND(AL38+AG38,2)</f>
      </c>
      <c r="AO38" s="144" t="str">
        <f>=ROUND(AM38+AH38,2)</f>
      </c>
      <c r="AR38" s="149" t="s">
        <v>246</v>
      </c>
      <c r="AS38" s="24"/>
      <c r="AT38" s="117" t="str">
        <f>=IFERROR(ROUND(AS38/FB_Kurs_7,2),0)</f>
      </c>
      <c r="AU38" s="116" t="str">
        <f>=ROUND(AS38+AN38,2)</f>
      </c>
      <c r="AV38" s="144" t="str">
        <f>=ROUND(AT38+AO38,2)</f>
      </c>
      <c r="AY38" s="149" t="s">
        <v>246</v>
      </c>
      <c r="AZ38" s="24"/>
      <c r="BA38" s="117" t="str">
        <f>=IFERROR(ROUND(AZ38/FB_Kurs_8,2),0)</f>
      </c>
      <c r="BB38" s="116" t="str">
        <f>=ROUND(AZ38+AU38,2)</f>
      </c>
      <c r="BC38" s="144" t="str">
        <f>=ROUND(BA38+AV38,2)</f>
      </c>
      <c r="BF38" s="149" t="s">
        <v>246</v>
      </c>
      <c r="BG38" s="24"/>
      <c r="BH38" s="117" t="str">
        <f>=IFERROR(ROUND(BG38/FB_Kurs_9,2),0)</f>
      </c>
      <c r="BI38" s="116" t="str">
        <f>=ROUND(BG38+BB38,2)</f>
      </c>
      <c r="BJ38" s="144" t="str">
        <f>=ROUND(BH38+BC38,2)</f>
      </c>
      <c r="BM38" s="149" t="s">
        <v>246</v>
      </c>
      <c r="BN38" s="24"/>
      <c r="BO38" s="117" t="str">
        <f>=IFERROR(ROUND(BN38/FB_Kurs_10,2),0)</f>
      </c>
      <c r="BP38" s="116" t="str">
        <f>=ROUND(BN38+BI38,2)</f>
      </c>
      <c r="BQ38" s="144" t="str">
        <f>=ROUND(BO38+BJ38,2)</f>
      </c>
      <c r="BT38" s="149" t="s">
        <v>246</v>
      </c>
      <c r="BU38" s="24"/>
      <c r="BV38" s="117" t="str">
        <f>=IFERROR(ROUND(BU38/FB_Kurs_11,2),0)</f>
      </c>
      <c r="BW38" s="116" t="str">
        <f>=ROUND(BU38+BP38,2)</f>
      </c>
      <c r="BX38" s="144" t="str">
        <f>=ROUND(BV38+BQ38,2)</f>
      </c>
      <c r="CA38" s="149" t="s">
        <v>246</v>
      </c>
      <c r="CB38" s="24"/>
      <c r="CC38" s="117" t="str">
        <f>=IFERROR(ROUND(CB38/FB_Kurs_12,2),0)</f>
      </c>
      <c r="CD38" s="116" t="str">
        <f>=ROUND(CB38+BW38,2)</f>
      </c>
      <c r="CE38" s="144" t="str">
        <f>=ROUND(CC38+BX38,2)</f>
      </c>
      <c r="CH38" s="149" t="s">
        <v>246</v>
      </c>
      <c r="CI38" s="24"/>
      <c r="CJ38" s="117" t="str">
        <f>=IFERROR(ROUND(CI38/FB_Kurs_13,2),0)</f>
      </c>
      <c r="CK38" s="116" t="str">
        <f>=ROUND(CI38+CD38,2)</f>
      </c>
      <c r="CL38" s="144" t="str">
        <f>=ROUND(CJ38+CE38,2)</f>
      </c>
      <c r="CO38" s="149" t="s">
        <v>246</v>
      </c>
      <c r="CP38" s="24"/>
      <c r="CQ38" s="117" t="str">
        <f>=IFERROR(ROUND(CP38/FB_Kurs_14,2),0)</f>
      </c>
      <c r="CR38" s="116" t="str">
        <f>=ROUND(CP38+CK38,2)</f>
      </c>
      <c r="CS38" s="144" t="str">
        <f>=ROUND(CQ38+CL38,2)</f>
      </c>
      <c r="CV38" s="149" t="s">
        <v>246</v>
      </c>
      <c r="CW38" s="24"/>
      <c r="CX38" s="117" t="str">
        <f>=IFERROR(ROUND(CW38/FB_Kurs_15,2),0)</f>
      </c>
      <c r="CY38" s="116" t="str">
        <f>=ROUND(CW38+CR38,2)</f>
      </c>
      <c r="CZ38" s="144" t="str">
        <f>=ROUND(CX38+CS38,2)</f>
      </c>
      <c r="DC38" s="149" t="s">
        <v>246</v>
      </c>
      <c r="DD38" s="24"/>
      <c r="DE38" s="117" t="str">
        <f>=IFERROR(ROUND(DD38/FB_Kurs_16,2),0)</f>
      </c>
      <c r="DF38" s="116" t="str">
        <f>=ROUND(DD38+CY38,2)</f>
      </c>
      <c r="DG38" s="144" t="str">
        <f>=ROUND(DE38+CZ38,2)</f>
      </c>
      <c r="DJ38" s="149" t="s">
        <v>246</v>
      </c>
      <c r="DK38" s="24"/>
      <c r="DL38" s="117" t="str">
        <f>=IFERROR(ROUND(DK38/FB_Kurs_17,2),0)</f>
      </c>
      <c r="DM38" s="116" t="str">
        <f>=ROUND(DK38+DF38,2)</f>
      </c>
      <c r="DN38" s="144" t="str">
        <f>=ROUND(DL38+DG38,2)</f>
      </c>
      <c r="DQ38" s="149" t="s">
        <v>246</v>
      </c>
      <c r="DR38" s="24"/>
      <c r="DS38" s="117" t="str">
        <f>=IFERROR(ROUND(DR38/FB_Kurs_18,2),0)</f>
      </c>
      <c r="DT38" s="116" t="str">
        <f>=ROUND(DR38+DM38,2)</f>
      </c>
      <c r="DU38" s="144" t="str">
        <f>=ROUND(DS38+DN38,2)</f>
      </c>
    </row>
    <row r="39">
      <c r="B39" s="149" t="s">
        <v>249</v>
      </c>
      <c r="C39" s="24"/>
      <c r="D39" s="117" t="str">
        <f>=IFERROR(ROUND(C39/FB_Kurs_1,2),0)</f>
      </c>
      <c r="E39" s="116" t="str">
        <f>=ROUND(C39,2)</f>
      </c>
      <c r="F39" s="144" t="str">
        <f>=ROUND(D39,2)</f>
      </c>
      <c r="I39" s="149" t="s">
        <v>249</v>
      </c>
      <c r="J39" s="24"/>
      <c r="K39" s="117" t="str">
        <f>=IFERROR(ROUND(J39/FB_Kurs_2,2),0)</f>
      </c>
      <c r="L39" s="116" t="str">
        <f>=ROUND(J39+E39,2)</f>
      </c>
      <c r="M39" s="144" t="str">
        <f>=ROUND(K39+F39,2)</f>
      </c>
      <c r="P39" s="149" t="s">
        <v>249</v>
      </c>
      <c r="Q39" s="24"/>
      <c r="R39" s="117" t="str">
        <f>=IFERROR(ROUND(Q39/FB_Kurs_3,2),0)</f>
      </c>
      <c r="S39" s="116" t="str">
        <f>=ROUND(Q39+L39,2)</f>
      </c>
      <c r="T39" s="144" t="str">
        <f>=ROUND(R39+M39,2)</f>
      </c>
      <c r="W39" s="149" t="s">
        <v>249</v>
      </c>
      <c r="X39" s="24"/>
      <c r="Y39" s="117" t="str">
        <f>=IFERROR(ROUND(X39/FB_Kurs_4,2),0)</f>
      </c>
      <c r="Z39" s="116" t="str">
        <f>=ROUND(X39+S39,2)</f>
      </c>
      <c r="AA39" s="144" t="str">
        <f>=ROUND(Y39+T39,2)</f>
      </c>
      <c r="AD39" s="149" t="s">
        <v>249</v>
      </c>
      <c r="AE39" s="24"/>
      <c r="AF39" s="117" t="str">
        <f>=IFERROR(ROUND(AE39/FB_Kurs_5,2),0)</f>
      </c>
      <c r="AG39" s="116" t="str">
        <f>=ROUND(AE39+Z39,2)</f>
      </c>
      <c r="AH39" s="144" t="str">
        <f>=ROUND(AF39+AA39,2)</f>
      </c>
      <c r="AK39" s="149" t="s">
        <v>249</v>
      </c>
      <c r="AL39" s="24"/>
      <c r="AM39" s="117" t="str">
        <f>=IFERROR(ROUND(AL39/FB_Kurs_6,2),0)</f>
      </c>
      <c r="AN39" s="116" t="str">
        <f>=ROUND(AL39+AG39,2)</f>
      </c>
      <c r="AO39" s="144" t="str">
        <f>=ROUND(AM39+AH39,2)</f>
      </c>
      <c r="AR39" s="149" t="s">
        <v>249</v>
      </c>
      <c r="AS39" s="24"/>
      <c r="AT39" s="117" t="str">
        <f>=IFERROR(ROUND(AS39/FB_Kurs_7,2),0)</f>
      </c>
      <c r="AU39" s="116" t="str">
        <f>=ROUND(AS39+AN39,2)</f>
      </c>
      <c r="AV39" s="144" t="str">
        <f>=ROUND(AT39+AO39,2)</f>
      </c>
      <c r="AY39" s="149" t="s">
        <v>249</v>
      </c>
      <c r="AZ39" s="24"/>
      <c r="BA39" s="117" t="str">
        <f>=IFERROR(ROUND(AZ39/FB_Kurs_8,2),0)</f>
      </c>
      <c r="BB39" s="116" t="str">
        <f>=ROUND(AZ39+AU39,2)</f>
      </c>
      <c r="BC39" s="144" t="str">
        <f>=ROUND(BA39+AV39,2)</f>
      </c>
      <c r="BF39" s="149" t="s">
        <v>249</v>
      </c>
      <c r="BG39" s="24"/>
      <c r="BH39" s="117" t="str">
        <f>=IFERROR(ROUND(BG39/FB_Kurs_9,2),0)</f>
      </c>
      <c r="BI39" s="116" t="str">
        <f>=ROUND(BG39+BB39,2)</f>
      </c>
      <c r="BJ39" s="144" t="str">
        <f>=ROUND(BH39+BC39,2)</f>
      </c>
      <c r="BM39" s="149" t="s">
        <v>249</v>
      </c>
      <c r="BN39" s="24"/>
      <c r="BO39" s="117" t="str">
        <f>=IFERROR(ROUND(BN39/FB_Kurs_10,2),0)</f>
      </c>
      <c r="BP39" s="116" t="str">
        <f>=ROUND(BN39+BI39,2)</f>
      </c>
      <c r="BQ39" s="144" t="str">
        <f>=ROUND(BO39+BJ39,2)</f>
      </c>
      <c r="BT39" s="149" t="s">
        <v>249</v>
      </c>
      <c r="BU39" s="24"/>
      <c r="BV39" s="117" t="str">
        <f>=IFERROR(ROUND(BU39/FB_Kurs_11,2),0)</f>
      </c>
      <c r="BW39" s="116" t="str">
        <f>=ROUND(BU39+BP39,2)</f>
      </c>
      <c r="BX39" s="144" t="str">
        <f>=ROUND(BV39+BQ39,2)</f>
      </c>
      <c r="CA39" s="149" t="s">
        <v>249</v>
      </c>
      <c r="CB39" s="24"/>
      <c r="CC39" s="117" t="str">
        <f>=IFERROR(ROUND(CB39/FB_Kurs_12,2),0)</f>
      </c>
      <c r="CD39" s="116" t="str">
        <f>=ROUND(CB39+BW39,2)</f>
      </c>
      <c r="CE39" s="144" t="str">
        <f>=ROUND(CC39+BX39,2)</f>
      </c>
      <c r="CH39" s="149" t="s">
        <v>249</v>
      </c>
      <c r="CI39" s="24"/>
      <c r="CJ39" s="117" t="str">
        <f>=IFERROR(ROUND(CI39/FB_Kurs_13,2),0)</f>
      </c>
      <c r="CK39" s="116" t="str">
        <f>=ROUND(CI39+CD39,2)</f>
      </c>
      <c r="CL39" s="144" t="str">
        <f>=ROUND(CJ39+CE39,2)</f>
      </c>
      <c r="CO39" s="149" t="s">
        <v>249</v>
      </c>
      <c r="CP39" s="24"/>
      <c r="CQ39" s="117" t="str">
        <f>=IFERROR(ROUND(CP39/FB_Kurs_14,2),0)</f>
      </c>
      <c r="CR39" s="116" t="str">
        <f>=ROUND(CP39+CK39,2)</f>
      </c>
      <c r="CS39" s="144" t="str">
        <f>=ROUND(CQ39+CL39,2)</f>
      </c>
      <c r="CV39" s="149" t="s">
        <v>249</v>
      </c>
      <c r="CW39" s="24"/>
      <c r="CX39" s="117" t="str">
        <f>=IFERROR(ROUND(CW39/FB_Kurs_15,2),0)</f>
      </c>
      <c r="CY39" s="116" t="str">
        <f>=ROUND(CW39+CR39,2)</f>
      </c>
      <c r="CZ39" s="144" t="str">
        <f>=ROUND(CX39+CS39,2)</f>
      </c>
      <c r="DC39" s="149" t="s">
        <v>249</v>
      </c>
      <c r="DD39" s="24"/>
      <c r="DE39" s="117" t="str">
        <f>=IFERROR(ROUND(DD39/FB_Kurs_16,2),0)</f>
      </c>
      <c r="DF39" s="116" t="str">
        <f>=ROUND(DD39+CY39,2)</f>
      </c>
      <c r="DG39" s="144" t="str">
        <f>=ROUND(DE39+CZ39,2)</f>
      </c>
      <c r="DJ39" s="149" t="s">
        <v>249</v>
      </c>
      <c r="DK39" s="24"/>
      <c r="DL39" s="117" t="str">
        <f>=IFERROR(ROUND(DK39/FB_Kurs_17,2),0)</f>
      </c>
      <c r="DM39" s="116" t="str">
        <f>=ROUND(DK39+DF39,2)</f>
      </c>
      <c r="DN39" s="144" t="str">
        <f>=ROUND(DL39+DG39,2)</f>
      </c>
      <c r="DQ39" s="149" t="s">
        <v>249</v>
      </c>
      <c r="DR39" s="24"/>
      <c r="DS39" s="117" t="str">
        <f>=IFERROR(ROUND(DR39/FB_Kurs_18,2),0)</f>
      </c>
      <c r="DT39" s="116" t="str">
        <f>=ROUND(DR39+DM39,2)</f>
      </c>
      <c r="DU39" s="144" t="str">
        <f>=ROUND(DS39+DN39,2)</f>
      </c>
    </row>
    <row r="40">
      <c r="B40" s="149" t="s">
        <v>250</v>
      </c>
      <c r="C40" s="24"/>
      <c r="D40" s="117" t="str">
        <f>=IFERROR(ROUND(C40/FB_Kurs_1,2),0)</f>
      </c>
      <c r="E40" s="116" t="str">
        <f>=ROUND(C40,2)</f>
      </c>
      <c r="F40" s="144" t="str">
        <f>=ROUND(D40,2)</f>
      </c>
      <c r="I40" s="149" t="s">
        <v>250</v>
      </c>
      <c r="J40" s="24"/>
      <c r="K40" s="117" t="str">
        <f>=IFERROR(ROUND(J40/FB_Kurs_2,2),0)</f>
      </c>
      <c r="L40" s="116" t="str">
        <f>=ROUND(J40+E40,2)</f>
      </c>
      <c r="M40" s="144" t="str">
        <f>=ROUND(K40+F40,2)</f>
      </c>
      <c r="P40" s="149" t="s">
        <v>250</v>
      </c>
      <c r="Q40" s="24"/>
      <c r="R40" s="117" t="str">
        <f>=IFERROR(ROUND(Q40/FB_Kurs_3,2),0)</f>
      </c>
      <c r="S40" s="116" t="str">
        <f>=ROUND(Q40+L40,2)</f>
      </c>
      <c r="T40" s="144" t="str">
        <f>=ROUND(R40+M40,2)</f>
      </c>
      <c r="W40" s="149" t="s">
        <v>250</v>
      </c>
      <c r="X40" s="24"/>
      <c r="Y40" s="117" t="str">
        <f>=IFERROR(ROUND(X40/FB_Kurs_4,2),0)</f>
      </c>
      <c r="Z40" s="116" t="str">
        <f>=ROUND(X40+S40,2)</f>
      </c>
      <c r="AA40" s="144" t="str">
        <f>=ROUND(Y40+T40,2)</f>
      </c>
      <c r="AD40" s="149" t="s">
        <v>250</v>
      </c>
      <c r="AE40" s="24"/>
      <c r="AF40" s="117" t="str">
        <f>=IFERROR(ROUND(AE40/FB_Kurs_5,2),0)</f>
      </c>
      <c r="AG40" s="116" t="str">
        <f>=ROUND(AE40+Z40,2)</f>
      </c>
      <c r="AH40" s="144" t="str">
        <f>=ROUND(AF40+AA40,2)</f>
      </c>
      <c r="AK40" s="149" t="s">
        <v>250</v>
      </c>
      <c r="AL40" s="24"/>
      <c r="AM40" s="117" t="str">
        <f>=IFERROR(ROUND(AL40/FB_Kurs_6,2),0)</f>
      </c>
      <c r="AN40" s="116" t="str">
        <f>=ROUND(AL40+AG40,2)</f>
      </c>
      <c r="AO40" s="144" t="str">
        <f>=ROUND(AM40+AH40,2)</f>
      </c>
      <c r="AR40" s="149" t="s">
        <v>250</v>
      </c>
      <c r="AS40" s="24"/>
      <c r="AT40" s="117" t="str">
        <f>=IFERROR(ROUND(AS40/FB_Kurs_7,2),0)</f>
      </c>
      <c r="AU40" s="116" t="str">
        <f>=ROUND(AS40+AN40,2)</f>
      </c>
      <c r="AV40" s="144" t="str">
        <f>=ROUND(AT40+AO40,2)</f>
      </c>
      <c r="AY40" s="149" t="s">
        <v>250</v>
      </c>
      <c r="AZ40" s="24"/>
      <c r="BA40" s="117" t="str">
        <f>=IFERROR(ROUND(AZ40/FB_Kurs_8,2),0)</f>
      </c>
      <c r="BB40" s="116" t="str">
        <f>=ROUND(AZ40+AU40,2)</f>
      </c>
      <c r="BC40" s="144" t="str">
        <f>=ROUND(BA40+AV40,2)</f>
      </c>
      <c r="BF40" s="149" t="s">
        <v>250</v>
      </c>
      <c r="BG40" s="24"/>
      <c r="BH40" s="117" t="str">
        <f>=IFERROR(ROUND(BG40/FB_Kurs_9,2),0)</f>
      </c>
      <c r="BI40" s="116" t="str">
        <f>=ROUND(BG40+BB40,2)</f>
      </c>
      <c r="BJ40" s="144" t="str">
        <f>=ROUND(BH40+BC40,2)</f>
      </c>
      <c r="BM40" s="149" t="s">
        <v>250</v>
      </c>
      <c r="BN40" s="24"/>
      <c r="BO40" s="117" t="str">
        <f>=IFERROR(ROUND(BN40/FB_Kurs_10,2),0)</f>
      </c>
      <c r="BP40" s="116" t="str">
        <f>=ROUND(BN40+BI40,2)</f>
      </c>
      <c r="BQ40" s="144" t="str">
        <f>=ROUND(BO40+BJ40,2)</f>
      </c>
      <c r="BT40" s="149" t="s">
        <v>250</v>
      </c>
      <c r="BU40" s="24"/>
      <c r="BV40" s="117" t="str">
        <f>=IFERROR(ROUND(BU40/FB_Kurs_11,2),0)</f>
      </c>
      <c r="BW40" s="116" t="str">
        <f>=ROUND(BU40+BP40,2)</f>
      </c>
      <c r="BX40" s="144" t="str">
        <f>=ROUND(BV40+BQ40,2)</f>
      </c>
      <c r="CA40" s="149" t="s">
        <v>250</v>
      </c>
      <c r="CB40" s="24"/>
      <c r="CC40" s="117" t="str">
        <f>=IFERROR(ROUND(CB40/FB_Kurs_12,2),0)</f>
      </c>
      <c r="CD40" s="116" t="str">
        <f>=ROUND(CB40+BW40,2)</f>
      </c>
      <c r="CE40" s="144" t="str">
        <f>=ROUND(CC40+BX40,2)</f>
      </c>
      <c r="CH40" s="149" t="s">
        <v>250</v>
      </c>
      <c r="CI40" s="24"/>
      <c r="CJ40" s="117" t="str">
        <f>=IFERROR(ROUND(CI40/FB_Kurs_13,2),0)</f>
      </c>
      <c r="CK40" s="116" t="str">
        <f>=ROUND(CI40+CD40,2)</f>
      </c>
      <c r="CL40" s="144" t="str">
        <f>=ROUND(CJ40+CE40,2)</f>
      </c>
      <c r="CO40" s="149" t="s">
        <v>250</v>
      </c>
      <c r="CP40" s="24"/>
      <c r="CQ40" s="117" t="str">
        <f>=IFERROR(ROUND(CP40/FB_Kurs_14,2),0)</f>
      </c>
      <c r="CR40" s="116" t="str">
        <f>=ROUND(CP40+CK40,2)</f>
      </c>
      <c r="CS40" s="144" t="str">
        <f>=ROUND(CQ40+CL40,2)</f>
      </c>
      <c r="CV40" s="149" t="s">
        <v>250</v>
      </c>
      <c r="CW40" s="24"/>
      <c r="CX40" s="117" t="str">
        <f>=IFERROR(ROUND(CW40/FB_Kurs_15,2),0)</f>
      </c>
      <c r="CY40" s="116" t="str">
        <f>=ROUND(CW40+CR40,2)</f>
      </c>
      <c r="CZ40" s="144" t="str">
        <f>=ROUND(CX40+CS40,2)</f>
      </c>
      <c r="DC40" s="149" t="s">
        <v>250</v>
      </c>
      <c r="DD40" s="24"/>
      <c r="DE40" s="117" t="str">
        <f>=IFERROR(ROUND(DD40/FB_Kurs_16,2),0)</f>
      </c>
      <c r="DF40" s="116" t="str">
        <f>=ROUND(DD40+CY40,2)</f>
      </c>
      <c r="DG40" s="144" t="str">
        <f>=ROUND(DE40+CZ40,2)</f>
      </c>
      <c r="DJ40" s="149" t="s">
        <v>250</v>
      </c>
      <c r="DK40" s="24"/>
      <c r="DL40" s="117" t="str">
        <f>=IFERROR(ROUND(DK40/FB_Kurs_17,2),0)</f>
      </c>
      <c r="DM40" s="116" t="str">
        <f>=ROUND(DK40+DF40,2)</f>
      </c>
      <c r="DN40" s="144" t="str">
        <f>=ROUND(DL40+DG40,2)</f>
      </c>
      <c r="DQ40" s="149" t="s">
        <v>250</v>
      </c>
      <c r="DR40" s="24"/>
      <c r="DS40" s="117" t="str">
        <f>=IFERROR(ROUND(DR40/FB_Kurs_18,2),0)</f>
      </c>
      <c r="DT40" s="116" t="str">
        <f>=ROUND(DR40+DM40,2)</f>
      </c>
      <c r="DU40" s="144" t="str">
        <f>=ROUND(DS40+DN40,2)</f>
      </c>
    </row>
    <row r="41">
      <c r="B41" s="149" t="s">
        <v>251</v>
      </c>
      <c r="C41" s="24"/>
      <c r="D41" s="117" t="str">
        <f>=IFERROR(ROUND(C41/FB_Kurs_1,2),0)</f>
      </c>
      <c r="E41" s="116" t="str">
        <f>=ROUND(C41,2)</f>
      </c>
      <c r="F41" s="144" t="str">
        <f>=ROUND(D41,2)</f>
      </c>
      <c r="I41" s="149" t="s">
        <v>251</v>
      </c>
      <c r="J41" s="24"/>
      <c r="K41" s="117" t="str">
        <f>=IFERROR(ROUND(J41/FB_Kurs_2,2),0)</f>
      </c>
      <c r="L41" s="116" t="str">
        <f>=ROUND(J41+E41,2)</f>
      </c>
      <c r="M41" s="144" t="str">
        <f>=ROUND(K41+F41,2)</f>
      </c>
      <c r="P41" s="149" t="s">
        <v>251</v>
      </c>
      <c r="Q41" s="24"/>
      <c r="R41" s="117" t="str">
        <f>=IFERROR(ROUND(Q41/FB_Kurs_3,2),0)</f>
      </c>
      <c r="S41" s="116" t="str">
        <f>=ROUND(Q41+L41,2)</f>
      </c>
      <c r="T41" s="144" t="str">
        <f>=ROUND(R41+M41,2)</f>
      </c>
      <c r="W41" s="149" t="s">
        <v>251</v>
      </c>
      <c r="X41" s="24"/>
      <c r="Y41" s="117" t="str">
        <f>=IFERROR(ROUND(X41/FB_Kurs_4,2),0)</f>
      </c>
      <c r="Z41" s="116" t="str">
        <f>=ROUND(X41+S41,2)</f>
      </c>
      <c r="AA41" s="144" t="str">
        <f>=ROUND(Y41+T41,2)</f>
      </c>
      <c r="AD41" s="149" t="s">
        <v>251</v>
      </c>
      <c r="AE41" s="24"/>
      <c r="AF41" s="117" t="str">
        <f>=IFERROR(ROUND(AE41/FB_Kurs_5,2),0)</f>
      </c>
      <c r="AG41" s="116" t="str">
        <f>=ROUND(AE41+Z41,2)</f>
      </c>
      <c r="AH41" s="144" t="str">
        <f>=ROUND(AF41+AA41,2)</f>
      </c>
      <c r="AK41" s="149" t="s">
        <v>251</v>
      </c>
      <c r="AL41" s="24"/>
      <c r="AM41" s="117" t="str">
        <f>=IFERROR(ROUND(AL41/FB_Kurs_6,2),0)</f>
      </c>
      <c r="AN41" s="116" t="str">
        <f>=ROUND(AL41+AG41,2)</f>
      </c>
      <c r="AO41" s="144" t="str">
        <f>=ROUND(AM41+AH41,2)</f>
      </c>
      <c r="AR41" s="149" t="s">
        <v>251</v>
      </c>
      <c r="AS41" s="24"/>
      <c r="AT41" s="117" t="str">
        <f>=IFERROR(ROUND(AS41/FB_Kurs_7,2),0)</f>
      </c>
      <c r="AU41" s="116" t="str">
        <f>=ROUND(AS41+AN41,2)</f>
      </c>
      <c r="AV41" s="144" t="str">
        <f>=ROUND(AT41+AO41,2)</f>
      </c>
      <c r="AY41" s="149" t="s">
        <v>251</v>
      </c>
      <c r="AZ41" s="24"/>
      <c r="BA41" s="117" t="str">
        <f>=IFERROR(ROUND(AZ41/FB_Kurs_8,2),0)</f>
      </c>
      <c r="BB41" s="116" t="str">
        <f>=ROUND(AZ41+AU41,2)</f>
      </c>
      <c r="BC41" s="144" t="str">
        <f>=ROUND(BA41+AV41,2)</f>
      </c>
      <c r="BF41" s="149" t="s">
        <v>251</v>
      </c>
      <c r="BG41" s="24"/>
      <c r="BH41" s="117" t="str">
        <f>=IFERROR(ROUND(BG41/FB_Kurs_9,2),0)</f>
      </c>
      <c r="BI41" s="116" t="str">
        <f>=ROUND(BG41+BB41,2)</f>
      </c>
      <c r="BJ41" s="144" t="str">
        <f>=ROUND(BH41+BC41,2)</f>
      </c>
      <c r="BM41" s="149" t="s">
        <v>251</v>
      </c>
      <c r="BN41" s="24"/>
      <c r="BO41" s="117" t="str">
        <f>=IFERROR(ROUND(BN41/FB_Kurs_10,2),0)</f>
      </c>
      <c r="BP41" s="116" t="str">
        <f>=ROUND(BN41+BI41,2)</f>
      </c>
      <c r="BQ41" s="144" t="str">
        <f>=ROUND(BO41+BJ41,2)</f>
      </c>
      <c r="BT41" s="149" t="s">
        <v>251</v>
      </c>
      <c r="BU41" s="24"/>
      <c r="BV41" s="117" t="str">
        <f>=IFERROR(ROUND(BU41/FB_Kurs_11,2),0)</f>
      </c>
      <c r="BW41" s="116" t="str">
        <f>=ROUND(BU41+BP41,2)</f>
      </c>
      <c r="BX41" s="144" t="str">
        <f>=ROUND(BV41+BQ41,2)</f>
      </c>
      <c r="CA41" s="149" t="s">
        <v>251</v>
      </c>
      <c r="CB41" s="24"/>
      <c r="CC41" s="117" t="str">
        <f>=IFERROR(ROUND(CB41/FB_Kurs_12,2),0)</f>
      </c>
      <c r="CD41" s="116" t="str">
        <f>=ROUND(CB41+BW41,2)</f>
      </c>
      <c r="CE41" s="144" t="str">
        <f>=ROUND(CC41+BX41,2)</f>
      </c>
      <c r="CH41" s="149" t="s">
        <v>251</v>
      </c>
      <c r="CI41" s="24"/>
      <c r="CJ41" s="117" t="str">
        <f>=IFERROR(ROUND(CI41/FB_Kurs_13,2),0)</f>
      </c>
      <c r="CK41" s="116" t="str">
        <f>=ROUND(CI41+CD41,2)</f>
      </c>
      <c r="CL41" s="144" t="str">
        <f>=ROUND(CJ41+CE41,2)</f>
      </c>
      <c r="CO41" s="149" t="s">
        <v>251</v>
      </c>
      <c r="CP41" s="24"/>
      <c r="CQ41" s="117" t="str">
        <f>=IFERROR(ROUND(CP41/FB_Kurs_14,2),0)</f>
      </c>
      <c r="CR41" s="116" t="str">
        <f>=ROUND(CP41+CK41,2)</f>
      </c>
      <c r="CS41" s="144" t="str">
        <f>=ROUND(CQ41+CL41,2)</f>
      </c>
      <c r="CV41" s="149" t="s">
        <v>251</v>
      </c>
      <c r="CW41" s="24"/>
      <c r="CX41" s="117" t="str">
        <f>=IFERROR(ROUND(CW41/FB_Kurs_15,2),0)</f>
      </c>
      <c r="CY41" s="116" t="str">
        <f>=ROUND(CW41+CR41,2)</f>
      </c>
      <c r="CZ41" s="144" t="str">
        <f>=ROUND(CX41+CS41,2)</f>
      </c>
      <c r="DC41" s="149" t="s">
        <v>251</v>
      </c>
      <c r="DD41" s="24"/>
      <c r="DE41" s="117" t="str">
        <f>=IFERROR(ROUND(DD41/FB_Kurs_16,2),0)</f>
      </c>
      <c r="DF41" s="116" t="str">
        <f>=ROUND(DD41+CY41,2)</f>
      </c>
      <c r="DG41" s="144" t="str">
        <f>=ROUND(DE41+CZ41,2)</f>
      </c>
      <c r="DJ41" s="149" t="s">
        <v>251</v>
      </c>
      <c r="DK41" s="24"/>
      <c r="DL41" s="117" t="str">
        <f>=IFERROR(ROUND(DK41/FB_Kurs_17,2),0)</f>
      </c>
      <c r="DM41" s="116" t="str">
        <f>=ROUND(DK41+DF41,2)</f>
      </c>
      <c r="DN41" s="144" t="str">
        <f>=ROUND(DL41+DG41,2)</f>
      </c>
      <c r="DQ41" s="149" t="s">
        <v>251</v>
      </c>
      <c r="DR41" s="24"/>
      <c r="DS41" s="117" t="str">
        <f>=IFERROR(ROUND(DR41/FB_Kurs_18,2),0)</f>
      </c>
      <c r="DT41" s="116" t="str">
        <f>=ROUND(DR41+DM41,2)</f>
      </c>
      <c r="DU41" s="144" t="str">
        <f>=ROUND(DS41+DN41,2)</f>
      </c>
    </row>
    <row r="42">
      <c r="B42" s="149" t="s">
        <v>252</v>
      </c>
      <c r="C42" s="24"/>
      <c r="D42" s="117" t="str">
        <f>=IFERROR(ROUND(C42/FB_Kurs_1,2),0)</f>
      </c>
      <c r="E42" s="116" t="str">
        <f>=ROUND(C42,2)</f>
      </c>
      <c r="F42" s="144" t="str">
        <f>=ROUND(D42,2)</f>
      </c>
      <c r="I42" s="149" t="s">
        <v>252</v>
      </c>
      <c r="J42" s="24"/>
      <c r="K42" s="117" t="str">
        <f>=IFERROR(ROUND(J42/FB_Kurs_2,2),0)</f>
      </c>
      <c r="L42" s="116" t="str">
        <f>=ROUND(J42+E42,2)</f>
      </c>
      <c r="M42" s="144" t="str">
        <f>=ROUND(K42+F42,2)</f>
      </c>
      <c r="P42" s="149" t="s">
        <v>252</v>
      </c>
      <c r="Q42" s="24"/>
      <c r="R42" s="117" t="str">
        <f>=IFERROR(ROUND(Q42/FB_Kurs_3,2),0)</f>
      </c>
      <c r="S42" s="116" t="str">
        <f>=ROUND(Q42+L42,2)</f>
      </c>
      <c r="T42" s="144" t="str">
        <f>=ROUND(R42+M42,2)</f>
      </c>
      <c r="W42" s="149" t="s">
        <v>252</v>
      </c>
      <c r="X42" s="24"/>
      <c r="Y42" s="117" t="str">
        <f>=IFERROR(ROUND(X42/FB_Kurs_4,2),0)</f>
      </c>
      <c r="Z42" s="116" t="str">
        <f>=ROUND(X42+S42,2)</f>
      </c>
      <c r="AA42" s="144" t="str">
        <f>=ROUND(Y42+T42,2)</f>
      </c>
      <c r="AD42" s="149" t="s">
        <v>252</v>
      </c>
      <c r="AE42" s="24"/>
      <c r="AF42" s="117" t="str">
        <f>=IFERROR(ROUND(AE42/FB_Kurs_5,2),0)</f>
      </c>
      <c r="AG42" s="116" t="str">
        <f>=ROUND(AE42+Z42,2)</f>
      </c>
      <c r="AH42" s="144" t="str">
        <f>=ROUND(AF42+AA42,2)</f>
      </c>
      <c r="AK42" s="149" t="s">
        <v>252</v>
      </c>
      <c r="AL42" s="24"/>
      <c r="AM42" s="117" t="str">
        <f>=IFERROR(ROUND(AL42/FB_Kurs_6,2),0)</f>
      </c>
      <c r="AN42" s="116" t="str">
        <f>=ROUND(AL42+AG42,2)</f>
      </c>
      <c r="AO42" s="144" t="str">
        <f>=ROUND(AM42+AH42,2)</f>
      </c>
      <c r="AR42" s="149" t="s">
        <v>252</v>
      </c>
      <c r="AS42" s="24"/>
      <c r="AT42" s="117" t="str">
        <f>=IFERROR(ROUND(AS42/FB_Kurs_7,2),0)</f>
      </c>
      <c r="AU42" s="116" t="str">
        <f>=ROUND(AS42+AN42,2)</f>
      </c>
      <c r="AV42" s="144" t="str">
        <f>=ROUND(AT42+AO42,2)</f>
      </c>
      <c r="AY42" s="149" t="s">
        <v>252</v>
      </c>
      <c r="AZ42" s="24"/>
      <c r="BA42" s="117" t="str">
        <f>=IFERROR(ROUND(AZ42/FB_Kurs_8,2),0)</f>
      </c>
      <c r="BB42" s="116" t="str">
        <f>=ROUND(AZ42+AU42,2)</f>
      </c>
      <c r="BC42" s="144" t="str">
        <f>=ROUND(BA42+AV42,2)</f>
      </c>
      <c r="BF42" s="149" t="s">
        <v>252</v>
      </c>
      <c r="BG42" s="24"/>
      <c r="BH42" s="117" t="str">
        <f>=IFERROR(ROUND(BG42/FB_Kurs_9,2),0)</f>
      </c>
      <c r="BI42" s="116" t="str">
        <f>=ROUND(BG42+BB42,2)</f>
      </c>
      <c r="BJ42" s="144" t="str">
        <f>=ROUND(BH42+BC42,2)</f>
      </c>
      <c r="BM42" s="149" t="s">
        <v>252</v>
      </c>
      <c r="BN42" s="24"/>
      <c r="BO42" s="117" t="str">
        <f>=IFERROR(ROUND(BN42/FB_Kurs_10,2),0)</f>
      </c>
      <c r="BP42" s="116" t="str">
        <f>=ROUND(BN42+BI42,2)</f>
      </c>
      <c r="BQ42" s="144" t="str">
        <f>=ROUND(BO42+BJ42,2)</f>
      </c>
      <c r="BT42" s="149" t="s">
        <v>252</v>
      </c>
      <c r="BU42" s="24"/>
      <c r="BV42" s="117" t="str">
        <f>=IFERROR(ROUND(BU42/FB_Kurs_11,2),0)</f>
      </c>
      <c r="BW42" s="116" t="str">
        <f>=ROUND(BU42+BP42,2)</f>
      </c>
      <c r="BX42" s="144" t="str">
        <f>=ROUND(BV42+BQ42,2)</f>
      </c>
      <c r="CA42" s="149" t="s">
        <v>252</v>
      </c>
      <c r="CB42" s="24"/>
      <c r="CC42" s="117" t="str">
        <f>=IFERROR(ROUND(CB42/FB_Kurs_12,2),0)</f>
      </c>
      <c r="CD42" s="116" t="str">
        <f>=ROUND(CB42+BW42,2)</f>
      </c>
      <c r="CE42" s="144" t="str">
        <f>=ROUND(CC42+BX42,2)</f>
      </c>
      <c r="CH42" s="149" t="s">
        <v>252</v>
      </c>
      <c r="CI42" s="24"/>
      <c r="CJ42" s="117" t="str">
        <f>=IFERROR(ROUND(CI42/FB_Kurs_13,2),0)</f>
      </c>
      <c r="CK42" s="116" t="str">
        <f>=ROUND(CI42+CD42,2)</f>
      </c>
      <c r="CL42" s="144" t="str">
        <f>=ROUND(CJ42+CE42,2)</f>
      </c>
      <c r="CO42" s="149" t="s">
        <v>252</v>
      </c>
      <c r="CP42" s="24"/>
      <c r="CQ42" s="117" t="str">
        <f>=IFERROR(ROUND(CP42/FB_Kurs_14,2),0)</f>
      </c>
      <c r="CR42" s="116" t="str">
        <f>=ROUND(CP42+CK42,2)</f>
      </c>
      <c r="CS42" s="144" t="str">
        <f>=ROUND(CQ42+CL42,2)</f>
      </c>
      <c r="CV42" s="149" t="s">
        <v>252</v>
      </c>
      <c r="CW42" s="24"/>
      <c r="CX42" s="117" t="str">
        <f>=IFERROR(ROUND(CW42/FB_Kurs_15,2),0)</f>
      </c>
      <c r="CY42" s="116" t="str">
        <f>=ROUND(CW42+CR42,2)</f>
      </c>
      <c r="CZ42" s="144" t="str">
        <f>=ROUND(CX42+CS42,2)</f>
      </c>
      <c r="DC42" s="149" t="s">
        <v>252</v>
      </c>
      <c r="DD42" s="24"/>
      <c r="DE42" s="117" t="str">
        <f>=IFERROR(ROUND(DD42/FB_Kurs_16,2),0)</f>
      </c>
      <c r="DF42" s="116" t="str">
        <f>=ROUND(DD42+CY42,2)</f>
      </c>
      <c r="DG42" s="144" t="str">
        <f>=ROUND(DE42+CZ42,2)</f>
      </c>
      <c r="DJ42" s="149" t="s">
        <v>252</v>
      </c>
      <c r="DK42" s="24"/>
      <c r="DL42" s="117" t="str">
        <f>=IFERROR(ROUND(DK42/FB_Kurs_17,2),0)</f>
      </c>
      <c r="DM42" s="116" t="str">
        <f>=ROUND(DK42+DF42,2)</f>
      </c>
      <c r="DN42" s="144" t="str">
        <f>=ROUND(DL42+DG42,2)</f>
      </c>
      <c r="DQ42" s="149" t="s">
        <v>252</v>
      </c>
      <c r="DR42" s="24"/>
      <c r="DS42" s="117" t="str">
        <f>=IFERROR(ROUND(DR42/FB_Kurs_18,2),0)</f>
      </c>
      <c r="DT42" s="116" t="str">
        <f>=ROUND(DR42+DM42,2)</f>
      </c>
      <c r="DU42" s="144" t="str">
        <f>=ROUND(DS42+DN42,2)</f>
      </c>
    </row>
    <row r="43">
      <c r="B43" s="149" t="s">
        <v>253</v>
      </c>
      <c r="C43" s="24"/>
      <c r="D43" s="117" t="str">
        <f>=IFERROR(ROUND(C43/FB_Kurs_1,2),0)</f>
      </c>
      <c r="E43" s="116" t="str">
        <f>=ROUND(C43,2)</f>
      </c>
      <c r="F43" s="144" t="str">
        <f>=ROUND(D43,2)</f>
      </c>
      <c r="I43" s="149" t="s">
        <v>253</v>
      </c>
      <c r="J43" s="24"/>
      <c r="K43" s="117" t="str">
        <f>=IFERROR(ROUND(J43/FB_Kurs_2,2),0)</f>
      </c>
      <c r="L43" s="116" t="str">
        <f>=ROUND(J43+E43,2)</f>
      </c>
      <c r="M43" s="144" t="str">
        <f>=ROUND(K43+F43,2)</f>
      </c>
      <c r="P43" s="149" t="s">
        <v>253</v>
      </c>
      <c r="Q43" s="24"/>
      <c r="R43" s="117" t="str">
        <f>=IFERROR(ROUND(Q43/FB_Kurs_3,2),0)</f>
      </c>
      <c r="S43" s="116" t="str">
        <f>=ROUND(Q43+L43,2)</f>
      </c>
      <c r="T43" s="144" t="str">
        <f>=ROUND(R43+M43,2)</f>
      </c>
      <c r="W43" s="149" t="s">
        <v>253</v>
      </c>
      <c r="X43" s="24"/>
      <c r="Y43" s="117" t="str">
        <f>=IFERROR(ROUND(X43/FB_Kurs_4,2),0)</f>
      </c>
      <c r="Z43" s="116" t="str">
        <f>=ROUND(X43+S43,2)</f>
      </c>
      <c r="AA43" s="144" t="str">
        <f>=ROUND(Y43+T43,2)</f>
      </c>
      <c r="AD43" s="149" t="s">
        <v>253</v>
      </c>
      <c r="AE43" s="24"/>
      <c r="AF43" s="117" t="str">
        <f>=IFERROR(ROUND(AE43/FB_Kurs_5,2),0)</f>
      </c>
      <c r="AG43" s="116" t="str">
        <f>=ROUND(AE43+Z43,2)</f>
      </c>
      <c r="AH43" s="144" t="str">
        <f>=ROUND(AF43+AA43,2)</f>
      </c>
      <c r="AK43" s="149" t="s">
        <v>253</v>
      </c>
      <c r="AL43" s="24"/>
      <c r="AM43" s="117" t="str">
        <f>=IFERROR(ROUND(AL43/FB_Kurs_6,2),0)</f>
      </c>
      <c r="AN43" s="116" t="str">
        <f>=ROUND(AL43+AG43,2)</f>
      </c>
      <c r="AO43" s="144" t="str">
        <f>=ROUND(AM43+AH43,2)</f>
      </c>
      <c r="AR43" s="149" t="s">
        <v>253</v>
      </c>
      <c r="AS43" s="24"/>
      <c r="AT43" s="117" t="str">
        <f>=IFERROR(ROUND(AS43/FB_Kurs_7,2),0)</f>
      </c>
      <c r="AU43" s="116" t="str">
        <f>=ROUND(AS43+AN43,2)</f>
      </c>
      <c r="AV43" s="144" t="str">
        <f>=ROUND(AT43+AO43,2)</f>
      </c>
      <c r="AY43" s="149" t="s">
        <v>253</v>
      </c>
      <c r="AZ43" s="24"/>
      <c r="BA43" s="117" t="str">
        <f>=IFERROR(ROUND(AZ43/FB_Kurs_8,2),0)</f>
      </c>
      <c r="BB43" s="116" t="str">
        <f>=ROUND(AZ43+AU43,2)</f>
      </c>
      <c r="BC43" s="144" t="str">
        <f>=ROUND(BA43+AV43,2)</f>
      </c>
      <c r="BF43" s="149" t="s">
        <v>253</v>
      </c>
      <c r="BG43" s="24"/>
      <c r="BH43" s="117" t="str">
        <f>=IFERROR(ROUND(BG43/FB_Kurs_9,2),0)</f>
      </c>
      <c r="BI43" s="116" t="str">
        <f>=ROUND(BG43+BB43,2)</f>
      </c>
      <c r="BJ43" s="144" t="str">
        <f>=ROUND(BH43+BC43,2)</f>
      </c>
      <c r="BM43" s="149" t="s">
        <v>253</v>
      </c>
      <c r="BN43" s="24"/>
      <c r="BO43" s="117" t="str">
        <f>=IFERROR(ROUND(BN43/FB_Kurs_10,2),0)</f>
      </c>
      <c r="BP43" s="116" t="str">
        <f>=ROUND(BN43+BI43,2)</f>
      </c>
      <c r="BQ43" s="144" t="str">
        <f>=ROUND(BO43+BJ43,2)</f>
      </c>
      <c r="BT43" s="149" t="s">
        <v>253</v>
      </c>
      <c r="BU43" s="24"/>
      <c r="BV43" s="117" t="str">
        <f>=IFERROR(ROUND(BU43/FB_Kurs_11,2),0)</f>
      </c>
      <c r="BW43" s="116" t="str">
        <f>=ROUND(BU43+BP43,2)</f>
      </c>
      <c r="BX43" s="144" t="str">
        <f>=ROUND(BV43+BQ43,2)</f>
      </c>
      <c r="CA43" s="149" t="s">
        <v>253</v>
      </c>
      <c r="CB43" s="24"/>
      <c r="CC43" s="117" t="str">
        <f>=IFERROR(ROUND(CB43/FB_Kurs_12,2),0)</f>
      </c>
      <c r="CD43" s="116" t="str">
        <f>=ROUND(CB43+BW43,2)</f>
      </c>
      <c r="CE43" s="144" t="str">
        <f>=ROUND(CC43+BX43,2)</f>
      </c>
      <c r="CH43" s="149" t="s">
        <v>253</v>
      </c>
      <c r="CI43" s="24"/>
      <c r="CJ43" s="117" t="str">
        <f>=IFERROR(ROUND(CI43/FB_Kurs_13,2),0)</f>
      </c>
      <c r="CK43" s="116" t="str">
        <f>=ROUND(CI43+CD43,2)</f>
      </c>
      <c r="CL43" s="144" t="str">
        <f>=ROUND(CJ43+CE43,2)</f>
      </c>
      <c r="CO43" s="149" t="s">
        <v>253</v>
      </c>
      <c r="CP43" s="24"/>
      <c r="CQ43" s="117" t="str">
        <f>=IFERROR(ROUND(CP43/FB_Kurs_14,2),0)</f>
      </c>
      <c r="CR43" s="116" t="str">
        <f>=ROUND(CP43+CK43,2)</f>
      </c>
      <c r="CS43" s="144" t="str">
        <f>=ROUND(CQ43+CL43,2)</f>
      </c>
      <c r="CV43" s="149" t="s">
        <v>253</v>
      </c>
      <c r="CW43" s="24"/>
      <c r="CX43" s="117" t="str">
        <f>=IFERROR(ROUND(CW43/FB_Kurs_15,2),0)</f>
      </c>
      <c r="CY43" s="116" t="str">
        <f>=ROUND(CW43+CR43,2)</f>
      </c>
      <c r="CZ43" s="144" t="str">
        <f>=ROUND(CX43+CS43,2)</f>
      </c>
      <c r="DC43" s="149" t="s">
        <v>253</v>
      </c>
      <c r="DD43" s="24"/>
      <c r="DE43" s="117" t="str">
        <f>=IFERROR(ROUND(DD43/FB_Kurs_16,2),0)</f>
      </c>
      <c r="DF43" s="116" t="str">
        <f>=ROUND(DD43+CY43,2)</f>
      </c>
      <c r="DG43" s="144" t="str">
        <f>=ROUND(DE43+CZ43,2)</f>
      </c>
      <c r="DJ43" s="149" t="s">
        <v>253</v>
      </c>
      <c r="DK43" s="24"/>
      <c r="DL43" s="117" t="str">
        <f>=IFERROR(ROUND(DK43/FB_Kurs_17,2),0)</f>
      </c>
      <c r="DM43" s="116" t="str">
        <f>=ROUND(DK43+DF43,2)</f>
      </c>
      <c r="DN43" s="144" t="str">
        <f>=ROUND(DL43+DG43,2)</f>
      </c>
      <c r="DQ43" s="149" t="s">
        <v>253</v>
      </c>
      <c r="DR43" s="24"/>
      <c r="DS43" s="117" t="str">
        <f>=IFERROR(ROUND(DR43/FB_Kurs_18,2),0)</f>
      </c>
      <c r="DT43" s="116" t="str">
        <f>=ROUND(DR43+DM43,2)</f>
      </c>
      <c r="DU43" s="144" t="str">
        <f>=ROUND(DS43+DN43,2)</f>
      </c>
    </row>
    <row r="44">
      <c r="B44" s="149" t="s">
        <v>254</v>
      </c>
      <c r="C44" s="24"/>
      <c r="D44" s="117" t="str">
        <f>=IFERROR(ROUND(C44/FB_Kurs_1,2),0)</f>
      </c>
      <c r="E44" s="116" t="str">
        <f>=ROUND(C44,2)</f>
      </c>
      <c r="F44" s="144" t="str">
        <f>=ROUND(D44,2)</f>
      </c>
      <c r="I44" s="149" t="s">
        <v>254</v>
      </c>
      <c r="J44" s="24"/>
      <c r="K44" s="117" t="str">
        <f>=IFERROR(ROUND(J44/FB_Kurs_2,2),0)</f>
      </c>
      <c r="L44" s="116" t="str">
        <f>=ROUND(J44+E44,2)</f>
      </c>
      <c r="M44" s="144" t="str">
        <f>=ROUND(K44+F44,2)</f>
      </c>
      <c r="P44" s="149" t="s">
        <v>254</v>
      </c>
      <c r="Q44" s="24"/>
      <c r="R44" s="117" t="str">
        <f>=IFERROR(ROUND(Q44/FB_Kurs_3,2),0)</f>
      </c>
      <c r="S44" s="116" t="str">
        <f>=ROUND(Q44+L44,2)</f>
      </c>
      <c r="T44" s="144" t="str">
        <f>=ROUND(R44+M44,2)</f>
      </c>
      <c r="W44" s="149" t="s">
        <v>254</v>
      </c>
      <c r="X44" s="24"/>
      <c r="Y44" s="117" t="str">
        <f>=IFERROR(ROUND(X44/FB_Kurs_4,2),0)</f>
      </c>
      <c r="Z44" s="116" t="str">
        <f>=ROUND(X44+S44,2)</f>
      </c>
      <c r="AA44" s="144" t="str">
        <f>=ROUND(Y44+T44,2)</f>
      </c>
      <c r="AD44" s="149" t="s">
        <v>254</v>
      </c>
      <c r="AE44" s="24"/>
      <c r="AF44" s="117" t="str">
        <f>=IFERROR(ROUND(AE44/FB_Kurs_5,2),0)</f>
      </c>
      <c r="AG44" s="116" t="str">
        <f>=ROUND(AE44+Z44,2)</f>
      </c>
      <c r="AH44" s="144" t="str">
        <f>=ROUND(AF44+AA44,2)</f>
      </c>
      <c r="AK44" s="149" t="s">
        <v>254</v>
      </c>
      <c r="AL44" s="24"/>
      <c r="AM44" s="117" t="str">
        <f>=IFERROR(ROUND(AL44/FB_Kurs_6,2),0)</f>
      </c>
      <c r="AN44" s="116" t="str">
        <f>=ROUND(AL44+AG44,2)</f>
      </c>
      <c r="AO44" s="144" t="str">
        <f>=ROUND(AM44+AH44,2)</f>
      </c>
      <c r="AR44" s="149" t="s">
        <v>254</v>
      </c>
      <c r="AS44" s="24"/>
      <c r="AT44" s="117" t="str">
        <f>=IFERROR(ROUND(AS44/FB_Kurs_7,2),0)</f>
      </c>
      <c r="AU44" s="116" t="str">
        <f>=ROUND(AS44+AN44,2)</f>
      </c>
      <c r="AV44" s="144" t="str">
        <f>=ROUND(AT44+AO44,2)</f>
      </c>
      <c r="AY44" s="149" t="s">
        <v>254</v>
      </c>
      <c r="AZ44" s="24"/>
      <c r="BA44" s="117" t="str">
        <f>=IFERROR(ROUND(AZ44/FB_Kurs_8,2),0)</f>
      </c>
      <c r="BB44" s="116" t="str">
        <f>=ROUND(AZ44+AU44,2)</f>
      </c>
      <c r="BC44" s="144" t="str">
        <f>=ROUND(BA44+AV44,2)</f>
      </c>
      <c r="BF44" s="149" t="s">
        <v>254</v>
      </c>
      <c r="BG44" s="24"/>
      <c r="BH44" s="117" t="str">
        <f>=IFERROR(ROUND(BG44/FB_Kurs_9,2),0)</f>
      </c>
      <c r="BI44" s="116" t="str">
        <f>=ROUND(BG44+BB44,2)</f>
      </c>
      <c r="BJ44" s="144" t="str">
        <f>=ROUND(BH44+BC44,2)</f>
      </c>
      <c r="BM44" s="149" t="s">
        <v>254</v>
      </c>
      <c r="BN44" s="24"/>
      <c r="BO44" s="117" t="str">
        <f>=IFERROR(ROUND(BN44/FB_Kurs_10,2),0)</f>
      </c>
      <c r="BP44" s="116" t="str">
        <f>=ROUND(BN44+BI44,2)</f>
      </c>
      <c r="BQ44" s="144" t="str">
        <f>=ROUND(BO44+BJ44,2)</f>
      </c>
      <c r="BT44" s="149" t="s">
        <v>254</v>
      </c>
      <c r="BU44" s="24"/>
      <c r="BV44" s="117" t="str">
        <f>=IFERROR(ROUND(BU44/FB_Kurs_11,2),0)</f>
      </c>
      <c r="BW44" s="116" t="str">
        <f>=ROUND(BU44+BP44,2)</f>
      </c>
      <c r="BX44" s="144" t="str">
        <f>=ROUND(BV44+BQ44,2)</f>
      </c>
      <c r="CA44" s="149" t="s">
        <v>254</v>
      </c>
      <c r="CB44" s="24"/>
      <c r="CC44" s="117" t="str">
        <f>=IFERROR(ROUND(CB44/FB_Kurs_12,2),0)</f>
      </c>
      <c r="CD44" s="116" t="str">
        <f>=ROUND(CB44+BW44,2)</f>
      </c>
      <c r="CE44" s="144" t="str">
        <f>=ROUND(CC44+BX44,2)</f>
      </c>
      <c r="CH44" s="149" t="s">
        <v>254</v>
      </c>
      <c r="CI44" s="24"/>
      <c r="CJ44" s="117" t="str">
        <f>=IFERROR(ROUND(CI44/FB_Kurs_13,2),0)</f>
      </c>
      <c r="CK44" s="116" t="str">
        <f>=ROUND(CI44+CD44,2)</f>
      </c>
      <c r="CL44" s="144" t="str">
        <f>=ROUND(CJ44+CE44,2)</f>
      </c>
      <c r="CO44" s="149" t="s">
        <v>254</v>
      </c>
      <c r="CP44" s="24"/>
      <c r="CQ44" s="117" t="str">
        <f>=IFERROR(ROUND(CP44/FB_Kurs_14,2),0)</f>
      </c>
      <c r="CR44" s="116" t="str">
        <f>=ROUND(CP44+CK44,2)</f>
      </c>
      <c r="CS44" s="144" t="str">
        <f>=ROUND(CQ44+CL44,2)</f>
      </c>
      <c r="CV44" s="149" t="s">
        <v>254</v>
      </c>
      <c r="CW44" s="24"/>
      <c r="CX44" s="117" t="str">
        <f>=IFERROR(ROUND(CW44/FB_Kurs_15,2),0)</f>
      </c>
      <c r="CY44" s="116" t="str">
        <f>=ROUND(CW44+CR44,2)</f>
      </c>
      <c r="CZ44" s="144" t="str">
        <f>=ROUND(CX44+CS44,2)</f>
      </c>
      <c r="DC44" s="149" t="s">
        <v>254</v>
      </c>
      <c r="DD44" s="24"/>
      <c r="DE44" s="117" t="str">
        <f>=IFERROR(ROUND(DD44/FB_Kurs_16,2),0)</f>
      </c>
      <c r="DF44" s="116" t="str">
        <f>=ROUND(DD44+CY44,2)</f>
      </c>
      <c r="DG44" s="144" t="str">
        <f>=ROUND(DE44+CZ44,2)</f>
      </c>
      <c r="DJ44" s="149" t="s">
        <v>254</v>
      </c>
      <c r="DK44" s="24"/>
      <c r="DL44" s="117" t="str">
        <f>=IFERROR(ROUND(DK44/FB_Kurs_17,2),0)</f>
      </c>
      <c r="DM44" s="116" t="str">
        <f>=ROUND(DK44+DF44,2)</f>
      </c>
      <c r="DN44" s="144" t="str">
        <f>=ROUND(DL44+DG44,2)</f>
      </c>
      <c r="DQ44" s="149" t="s">
        <v>254</v>
      </c>
      <c r="DR44" s="24"/>
      <c r="DS44" s="117" t="str">
        <f>=IFERROR(ROUND(DR44/FB_Kurs_18,2),0)</f>
      </c>
      <c r="DT44" s="116" t="str">
        <f>=ROUND(DR44+DM44,2)</f>
      </c>
      <c r="DU44" s="144" t="str">
        <f>=ROUND(DS44+DN44,2)</f>
      </c>
    </row>
    <row r="45">
      <c r="B45" s="149" t="s">
        <v>255</v>
      </c>
      <c r="C45" s="24"/>
      <c r="D45" s="117" t="str">
        <f>=IFERROR(ROUND(C45/FB_Kurs_1,2),0)</f>
      </c>
      <c r="E45" s="116" t="str">
        <f>=ROUND(C45,2)</f>
      </c>
      <c r="F45" s="144" t="str">
        <f>=ROUND(D45,2)</f>
      </c>
      <c r="I45" s="149" t="s">
        <v>255</v>
      </c>
      <c r="J45" s="24"/>
      <c r="K45" s="117" t="str">
        <f>=IFERROR(ROUND(J45/FB_Kurs_2,2),0)</f>
      </c>
      <c r="L45" s="116" t="str">
        <f>=ROUND(J45+E45,2)</f>
      </c>
      <c r="M45" s="144" t="str">
        <f>=ROUND(K45+F45,2)</f>
      </c>
      <c r="P45" s="149" t="s">
        <v>255</v>
      </c>
      <c r="Q45" s="24"/>
      <c r="R45" s="117" t="str">
        <f>=IFERROR(ROUND(Q45/FB_Kurs_3,2),0)</f>
      </c>
      <c r="S45" s="116" t="str">
        <f>=ROUND(Q45+L45,2)</f>
      </c>
      <c r="T45" s="144" t="str">
        <f>=ROUND(R45+M45,2)</f>
      </c>
      <c r="W45" s="149" t="s">
        <v>255</v>
      </c>
      <c r="X45" s="24"/>
      <c r="Y45" s="117" t="str">
        <f>=IFERROR(ROUND(X45/FB_Kurs_4,2),0)</f>
      </c>
      <c r="Z45" s="116" t="str">
        <f>=ROUND(X45+S45,2)</f>
      </c>
      <c r="AA45" s="144" t="str">
        <f>=ROUND(Y45+T45,2)</f>
      </c>
      <c r="AD45" s="149" t="s">
        <v>255</v>
      </c>
      <c r="AE45" s="24"/>
      <c r="AF45" s="117" t="str">
        <f>=IFERROR(ROUND(AE45/FB_Kurs_5,2),0)</f>
      </c>
      <c r="AG45" s="116" t="str">
        <f>=ROUND(AE45+Z45,2)</f>
      </c>
      <c r="AH45" s="144" t="str">
        <f>=ROUND(AF45+AA45,2)</f>
      </c>
      <c r="AK45" s="149" t="s">
        <v>255</v>
      </c>
      <c r="AL45" s="24"/>
      <c r="AM45" s="117" t="str">
        <f>=IFERROR(ROUND(AL45/FB_Kurs_6,2),0)</f>
      </c>
      <c r="AN45" s="116" t="str">
        <f>=ROUND(AL45+AG45,2)</f>
      </c>
      <c r="AO45" s="144" t="str">
        <f>=ROUND(AM45+AH45,2)</f>
      </c>
      <c r="AR45" s="149" t="s">
        <v>255</v>
      </c>
      <c r="AS45" s="24"/>
      <c r="AT45" s="117" t="str">
        <f>=IFERROR(ROUND(AS45/FB_Kurs_7,2),0)</f>
      </c>
      <c r="AU45" s="116" t="str">
        <f>=ROUND(AS45+AN45,2)</f>
      </c>
      <c r="AV45" s="144" t="str">
        <f>=ROUND(AT45+AO45,2)</f>
      </c>
      <c r="AY45" s="149" t="s">
        <v>255</v>
      </c>
      <c r="AZ45" s="24"/>
      <c r="BA45" s="117" t="str">
        <f>=IFERROR(ROUND(AZ45/FB_Kurs_8,2),0)</f>
      </c>
      <c r="BB45" s="116" t="str">
        <f>=ROUND(AZ45+AU45,2)</f>
      </c>
      <c r="BC45" s="144" t="str">
        <f>=ROUND(BA45+AV45,2)</f>
      </c>
      <c r="BF45" s="149" t="s">
        <v>255</v>
      </c>
      <c r="BG45" s="24"/>
      <c r="BH45" s="117" t="str">
        <f>=IFERROR(ROUND(BG45/FB_Kurs_9,2),0)</f>
      </c>
      <c r="BI45" s="116" t="str">
        <f>=ROUND(BG45+BB45,2)</f>
      </c>
      <c r="BJ45" s="144" t="str">
        <f>=ROUND(BH45+BC45,2)</f>
      </c>
      <c r="BM45" s="149" t="s">
        <v>255</v>
      </c>
      <c r="BN45" s="24"/>
      <c r="BO45" s="117" t="str">
        <f>=IFERROR(ROUND(BN45/FB_Kurs_10,2),0)</f>
      </c>
      <c r="BP45" s="116" t="str">
        <f>=ROUND(BN45+BI45,2)</f>
      </c>
      <c r="BQ45" s="144" t="str">
        <f>=ROUND(BO45+BJ45,2)</f>
      </c>
      <c r="BT45" s="149" t="s">
        <v>255</v>
      </c>
      <c r="BU45" s="24"/>
      <c r="BV45" s="117" t="str">
        <f>=IFERROR(ROUND(BU45/FB_Kurs_11,2),0)</f>
      </c>
      <c r="BW45" s="116" t="str">
        <f>=ROUND(BU45+BP45,2)</f>
      </c>
      <c r="BX45" s="144" t="str">
        <f>=ROUND(BV45+BQ45,2)</f>
      </c>
      <c r="CA45" s="149" t="s">
        <v>255</v>
      </c>
      <c r="CB45" s="24"/>
      <c r="CC45" s="117" t="str">
        <f>=IFERROR(ROUND(CB45/FB_Kurs_12,2),0)</f>
      </c>
      <c r="CD45" s="116" t="str">
        <f>=ROUND(CB45+BW45,2)</f>
      </c>
      <c r="CE45" s="144" t="str">
        <f>=ROUND(CC45+BX45,2)</f>
      </c>
      <c r="CH45" s="149" t="s">
        <v>255</v>
      </c>
      <c r="CI45" s="24"/>
      <c r="CJ45" s="117" t="str">
        <f>=IFERROR(ROUND(CI45/FB_Kurs_13,2),0)</f>
      </c>
      <c r="CK45" s="116" t="str">
        <f>=ROUND(CI45+CD45,2)</f>
      </c>
      <c r="CL45" s="144" t="str">
        <f>=ROUND(CJ45+CE45,2)</f>
      </c>
      <c r="CO45" s="149" t="s">
        <v>255</v>
      </c>
      <c r="CP45" s="24"/>
      <c r="CQ45" s="117" t="str">
        <f>=IFERROR(ROUND(CP45/FB_Kurs_14,2),0)</f>
      </c>
      <c r="CR45" s="116" t="str">
        <f>=ROUND(CP45+CK45,2)</f>
      </c>
      <c r="CS45" s="144" t="str">
        <f>=ROUND(CQ45+CL45,2)</f>
      </c>
      <c r="CV45" s="149" t="s">
        <v>255</v>
      </c>
      <c r="CW45" s="24"/>
      <c r="CX45" s="117" t="str">
        <f>=IFERROR(ROUND(CW45/FB_Kurs_15,2),0)</f>
      </c>
      <c r="CY45" s="116" t="str">
        <f>=ROUND(CW45+CR45,2)</f>
      </c>
      <c r="CZ45" s="144" t="str">
        <f>=ROUND(CX45+CS45,2)</f>
      </c>
      <c r="DC45" s="149" t="s">
        <v>255</v>
      </c>
      <c r="DD45" s="24"/>
      <c r="DE45" s="117" t="str">
        <f>=IFERROR(ROUND(DD45/FB_Kurs_16,2),0)</f>
      </c>
      <c r="DF45" s="116" t="str">
        <f>=ROUND(DD45+CY45,2)</f>
      </c>
      <c r="DG45" s="144" t="str">
        <f>=ROUND(DE45+CZ45,2)</f>
      </c>
      <c r="DJ45" s="149" t="s">
        <v>255</v>
      </c>
      <c r="DK45" s="24"/>
      <c r="DL45" s="117" t="str">
        <f>=IFERROR(ROUND(DK45/FB_Kurs_17,2),0)</f>
      </c>
      <c r="DM45" s="116" t="str">
        <f>=ROUND(DK45+DF45,2)</f>
      </c>
      <c r="DN45" s="144" t="str">
        <f>=ROUND(DL45+DG45,2)</f>
      </c>
      <c r="DQ45" s="149" t="s">
        <v>255</v>
      </c>
      <c r="DR45" s="24"/>
      <c r="DS45" s="117" t="str">
        <f>=IFERROR(ROUND(DR45/FB_Kurs_18,2),0)</f>
      </c>
      <c r="DT45" s="116" t="str">
        <f>=ROUND(DR45+DM45,2)</f>
      </c>
      <c r="DU45" s="144" t="str">
        <f>=ROUND(DS45+DN45,2)</f>
      </c>
    </row>
    <row r="46">
      <c r="B46" s="149" t="s">
        <v>256</v>
      </c>
      <c r="C46" s="24"/>
      <c r="D46" s="117" t="str">
        <f>=IFERROR(ROUND(C46/FB_Kurs_1,2),0)</f>
      </c>
      <c r="E46" s="116" t="str">
        <f>=ROUND(C46,2)</f>
      </c>
      <c r="F46" s="144" t="str">
        <f>=ROUND(D46,2)</f>
      </c>
      <c r="I46" s="149" t="s">
        <v>256</v>
      </c>
      <c r="J46" s="24"/>
      <c r="K46" s="117" t="str">
        <f>=IFERROR(ROUND(J46/FB_Kurs_2,2),0)</f>
      </c>
      <c r="L46" s="116" t="str">
        <f>=ROUND(J46+E46,2)</f>
      </c>
      <c r="M46" s="144" t="str">
        <f>=ROUND(K46+F46,2)</f>
      </c>
      <c r="P46" s="149" t="s">
        <v>256</v>
      </c>
      <c r="Q46" s="24"/>
      <c r="R46" s="117" t="str">
        <f>=IFERROR(ROUND(Q46/FB_Kurs_3,2),0)</f>
      </c>
      <c r="S46" s="116" t="str">
        <f>=ROUND(Q46+L46,2)</f>
      </c>
      <c r="T46" s="144" t="str">
        <f>=ROUND(R46+M46,2)</f>
      </c>
      <c r="W46" s="149" t="s">
        <v>256</v>
      </c>
      <c r="X46" s="24"/>
      <c r="Y46" s="117" t="str">
        <f>=IFERROR(ROUND(X46/FB_Kurs_4,2),0)</f>
      </c>
      <c r="Z46" s="116" t="str">
        <f>=ROUND(X46+S46,2)</f>
      </c>
      <c r="AA46" s="144" t="str">
        <f>=ROUND(Y46+T46,2)</f>
      </c>
      <c r="AD46" s="149" t="s">
        <v>256</v>
      </c>
      <c r="AE46" s="24"/>
      <c r="AF46" s="117" t="str">
        <f>=IFERROR(ROUND(AE46/FB_Kurs_5,2),0)</f>
      </c>
      <c r="AG46" s="116" t="str">
        <f>=ROUND(AE46+Z46,2)</f>
      </c>
      <c r="AH46" s="144" t="str">
        <f>=ROUND(AF46+AA46,2)</f>
      </c>
      <c r="AK46" s="149" t="s">
        <v>256</v>
      </c>
      <c r="AL46" s="24"/>
      <c r="AM46" s="117" t="str">
        <f>=IFERROR(ROUND(AL46/FB_Kurs_6,2),0)</f>
      </c>
      <c r="AN46" s="116" t="str">
        <f>=ROUND(AL46+AG46,2)</f>
      </c>
      <c r="AO46" s="144" t="str">
        <f>=ROUND(AM46+AH46,2)</f>
      </c>
      <c r="AR46" s="149" t="s">
        <v>256</v>
      </c>
      <c r="AS46" s="24"/>
      <c r="AT46" s="117" t="str">
        <f>=IFERROR(ROUND(AS46/FB_Kurs_7,2),0)</f>
      </c>
      <c r="AU46" s="116" t="str">
        <f>=ROUND(AS46+AN46,2)</f>
      </c>
      <c r="AV46" s="144" t="str">
        <f>=ROUND(AT46+AO46,2)</f>
      </c>
      <c r="AY46" s="149" t="s">
        <v>256</v>
      </c>
      <c r="AZ46" s="24"/>
      <c r="BA46" s="117" t="str">
        <f>=IFERROR(ROUND(AZ46/FB_Kurs_8,2),0)</f>
      </c>
      <c r="BB46" s="116" t="str">
        <f>=ROUND(AZ46+AU46,2)</f>
      </c>
      <c r="BC46" s="144" t="str">
        <f>=ROUND(BA46+AV46,2)</f>
      </c>
      <c r="BF46" s="149" t="s">
        <v>256</v>
      </c>
      <c r="BG46" s="24"/>
      <c r="BH46" s="117" t="str">
        <f>=IFERROR(ROUND(BG46/FB_Kurs_9,2),0)</f>
      </c>
      <c r="BI46" s="116" t="str">
        <f>=ROUND(BG46+BB46,2)</f>
      </c>
      <c r="BJ46" s="144" t="str">
        <f>=ROUND(BH46+BC46,2)</f>
      </c>
      <c r="BM46" s="149" t="s">
        <v>256</v>
      </c>
      <c r="BN46" s="24"/>
      <c r="BO46" s="117" t="str">
        <f>=IFERROR(ROUND(BN46/FB_Kurs_10,2),0)</f>
      </c>
      <c r="BP46" s="116" t="str">
        <f>=ROUND(BN46+BI46,2)</f>
      </c>
      <c r="BQ46" s="144" t="str">
        <f>=ROUND(BO46+BJ46,2)</f>
      </c>
      <c r="BT46" s="149" t="s">
        <v>256</v>
      </c>
      <c r="BU46" s="24"/>
      <c r="BV46" s="117" t="str">
        <f>=IFERROR(ROUND(BU46/FB_Kurs_11,2),0)</f>
      </c>
      <c r="BW46" s="116" t="str">
        <f>=ROUND(BU46+BP46,2)</f>
      </c>
      <c r="BX46" s="144" t="str">
        <f>=ROUND(BV46+BQ46,2)</f>
      </c>
      <c r="CA46" s="149" t="s">
        <v>256</v>
      </c>
      <c r="CB46" s="24"/>
      <c r="CC46" s="117" t="str">
        <f>=IFERROR(ROUND(CB46/FB_Kurs_12,2),0)</f>
      </c>
      <c r="CD46" s="116" t="str">
        <f>=ROUND(CB46+BW46,2)</f>
      </c>
      <c r="CE46" s="144" t="str">
        <f>=ROUND(CC46+BX46,2)</f>
      </c>
      <c r="CH46" s="149" t="s">
        <v>256</v>
      </c>
      <c r="CI46" s="24"/>
      <c r="CJ46" s="117" t="str">
        <f>=IFERROR(ROUND(CI46/FB_Kurs_13,2),0)</f>
      </c>
      <c r="CK46" s="116" t="str">
        <f>=ROUND(CI46+CD46,2)</f>
      </c>
      <c r="CL46" s="144" t="str">
        <f>=ROUND(CJ46+CE46,2)</f>
      </c>
      <c r="CO46" s="149" t="s">
        <v>256</v>
      </c>
      <c r="CP46" s="24"/>
      <c r="CQ46" s="117" t="str">
        <f>=IFERROR(ROUND(CP46/FB_Kurs_14,2),0)</f>
      </c>
      <c r="CR46" s="116" t="str">
        <f>=ROUND(CP46+CK46,2)</f>
      </c>
      <c r="CS46" s="144" t="str">
        <f>=ROUND(CQ46+CL46,2)</f>
      </c>
      <c r="CV46" s="149" t="s">
        <v>256</v>
      </c>
      <c r="CW46" s="24"/>
      <c r="CX46" s="117" t="str">
        <f>=IFERROR(ROUND(CW46/FB_Kurs_15,2),0)</f>
      </c>
      <c r="CY46" s="116" t="str">
        <f>=ROUND(CW46+CR46,2)</f>
      </c>
      <c r="CZ46" s="144" t="str">
        <f>=ROUND(CX46+CS46,2)</f>
      </c>
      <c r="DC46" s="149" t="s">
        <v>256</v>
      </c>
      <c r="DD46" s="24"/>
      <c r="DE46" s="117" t="str">
        <f>=IFERROR(ROUND(DD46/FB_Kurs_16,2),0)</f>
      </c>
      <c r="DF46" s="116" t="str">
        <f>=ROUND(DD46+CY46,2)</f>
      </c>
      <c r="DG46" s="144" t="str">
        <f>=ROUND(DE46+CZ46,2)</f>
      </c>
      <c r="DJ46" s="149" t="s">
        <v>256</v>
      </c>
      <c r="DK46" s="24"/>
      <c r="DL46" s="117" t="str">
        <f>=IFERROR(ROUND(DK46/FB_Kurs_17,2),0)</f>
      </c>
      <c r="DM46" s="116" t="str">
        <f>=ROUND(DK46+DF46,2)</f>
      </c>
      <c r="DN46" s="144" t="str">
        <f>=ROUND(DL46+DG46,2)</f>
      </c>
      <c r="DQ46" s="149" t="s">
        <v>256</v>
      </c>
      <c r="DR46" s="24"/>
      <c r="DS46" s="117" t="str">
        <f>=IFERROR(ROUND(DR46/FB_Kurs_18,2),0)</f>
      </c>
      <c r="DT46" s="116" t="str">
        <f>=ROUND(DR46+DM46,2)</f>
      </c>
      <c r="DU46" s="144" t="str">
        <f>=ROUND(DS46+DN46,2)</f>
      </c>
    </row>
    <row r="47">
      <c r="B47" s="149" t="s">
        <v>257</v>
      </c>
      <c r="C47" s="24"/>
      <c r="D47" s="117" t="str">
        <f>=IFERROR(ROUND(C47/FB_Kurs_1,2),0)</f>
      </c>
      <c r="E47" s="116" t="str">
        <f>=ROUND(C47,2)</f>
      </c>
      <c r="F47" s="144" t="str">
        <f>=ROUND(D47,2)</f>
      </c>
      <c r="I47" s="149" t="s">
        <v>257</v>
      </c>
      <c r="J47" s="24"/>
      <c r="K47" s="117" t="str">
        <f>=IFERROR(ROUND(J47/FB_Kurs_2,2),0)</f>
      </c>
      <c r="L47" s="116" t="str">
        <f>=ROUND(J47+E47,2)</f>
      </c>
      <c r="M47" s="144" t="str">
        <f>=ROUND(K47+F47,2)</f>
      </c>
      <c r="P47" s="149" t="s">
        <v>257</v>
      </c>
      <c r="Q47" s="24"/>
      <c r="R47" s="117" t="str">
        <f>=IFERROR(ROUND(Q47/FB_Kurs_3,2),0)</f>
      </c>
      <c r="S47" s="116" t="str">
        <f>=ROUND(Q47+L47,2)</f>
      </c>
      <c r="T47" s="144" t="str">
        <f>=ROUND(R47+M47,2)</f>
      </c>
      <c r="W47" s="149" t="s">
        <v>257</v>
      </c>
      <c r="X47" s="24"/>
      <c r="Y47" s="117" t="str">
        <f>=IFERROR(ROUND(X47/FB_Kurs_4,2),0)</f>
      </c>
      <c r="Z47" s="116" t="str">
        <f>=ROUND(X47+S47,2)</f>
      </c>
      <c r="AA47" s="144" t="str">
        <f>=ROUND(Y47+T47,2)</f>
      </c>
      <c r="AD47" s="149" t="s">
        <v>257</v>
      </c>
      <c r="AE47" s="24"/>
      <c r="AF47" s="117" t="str">
        <f>=IFERROR(ROUND(AE47/FB_Kurs_5,2),0)</f>
      </c>
      <c r="AG47" s="116" t="str">
        <f>=ROUND(AE47+Z47,2)</f>
      </c>
      <c r="AH47" s="144" t="str">
        <f>=ROUND(AF47+AA47,2)</f>
      </c>
      <c r="AK47" s="149" t="s">
        <v>257</v>
      </c>
      <c r="AL47" s="24"/>
      <c r="AM47" s="117" t="str">
        <f>=IFERROR(ROUND(AL47/FB_Kurs_6,2),0)</f>
      </c>
      <c r="AN47" s="116" t="str">
        <f>=ROUND(AL47+AG47,2)</f>
      </c>
      <c r="AO47" s="144" t="str">
        <f>=ROUND(AM47+AH47,2)</f>
      </c>
      <c r="AR47" s="149" t="s">
        <v>257</v>
      </c>
      <c r="AS47" s="24"/>
      <c r="AT47" s="117" t="str">
        <f>=IFERROR(ROUND(AS47/FB_Kurs_7,2),0)</f>
      </c>
      <c r="AU47" s="116" t="str">
        <f>=ROUND(AS47+AN47,2)</f>
      </c>
      <c r="AV47" s="144" t="str">
        <f>=ROUND(AT47+AO47,2)</f>
      </c>
      <c r="AY47" s="149" t="s">
        <v>257</v>
      </c>
      <c r="AZ47" s="24"/>
      <c r="BA47" s="117" t="str">
        <f>=IFERROR(ROUND(AZ47/FB_Kurs_8,2),0)</f>
      </c>
      <c r="BB47" s="116" t="str">
        <f>=ROUND(AZ47+AU47,2)</f>
      </c>
      <c r="BC47" s="144" t="str">
        <f>=ROUND(BA47+AV47,2)</f>
      </c>
      <c r="BF47" s="149" t="s">
        <v>257</v>
      </c>
      <c r="BG47" s="24"/>
      <c r="BH47" s="117" t="str">
        <f>=IFERROR(ROUND(BG47/FB_Kurs_9,2),0)</f>
      </c>
      <c r="BI47" s="116" t="str">
        <f>=ROUND(BG47+BB47,2)</f>
      </c>
      <c r="BJ47" s="144" t="str">
        <f>=ROUND(BH47+BC47,2)</f>
      </c>
      <c r="BM47" s="149" t="s">
        <v>257</v>
      </c>
      <c r="BN47" s="24"/>
      <c r="BO47" s="117" t="str">
        <f>=IFERROR(ROUND(BN47/FB_Kurs_10,2),0)</f>
      </c>
      <c r="BP47" s="116" t="str">
        <f>=ROUND(BN47+BI47,2)</f>
      </c>
      <c r="BQ47" s="144" t="str">
        <f>=ROUND(BO47+BJ47,2)</f>
      </c>
      <c r="BT47" s="149" t="s">
        <v>257</v>
      </c>
      <c r="BU47" s="24"/>
      <c r="BV47" s="117" t="str">
        <f>=IFERROR(ROUND(BU47/FB_Kurs_11,2),0)</f>
      </c>
      <c r="BW47" s="116" t="str">
        <f>=ROUND(BU47+BP47,2)</f>
      </c>
      <c r="BX47" s="144" t="str">
        <f>=ROUND(BV47+BQ47,2)</f>
      </c>
      <c r="CA47" s="149" t="s">
        <v>257</v>
      </c>
      <c r="CB47" s="24"/>
      <c r="CC47" s="117" t="str">
        <f>=IFERROR(ROUND(CB47/FB_Kurs_12,2),0)</f>
      </c>
      <c r="CD47" s="116" t="str">
        <f>=ROUND(CB47+BW47,2)</f>
      </c>
      <c r="CE47" s="144" t="str">
        <f>=ROUND(CC47+BX47,2)</f>
      </c>
      <c r="CH47" s="149" t="s">
        <v>257</v>
      </c>
      <c r="CI47" s="24"/>
      <c r="CJ47" s="117" t="str">
        <f>=IFERROR(ROUND(CI47/FB_Kurs_13,2),0)</f>
      </c>
      <c r="CK47" s="116" t="str">
        <f>=ROUND(CI47+CD47,2)</f>
      </c>
      <c r="CL47" s="144" t="str">
        <f>=ROUND(CJ47+CE47,2)</f>
      </c>
      <c r="CO47" s="149" t="s">
        <v>257</v>
      </c>
      <c r="CP47" s="24"/>
      <c r="CQ47" s="117" t="str">
        <f>=IFERROR(ROUND(CP47/FB_Kurs_14,2),0)</f>
      </c>
      <c r="CR47" s="116" t="str">
        <f>=ROUND(CP47+CK47,2)</f>
      </c>
      <c r="CS47" s="144" t="str">
        <f>=ROUND(CQ47+CL47,2)</f>
      </c>
      <c r="CV47" s="149" t="s">
        <v>257</v>
      </c>
      <c r="CW47" s="24"/>
      <c r="CX47" s="117" t="str">
        <f>=IFERROR(ROUND(CW47/FB_Kurs_15,2),0)</f>
      </c>
      <c r="CY47" s="116" t="str">
        <f>=ROUND(CW47+CR47,2)</f>
      </c>
      <c r="CZ47" s="144" t="str">
        <f>=ROUND(CX47+CS47,2)</f>
      </c>
      <c r="DC47" s="149" t="s">
        <v>257</v>
      </c>
      <c r="DD47" s="24"/>
      <c r="DE47" s="117" t="str">
        <f>=IFERROR(ROUND(DD47/FB_Kurs_16,2),0)</f>
      </c>
      <c r="DF47" s="116" t="str">
        <f>=ROUND(DD47+CY47,2)</f>
      </c>
      <c r="DG47" s="144" t="str">
        <f>=ROUND(DE47+CZ47,2)</f>
      </c>
      <c r="DJ47" s="149" t="s">
        <v>257</v>
      </c>
      <c r="DK47" s="24"/>
      <c r="DL47" s="117" t="str">
        <f>=IFERROR(ROUND(DK47/FB_Kurs_17,2),0)</f>
      </c>
      <c r="DM47" s="116" t="str">
        <f>=ROUND(DK47+DF47,2)</f>
      </c>
      <c r="DN47" s="144" t="str">
        <f>=ROUND(DL47+DG47,2)</f>
      </c>
      <c r="DQ47" s="149" t="s">
        <v>257</v>
      </c>
      <c r="DR47" s="24"/>
      <c r="DS47" s="117" t="str">
        <f>=IFERROR(ROUND(DR47/FB_Kurs_18,2),0)</f>
      </c>
      <c r="DT47" s="116" t="str">
        <f>=ROUND(DR47+DM47,2)</f>
      </c>
      <c r="DU47" s="144" t="str">
        <f>=ROUND(DS47+DN47,2)</f>
      </c>
    </row>
    <row r="48">
      <c r="B48" s="149" t="s">
        <v>258</v>
      </c>
      <c r="C48" s="24"/>
      <c r="D48" s="117" t="str">
        <f>=IFERROR(ROUND(C48/FB_Kurs_1,2),0)</f>
      </c>
      <c r="E48" s="116" t="str">
        <f>=ROUND(C48,2)</f>
      </c>
      <c r="F48" s="144" t="str">
        <f>=ROUND(D48,2)</f>
      </c>
      <c r="I48" s="149" t="s">
        <v>258</v>
      </c>
      <c r="J48" s="24"/>
      <c r="K48" s="117" t="str">
        <f>=IFERROR(ROUND(J48/FB_Kurs_2,2),0)</f>
      </c>
      <c r="L48" s="116" t="str">
        <f>=ROUND(J48+E48,2)</f>
      </c>
      <c r="M48" s="144" t="str">
        <f>=ROUND(K48+F48,2)</f>
      </c>
      <c r="P48" s="149" t="s">
        <v>258</v>
      </c>
      <c r="Q48" s="24"/>
      <c r="R48" s="117" t="str">
        <f>=IFERROR(ROUND(Q48/FB_Kurs_3,2),0)</f>
      </c>
      <c r="S48" s="116" t="str">
        <f>=ROUND(Q48+L48,2)</f>
      </c>
      <c r="T48" s="144" t="str">
        <f>=ROUND(R48+M48,2)</f>
      </c>
      <c r="W48" s="149" t="s">
        <v>258</v>
      </c>
      <c r="X48" s="24"/>
      <c r="Y48" s="117" t="str">
        <f>=IFERROR(ROUND(X48/FB_Kurs_4,2),0)</f>
      </c>
      <c r="Z48" s="116" t="str">
        <f>=ROUND(X48+S48,2)</f>
      </c>
      <c r="AA48" s="144" t="str">
        <f>=ROUND(Y48+T48,2)</f>
      </c>
      <c r="AD48" s="149" t="s">
        <v>258</v>
      </c>
      <c r="AE48" s="24"/>
      <c r="AF48" s="117" t="str">
        <f>=IFERROR(ROUND(AE48/FB_Kurs_5,2),0)</f>
      </c>
      <c r="AG48" s="116" t="str">
        <f>=ROUND(AE48+Z48,2)</f>
      </c>
      <c r="AH48" s="144" t="str">
        <f>=ROUND(AF48+AA48,2)</f>
      </c>
      <c r="AK48" s="149" t="s">
        <v>258</v>
      </c>
      <c r="AL48" s="24"/>
      <c r="AM48" s="117" t="str">
        <f>=IFERROR(ROUND(AL48/FB_Kurs_6,2),0)</f>
      </c>
      <c r="AN48" s="116" t="str">
        <f>=ROUND(AL48+AG48,2)</f>
      </c>
      <c r="AO48" s="144" t="str">
        <f>=ROUND(AM48+AH48,2)</f>
      </c>
      <c r="AR48" s="149" t="s">
        <v>258</v>
      </c>
      <c r="AS48" s="24"/>
      <c r="AT48" s="117" t="str">
        <f>=IFERROR(ROUND(AS48/FB_Kurs_7,2),0)</f>
      </c>
      <c r="AU48" s="116" t="str">
        <f>=ROUND(AS48+AN48,2)</f>
      </c>
      <c r="AV48" s="144" t="str">
        <f>=ROUND(AT48+AO48,2)</f>
      </c>
      <c r="AY48" s="149" t="s">
        <v>258</v>
      </c>
      <c r="AZ48" s="24"/>
      <c r="BA48" s="117" t="str">
        <f>=IFERROR(ROUND(AZ48/FB_Kurs_8,2),0)</f>
      </c>
      <c r="BB48" s="116" t="str">
        <f>=ROUND(AZ48+AU48,2)</f>
      </c>
      <c r="BC48" s="144" t="str">
        <f>=ROUND(BA48+AV48,2)</f>
      </c>
      <c r="BF48" s="149" t="s">
        <v>258</v>
      </c>
      <c r="BG48" s="24"/>
      <c r="BH48" s="117" t="str">
        <f>=IFERROR(ROUND(BG48/FB_Kurs_9,2),0)</f>
      </c>
      <c r="BI48" s="116" t="str">
        <f>=ROUND(BG48+BB48,2)</f>
      </c>
      <c r="BJ48" s="144" t="str">
        <f>=ROUND(BH48+BC48,2)</f>
      </c>
      <c r="BM48" s="149" t="s">
        <v>258</v>
      </c>
      <c r="BN48" s="24"/>
      <c r="BO48" s="117" t="str">
        <f>=IFERROR(ROUND(BN48/FB_Kurs_10,2),0)</f>
      </c>
      <c r="BP48" s="116" t="str">
        <f>=ROUND(BN48+BI48,2)</f>
      </c>
      <c r="BQ48" s="144" t="str">
        <f>=ROUND(BO48+BJ48,2)</f>
      </c>
      <c r="BT48" s="149" t="s">
        <v>258</v>
      </c>
      <c r="BU48" s="24"/>
      <c r="BV48" s="117" t="str">
        <f>=IFERROR(ROUND(BU48/FB_Kurs_11,2),0)</f>
      </c>
      <c r="BW48" s="116" t="str">
        <f>=ROUND(BU48+BP48,2)</f>
      </c>
      <c r="BX48" s="144" t="str">
        <f>=ROUND(BV48+BQ48,2)</f>
      </c>
      <c r="CA48" s="149" t="s">
        <v>258</v>
      </c>
      <c r="CB48" s="24"/>
      <c r="CC48" s="117" t="str">
        <f>=IFERROR(ROUND(CB48/FB_Kurs_12,2),0)</f>
      </c>
      <c r="CD48" s="116" t="str">
        <f>=ROUND(CB48+BW48,2)</f>
      </c>
      <c r="CE48" s="144" t="str">
        <f>=ROUND(CC48+BX48,2)</f>
      </c>
      <c r="CH48" s="149" t="s">
        <v>258</v>
      </c>
      <c r="CI48" s="24"/>
      <c r="CJ48" s="117" t="str">
        <f>=IFERROR(ROUND(CI48/FB_Kurs_13,2),0)</f>
      </c>
      <c r="CK48" s="116" t="str">
        <f>=ROUND(CI48+CD48,2)</f>
      </c>
      <c r="CL48" s="144" t="str">
        <f>=ROUND(CJ48+CE48,2)</f>
      </c>
      <c r="CO48" s="149" t="s">
        <v>258</v>
      </c>
      <c r="CP48" s="24"/>
      <c r="CQ48" s="117" t="str">
        <f>=IFERROR(ROUND(CP48/FB_Kurs_14,2),0)</f>
      </c>
      <c r="CR48" s="116" t="str">
        <f>=ROUND(CP48+CK48,2)</f>
      </c>
      <c r="CS48" s="144" t="str">
        <f>=ROUND(CQ48+CL48,2)</f>
      </c>
      <c r="CV48" s="149" t="s">
        <v>258</v>
      </c>
      <c r="CW48" s="24"/>
      <c r="CX48" s="117" t="str">
        <f>=IFERROR(ROUND(CW48/FB_Kurs_15,2),0)</f>
      </c>
      <c r="CY48" s="116" t="str">
        <f>=ROUND(CW48+CR48,2)</f>
      </c>
      <c r="CZ48" s="144" t="str">
        <f>=ROUND(CX48+CS48,2)</f>
      </c>
      <c r="DC48" s="149" t="s">
        <v>258</v>
      </c>
      <c r="DD48" s="24"/>
      <c r="DE48" s="117" t="str">
        <f>=IFERROR(ROUND(DD48/FB_Kurs_16,2),0)</f>
      </c>
      <c r="DF48" s="116" t="str">
        <f>=ROUND(DD48+CY48,2)</f>
      </c>
      <c r="DG48" s="144" t="str">
        <f>=ROUND(DE48+CZ48,2)</f>
      </c>
      <c r="DJ48" s="149" t="s">
        <v>258</v>
      </c>
      <c r="DK48" s="24"/>
      <c r="DL48" s="117" t="str">
        <f>=IFERROR(ROUND(DK48/FB_Kurs_17,2),0)</f>
      </c>
      <c r="DM48" s="116" t="str">
        <f>=ROUND(DK48+DF48,2)</f>
      </c>
      <c r="DN48" s="144" t="str">
        <f>=ROUND(DL48+DG48,2)</f>
      </c>
      <c r="DQ48" s="149" t="s">
        <v>258</v>
      </c>
      <c r="DR48" s="24"/>
      <c r="DS48" s="117" t="str">
        <f>=IFERROR(ROUND(DR48/FB_Kurs_18,2),0)</f>
      </c>
      <c r="DT48" s="116" t="str">
        <f>=ROUND(DR48+DM48,2)</f>
      </c>
      <c r="DU48" s="144" t="str">
        <f>=ROUND(DS48+DN48,2)</f>
      </c>
    </row>
    <row r="49">
      <c r="B49" s="149" t="s">
        <v>259</v>
      </c>
      <c r="C49" s="24"/>
      <c r="D49" s="117" t="str">
        <f>=IFERROR(ROUND(C49/FB_Kurs_1,2),0)</f>
      </c>
      <c r="E49" s="116" t="str">
        <f>=ROUND(C49,2)</f>
      </c>
      <c r="F49" s="144" t="str">
        <f>=ROUND(D49,2)</f>
      </c>
      <c r="I49" s="149" t="s">
        <v>259</v>
      </c>
      <c r="J49" s="24"/>
      <c r="K49" s="117" t="str">
        <f>=IFERROR(ROUND(J49/FB_Kurs_2,2),0)</f>
      </c>
      <c r="L49" s="116" t="str">
        <f>=ROUND(J49+E49,2)</f>
      </c>
      <c r="M49" s="144" t="str">
        <f>=ROUND(K49+F49,2)</f>
      </c>
      <c r="P49" s="149" t="s">
        <v>259</v>
      </c>
      <c r="Q49" s="24"/>
      <c r="R49" s="117" t="str">
        <f>=IFERROR(ROUND(Q49/FB_Kurs_3,2),0)</f>
      </c>
      <c r="S49" s="116" t="str">
        <f>=ROUND(Q49+L49,2)</f>
      </c>
      <c r="T49" s="144" t="str">
        <f>=ROUND(R49+M49,2)</f>
      </c>
      <c r="W49" s="149" t="s">
        <v>259</v>
      </c>
      <c r="X49" s="24"/>
      <c r="Y49" s="117" t="str">
        <f>=IFERROR(ROUND(X49/FB_Kurs_4,2),0)</f>
      </c>
      <c r="Z49" s="116" t="str">
        <f>=ROUND(X49+S49,2)</f>
      </c>
      <c r="AA49" s="144" t="str">
        <f>=ROUND(Y49+T49,2)</f>
      </c>
      <c r="AD49" s="149" t="s">
        <v>259</v>
      </c>
      <c r="AE49" s="24"/>
      <c r="AF49" s="117" t="str">
        <f>=IFERROR(ROUND(AE49/FB_Kurs_5,2),0)</f>
      </c>
      <c r="AG49" s="116" t="str">
        <f>=ROUND(AE49+Z49,2)</f>
      </c>
      <c r="AH49" s="144" t="str">
        <f>=ROUND(AF49+AA49,2)</f>
      </c>
      <c r="AK49" s="149" t="s">
        <v>259</v>
      </c>
      <c r="AL49" s="24"/>
      <c r="AM49" s="117" t="str">
        <f>=IFERROR(ROUND(AL49/FB_Kurs_6,2),0)</f>
      </c>
      <c r="AN49" s="116" t="str">
        <f>=ROUND(AL49+AG49,2)</f>
      </c>
      <c r="AO49" s="144" t="str">
        <f>=ROUND(AM49+AH49,2)</f>
      </c>
      <c r="AR49" s="149" t="s">
        <v>259</v>
      </c>
      <c r="AS49" s="24"/>
      <c r="AT49" s="117" t="str">
        <f>=IFERROR(ROUND(AS49/FB_Kurs_7,2),0)</f>
      </c>
      <c r="AU49" s="116" t="str">
        <f>=ROUND(AS49+AN49,2)</f>
      </c>
      <c r="AV49" s="144" t="str">
        <f>=ROUND(AT49+AO49,2)</f>
      </c>
      <c r="AY49" s="149" t="s">
        <v>259</v>
      </c>
      <c r="AZ49" s="24"/>
      <c r="BA49" s="117" t="str">
        <f>=IFERROR(ROUND(AZ49/FB_Kurs_8,2),0)</f>
      </c>
      <c r="BB49" s="116" t="str">
        <f>=ROUND(AZ49+AU49,2)</f>
      </c>
      <c r="BC49" s="144" t="str">
        <f>=ROUND(BA49+AV49,2)</f>
      </c>
      <c r="BF49" s="149" t="s">
        <v>259</v>
      </c>
      <c r="BG49" s="24"/>
      <c r="BH49" s="117" t="str">
        <f>=IFERROR(ROUND(BG49/FB_Kurs_9,2),0)</f>
      </c>
      <c r="BI49" s="116" t="str">
        <f>=ROUND(BG49+BB49,2)</f>
      </c>
      <c r="BJ49" s="144" t="str">
        <f>=ROUND(BH49+BC49,2)</f>
      </c>
      <c r="BM49" s="149" t="s">
        <v>259</v>
      </c>
      <c r="BN49" s="24"/>
      <c r="BO49" s="117" t="str">
        <f>=IFERROR(ROUND(BN49/FB_Kurs_10,2),0)</f>
      </c>
      <c r="BP49" s="116" t="str">
        <f>=ROUND(BN49+BI49,2)</f>
      </c>
      <c r="BQ49" s="144" t="str">
        <f>=ROUND(BO49+BJ49,2)</f>
      </c>
      <c r="BT49" s="149" t="s">
        <v>259</v>
      </c>
      <c r="BU49" s="24"/>
      <c r="BV49" s="117" t="str">
        <f>=IFERROR(ROUND(BU49/FB_Kurs_11,2),0)</f>
      </c>
      <c r="BW49" s="116" t="str">
        <f>=ROUND(BU49+BP49,2)</f>
      </c>
      <c r="BX49" s="144" t="str">
        <f>=ROUND(BV49+BQ49,2)</f>
      </c>
      <c r="CA49" s="149" t="s">
        <v>259</v>
      </c>
      <c r="CB49" s="24"/>
      <c r="CC49" s="117" t="str">
        <f>=IFERROR(ROUND(CB49/FB_Kurs_12,2),0)</f>
      </c>
      <c r="CD49" s="116" t="str">
        <f>=ROUND(CB49+BW49,2)</f>
      </c>
      <c r="CE49" s="144" t="str">
        <f>=ROUND(CC49+BX49,2)</f>
      </c>
      <c r="CH49" s="149" t="s">
        <v>259</v>
      </c>
      <c r="CI49" s="24"/>
      <c r="CJ49" s="117" t="str">
        <f>=IFERROR(ROUND(CI49/FB_Kurs_13,2),0)</f>
      </c>
      <c r="CK49" s="116" t="str">
        <f>=ROUND(CI49+CD49,2)</f>
      </c>
      <c r="CL49" s="144" t="str">
        <f>=ROUND(CJ49+CE49,2)</f>
      </c>
      <c r="CO49" s="149" t="s">
        <v>259</v>
      </c>
      <c r="CP49" s="24"/>
      <c r="CQ49" s="117" t="str">
        <f>=IFERROR(ROUND(CP49/FB_Kurs_14,2),0)</f>
      </c>
      <c r="CR49" s="116" t="str">
        <f>=ROUND(CP49+CK49,2)</f>
      </c>
      <c r="CS49" s="144" t="str">
        <f>=ROUND(CQ49+CL49,2)</f>
      </c>
      <c r="CV49" s="149" t="s">
        <v>259</v>
      </c>
      <c r="CW49" s="24"/>
      <c r="CX49" s="117" t="str">
        <f>=IFERROR(ROUND(CW49/FB_Kurs_15,2),0)</f>
      </c>
      <c r="CY49" s="116" t="str">
        <f>=ROUND(CW49+CR49,2)</f>
      </c>
      <c r="CZ49" s="144" t="str">
        <f>=ROUND(CX49+CS49,2)</f>
      </c>
      <c r="DC49" s="149" t="s">
        <v>259</v>
      </c>
      <c r="DD49" s="24"/>
      <c r="DE49" s="117" t="str">
        <f>=IFERROR(ROUND(DD49/FB_Kurs_16,2),0)</f>
      </c>
      <c r="DF49" s="116" t="str">
        <f>=ROUND(DD49+CY49,2)</f>
      </c>
      <c r="DG49" s="144" t="str">
        <f>=ROUND(DE49+CZ49,2)</f>
      </c>
      <c r="DJ49" s="149" t="s">
        <v>259</v>
      </c>
      <c r="DK49" s="24"/>
      <c r="DL49" s="117" t="str">
        <f>=IFERROR(ROUND(DK49/FB_Kurs_17,2),0)</f>
      </c>
      <c r="DM49" s="116" t="str">
        <f>=ROUND(DK49+DF49,2)</f>
      </c>
      <c r="DN49" s="144" t="str">
        <f>=ROUND(DL49+DG49,2)</f>
      </c>
      <c r="DQ49" s="149" t="s">
        <v>259</v>
      </c>
      <c r="DR49" s="24"/>
      <c r="DS49" s="117" t="str">
        <f>=IFERROR(ROUND(DR49/FB_Kurs_18,2),0)</f>
      </c>
      <c r="DT49" s="116" t="str">
        <f>=ROUND(DR49+DM49,2)</f>
      </c>
      <c r="DU49" s="144" t="str">
        <f>=ROUND(DS49+DN49,2)</f>
      </c>
    </row>
    <row r="50">
      <c r="B50" s="149" t="s">
        <v>260</v>
      </c>
      <c r="C50" s="24"/>
      <c r="D50" s="117" t="str">
        <f>=IFERROR(ROUND(C50/FB_Kurs_1,2),0)</f>
      </c>
      <c r="E50" s="116" t="str">
        <f>=ROUND(C50,2)</f>
      </c>
      <c r="F50" s="144" t="str">
        <f>=ROUND(D50,2)</f>
      </c>
      <c r="I50" s="149" t="s">
        <v>260</v>
      </c>
      <c r="J50" s="24"/>
      <c r="K50" s="117" t="str">
        <f>=IFERROR(ROUND(J50/FB_Kurs_2,2),0)</f>
      </c>
      <c r="L50" s="116" t="str">
        <f>=ROUND(J50+E50,2)</f>
      </c>
      <c r="M50" s="144" t="str">
        <f>=ROUND(K50+F50,2)</f>
      </c>
      <c r="P50" s="149" t="s">
        <v>260</v>
      </c>
      <c r="Q50" s="24"/>
      <c r="R50" s="117" t="str">
        <f>=IFERROR(ROUND(Q50/FB_Kurs_3,2),0)</f>
      </c>
      <c r="S50" s="116" t="str">
        <f>=ROUND(Q50+L50,2)</f>
      </c>
      <c r="T50" s="144" t="str">
        <f>=ROUND(R50+M50,2)</f>
      </c>
      <c r="W50" s="149" t="s">
        <v>260</v>
      </c>
      <c r="X50" s="24"/>
      <c r="Y50" s="117" t="str">
        <f>=IFERROR(ROUND(X50/FB_Kurs_4,2),0)</f>
      </c>
      <c r="Z50" s="116" t="str">
        <f>=ROUND(X50+S50,2)</f>
      </c>
      <c r="AA50" s="144" t="str">
        <f>=ROUND(Y50+T50,2)</f>
      </c>
      <c r="AD50" s="149" t="s">
        <v>260</v>
      </c>
      <c r="AE50" s="24"/>
      <c r="AF50" s="117" t="str">
        <f>=IFERROR(ROUND(AE50/FB_Kurs_5,2),0)</f>
      </c>
      <c r="AG50" s="116" t="str">
        <f>=ROUND(AE50+Z50,2)</f>
      </c>
      <c r="AH50" s="144" t="str">
        <f>=ROUND(AF50+AA50,2)</f>
      </c>
      <c r="AK50" s="149" t="s">
        <v>260</v>
      </c>
      <c r="AL50" s="24"/>
      <c r="AM50" s="117" t="str">
        <f>=IFERROR(ROUND(AL50/FB_Kurs_6,2),0)</f>
      </c>
      <c r="AN50" s="116" t="str">
        <f>=ROUND(AL50+AG50,2)</f>
      </c>
      <c r="AO50" s="144" t="str">
        <f>=ROUND(AM50+AH50,2)</f>
      </c>
      <c r="AR50" s="149" t="s">
        <v>260</v>
      </c>
      <c r="AS50" s="24"/>
      <c r="AT50" s="117" t="str">
        <f>=IFERROR(ROUND(AS50/FB_Kurs_7,2),0)</f>
      </c>
      <c r="AU50" s="116" t="str">
        <f>=ROUND(AS50+AN50,2)</f>
      </c>
      <c r="AV50" s="144" t="str">
        <f>=ROUND(AT50+AO50,2)</f>
      </c>
      <c r="AY50" s="149" t="s">
        <v>260</v>
      </c>
      <c r="AZ50" s="24"/>
      <c r="BA50" s="117" t="str">
        <f>=IFERROR(ROUND(AZ50/FB_Kurs_8,2),0)</f>
      </c>
      <c r="BB50" s="116" t="str">
        <f>=ROUND(AZ50+AU50,2)</f>
      </c>
      <c r="BC50" s="144" t="str">
        <f>=ROUND(BA50+AV50,2)</f>
      </c>
      <c r="BF50" s="149" t="s">
        <v>260</v>
      </c>
      <c r="BG50" s="24"/>
      <c r="BH50" s="117" t="str">
        <f>=IFERROR(ROUND(BG50/FB_Kurs_9,2),0)</f>
      </c>
      <c r="BI50" s="116" t="str">
        <f>=ROUND(BG50+BB50,2)</f>
      </c>
      <c r="BJ50" s="144" t="str">
        <f>=ROUND(BH50+BC50,2)</f>
      </c>
      <c r="BM50" s="149" t="s">
        <v>260</v>
      </c>
      <c r="BN50" s="24"/>
      <c r="BO50" s="117" t="str">
        <f>=IFERROR(ROUND(BN50/FB_Kurs_10,2),0)</f>
      </c>
      <c r="BP50" s="116" t="str">
        <f>=ROUND(BN50+BI50,2)</f>
      </c>
      <c r="BQ50" s="144" t="str">
        <f>=ROUND(BO50+BJ50,2)</f>
      </c>
      <c r="BT50" s="149" t="s">
        <v>260</v>
      </c>
      <c r="BU50" s="24"/>
      <c r="BV50" s="117" t="str">
        <f>=IFERROR(ROUND(BU50/FB_Kurs_11,2),0)</f>
      </c>
      <c r="BW50" s="116" t="str">
        <f>=ROUND(BU50+BP50,2)</f>
      </c>
      <c r="BX50" s="144" t="str">
        <f>=ROUND(BV50+BQ50,2)</f>
      </c>
      <c r="CA50" s="149" t="s">
        <v>260</v>
      </c>
      <c r="CB50" s="24"/>
      <c r="CC50" s="117" t="str">
        <f>=IFERROR(ROUND(CB50/FB_Kurs_12,2),0)</f>
      </c>
      <c r="CD50" s="116" t="str">
        <f>=ROUND(CB50+BW50,2)</f>
      </c>
      <c r="CE50" s="144" t="str">
        <f>=ROUND(CC50+BX50,2)</f>
      </c>
      <c r="CH50" s="149" t="s">
        <v>260</v>
      </c>
      <c r="CI50" s="24"/>
      <c r="CJ50" s="117" t="str">
        <f>=IFERROR(ROUND(CI50/FB_Kurs_13,2),0)</f>
      </c>
      <c r="CK50" s="116" t="str">
        <f>=ROUND(CI50+CD50,2)</f>
      </c>
      <c r="CL50" s="144" t="str">
        <f>=ROUND(CJ50+CE50,2)</f>
      </c>
      <c r="CO50" s="149" t="s">
        <v>260</v>
      </c>
      <c r="CP50" s="24"/>
      <c r="CQ50" s="117" t="str">
        <f>=IFERROR(ROUND(CP50/FB_Kurs_14,2),0)</f>
      </c>
      <c r="CR50" s="116" t="str">
        <f>=ROUND(CP50+CK50,2)</f>
      </c>
      <c r="CS50" s="144" t="str">
        <f>=ROUND(CQ50+CL50,2)</f>
      </c>
      <c r="CV50" s="149" t="s">
        <v>260</v>
      </c>
      <c r="CW50" s="24"/>
      <c r="CX50" s="117" t="str">
        <f>=IFERROR(ROUND(CW50/FB_Kurs_15,2),0)</f>
      </c>
      <c r="CY50" s="116" t="str">
        <f>=ROUND(CW50+CR50,2)</f>
      </c>
      <c r="CZ50" s="144" t="str">
        <f>=ROUND(CX50+CS50,2)</f>
      </c>
      <c r="DC50" s="149" t="s">
        <v>260</v>
      </c>
      <c r="DD50" s="24"/>
      <c r="DE50" s="117" t="str">
        <f>=IFERROR(ROUND(DD50/FB_Kurs_16,2),0)</f>
      </c>
      <c r="DF50" s="116" t="str">
        <f>=ROUND(DD50+CY50,2)</f>
      </c>
      <c r="DG50" s="144" t="str">
        <f>=ROUND(DE50+CZ50,2)</f>
      </c>
      <c r="DJ50" s="149" t="s">
        <v>260</v>
      </c>
      <c r="DK50" s="24"/>
      <c r="DL50" s="117" t="str">
        <f>=IFERROR(ROUND(DK50/FB_Kurs_17,2),0)</f>
      </c>
      <c r="DM50" s="116" t="str">
        <f>=ROUND(DK50+DF50,2)</f>
      </c>
      <c r="DN50" s="144" t="str">
        <f>=ROUND(DL50+DG50,2)</f>
      </c>
      <c r="DQ50" s="149" t="s">
        <v>260</v>
      </c>
      <c r="DR50" s="24"/>
      <c r="DS50" s="117" t="str">
        <f>=IFERROR(ROUND(DR50/FB_Kurs_18,2),0)</f>
      </c>
      <c r="DT50" s="116" t="str">
        <f>=ROUND(DR50+DM50,2)</f>
      </c>
      <c r="DU50" s="144" t="str">
        <f>=ROUND(DS50+DN50,2)</f>
      </c>
    </row>
    <row r="51">
      <c r="B51" s="149" t="s">
        <v>261</v>
      </c>
      <c r="C51" s="24"/>
      <c r="D51" s="117" t="str">
        <f>=IFERROR(ROUND(C51/FB_Kurs_1,2),0)</f>
      </c>
      <c r="E51" s="116" t="str">
        <f>=ROUND(C51,2)</f>
      </c>
      <c r="F51" s="144" t="str">
        <f>=ROUND(D51,2)</f>
      </c>
      <c r="I51" s="149" t="s">
        <v>261</v>
      </c>
      <c r="J51" s="24"/>
      <c r="K51" s="117" t="str">
        <f>=IFERROR(ROUND(J51/FB_Kurs_2,2),0)</f>
      </c>
      <c r="L51" s="116" t="str">
        <f>=ROUND(J51+E51,2)</f>
      </c>
      <c r="M51" s="144" t="str">
        <f>=ROUND(K51+F51,2)</f>
      </c>
      <c r="P51" s="149" t="s">
        <v>261</v>
      </c>
      <c r="Q51" s="24"/>
      <c r="R51" s="117" t="str">
        <f>=IFERROR(ROUND(Q51/FB_Kurs_3,2),0)</f>
      </c>
      <c r="S51" s="116" t="str">
        <f>=ROUND(Q51+L51,2)</f>
      </c>
      <c r="T51" s="144" t="str">
        <f>=ROUND(R51+M51,2)</f>
      </c>
      <c r="W51" s="149" t="s">
        <v>261</v>
      </c>
      <c r="X51" s="24"/>
      <c r="Y51" s="117" t="str">
        <f>=IFERROR(ROUND(X51/FB_Kurs_4,2),0)</f>
      </c>
      <c r="Z51" s="116" t="str">
        <f>=ROUND(X51+S51,2)</f>
      </c>
      <c r="AA51" s="144" t="str">
        <f>=ROUND(Y51+T51,2)</f>
      </c>
      <c r="AD51" s="149" t="s">
        <v>261</v>
      </c>
      <c r="AE51" s="24"/>
      <c r="AF51" s="117" t="str">
        <f>=IFERROR(ROUND(AE51/FB_Kurs_5,2),0)</f>
      </c>
      <c r="AG51" s="116" t="str">
        <f>=ROUND(AE51+Z51,2)</f>
      </c>
      <c r="AH51" s="144" t="str">
        <f>=ROUND(AF51+AA51,2)</f>
      </c>
      <c r="AK51" s="149" t="s">
        <v>261</v>
      </c>
      <c r="AL51" s="24"/>
      <c r="AM51" s="117" t="str">
        <f>=IFERROR(ROUND(AL51/FB_Kurs_6,2),0)</f>
      </c>
      <c r="AN51" s="116" t="str">
        <f>=ROUND(AL51+AG51,2)</f>
      </c>
      <c r="AO51" s="144" t="str">
        <f>=ROUND(AM51+AH51,2)</f>
      </c>
      <c r="AR51" s="149" t="s">
        <v>261</v>
      </c>
      <c r="AS51" s="24"/>
      <c r="AT51" s="117" t="str">
        <f>=IFERROR(ROUND(AS51/FB_Kurs_7,2),0)</f>
      </c>
      <c r="AU51" s="116" t="str">
        <f>=ROUND(AS51+AN51,2)</f>
      </c>
      <c r="AV51" s="144" t="str">
        <f>=ROUND(AT51+AO51,2)</f>
      </c>
      <c r="AY51" s="149" t="s">
        <v>261</v>
      </c>
      <c r="AZ51" s="24"/>
      <c r="BA51" s="117" t="str">
        <f>=IFERROR(ROUND(AZ51/FB_Kurs_8,2),0)</f>
      </c>
      <c r="BB51" s="116" t="str">
        <f>=ROUND(AZ51+AU51,2)</f>
      </c>
      <c r="BC51" s="144" t="str">
        <f>=ROUND(BA51+AV51,2)</f>
      </c>
      <c r="BF51" s="149" t="s">
        <v>261</v>
      </c>
      <c r="BG51" s="24"/>
      <c r="BH51" s="117" t="str">
        <f>=IFERROR(ROUND(BG51/FB_Kurs_9,2),0)</f>
      </c>
      <c r="BI51" s="116" t="str">
        <f>=ROUND(BG51+BB51,2)</f>
      </c>
      <c r="BJ51" s="144" t="str">
        <f>=ROUND(BH51+BC51,2)</f>
      </c>
      <c r="BM51" s="149" t="s">
        <v>261</v>
      </c>
      <c r="BN51" s="24"/>
      <c r="BO51" s="117" t="str">
        <f>=IFERROR(ROUND(BN51/FB_Kurs_10,2),0)</f>
      </c>
      <c r="BP51" s="116" t="str">
        <f>=ROUND(BN51+BI51,2)</f>
      </c>
      <c r="BQ51" s="144" t="str">
        <f>=ROUND(BO51+BJ51,2)</f>
      </c>
      <c r="BT51" s="149" t="s">
        <v>261</v>
      </c>
      <c r="BU51" s="24"/>
      <c r="BV51" s="117" t="str">
        <f>=IFERROR(ROUND(BU51/FB_Kurs_11,2),0)</f>
      </c>
      <c r="BW51" s="116" t="str">
        <f>=ROUND(BU51+BP51,2)</f>
      </c>
      <c r="BX51" s="144" t="str">
        <f>=ROUND(BV51+BQ51,2)</f>
      </c>
      <c r="CA51" s="149" t="s">
        <v>261</v>
      </c>
      <c r="CB51" s="24"/>
      <c r="CC51" s="117" t="str">
        <f>=IFERROR(ROUND(CB51/FB_Kurs_12,2),0)</f>
      </c>
      <c r="CD51" s="116" t="str">
        <f>=ROUND(CB51+BW51,2)</f>
      </c>
      <c r="CE51" s="144" t="str">
        <f>=ROUND(CC51+BX51,2)</f>
      </c>
      <c r="CH51" s="149" t="s">
        <v>261</v>
      </c>
      <c r="CI51" s="24"/>
      <c r="CJ51" s="117" t="str">
        <f>=IFERROR(ROUND(CI51/FB_Kurs_13,2),0)</f>
      </c>
      <c r="CK51" s="116" t="str">
        <f>=ROUND(CI51+CD51,2)</f>
      </c>
      <c r="CL51" s="144" t="str">
        <f>=ROUND(CJ51+CE51,2)</f>
      </c>
      <c r="CO51" s="149" t="s">
        <v>261</v>
      </c>
      <c r="CP51" s="24"/>
      <c r="CQ51" s="117" t="str">
        <f>=IFERROR(ROUND(CP51/FB_Kurs_14,2),0)</f>
      </c>
      <c r="CR51" s="116" t="str">
        <f>=ROUND(CP51+CK51,2)</f>
      </c>
      <c r="CS51" s="144" t="str">
        <f>=ROUND(CQ51+CL51,2)</f>
      </c>
      <c r="CV51" s="149" t="s">
        <v>261</v>
      </c>
      <c r="CW51" s="24"/>
      <c r="CX51" s="117" t="str">
        <f>=IFERROR(ROUND(CW51/FB_Kurs_15,2),0)</f>
      </c>
      <c r="CY51" s="116" t="str">
        <f>=ROUND(CW51+CR51,2)</f>
      </c>
      <c r="CZ51" s="144" t="str">
        <f>=ROUND(CX51+CS51,2)</f>
      </c>
      <c r="DC51" s="149" t="s">
        <v>261</v>
      </c>
      <c r="DD51" s="24"/>
      <c r="DE51" s="117" t="str">
        <f>=IFERROR(ROUND(DD51/FB_Kurs_16,2),0)</f>
      </c>
      <c r="DF51" s="116" t="str">
        <f>=ROUND(DD51+CY51,2)</f>
      </c>
      <c r="DG51" s="144" t="str">
        <f>=ROUND(DE51+CZ51,2)</f>
      </c>
      <c r="DJ51" s="149" t="s">
        <v>261</v>
      </c>
      <c r="DK51" s="24"/>
      <c r="DL51" s="117" t="str">
        <f>=IFERROR(ROUND(DK51/FB_Kurs_17,2),0)</f>
      </c>
      <c r="DM51" s="116" t="str">
        <f>=ROUND(DK51+DF51,2)</f>
      </c>
      <c r="DN51" s="144" t="str">
        <f>=ROUND(DL51+DG51,2)</f>
      </c>
      <c r="DQ51" s="149" t="s">
        <v>261</v>
      </c>
      <c r="DR51" s="24"/>
      <c r="DS51" s="117" t="str">
        <f>=IFERROR(ROUND(DR51/FB_Kurs_18,2),0)</f>
      </c>
      <c r="DT51" s="116" t="str">
        <f>=ROUND(DR51+DM51,2)</f>
      </c>
      <c r="DU51" s="144" t="str">
        <f>=ROUND(DS51+DN51,2)</f>
      </c>
    </row>
    <row r="52">
      <c r="B52" s="149" t="s">
        <v>262</v>
      </c>
      <c r="C52" s="24"/>
      <c r="D52" s="117" t="str">
        <f>=IFERROR(ROUND(C52/FB_Kurs_1,2),0)</f>
      </c>
      <c r="E52" s="116" t="str">
        <f>=ROUND(C52,2)</f>
      </c>
      <c r="F52" s="144" t="str">
        <f>=ROUND(D52,2)</f>
      </c>
      <c r="I52" s="149" t="s">
        <v>262</v>
      </c>
      <c r="J52" s="24"/>
      <c r="K52" s="117" t="str">
        <f>=IFERROR(ROUND(J52/FB_Kurs_2,2),0)</f>
      </c>
      <c r="L52" s="116" t="str">
        <f>=ROUND(J52+E52,2)</f>
      </c>
      <c r="M52" s="144" t="str">
        <f>=ROUND(K52+F52,2)</f>
      </c>
      <c r="P52" s="149" t="s">
        <v>262</v>
      </c>
      <c r="Q52" s="24"/>
      <c r="R52" s="117" t="str">
        <f>=IFERROR(ROUND(Q52/FB_Kurs_3,2),0)</f>
      </c>
      <c r="S52" s="116" t="str">
        <f>=ROUND(Q52+L52,2)</f>
      </c>
      <c r="T52" s="144" t="str">
        <f>=ROUND(R52+M52,2)</f>
      </c>
      <c r="W52" s="149" t="s">
        <v>262</v>
      </c>
      <c r="X52" s="24"/>
      <c r="Y52" s="117" t="str">
        <f>=IFERROR(ROUND(X52/FB_Kurs_4,2),0)</f>
      </c>
      <c r="Z52" s="116" t="str">
        <f>=ROUND(X52+S52,2)</f>
      </c>
      <c r="AA52" s="144" t="str">
        <f>=ROUND(Y52+T52,2)</f>
      </c>
      <c r="AD52" s="149" t="s">
        <v>262</v>
      </c>
      <c r="AE52" s="24"/>
      <c r="AF52" s="117" t="str">
        <f>=IFERROR(ROUND(AE52/FB_Kurs_5,2),0)</f>
      </c>
      <c r="AG52" s="116" t="str">
        <f>=ROUND(AE52+Z52,2)</f>
      </c>
      <c r="AH52" s="144" t="str">
        <f>=ROUND(AF52+AA52,2)</f>
      </c>
      <c r="AK52" s="149" t="s">
        <v>262</v>
      </c>
      <c r="AL52" s="24"/>
      <c r="AM52" s="117" t="str">
        <f>=IFERROR(ROUND(AL52/FB_Kurs_6,2),0)</f>
      </c>
      <c r="AN52" s="116" t="str">
        <f>=ROUND(AL52+AG52,2)</f>
      </c>
      <c r="AO52" s="144" t="str">
        <f>=ROUND(AM52+AH52,2)</f>
      </c>
      <c r="AR52" s="149" t="s">
        <v>262</v>
      </c>
      <c r="AS52" s="24"/>
      <c r="AT52" s="117" t="str">
        <f>=IFERROR(ROUND(AS52/FB_Kurs_7,2),0)</f>
      </c>
      <c r="AU52" s="116" t="str">
        <f>=ROUND(AS52+AN52,2)</f>
      </c>
      <c r="AV52" s="144" t="str">
        <f>=ROUND(AT52+AO52,2)</f>
      </c>
      <c r="AY52" s="149" t="s">
        <v>262</v>
      </c>
      <c r="AZ52" s="24"/>
      <c r="BA52" s="117" t="str">
        <f>=IFERROR(ROUND(AZ52/FB_Kurs_8,2),0)</f>
      </c>
      <c r="BB52" s="116" t="str">
        <f>=ROUND(AZ52+AU52,2)</f>
      </c>
      <c r="BC52" s="144" t="str">
        <f>=ROUND(BA52+AV52,2)</f>
      </c>
      <c r="BF52" s="149" t="s">
        <v>262</v>
      </c>
      <c r="BG52" s="24"/>
      <c r="BH52" s="117" t="str">
        <f>=IFERROR(ROUND(BG52/FB_Kurs_9,2),0)</f>
      </c>
      <c r="BI52" s="116" t="str">
        <f>=ROUND(BG52+BB52,2)</f>
      </c>
      <c r="BJ52" s="144" t="str">
        <f>=ROUND(BH52+BC52,2)</f>
      </c>
      <c r="BM52" s="149" t="s">
        <v>262</v>
      </c>
      <c r="BN52" s="24"/>
      <c r="BO52" s="117" t="str">
        <f>=IFERROR(ROUND(BN52/FB_Kurs_10,2),0)</f>
      </c>
      <c r="BP52" s="116" t="str">
        <f>=ROUND(BN52+BI52,2)</f>
      </c>
      <c r="BQ52" s="144" t="str">
        <f>=ROUND(BO52+BJ52,2)</f>
      </c>
      <c r="BT52" s="149" t="s">
        <v>262</v>
      </c>
      <c r="BU52" s="24"/>
      <c r="BV52" s="117" t="str">
        <f>=IFERROR(ROUND(BU52/FB_Kurs_11,2),0)</f>
      </c>
      <c r="BW52" s="116" t="str">
        <f>=ROUND(BU52+BP52,2)</f>
      </c>
      <c r="BX52" s="144" t="str">
        <f>=ROUND(BV52+BQ52,2)</f>
      </c>
      <c r="CA52" s="149" t="s">
        <v>262</v>
      </c>
      <c r="CB52" s="24"/>
      <c r="CC52" s="117" t="str">
        <f>=IFERROR(ROUND(CB52/FB_Kurs_12,2),0)</f>
      </c>
      <c r="CD52" s="116" t="str">
        <f>=ROUND(CB52+BW52,2)</f>
      </c>
      <c r="CE52" s="144" t="str">
        <f>=ROUND(CC52+BX52,2)</f>
      </c>
      <c r="CH52" s="149" t="s">
        <v>262</v>
      </c>
      <c r="CI52" s="24"/>
      <c r="CJ52" s="117" t="str">
        <f>=IFERROR(ROUND(CI52/FB_Kurs_13,2),0)</f>
      </c>
      <c r="CK52" s="116" t="str">
        <f>=ROUND(CI52+CD52,2)</f>
      </c>
      <c r="CL52" s="144" t="str">
        <f>=ROUND(CJ52+CE52,2)</f>
      </c>
      <c r="CO52" s="149" t="s">
        <v>262</v>
      </c>
      <c r="CP52" s="24"/>
      <c r="CQ52" s="117" t="str">
        <f>=IFERROR(ROUND(CP52/FB_Kurs_14,2),0)</f>
      </c>
      <c r="CR52" s="116" t="str">
        <f>=ROUND(CP52+CK52,2)</f>
      </c>
      <c r="CS52" s="144" t="str">
        <f>=ROUND(CQ52+CL52,2)</f>
      </c>
      <c r="CV52" s="149" t="s">
        <v>262</v>
      </c>
      <c r="CW52" s="24"/>
      <c r="CX52" s="117" t="str">
        <f>=IFERROR(ROUND(CW52/FB_Kurs_15,2),0)</f>
      </c>
      <c r="CY52" s="116" t="str">
        <f>=ROUND(CW52+CR52,2)</f>
      </c>
      <c r="CZ52" s="144" t="str">
        <f>=ROUND(CX52+CS52,2)</f>
      </c>
      <c r="DC52" s="149" t="s">
        <v>262</v>
      </c>
      <c r="DD52" s="24"/>
      <c r="DE52" s="117" t="str">
        <f>=IFERROR(ROUND(DD52/FB_Kurs_16,2),0)</f>
      </c>
      <c r="DF52" s="116" t="str">
        <f>=ROUND(DD52+CY52,2)</f>
      </c>
      <c r="DG52" s="144" t="str">
        <f>=ROUND(DE52+CZ52,2)</f>
      </c>
      <c r="DJ52" s="149" t="s">
        <v>262</v>
      </c>
      <c r="DK52" s="24"/>
      <c r="DL52" s="117" t="str">
        <f>=IFERROR(ROUND(DK52/FB_Kurs_17,2),0)</f>
      </c>
      <c r="DM52" s="116" t="str">
        <f>=ROUND(DK52+DF52,2)</f>
      </c>
      <c r="DN52" s="144" t="str">
        <f>=ROUND(DL52+DG52,2)</f>
      </c>
      <c r="DQ52" s="149" t="s">
        <v>262</v>
      </c>
      <c r="DR52" s="24"/>
      <c r="DS52" s="117" t="str">
        <f>=IFERROR(ROUND(DR52/FB_Kurs_18,2),0)</f>
      </c>
      <c r="DT52" s="116" t="str">
        <f>=ROUND(DR52+DM52,2)</f>
      </c>
      <c r="DU52" s="144" t="str">
        <f>=ROUND(DS52+DN52,2)</f>
      </c>
    </row>
    <row r="53">
      <c r="B53" s="149" t="s">
        <v>263</v>
      </c>
      <c r="C53" s="24"/>
      <c r="D53" s="117" t="str">
        <f>=IFERROR(ROUND(C53/FB_Kurs_1,2),0)</f>
      </c>
      <c r="E53" s="116" t="str">
        <f>=ROUND(C53,2)</f>
      </c>
      <c r="F53" s="144" t="str">
        <f>=ROUND(D53,2)</f>
      </c>
      <c r="I53" s="149" t="s">
        <v>263</v>
      </c>
      <c r="J53" s="24"/>
      <c r="K53" s="117" t="str">
        <f>=IFERROR(ROUND(J53/FB_Kurs_2,2),0)</f>
      </c>
      <c r="L53" s="116" t="str">
        <f>=ROUND(J53+E53,2)</f>
      </c>
      <c r="M53" s="144" t="str">
        <f>=ROUND(K53+F53,2)</f>
      </c>
      <c r="P53" s="149" t="s">
        <v>263</v>
      </c>
      <c r="Q53" s="24"/>
      <c r="R53" s="117" t="str">
        <f>=IFERROR(ROUND(Q53/FB_Kurs_3,2),0)</f>
      </c>
      <c r="S53" s="116" t="str">
        <f>=ROUND(Q53+L53,2)</f>
      </c>
      <c r="T53" s="144" t="str">
        <f>=ROUND(R53+M53,2)</f>
      </c>
      <c r="W53" s="149" t="s">
        <v>263</v>
      </c>
      <c r="X53" s="24"/>
      <c r="Y53" s="117" t="str">
        <f>=IFERROR(ROUND(X53/FB_Kurs_4,2),0)</f>
      </c>
      <c r="Z53" s="116" t="str">
        <f>=ROUND(X53+S53,2)</f>
      </c>
      <c r="AA53" s="144" t="str">
        <f>=ROUND(Y53+T53,2)</f>
      </c>
      <c r="AD53" s="149" t="s">
        <v>263</v>
      </c>
      <c r="AE53" s="24"/>
      <c r="AF53" s="117" t="str">
        <f>=IFERROR(ROUND(AE53/FB_Kurs_5,2),0)</f>
      </c>
      <c r="AG53" s="116" t="str">
        <f>=ROUND(AE53+Z53,2)</f>
      </c>
      <c r="AH53" s="144" t="str">
        <f>=ROUND(AF53+AA53,2)</f>
      </c>
      <c r="AK53" s="149" t="s">
        <v>263</v>
      </c>
      <c r="AL53" s="24"/>
      <c r="AM53" s="117" t="str">
        <f>=IFERROR(ROUND(AL53/FB_Kurs_6,2),0)</f>
      </c>
      <c r="AN53" s="116" t="str">
        <f>=ROUND(AL53+AG53,2)</f>
      </c>
      <c r="AO53" s="144" t="str">
        <f>=ROUND(AM53+AH53,2)</f>
      </c>
      <c r="AR53" s="149" t="s">
        <v>263</v>
      </c>
      <c r="AS53" s="24"/>
      <c r="AT53" s="117" t="str">
        <f>=IFERROR(ROUND(AS53/FB_Kurs_7,2),0)</f>
      </c>
      <c r="AU53" s="116" t="str">
        <f>=ROUND(AS53+AN53,2)</f>
      </c>
      <c r="AV53" s="144" t="str">
        <f>=ROUND(AT53+AO53,2)</f>
      </c>
      <c r="AY53" s="149" t="s">
        <v>263</v>
      </c>
      <c r="AZ53" s="24"/>
      <c r="BA53" s="117" t="str">
        <f>=IFERROR(ROUND(AZ53/FB_Kurs_8,2),0)</f>
      </c>
      <c r="BB53" s="116" t="str">
        <f>=ROUND(AZ53+AU53,2)</f>
      </c>
      <c r="BC53" s="144" t="str">
        <f>=ROUND(BA53+AV53,2)</f>
      </c>
      <c r="BF53" s="149" t="s">
        <v>263</v>
      </c>
      <c r="BG53" s="24"/>
      <c r="BH53" s="117" t="str">
        <f>=IFERROR(ROUND(BG53/FB_Kurs_9,2),0)</f>
      </c>
      <c r="BI53" s="116" t="str">
        <f>=ROUND(BG53+BB53,2)</f>
      </c>
      <c r="BJ53" s="144" t="str">
        <f>=ROUND(BH53+BC53,2)</f>
      </c>
      <c r="BM53" s="149" t="s">
        <v>263</v>
      </c>
      <c r="BN53" s="24"/>
      <c r="BO53" s="117" t="str">
        <f>=IFERROR(ROUND(BN53/FB_Kurs_10,2),0)</f>
      </c>
      <c r="BP53" s="116" t="str">
        <f>=ROUND(BN53+BI53,2)</f>
      </c>
      <c r="BQ53" s="144" t="str">
        <f>=ROUND(BO53+BJ53,2)</f>
      </c>
      <c r="BT53" s="149" t="s">
        <v>263</v>
      </c>
      <c r="BU53" s="24"/>
      <c r="BV53" s="117" t="str">
        <f>=IFERROR(ROUND(BU53/FB_Kurs_11,2),0)</f>
      </c>
      <c r="BW53" s="116" t="str">
        <f>=ROUND(BU53+BP53,2)</f>
      </c>
      <c r="BX53" s="144" t="str">
        <f>=ROUND(BV53+BQ53,2)</f>
      </c>
      <c r="CA53" s="149" t="s">
        <v>263</v>
      </c>
      <c r="CB53" s="24"/>
      <c r="CC53" s="117" t="str">
        <f>=IFERROR(ROUND(CB53/FB_Kurs_12,2),0)</f>
      </c>
      <c r="CD53" s="116" t="str">
        <f>=ROUND(CB53+BW53,2)</f>
      </c>
      <c r="CE53" s="144" t="str">
        <f>=ROUND(CC53+BX53,2)</f>
      </c>
      <c r="CH53" s="149" t="s">
        <v>263</v>
      </c>
      <c r="CI53" s="24"/>
      <c r="CJ53" s="117" t="str">
        <f>=IFERROR(ROUND(CI53/FB_Kurs_13,2),0)</f>
      </c>
      <c r="CK53" s="116" t="str">
        <f>=ROUND(CI53+CD53,2)</f>
      </c>
      <c r="CL53" s="144" t="str">
        <f>=ROUND(CJ53+CE53,2)</f>
      </c>
      <c r="CO53" s="149" t="s">
        <v>263</v>
      </c>
      <c r="CP53" s="24"/>
      <c r="CQ53" s="117" t="str">
        <f>=IFERROR(ROUND(CP53/FB_Kurs_14,2),0)</f>
      </c>
      <c r="CR53" s="116" t="str">
        <f>=ROUND(CP53+CK53,2)</f>
      </c>
      <c r="CS53" s="144" t="str">
        <f>=ROUND(CQ53+CL53,2)</f>
      </c>
      <c r="CV53" s="149" t="s">
        <v>263</v>
      </c>
      <c r="CW53" s="24"/>
      <c r="CX53" s="117" t="str">
        <f>=IFERROR(ROUND(CW53/FB_Kurs_15,2),0)</f>
      </c>
      <c r="CY53" s="116" t="str">
        <f>=ROUND(CW53+CR53,2)</f>
      </c>
      <c r="CZ53" s="144" t="str">
        <f>=ROUND(CX53+CS53,2)</f>
      </c>
      <c r="DC53" s="149" t="s">
        <v>263</v>
      </c>
      <c r="DD53" s="24"/>
      <c r="DE53" s="117" t="str">
        <f>=IFERROR(ROUND(DD53/FB_Kurs_16,2),0)</f>
      </c>
      <c r="DF53" s="116" t="str">
        <f>=ROUND(DD53+CY53,2)</f>
      </c>
      <c r="DG53" s="144" t="str">
        <f>=ROUND(DE53+CZ53,2)</f>
      </c>
      <c r="DJ53" s="149" t="s">
        <v>263</v>
      </c>
      <c r="DK53" s="24"/>
      <c r="DL53" s="117" t="str">
        <f>=IFERROR(ROUND(DK53/FB_Kurs_17,2),0)</f>
      </c>
      <c r="DM53" s="116" t="str">
        <f>=ROUND(DK53+DF53,2)</f>
      </c>
      <c r="DN53" s="144" t="str">
        <f>=ROUND(DL53+DG53,2)</f>
      </c>
      <c r="DQ53" s="149" t="s">
        <v>263</v>
      </c>
      <c r="DR53" s="24"/>
      <c r="DS53" s="117" t="str">
        <f>=IFERROR(ROUND(DR53/FB_Kurs_18,2),0)</f>
      </c>
      <c r="DT53" s="116" t="str">
        <f>=ROUND(DR53+DM53,2)</f>
      </c>
      <c r="DU53" s="144" t="str">
        <f>=ROUND(DS53+DN53,2)</f>
      </c>
    </row>
    <row r="54">
      <c r="B54" s="149" t="s">
        <v>264</v>
      </c>
      <c r="C54" s="24"/>
      <c r="D54" s="117" t="str">
        <f>=IFERROR(ROUND(C54/FB_Kurs_1,2),0)</f>
      </c>
      <c r="E54" s="116" t="str">
        <f>=ROUND(C54,2)</f>
      </c>
      <c r="F54" s="144" t="str">
        <f>=ROUND(D54,2)</f>
      </c>
      <c r="I54" s="149" t="s">
        <v>264</v>
      </c>
      <c r="J54" s="24"/>
      <c r="K54" s="117" t="str">
        <f>=IFERROR(ROUND(J54/FB_Kurs_2,2),0)</f>
      </c>
      <c r="L54" s="116" t="str">
        <f>=ROUND(J54+E54,2)</f>
      </c>
      <c r="M54" s="144" t="str">
        <f>=ROUND(K54+F54,2)</f>
      </c>
      <c r="P54" s="149" t="s">
        <v>264</v>
      </c>
      <c r="Q54" s="24"/>
      <c r="R54" s="117" t="str">
        <f>=IFERROR(ROUND(Q54/FB_Kurs_3,2),0)</f>
      </c>
      <c r="S54" s="116" t="str">
        <f>=ROUND(Q54+L54,2)</f>
      </c>
      <c r="T54" s="144" t="str">
        <f>=ROUND(R54+M54,2)</f>
      </c>
      <c r="W54" s="149" t="s">
        <v>264</v>
      </c>
      <c r="X54" s="24"/>
      <c r="Y54" s="117" t="str">
        <f>=IFERROR(ROUND(X54/FB_Kurs_4,2),0)</f>
      </c>
      <c r="Z54" s="116" t="str">
        <f>=ROUND(X54+S54,2)</f>
      </c>
      <c r="AA54" s="144" t="str">
        <f>=ROUND(Y54+T54,2)</f>
      </c>
      <c r="AD54" s="149" t="s">
        <v>264</v>
      </c>
      <c r="AE54" s="24"/>
      <c r="AF54" s="117" t="str">
        <f>=IFERROR(ROUND(AE54/FB_Kurs_5,2),0)</f>
      </c>
      <c r="AG54" s="116" t="str">
        <f>=ROUND(AE54+Z54,2)</f>
      </c>
      <c r="AH54" s="144" t="str">
        <f>=ROUND(AF54+AA54,2)</f>
      </c>
      <c r="AK54" s="149" t="s">
        <v>264</v>
      </c>
      <c r="AL54" s="24"/>
      <c r="AM54" s="117" t="str">
        <f>=IFERROR(ROUND(AL54/FB_Kurs_6,2),0)</f>
      </c>
      <c r="AN54" s="116" t="str">
        <f>=ROUND(AL54+AG54,2)</f>
      </c>
      <c r="AO54" s="144" t="str">
        <f>=ROUND(AM54+AH54,2)</f>
      </c>
      <c r="AR54" s="149" t="s">
        <v>264</v>
      </c>
      <c r="AS54" s="24"/>
      <c r="AT54" s="117" t="str">
        <f>=IFERROR(ROUND(AS54/FB_Kurs_7,2),0)</f>
      </c>
      <c r="AU54" s="116" t="str">
        <f>=ROUND(AS54+AN54,2)</f>
      </c>
      <c r="AV54" s="144" t="str">
        <f>=ROUND(AT54+AO54,2)</f>
      </c>
      <c r="AY54" s="149" t="s">
        <v>264</v>
      </c>
      <c r="AZ54" s="24"/>
      <c r="BA54" s="117" t="str">
        <f>=IFERROR(ROUND(AZ54/FB_Kurs_8,2),0)</f>
      </c>
      <c r="BB54" s="116" t="str">
        <f>=ROUND(AZ54+AU54,2)</f>
      </c>
      <c r="BC54" s="144" t="str">
        <f>=ROUND(BA54+AV54,2)</f>
      </c>
      <c r="BF54" s="149" t="s">
        <v>264</v>
      </c>
      <c r="BG54" s="24"/>
      <c r="BH54" s="117" t="str">
        <f>=IFERROR(ROUND(BG54/FB_Kurs_9,2),0)</f>
      </c>
      <c r="BI54" s="116" t="str">
        <f>=ROUND(BG54+BB54,2)</f>
      </c>
      <c r="BJ54" s="144" t="str">
        <f>=ROUND(BH54+BC54,2)</f>
      </c>
      <c r="BM54" s="149" t="s">
        <v>264</v>
      </c>
      <c r="BN54" s="24"/>
      <c r="BO54" s="117" t="str">
        <f>=IFERROR(ROUND(BN54/FB_Kurs_10,2),0)</f>
      </c>
      <c r="BP54" s="116" t="str">
        <f>=ROUND(BN54+BI54,2)</f>
      </c>
      <c r="BQ54" s="144" t="str">
        <f>=ROUND(BO54+BJ54,2)</f>
      </c>
      <c r="BT54" s="149" t="s">
        <v>264</v>
      </c>
      <c r="BU54" s="24"/>
      <c r="BV54" s="117" t="str">
        <f>=IFERROR(ROUND(BU54/FB_Kurs_11,2),0)</f>
      </c>
      <c r="BW54" s="116" t="str">
        <f>=ROUND(BU54+BP54,2)</f>
      </c>
      <c r="BX54" s="144" t="str">
        <f>=ROUND(BV54+BQ54,2)</f>
      </c>
      <c r="CA54" s="149" t="s">
        <v>264</v>
      </c>
      <c r="CB54" s="24"/>
      <c r="CC54" s="117" t="str">
        <f>=IFERROR(ROUND(CB54/FB_Kurs_12,2),0)</f>
      </c>
      <c r="CD54" s="116" t="str">
        <f>=ROUND(CB54+BW54,2)</f>
      </c>
      <c r="CE54" s="144" t="str">
        <f>=ROUND(CC54+BX54,2)</f>
      </c>
      <c r="CH54" s="149" t="s">
        <v>264</v>
      </c>
      <c r="CI54" s="24"/>
      <c r="CJ54" s="117" t="str">
        <f>=IFERROR(ROUND(CI54/FB_Kurs_13,2),0)</f>
      </c>
      <c r="CK54" s="116" t="str">
        <f>=ROUND(CI54+CD54,2)</f>
      </c>
      <c r="CL54" s="144" t="str">
        <f>=ROUND(CJ54+CE54,2)</f>
      </c>
      <c r="CO54" s="149" t="s">
        <v>264</v>
      </c>
      <c r="CP54" s="24"/>
      <c r="CQ54" s="117" t="str">
        <f>=IFERROR(ROUND(CP54/FB_Kurs_14,2),0)</f>
      </c>
      <c r="CR54" s="116" t="str">
        <f>=ROUND(CP54+CK54,2)</f>
      </c>
      <c r="CS54" s="144" t="str">
        <f>=ROUND(CQ54+CL54,2)</f>
      </c>
      <c r="CV54" s="149" t="s">
        <v>264</v>
      </c>
      <c r="CW54" s="24"/>
      <c r="CX54" s="117" t="str">
        <f>=IFERROR(ROUND(CW54/FB_Kurs_15,2),0)</f>
      </c>
      <c r="CY54" s="116" t="str">
        <f>=ROUND(CW54+CR54,2)</f>
      </c>
      <c r="CZ54" s="144" t="str">
        <f>=ROUND(CX54+CS54,2)</f>
      </c>
      <c r="DC54" s="149" t="s">
        <v>264</v>
      </c>
      <c r="DD54" s="24"/>
      <c r="DE54" s="117" t="str">
        <f>=IFERROR(ROUND(DD54/FB_Kurs_16,2),0)</f>
      </c>
      <c r="DF54" s="116" t="str">
        <f>=ROUND(DD54+CY54,2)</f>
      </c>
      <c r="DG54" s="144" t="str">
        <f>=ROUND(DE54+CZ54,2)</f>
      </c>
      <c r="DJ54" s="149" t="s">
        <v>264</v>
      </c>
      <c r="DK54" s="24"/>
      <c r="DL54" s="117" t="str">
        <f>=IFERROR(ROUND(DK54/FB_Kurs_17,2),0)</f>
      </c>
      <c r="DM54" s="116" t="str">
        <f>=ROUND(DK54+DF54,2)</f>
      </c>
      <c r="DN54" s="144" t="str">
        <f>=ROUND(DL54+DG54,2)</f>
      </c>
      <c r="DQ54" s="149" t="s">
        <v>264</v>
      </c>
      <c r="DR54" s="24"/>
      <c r="DS54" s="117" t="str">
        <f>=IFERROR(ROUND(DR54/FB_Kurs_18,2),0)</f>
      </c>
      <c r="DT54" s="116" t="str">
        <f>=ROUND(DR54+DM54,2)</f>
      </c>
      <c r="DU54" s="144" t="str">
        <f>=ROUND(DS54+DN54,2)</f>
      </c>
    </row>
    <row r="55">
      <c r="B55" s="149" t="s">
        <v>265</v>
      </c>
      <c r="C55" s="24"/>
      <c r="D55" s="117" t="str">
        <f>=IFERROR(ROUND(C55/FB_Kurs_1,2),0)</f>
      </c>
      <c r="E55" s="116" t="str">
        <f>=ROUND(C55,2)</f>
      </c>
      <c r="F55" s="144" t="str">
        <f>=ROUND(D55,2)</f>
      </c>
      <c r="I55" s="149" t="s">
        <v>265</v>
      </c>
      <c r="J55" s="24"/>
      <c r="K55" s="117" t="str">
        <f>=IFERROR(ROUND(J55/FB_Kurs_2,2),0)</f>
      </c>
      <c r="L55" s="116" t="str">
        <f>=ROUND(J55+E55,2)</f>
      </c>
      <c r="M55" s="144" t="str">
        <f>=ROUND(K55+F55,2)</f>
      </c>
      <c r="P55" s="149" t="s">
        <v>265</v>
      </c>
      <c r="Q55" s="24"/>
      <c r="R55" s="117" t="str">
        <f>=IFERROR(ROUND(Q55/FB_Kurs_3,2),0)</f>
      </c>
      <c r="S55" s="116" t="str">
        <f>=ROUND(Q55+L55,2)</f>
      </c>
      <c r="T55" s="144" t="str">
        <f>=ROUND(R55+M55,2)</f>
      </c>
      <c r="W55" s="149" t="s">
        <v>265</v>
      </c>
      <c r="X55" s="24"/>
      <c r="Y55" s="117" t="str">
        <f>=IFERROR(ROUND(X55/FB_Kurs_4,2),0)</f>
      </c>
      <c r="Z55" s="116" t="str">
        <f>=ROUND(X55+S55,2)</f>
      </c>
      <c r="AA55" s="144" t="str">
        <f>=ROUND(Y55+T55,2)</f>
      </c>
      <c r="AD55" s="149" t="s">
        <v>265</v>
      </c>
      <c r="AE55" s="24"/>
      <c r="AF55" s="117" t="str">
        <f>=IFERROR(ROUND(AE55/FB_Kurs_5,2),0)</f>
      </c>
      <c r="AG55" s="116" t="str">
        <f>=ROUND(AE55+Z55,2)</f>
      </c>
      <c r="AH55" s="144" t="str">
        <f>=ROUND(AF55+AA55,2)</f>
      </c>
      <c r="AK55" s="149" t="s">
        <v>265</v>
      </c>
      <c r="AL55" s="24"/>
      <c r="AM55" s="117" t="str">
        <f>=IFERROR(ROUND(AL55/FB_Kurs_6,2),0)</f>
      </c>
      <c r="AN55" s="116" t="str">
        <f>=ROUND(AL55+AG55,2)</f>
      </c>
      <c r="AO55" s="144" t="str">
        <f>=ROUND(AM55+AH55,2)</f>
      </c>
      <c r="AR55" s="149" t="s">
        <v>265</v>
      </c>
      <c r="AS55" s="24"/>
      <c r="AT55" s="117" t="str">
        <f>=IFERROR(ROUND(AS55/FB_Kurs_7,2),0)</f>
      </c>
      <c r="AU55" s="116" t="str">
        <f>=ROUND(AS55+AN55,2)</f>
      </c>
      <c r="AV55" s="144" t="str">
        <f>=ROUND(AT55+AO55,2)</f>
      </c>
      <c r="AY55" s="149" t="s">
        <v>265</v>
      </c>
      <c r="AZ55" s="24"/>
      <c r="BA55" s="117" t="str">
        <f>=IFERROR(ROUND(AZ55/FB_Kurs_8,2),0)</f>
      </c>
      <c r="BB55" s="116" t="str">
        <f>=ROUND(AZ55+AU55,2)</f>
      </c>
      <c r="BC55" s="144" t="str">
        <f>=ROUND(BA55+AV55,2)</f>
      </c>
      <c r="BF55" s="149" t="s">
        <v>265</v>
      </c>
      <c r="BG55" s="24"/>
      <c r="BH55" s="117" t="str">
        <f>=IFERROR(ROUND(BG55/FB_Kurs_9,2),0)</f>
      </c>
      <c r="BI55" s="116" t="str">
        <f>=ROUND(BG55+BB55,2)</f>
      </c>
      <c r="BJ55" s="144" t="str">
        <f>=ROUND(BH55+BC55,2)</f>
      </c>
      <c r="BM55" s="149" t="s">
        <v>265</v>
      </c>
      <c r="BN55" s="24"/>
      <c r="BO55" s="117" t="str">
        <f>=IFERROR(ROUND(BN55/FB_Kurs_10,2),0)</f>
      </c>
      <c r="BP55" s="116" t="str">
        <f>=ROUND(BN55+BI55,2)</f>
      </c>
      <c r="BQ55" s="144" t="str">
        <f>=ROUND(BO55+BJ55,2)</f>
      </c>
      <c r="BT55" s="149" t="s">
        <v>265</v>
      </c>
      <c r="BU55" s="24"/>
      <c r="BV55" s="117" t="str">
        <f>=IFERROR(ROUND(BU55/FB_Kurs_11,2),0)</f>
      </c>
      <c r="BW55" s="116" t="str">
        <f>=ROUND(BU55+BP55,2)</f>
      </c>
      <c r="BX55" s="144" t="str">
        <f>=ROUND(BV55+BQ55,2)</f>
      </c>
      <c r="CA55" s="149" t="s">
        <v>265</v>
      </c>
      <c r="CB55" s="24"/>
      <c r="CC55" s="117" t="str">
        <f>=IFERROR(ROUND(CB55/FB_Kurs_12,2),0)</f>
      </c>
      <c r="CD55" s="116" t="str">
        <f>=ROUND(CB55+BW55,2)</f>
      </c>
      <c r="CE55" s="144" t="str">
        <f>=ROUND(CC55+BX55,2)</f>
      </c>
      <c r="CH55" s="149" t="s">
        <v>265</v>
      </c>
      <c r="CI55" s="24"/>
      <c r="CJ55" s="117" t="str">
        <f>=IFERROR(ROUND(CI55/FB_Kurs_13,2),0)</f>
      </c>
      <c r="CK55" s="116" t="str">
        <f>=ROUND(CI55+CD55,2)</f>
      </c>
      <c r="CL55" s="144" t="str">
        <f>=ROUND(CJ55+CE55,2)</f>
      </c>
      <c r="CO55" s="149" t="s">
        <v>265</v>
      </c>
      <c r="CP55" s="24"/>
      <c r="CQ55" s="117" t="str">
        <f>=IFERROR(ROUND(CP55/FB_Kurs_14,2),0)</f>
      </c>
      <c r="CR55" s="116" t="str">
        <f>=ROUND(CP55+CK55,2)</f>
      </c>
      <c r="CS55" s="144" t="str">
        <f>=ROUND(CQ55+CL55,2)</f>
      </c>
      <c r="CV55" s="149" t="s">
        <v>265</v>
      </c>
      <c r="CW55" s="24"/>
      <c r="CX55" s="117" t="str">
        <f>=IFERROR(ROUND(CW55/FB_Kurs_15,2),0)</f>
      </c>
      <c r="CY55" s="116" t="str">
        <f>=ROUND(CW55+CR55,2)</f>
      </c>
      <c r="CZ55" s="144" t="str">
        <f>=ROUND(CX55+CS55,2)</f>
      </c>
      <c r="DC55" s="149" t="s">
        <v>265</v>
      </c>
      <c r="DD55" s="24"/>
      <c r="DE55" s="117" t="str">
        <f>=IFERROR(ROUND(DD55/FB_Kurs_16,2),0)</f>
      </c>
      <c r="DF55" s="116" t="str">
        <f>=ROUND(DD55+CY55,2)</f>
      </c>
      <c r="DG55" s="144" t="str">
        <f>=ROUND(DE55+CZ55,2)</f>
      </c>
      <c r="DJ55" s="149" t="s">
        <v>265</v>
      </c>
      <c r="DK55" s="24"/>
      <c r="DL55" s="117" t="str">
        <f>=IFERROR(ROUND(DK55/FB_Kurs_17,2),0)</f>
      </c>
      <c r="DM55" s="116" t="str">
        <f>=ROUND(DK55+DF55,2)</f>
      </c>
      <c r="DN55" s="144" t="str">
        <f>=ROUND(DL55+DG55,2)</f>
      </c>
      <c r="DQ55" s="149" t="s">
        <v>265</v>
      </c>
      <c r="DR55" s="24"/>
      <c r="DS55" s="117" t="str">
        <f>=IFERROR(ROUND(DR55/FB_Kurs_18,2),0)</f>
      </c>
      <c r="DT55" s="116" t="str">
        <f>=ROUND(DR55+DM55,2)</f>
      </c>
      <c r="DU55" s="144" t="str">
        <f>=ROUND(DS55+DN55,2)</f>
      </c>
    </row>
    <row r="56">
      <c r="B56" s="149" t="s">
        <v>266</v>
      </c>
      <c r="C56" s="24"/>
      <c r="D56" s="117" t="str">
        <f>=IFERROR(ROUND(C56/FB_Kurs_1,2),0)</f>
      </c>
      <c r="E56" s="116" t="str">
        <f>=ROUND(C56,2)</f>
      </c>
      <c r="F56" s="144" t="str">
        <f>=ROUND(D56,2)</f>
      </c>
      <c r="I56" s="149" t="s">
        <v>266</v>
      </c>
      <c r="J56" s="24"/>
      <c r="K56" s="117" t="str">
        <f>=IFERROR(ROUND(J56/FB_Kurs_2,2),0)</f>
      </c>
      <c r="L56" s="116" t="str">
        <f>=ROUND(J56+E56,2)</f>
      </c>
      <c r="M56" s="144" t="str">
        <f>=ROUND(K56+F56,2)</f>
      </c>
      <c r="P56" s="149" t="s">
        <v>266</v>
      </c>
      <c r="Q56" s="24"/>
      <c r="R56" s="117" t="str">
        <f>=IFERROR(ROUND(Q56/FB_Kurs_3,2),0)</f>
      </c>
      <c r="S56" s="116" t="str">
        <f>=ROUND(Q56+L56,2)</f>
      </c>
      <c r="T56" s="144" t="str">
        <f>=ROUND(R56+M56,2)</f>
      </c>
      <c r="W56" s="149" t="s">
        <v>266</v>
      </c>
      <c r="X56" s="24"/>
      <c r="Y56" s="117" t="str">
        <f>=IFERROR(ROUND(X56/FB_Kurs_4,2),0)</f>
      </c>
      <c r="Z56" s="116" t="str">
        <f>=ROUND(X56+S56,2)</f>
      </c>
      <c r="AA56" s="144" t="str">
        <f>=ROUND(Y56+T56,2)</f>
      </c>
      <c r="AD56" s="149" t="s">
        <v>266</v>
      </c>
      <c r="AE56" s="24"/>
      <c r="AF56" s="117" t="str">
        <f>=IFERROR(ROUND(AE56/FB_Kurs_5,2),0)</f>
      </c>
      <c r="AG56" s="116" t="str">
        <f>=ROUND(AE56+Z56,2)</f>
      </c>
      <c r="AH56" s="144" t="str">
        <f>=ROUND(AF56+AA56,2)</f>
      </c>
      <c r="AK56" s="149" t="s">
        <v>266</v>
      </c>
      <c r="AL56" s="24"/>
      <c r="AM56" s="117" t="str">
        <f>=IFERROR(ROUND(AL56/FB_Kurs_6,2),0)</f>
      </c>
      <c r="AN56" s="116" t="str">
        <f>=ROUND(AL56+AG56,2)</f>
      </c>
      <c r="AO56" s="144" t="str">
        <f>=ROUND(AM56+AH56,2)</f>
      </c>
      <c r="AR56" s="149" t="s">
        <v>266</v>
      </c>
      <c r="AS56" s="24"/>
      <c r="AT56" s="117" t="str">
        <f>=IFERROR(ROUND(AS56/FB_Kurs_7,2),0)</f>
      </c>
      <c r="AU56" s="116" t="str">
        <f>=ROUND(AS56+AN56,2)</f>
      </c>
      <c r="AV56" s="144" t="str">
        <f>=ROUND(AT56+AO56,2)</f>
      </c>
      <c r="AY56" s="149" t="s">
        <v>266</v>
      </c>
      <c r="AZ56" s="24"/>
      <c r="BA56" s="117" t="str">
        <f>=IFERROR(ROUND(AZ56/FB_Kurs_8,2),0)</f>
      </c>
      <c r="BB56" s="116" t="str">
        <f>=ROUND(AZ56+AU56,2)</f>
      </c>
      <c r="BC56" s="144" t="str">
        <f>=ROUND(BA56+AV56,2)</f>
      </c>
      <c r="BF56" s="149" t="s">
        <v>266</v>
      </c>
      <c r="BG56" s="24"/>
      <c r="BH56" s="117" t="str">
        <f>=IFERROR(ROUND(BG56/FB_Kurs_9,2),0)</f>
      </c>
      <c r="BI56" s="116" t="str">
        <f>=ROUND(BG56+BB56,2)</f>
      </c>
      <c r="BJ56" s="144" t="str">
        <f>=ROUND(BH56+BC56,2)</f>
      </c>
      <c r="BM56" s="149" t="s">
        <v>266</v>
      </c>
      <c r="BN56" s="24"/>
      <c r="BO56" s="117" t="str">
        <f>=IFERROR(ROUND(BN56/FB_Kurs_10,2),0)</f>
      </c>
      <c r="BP56" s="116" t="str">
        <f>=ROUND(BN56+BI56,2)</f>
      </c>
      <c r="BQ56" s="144" t="str">
        <f>=ROUND(BO56+BJ56,2)</f>
      </c>
      <c r="BT56" s="149" t="s">
        <v>266</v>
      </c>
      <c r="BU56" s="24"/>
      <c r="BV56" s="117" t="str">
        <f>=IFERROR(ROUND(BU56/FB_Kurs_11,2),0)</f>
      </c>
      <c r="BW56" s="116" t="str">
        <f>=ROUND(BU56+BP56,2)</f>
      </c>
      <c r="BX56" s="144" t="str">
        <f>=ROUND(BV56+BQ56,2)</f>
      </c>
      <c r="CA56" s="149" t="s">
        <v>266</v>
      </c>
      <c r="CB56" s="24"/>
      <c r="CC56" s="117" t="str">
        <f>=IFERROR(ROUND(CB56/FB_Kurs_12,2),0)</f>
      </c>
      <c r="CD56" s="116" t="str">
        <f>=ROUND(CB56+BW56,2)</f>
      </c>
      <c r="CE56" s="144" t="str">
        <f>=ROUND(CC56+BX56,2)</f>
      </c>
      <c r="CH56" s="149" t="s">
        <v>266</v>
      </c>
      <c r="CI56" s="24"/>
      <c r="CJ56" s="117" t="str">
        <f>=IFERROR(ROUND(CI56/FB_Kurs_13,2),0)</f>
      </c>
      <c r="CK56" s="116" t="str">
        <f>=ROUND(CI56+CD56,2)</f>
      </c>
      <c r="CL56" s="144" t="str">
        <f>=ROUND(CJ56+CE56,2)</f>
      </c>
      <c r="CO56" s="149" t="s">
        <v>266</v>
      </c>
      <c r="CP56" s="24"/>
      <c r="CQ56" s="117" t="str">
        <f>=IFERROR(ROUND(CP56/FB_Kurs_14,2),0)</f>
      </c>
      <c r="CR56" s="116" t="str">
        <f>=ROUND(CP56+CK56,2)</f>
      </c>
      <c r="CS56" s="144" t="str">
        <f>=ROUND(CQ56+CL56,2)</f>
      </c>
      <c r="CV56" s="149" t="s">
        <v>266</v>
      </c>
      <c r="CW56" s="24"/>
      <c r="CX56" s="117" t="str">
        <f>=IFERROR(ROUND(CW56/FB_Kurs_15,2),0)</f>
      </c>
      <c r="CY56" s="116" t="str">
        <f>=ROUND(CW56+CR56,2)</f>
      </c>
      <c r="CZ56" s="144" t="str">
        <f>=ROUND(CX56+CS56,2)</f>
      </c>
      <c r="DC56" s="149" t="s">
        <v>266</v>
      </c>
      <c r="DD56" s="24"/>
      <c r="DE56" s="117" t="str">
        <f>=IFERROR(ROUND(DD56/FB_Kurs_16,2),0)</f>
      </c>
      <c r="DF56" s="116" t="str">
        <f>=ROUND(DD56+CY56,2)</f>
      </c>
      <c r="DG56" s="144" t="str">
        <f>=ROUND(DE56+CZ56,2)</f>
      </c>
      <c r="DJ56" s="149" t="s">
        <v>266</v>
      </c>
      <c r="DK56" s="24"/>
      <c r="DL56" s="117" t="str">
        <f>=IFERROR(ROUND(DK56/FB_Kurs_17,2),0)</f>
      </c>
      <c r="DM56" s="116" t="str">
        <f>=ROUND(DK56+DF56,2)</f>
      </c>
      <c r="DN56" s="144" t="str">
        <f>=ROUND(DL56+DG56,2)</f>
      </c>
      <c r="DQ56" s="149" t="s">
        <v>266</v>
      </c>
      <c r="DR56" s="24"/>
      <c r="DS56" s="117" t="str">
        <f>=IFERROR(ROUND(DR56/FB_Kurs_18,2),0)</f>
      </c>
      <c r="DT56" s="116" t="str">
        <f>=ROUND(DR56+DM56,2)</f>
      </c>
      <c r="DU56" s="144" t="str">
        <f>=ROUND(DS56+DN56,2)</f>
      </c>
    </row>
    <row r="57">
      <c r="B57" s="149" t="s">
        <v>267</v>
      </c>
      <c r="C57" s="24"/>
      <c r="D57" s="117" t="str">
        <f>=IFERROR(ROUND(C57/FB_Kurs_1,2),0)</f>
      </c>
      <c r="E57" s="116" t="str">
        <f>=ROUND(C57,2)</f>
      </c>
      <c r="F57" s="144" t="str">
        <f>=ROUND(D57,2)</f>
      </c>
      <c r="I57" s="149" t="s">
        <v>267</v>
      </c>
      <c r="J57" s="24"/>
      <c r="K57" s="117" t="str">
        <f>=IFERROR(ROUND(J57/FB_Kurs_2,2),0)</f>
      </c>
      <c r="L57" s="116" t="str">
        <f>=ROUND(J57+E57,2)</f>
      </c>
      <c r="M57" s="144" t="str">
        <f>=ROUND(K57+F57,2)</f>
      </c>
      <c r="P57" s="149" t="s">
        <v>267</v>
      </c>
      <c r="Q57" s="24"/>
      <c r="R57" s="117" t="str">
        <f>=IFERROR(ROUND(Q57/FB_Kurs_3,2),0)</f>
      </c>
      <c r="S57" s="116" t="str">
        <f>=ROUND(Q57+L57,2)</f>
      </c>
      <c r="T57" s="144" t="str">
        <f>=ROUND(R57+M57,2)</f>
      </c>
      <c r="W57" s="149" t="s">
        <v>267</v>
      </c>
      <c r="X57" s="24"/>
      <c r="Y57" s="117" t="str">
        <f>=IFERROR(ROUND(X57/FB_Kurs_4,2),0)</f>
      </c>
      <c r="Z57" s="116" t="str">
        <f>=ROUND(X57+S57,2)</f>
      </c>
      <c r="AA57" s="144" t="str">
        <f>=ROUND(Y57+T57,2)</f>
      </c>
      <c r="AD57" s="149" t="s">
        <v>267</v>
      </c>
      <c r="AE57" s="24"/>
      <c r="AF57" s="117" t="str">
        <f>=IFERROR(ROUND(AE57/FB_Kurs_5,2),0)</f>
      </c>
      <c r="AG57" s="116" t="str">
        <f>=ROUND(AE57+Z57,2)</f>
      </c>
      <c r="AH57" s="144" t="str">
        <f>=ROUND(AF57+AA57,2)</f>
      </c>
      <c r="AK57" s="149" t="s">
        <v>267</v>
      </c>
      <c r="AL57" s="24"/>
      <c r="AM57" s="117" t="str">
        <f>=IFERROR(ROUND(AL57/FB_Kurs_6,2),0)</f>
      </c>
      <c r="AN57" s="116" t="str">
        <f>=ROUND(AL57+AG57,2)</f>
      </c>
      <c r="AO57" s="144" t="str">
        <f>=ROUND(AM57+AH57,2)</f>
      </c>
      <c r="AR57" s="149" t="s">
        <v>267</v>
      </c>
      <c r="AS57" s="24"/>
      <c r="AT57" s="117" t="str">
        <f>=IFERROR(ROUND(AS57/FB_Kurs_7,2),0)</f>
      </c>
      <c r="AU57" s="116" t="str">
        <f>=ROUND(AS57+AN57,2)</f>
      </c>
      <c r="AV57" s="144" t="str">
        <f>=ROUND(AT57+AO57,2)</f>
      </c>
      <c r="AY57" s="149" t="s">
        <v>267</v>
      </c>
      <c r="AZ57" s="24"/>
      <c r="BA57" s="117" t="str">
        <f>=IFERROR(ROUND(AZ57/FB_Kurs_8,2),0)</f>
      </c>
      <c r="BB57" s="116" t="str">
        <f>=ROUND(AZ57+AU57,2)</f>
      </c>
      <c r="BC57" s="144" t="str">
        <f>=ROUND(BA57+AV57,2)</f>
      </c>
      <c r="BF57" s="149" t="s">
        <v>267</v>
      </c>
      <c r="BG57" s="24"/>
      <c r="BH57" s="117" t="str">
        <f>=IFERROR(ROUND(BG57/FB_Kurs_9,2),0)</f>
      </c>
      <c r="BI57" s="116" t="str">
        <f>=ROUND(BG57+BB57,2)</f>
      </c>
      <c r="BJ57" s="144" t="str">
        <f>=ROUND(BH57+BC57,2)</f>
      </c>
      <c r="BM57" s="149" t="s">
        <v>267</v>
      </c>
      <c r="BN57" s="24"/>
      <c r="BO57" s="117" t="str">
        <f>=IFERROR(ROUND(BN57/FB_Kurs_10,2),0)</f>
      </c>
      <c r="BP57" s="116" t="str">
        <f>=ROUND(BN57+BI57,2)</f>
      </c>
      <c r="BQ57" s="144" t="str">
        <f>=ROUND(BO57+BJ57,2)</f>
      </c>
      <c r="BT57" s="149" t="s">
        <v>267</v>
      </c>
      <c r="BU57" s="24"/>
      <c r="BV57" s="117" t="str">
        <f>=IFERROR(ROUND(BU57/FB_Kurs_11,2),0)</f>
      </c>
      <c r="BW57" s="116" t="str">
        <f>=ROUND(BU57+BP57,2)</f>
      </c>
      <c r="BX57" s="144" t="str">
        <f>=ROUND(BV57+BQ57,2)</f>
      </c>
      <c r="CA57" s="149" t="s">
        <v>267</v>
      </c>
      <c r="CB57" s="24"/>
      <c r="CC57" s="117" t="str">
        <f>=IFERROR(ROUND(CB57/FB_Kurs_12,2),0)</f>
      </c>
      <c r="CD57" s="116" t="str">
        <f>=ROUND(CB57+BW57,2)</f>
      </c>
      <c r="CE57" s="144" t="str">
        <f>=ROUND(CC57+BX57,2)</f>
      </c>
      <c r="CH57" s="149" t="s">
        <v>267</v>
      </c>
      <c r="CI57" s="24"/>
      <c r="CJ57" s="117" t="str">
        <f>=IFERROR(ROUND(CI57/FB_Kurs_13,2),0)</f>
      </c>
      <c r="CK57" s="116" t="str">
        <f>=ROUND(CI57+CD57,2)</f>
      </c>
      <c r="CL57" s="144" t="str">
        <f>=ROUND(CJ57+CE57,2)</f>
      </c>
      <c r="CO57" s="149" t="s">
        <v>267</v>
      </c>
      <c r="CP57" s="24"/>
      <c r="CQ57" s="117" t="str">
        <f>=IFERROR(ROUND(CP57/FB_Kurs_14,2),0)</f>
      </c>
      <c r="CR57" s="116" t="str">
        <f>=ROUND(CP57+CK57,2)</f>
      </c>
      <c r="CS57" s="144" t="str">
        <f>=ROUND(CQ57+CL57,2)</f>
      </c>
      <c r="CV57" s="149" t="s">
        <v>267</v>
      </c>
      <c r="CW57" s="24"/>
      <c r="CX57" s="117" t="str">
        <f>=IFERROR(ROUND(CW57/FB_Kurs_15,2),0)</f>
      </c>
      <c r="CY57" s="116" t="str">
        <f>=ROUND(CW57+CR57,2)</f>
      </c>
      <c r="CZ57" s="144" t="str">
        <f>=ROUND(CX57+CS57,2)</f>
      </c>
      <c r="DC57" s="149" t="s">
        <v>267</v>
      </c>
      <c r="DD57" s="24"/>
      <c r="DE57" s="117" t="str">
        <f>=IFERROR(ROUND(DD57/FB_Kurs_16,2),0)</f>
      </c>
      <c r="DF57" s="116" t="str">
        <f>=ROUND(DD57+CY57,2)</f>
      </c>
      <c r="DG57" s="144" t="str">
        <f>=ROUND(DE57+CZ57,2)</f>
      </c>
      <c r="DJ57" s="149" t="s">
        <v>267</v>
      </c>
      <c r="DK57" s="24"/>
      <c r="DL57" s="117" t="str">
        <f>=IFERROR(ROUND(DK57/FB_Kurs_17,2),0)</f>
      </c>
      <c r="DM57" s="116" t="str">
        <f>=ROUND(DK57+DF57,2)</f>
      </c>
      <c r="DN57" s="144" t="str">
        <f>=ROUND(DL57+DG57,2)</f>
      </c>
      <c r="DQ57" s="149" t="s">
        <v>267</v>
      </c>
      <c r="DR57" s="24"/>
      <c r="DS57" s="117" t="str">
        <f>=IFERROR(ROUND(DR57/FB_Kurs_18,2),0)</f>
      </c>
      <c r="DT57" s="116" t="str">
        <f>=ROUND(DR57+DM57,2)</f>
      </c>
      <c r="DU57" s="144" t="str">
        <f>=ROUND(DS57+DN57,2)</f>
      </c>
    </row>
    <row r="58">
      <c r="B58" s="149" t="s">
        <v>268</v>
      </c>
      <c r="C58" s="24"/>
      <c r="D58" s="117" t="str">
        <f>=IFERROR(ROUND(C58/FB_Kurs_1,2),0)</f>
      </c>
      <c r="E58" s="116" t="str">
        <f>=ROUND(C58,2)</f>
      </c>
      <c r="F58" s="144" t="str">
        <f>=ROUND(D58,2)</f>
      </c>
      <c r="I58" s="149" t="s">
        <v>268</v>
      </c>
      <c r="J58" s="24"/>
      <c r="K58" s="117" t="str">
        <f>=IFERROR(ROUND(J58/FB_Kurs_2,2),0)</f>
      </c>
      <c r="L58" s="116" t="str">
        <f>=ROUND(J58+E58,2)</f>
      </c>
      <c r="M58" s="144" t="str">
        <f>=ROUND(K58+F58,2)</f>
      </c>
      <c r="P58" s="149" t="s">
        <v>268</v>
      </c>
      <c r="Q58" s="24"/>
      <c r="R58" s="117" t="str">
        <f>=IFERROR(ROUND(Q58/FB_Kurs_3,2),0)</f>
      </c>
      <c r="S58" s="116" t="str">
        <f>=ROUND(Q58+L58,2)</f>
      </c>
      <c r="T58" s="144" t="str">
        <f>=ROUND(R58+M58,2)</f>
      </c>
      <c r="W58" s="149" t="s">
        <v>268</v>
      </c>
      <c r="X58" s="24"/>
      <c r="Y58" s="117" t="str">
        <f>=IFERROR(ROUND(X58/FB_Kurs_4,2),0)</f>
      </c>
      <c r="Z58" s="116" t="str">
        <f>=ROUND(X58+S58,2)</f>
      </c>
      <c r="AA58" s="144" t="str">
        <f>=ROUND(Y58+T58,2)</f>
      </c>
      <c r="AD58" s="149" t="s">
        <v>268</v>
      </c>
      <c r="AE58" s="24"/>
      <c r="AF58" s="117" t="str">
        <f>=IFERROR(ROUND(AE58/FB_Kurs_5,2),0)</f>
      </c>
      <c r="AG58" s="116" t="str">
        <f>=ROUND(AE58+Z58,2)</f>
      </c>
      <c r="AH58" s="144" t="str">
        <f>=ROUND(AF58+AA58,2)</f>
      </c>
      <c r="AK58" s="149" t="s">
        <v>268</v>
      </c>
      <c r="AL58" s="24"/>
      <c r="AM58" s="117" t="str">
        <f>=IFERROR(ROUND(AL58/FB_Kurs_6,2),0)</f>
      </c>
      <c r="AN58" s="116" t="str">
        <f>=ROUND(AL58+AG58,2)</f>
      </c>
      <c r="AO58" s="144" t="str">
        <f>=ROUND(AM58+AH58,2)</f>
      </c>
      <c r="AR58" s="149" t="s">
        <v>268</v>
      </c>
      <c r="AS58" s="24"/>
      <c r="AT58" s="117" t="str">
        <f>=IFERROR(ROUND(AS58/FB_Kurs_7,2),0)</f>
      </c>
      <c r="AU58" s="116" t="str">
        <f>=ROUND(AS58+AN58,2)</f>
      </c>
      <c r="AV58" s="144" t="str">
        <f>=ROUND(AT58+AO58,2)</f>
      </c>
      <c r="AY58" s="149" t="s">
        <v>268</v>
      </c>
      <c r="AZ58" s="24"/>
      <c r="BA58" s="117" t="str">
        <f>=IFERROR(ROUND(AZ58/FB_Kurs_8,2),0)</f>
      </c>
      <c r="BB58" s="116" t="str">
        <f>=ROUND(AZ58+AU58,2)</f>
      </c>
      <c r="BC58" s="144" t="str">
        <f>=ROUND(BA58+AV58,2)</f>
      </c>
      <c r="BF58" s="149" t="s">
        <v>268</v>
      </c>
      <c r="BG58" s="24"/>
      <c r="BH58" s="117" t="str">
        <f>=IFERROR(ROUND(BG58/FB_Kurs_9,2),0)</f>
      </c>
      <c r="BI58" s="116" t="str">
        <f>=ROUND(BG58+BB58,2)</f>
      </c>
      <c r="BJ58" s="144" t="str">
        <f>=ROUND(BH58+BC58,2)</f>
      </c>
      <c r="BM58" s="149" t="s">
        <v>268</v>
      </c>
      <c r="BN58" s="24"/>
      <c r="BO58" s="117" t="str">
        <f>=IFERROR(ROUND(BN58/FB_Kurs_10,2),0)</f>
      </c>
      <c r="BP58" s="116" t="str">
        <f>=ROUND(BN58+BI58,2)</f>
      </c>
      <c r="BQ58" s="144" t="str">
        <f>=ROUND(BO58+BJ58,2)</f>
      </c>
      <c r="BT58" s="149" t="s">
        <v>268</v>
      </c>
      <c r="BU58" s="24"/>
      <c r="BV58" s="117" t="str">
        <f>=IFERROR(ROUND(BU58/FB_Kurs_11,2),0)</f>
      </c>
      <c r="BW58" s="116" t="str">
        <f>=ROUND(BU58+BP58,2)</f>
      </c>
      <c r="BX58" s="144" t="str">
        <f>=ROUND(BV58+BQ58,2)</f>
      </c>
      <c r="CA58" s="149" t="s">
        <v>268</v>
      </c>
      <c r="CB58" s="24"/>
      <c r="CC58" s="117" t="str">
        <f>=IFERROR(ROUND(CB58/FB_Kurs_12,2),0)</f>
      </c>
      <c r="CD58" s="116" t="str">
        <f>=ROUND(CB58+BW58,2)</f>
      </c>
      <c r="CE58" s="144" t="str">
        <f>=ROUND(CC58+BX58,2)</f>
      </c>
      <c r="CH58" s="149" t="s">
        <v>268</v>
      </c>
      <c r="CI58" s="24"/>
      <c r="CJ58" s="117" t="str">
        <f>=IFERROR(ROUND(CI58/FB_Kurs_13,2),0)</f>
      </c>
      <c r="CK58" s="116" t="str">
        <f>=ROUND(CI58+CD58,2)</f>
      </c>
      <c r="CL58" s="144" t="str">
        <f>=ROUND(CJ58+CE58,2)</f>
      </c>
      <c r="CO58" s="149" t="s">
        <v>268</v>
      </c>
      <c r="CP58" s="24"/>
      <c r="CQ58" s="117" t="str">
        <f>=IFERROR(ROUND(CP58/FB_Kurs_14,2),0)</f>
      </c>
      <c r="CR58" s="116" t="str">
        <f>=ROUND(CP58+CK58,2)</f>
      </c>
      <c r="CS58" s="144" t="str">
        <f>=ROUND(CQ58+CL58,2)</f>
      </c>
      <c r="CV58" s="149" t="s">
        <v>268</v>
      </c>
      <c r="CW58" s="24"/>
      <c r="CX58" s="117" t="str">
        <f>=IFERROR(ROUND(CW58/FB_Kurs_15,2),0)</f>
      </c>
      <c r="CY58" s="116" t="str">
        <f>=ROUND(CW58+CR58,2)</f>
      </c>
      <c r="CZ58" s="144" t="str">
        <f>=ROUND(CX58+CS58,2)</f>
      </c>
      <c r="DC58" s="149" t="s">
        <v>268</v>
      </c>
      <c r="DD58" s="24"/>
      <c r="DE58" s="117" t="str">
        <f>=IFERROR(ROUND(DD58/FB_Kurs_16,2),0)</f>
      </c>
      <c r="DF58" s="116" t="str">
        <f>=ROUND(DD58+CY58,2)</f>
      </c>
      <c r="DG58" s="144" t="str">
        <f>=ROUND(DE58+CZ58,2)</f>
      </c>
      <c r="DJ58" s="149" t="s">
        <v>268</v>
      </c>
      <c r="DK58" s="24"/>
      <c r="DL58" s="117" t="str">
        <f>=IFERROR(ROUND(DK58/FB_Kurs_17,2),0)</f>
      </c>
      <c r="DM58" s="116" t="str">
        <f>=ROUND(DK58+DF58,2)</f>
      </c>
      <c r="DN58" s="144" t="str">
        <f>=ROUND(DL58+DG58,2)</f>
      </c>
      <c r="DQ58" s="149" t="s">
        <v>268</v>
      </c>
      <c r="DR58" s="24"/>
      <c r="DS58" s="117" t="str">
        <f>=IFERROR(ROUND(DR58/FB_Kurs_18,2),0)</f>
      </c>
      <c r="DT58" s="116" t="str">
        <f>=ROUND(DR58+DM58,2)</f>
      </c>
      <c r="DU58" s="144" t="str">
        <f>=ROUND(DS58+DN58,2)</f>
      </c>
    </row>
    <row r="59">
      <c r="B59" s="149" t="s">
        <v>270</v>
      </c>
      <c r="C59" s="24"/>
      <c r="D59" s="117" t="str">
        <f>=IFERROR(ROUND(C59/FB_Kurs_1,2),0)</f>
      </c>
      <c r="E59" s="116" t="str">
        <f>=ROUND(C59,2)</f>
      </c>
      <c r="F59" s="144" t="str">
        <f>=ROUND(D59,2)</f>
      </c>
      <c r="I59" s="149" t="s">
        <v>270</v>
      </c>
      <c r="J59" s="24"/>
      <c r="K59" s="117" t="str">
        <f>=IFERROR(ROUND(J59/FB_Kurs_2,2),0)</f>
      </c>
      <c r="L59" s="116" t="str">
        <f>=ROUND(J59+E59,2)</f>
      </c>
      <c r="M59" s="144" t="str">
        <f>=ROUND(K59+F59,2)</f>
      </c>
      <c r="P59" s="149" t="s">
        <v>270</v>
      </c>
      <c r="Q59" s="24"/>
      <c r="R59" s="117" t="str">
        <f>=IFERROR(ROUND(Q59/FB_Kurs_3,2),0)</f>
      </c>
      <c r="S59" s="116" t="str">
        <f>=ROUND(Q59+L59,2)</f>
      </c>
      <c r="T59" s="144" t="str">
        <f>=ROUND(R59+M59,2)</f>
      </c>
      <c r="W59" s="149" t="s">
        <v>270</v>
      </c>
      <c r="X59" s="24"/>
      <c r="Y59" s="117" t="str">
        <f>=IFERROR(ROUND(X59/FB_Kurs_4,2),0)</f>
      </c>
      <c r="Z59" s="116" t="str">
        <f>=ROUND(X59+S59,2)</f>
      </c>
      <c r="AA59" s="144" t="str">
        <f>=ROUND(Y59+T59,2)</f>
      </c>
      <c r="AD59" s="149" t="s">
        <v>270</v>
      </c>
      <c r="AE59" s="24"/>
      <c r="AF59" s="117" t="str">
        <f>=IFERROR(ROUND(AE59/FB_Kurs_5,2),0)</f>
      </c>
      <c r="AG59" s="116" t="str">
        <f>=ROUND(AE59+Z59,2)</f>
      </c>
      <c r="AH59" s="144" t="str">
        <f>=ROUND(AF59+AA59,2)</f>
      </c>
      <c r="AK59" s="149" t="s">
        <v>270</v>
      </c>
      <c r="AL59" s="24"/>
      <c r="AM59" s="117" t="str">
        <f>=IFERROR(ROUND(AL59/FB_Kurs_6,2),0)</f>
      </c>
      <c r="AN59" s="116" t="str">
        <f>=ROUND(AL59+AG59,2)</f>
      </c>
      <c r="AO59" s="144" t="str">
        <f>=ROUND(AM59+AH59,2)</f>
      </c>
      <c r="AR59" s="149" t="s">
        <v>270</v>
      </c>
      <c r="AS59" s="24"/>
      <c r="AT59" s="117" t="str">
        <f>=IFERROR(ROUND(AS59/FB_Kurs_7,2),0)</f>
      </c>
      <c r="AU59" s="116" t="str">
        <f>=ROUND(AS59+AN59,2)</f>
      </c>
      <c r="AV59" s="144" t="str">
        <f>=ROUND(AT59+AO59,2)</f>
      </c>
      <c r="AY59" s="149" t="s">
        <v>270</v>
      </c>
      <c r="AZ59" s="24"/>
      <c r="BA59" s="117" t="str">
        <f>=IFERROR(ROUND(AZ59/FB_Kurs_8,2),0)</f>
      </c>
      <c r="BB59" s="116" t="str">
        <f>=ROUND(AZ59+AU59,2)</f>
      </c>
      <c r="BC59" s="144" t="str">
        <f>=ROUND(BA59+AV59,2)</f>
      </c>
      <c r="BF59" s="149" t="s">
        <v>270</v>
      </c>
      <c r="BG59" s="24"/>
      <c r="BH59" s="117" t="str">
        <f>=IFERROR(ROUND(BG59/FB_Kurs_9,2),0)</f>
      </c>
      <c r="BI59" s="116" t="str">
        <f>=ROUND(BG59+BB59,2)</f>
      </c>
      <c r="BJ59" s="144" t="str">
        <f>=ROUND(BH59+BC59,2)</f>
      </c>
      <c r="BM59" s="149" t="s">
        <v>270</v>
      </c>
      <c r="BN59" s="24"/>
      <c r="BO59" s="117" t="str">
        <f>=IFERROR(ROUND(BN59/FB_Kurs_10,2),0)</f>
      </c>
      <c r="BP59" s="116" t="str">
        <f>=ROUND(BN59+BI59,2)</f>
      </c>
      <c r="BQ59" s="144" t="str">
        <f>=ROUND(BO59+BJ59,2)</f>
      </c>
      <c r="BT59" s="149" t="s">
        <v>270</v>
      </c>
      <c r="BU59" s="24"/>
      <c r="BV59" s="117" t="str">
        <f>=IFERROR(ROUND(BU59/FB_Kurs_11,2),0)</f>
      </c>
      <c r="BW59" s="116" t="str">
        <f>=ROUND(BU59+BP59,2)</f>
      </c>
      <c r="BX59" s="144" t="str">
        <f>=ROUND(BV59+BQ59,2)</f>
      </c>
      <c r="CA59" s="149" t="s">
        <v>270</v>
      </c>
      <c r="CB59" s="24"/>
      <c r="CC59" s="117" t="str">
        <f>=IFERROR(ROUND(CB59/FB_Kurs_12,2),0)</f>
      </c>
      <c r="CD59" s="116" t="str">
        <f>=ROUND(CB59+BW59,2)</f>
      </c>
      <c r="CE59" s="144" t="str">
        <f>=ROUND(CC59+BX59,2)</f>
      </c>
      <c r="CH59" s="149" t="s">
        <v>270</v>
      </c>
      <c r="CI59" s="24"/>
      <c r="CJ59" s="117" t="str">
        <f>=IFERROR(ROUND(CI59/FB_Kurs_13,2),0)</f>
      </c>
      <c r="CK59" s="116" t="str">
        <f>=ROUND(CI59+CD59,2)</f>
      </c>
      <c r="CL59" s="144" t="str">
        <f>=ROUND(CJ59+CE59,2)</f>
      </c>
      <c r="CO59" s="149" t="s">
        <v>270</v>
      </c>
      <c r="CP59" s="24"/>
      <c r="CQ59" s="117" t="str">
        <f>=IFERROR(ROUND(CP59/FB_Kurs_14,2),0)</f>
      </c>
      <c r="CR59" s="116" t="str">
        <f>=ROUND(CP59+CK59,2)</f>
      </c>
      <c r="CS59" s="144" t="str">
        <f>=ROUND(CQ59+CL59,2)</f>
      </c>
      <c r="CV59" s="149" t="s">
        <v>270</v>
      </c>
      <c r="CW59" s="24"/>
      <c r="CX59" s="117" t="str">
        <f>=IFERROR(ROUND(CW59/FB_Kurs_15,2),0)</f>
      </c>
      <c r="CY59" s="116" t="str">
        <f>=ROUND(CW59+CR59,2)</f>
      </c>
      <c r="CZ59" s="144" t="str">
        <f>=ROUND(CX59+CS59,2)</f>
      </c>
      <c r="DC59" s="149" t="s">
        <v>270</v>
      </c>
      <c r="DD59" s="24"/>
      <c r="DE59" s="117" t="str">
        <f>=IFERROR(ROUND(DD59/FB_Kurs_16,2),0)</f>
      </c>
      <c r="DF59" s="116" t="str">
        <f>=ROUND(DD59+CY59,2)</f>
      </c>
      <c r="DG59" s="144" t="str">
        <f>=ROUND(DE59+CZ59,2)</f>
      </c>
      <c r="DJ59" s="149" t="s">
        <v>270</v>
      </c>
      <c r="DK59" s="24"/>
      <c r="DL59" s="117" t="str">
        <f>=IFERROR(ROUND(DK59/FB_Kurs_17,2),0)</f>
      </c>
      <c r="DM59" s="116" t="str">
        <f>=ROUND(DK59+DF59,2)</f>
      </c>
      <c r="DN59" s="144" t="str">
        <f>=ROUND(DL59+DG59,2)</f>
      </c>
      <c r="DQ59" s="149" t="s">
        <v>270</v>
      </c>
      <c r="DR59" s="24"/>
      <c r="DS59" s="117" t="str">
        <f>=IFERROR(ROUND(DR59/FB_Kurs_18,2),0)</f>
      </c>
      <c r="DT59" s="116" t="str">
        <f>=ROUND(DR59+DM59,2)</f>
      </c>
      <c r="DU59" s="144" t="str">
        <f>=ROUND(DS59+DN59,2)</f>
      </c>
    </row>
    <row r="60">
      <c r="B60" s="149" t="s">
        <v>271</v>
      </c>
      <c r="C60" s="24"/>
      <c r="D60" s="117" t="str">
        <f>=IFERROR(ROUND(C60/FB_Kurs_1,2),0)</f>
      </c>
      <c r="E60" s="116" t="str">
        <f>=ROUND(C60,2)</f>
      </c>
      <c r="F60" s="144" t="str">
        <f>=ROUND(D60,2)</f>
      </c>
      <c r="I60" s="149" t="s">
        <v>271</v>
      </c>
      <c r="J60" s="24"/>
      <c r="K60" s="117" t="str">
        <f>=IFERROR(ROUND(J60/FB_Kurs_2,2),0)</f>
      </c>
      <c r="L60" s="116" t="str">
        <f>=ROUND(J60+E60,2)</f>
      </c>
      <c r="M60" s="144" t="str">
        <f>=ROUND(K60+F60,2)</f>
      </c>
      <c r="P60" s="149" t="s">
        <v>271</v>
      </c>
      <c r="Q60" s="24"/>
      <c r="R60" s="117" t="str">
        <f>=IFERROR(ROUND(Q60/FB_Kurs_3,2),0)</f>
      </c>
      <c r="S60" s="116" t="str">
        <f>=ROUND(Q60+L60,2)</f>
      </c>
      <c r="T60" s="144" t="str">
        <f>=ROUND(R60+M60,2)</f>
      </c>
      <c r="W60" s="149" t="s">
        <v>271</v>
      </c>
      <c r="X60" s="24"/>
      <c r="Y60" s="117" t="str">
        <f>=IFERROR(ROUND(X60/FB_Kurs_4,2),0)</f>
      </c>
      <c r="Z60" s="116" t="str">
        <f>=ROUND(X60+S60,2)</f>
      </c>
      <c r="AA60" s="144" t="str">
        <f>=ROUND(Y60+T60,2)</f>
      </c>
      <c r="AD60" s="149" t="s">
        <v>271</v>
      </c>
      <c r="AE60" s="24"/>
      <c r="AF60" s="117" t="str">
        <f>=IFERROR(ROUND(AE60/FB_Kurs_5,2),0)</f>
      </c>
      <c r="AG60" s="116" t="str">
        <f>=ROUND(AE60+Z60,2)</f>
      </c>
      <c r="AH60" s="144" t="str">
        <f>=ROUND(AF60+AA60,2)</f>
      </c>
      <c r="AK60" s="149" t="s">
        <v>271</v>
      </c>
      <c r="AL60" s="24"/>
      <c r="AM60" s="117" t="str">
        <f>=IFERROR(ROUND(AL60/FB_Kurs_6,2),0)</f>
      </c>
      <c r="AN60" s="116" t="str">
        <f>=ROUND(AL60+AG60,2)</f>
      </c>
      <c r="AO60" s="144" t="str">
        <f>=ROUND(AM60+AH60,2)</f>
      </c>
      <c r="AR60" s="149" t="s">
        <v>271</v>
      </c>
      <c r="AS60" s="24"/>
      <c r="AT60" s="117" t="str">
        <f>=IFERROR(ROUND(AS60/FB_Kurs_7,2),0)</f>
      </c>
      <c r="AU60" s="116" t="str">
        <f>=ROUND(AS60+AN60,2)</f>
      </c>
      <c r="AV60" s="144" t="str">
        <f>=ROUND(AT60+AO60,2)</f>
      </c>
      <c r="AY60" s="149" t="s">
        <v>271</v>
      </c>
      <c r="AZ60" s="24"/>
      <c r="BA60" s="117" t="str">
        <f>=IFERROR(ROUND(AZ60/FB_Kurs_8,2),0)</f>
      </c>
      <c r="BB60" s="116" t="str">
        <f>=ROUND(AZ60+AU60,2)</f>
      </c>
      <c r="BC60" s="144" t="str">
        <f>=ROUND(BA60+AV60,2)</f>
      </c>
      <c r="BF60" s="149" t="s">
        <v>271</v>
      </c>
      <c r="BG60" s="24"/>
      <c r="BH60" s="117" t="str">
        <f>=IFERROR(ROUND(BG60/FB_Kurs_9,2),0)</f>
      </c>
      <c r="BI60" s="116" t="str">
        <f>=ROUND(BG60+BB60,2)</f>
      </c>
      <c r="BJ60" s="144" t="str">
        <f>=ROUND(BH60+BC60,2)</f>
      </c>
      <c r="BM60" s="149" t="s">
        <v>271</v>
      </c>
      <c r="BN60" s="24"/>
      <c r="BO60" s="117" t="str">
        <f>=IFERROR(ROUND(BN60/FB_Kurs_10,2),0)</f>
      </c>
      <c r="BP60" s="116" t="str">
        <f>=ROUND(BN60+BI60,2)</f>
      </c>
      <c r="BQ60" s="144" t="str">
        <f>=ROUND(BO60+BJ60,2)</f>
      </c>
      <c r="BT60" s="149" t="s">
        <v>271</v>
      </c>
      <c r="BU60" s="24"/>
      <c r="BV60" s="117" t="str">
        <f>=IFERROR(ROUND(BU60/FB_Kurs_11,2),0)</f>
      </c>
      <c r="BW60" s="116" t="str">
        <f>=ROUND(BU60+BP60,2)</f>
      </c>
      <c r="BX60" s="144" t="str">
        <f>=ROUND(BV60+BQ60,2)</f>
      </c>
      <c r="CA60" s="149" t="s">
        <v>271</v>
      </c>
      <c r="CB60" s="24"/>
      <c r="CC60" s="117" t="str">
        <f>=IFERROR(ROUND(CB60/FB_Kurs_12,2),0)</f>
      </c>
      <c r="CD60" s="116" t="str">
        <f>=ROUND(CB60+BW60,2)</f>
      </c>
      <c r="CE60" s="144" t="str">
        <f>=ROUND(CC60+BX60,2)</f>
      </c>
      <c r="CH60" s="149" t="s">
        <v>271</v>
      </c>
      <c r="CI60" s="24"/>
      <c r="CJ60" s="117" t="str">
        <f>=IFERROR(ROUND(CI60/FB_Kurs_13,2),0)</f>
      </c>
      <c r="CK60" s="116" t="str">
        <f>=ROUND(CI60+CD60,2)</f>
      </c>
      <c r="CL60" s="144" t="str">
        <f>=ROUND(CJ60+CE60,2)</f>
      </c>
      <c r="CO60" s="149" t="s">
        <v>271</v>
      </c>
      <c r="CP60" s="24"/>
      <c r="CQ60" s="117" t="str">
        <f>=IFERROR(ROUND(CP60/FB_Kurs_14,2),0)</f>
      </c>
      <c r="CR60" s="116" t="str">
        <f>=ROUND(CP60+CK60,2)</f>
      </c>
      <c r="CS60" s="144" t="str">
        <f>=ROUND(CQ60+CL60,2)</f>
      </c>
      <c r="CV60" s="149" t="s">
        <v>271</v>
      </c>
      <c r="CW60" s="24"/>
      <c r="CX60" s="117" t="str">
        <f>=IFERROR(ROUND(CW60/FB_Kurs_15,2),0)</f>
      </c>
      <c r="CY60" s="116" t="str">
        <f>=ROUND(CW60+CR60,2)</f>
      </c>
      <c r="CZ60" s="144" t="str">
        <f>=ROUND(CX60+CS60,2)</f>
      </c>
      <c r="DC60" s="149" t="s">
        <v>271</v>
      </c>
      <c r="DD60" s="24"/>
      <c r="DE60" s="117" t="str">
        <f>=IFERROR(ROUND(DD60/FB_Kurs_16,2),0)</f>
      </c>
      <c r="DF60" s="116" t="str">
        <f>=ROUND(DD60+CY60,2)</f>
      </c>
      <c r="DG60" s="144" t="str">
        <f>=ROUND(DE60+CZ60,2)</f>
      </c>
      <c r="DJ60" s="149" t="s">
        <v>271</v>
      </c>
      <c r="DK60" s="24"/>
      <c r="DL60" s="117" t="str">
        <f>=IFERROR(ROUND(DK60/FB_Kurs_17,2),0)</f>
      </c>
      <c r="DM60" s="116" t="str">
        <f>=ROUND(DK60+DF60,2)</f>
      </c>
      <c r="DN60" s="144" t="str">
        <f>=ROUND(DL60+DG60,2)</f>
      </c>
      <c r="DQ60" s="149" t="s">
        <v>271</v>
      </c>
      <c r="DR60" s="24"/>
      <c r="DS60" s="117" t="str">
        <f>=IFERROR(ROUND(DR60/FB_Kurs_18,2),0)</f>
      </c>
      <c r="DT60" s="116" t="str">
        <f>=ROUND(DR60+DM60,2)</f>
      </c>
      <c r="DU60" s="144" t="str">
        <f>=ROUND(DS60+DN60,2)</f>
      </c>
    </row>
    <row r="61">
      <c r="B61" s="149" t="s">
        <v>272</v>
      </c>
      <c r="C61" s="24"/>
      <c r="D61" s="117" t="str">
        <f>=IFERROR(ROUND(C61/FB_Kurs_1,2),0)</f>
      </c>
      <c r="E61" s="116" t="str">
        <f>=ROUND(C61,2)</f>
      </c>
      <c r="F61" s="144" t="str">
        <f>=ROUND(D61,2)</f>
      </c>
      <c r="I61" s="149" t="s">
        <v>272</v>
      </c>
      <c r="J61" s="24"/>
      <c r="K61" s="117" t="str">
        <f>=IFERROR(ROUND(J61/FB_Kurs_2,2),0)</f>
      </c>
      <c r="L61" s="116" t="str">
        <f>=ROUND(J61+E61,2)</f>
      </c>
      <c r="M61" s="144" t="str">
        <f>=ROUND(K61+F61,2)</f>
      </c>
      <c r="P61" s="149" t="s">
        <v>272</v>
      </c>
      <c r="Q61" s="24"/>
      <c r="R61" s="117" t="str">
        <f>=IFERROR(ROUND(Q61/FB_Kurs_3,2),0)</f>
      </c>
      <c r="S61" s="116" t="str">
        <f>=ROUND(Q61+L61,2)</f>
      </c>
      <c r="T61" s="144" t="str">
        <f>=ROUND(R61+M61,2)</f>
      </c>
      <c r="W61" s="149" t="s">
        <v>272</v>
      </c>
      <c r="X61" s="24"/>
      <c r="Y61" s="117" t="str">
        <f>=IFERROR(ROUND(X61/FB_Kurs_4,2),0)</f>
      </c>
      <c r="Z61" s="116" t="str">
        <f>=ROUND(X61+S61,2)</f>
      </c>
      <c r="AA61" s="144" t="str">
        <f>=ROUND(Y61+T61,2)</f>
      </c>
      <c r="AD61" s="149" t="s">
        <v>272</v>
      </c>
      <c r="AE61" s="24"/>
      <c r="AF61" s="117" t="str">
        <f>=IFERROR(ROUND(AE61/FB_Kurs_5,2),0)</f>
      </c>
      <c r="AG61" s="116" t="str">
        <f>=ROUND(AE61+Z61,2)</f>
      </c>
      <c r="AH61" s="144" t="str">
        <f>=ROUND(AF61+AA61,2)</f>
      </c>
      <c r="AK61" s="149" t="s">
        <v>272</v>
      </c>
      <c r="AL61" s="24"/>
      <c r="AM61" s="117" t="str">
        <f>=IFERROR(ROUND(AL61/FB_Kurs_6,2),0)</f>
      </c>
      <c r="AN61" s="116" t="str">
        <f>=ROUND(AL61+AG61,2)</f>
      </c>
      <c r="AO61" s="144" t="str">
        <f>=ROUND(AM61+AH61,2)</f>
      </c>
      <c r="AR61" s="149" t="s">
        <v>272</v>
      </c>
      <c r="AS61" s="24"/>
      <c r="AT61" s="117" t="str">
        <f>=IFERROR(ROUND(AS61/FB_Kurs_7,2),0)</f>
      </c>
      <c r="AU61" s="116" t="str">
        <f>=ROUND(AS61+AN61,2)</f>
      </c>
      <c r="AV61" s="144" t="str">
        <f>=ROUND(AT61+AO61,2)</f>
      </c>
      <c r="AY61" s="149" t="s">
        <v>272</v>
      </c>
      <c r="AZ61" s="24"/>
      <c r="BA61" s="117" t="str">
        <f>=IFERROR(ROUND(AZ61/FB_Kurs_8,2),0)</f>
      </c>
      <c r="BB61" s="116" t="str">
        <f>=ROUND(AZ61+AU61,2)</f>
      </c>
      <c r="BC61" s="144" t="str">
        <f>=ROUND(BA61+AV61,2)</f>
      </c>
      <c r="BF61" s="149" t="s">
        <v>272</v>
      </c>
      <c r="BG61" s="24"/>
      <c r="BH61" s="117" t="str">
        <f>=IFERROR(ROUND(BG61/FB_Kurs_9,2),0)</f>
      </c>
      <c r="BI61" s="116" t="str">
        <f>=ROUND(BG61+BB61,2)</f>
      </c>
      <c r="BJ61" s="144" t="str">
        <f>=ROUND(BH61+BC61,2)</f>
      </c>
      <c r="BM61" s="149" t="s">
        <v>272</v>
      </c>
      <c r="BN61" s="24"/>
      <c r="BO61" s="117" t="str">
        <f>=IFERROR(ROUND(BN61/FB_Kurs_10,2),0)</f>
      </c>
      <c r="BP61" s="116" t="str">
        <f>=ROUND(BN61+BI61,2)</f>
      </c>
      <c r="BQ61" s="144" t="str">
        <f>=ROUND(BO61+BJ61,2)</f>
      </c>
      <c r="BT61" s="149" t="s">
        <v>272</v>
      </c>
      <c r="BU61" s="24"/>
      <c r="BV61" s="117" t="str">
        <f>=IFERROR(ROUND(BU61/FB_Kurs_11,2),0)</f>
      </c>
      <c r="BW61" s="116" t="str">
        <f>=ROUND(BU61+BP61,2)</f>
      </c>
      <c r="BX61" s="144" t="str">
        <f>=ROUND(BV61+BQ61,2)</f>
      </c>
      <c r="CA61" s="149" t="s">
        <v>272</v>
      </c>
      <c r="CB61" s="24"/>
      <c r="CC61" s="117" t="str">
        <f>=IFERROR(ROUND(CB61/FB_Kurs_12,2),0)</f>
      </c>
      <c r="CD61" s="116" t="str">
        <f>=ROUND(CB61+BW61,2)</f>
      </c>
      <c r="CE61" s="144" t="str">
        <f>=ROUND(CC61+BX61,2)</f>
      </c>
      <c r="CH61" s="149" t="s">
        <v>272</v>
      </c>
      <c r="CI61" s="24"/>
      <c r="CJ61" s="117" t="str">
        <f>=IFERROR(ROUND(CI61/FB_Kurs_13,2),0)</f>
      </c>
      <c r="CK61" s="116" t="str">
        <f>=ROUND(CI61+CD61,2)</f>
      </c>
      <c r="CL61" s="144" t="str">
        <f>=ROUND(CJ61+CE61,2)</f>
      </c>
      <c r="CO61" s="149" t="s">
        <v>272</v>
      </c>
      <c r="CP61" s="24"/>
      <c r="CQ61" s="117" t="str">
        <f>=IFERROR(ROUND(CP61/FB_Kurs_14,2),0)</f>
      </c>
      <c r="CR61" s="116" t="str">
        <f>=ROUND(CP61+CK61,2)</f>
      </c>
      <c r="CS61" s="144" t="str">
        <f>=ROUND(CQ61+CL61,2)</f>
      </c>
      <c r="CV61" s="149" t="s">
        <v>272</v>
      </c>
      <c r="CW61" s="24"/>
      <c r="CX61" s="117" t="str">
        <f>=IFERROR(ROUND(CW61/FB_Kurs_15,2),0)</f>
      </c>
      <c r="CY61" s="116" t="str">
        <f>=ROUND(CW61+CR61,2)</f>
      </c>
      <c r="CZ61" s="144" t="str">
        <f>=ROUND(CX61+CS61,2)</f>
      </c>
      <c r="DC61" s="149" t="s">
        <v>272</v>
      </c>
      <c r="DD61" s="24"/>
      <c r="DE61" s="117" t="str">
        <f>=IFERROR(ROUND(DD61/FB_Kurs_16,2),0)</f>
      </c>
      <c r="DF61" s="116" t="str">
        <f>=ROUND(DD61+CY61,2)</f>
      </c>
      <c r="DG61" s="144" t="str">
        <f>=ROUND(DE61+CZ61,2)</f>
      </c>
      <c r="DJ61" s="149" t="s">
        <v>272</v>
      </c>
      <c r="DK61" s="24"/>
      <c r="DL61" s="117" t="str">
        <f>=IFERROR(ROUND(DK61/FB_Kurs_17,2),0)</f>
      </c>
      <c r="DM61" s="116" t="str">
        <f>=ROUND(DK61+DF61,2)</f>
      </c>
      <c r="DN61" s="144" t="str">
        <f>=ROUND(DL61+DG61,2)</f>
      </c>
      <c r="DQ61" s="149" t="s">
        <v>272</v>
      </c>
      <c r="DR61" s="24"/>
      <c r="DS61" s="117" t="str">
        <f>=IFERROR(ROUND(DR61/FB_Kurs_18,2),0)</f>
      </c>
      <c r="DT61" s="116" t="str">
        <f>=ROUND(DR61+DM61,2)</f>
      </c>
      <c r="DU61" s="144" t="str">
        <f>=ROUND(DS61+DN61,2)</f>
      </c>
    </row>
    <row r="62">
      <c r="B62" s="149" t="s">
        <v>273</v>
      </c>
      <c r="C62" s="24"/>
      <c r="D62" s="117" t="str">
        <f>=IFERROR(ROUND(C62/FB_Kurs_1,2),0)</f>
      </c>
      <c r="E62" s="116" t="str">
        <f>=ROUND(C62,2)</f>
      </c>
      <c r="F62" s="144" t="str">
        <f>=ROUND(D62,2)</f>
      </c>
      <c r="I62" s="149" t="s">
        <v>273</v>
      </c>
      <c r="J62" s="24"/>
      <c r="K62" s="117" t="str">
        <f>=IFERROR(ROUND(J62/FB_Kurs_2,2),0)</f>
      </c>
      <c r="L62" s="116" t="str">
        <f>=ROUND(J62+E62,2)</f>
      </c>
      <c r="M62" s="144" t="str">
        <f>=ROUND(K62+F62,2)</f>
      </c>
      <c r="P62" s="149" t="s">
        <v>273</v>
      </c>
      <c r="Q62" s="24"/>
      <c r="R62" s="117" t="str">
        <f>=IFERROR(ROUND(Q62/FB_Kurs_3,2),0)</f>
      </c>
      <c r="S62" s="116" t="str">
        <f>=ROUND(Q62+L62,2)</f>
      </c>
      <c r="T62" s="144" t="str">
        <f>=ROUND(R62+M62,2)</f>
      </c>
      <c r="W62" s="149" t="s">
        <v>273</v>
      </c>
      <c r="X62" s="24"/>
      <c r="Y62" s="117" t="str">
        <f>=IFERROR(ROUND(X62/FB_Kurs_4,2),0)</f>
      </c>
      <c r="Z62" s="116" t="str">
        <f>=ROUND(X62+S62,2)</f>
      </c>
      <c r="AA62" s="144" t="str">
        <f>=ROUND(Y62+T62,2)</f>
      </c>
      <c r="AD62" s="149" t="s">
        <v>273</v>
      </c>
      <c r="AE62" s="24"/>
      <c r="AF62" s="117" t="str">
        <f>=IFERROR(ROUND(AE62/FB_Kurs_5,2),0)</f>
      </c>
      <c r="AG62" s="116" t="str">
        <f>=ROUND(AE62+Z62,2)</f>
      </c>
      <c r="AH62" s="144" t="str">
        <f>=ROUND(AF62+AA62,2)</f>
      </c>
      <c r="AK62" s="149" t="s">
        <v>273</v>
      </c>
      <c r="AL62" s="24"/>
      <c r="AM62" s="117" t="str">
        <f>=IFERROR(ROUND(AL62/FB_Kurs_6,2),0)</f>
      </c>
      <c r="AN62" s="116" t="str">
        <f>=ROUND(AL62+AG62,2)</f>
      </c>
      <c r="AO62" s="144" t="str">
        <f>=ROUND(AM62+AH62,2)</f>
      </c>
      <c r="AR62" s="149" t="s">
        <v>273</v>
      </c>
      <c r="AS62" s="24"/>
      <c r="AT62" s="117" t="str">
        <f>=IFERROR(ROUND(AS62/FB_Kurs_7,2),0)</f>
      </c>
      <c r="AU62" s="116" t="str">
        <f>=ROUND(AS62+AN62,2)</f>
      </c>
      <c r="AV62" s="144" t="str">
        <f>=ROUND(AT62+AO62,2)</f>
      </c>
      <c r="AY62" s="149" t="s">
        <v>273</v>
      </c>
      <c r="AZ62" s="24"/>
      <c r="BA62" s="117" t="str">
        <f>=IFERROR(ROUND(AZ62/FB_Kurs_8,2),0)</f>
      </c>
      <c r="BB62" s="116" t="str">
        <f>=ROUND(AZ62+AU62,2)</f>
      </c>
      <c r="BC62" s="144" t="str">
        <f>=ROUND(BA62+AV62,2)</f>
      </c>
      <c r="BF62" s="149" t="s">
        <v>273</v>
      </c>
      <c r="BG62" s="24"/>
      <c r="BH62" s="117" t="str">
        <f>=IFERROR(ROUND(BG62/FB_Kurs_9,2),0)</f>
      </c>
      <c r="BI62" s="116" t="str">
        <f>=ROUND(BG62+BB62,2)</f>
      </c>
      <c r="BJ62" s="144" t="str">
        <f>=ROUND(BH62+BC62,2)</f>
      </c>
      <c r="BM62" s="149" t="s">
        <v>273</v>
      </c>
      <c r="BN62" s="24"/>
      <c r="BO62" s="117" t="str">
        <f>=IFERROR(ROUND(BN62/FB_Kurs_10,2),0)</f>
      </c>
      <c r="BP62" s="116" t="str">
        <f>=ROUND(BN62+BI62,2)</f>
      </c>
      <c r="BQ62" s="144" t="str">
        <f>=ROUND(BO62+BJ62,2)</f>
      </c>
      <c r="BT62" s="149" t="s">
        <v>273</v>
      </c>
      <c r="BU62" s="24"/>
      <c r="BV62" s="117" t="str">
        <f>=IFERROR(ROUND(BU62/FB_Kurs_11,2),0)</f>
      </c>
      <c r="BW62" s="116" t="str">
        <f>=ROUND(BU62+BP62,2)</f>
      </c>
      <c r="BX62" s="144" t="str">
        <f>=ROUND(BV62+BQ62,2)</f>
      </c>
      <c r="CA62" s="149" t="s">
        <v>273</v>
      </c>
      <c r="CB62" s="24"/>
      <c r="CC62" s="117" t="str">
        <f>=IFERROR(ROUND(CB62/FB_Kurs_12,2),0)</f>
      </c>
      <c r="CD62" s="116" t="str">
        <f>=ROUND(CB62+BW62,2)</f>
      </c>
      <c r="CE62" s="144" t="str">
        <f>=ROUND(CC62+BX62,2)</f>
      </c>
      <c r="CH62" s="149" t="s">
        <v>273</v>
      </c>
      <c r="CI62" s="24"/>
      <c r="CJ62" s="117" t="str">
        <f>=IFERROR(ROUND(CI62/FB_Kurs_13,2),0)</f>
      </c>
      <c r="CK62" s="116" t="str">
        <f>=ROUND(CI62+CD62,2)</f>
      </c>
      <c r="CL62" s="144" t="str">
        <f>=ROUND(CJ62+CE62,2)</f>
      </c>
      <c r="CO62" s="149" t="s">
        <v>273</v>
      </c>
      <c r="CP62" s="24"/>
      <c r="CQ62" s="117" t="str">
        <f>=IFERROR(ROUND(CP62/FB_Kurs_14,2),0)</f>
      </c>
      <c r="CR62" s="116" t="str">
        <f>=ROUND(CP62+CK62,2)</f>
      </c>
      <c r="CS62" s="144" t="str">
        <f>=ROUND(CQ62+CL62,2)</f>
      </c>
      <c r="CV62" s="149" t="s">
        <v>273</v>
      </c>
      <c r="CW62" s="24"/>
      <c r="CX62" s="117" t="str">
        <f>=IFERROR(ROUND(CW62/FB_Kurs_15,2),0)</f>
      </c>
      <c r="CY62" s="116" t="str">
        <f>=ROUND(CW62+CR62,2)</f>
      </c>
      <c r="CZ62" s="144" t="str">
        <f>=ROUND(CX62+CS62,2)</f>
      </c>
      <c r="DC62" s="149" t="s">
        <v>273</v>
      </c>
      <c r="DD62" s="24"/>
      <c r="DE62" s="117" t="str">
        <f>=IFERROR(ROUND(DD62/FB_Kurs_16,2),0)</f>
      </c>
      <c r="DF62" s="116" t="str">
        <f>=ROUND(DD62+CY62,2)</f>
      </c>
      <c r="DG62" s="144" t="str">
        <f>=ROUND(DE62+CZ62,2)</f>
      </c>
      <c r="DJ62" s="149" t="s">
        <v>273</v>
      </c>
      <c r="DK62" s="24"/>
      <c r="DL62" s="117" t="str">
        <f>=IFERROR(ROUND(DK62/FB_Kurs_17,2),0)</f>
      </c>
      <c r="DM62" s="116" t="str">
        <f>=ROUND(DK62+DF62,2)</f>
      </c>
      <c r="DN62" s="144" t="str">
        <f>=ROUND(DL62+DG62,2)</f>
      </c>
      <c r="DQ62" s="149" t="s">
        <v>273</v>
      </c>
      <c r="DR62" s="24"/>
      <c r="DS62" s="117" t="str">
        <f>=IFERROR(ROUND(DR62/FB_Kurs_18,2),0)</f>
      </c>
      <c r="DT62" s="116" t="str">
        <f>=ROUND(DR62+DM62,2)</f>
      </c>
      <c r="DU62" s="144" t="str">
        <f>=ROUND(DS62+DN62,2)</f>
      </c>
    </row>
    <row r="63">
      <c r="B63" s="149" t="s">
        <v>274</v>
      </c>
      <c r="C63" s="24"/>
      <c r="D63" s="117" t="str">
        <f>=IFERROR(ROUND(C63/FB_Kurs_1,2),0)</f>
      </c>
      <c r="E63" s="116" t="str">
        <f>=ROUND(C63,2)</f>
      </c>
      <c r="F63" s="144" t="str">
        <f>=ROUND(D63,2)</f>
      </c>
      <c r="I63" s="149" t="s">
        <v>274</v>
      </c>
      <c r="J63" s="24"/>
      <c r="K63" s="117" t="str">
        <f>=IFERROR(ROUND(J63/FB_Kurs_2,2),0)</f>
      </c>
      <c r="L63" s="116" t="str">
        <f>=ROUND(J63+E63,2)</f>
      </c>
      <c r="M63" s="144" t="str">
        <f>=ROUND(K63+F63,2)</f>
      </c>
      <c r="P63" s="149" t="s">
        <v>274</v>
      </c>
      <c r="Q63" s="24"/>
      <c r="R63" s="117" t="str">
        <f>=IFERROR(ROUND(Q63/FB_Kurs_3,2),0)</f>
      </c>
      <c r="S63" s="116" t="str">
        <f>=ROUND(Q63+L63,2)</f>
      </c>
      <c r="T63" s="144" t="str">
        <f>=ROUND(R63+M63,2)</f>
      </c>
      <c r="W63" s="149" t="s">
        <v>274</v>
      </c>
      <c r="X63" s="24"/>
      <c r="Y63" s="117" t="str">
        <f>=IFERROR(ROUND(X63/FB_Kurs_4,2),0)</f>
      </c>
      <c r="Z63" s="116" t="str">
        <f>=ROUND(X63+S63,2)</f>
      </c>
      <c r="AA63" s="144" t="str">
        <f>=ROUND(Y63+T63,2)</f>
      </c>
      <c r="AD63" s="149" t="s">
        <v>274</v>
      </c>
      <c r="AE63" s="24"/>
      <c r="AF63" s="117" t="str">
        <f>=IFERROR(ROUND(AE63/FB_Kurs_5,2),0)</f>
      </c>
      <c r="AG63" s="116" t="str">
        <f>=ROUND(AE63+Z63,2)</f>
      </c>
      <c r="AH63" s="144" t="str">
        <f>=ROUND(AF63+AA63,2)</f>
      </c>
      <c r="AK63" s="149" t="s">
        <v>274</v>
      </c>
      <c r="AL63" s="24"/>
      <c r="AM63" s="117" t="str">
        <f>=IFERROR(ROUND(AL63/FB_Kurs_6,2),0)</f>
      </c>
      <c r="AN63" s="116" t="str">
        <f>=ROUND(AL63+AG63,2)</f>
      </c>
      <c r="AO63" s="144" t="str">
        <f>=ROUND(AM63+AH63,2)</f>
      </c>
      <c r="AR63" s="149" t="s">
        <v>274</v>
      </c>
      <c r="AS63" s="24"/>
      <c r="AT63" s="117" t="str">
        <f>=IFERROR(ROUND(AS63/FB_Kurs_7,2),0)</f>
      </c>
      <c r="AU63" s="116" t="str">
        <f>=ROUND(AS63+AN63,2)</f>
      </c>
      <c r="AV63" s="144" t="str">
        <f>=ROUND(AT63+AO63,2)</f>
      </c>
      <c r="AY63" s="149" t="s">
        <v>274</v>
      </c>
      <c r="AZ63" s="24"/>
      <c r="BA63" s="117" t="str">
        <f>=IFERROR(ROUND(AZ63/FB_Kurs_8,2),0)</f>
      </c>
      <c r="BB63" s="116" t="str">
        <f>=ROUND(AZ63+AU63,2)</f>
      </c>
      <c r="BC63" s="144" t="str">
        <f>=ROUND(BA63+AV63,2)</f>
      </c>
      <c r="BF63" s="149" t="s">
        <v>274</v>
      </c>
      <c r="BG63" s="24"/>
      <c r="BH63" s="117" t="str">
        <f>=IFERROR(ROUND(BG63/FB_Kurs_9,2),0)</f>
      </c>
      <c r="BI63" s="116" t="str">
        <f>=ROUND(BG63+BB63,2)</f>
      </c>
      <c r="BJ63" s="144" t="str">
        <f>=ROUND(BH63+BC63,2)</f>
      </c>
      <c r="BM63" s="149" t="s">
        <v>274</v>
      </c>
      <c r="BN63" s="24"/>
      <c r="BO63" s="117" t="str">
        <f>=IFERROR(ROUND(BN63/FB_Kurs_10,2),0)</f>
      </c>
      <c r="BP63" s="116" t="str">
        <f>=ROUND(BN63+BI63,2)</f>
      </c>
      <c r="BQ63" s="144" t="str">
        <f>=ROUND(BO63+BJ63,2)</f>
      </c>
      <c r="BT63" s="149" t="s">
        <v>274</v>
      </c>
      <c r="BU63" s="24"/>
      <c r="BV63" s="117" t="str">
        <f>=IFERROR(ROUND(BU63/FB_Kurs_11,2),0)</f>
      </c>
      <c r="BW63" s="116" t="str">
        <f>=ROUND(BU63+BP63,2)</f>
      </c>
      <c r="BX63" s="144" t="str">
        <f>=ROUND(BV63+BQ63,2)</f>
      </c>
      <c r="CA63" s="149" t="s">
        <v>274</v>
      </c>
      <c r="CB63" s="24"/>
      <c r="CC63" s="117" t="str">
        <f>=IFERROR(ROUND(CB63/FB_Kurs_12,2),0)</f>
      </c>
      <c r="CD63" s="116" t="str">
        <f>=ROUND(CB63+BW63,2)</f>
      </c>
      <c r="CE63" s="144" t="str">
        <f>=ROUND(CC63+BX63,2)</f>
      </c>
      <c r="CH63" s="149" t="s">
        <v>274</v>
      </c>
      <c r="CI63" s="24"/>
      <c r="CJ63" s="117" t="str">
        <f>=IFERROR(ROUND(CI63/FB_Kurs_13,2),0)</f>
      </c>
      <c r="CK63" s="116" t="str">
        <f>=ROUND(CI63+CD63,2)</f>
      </c>
      <c r="CL63" s="144" t="str">
        <f>=ROUND(CJ63+CE63,2)</f>
      </c>
      <c r="CO63" s="149" t="s">
        <v>274</v>
      </c>
      <c r="CP63" s="24"/>
      <c r="CQ63" s="117" t="str">
        <f>=IFERROR(ROUND(CP63/FB_Kurs_14,2),0)</f>
      </c>
      <c r="CR63" s="116" t="str">
        <f>=ROUND(CP63+CK63,2)</f>
      </c>
      <c r="CS63" s="144" t="str">
        <f>=ROUND(CQ63+CL63,2)</f>
      </c>
      <c r="CV63" s="149" t="s">
        <v>274</v>
      </c>
      <c r="CW63" s="24"/>
      <c r="CX63" s="117" t="str">
        <f>=IFERROR(ROUND(CW63/FB_Kurs_15,2),0)</f>
      </c>
      <c r="CY63" s="116" t="str">
        <f>=ROUND(CW63+CR63,2)</f>
      </c>
      <c r="CZ63" s="144" t="str">
        <f>=ROUND(CX63+CS63,2)</f>
      </c>
      <c r="DC63" s="149" t="s">
        <v>274</v>
      </c>
      <c r="DD63" s="24"/>
      <c r="DE63" s="117" t="str">
        <f>=IFERROR(ROUND(DD63/FB_Kurs_16,2),0)</f>
      </c>
      <c r="DF63" s="116" t="str">
        <f>=ROUND(DD63+CY63,2)</f>
      </c>
      <c r="DG63" s="144" t="str">
        <f>=ROUND(DE63+CZ63,2)</f>
      </c>
      <c r="DJ63" s="149" t="s">
        <v>274</v>
      </c>
      <c r="DK63" s="24"/>
      <c r="DL63" s="117" t="str">
        <f>=IFERROR(ROUND(DK63/FB_Kurs_17,2),0)</f>
      </c>
      <c r="DM63" s="116" t="str">
        <f>=ROUND(DK63+DF63,2)</f>
      </c>
      <c r="DN63" s="144" t="str">
        <f>=ROUND(DL63+DG63,2)</f>
      </c>
      <c r="DQ63" s="149" t="s">
        <v>274</v>
      </c>
      <c r="DR63" s="24"/>
      <c r="DS63" s="117" t="str">
        <f>=IFERROR(ROUND(DR63/FB_Kurs_18,2),0)</f>
      </c>
      <c r="DT63" s="116" t="str">
        <f>=ROUND(DR63+DM63,2)</f>
      </c>
      <c r="DU63" s="144" t="str">
        <f>=ROUND(DS63+DN63,2)</f>
      </c>
    </row>
    <row r="64">
      <c r="B64" s="149" t="s">
        <v>275</v>
      </c>
      <c r="C64" s="24"/>
      <c r="D64" s="117" t="str">
        <f>=IFERROR(ROUND(C64/FB_Kurs_1,2),0)</f>
      </c>
      <c r="E64" s="116" t="str">
        <f>=ROUND(C64,2)</f>
      </c>
      <c r="F64" s="144" t="str">
        <f>=ROUND(D64,2)</f>
      </c>
      <c r="I64" s="149" t="s">
        <v>275</v>
      </c>
      <c r="J64" s="24"/>
      <c r="K64" s="117" t="str">
        <f>=IFERROR(ROUND(J64/FB_Kurs_2,2),0)</f>
      </c>
      <c r="L64" s="116" t="str">
        <f>=ROUND(J64+E64,2)</f>
      </c>
      <c r="M64" s="144" t="str">
        <f>=ROUND(K64+F64,2)</f>
      </c>
      <c r="P64" s="149" t="s">
        <v>275</v>
      </c>
      <c r="Q64" s="24"/>
      <c r="R64" s="117" t="str">
        <f>=IFERROR(ROUND(Q64/FB_Kurs_3,2),0)</f>
      </c>
      <c r="S64" s="116" t="str">
        <f>=ROUND(Q64+L64,2)</f>
      </c>
      <c r="T64" s="144" t="str">
        <f>=ROUND(R64+M64,2)</f>
      </c>
      <c r="W64" s="149" t="s">
        <v>275</v>
      </c>
      <c r="X64" s="24"/>
      <c r="Y64" s="117" t="str">
        <f>=IFERROR(ROUND(X64/FB_Kurs_4,2),0)</f>
      </c>
      <c r="Z64" s="116" t="str">
        <f>=ROUND(X64+S64,2)</f>
      </c>
      <c r="AA64" s="144" t="str">
        <f>=ROUND(Y64+T64,2)</f>
      </c>
      <c r="AD64" s="149" t="s">
        <v>275</v>
      </c>
      <c r="AE64" s="24"/>
      <c r="AF64" s="117" t="str">
        <f>=IFERROR(ROUND(AE64/FB_Kurs_5,2),0)</f>
      </c>
      <c r="AG64" s="116" t="str">
        <f>=ROUND(AE64+Z64,2)</f>
      </c>
      <c r="AH64" s="144" t="str">
        <f>=ROUND(AF64+AA64,2)</f>
      </c>
      <c r="AK64" s="149" t="s">
        <v>275</v>
      </c>
      <c r="AL64" s="24"/>
      <c r="AM64" s="117" t="str">
        <f>=IFERROR(ROUND(AL64/FB_Kurs_6,2),0)</f>
      </c>
      <c r="AN64" s="116" t="str">
        <f>=ROUND(AL64+AG64,2)</f>
      </c>
      <c r="AO64" s="144" t="str">
        <f>=ROUND(AM64+AH64,2)</f>
      </c>
      <c r="AR64" s="149" t="s">
        <v>275</v>
      </c>
      <c r="AS64" s="24"/>
      <c r="AT64" s="117" t="str">
        <f>=IFERROR(ROUND(AS64/FB_Kurs_7,2),0)</f>
      </c>
      <c r="AU64" s="116" t="str">
        <f>=ROUND(AS64+AN64,2)</f>
      </c>
      <c r="AV64" s="144" t="str">
        <f>=ROUND(AT64+AO64,2)</f>
      </c>
      <c r="AY64" s="149" t="s">
        <v>275</v>
      </c>
      <c r="AZ64" s="24"/>
      <c r="BA64" s="117" t="str">
        <f>=IFERROR(ROUND(AZ64/FB_Kurs_8,2),0)</f>
      </c>
      <c r="BB64" s="116" t="str">
        <f>=ROUND(AZ64+AU64,2)</f>
      </c>
      <c r="BC64" s="144" t="str">
        <f>=ROUND(BA64+AV64,2)</f>
      </c>
      <c r="BF64" s="149" t="s">
        <v>275</v>
      </c>
      <c r="BG64" s="24"/>
      <c r="BH64" s="117" t="str">
        <f>=IFERROR(ROUND(BG64/FB_Kurs_9,2),0)</f>
      </c>
      <c r="BI64" s="116" t="str">
        <f>=ROUND(BG64+BB64,2)</f>
      </c>
      <c r="BJ64" s="144" t="str">
        <f>=ROUND(BH64+BC64,2)</f>
      </c>
      <c r="BM64" s="149" t="s">
        <v>275</v>
      </c>
      <c r="BN64" s="24"/>
      <c r="BO64" s="117" t="str">
        <f>=IFERROR(ROUND(BN64/FB_Kurs_10,2),0)</f>
      </c>
      <c r="BP64" s="116" t="str">
        <f>=ROUND(BN64+BI64,2)</f>
      </c>
      <c r="BQ64" s="144" t="str">
        <f>=ROUND(BO64+BJ64,2)</f>
      </c>
      <c r="BT64" s="149" t="s">
        <v>275</v>
      </c>
      <c r="BU64" s="24"/>
      <c r="BV64" s="117" t="str">
        <f>=IFERROR(ROUND(BU64/FB_Kurs_11,2),0)</f>
      </c>
      <c r="BW64" s="116" t="str">
        <f>=ROUND(BU64+BP64,2)</f>
      </c>
      <c r="BX64" s="144" t="str">
        <f>=ROUND(BV64+BQ64,2)</f>
      </c>
      <c r="CA64" s="149" t="s">
        <v>275</v>
      </c>
      <c r="CB64" s="24"/>
      <c r="CC64" s="117" t="str">
        <f>=IFERROR(ROUND(CB64/FB_Kurs_12,2),0)</f>
      </c>
      <c r="CD64" s="116" t="str">
        <f>=ROUND(CB64+BW64,2)</f>
      </c>
      <c r="CE64" s="144" t="str">
        <f>=ROUND(CC64+BX64,2)</f>
      </c>
      <c r="CH64" s="149" t="s">
        <v>275</v>
      </c>
      <c r="CI64" s="24"/>
      <c r="CJ64" s="117" t="str">
        <f>=IFERROR(ROUND(CI64/FB_Kurs_13,2),0)</f>
      </c>
      <c r="CK64" s="116" t="str">
        <f>=ROUND(CI64+CD64,2)</f>
      </c>
      <c r="CL64" s="144" t="str">
        <f>=ROUND(CJ64+CE64,2)</f>
      </c>
      <c r="CO64" s="149" t="s">
        <v>275</v>
      </c>
      <c r="CP64" s="24"/>
      <c r="CQ64" s="117" t="str">
        <f>=IFERROR(ROUND(CP64/FB_Kurs_14,2),0)</f>
      </c>
      <c r="CR64" s="116" t="str">
        <f>=ROUND(CP64+CK64,2)</f>
      </c>
      <c r="CS64" s="144" t="str">
        <f>=ROUND(CQ64+CL64,2)</f>
      </c>
      <c r="CV64" s="149" t="s">
        <v>275</v>
      </c>
      <c r="CW64" s="24"/>
      <c r="CX64" s="117" t="str">
        <f>=IFERROR(ROUND(CW64/FB_Kurs_15,2),0)</f>
      </c>
      <c r="CY64" s="116" t="str">
        <f>=ROUND(CW64+CR64,2)</f>
      </c>
      <c r="CZ64" s="144" t="str">
        <f>=ROUND(CX64+CS64,2)</f>
      </c>
      <c r="DC64" s="149" t="s">
        <v>275</v>
      </c>
      <c r="DD64" s="24"/>
      <c r="DE64" s="117" t="str">
        <f>=IFERROR(ROUND(DD64/FB_Kurs_16,2),0)</f>
      </c>
      <c r="DF64" s="116" t="str">
        <f>=ROUND(DD64+CY64,2)</f>
      </c>
      <c r="DG64" s="144" t="str">
        <f>=ROUND(DE64+CZ64,2)</f>
      </c>
      <c r="DJ64" s="149" t="s">
        <v>275</v>
      </c>
      <c r="DK64" s="24"/>
      <c r="DL64" s="117" t="str">
        <f>=IFERROR(ROUND(DK64/FB_Kurs_17,2),0)</f>
      </c>
      <c r="DM64" s="116" t="str">
        <f>=ROUND(DK64+DF64,2)</f>
      </c>
      <c r="DN64" s="144" t="str">
        <f>=ROUND(DL64+DG64,2)</f>
      </c>
      <c r="DQ64" s="149" t="s">
        <v>275</v>
      </c>
      <c r="DR64" s="24"/>
      <c r="DS64" s="117" t="str">
        <f>=IFERROR(ROUND(DR64/FB_Kurs_18,2),0)</f>
      </c>
      <c r="DT64" s="116" t="str">
        <f>=ROUND(DR64+DM64,2)</f>
      </c>
      <c r="DU64" s="144" t="str">
        <f>=ROUND(DS64+DN64,2)</f>
      </c>
    </row>
    <row r="65">
      <c r="B65" s="149" t="s">
        <v>276</v>
      </c>
      <c r="C65" s="24"/>
      <c r="D65" s="117" t="str">
        <f>=IFERROR(ROUND(C65/FB_Kurs_1,2),0)</f>
      </c>
      <c r="E65" s="116" t="str">
        <f>=ROUND(C65,2)</f>
      </c>
      <c r="F65" s="144" t="str">
        <f>=ROUND(D65,2)</f>
      </c>
      <c r="I65" s="149" t="s">
        <v>276</v>
      </c>
      <c r="J65" s="24"/>
      <c r="K65" s="117" t="str">
        <f>=IFERROR(ROUND(J65/FB_Kurs_2,2),0)</f>
      </c>
      <c r="L65" s="116" t="str">
        <f>=ROUND(J65+E65,2)</f>
      </c>
      <c r="M65" s="144" t="str">
        <f>=ROUND(K65+F65,2)</f>
      </c>
      <c r="P65" s="149" t="s">
        <v>276</v>
      </c>
      <c r="Q65" s="24"/>
      <c r="R65" s="117" t="str">
        <f>=IFERROR(ROUND(Q65/FB_Kurs_3,2),0)</f>
      </c>
      <c r="S65" s="116" t="str">
        <f>=ROUND(Q65+L65,2)</f>
      </c>
      <c r="T65" s="144" t="str">
        <f>=ROUND(R65+M65,2)</f>
      </c>
      <c r="W65" s="149" t="s">
        <v>276</v>
      </c>
      <c r="X65" s="24"/>
      <c r="Y65" s="117" t="str">
        <f>=IFERROR(ROUND(X65/FB_Kurs_4,2),0)</f>
      </c>
      <c r="Z65" s="116" t="str">
        <f>=ROUND(X65+S65,2)</f>
      </c>
      <c r="AA65" s="144" t="str">
        <f>=ROUND(Y65+T65,2)</f>
      </c>
      <c r="AD65" s="149" t="s">
        <v>276</v>
      </c>
      <c r="AE65" s="24"/>
      <c r="AF65" s="117" t="str">
        <f>=IFERROR(ROUND(AE65/FB_Kurs_5,2),0)</f>
      </c>
      <c r="AG65" s="116" t="str">
        <f>=ROUND(AE65+Z65,2)</f>
      </c>
      <c r="AH65" s="144" t="str">
        <f>=ROUND(AF65+AA65,2)</f>
      </c>
      <c r="AK65" s="149" t="s">
        <v>276</v>
      </c>
      <c r="AL65" s="24"/>
      <c r="AM65" s="117" t="str">
        <f>=IFERROR(ROUND(AL65/FB_Kurs_6,2),0)</f>
      </c>
      <c r="AN65" s="116" t="str">
        <f>=ROUND(AL65+AG65,2)</f>
      </c>
      <c r="AO65" s="144" t="str">
        <f>=ROUND(AM65+AH65,2)</f>
      </c>
      <c r="AR65" s="149" t="s">
        <v>276</v>
      </c>
      <c r="AS65" s="24"/>
      <c r="AT65" s="117" t="str">
        <f>=IFERROR(ROUND(AS65/FB_Kurs_7,2),0)</f>
      </c>
      <c r="AU65" s="116" t="str">
        <f>=ROUND(AS65+AN65,2)</f>
      </c>
      <c r="AV65" s="144" t="str">
        <f>=ROUND(AT65+AO65,2)</f>
      </c>
      <c r="AY65" s="149" t="s">
        <v>276</v>
      </c>
      <c r="AZ65" s="24"/>
      <c r="BA65" s="117" t="str">
        <f>=IFERROR(ROUND(AZ65/FB_Kurs_8,2),0)</f>
      </c>
      <c r="BB65" s="116" t="str">
        <f>=ROUND(AZ65+AU65,2)</f>
      </c>
      <c r="BC65" s="144" t="str">
        <f>=ROUND(BA65+AV65,2)</f>
      </c>
      <c r="BF65" s="149" t="s">
        <v>276</v>
      </c>
      <c r="BG65" s="24"/>
      <c r="BH65" s="117" t="str">
        <f>=IFERROR(ROUND(BG65/FB_Kurs_9,2),0)</f>
      </c>
      <c r="BI65" s="116" t="str">
        <f>=ROUND(BG65+BB65,2)</f>
      </c>
      <c r="BJ65" s="144" t="str">
        <f>=ROUND(BH65+BC65,2)</f>
      </c>
      <c r="BM65" s="149" t="s">
        <v>276</v>
      </c>
      <c r="BN65" s="24"/>
      <c r="BO65" s="117" t="str">
        <f>=IFERROR(ROUND(BN65/FB_Kurs_10,2),0)</f>
      </c>
      <c r="BP65" s="116" t="str">
        <f>=ROUND(BN65+BI65,2)</f>
      </c>
      <c r="BQ65" s="144" t="str">
        <f>=ROUND(BO65+BJ65,2)</f>
      </c>
      <c r="BT65" s="149" t="s">
        <v>276</v>
      </c>
      <c r="BU65" s="24"/>
      <c r="BV65" s="117" t="str">
        <f>=IFERROR(ROUND(BU65/FB_Kurs_11,2),0)</f>
      </c>
      <c r="BW65" s="116" t="str">
        <f>=ROUND(BU65+BP65,2)</f>
      </c>
      <c r="BX65" s="144" t="str">
        <f>=ROUND(BV65+BQ65,2)</f>
      </c>
      <c r="CA65" s="149" t="s">
        <v>276</v>
      </c>
      <c r="CB65" s="24"/>
      <c r="CC65" s="117" t="str">
        <f>=IFERROR(ROUND(CB65/FB_Kurs_12,2),0)</f>
      </c>
      <c r="CD65" s="116" t="str">
        <f>=ROUND(CB65+BW65,2)</f>
      </c>
      <c r="CE65" s="144" t="str">
        <f>=ROUND(CC65+BX65,2)</f>
      </c>
      <c r="CH65" s="149" t="s">
        <v>276</v>
      </c>
      <c r="CI65" s="24"/>
      <c r="CJ65" s="117" t="str">
        <f>=IFERROR(ROUND(CI65/FB_Kurs_13,2),0)</f>
      </c>
      <c r="CK65" s="116" t="str">
        <f>=ROUND(CI65+CD65,2)</f>
      </c>
      <c r="CL65" s="144" t="str">
        <f>=ROUND(CJ65+CE65,2)</f>
      </c>
      <c r="CO65" s="149" t="s">
        <v>276</v>
      </c>
      <c r="CP65" s="24"/>
      <c r="CQ65" s="117" t="str">
        <f>=IFERROR(ROUND(CP65/FB_Kurs_14,2),0)</f>
      </c>
      <c r="CR65" s="116" t="str">
        <f>=ROUND(CP65+CK65,2)</f>
      </c>
      <c r="CS65" s="144" t="str">
        <f>=ROUND(CQ65+CL65,2)</f>
      </c>
      <c r="CV65" s="149" t="s">
        <v>276</v>
      </c>
      <c r="CW65" s="24"/>
      <c r="CX65" s="117" t="str">
        <f>=IFERROR(ROUND(CW65/FB_Kurs_15,2),0)</f>
      </c>
      <c r="CY65" s="116" t="str">
        <f>=ROUND(CW65+CR65,2)</f>
      </c>
      <c r="CZ65" s="144" t="str">
        <f>=ROUND(CX65+CS65,2)</f>
      </c>
      <c r="DC65" s="149" t="s">
        <v>276</v>
      </c>
      <c r="DD65" s="24"/>
      <c r="DE65" s="117" t="str">
        <f>=IFERROR(ROUND(DD65/FB_Kurs_16,2),0)</f>
      </c>
      <c r="DF65" s="116" t="str">
        <f>=ROUND(DD65+CY65,2)</f>
      </c>
      <c r="DG65" s="144" t="str">
        <f>=ROUND(DE65+CZ65,2)</f>
      </c>
      <c r="DJ65" s="149" t="s">
        <v>276</v>
      </c>
      <c r="DK65" s="24"/>
      <c r="DL65" s="117" t="str">
        <f>=IFERROR(ROUND(DK65/FB_Kurs_17,2),0)</f>
      </c>
      <c r="DM65" s="116" t="str">
        <f>=ROUND(DK65+DF65,2)</f>
      </c>
      <c r="DN65" s="144" t="str">
        <f>=ROUND(DL65+DG65,2)</f>
      </c>
      <c r="DQ65" s="149" t="s">
        <v>276</v>
      </c>
      <c r="DR65" s="24"/>
      <c r="DS65" s="117" t="str">
        <f>=IFERROR(ROUND(DR65/FB_Kurs_18,2),0)</f>
      </c>
      <c r="DT65" s="116" t="str">
        <f>=ROUND(DR65+DM65,2)</f>
      </c>
      <c r="DU65" s="144" t="str">
        <f>=ROUND(DS65+DN65,2)</f>
      </c>
    </row>
    <row r="66">
      <c r="B66" s="149" t="s">
        <v>277</v>
      </c>
      <c r="C66" s="24"/>
      <c r="D66" s="117" t="str">
        <f>=IFERROR(ROUND(C66/FB_Kurs_1,2),0)</f>
      </c>
      <c r="E66" s="116" t="str">
        <f>=ROUND(C66,2)</f>
      </c>
      <c r="F66" s="144" t="str">
        <f>=ROUND(D66,2)</f>
      </c>
      <c r="I66" s="149" t="s">
        <v>277</v>
      </c>
      <c r="J66" s="24"/>
      <c r="K66" s="117" t="str">
        <f>=IFERROR(ROUND(J66/FB_Kurs_2,2),0)</f>
      </c>
      <c r="L66" s="116" t="str">
        <f>=ROUND(J66+E66,2)</f>
      </c>
      <c r="M66" s="144" t="str">
        <f>=ROUND(K66+F66,2)</f>
      </c>
      <c r="P66" s="149" t="s">
        <v>277</v>
      </c>
      <c r="Q66" s="24"/>
      <c r="R66" s="117" t="str">
        <f>=IFERROR(ROUND(Q66/FB_Kurs_3,2),0)</f>
      </c>
      <c r="S66" s="116" t="str">
        <f>=ROUND(Q66+L66,2)</f>
      </c>
      <c r="T66" s="144" t="str">
        <f>=ROUND(R66+M66,2)</f>
      </c>
      <c r="W66" s="149" t="s">
        <v>277</v>
      </c>
      <c r="X66" s="24"/>
      <c r="Y66" s="117" t="str">
        <f>=IFERROR(ROUND(X66/FB_Kurs_4,2),0)</f>
      </c>
      <c r="Z66" s="116" t="str">
        <f>=ROUND(X66+S66,2)</f>
      </c>
      <c r="AA66" s="144" t="str">
        <f>=ROUND(Y66+T66,2)</f>
      </c>
      <c r="AD66" s="149" t="s">
        <v>277</v>
      </c>
      <c r="AE66" s="24"/>
      <c r="AF66" s="117" t="str">
        <f>=IFERROR(ROUND(AE66/FB_Kurs_5,2),0)</f>
      </c>
      <c r="AG66" s="116" t="str">
        <f>=ROUND(AE66+Z66,2)</f>
      </c>
      <c r="AH66" s="144" t="str">
        <f>=ROUND(AF66+AA66,2)</f>
      </c>
      <c r="AK66" s="149" t="s">
        <v>277</v>
      </c>
      <c r="AL66" s="24"/>
      <c r="AM66" s="117" t="str">
        <f>=IFERROR(ROUND(AL66/FB_Kurs_6,2),0)</f>
      </c>
      <c r="AN66" s="116" t="str">
        <f>=ROUND(AL66+AG66,2)</f>
      </c>
      <c r="AO66" s="144" t="str">
        <f>=ROUND(AM66+AH66,2)</f>
      </c>
      <c r="AR66" s="149" t="s">
        <v>277</v>
      </c>
      <c r="AS66" s="24"/>
      <c r="AT66" s="117" t="str">
        <f>=IFERROR(ROUND(AS66/FB_Kurs_7,2),0)</f>
      </c>
      <c r="AU66" s="116" t="str">
        <f>=ROUND(AS66+AN66,2)</f>
      </c>
      <c r="AV66" s="144" t="str">
        <f>=ROUND(AT66+AO66,2)</f>
      </c>
      <c r="AY66" s="149" t="s">
        <v>277</v>
      </c>
      <c r="AZ66" s="24"/>
      <c r="BA66" s="117" t="str">
        <f>=IFERROR(ROUND(AZ66/FB_Kurs_8,2),0)</f>
      </c>
      <c r="BB66" s="116" t="str">
        <f>=ROUND(AZ66+AU66,2)</f>
      </c>
      <c r="BC66" s="144" t="str">
        <f>=ROUND(BA66+AV66,2)</f>
      </c>
      <c r="BF66" s="149" t="s">
        <v>277</v>
      </c>
      <c r="BG66" s="24"/>
      <c r="BH66" s="117" t="str">
        <f>=IFERROR(ROUND(BG66/FB_Kurs_9,2),0)</f>
      </c>
      <c r="BI66" s="116" t="str">
        <f>=ROUND(BG66+BB66,2)</f>
      </c>
      <c r="BJ66" s="144" t="str">
        <f>=ROUND(BH66+BC66,2)</f>
      </c>
      <c r="BM66" s="149" t="s">
        <v>277</v>
      </c>
      <c r="BN66" s="24"/>
      <c r="BO66" s="117" t="str">
        <f>=IFERROR(ROUND(BN66/FB_Kurs_10,2),0)</f>
      </c>
      <c r="BP66" s="116" t="str">
        <f>=ROUND(BN66+BI66,2)</f>
      </c>
      <c r="BQ66" s="144" t="str">
        <f>=ROUND(BO66+BJ66,2)</f>
      </c>
      <c r="BT66" s="149" t="s">
        <v>277</v>
      </c>
      <c r="BU66" s="24"/>
      <c r="BV66" s="117" t="str">
        <f>=IFERROR(ROUND(BU66/FB_Kurs_11,2),0)</f>
      </c>
      <c r="BW66" s="116" t="str">
        <f>=ROUND(BU66+BP66,2)</f>
      </c>
      <c r="BX66" s="144" t="str">
        <f>=ROUND(BV66+BQ66,2)</f>
      </c>
      <c r="CA66" s="149" t="s">
        <v>277</v>
      </c>
      <c r="CB66" s="24"/>
      <c r="CC66" s="117" t="str">
        <f>=IFERROR(ROUND(CB66/FB_Kurs_12,2),0)</f>
      </c>
      <c r="CD66" s="116" t="str">
        <f>=ROUND(CB66+BW66,2)</f>
      </c>
      <c r="CE66" s="144" t="str">
        <f>=ROUND(CC66+BX66,2)</f>
      </c>
      <c r="CH66" s="149" t="s">
        <v>277</v>
      </c>
      <c r="CI66" s="24"/>
      <c r="CJ66" s="117" t="str">
        <f>=IFERROR(ROUND(CI66/FB_Kurs_13,2),0)</f>
      </c>
      <c r="CK66" s="116" t="str">
        <f>=ROUND(CI66+CD66,2)</f>
      </c>
      <c r="CL66" s="144" t="str">
        <f>=ROUND(CJ66+CE66,2)</f>
      </c>
      <c r="CO66" s="149" t="s">
        <v>277</v>
      </c>
      <c r="CP66" s="24"/>
      <c r="CQ66" s="117" t="str">
        <f>=IFERROR(ROUND(CP66/FB_Kurs_14,2),0)</f>
      </c>
      <c r="CR66" s="116" t="str">
        <f>=ROUND(CP66+CK66,2)</f>
      </c>
      <c r="CS66" s="144" t="str">
        <f>=ROUND(CQ66+CL66,2)</f>
      </c>
      <c r="CV66" s="149" t="s">
        <v>277</v>
      </c>
      <c r="CW66" s="24"/>
      <c r="CX66" s="117" t="str">
        <f>=IFERROR(ROUND(CW66/FB_Kurs_15,2),0)</f>
      </c>
      <c r="CY66" s="116" t="str">
        <f>=ROUND(CW66+CR66,2)</f>
      </c>
      <c r="CZ66" s="144" t="str">
        <f>=ROUND(CX66+CS66,2)</f>
      </c>
      <c r="DC66" s="149" t="s">
        <v>277</v>
      </c>
      <c r="DD66" s="24"/>
      <c r="DE66" s="117" t="str">
        <f>=IFERROR(ROUND(DD66/FB_Kurs_16,2),0)</f>
      </c>
      <c r="DF66" s="116" t="str">
        <f>=ROUND(DD66+CY66,2)</f>
      </c>
      <c r="DG66" s="144" t="str">
        <f>=ROUND(DE66+CZ66,2)</f>
      </c>
      <c r="DJ66" s="149" t="s">
        <v>277</v>
      </c>
      <c r="DK66" s="24"/>
      <c r="DL66" s="117" t="str">
        <f>=IFERROR(ROUND(DK66/FB_Kurs_17,2),0)</f>
      </c>
      <c r="DM66" s="116" t="str">
        <f>=ROUND(DK66+DF66,2)</f>
      </c>
      <c r="DN66" s="144" t="str">
        <f>=ROUND(DL66+DG66,2)</f>
      </c>
      <c r="DQ66" s="149" t="s">
        <v>277</v>
      </c>
      <c r="DR66" s="24"/>
      <c r="DS66" s="117" t="str">
        <f>=IFERROR(ROUND(DR66/FB_Kurs_18,2),0)</f>
      </c>
      <c r="DT66" s="116" t="str">
        <f>=ROUND(DR66+DM66,2)</f>
      </c>
      <c r="DU66" s="144" t="str">
        <f>=ROUND(DS66+DN66,2)</f>
      </c>
    </row>
    <row r="67">
      <c r="B67" s="149" t="s">
        <v>278</v>
      </c>
      <c r="C67" s="24"/>
      <c r="D67" s="117" t="str">
        <f>=IFERROR(ROUND(C67/FB_Kurs_1,2),0)</f>
      </c>
      <c r="E67" s="116" t="str">
        <f>=ROUND(C67,2)</f>
      </c>
      <c r="F67" s="144" t="str">
        <f>=ROUND(D67,2)</f>
      </c>
      <c r="I67" s="149" t="s">
        <v>278</v>
      </c>
      <c r="J67" s="24"/>
      <c r="K67" s="117" t="str">
        <f>=IFERROR(ROUND(J67/FB_Kurs_2,2),0)</f>
      </c>
      <c r="L67" s="116" t="str">
        <f>=ROUND(J67+E67,2)</f>
      </c>
      <c r="M67" s="144" t="str">
        <f>=ROUND(K67+F67,2)</f>
      </c>
      <c r="P67" s="149" t="s">
        <v>278</v>
      </c>
      <c r="Q67" s="24"/>
      <c r="R67" s="117" t="str">
        <f>=IFERROR(ROUND(Q67/FB_Kurs_3,2),0)</f>
      </c>
      <c r="S67" s="116" t="str">
        <f>=ROUND(Q67+L67,2)</f>
      </c>
      <c r="T67" s="144" t="str">
        <f>=ROUND(R67+M67,2)</f>
      </c>
      <c r="W67" s="149" t="s">
        <v>278</v>
      </c>
      <c r="X67" s="24"/>
      <c r="Y67" s="117" t="str">
        <f>=IFERROR(ROUND(X67/FB_Kurs_4,2),0)</f>
      </c>
      <c r="Z67" s="116" t="str">
        <f>=ROUND(X67+S67,2)</f>
      </c>
      <c r="AA67" s="144" t="str">
        <f>=ROUND(Y67+T67,2)</f>
      </c>
      <c r="AD67" s="149" t="s">
        <v>278</v>
      </c>
      <c r="AE67" s="24"/>
      <c r="AF67" s="117" t="str">
        <f>=IFERROR(ROUND(AE67/FB_Kurs_5,2),0)</f>
      </c>
      <c r="AG67" s="116" t="str">
        <f>=ROUND(AE67+Z67,2)</f>
      </c>
      <c r="AH67" s="144" t="str">
        <f>=ROUND(AF67+AA67,2)</f>
      </c>
      <c r="AK67" s="149" t="s">
        <v>278</v>
      </c>
      <c r="AL67" s="24"/>
      <c r="AM67" s="117" t="str">
        <f>=IFERROR(ROUND(AL67/FB_Kurs_6,2),0)</f>
      </c>
      <c r="AN67" s="116" t="str">
        <f>=ROUND(AL67+AG67,2)</f>
      </c>
      <c r="AO67" s="144" t="str">
        <f>=ROUND(AM67+AH67,2)</f>
      </c>
      <c r="AR67" s="149" t="s">
        <v>278</v>
      </c>
      <c r="AS67" s="24"/>
      <c r="AT67" s="117" t="str">
        <f>=IFERROR(ROUND(AS67/FB_Kurs_7,2),0)</f>
      </c>
      <c r="AU67" s="116" t="str">
        <f>=ROUND(AS67+AN67,2)</f>
      </c>
      <c r="AV67" s="144" t="str">
        <f>=ROUND(AT67+AO67,2)</f>
      </c>
      <c r="AY67" s="149" t="s">
        <v>278</v>
      </c>
      <c r="AZ67" s="24"/>
      <c r="BA67" s="117" t="str">
        <f>=IFERROR(ROUND(AZ67/FB_Kurs_8,2),0)</f>
      </c>
      <c r="BB67" s="116" t="str">
        <f>=ROUND(AZ67+AU67,2)</f>
      </c>
      <c r="BC67" s="144" t="str">
        <f>=ROUND(BA67+AV67,2)</f>
      </c>
      <c r="BF67" s="149" t="s">
        <v>278</v>
      </c>
      <c r="BG67" s="24"/>
      <c r="BH67" s="117" t="str">
        <f>=IFERROR(ROUND(BG67/FB_Kurs_9,2),0)</f>
      </c>
      <c r="BI67" s="116" t="str">
        <f>=ROUND(BG67+BB67,2)</f>
      </c>
      <c r="BJ67" s="144" t="str">
        <f>=ROUND(BH67+BC67,2)</f>
      </c>
      <c r="BM67" s="149" t="s">
        <v>278</v>
      </c>
      <c r="BN67" s="24"/>
      <c r="BO67" s="117" t="str">
        <f>=IFERROR(ROUND(BN67/FB_Kurs_10,2),0)</f>
      </c>
      <c r="BP67" s="116" t="str">
        <f>=ROUND(BN67+BI67,2)</f>
      </c>
      <c r="BQ67" s="144" t="str">
        <f>=ROUND(BO67+BJ67,2)</f>
      </c>
      <c r="BT67" s="149" t="s">
        <v>278</v>
      </c>
      <c r="BU67" s="24"/>
      <c r="BV67" s="117" t="str">
        <f>=IFERROR(ROUND(BU67/FB_Kurs_11,2),0)</f>
      </c>
      <c r="BW67" s="116" t="str">
        <f>=ROUND(BU67+BP67,2)</f>
      </c>
      <c r="BX67" s="144" t="str">
        <f>=ROUND(BV67+BQ67,2)</f>
      </c>
      <c r="CA67" s="149" t="s">
        <v>278</v>
      </c>
      <c r="CB67" s="24"/>
      <c r="CC67" s="117" t="str">
        <f>=IFERROR(ROUND(CB67/FB_Kurs_12,2),0)</f>
      </c>
      <c r="CD67" s="116" t="str">
        <f>=ROUND(CB67+BW67,2)</f>
      </c>
      <c r="CE67" s="144" t="str">
        <f>=ROUND(CC67+BX67,2)</f>
      </c>
      <c r="CH67" s="149" t="s">
        <v>278</v>
      </c>
      <c r="CI67" s="24"/>
      <c r="CJ67" s="117" t="str">
        <f>=IFERROR(ROUND(CI67/FB_Kurs_13,2),0)</f>
      </c>
      <c r="CK67" s="116" t="str">
        <f>=ROUND(CI67+CD67,2)</f>
      </c>
      <c r="CL67" s="144" t="str">
        <f>=ROUND(CJ67+CE67,2)</f>
      </c>
      <c r="CO67" s="149" t="s">
        <v>278</v>
      </c>
      <c r="CP67" s="24"/>
      <c r="CQ67" s="117" t="str">
        <f>=IFERROR(ROUND(CP67/FB_Kurs_14,2),0)</f>
      </c>
      <c r="CR67" s="116" t="str">
        <f>=ROUND(CP67+CK67,2)</f>
      </c>
      <c r="CS67" s="144" t="str">
        <f>=ROUND(CQ67+CL67,2)</f>
      </c>
      <c r="CV67" s="149" t="s">
        <v>278</v>
      </c>
      <c r="CW67" s="24"/>
      <c r="CX67" s="117" t="str">
        <f>=IFERROR(ROUND(CW67/FB_Kurs_15,2),0)</f>
      </c>
      <c r="CY67" s="116" t="str">
        <f>=ROUND(CW67+CR67,2)</f>
      </c>
      <c r="CZ67" s="144" t="str">
        <f>=ROUND(CX67+CS67,2)</f>
      </c>
      <c r="DC67" s="149" t="s">
        <v>278</v>
      </c>
      <c r="DD67" s="24"/>
      <c r="DE67" s="117" t="str">
        <f>=IFERROR(ROUND(DD67/FB_Kurs_16,2),0)</f>
      </c>
      <c r="DF67" s="116" t="str">
        <f>=ROUND(DD67+CY67,2)</f>
      </c>
      <c r="DG67" s="144" t="str">
        <f>=ROUND(DE67+CZ67,2)</f>
      </c>
      <c r="DJ67" s="149" t="s">
        <v>278</v>
      </c>
      <c r="DK67" s="24"/>
      <c r="DL67" s="117" t="str">
        <f>=IFERROR(ROUND(DK67/FB_Kurs_17,2),0)</f>
      </c>
      <c r="DM67" s="116" t="str">
        <f>=ROUND(DK67+DF67,2)</f>
      </c>
      <c r="DN67" s="144" t="str">
        <f>=ROUND(DL67+DG67,2)</f>
      </c>
      <c r="DQ67" s="149" t="s">
        <v>278</v>
      </c>
      <c r="DR67" s="24"/>
      <c r="DS67" s="117" t="str">
        <f>=IFERROR(ROUND(DR67/FB_Kurs_18,2),0)</f>
      </c>
      <c r="DT67" s="116" t="str">
        <f>=ROUND(DR67+DM67,2)</f>
      </c>
      <c r="DU67" s="144" t="str">
        <f>=ROUND(DS67+DN67,2)</f>
      </c>
    </row>
    <row r="68">
      <c r="B68" s="149" t="s">
        <v>279</v>
      </c>
      <c r="C68" s="24"/>
      <c r="D68" s="117" t="str">
        <f>=IFERROR(ROUND(C68/FB_Kurs_1,2),0)</f>
      </c>
      <c r="E68" s="116" t="str">
        <f>=ROUND(C68,2)</f>
      </c>
      <c r="F68" s="144" t="str">
        <f>=ROUND(D68,2)</f>
      </c>
      <c r="I68" s="149" t="s">
        <v>279</v>
      </c>
      <c r="J68" s="24"/>
      <c r="K68" s="117" t="str">
        <f>=IFERROR(ROUND(J68/FB_Kurs_2,2),0)</f>
      </c>
      <c r="L68" s="116" t="str">
        <f>=ROUND(J68+E68,2)</f>
      </c>
      <c r="M68" s="144" t="str">
        <f>=ROUND(K68+F68,2)</f>
      </c>
      <c r="P68" s="149" t="s">
        <v>279</v>
      </c>
      <c r="Q68" s="24"/>
      <c r="R68" s="117" t="str">
        <f>=IFERROR(ROUND(Q68/FB_Kurs_3,2),0)</f>
      </c>
      <c r="S68" s="116" t="str">
        <f>=ROUND(Q68+L68,2)</f>
      </c>
      <c r="T68" s="144" t="str">
        <f>=ROUND(R68+M68,2)</f>
      </c>
      <c r="W68" s="149" t="s">
        <v>279</v>
      </c>
      <c r="X68" s="24"/>
      <c r="Y68" s="117" t="str">
        <f>=IFERROR(ROUND(X68/FB_Kurs_4,2),0)</f>
      </c>
      <c r="Z68" s="116" t="str">
        <f>=ROUND(X68+S68,2)</f>
      </c>
      <c r="AA68" s="144" t="str">
        <f>=ROUND(Y68+T68,2)</f>
      </c>
      <c r="AD68" s="149" t="s">
        <v>279</v>
      </c>
      <c r="AE68" s="24"/>
      <c r="AF68" s="117" t="str">
        <f>=IFERROR(ROUND(AE68/FB_Kurs_5,2),0)</f>
      </c>
      <c r="AG68" s="116" t="str">
        <f>=ROUND(AE68+Z68,2)</f>
      </c>
      <c r="AH68" s="144" t="str">
        <f>=ROUND(AF68+AA68,2)</f>
      </c>
      <c r="AK68" s="149" t="s">
        <v>279</v>
      </c>
      <c r="AL68" s="24"/>
      <c r="AM68" s="117" t="str">
        <f>=IFERROR(ROUND(AL68/FB_Kurs_6,2),0)</f>
      </c>
      <c r="AN68" s="116" t="str">
        <f>=ROUND(AL68+AG68,2)</f>
      </c>
      <c r="AO68" s="144" t="str">
        <f>=ROUND(AM68+AH68,2)</f>
      </c>
      <c r="AR68" s="149" t="s">
        <v>279</v>
      </c>
      <c r="AS68" s="24"/>
      <c r="AT68" s="117" t="str">
        <f>=IFERROR(ROUND(AS68/FB_Kurs_7,2),0)</f>
      </c>
      <c r="AU68" s="116" t="str">
        <f>=ROUND(AS68+AN68,2)</f>
      </c>
      <c r="AV68" s="144" t="str">
        <f>=ROUND(AT68+AO68,2)</f>
      </c>
      <c r="AY68" s="149" t="s">
        <v>279</v>
      </c>
      <c r="AZ68" s="24"/>
      <c r="BA68" s="117" t="str">
        <f>=IFERROR(ROUND(AZ68/FB_Kurs_8,2),0)</f>
      </c>
      <c r="BB68" s="116" t="str">
        <f>=ROUND(AZ68+AU68,2)</f>
      </c>
      <c r="BC68" s="144" t="str">
        <f>=ROUND(BA68+AV68,2)</f>
      </c>
      <c r="BF68" s="149" t="s">
        <v>279</v>
      </c>
      <c r="BG68" s="24"/>
      <c r="BH68" s="117" t="str">
        <f>=IFERROR(ROUND(BG68/FB_Kurs_9,2),0)</f>
      </c>
      <c r="BI68" s="116" t="str">
        <f>=ROUND(BG68+BB68,2)</f>
      </c>
      <c r="BJ68" s="144" t="str">
        <f>=ROUND(BH68+BC68,2)</f>
      </c>
      <c r="BM68" s="149" t="s">
        <v>279</v>
      </c>
      <c r="BN68" s="24"/>
      <c r="BO68" s="117" t="str">
        <f>=IFERROR(ROUND(BN68/FB_Kurs_10,2),0)</f>
      </c>
      <c r="BP68" s="116" t="str">
        <f>=ROUND(BN68+BI68,2)</f>
      </c>
      <c r="BQ68" s="144" t="str">
        <f>=ROUND(BO68+BJ68,2)</f>
      </c>
      <c r="BT68" s="149" t="s">
        <v>279</v>
      </c>
      <c r="BU68" s="24"/>
      <c r="BV68" s="117" t="str">
        <f>=IFERROR(ROUND(BU68/FB_Kurs_11,2),0)</f>
      </c>
      <c r="BW68" s="116" t="str">
        <f>=ROUND(BU68+BP68,2)</f>
      </c>
      <c r="BX68" s="144" t="str">
        <f>=ROUND(BV68+BQ68,2)</f>
      </c>
      <c r="CA68" s="149" t="s">
        <v>279</v>
      </c>
      <c r="CB68" s="24"/>
      <c r="CC68" s="117" t="str">
        <f>=IFERROR(ROUND(CB68/FB_Kurs_12,2),0)</f>
      </c>
      <c r="CD68" s="116" t="str">
        <f>=ROUND(CB68+BW68,2)</f>
      </c>
      <c r="CE68" s="144" t="str">
        <f>=ROUND(CC68+BX68,2)</f>
      </c>
      <c r="CH68" s="149" t="s">
        <v>279</v>
      </c>
      <c r="CI68" s="24"/>
      <c r="CJ68" s="117" t="str">
        <f>=IFERROR(ROUND(CI68/FB_Kurs_13,2),0)</f>
      </c>
      <c r="CK68" s="116" t="str">
        <f>=ROUND(CI68+CD68,2)</f>
      </c>
      <c r="CL68" s="144" t="str">
        <f>=ROUND(CJ68+CE68,2)</f>
      </c>
      <c r="CO68" s="149" t="s">
        <v>279</v>
      </c>
      <c r="CP68" s="24"/>
      <c r="CQ68" s="117" t="str">
        <f>=IFERROR(ROUND(CP68/FB_Kurs_14,2),0)</f>
      </c>
      <c r="CR68" s="116" t="str">
        <f>=ROUND(CP68+CK68,2)</f>
      </c>
      <c r="CS68" s="144" t="str">
        <f>=ROUND(CQ68+CL68,2)</f>
      </c>
      <c r="CV68" s="149" t="s">
        <v>279</v>
      </c>
      <c r="CW68" s="24"/>
      <c r="CX68" s="117" t="str">
        <f>=IFERROR(ROUND(CW68/FB_Kurs_15,2),0)</f>
      </c>
      <c r="CY68" s="116" t="str">
        <f>=ROUND(CW68+CR68,2)</f>
      </c>
      <c r="CZ68" s="144" t="str">
        <f>=ROUND(CX68+CS68,2)</f>
      </c>
      <c r="DC68" s="149" t="s">
        <v>279</v>
      </c>
      <c r="DD68" s="24"/>
      <c r="DE68" s="117" t="str">
        <f>=IFERROR(ROUND(DD68/FB_Kurs_16,2),0)</f>
      </c>
      <c r="DF68" s="116" t="str">
        <f>=ROUND(DD68+CY68,2)</f>
      </c>
      <c r="DG68" s="144" t="str">
        <f>=ROUND(DE68+CZ68,2)</f>
      </c>
      <c r="DJ68" s="149" t="s">
        <v>279</v>
      </c>
      <c r="DK68" s="24"/>
      <c r="DL68" s="117" t="str">
        <f>=IFERROR(ROUND(DK68/FB_Kurs_17,2),0)</f>
      </c>
      <c r="DM68" s="116" t="str">
        <f>=ROUND(DK68+DF68,2)</f>
      </c>
      <c r="DN68" s="144" t="str">
        <f>=ROUND(DL68+DG68,2)</f>
      </c>
      <c r="DQ68" s="149" t="s">
        <v>279</v>
      </c>
      <c r="DR68" s="24"/>
      <c r="DS68" s="117" t="str">
        <f>=IFERROR(ROUND(DR68/FB_Kurs_18,2),0)</f>
      </c>
      <c r="DT68" s="116" t="str">
        <f>=ROUND(DR68+DM68,2)</f>
      </c>
      <c r="DU68" s="144" t="str">
        <f>=ROUND(DS68+DN68,2)</f>
      </c>
    </row>
    <row r="69">
      <c r="B69" s="149" t="s">
        <v>280</v>
      </c>
      <c r="C69" s="24"/>
      <c r="D69" s="117" t="str">
        <f>=IFERROR(ROUND(C69/FB_Kurs_1,2),0)</f>
      </c>
      <c r="E69" s="116" t="str">
        <f>=ROUND(C69,2)</f>
      </c>
      <c r="F69" s="144" t="str">
        <f>=ROUND(D69,2)</f>
      </c>
      <c r="I69" s="149" t="s">
        <v>280</v>
      </c>
      <c r="J69" s="24"/>
      <c r="K69" s="117" t="str">
        <f>=IFERROR(ROUND(J69/FB_Kurs_2,2),0)</f>
      </c>
      <c r="L69" s="116" t="str">
        <f>=ROUND(J69+E69,2)</f>
      </c>
      <c r="M69" s="144" t="str">
        <f>=ROUND(K69+F69,2)</f>
      </c>
      <c r="P69" s="149" t="s">
        <v>280</v>
      </c>
      <c r="Q69" s="24"/>
      <c r="R69" s="117" t="str">
        <f>=IFERROR(ROUND(Q69/FB_Kurs_3,2),0)</f>
      </c>
      <c r="S69" s="116" t="str">
        <f>=ROUND(Q69+L69,2)</f>
      </c>
      <c r="T69" s="144" t="str">
        <f>=ROUND(R69+M69,2)</f>
      </c>
      <c r="W69" s="149" t="s">
        <v>280</v>
      </c>
      <c r="X69" s="24"/>
      <c r="Y69" s="117" t="str">
        <f>=IFERROR(ROUND(X69/FB_Kurs_4,2),0)</f>
      </c>
      <c r="Z69" s="116" t="str">
        <f>=ROUND(X69+S69,2)</f>
      </c>
      <c r="AA69" s="144" t="str">
        <f>=ROUND(Y69+T69,2)</f>
      </c>
      <c r="AD69" s="149" t="s">
        <v>280</v>
      </c>
      <c r="AE69" s="24"/>
      <c r="AF69" s="117" t="str">
        <f>=IFERROR(ROUND(AE69/FB_Kurs_5,2),0)</f>
      </c>
      <c r="AG69" s="116" t="str">
        <f>=ROUND(AE69+Z69,2)</f>
      </c>
      <c r="AH69" s="144" t="str">
        <f>=ROUND(AF69+AA69,2)</f>
      </c>
      <c r="AK69" s="149" t="s">
        <v>280</v>
      </c>
      <c r="AL69" s="24"/>
      <c r="AM69" s="117" t="str">
        <f>=IFERROR(ROUND(AL69/FB_Kurs_6,2),0)</f>
      </c>
      <c r="AN69" s="116" t="str">
        <f>=ROUND(AL69+AG69,2)</f>
      </c>
      <c r="AO69" s="144" t="str">
        <f>=ROUND(AM69+AH69,2)</f>
      </c>
      <c r="AR69" s="149" t="s">
        <v>280</v>
      </c>
      <c r="AS69" s="24"/>
      <c r="AT69" s="117" t="str">
        <f>=IFERROR(ROUND(AS69/FB_Kurs_7,2),0)</f>
      </c>
      <c r="AU69" s="116" t="str">
        <f>=ROUND(AS69+AN69,2)</f>
      </c>
      <c r="AV69" s="144" t="str">
        <f>=ROUND(AT69+AO69,2)</f>
      </c>
      <c r="AY69" s="149" t="s">
        <v>280</v>
      </c>
      <c r="AZ69" s="24"/>
      <c r="BA69" s="117" t="str">
        <f>=IFERROR(ROUND(AZ69/FB_Kurs_8,2),0)</f>
      </c>
      <c r="BB69" s="116" t="str">
        <f>=ROUND(AZ69+AU69,2)</f>
      </c>
      <c r="BC69" s="144" t="str">
        <f>=ROUND(BA69+AV69,2)</f>
      </c>
      <c r="BF69" s="149" t="s">
        <v>280</v>
      </c>
      <c r="BG69" s="24"/>
      <c r="BH69" s="117" t="str">
        <f>=IFERROR(ROUND(BG69/FB_Kurs_9,2),0)</f>
      </c>
      <c r="BI69" s="116" t="str">
        <f>=ROUND(BG69+BB69,2)</f>
      </c>
      <c r="BJ69" s="144" t="str">
        <f>=ROUND(BH69+BC69,2)</f>
      </c>
      <c r="BM69" s="149" t="s">
        <v>280</v>
      </c>
      <c r="BN69" s="24"/>
      <c r="BO69" s="117" t="str">
        <f>=IFERROR(ROUND(BN69/FB_Kurs_10,2),0)</f>
      </c>
      <c r="BP69" s="116" t="str">
        <f>=ROUND(BN69+BI69,2)</f>
      </c>
      <c r="BQ69" s="144" t="str">
        <f>=ROUND(BO69+BJ69,2)</f>
      </c>
      <c r="BT69" s="149" t="s">
        <v>280</v>
      </c>
      <c r="BU69" s="24"/>
      <c r="BV69" s="117" t="str">
        <f>=IFERROR(ROUND(BU69/FB_Kurs_11,2),0)</f>
      </c>
      <c r="BW69" s="116" t="str">
        <f>=ROUND(BU69+BP69,2)</f>
      </c>
      <c r="BX69" s="144" t="str">
        <f>=ROUND(BV69+BQ69,2)</f>
      </c>
      <c r="CA69" s="149" t="s">
        <v>280</v>
      </c>
      <c r="CB69" s="24"/>
      <c r="CC69" s="117" t="str">
        <f>=IFERROR(ROUND(CB69/FB_Kurs_12,2),0)</f>
      </c>
      <c r="CD69" s="116" t="str">
        <f>=ROUND(CB69+BW69,2)</f>
      </c>
      <c r="CE69" s="144" t="str">
        <f>=ROUND(CC69+BX69,2)</f>
      </c>
      <c r="CH69" s="149" t="s">
        <v>280</v>
      </c>
      <c r="CI69" s="24"/>
      <c r="CJ69" s="117" t="str">
        <f>=IFERROR(ROUND(CI69/FB_Kurs_13,2),0)</f>
      </c>
      <c r="CK69" s="116" t="str">
        <f>=ROUND(CI69+CD69,2)</f>
      </c>
      <c r="CL69" s="144" t="str">
        <f>=ROUND(CJ69+CE69,2)</f>
      </c>
      <c r="CO69" s="149" t="s">
        <v>280</v>
      </c>
      <c r="CP69" s="24"/>
      <c r="CQ69" s="117" t="str">
        <f>=IFERROR(ROUND(CP69/FB_Kurs_14,2),0)</f>
      </c>
      <c r="CR69" s="116" t="str">
        <f>=ROUND(CP69+CK69,2)</f>
      </c>
      <c r="CS69" s="144" t="str">
        <f>=ROUND(CQ69+CL69,2)</f>
      </c>
      <c r="CV69" s="149" t="s">
        <v>280</v>
      </c>
      <c r="CW69" s="24"/>
      <c r="CX69" s="117" t="str">
        <f>=IFERROR(ROUND(CW69/FB_Kurs_15,2),0)</f>
      </c>
      <c r="CY69" s="116" t="str">
        <f>=ROUND(CW69+CR69,2)</f>
      </c>
      <c r="CZ69" s="144" t="str">
        <f>=ROUND(CX69+CS69,2)</f>
      </c>
      <c r="DC69" s="149" t="s">
        <v>280</v>
      </c>
      <c r="DD69" s="24"/>
      <c r="DE69" s="117" t="str">
        <f>=IFERROR(ROUND(DD69/FB_Kurs_16,2),0)</f>
      </c>
      <c r="DF69" s="116" t="str">
        <f>=ROUND(DD69+CY69,2)</f>
      </c>
      <c r="DG69" s="144" t="str">
        <f>=ROUND(DE69+CZ69,2)</f>
      </c>
      <c r="DJ69" s="149" t="s">
        <v>280</v>
      </c>
      <c r="DK69" s="24"/>
      <c r="DL69" s="117" t="str">
        <f>=IFERROR(ROUND(DK69/FB_Kurs_17,2),0)</f>
      </c>
      <c r="DM69" s="116" t="str">
        <f>=ROUND(DK69+DF69,2)</f>
      </c>
      <c r="DN69" s="144" t="str">
        <f>=ROUND(DL69+DG69,2)</f>
      </c>
      <c r="DQ69" s="149" t="s">
        <v>280</v>
      </c>
      <c r="DR69" s="24"/>
      <c r="DS69" s="117" t="str">
        <f>=IFERROR(ROUND(DR69/FB_Kurs_18,2),0)</f>
      </c>
      <c r="DT69" s="116" t="str">
        <f>=ROUND(DR69+DM69,2)</f>
      </c>
      <c r="DU69" s="144" t="str">
        <f>=ROUND(DS69+DN69,2)</f>
      </c>
    </row>
    <row r="70">
      <c r="B70" s="149" t="s">
        <v>281</v>
      </c>
      <c r="C70" s="24"/>
      <c r="D70" s="117" t="str">
        <f>=IFERROR(ROUND(C70/FB_Kurs_1,2),0)</f>
      </c>
      <c r="E70" s="116" t="str">
        <f>=ROUND(C70,2)</f>
      </c>
      <c r="F70" s="144" t="str">
        <f>=ROUND(D70,2)</f>
      </c>
      <c r="I70" s="149" t="s">
        <v>281</v>
      </c>
      <c r="J70" s="24"/>
      <c r="K70" s="117" t="str">
        <f>=IFERROR(ROUND(J70/FB_Kurs_2,2),0)</f>
      </c>
      <c r="L70" s="116" t="str">
        <f>=ROUND(J70+E70,2)</f>
      </c>
      <c r="M70" s="144" t="str">
        <f>=ROUND(K70+F70,2)</f>
      </c>
      <c r="P70" s="149" t="s">
        <v>281</v>
      </c>
      <c r="Q70" s="24"/>
      <c r="R70" s="117" t="str">
        <f>=IFERROR(ROUND(Q70/FB_Kurs_3,2),0)</f>
      </c>
      <c r="S70" s="116" t="str">
        <f>=ROUND(Q70+L70,2)</f>
      </c>
      <c r="T70" s="144" t="str">
        <f>=ROUND(R70+M70,2)</f>
      </c>
      <c r="W70" s="149" t="s">
        <v>281</v>
      </c>
      <c r="X70" s="24"/>
      <c r="Y70" s="117" t="str">
        <f>=IFERROR(ROUND(X70/FB_Kurs_4,2),0)</f>
      </c>
      <c r="Z70" s="116" t="str">
        <f>=ROUND(X70+S70,2)</f>
      </c>
      <c r="AA70" s="144" t="str">
        <f>=ROUND(Y70+T70,2)</f>
      </c>
      <c r="AD70" s="149" t="s">
        <v>281</v>
      </c>
      <c r="AE70" s="24"/>
      <c r="AF70" s="117" t="str">
        <f>=IFERROR(ROUND(AE70/FB_Kurs_5,2),0)</f>
      </c>
      <c r="AG70" s="116" t="str">
        <f>=ROUND(AE70+Z70,2)</f>
      </c>
      <c r="AH70" s="144" t="str">
        <f>=ROUND(AF70+AA70,2)</f>
      </c>
      <c r="AK70" s="149" t="s">
        <v>281</v>
      </c>
      <c r="AL70" s="24"/>
      <c r="AM70" s="117" t="str">
        <f>=IFERROR(ROUND(AL70/FB_Kurs_6,2),0)</f>
      </c>
      <c r="AN70" s="116" t="str">
        <f>=ROUND(AL70+AG70,2)</f>
      </c>
      <c r="AO70" s="144" t="str">
        <f>=ROUND(AM70+AH70,2)</f>
      </c>
      <c r="AR70" s="149" t="s">
        <v>281</v>
      </c>
      <c r="AS70" s="24"/>
      <c r="AT70" s="117" t="str">
        <f>=IFERROR(ROUND(AS70/FB_Kurs_7,2),0)</f>
      </c>
      <c r="AU70" s="116" t="str">
        <f>=ROUND(AS70+AN70,2)</f>
      </c>
      <c r="AV70" s="144" t="str">
        <f>=ROUND(AT70+AO70,2)</f>
      </c>
      <c r="AY70" s="149" t="s">
        <v>281</v>
      </c>
      <c r="AZ70" s="24"/>
      <c r="BA70" s="117" t="str">
        <f>=IFERROR(ROUND(AZ70/FB_Kurs_8,2),0)</f>
      </c>
      <c r="BB70" s="116" t="str">
        <f>=ROUND(AZ70+AU70,2)</f>
      </c>
      <c r="BC70" s="144" t="str">
        <f>=ROUND(BA70+AV70,2)</f>
      </c>
      <c r="BF70" s="149" t="s">
        <v>281</v>
      </c>
      <c r="BG70" s="24"/>
      <c r="BH70" s="117" t="str">
        <f>=IFERROR(ROUND(BG70/FB_Kurs_9,2),0)</f>
      </c>
      <c r="BI70" s="116" t="str">
        <f>=ROUND(BG70+BB70,2)</f>
      </c>
      <c r="BJ70" s="144" t="str">
        <f>=ROUND(BH70+BC70,2)</f>
      </c>
      <c r="BM70" s="149" t="s">
        <v>281</v>
      </c>
      <c r="BN70" s="24"/>
      <c r="BO70" s="117" t="str">
        <f>=IFERROR(ROUND(BN70/FB_Kurs_10,2),0)</f>
      </c>
      <c r="BP70" s="116" t="str">
        <f>=ROUND(BN70+BI70,2)</f>
      </c>
      <c r="BQ70" s="144" t="str">
        <f>=ROUND(BO70+BJ70,2)</f>
      </c>
      <c r="BT70" s="149" t="s">
        <v>281</v>
      </c>
      <c r="BU70" s="24"/>
      <c r="BV70" s="117" t="str">
        <f>=IFERROR(ROUND(BU70/FB_Kurs_11,2),0)</f>
      </c>
      <c r="BW70" s="116" t="str">
        <f>=ROUND(BU70+BP70,2)</f>
      </c>
      <c r="BX70" s="144" t="str">
        <f>=ROUND(BV70+BQ70,2)</f>
      </c>
      <c r="CA70" s="149" t="s">
        <v>281</v>
      </c>
      <c r="CB70" s="24"/>
      <c r="CC70" s="117" t="str">
        <f>=IFERROR(ROUND(CB70/FB_Kurs_12,2),0)</f>
      </c>
      <c r="CD70" s="116" t="str">
        <f>=ROUND(CB70+BW70,2)</f>
      </c>
      <c r="CE70" s="144" t="str">
        <f>=ROUND(CC70+BX70,2)</f>
      </c>
      <c r="CH70" s="149" t="s">
        <v>281</v>
      </c>
      <c r="CI70" s="24"/>
      <c r="CJ70" s="117" t="str">
        <f>=IFERROR(ROUND(CI70/FB_Kurs_13,2),0)</f>
      </c>
      <c r="CK70" s="116" t="str">
        <f>=ROUND(CI70+CD70,2)</f>
      </c>
      <c r="CL70" s="144" t="str">
        <f>=ROUND(CJ70+CE70,2)</f>
      </c>
      <c r="CO70" s="149" t="s">
        <v>281</v>
      </c>
      <c r="CP70" s="24"/>
      <c r="CQ70" s="117" t="str">
        <f>=IFERROR(ROUND(CP70/FB_Kurs_14,2),0)</f>
      </c>
      <c r="CR70" s="116" t="str">
        <f>=ROUND(CP70+CK70,2)</f>
      </c>
      <c r="CS70" s="144" t="str">
        <f>=ROUND(CQ70+CL70,2)</f>
      </c>
      <c r="CV70" s="149" t="s">
        <v>281</v>
      </c>
      <c r="CW70" s="24"/>
      <c r="CX70" s="117" t="str">
        <f>=IFERROR(ROUND(CW70/FB_Kurs_15,2),0)</f>
      </c>
      <c r="CY70" s="116" t="str">
        <f>=ROUND(CW70+CR70,2)</f>
      </c>
      <c r="CZ70" s="144" t="str">
        <f>=ROUND(CX70+CS70,2)</f>
      </c>
      <c r="DC70" s="149" t="s">
        <v>281</v>
      </c>
      <c r="DD70" s="24"/>
      <c r="DE70" s="117" t="str">
        <f>=IFERROR(ROUND(DD70/FB_Kurs_16,2),0)</f>
      </c>
      <c r="DF70" s="116" t="str">
        <f>=ROUND(DD70+CY70,2)</f>
      </c>
      <c r="DG70" s="144" t="str">
        <f>=ROUND(DE70+CZ70,2)</f>
      </c>
      <c r="DJ70" s="149" t="s">
        <v>281</v>
      </c>
      <c r="DK70" s="24"/>
      <c r="DL70" s="117" t="str">
        <f>=IFERROR(ROUND(DK70/FB_Kurs_17,2),0)</f>
      </c>
      <c r="DM70" s="116" t="str">
        <f>=ROUND(DK70+DF70,2)</f>
      </c>
      <c r="DN70" s="144" t="str">
        <f>=ROUND(DL70+DG70,2)</f>
      </c>
      <c r="DQ70" s="149" t="s">
        <v>281</v>
      </c>
      <c r="DR70" s="24"/>
      <c r="DS70" s="117" t="str">
        <f>=IFERROR(ROUND(DR70/FB_Kurs_18,2),0)</f>
      </c>
      <c r="DT70" s="116" t="str">
        <f>=ROUND(DR70+DM70,2)</f>
      </c>
      <c r="DU70" s="144" t="str">
        <f>=ROUND(DS70+DN70,2)</f>
      </c>
    </row>
    <row r="71">
      <c r="B71" s="149" t="s">
        <v>282</v>
      </c>
      <c r="C71" s="24"/>
      <c r="D71" s="117" t="str">
        <f>=IFERROR(ROUND(C71/FB_Kurs_1,2),0)</f>
      </c>
      <c r="E71" s="116" t="str">
        <f>=ROUND(C71,2)</f>
      </c>
      <c r="F71" s="144" t="str">
        <f>=ROUND(D71,2)</f>
      </c>
      <c r="I71" s="149" t="s">
        <v>282</v>
      </c>
      <c r="J71" s="24"/>
      <c r="K71" s="117" t="str">
        <f>=IFERROR(ROUND(J71/FB_Kurs_2,2),0)</f>
      </c>
      <c r="L71" s="116" t="str">
        <f>=ROUND(J71+E71,2)</f>
      </c>
      <c r="M71" s="144" t="str">
        <f>=ROUND(K71+F71,2)</f>
      </c>
      <c r="P71" s="149" t="s">
        <v>282</v>
      </c>
      <c r="Q71" s="24"/>
      <c r="R71" s="117" t="str">
        <f>=IFERROR(ROUND(Q71/FB_Kurs_3,2),0)</f>
      </c>
      <c r="S71" s="116" t="str">
        <f>=ROUND(Q71+L71,2)</f>
      </c>
      <c r="T71" s="144" t="str">
        <f>=ROUND(R71+M71,2)</f>
      </c>
      <c r="W71" s="149" t="s">
        <v>282</v>
      </c>
      <c r="X71" s="24"/>
      <c r="Y71" s="117" t="str">
        <f>=IFERROR(ROUND(X71/FB_Kurs_4,2),0)</f>
      </c>
      <c r="Z71" s="116" t="str">
        <f>=ROUND(X71+S71,2)</f>
      </c>
      <c r="AA71" s="144" t="str">
        <f>=ROUND(Y71+T71,2)</f>
      </c>
      <c r="AD71" s="149" t="s">
        <v>282</v>
      </c>
      <c r="AE71" s="24"/>
      <c r="AF71" s="117" t="str">
        <f>=IFERROR(ROUND(AE71/FB_Kurs_5,2),0)</f>
      </c>
      <c r="AG71" s="116" t="str">
        <f>=ROUND(AE71+Z71,2)</f>
      </c>
      <c r="AH71" s="144" t="str">
        <f>=ROUND(AF71+AA71,2)</f>
      </c>
      <c r="AK71" s="149" t="s">
        <v>282</v>
      </c>
      <c r="AL71" s="24"/>
      <c r="AM71" s="117" t="str">
        <f>=IFERROR(ROUND(AL71/FB_Kurs_6,2),0)</f>
      </c>
      <c r="AN71" s="116" t="str">
        <f>=ROUND(AL71+AG71,2)</f>
      </c>
      <c r="AO71" s="144" t="str">
        <f>=ROUND(AM71+AH71,2)</f>
      </c>
      <c r="AR71" s="149" t="s">
        <v>282</v>
      </c>
      <c r="AS71" s="24"/>
      <c r="AT71" s="117" t="str">
        <f>=IFERROR(ROUND(AS71/FB_Kurs_7,2),0)</f>
      </c>
      <c r="AU71" s="116" t="str">
        <f>=ROUND(AS71+AN71,2)</f>
      </c>
      <c r="AV71" s="144" t="str">
        <f>=ROUND(AT71+AO71,2)</f>
      </c>
      <c r="AY71" s="149" t="s">
        <v>282</v>
      </c>
      <c r="AZ71" s="24"/>
      <c r="BA71" s="117" t="str">
        <f>=IFERROR(ROUND(AZ71/FB_Kurs_8,2),0)</f>
      </c>
      <c r="BB71" s="116" t="str">
        <f>=ROUND(AZ71+AU71,2)</f>
      </c>
      <c r="BC71" s="144" t="str">
        <f>=ROUND(BA71+AV71,2)</f>
      </c>
      <c r="BF71" s="149" t="s">
        <v>282</v>
      </c>
      <c r="BG71" s="24"/>
      <c r="BH71" s="117" t="str">
        <f>=IFERROR(ROUND(BG71/FB_Kurs_9,2),0)</f>
      </c>
      <c r="BI71" s="116" t="str">
        <f>=ROUND(BG71+BB71,2)</f>
      </c>
      <c r="BJ71" s="144" t="str">
        <f>=ROUND(BH71+BC71,2)</f>
      </c>
      <c r="BM71" s="149" t="s">
        <v>282</v>
      </c>
      <c r="BN71" s="24"/>
      <c r="BO71" s="117" t="str">
        <f>=IFERROR(ROUND(BN71/FB_Kurs_10,2),0)</f>
      </c>
      <c r="BP71" s="116" t="str">
        <f>=ROUND(BN71+BI71,2)</f>
      </c>
      <c r="BQ71" s="144" t="str">
        <f>=ROUND(BO71+BJ71,2)</f>
      </c>
      <c r="BT71" s="149" t="s">
        <v>282</v>
      </c>
      <c r="BU71" s="24"/>
      <c r="BV71" s="117" t="str">
        <f>=IFERROR(ROUND(BU71/FB_Kurs_11,2),0)</f>
      </c>
      <c r="BW71" s="116" t="str">
        <f>=ROUND(BU71+BP71,2)</f>
      </c>
      <c r="BX71" s="144" t="str">
        <f>=ROUND(BV71+BQ71,2)</f>
      </c>
      <c r="CA71" s="149" t="s">
        <v>282</v>
      </c>
      <c r="CB71" s="24"/>
      <c r="CC71" s="117" t="str">
        <f>=IFERROR(ROUND(CB71/FB_Kurs_12,2),0)</f>
      </c>
      <c r="CD71" s="116" t="str">
        <f>=ROUND(CB71+BW71,2)</f>
      </c>
      <c r="CE71" s="144" t="str">
        <f>=ROUND(CC71+BX71,2)</f>
      </c>
      <c r="CH71" s="149" t="s">
        <v>282</v>
      </c>
      <c r="CI71" s="24"/>
      <c r="CJ71" s="117" t="str">
        <f>=IFERROR(ROUND(CI71/FB_Kurs_13,2),0)</f>
      </c>
      <c r="CK71" s="116" t="str">
        <f>=ROUND(CI71+CD71,2)</f>
      </c>
      <c r="CL71" s="144" t="str">
        <f>=ROUND(CJ71+CE71,2)</f>
      </c>
      <c r="CO71" s="149" t="s">
        <v>282</v>
      </c>
      <c r="CP71" s="24"/>
      <c r="CQ71" s="117" t="str">
        <f>=IFERROR(ROUND(CP71/FB_Kurs_14,2),0)</f>
      </c>
      <c r="CR71" s="116" t="str">
        <f>=ROUND(CP71+CK71,2)</f>
      </c>
      <c r="CS71" s="144" t="str">
        <f>=ROUND(CQ71+CL71,2)</f>
      </c>
      <c r="CV71" s="149" t="s">
        <v>282</v>
      </c>
      <c r="CW71" s="24"/>
      <c r="CX71" s="117" t="str">
        <f>=IFERROR(ROUND(CW71/FB_Kurs_15,2),0)</f>
      </c>
      <c r="CY71" s="116" t="str">
        <f>=ROUND(CW71+CR71,2)</f>
      </c>
      <c r="CZ71" s="144" t="str">
        <f>=ROUND(CX71+CS71,2)</f>
      </c>
      <c r="DC71" s="149" t="s">
        <v>282</v>
      </c>
      <c r="DD71" s="24"/>
      <c r="DE71" s="117" t="str">
        <f>=IFERROR(ROUND(DD71/FB_Kurs_16,2),0)</f>
      </c>
      <c r="DF71" s="116" t="str">
        <f>=ROUND(DD71+CY71,2)</f>
      </c>
      <c r="DG71" s="144" t="str">
        <f>=ROUND(DE71+CZ71,2)</f>
      </c>
      <c r="DJ71" s="149" t="s">
        <v>282</v>
      </c>
      <c r="DK71" s="24"/>
      <c r="DL71" s="117" t="str">
        <f>=IFERROR(ROUND(DK71/FB_Kurs_17,2),0)</f>
      </c>
      <c r="DM71" s="116" t="str">
        <f>=ROUND(DK71+DF71,2)</f>
      </c>
      <c r="DN71" s="144" t="str">
        <f>=ROUND(DL71+DG71,2)</f>
      </c>
      <c r="DQ71" s="149" t="s">
        <v>282</v>
      </c>
      <c r="DR71" s="24"/>
      <c r="DS71" s="117" t="str">
        <f>=IFERROR(ROUND(DR71/FB_Kurs_18,2),0)</f>
      </c>
      <c r="DT71" s="116" t="str">
        <f>=ROUND(DR71+DM71,2)</f>
      </c>
      <c r="DU71" s="144" t="str">
        <f>=ROUND(DS71+DN71,2)</f>
      </c>
    </row>
    <row r="72">
      <c r="B72" s="149" t="s">
        <v>283</v>
      </c>
      <c r="C72" s="24"/>
      <c r="D72" s="117" t="str">
        <f>=IFERROR(ROUND(C72/FB_Kurs_1,2),0)</f>
      </c>
      <c r="E72" s="116" t="str">
        <f>=ROUND(C72,2)</f>
      </c>
      <c r="F72" s="144" t="str">
        <f>=ROUND(D72,2)</f>
      </c>
      <c r="I72" s="149" t="s">
        <v>283</v>
      </c>
      <c r="J72" s="24"/>
      <c r="K72" s="117" t="str">
        <f>=IFERROR(ROUND(J72/FB_Kurs_2,2),0)</f>
      </c>
      <c r="L72" s="116" t="str">
        <f>=ROUND(J72+E72,2)</f>
      </c>
      <c r="M72" s="144" t="str">
        <f>=ROUND(K72+F72,2)</f>
      </c>
      <c r="P72" s="149" t="s">
        <v>283</v>
      </c>
      <c r="Q72" s="24"/>
      <c r="R72" s="117" t="str">
        <f>=IFERROR(ROUND(Q72/FB_Kurs_3,2),0)</f>
      </c>
      <c r="S72" s="116" t="str">
        <f>=ROUND(Q72+L72,2)</f>
      </c>
      <c r="T72" s="144" t="str">
        <f>=ROUND(R72+M72,2)</f>
      </c>
      <c r="W72" s="149" t="s">
        <v>283</v>
      </c>
      <c r="X72" s="24"/>
      <c r="Y72" s="117" t="str">
        <f>=IFERROR(ROUND(X72/FB_Kurs_4,2),0)</f>
      </c>
      <c r="Z72" s="116" t="str">
        <f>=ROUND(X72+S72,2)</f>
      </c>
      <c r="AA72" s="144" t="str">
        <f>=ROUND(Y72+T72,2)</f>
      </c>
      <c r="AD72" s="149" t="s">
        <v>283</v>
      </c>
      <c r="AE72" s="24"/>
      <c r="AF72" s="117" t="str">
        <f>=IFERROR(ROUND(AE72/FB_Kurs_5,2),0)</f>
      </c>
      <c r="AG72" s="116" t="str">
        <f>=ROUND(AE72+Z72,2)</f>
      </c>
      <c r="AH72" s="144" t="str">
        <f>=ROUND(AF72+AA72,2)</f>
      </c>
      <c r="AK72" s="149" t="s">
        <v>283</v>
      </c>
      <c r="AL72" s="24"/>
      <c r="AM72" s="117" t="str">
        <f>=IFERROR(ROUND(AL72/FB_Kurs_6,2),0)</f>
      </c>
      <c r="AN72" s="116" t="str">
        <f>=ROUND(AL72+AG72,2)</f>
      </c>
      <c r="AO72" s="144" t="str">
        <f>=ROUND(AM72+AH72,2)</f>
      </c>
      <c r="AR72" s="149" t="s">
        <v>283</v>
      </c>
      <c r="AS72" s="24"/>
      <c r="AT72" s="117" t="str">
        <f>=IFERROR(ROUND(AS72/FB_Kurs_7,2),0)</f>
      </c>
      <c r="AU72" s="116" t="str">
        <f>=ROUND(AS72+AN72,2)</f>
      </c>
      <c r="AV72" s="144" t="str">
        <f>=ROUND(AT72+AO72,2)</f>
      </c>
      <c r="AY72" s="149" t="s">
        <v>283</v>
      </c>
      <c r="AZ72" s="24"/>
      <c r="BA72" s="117" t="str">
        <f>=IFERROR(ROUND(AZ72/FB_Kurs_8,2),0)</f>
      </c>
      <c r="BB72" s="116" t="str">
        <f>=ROUND(AZ72+AU72,2)</f>
      </c>
      <c r="BC72" s="144" t="str">
        <f>=ROUND(BA72+AV72,2)</f>
      </c>
      <c r="BF72" s="149" t="s">
        <v>283</v>
      </c>
      <c r="BG72" s="24"/>
      <c r="BH72" s="117" t="str">
        <f>=IFERROR(ROUND(BG72/FB_Kurs_9,2),0)</f>
      </c>
      <c r="BI72" s="116" t="str">
        <f>=ROUND(BG72+BB72,2)</f>
      </c>
      <c r="BJ72" s="144" t="str">
        <f>=ROUND(BH72+BC72,2)</f>
      </c>
      <c r="BM72" s="149" t="s">
        <v>283</v>
      </c>
      <c r="BN72" s="24"/>
      <c r="BO72" s="117" t="str">
        <f>=IFERROR(ROUND(BN72/FB_Kurs_10,2),0)</f>
      </c>
      <c r="BP72" s="116" t="str">
        <f>=ROUND(BN72+BI72,2)</f>
      </c>
      <c r="BQ72" s="144" t="str">
        <f>=ROUND(BO72+BJ72,2)</f>
      </c>
      <c r="BT72" s="149" t="s">
        <v>283</v>
      </c>
      <c r="BU72" s="24"/>
      <c r="BV72" s="117" t="str">
        <f>=IFERROR(ROUND(BU72/FB_Kurs_11,2),0)</f>
      </c>
      <c r="BW72" s="116" t="str">
        <f>=ROUND(BU72+BP72,2)</f>
      </c>
      <c r="BX72" s="144" t="str">
        <f>=ROUND(BV72+BQ72,2)</f>
      </c>
      <c r="CA72" s="149" t="s">
        <v>283</v>
      </c>
      <c r="CB72" s="24"/>
      <c r="CC72" s="117" t="str">
        <f>=IFERROR(ROUND(CB72/FB_Kurs_12,2),0)</f>
      </c>
      <c r="CD72" s="116" t="str">
        <f>=ROUND(CB72+BW72,2)</f>
      </c>
      <c r="CE72" s="144" t="str">
        <f>=ROUND(CC72+BX72,2)</f>
      </c>
      <c r="CH72" s="149" t="s">
        <v>283</v>
      </c>
      <c r="CI72" s="24"/>
      <c r="CJ72" s="117" t="str">
        <f>=IFERROR(ROUND(CI72/FB_Kurs_13,2),0)</f>
      </c>
      <c r="CK72" s="116" t="str">
        <f>=ROUND(CI72+CD72,2)</f>
      </c>
      <c r="CL72" s="144" t="str">
        <f>=ROUND(CJ72+CE72,2)</f>
      </c>
      <c r="CO72" s="149" t="s">
        <v>283</v>
      </c>
      <c r="CP72" s="24"/>
      <c r="CQ72" s="117" t="str">
        <f>=IFERROR(ROUND(CP72/FB_Kurs_14,2),0)</f>
      </c>
      <c r="CR72" s="116" t="str">
        <f>=ROUND(CP72+CK72,2)</f>
      </c>
      <c r="CS72" s="144" t="str">
        <f>=ROUND(CQ72+CL72,2)</f>
      </c>
      <c r="CV72" s="149" t="s">
        <v>283</v>
      </c>
      <c r="CW72" s="24"/>
      <c r="CX72" s="117" t="str">
        <f>=IFERROR(ROUND(CW72/FB_Kurs_15,2),0)</f>
      </c>
      <c r="CY72" s="116" t="str">
        <f>=ROUND(CW72+CR72,2)</f>
      </c>
      <c r="CZ72" s="144" t="str">
        <f>=ROUND(CX72+CS72,2)</f>
      </c>
      <c r="DC72" s="149" t="s">
        <v>283</v>
      </c>
      <c r="DD72" s="24"/>
      <c r="DE72" s="117" t="str">
        <f>=IFERROR(ROUND(DD72/FB_Kurs_16,2),0)</f>
      </c>
      <c r="DF72" s="116" t="str">
        <f>=ROUND(DD72+CY72,2)</f>
      </c>
      <c r="DG72" s="144" t="str">
        <f>=ROUND(DE72+CZ72,2)</f>
      </c>
      <c r="DJ72" s="149" t="s">
        <v>283</v>
      </c>
      <c r="DK72" s="24"/>
      <c r="DL72" s="117" t="str">
        <f>=IFERROR(ROUND(DK72/FB_Kurs_17,2),0)</f>
      </c>
      <c r="DM72" s="116" t="str">
        <f>=ROUND(DK72+DF72,2)</f>
      </c>
      <c r="DN72" s="144" t="str">
        <f>=ROUND(DL72+DG72,2)</f>
      </c>
      <c r="DQ72" s="149" t="s">
        <v>283</v>
      </c>
      <c r="DR72" s="24"/>
      <c r="DS72" s="117" t="str">
        <f>=IFERROR(ROUND(DR72/FB_Kurs_18,2),0)</f>
      </c>
      <c r="DT72" s="116" t="str">
        <f>=ROUND(DR72+DM72,2)</f>
      </c>
      <c r="DU72" s="144" t="str">
        <f>=ROUND(DS72+DN72,2)</f>
      </c>
    </row>
    <row r="73">
      <c r="B73" s="149" t="s">
        <v>284</v>
      </c>
      <c r="C73" s="24"/>
      <c r="D73" s="117" t="str">
        <f>=IFERROR(ROUND(C73/FB_Kurs_1,2),0)</f>
      </c>
      <c r="E73" s="116" t="str">
        <f>=ROUND(C73,2)</f>
      </c>
      <c r="F73" s="144" t="str">
        <f>=ROUND(D73,2)</f>
      </c>
      <c r="I73" s="149" t="s">
        <v>284</v>
      </c>
      <c r="J73" s="24"/>
      <c r="K73" s="117" t="str">
        <f>=IFERROR(ROUND(J73/FB_Kurs_2,2),0)</f>
      </c>
      <c r="L73" s="116" t="str">
        <f>=ROUND(J73+E73,2)</f>
      </c>
      <c r="M73" s="144" t="str">
        <f>=ROUND(K73+F73,2)</f>
      </c>
      <c r="P73" s="149" t="s">
        <v>284</v>
      </c>
      <c r="Q73" s="24"/>
      <c r="R73" s="117" t="str">
        <f>=IFERROR(ROUND(Q73/FB_Kurs_3,2),0)</f>
      </c>
      <c r="S73" s="116" t="str">
        <f>=ROUND(Q73+L73,2)</f>
      </c>
      <c r="T73" s="144" t="str">
        <f>=ROUND(R73+M73,2)</f>
      </c>
      <c r="W73" s="149" t="s">
        <v>284</v>
      </c>
      <c r="X73" s="24"/>
      <c r="Y73" s="117" t="str">
        <f>=IFERROR(ROUND(X73/FB_Kurs_4,2),0)</f>
      </c>
      <c r="Z73" s="116" t="str">
        <f>=ROUND(X73+S73,2)</f>
      </c>
      <c r="AA73" s="144" t="str">
        <f>=ROUND(Y73+T73,2)</f>
      </c>
      <c r="AD73" s="149" t="s">
        <v>284</v>
      </c>
      <c r="AE73" s="24"/>
      <c r="AF73" s="117" t="str">
        <f>=IFERROR(ROUND(AE73/FB_Kurs_5,2),0)</f>
      </c>
      <c r="AG73" s="116" t="str">
        <f>=ROUND(AE73+Z73,2)</f>
      </c>
      <c r="AH73" s="144" t="str">
        <f>=ROUND(AF73+AA73,2)</f>
      </c>
      <c r="AK73" s="149" t="s">
        <v>284</v>
      </c>
      <c r="AL73" s="24"/>
      <c r="AM73" s="117" t="str">
        <f>=IFERROR(ROUND(AL73/FB_Kurs_6,2),0)</f>
      </c>
      <c r="AN73" s="116" t="str">
        <f>=ROUND(AL73+AG73,2)</f>
      </c>
      <c r="AO73" s="144" t="str">
        <f>=ROUND(AM73+AH73,2)</f>
      </c>
      <c r="AR73" s="149" t="s">
        <v>284</v>
      </c>
      <c r="AS73" s="24"/>
      <c r="AT73" s="117" t="str">
        <f>=IFERROR(ROUND(AS73/FB_Kurs_7,2),0)</f>
      </c>
      <c r="AU73" s="116" t="str">
        <f>=ROUND(AS73+AN73,2)</f>
      </c>
      <c r="AV73" s="144" t="str">
        <f>=ROUND(AT73+AO73,2)</f>
      </c>
      <c r="AY73" s="149" t="s">
        <v>284</v>
      </c>
      <c r="AZ73" s="24"/>
      <c r="BA73" s="117" t="str">
        <f>=IFERROR(ROUND(AZ73/FB_Kurs_8,2),0)</f>
      </c>
      <c r="BB73" s="116" t="str">
        <f>=ROUND(AZ73+AU73,2)</f>
      </c>
      <c r="BC73" s="144" t="str">
        <f>=ROUND(BA73+AV73,2)</f>
      </c>
      <c r="BF73" s="149" t="s">
        <v>284</v>
      </c>
      <c r="BG73" s="24"/>
      <c r="BH73" s="117" t="str">
        <f>=IFERROR(ROUND(BG73/FB_Kurs_9,2),0)</f>
      </c>
      <c r="BI73" s="116" t="str">
        <f>=ROUND(BG73+BB73,2)</f>
      </c>
      <c r="BJ73" s="144" t="str">
        <f>=ROUND(BH73+BC73,2)</f>
      </c>
      <c r="BM73" s="149" t="s">
        <v>284</v>
      </c>
      <c r="BN73" s="24"/>
      <c r="BO73" s="117" t="str">
        <f>=IFERROR(ROUND(BN73/FB_Kurs_10,2),0)</f>
      </c>
      <c r="BP73" s="116" t="str">
        <f>=ROUND(BN73+BI73,2)</f>
      </c>
      <c r="BQ73" s="144" t="str">
        <f>=ROUND(BO73+BJ73,2)</f>
      </c>
      <c r="BT73" s="149" t="s">
        <v>284</v>
      </c>
      <c r="BU73" s="24"/>
      <c r="BV73" s="117" t="str">
        <f>=IFERROR(ROUND(BU73/FB_Kurs_11,2),0)</f>
      </c>
      <c r="BW73" s="116" t="str">
        <f>=ROUND(BU73+BP73,2)</f>
      </c>
      <c r="BX73" s="144" t="str">
        <f>=ROUND(BV73+BQ73,2)</f>
      </c>
      <c r="CA73" s="149" t="s">
        <v>284</v>
      </c>
      <c r="CB73" s="24"/>
      <c r="CC73" s="117" t="str">
        <f>=IFERROR(ROUND(CB73/FB_Kurs_12,2),0)</f>
      </c>
      <c r="CD73" s="116" t="str">
        <f>=ROUND(CB73+BW73,2)</f>
      </c>
      <c r="CE73" s="144" t="str">
        <f>=ROUND(CC73+BX73,2)</f>
      </c>
      <c r="CH73" s="149" t="s">
        <v>284</v>
      </c>
      <c r="CI73" s="24"/>
      <c r="CJ73" s="117" t="str">
        <f>=IFERROR(ROUND(CI73/FB_Kurs_13,2),0)</f>
      </c>
      <c r="CK73" s="116" t="str">
        <f>=ROUND(CI73+CD73,2)</f>
      </c>
      <c r="CL73" s="144" t="str">
        <f>=ROUND(CJ73+CE73,2)</f>
      </c>
      <c r="CO73" s="149" t="s">
        <v>284</v>
      </c>
      <c r="CP73" s="24"/>
      <c r="CQ73" s="117" t="str">
        <f>=IFERROR(ROUND(CP73/FB_Kurs_14,2),0)</f>
      </c>
      <c r="CR73" s="116" t="str">
        <f>=ROUND(CP73+CK73,2)</f>
      </c>
      <c r="CS73" s="144" t="str">
        <f>=ROUND(CQ73+CL73,2)</f>
      </c>
      <c r="CV73" s="149" t="s">
        <v>284</v>
      </c>
      <c r="CW73" s="24"/>
      <c r="CX73" s="117" t="str">
        <f>=IFERROR(ROUND(CW73/FB_Kurs_15,2),0)</f>
      </c>
      <c r="CY73" s="116" t="str">
        <f>=ROUND(CW73+CR73,2)</f>
      </c>
      <c r="CZ73" s="144" t="str">
        <f>=ROUND(CX73+CS73,2)</f>
      </c>
      <c r="DC73" s="149" t="s">
        <v>284</v>
      </c>
      <c r="DD73" s="24"/>
      <c r="DE73" s="117" t="str">
        <f>=IFERROR(ROUND(DD73/FB_Kurs_16,2),0)</f>
      </c>
      <c r="DF73" s="116" t="str">
        <f>=ROUND(DD73+CY73,2)</f>
      </c>
      <c r="DG73" s="144" t="str">
        <f>=ROUND(DE73+CZ73,2)</f>
      </c>
      <c r="DJ73" s="149" t="s">
        <v>284</v>
      </c>
      <c r="DK73" s="24"/>
      <c r="DL73" s="117" t="str">
        <f>=IFERROR(ROUND(DK73/FB_Kurs_17,2),0)</f>
      </c>
      <c r="DM73" s="116" t="str">
        <f>=ROUND(DK73+DF73,2)</f>
      </c>
      <c r="DN73" s="144" t="str">
        <f>=ROUND(DL73+DG73,2)</f>
      </c>
      <c r="DQ73" s="149" t="s">
        <v>284</v>
      </c>
      <c r="DR73" s="24"/>
      <c r="DS73" s="117" t="str">
        <f>=IFERROR(ROUND(DR73/FB_Kurs_18,2),0)</f>
      </c>
      <c r="DT73" s="116" t="str">
        <f>=ROUND(DR73+DM73,2)</f>
      </c>
      <c r="DU73" s="144" t="str">
        <f>=ROUND(DS73+DN73,2)</f>
      </c>
    </row>
    <row r="74">
      <c r="B74" s="149" t="s">
        <v>285</v>
      </c>
      <c r="C74" s="24"/>
      <c r="D74" s="117" t="str">
        <f>=IFERROR(ROUND(C74/FB_Kurs_1,2),0)</f>
      </c>
      <c r="E74" s="116" t="str">
        <f>=ROUND(C74,2)</f>
      </c>
      <c r="F74" s="144" t="str">
        <f>=ROUND(D74,2)</f>
      </c>
      <c r="I74" s="149" t="s">
        <v>285</v>
      </c>
      <c r="J74" s="24"/>
      <c r="K74" s="117" t="str">
        <f>=IFERROR(ROUND(J74/FB_Kurs_2,2),0)</f>
      </c>
      <c r="L74" s="116" t="str">
        <f>=ROUND(J74+E74,2)</f>
      </c>
      <c r="M74" s="144" t="str">
        <f>=ROUND(K74+F74,2)</f>
      </c>
      <c r="P74" s="149" t="s">
        <v>285</v>
      </c>
      <c r="Q74" s="24"/>
      <c r="R74" s="117" t="str">
        <f>=IFERROR(ROUND(Q74/FB_Kurs_3,2),0)</f>
      </c>
      <c r="S74" s="116" t="str">
        <f>=ROUND(Q74+L74,2)</f>
      </c>
      <c r="T74" s="144" t="str">
        <f>=ROUND(R74+M74,2)</f>
      </c>
      <c r="W74" s="149" t="s">
        <v>285</v>
      </c>
      <c r="X74" s="24"/>
      <c r="Y74" s="117" t="str">
        <f>=IFERROR(ROUND(X74/FB_Kurs_4,2),0)</f>
      </c>
      <c r="Z74" s="116" t="str">
        <f>=ROUND(X74+S74,2)</f>
      </c>
      <c r="AA74" s="144" t="str">
        <f>=ROUND(Y74+T74,2)</f>
      </c>
      <c r="AD74" s="149" t="s">
        <v>285</v>
      </c>
      <c r="AE74" s="24"/>
      <c r="AF74" s="117" t="str">
        <f>=IFERROR(ROUND(AE74/FB_Kurs_5,2),0)</f>
      </c>
      <c r="AG74" s="116" t="str">
        <f>=ROUND(AE74+Z74,2)</f>
      </c>
      <c r="AH74" s="144" t="str">
        <f>=ROUND(AF74+AA74,2)</f>
      </c>
      <c r="AK74" s="149" t="s">
        <v>285</v>
      </c>
      <c r="AL74" s="24"/>
      <c r="AM74" s="117" t="str">
        <f>=IFERROR(ROUND(AL74/FB_Kurs_6,2),0)</f>
      </c>
      <c r="AN74" s="116" t="str">
        <f>=ROUND(AL74+AG74,2)</f>
      </c>
      <c r="AO74" s="144" t="str">
        <f>=ROUND(AM74+AH74,2)</f>
      </c>
      <c r="AR74" s="149" t="s">
        <v>285</v>
      </c>
      <c r="AS74" s="24"/>
      <c r="AT74" s="117" t="str">
        <f>=IFERROR(ROUND(AS74/FB_Kurs_7,2),0)</f>
      </c>
      <c r="AU74" s="116" t="str">
        <f>=ROUND(AS74+AN74,2)</f>
      </c>
      <c r="AV74" s="144" t="str">
        <f>=ROUND(AT74+AO74,2)</f>
      </c>
      <c r="AY74" s="149" t="s">
        <v>285</v>
      </c>
      <c r="AZ74" s="24"/>
      <c r="BA74" s="117" t="str">
        <f>=IFERROR(ROUND(AZ74/FB_Kurs_8,2),0)</f>
      </c>
      <c r="BB74" s="116" t="str">
        <f>=ROUND(AZ74+AU74,2)</f>
      </c>
      <c r="BC74" s="144" t="str">
        <f>=ROUND(BA74+AV74,2)</f>
      </c>
      <c r="BF74" s="149" t="s">
        <v>285</v>
      </c>
      <c r="BG74" s="24"/>
      <c r="BH74" s="117" t="str">
        <f>=IFERROR(ROUND(BG74/FB_Kurs_9,2),0)</f>
      </c>
      <c r="BI74" s="116" t="str">
        <f>=ROUND(BG74+BB74,2)</f>
      </c>
      <c r="BJ74" s="144" t="str">
        <f>=ROUND(BH74+BC74,2)</f>
      </c>
      <c r="BM74" s="149" t="s">
        <v>285</v>
      </c>
      <c r="BN74" s="24"/>
      <c r="BO74" s="117" t="str">
        <f>=IFERROR(ROUND(BN74/FB_Kurs_10,2),0)</f>
      </c>
      <c r="BP74" s="116" t="str">
        <f>=ROUND(BN74+BI74,2)</f>
      </c>
      <c r="BQ74" s="144" t="str">
        <f>=ROUND(BO74+BJ74,2)</f>
      </c>
      <c r="BT74" s="149" t="s">
        <v>285</v>
      </c>
      <c r="BU74" s="24"/>
      <c r="BV74" s="117" t="str">
        <f>=IFERROR(ROUND(BU74/FB_Kurs_11,2),0)</f>
      </c>
      <c r="BW74" s="116" t="str">
        <f>=ROUND(BU74+BP74,2)</f>
      </c>
      <c r="BX74" s="144" t="str">
        <f>=ROUND(BV74+BQ74,2)</f>
      </c>
      <c r="CA74" s="149" t="s">
        <v>285</v>
      </c>
      <c r="CB74" s="24"/>
      <c r="CC74" s="117" t="str">
        <f>=IFERROR(ROUND(CB74/FB_Kurs_12,2),0)</f>
      </c>
      <c r="CD74" s="116" t="str">
        <f>=ROUND(CB74+BW74,2)</f>
      </c>
      <c r="CE74" s="144" t="str">
        <f>=ROUND(CC74+BX74,2)</f>
      </c>
      <c r="CH74" s="149" t="s">
        <v>285</v>
      </c>
      <c r="CI74" s="24"/>
      <c r="CJ74" s="117" t="str">
        <f>=IFERROR(ROUND(CI74/FB_Kurs_13,2),0)</f>
      </c>
      <c r="CK74" s="116" t="str">
        <f>=ROUND(CI74+CD74,2)</f>
      </c>
      <c r="CL74" s="144" t="str">
        <f>=ROUND(CJ74+CE74,2)</f>
      </c>
      <c r="CO74" s="149" t="s">
        <v>285</v>
      </c>
      <c r="CP74" s="24"/>
      <c r="CQ74" s="117" t="str">
        <f>=IFERROR(ROUND(CP74/FB_Kurs_14,2),0)</f>
      </c>
      <c r="CR74" s="116" t="str">
        <f>=ROUND(CP74+CK74,2)</f>
      </c>
      <c r="CS74" s="144" t="str">
        <f>=ROUND(CQ74+CL74,2)</f>
      </c>
      <c r="CV74" s="149" t="s">
        <v>285</v>
      </c>
      <c r="CW74" s="24"/>
      <c r="CX74" s="117" t="str">
        <f>=IFERROR(ROUND(CW74/FB_Kurs_15,2),0)</f>
      </c>
      <c r="CY74" s="116" t="str">
        <f>=ROUND(CW74+CR74,2)</f>
      </c>
      <c r="CZ74" s="144" t="str">
        <f>=ROUND(CX74+CS74,2)</f>
      </c>
      <c r="DC74" s="149" t="s">
        <v>285</v>
      </c>
      <c r="DD74" s="24"/>
      <c r="DE74" s="117" t="str">
        <f>=IFERROR(ROUND(DD74/FB_Kurs_16,2),0)</f>
      </c>
      <c r="DF74" s="116" t="str">
        <f>=ROUND(DD74+CY74,2)</f>
      </c>
      <c r="DG74" s="144" t="str">
        <f>=ROUND(DE74+CZ74,2)</f>
      </c>
      <c r="DJ74" s="149" t="s">
        <v>285</v>
      </c>
      <c r="DK74" s="24"/>
      <c r="DL74" s="117" t="str">
        <f>=IFERROR(ROUND(DK74/FB_Kurs_17,2),0)</f>
      </c>
      <c r="DM74" s="116" t="str">
        <f>=ROUND(DK74+DF74,2)</f>
      </c>
      <c r="DN74" s="144" t="str">
        <f>=ROUND(DL74+DG74,2)</f>
      </c>
      <c r="DQ74" s="149" t="s">
        <v>285</v>
      </c>
      <c r="DR74" s="24"/>
      <c r="DS74" s="117" t="str">
        <f>=IFERROR(ROUND(DR74/FB_Kurs_18,2),0)</f>
      </c>
      <c r="DT74" s="116" t="str">
        <f>=ROUND(DR74+DM74,2)</f>
      </c>
      <c r="DU74" s="144" t="str">
        <f>=ROUND(DS74+DN74,2)</f>
      </c>
    </row>
    <row r="75">
      <c r="B75" s="149" t="s">
        <v>286</v>
      </c>
      <c r="C75" s="24"/>
      <c r="D75" s="117" t="str">
        <f>=IFERROR(ROUND(C75/FB_Kurs_1,2),0)</f>
      </c>
      <c r="E75" s="116" t="str">
        <f>=ROUND(C75,2)</f>
      </c>
      <c r="F75" s="144" t="str">
        <f>=ROUND(D75,2)</f>
      </c>
      <c r="I75" s="149" t="s">
        <v>286</v>
      </c>
      <c r="J75" s="24"/>
      <c r="K75" s="117" t="str">
        <f>=IFERROR(ROUND(J75/FB_Kurs_2,2),0)</f>
      </c>
      <c r="L75" s="116" t="str">
        <f>=ROUND(J75+E75,2)</f>
      </c>
      <c r="M75" s="144" t="str">
        <f>=ROUND(K75+F75,2)</f>
      </c>
      <c r="P75" s="149" t="s">
        <v>286</v>
      </c>
      <c r="Q75" s="24"/>
      <c r="R75" s="117" t="str">
        <f>=IFERROR(ROUND(Q75/FB_Kurs_3,2),0)</f>
      </c>
      <c r="S75" s="116" t="str">
        <f>=ROUND(Q75+L75,2)</f>
      </c>
      <c r="T75" s="144" t="str">
        <f>=ROUND(R75+M75,2)</f>
      </c>
      <c r="W75" s="149" t="s">
        <v>286</v>
      </c>
      <c r="X75" s="24"/>
      <c r="Y75" s="117" t="str">
        <f>=IFERROR(ROUND(X75/FB_Kurs_4,2),0)</f>
      </c>
      <c r="Z75" s="116" t="str">
        <f>=ROUND(X75+S75,2)</f>
      </c>
      <c r="AA75" s="144" t="str">
        <f>=ROUND(Y75+T75,2)</f>
      </c>
      <c r="AD75" s="149" t="s">
        <v>286</v>
      </c>
      <c r="AE75" s="24"/>
      <c r="AF75" s="117" t="str">
        <f>=IFERROR(ROUND(AE75/FB_Kurs_5,2),0)</f>
      </c>
      <c r="AG75" s="116" t="str">
        <f>=ROUND(AE75+Z75,2)</f>
      </c>
      <c r="AH75" s="144" t="str">
        <f>=ROUND(AF75+AA75,2)</f>
      </c>
      <c r="AK75" s="149" t="s">
        <v>286</v>
      </c>
      <c r="AL75" s="24"/>
      <c r="AM75" s="117" t="str">
        <f>=IFERROR(ROUND(AL75/FB_Kurs_6,2),0)</f>
      </c>
      <c r="AN75" s="116" t="str">
        <f>=ROUND(AL75+AG75,2)</f>
      </c>
      <c r="AO75" s="144" t="str">
        <f>=ROUND(AM75+AH75,2)</f>
      </c>
      <c r="AR75" s="149" t="s">
        <v>286</v>
      </c>
      <c r="AS75" s="24"/>
      <c r="AT75" s="117" t="str">
        <f>=IFERROR(ROUND(AS75/FB_Kurs_7,2),0)</f>
      </c>
      <c r="AU75" s="116" t="str">
        <f>=ROUND(AS75+AN75,2)</f>
      </c>
      <c r="AV75" s="144" t="str">
        <f>=ROUND(AT75+AO75,2)</f>
      </c>
      <c r="AY75" s="149" t="s">
        <v>286</v>
      </c>
      <c r="AZ75" s="24"/>
      <c r="BA75" s="117" t="str">
        <f>=IFERROR(ROUND(AZ75/FB_Kurs_8,2),0)</f>
      </c>
      <c r="BB75" s="116" t="str">
        <f>=ROUND(AZ75+AU75,2)</f>
      </c>
      <c r="BC75" s="144" t="str">
        <f>=ROUND(BA75+AV75,2)</f>
      </c>
      <c r="BF75" s="149" t="s">
        <v>286</v>
      </c>
      <c r="BG75" s="24"/>
      <c r="BH75" s="117" t="str">
        <f>=IFERROR(ROUND(BG75/FB_Kurs_9,2),0)</f>
      </c>
      <c r="BI75" s="116" t="str">
        <f>=ROUND(BG75+BB75,2)</f>
      </c>
      <c r="BJ75" s="144" t="str">
        <f>=ROUND(BH75+BC75,2)</f>
      </c>
      <c r="BM75" s="149" t="s">
        <v>286</v>
      </c>
      <c r="BN75" s="24"/>
      <c r="BO75" s="117" t="str">
        <f>=IFERROR(ROUND(BN75/FB_Kurs_10,2),0)</f>
      </c>
      <c r="BP75" s="116" t="str">
        <f>=ROUND(BN75+BI75,2)</f>
      </c>
      <c r="BQ75" s="144" t="str">
        <f>=ROUND(BO75+BJ75,2)</f>
      </c>
      <c r="BT75" s="149" t="s">
        <v>286</v>
      </c>
      <c r="BU75" s="24"/>
      <c r="BV75" s="117" t="str">
        <f>=IFERROR(ROUND(BU75/FB_Kurs_11,2),0)</f>
      </c>
      <c r="BW75" s="116" t="str">
        <f>=ROUND(BU75+BP75,2)</f>
      </c>
      <c r="BX75" s="144" t="str">
        <f>=ROUND(BV75+BQ75,2)</f>
      </c>
      <c r="CA75" s="149" t="s">
        <v>286</v>
      </c>
      <c r="CB75" s="24"/>
      <c r="CC75" s="117" t="str">
        <f>=IFERROR(ROUND(CB75/FB_Kurs_12,2),0)</f>
      </c>
      <c r="CD75" s="116" t="str">
        <f>=ROUND(CB75+BW75,2)</f>
      </c>
      <c r="CE75" s="144" t="str">
        <f>=ROUND(CC75+BX75,2)</f>
      </c>
      <c r="CH75" s="149" t="s">
        <v>286</v>
      </c>
      <c r="CI75" s="24"/>
      <c r="CJ75" s="117" t="str">
        <f>=IFERROR(ROUND(CI75/FB_Kurs_13,2),0)</f>
      </c>
      <c r="CK75" s="116" t="str">
        <f>=ROUND(CI75+CD75,2)</f>
      </c>
      <c r="CL75" s="144" t="str">
        <f>=ROUND(CJ75+CE75,2)</f>
      </c>
      <c r="CO75" s="149" t="s">
        <v>286</v>
      </c>
      <c r="CP75" s="24"/>
      <c r="CQ75" s="117" t="str">
        <f>=IFERROR(ROUND(CP75/FB_Kurs_14,2),0)</f>
      </c>
      <c r="CR75" s="116" t="str">
        <f>=ROUND(CP75+CK75,2)</f>
      </c>
      <c r="CS75" s="144" t="str">
        <f>=ROUND(CQ75+CL75,2)</f>
      </c>
      <c r="CV75" s="149" t="s">
        <v>286</v>
      </c>
      <c r="CW75" s="24"/>
      <c r="CX75" s="117" t="str">
        <f>=IFERROR(ROUND(CW75/FB_Kurs_15,2),0)</f>
      </c>
      <c r="CY75" s="116" t="str">
        <f>=ROUND(CW75+CR75,2)</f>
      </c>
      <c r="CZ75" s="144" t="str">
        <f>=ROUND(CX75+CS75,2)</f>
      </c>
      <c r="DC75" s="149" t="s">
        <v>286</v>
      </c>
      <c r="DD75" s="24"/>
      <c r="DE75" s="117" t="str">
        <f>=IFERROR(ROUND(DD75/FB_Kurs_16,2),0)</f>
      </c>
      <c r="DF75" s="116" t="str">
        <f>=ROUND(DD75+CY75,2)</f>
      </c>
      <c r="DG75" s="144" t="str">
        <f>=ROUND(DE75+CZ75,2)</f>
      </c>
      <c r="DJ75" s="149" t="s">
        <v>286</v>
      </c>
      <c r="DK75" s="24"/>
      <c r="DL75" s="117" t="str">
        <f>=IFERROR(ROUND(DK75/FB_Kurs_17,2),0)</f>
      </c>
      <c r="DM75" s="116" t="str">
        <f>=ROUND(DK75+DF75,2)</f>
      </c>
      <c r="DN75" s="144" t="str">
        <f>=ROUND(DL75+DG75,2)</f>
      </c>
      <c r="DQ75" s="149" t="s">
        <v>286</v>
      </c>
      <c r="DR75" s="24"/>
      <c r="DS75" s="117" t="str">
        <f>=IFERROR(ROUND(DR75/FB_Kurs_18,2),0)</f>
      </c>
      <c r="DT75" s="116" t="str">
        <f>=ROUND(DR75+DM75,2)</f>
      </c>
      <c r="DU75" s="144" t="str">
        <f>=ROUND(DS75+DN75,2)</f>
      </c>
    </row>
    <row r="76">
      <c r="B76" s="149" t="s">
        <v>287</v>
      </c>
      <c r="C76" s="24"/>
      <c r="D76" s="117" t="str">
        <f>=IFERROR(ROUND(C76/FB_Kurs_1,2),0)</f>
      </c>
      <c r="E76" s="116" t="str">
        <f>=ROUND(C76,2)</f>
      </c>
      <c r="F76" s="144" t="str">
        <f>=ROUND(D76,2)</f>
      </c>
      <c r="I76" s="149" t="s">
        <v>287</v>
      </c>
      <c r="J76" s="24"/>
      <c r="K76" s="117" t="str">
        <f>=IFERROR(ROUND(J76/FB_Kurs_2,2),0)</f>
      </c>
      <c r="L76" s="116" t="str">
        <f>=ROUND(J76+E76,2)</f>
      </c>
      <c r="M76" s="144" t="str">
        <f>=ROUND(K76+F76,2)</f>
      </c>
      <c r="P76" s="149" t="s">
        <v>287</v>
      </c>
      <c r="Q76" s="24"/>
      <c r="R76" s="117" t="str">
        <f>=IFERROR(ROUND(Q76/FB_Kurs_3,2),0)</f>
      </c>
      <c r="S76" s="116" t="str">
        <f>=ROUND(Q76+L76,2)</f>
      </c>
      <c r="T76" s="144" t="str">
        <f>=ROUND(R76+M76,2)</f>
      </c>
      <c r="W76" s="149" t="s">
        <v>287</v>
      </c>
      <c r="X76" s="24"/>
      <c r="Y76" s="117" t="str">
        <f>=IFERROR(ROUND(X76/FB_Kurs_4,2),0)</f>
      </c>
      <c r="Z76" s="116" t="str">
        <f>=ROUND(X76+S76,2)</f>
      </c>
      <c r="AA76" s="144" t="str">
        <f>=ROUND(Y76+T76,2)</f>
      </c>
      <c r="AD76" s="149" t="s">
        <v>287</v>
      </c>
      <c r="AE76" s="24"/>
      <c r="AF76" s="117" t="str">
        <f>=IFERROR(ROUND(AE76/FB_Kurs_5,2),0)</f>
      </c>
      <c r="AG76" s="116" t="str">
        <f>=ROUND(AE76+Z76,2)</f>
      </c>
      <c r="AH76" s="144" t="str">
        <f>=ROUND(AF76+AA76,2)</f>
      </c>
      <c r="AK76" s="149" t="s">
        <v>287</v>
      </c>
      <c r="AL76" s="24"/>
      <c r="AM76" s="117" t="str">
        <f>=IFERROR(ROUND(AL76/FB_Kurs_6,2),0)</f>
      </c>
      <c r="AN76" s="116" t="str">
        <f>=ROUND(AL76+AG76,2)</f>
      </c>
      <c r="AO76" s="144" t="str">
        <f>=ROUND(AM76+AH76,2)</f>
      </c>
      <c r="AR76" s="149" t="s">
        <v>287</v>
      </c>
      <c r="AS76" s="24"/>
      <c r="AT76" s="117" t="str">
        <f>=IFERROR(ROUND(AS76/FB_Kurs_7,2),0)</f>
      </c>
      <c r="AU76" s="116" t="str">
        <f>=ROUND(AS76+AN76,2)</f>
      </c>
      <c r="AV76" s="144" t="str">
        <f>=ROUND(AT76+AO76,2)</f>
      </c>
      <c r="AY76" s="149" t="s">
        <v>287</v>
      </c>
      <c r="AZ76" s="24"/>
      <c r="BA76" s="117" t="str">
        <f>=IFERROR(ROUND(AZ76/FB_Kurs_8,2),0)</f>
      </c>
      <c r="BB76" s="116" t="str">
        <f>=ROUND(AZ76+AU76,2)</f>
      </c>
      <c r="BC76" s="144" t="str">
        <f>=ROUND(BA76+AV76,2)</f>
      </c>
      <c r="BF76" s="149" t="s">
        <v>287</v>
      </c>
      <c r="BG76" s="24"/>
      <c r="BH76" s="117" t="str">
        <f>=IFERROR(ROUND(BG76/FB_Kurs_9,2),0)</f>
      </c>
      <c r="BI76" s="116" t="str">
        <f>=ROUND(BG76+BB76,2)</f>
      </c>
      <c r="BJ76" s="144" t="str">
        <f>=ROUND(BH76+BC76,2)</f>
      </c>
      <c r="BM76" s="149" t="s">
        <v>287</v>
      </c>
      <c r="BN76" s="24"/>
      <c r="BO76" s="117" t="str">
        <f>=IFERROR(ROUND(BN76/FB_Kurs_10,2),0)</f>
      </c>
      <c r="BP76" s="116" t="str">
        <f>=ROUND(BN76+BI76,2)</f>
      </c>
      <c r="BQ76" s="144" t="str">
        <f>=ROUND(BO76+BJ76,2)</f>
      </c>
      <c r="BT76" s="149" t="s">
        <v>287</v>
      </c>
      <c r="BU76" s="24"/>
      <c r="BV76" s="117" t="str">
        <f>=IFERROR(ROUND(BU76/FB_Kurs_11,2),0)</f>
      </c>
      <c r="BW76" s="116" t="str">
        <f>=ROUND(BU76+BP76,2)</f>
      </c>
      <c r="BX76" s="144" t="str">
        <f>=ROUND(BV76+BQ76,2)</f>
      </c>
      <c r="CA76" s="149" t="s">
        <v>287</v>
      </c>
      <c r="CB76" s="24"/>
      <c r="CC76" s="117" t="str">
        <f>=IFERROR(ROUND(CB76/FB_Kurs_12,2),0)</f>
      </c>
      <c r="CD76" s="116" t="str">
        <f>=ROUND(CB76+BW76,2)</f>
      </c>
      <c r="CE76" s="144" t="str">
        <f>=ROUND(CC76+BX76,2)</f>
      </c>
      <c r="CH76" s="149" t="s">
        <v>287</v>
      </c>
      <c r="CI76" s="24"/>
      <c r="CJ76" s="117" t="str">
        <f>=IFERROR(ROUND(CI76/FB_Kurs_13,2),0)</f>
      </c>
      <c r="CK76" s="116" t="str">
        <f>=ROUND(CI76+CD76,2)</f>
      </c>
      <c r="CL76" s="144" t="str">
        <f>=ROUND(CJ76+CE76,2)</f>
      </c>
      <c r="CO76" s="149" t="s">
        <v>287</v>
      </c>
      <c r="CP76" s="24"/>
      <c r="CQ76" s="117" t="str">
        <f>=IFERROR(ROUND(CP76/FB_Kurs_14,2),0)</f>
      </c>
      <c r="CR76" s="116" t="str">
        <f>=ROUND(CP76+CK76,2)</f>
      </c>
      <c r="CS76" s="144" t="str">
        <f>=ROUND(CQ76+CL76,2)</f>
      </c>
      <c r="CV76" s="149" t="s">
        <v>287</v>
      </c>
      <c r="CW76" s="24"/>
      <c r="CX76" s="117" t="str">
        <f>=IFERROR(ROUND(CW76/FB_Kurs_15,2),0)</f>
      </c>
      <c r="CY76" s="116" t="str">
        <f>=ROUND(CW76+CR76,2)</f>
      </c>
      <c r="CZ76" s="144" t="str">
        <f>=ROUND(CX76+CS76,2)</f>
      </c>
      <c r="DC76" s="149" t="s">
        <v>287</v>
      </c>
      <c r="DD76" s="24"/>
      <c r="DE76" s="117" t="str">
        <f>=IFERROR(ROUND(DD76/FB_Kurs_16,2),0)</f>
      </c>
      <c r="DF76" s="116" t="str">
        <f>=ROUND(DD76+CY76,2)</f>
      </c>
      <c r="DG76" s="144" t="str">
        <f>=ROUND(DE76+CZ76,2)</f>
      </c>
      <c r="DJ76" s="149" t="s">
        <v>287</v>
      </c>
      <c r="DK76" s="24"/>
      <c r="DL76" s="117" t="str">
        <f>=IFERROR(ROUND(DK76/FB_Kurs_17,2),0)</f>
      </c>
      <c r="DM76" s="116" t="str">
        <f>=ROUND(DK76+DF76,2)</f>
      </c>
      <c r="DN76" s="144" t="str">
        <f>=ROUND(DL76+DG76,2)</f>
      </c>
      <c r="DQ76" s="149" t="s">
        <v>287</v>
      </c>
      <c r="DR76" s="24"/>
      <c r="DS76" s="117" t="str">
        <f>=IFERROR(ROUND(DR76/FB_Kurs_18,2),0)</f>
      </c>
      <c r="DT76" s="116" t="str">
        <f>=ROUND(DR76+DM76,2)</f>
      </c>
      <c r="DU76" s="144" t="str">
        <f>=ROUND(DS76+DN76,2)</f>
      </c>
    </row>
    <row r="77">
      <c r="B77" s="149" t="s">
        <v>288</v>
      </c>
      <c r="C77" s="24"/>
      <c r="D77" s="117" t="str">
        <f>=IFERROR(ROUND(C77/FB_Kurs_1,2),0)</f>
      </c>
      <c r="E77" s="116" t="str">
        <f>=ROUND(C77,2)</f>
      </c>
      <c r="F77" s="144" t="str">
        <f>=ROUND(D77,2)</f>
      </c>
      <c r="I77" s="149" t="s">
        <v>288</v>
      </c>
      <c r="J77" s="24"/>
      <c r="K77" s="117" t="str">
        <f>=IFERROR(ROUND(J77/FB_Kurs_2,2),0)</f>
      </c>
      <c r="L77" s="116" t="str">
        <f>=ROUND(J77+E77,2)</f>
      </c>
      <c r="M77" s="144" t="str">
        <f>=ROUND(K77+F77,2)</f>
      </c>
      <c r="P77" s="149" t="s">
        <v>288</v>
      </c>
      <c r="Q77" s="24"/>
      <c r="R77" s="117" t="str">
        <f>=IFERROR(ROUND(Q77/FB_Kurs_3,2),0)</f>
      </c>
      <c r="S77" s="116" t="str">
        <f>=ROUND(Q77+L77,2)</f>
      </c>
      <c r="T77" s="144" t="str">
        <f>=ROUND(R77+M77,2)</f>
      </c>
      <c r="W77" s="149" t="s">
        <v>288</v>
      </c>
      <c r="X77" s="24"/>
      <c r="Y77" s="117" t="str">
        <f>=IFERROR(ROUND(X77/FB_Kurs_4,2),0)</f>
      </c>
      <c r="Z77" s="116" t="str">
        <f>=ROUND(X77+S77,2)</f>
      </c>
      <c r="AA77" s="144" t="str">
        <f>=ROUND(Y77+T77,2)</f>
      </c>
      <c r="AD77" s="149" t="s">
        <v>288</v>
      </c>
      <c r="AE77" s="24"/>
      <c r="AF77" s="117" t="str">
        <f>=IFERROR(ROUND(AE77/FB_Kurs_5,2),0)</f>
      </c>
      <c r="AG77" s="116" t="str">
        <f>=ROUND(AE77+Z77,2)</f>
      </c>
      <c r="AH77" s="144" t="str">
        <f>=ROUND(AF77+AA77,2)</f>
      </c>
      <c r="AK77" s="149" t="s">
        <v>288</v>
      </c>
      <c r="AL77" s="24"/>
      <c r="AM77" s="117" t="str">
        <f>=IFERROR(ROUND(AL77/FB_Kurs_6,2),0)</f>
      </c>
      <c r="AN77" s="116" t="str">
        <f>=ROUND(AL77+AG77,2)</f>
      </c>
      <c r="AO77" s="144" t="str">
        <f>=ROUND(AM77+AH77,2)</f>
      </c>
      <c r="AR77" s="149" t="s">
        <v>288</v>
      </c>
      <c r="AS77" s="24"/>
      <c r="AT77" s="117" t="str">
        <f>=IFERROR(ROUND(AS77/FB_Kurs_7,2),0)</f>
      </c>
      <c r="AU77" s="116" t="str">
        <f>=ROUND(AS77+AN77,2)</f>
      </c>
      <c r="AV77" s="144" t="str">
        <f>=ROUND(AT77+AO77,2)</f>
      </c>
      <c r="AY77" s="149" t="s">
        <v>288</v>
      </c>
      <c r="AZ77" s="24"/>
      <c r="BA77" s="117" t="str">
        <f>=IFERROR(ROUND(AZ77/FB_Kurs_8,2),0)</f>
      </c>
      <c r="BB77" s="116" t="str">
        <f>=ROUND(AZ77+AU77,2)</f>
      </c>
      <c r="BC77" s="144" t="str">
        <f>=ROUND(BA77+AV77,2)</f>
      </c>
      <c r="BF77" s="149" t="s">
        <v>288</v>
      </c>
      <c r="BG77" s="24"/>
      <c r="BH77" s="117" t="str">
        <f>=IFERROR(ROUND(BG77/FB_Kurs_9,2),0)</f>
      </c>
      <c r="BI77" s="116" t="str">
        <f>=ROUND(BG77+BB77,2)</f>
      </c>
      <c r="BJ77" s="144" t="str">
        <f>=ROUND(BH77+BC77,2)</f>
      </c>
      <c r="BM77" s="149" t="s">
        <v>288</v>
      </c>
      <c r="BN77" s="24"/>
      <c r="BO77" s="117" t="str">
        <f>=IFERROR(ROUND(BN77/FB_Kurs_10,2),0)</f>
      </c>
      <c r="BP77" s="116" t="str">
        <f>=ROUND(BN77+BI77,2)</f>
      </c>
      <c r="BQ77" s="144" t="str">
        <f>=ROUND(BO77+BJ77,2)</f>
      </c>
      <c r="BT77" s="149" t="s">
        <v>288</v>
      </c>
      <c r="BU77" s="24"/>
      <c r="BV77" s="117" t="str">
        <f>=IFERROR(ROUND(BU77/FB_Kurs_11,2),0)</f>
      </c>
      <c r="BW77" s="116" t="str">
        <f>=ROUND(BU77+BP77,2)</f>
      </c>
      <c r="BX77" s="144" t="str">
        <f>=ROUND(BV77+BQ77,2)</f>
      </c>
      <c r="CA77" s="149" t="s">
        <v>288</v>
      </c>
      <c r="CB77" s="24"/>
      <c r="CC77" s="117" t="str">
        <f>=IFERROR(ROUND(CB77/FB_Kurs_12,2),0)</f>
      </c>
      <c r="CD77" s="116" t="str">
        <f>=ROUND(CB77+BW77,2)</f>
      </c>
      <c r="CE77" s="144" t="str">
        <f>=ROUND(CC77+BX77,2)</f>
      </c>
      <c r="CH77" s="149" t="s">
        <v>288</v>
      </c>
      <c r="CI77" s="24"/>
      <c r="CJ77" s="117" t="str">
        <f>=IFERROR(ROUND(CI77/FB_Kurs_13,2),0)</f>
      </c>
      <c r="CK77" s="116" t="str">
        <f>=ROUND(CI77+CD77,2)</f>
      </c>
      <c r="CL77" s="144" t="str">
        <f>=ROUND(CJ77+CE77,2)</f>
      </c>
      <c r="CO77" s="149" t="s">
        <v>288</v>
      </c>
      <c r="CP77" s="24"/>
      <c r="CQ77" s="117" t="str">
        <f>=IFERROR(ROUND(CP77/FB_Kurs_14,2),0)</f>
      </c>
      <c r="CR77" s="116" t="str">
        <f>=ROUND(CP77+CK77,2)</f>
      </c>
      <c r="CS77" s="144" t="str">
        <f>=ROUND(CQ77+CL77,2)</f>
      </c>
      <c r="CV77" s="149" t="s">
        <v>288</v>
      </c>
      <c r="CW77" s="24"/>
      <c r="CX77" s="117" t="str">
        <f>=IFERROR(ROUND(CW77/FB_Kurs_15,2),0)</f>
      </c>
      <c r="CY77" s="116" t="str">
        <f>=ROUND(CW77+CR77,2)</f>
      </c>
      <c r="CZ77" s="144" t="str">
        <f>=ROUND(CX77+CS77,2)</f>
      </c>
      <c r="DC77" s="149" t="s">
        <v>288</v>
      </c>
      <c r="DD77" s="24"/>
      <c r="DE77" s="117" t="str">
        <f>=IFERROR(ROUND(DD77/FB_Kurs_16,2),0)</f>
      </c>
      <c r="DF77" s="116" t="str">
        <f>=ROUND(DD77+CY77,2)</f>
      </c>
      <c r="DG77" s="144" t="str">
        <f>=ROUND(DE77+CZ77,2)</f>
      </c>
      <c r="DJ77" s="149" t="s">
        <v>288</v>
      </c>
      <c r="DK77" s="24"/>
      <c r="DL77" s="117" t="str">
        <f>=IFERROR(ROUND(DK77/FB_Kurs_17,2),0)</f>
      </c>
      <c r="DM77" s="116" t="str">
        <f>=ROUND(DK77+DF77,2)</f>
      </c>
      <c r="DN77" s="144" t="str">
        <f>=ROUND(DL77+DG77,2)</f>
      </c>
      <c r="DQ77" s="149" t="s">
        <v>288</v>
      </c>
      <c r="DR77" s="24"/>
      <c r="DS77" s="117" t="str">
        <f>=IFERROR(ROUND(DR77/FB_Kurs_18,2),0)</f>
      </c>
      <c r="DT77" s="116" t="str">
        <f>=ROUND(DR77+DM77,2)</f>
      </c>
      <c r="DU77" s="144" t="str">
        <f>=ROUND(DS77+DN77,2)</f>
      </c>
    </row>
    <row r="78">
      <c r="B78" s="149" t="s">
        <v>289</v>
      </c>
      <c r="C78" s="24"/>
      <c r="D78" s="117" t="str">
        <f>=IFERROR(ROUND(C78/FB_Kurs_1,2),0)</f>
      </c>
      <c r="E78" s="116" t="str">
        <f>=ROUND(C78,2)</f>
      </c>
      <c r="F78" s="144" t="str">
        <f>=ROUND(D78,2)</f>
      </c>
      <c r="I78" s="149" t="s">
        <v>289</v>
      </c>
      <c r="J78" s="24"/>
      <c r="K78" s="117" t="str">
        <f>=IFERROR(ROUND(J78/FB_Kurs_2,2),0)</f>
      </c>
      <c r="L78" s="116" t="str">
        <f>=ROUND(J78+E78,2)</f>
      </c>
      <c r="M78" s="144" t="str">
        <f>=ROUND(K78+F78,2)</f>
      </c>
      <c r="P78" s="149" t="s">
        <v>289</v>
      </c>
      <c r="Q78" s="24"/>
      <c r="R78" s="117" t="str">
        <f>=IFERROR(ROUND(Q78/FB_Kurs_3,2),0)</f>
      </c>
      <c r="S78" s="116" t="str">
        <f>=ROUND(Q78+L78,2)</f>
      </c>
      <c r="T78" s="144" t="str">
        <f>=ROUND(R78+M78,2)</f>
      </c>
      <c r="W78" s="149" t="s">
        <v>289</v>
      </c>
      <c r="X78" s="24"/>
      <c r="Y78" s="117" t="str">
        <f>=IFERROR(ROUND(X78/FB_Kurs_4,2),0)</f>
      </c>
      <c r="Z78" s="116" t="str">
        <f>=ROUND(X78+S78,2)</f>
      </c>
      <c r="AA78" s="144" t="str">
        <f>=ROUND(Y78+T78,2)</f>
      </c>
      <c r="AD78" s="149" t="s">
        <v>289</v>
      </c>
      <c r="AE78" s="24"/>
      <c r="AF78" s="117" t="str">
        <f>=IFERROR(ROUND(AE78/FB_Kurs_5,2),0)</f>
      </c>
      <c r="AG78" s="116" t="str">
        <f>=ROUND(AE78+Z78,2)</f>
      </c>
      <c r="AH78" s="144" t="str">
        <f>=ROUND(AF78+AA78,2)</f>
      </c>
      <c r="AK78" s="149" t="s">
        <v>289</v>
      </c>
      <c r="AL78" s="24"/>
      <c r="AM78" s="117" t="str">
        <f>=IFERROR(ROUND(AL78/FB_Kurs_6,2),0)</f>
      </c>
      <c r="AN78" s="116" t="str">
        <f>=ROUND(AL78+AG78,2)</f>
      </c>
      <c r="AO78" s="144" t="str">
        <f>=ROUND(AM78+AH78,2)</f>
      </c>
      <c r="AR78" s="149" t="s">
        <v>289</v>
      </c>
      <c r="AS78" s="24"/>
      <c r="AT78" s="117" t="str">
        <f>=IFERROR(ROUND(AS78/FB_Kurs_7,2),0)</f>
      </c>
      <c r="AU78" s="116" t="str">
        <f>=ROUND(AS78+AN78,2)</f>
      </c>
      <c r="AV78" s="144" t="str">
        <f>=ROUND(AT78+AO78,2)</f>
      </c>
      <c r="AY78" s="149" t="s">
        <v>289</v>
      </c>
      <c r="AZ78" s="24"/>
      <c r="BA78" s="117" t="str">
        <f>=IFERROR(ROUND(AZ78/FB_Kurs_8,2),0)</f>
      </c>
      <c r="BB78" s="116" t="str">
        <f>=ROUND(AZ78+AU78,2)</f>
      </c>
      <c r="BC78" s="144" t="str">
        <f>=ROUND(BA78+AV78,2)</f>
      </c>
      <c r="BF78" s="149" t="s">
        <v>289</v>
      </c>
      <c r="BG78" s="24"/>
      <c r="BH78" s="117" t="str">
        <f>=IFERROR(ROUND(BG78/FB_Kurs_9,2),0)</f>
      </c>
      <c r="BI78" s="116" t="str">
        <f>=ROUND(BG78+BB78,2)</f>
      </c>
      <c r="BJ78" s="144" t="str">
        <f>=ROUND(BH78+BC78,2)</f>
      </c>
      <c r="BM78" s="149" t="s">
        <v>289</v>
      </c>
      <c r="BN78" s="24"/>
      <c r="BO78" s="117" t="str">
        <f>=IFERROR(ROUND(BN78/FB_Kurs_10,2),0)</f>
      </c>
      <c r="BP78" s="116" t="str">
        <f>=ROUND(BN78+BI78,2)</f>
      </c>
      <c r="BQ78" s="144" t="str">
        <f>=ROUND(BO78+BJ78,2)</f>
      </c>
      <c r="BT78" s="149" t="s">
        <v>289</v>
      </c>
      <c r="BU78" s="24"/>
      <c r="BV78" s="117" t="str">
        <f>=IFERROR(ROUND(BU78/FB_Kurs_11,2),0)</f>
      </c>
      <c r="BW78" s="116" t="str">
        <f>=ROUND(BU78+BP78,2)</f>
      </c>
      <c r="BX78" s="144" t="str">
        <f>=ROUND(BV78+BQ78,2)</f>
      </c>
      <c r="CA78" s="149" t="s">
        <v>289</v>
      </c>
      <c r="CB78" s="24"/>
      <c r="CC78" s="117" t="str">
        <f>=IFERROR(ROUND(CB78/FB_Kurs_12,2),0)</f>
      </c>
      <c r="CD78" s="116" t="str">
        <f>=ROUND(CB78+BW78,2)</f>
      </c>
      <c r="CE78" s="144" t="str">
        <f>=ROUND(CC78+BX78,2)</f>
      </c>
      <c r="CH78" s="149" t="s">
        <v>289</v>
      </c>
      <c r="CI78" s="24"/>
      <c r="CJ78" s="117" t="str">
        <f>=IFERROR(ROUND(CI78/FB_Kurs_13,2),0)</f>
      </c>
      <c r="CK78" s="116" t="str">
        <f>=ROUND(CI78+CD78,2)</f>
      </c>
      <c r="CL78" s="144" t="str">
        <f>=ROUND(CJ78+CE78,2)</f>
      </c>
      <c r="CO78" s="149" t="s">
        <v>289</v>
      </c>
      <c r="CP78" s="24"/>
      <c r="CQ78" s="117" t="str">
        <f>=IFERROR(ROUND(CP78/FB_Kurs_14,2),0)</f>
      </c>
      <c r="CR78" s="116" t="str">
        <f>=ROUND(CP78+CK78,2)</f>
      </c>
      <c r="CS78" s="144" t="str">
        <f>=ROUND(CQ78+CL78,2)</f>
      </c>
      <c r="CV78" s="149" t="s">
        <v>289</v>
      </c>
      <c r="CW78" s="24"/>
      <c r="CX78" s="117" t="str">
        <f>=IFERROR(ROUND(CW78/FB_Kurs_15,2),0)</f>
      </c>
      <c r="CY78" s="116" t="str">
        <f>=ROUND(CW78+CR78,2)</f>
      </c>
      <c r="CZ78" s="144" t="str">
        <f>=ROUND(CX78+CS78,2)</f>
      </c>
      <c r="DC78" s="149" t="s">
        <v>289</v>
      </c>
      <c r="DD78" s="24"/>
      <c r="DE78" s="117" t="str">
        <f>=IFERROR(ROUND(DD78/FB_Kurs_16,2),0)</f>
      </c>
      <c r="DF78" s="116" t="str">
        <f>=ROUND(DD78+CY78,2)</f>
      </c>
      <c r="DG78" s="144" t="str">
        <f>=ROUND(DE78+CZ78,2)</f>
      </c>
      <c r="DJ78" s="149" t="s">
        <v>289</v>
      </c>
      <c r="DK78" s="24"/>
      <c r="DL78" s="117" t="str">
        <f>=IFERROR(ROUND(DK78/FB_Kurs_17,2),0)</f>
      </c>
      <c r="DM78" s="116" t="str">
        <f>=ROUND(DK78+DF78,2)</f>
      </c>
      <c r="DN78" s="144" t="str">
        <f>=ROUND(DL78+DG78,2)</f>
      </c>
      <c r="DQ78" s="149" t="s">
        <v>289</v>
      </c>
      <c r="DR78" s="24"/>
      <c r="DS78" s="117" t="str">
        <f>=IFERROR(ROUND(DR78/FB_Kurs_18,2),0)</f>
      </c>
      <c r="DT78" s="116" t="str">
        <f>=ROUND(DR78+DM78,2)</f>
      </c>
      <c r="DU78" s="144" t="str">
        <f>=ROUND(DS78+DN78,2)</f>
      </c>
    </row>
    <row r="79">
      <c r="B79" s="149" t="s">
        <v>290</v>
      </c>
      <c r="C79" s="24"/>
      <c r="D79" s="117" t="str">
        <f>=IFERROR(ROUND(C79/FB_Kurs_1,2),0)</f>
      </c>
      <c r="E79" s="116" t="str">
        <f>=ROUND(C79,2)</f>
      </c>
      <c r="F79" s="144" t="str">
        <f>=ROUND(D79,2)</f>
      </c>
      <c r="I79" s="149" t="s">
        <v>290</v>
      </c>
      <c r="J79" s="24"/>
      <c r="K79" s="117" t="str">
        <f>=IFERROR(ROUND(J79/FB_Kurs_2,2),0)</f>
      </c>
      <c r="L79" s="116" t="str">
        <f>=ROUND(J79+E79,2)</f>
      </c>
      <c r="M79" s="144" t="str">
        <f>=ROUND(K79+F79,2)</f>
      </c>
      <c r="P79" s="149" t="s">
        <v>290</v>
      </c>
      <c r="Q79" s="24"/>
      <c r="R79" s="117" t="str">
        <f>=IFERROR(ROUND(Q79/FB_Kurs_3,2),0)</f>
      </c>
      <c r="S79" s="116" t="str">
        <f>=ROUND(Q79+L79,2)</f>
      </c>
      <c r="T79" s="144" t="str">
        <f>=ROUND(R79+M79,2)</f>
      </c>
      <c r="W79" s="149" t="s">
        <v>290</v>
      </c>
      <c r="X79" s="24"/>
      <c r="Y79" s="117" t="str">
        <f>=IFERROR(ROUND(X79/FB_Kurs_4,2),0)</f>
      </c>
      <c r="Z79" s="116" t="str">
        <f>=ROUND(X79+S79,2)</f>
      </c>
      <c r="AA79" s="144" t="str">
        <f>=ROUND(Y79+T79,2)</f>
      </c>
      <c r="AD79" s="149" t="s">
        <v>290</v>
      </c>
      <c r="AE79" s="24"/>
      <c r="AF79" s="117" t="str">
        <f>=IFERROR(ROUND(AE79/FB_Kurs_5,2),0)</f>
      </c>
      <c r="AG79" s="116" t="str">
        <f>=ROUND(AE79+Z79,2)</f>
      </c>
      <c r="AH79" s="144" t="str">
        <f>=ROUND(AF79+AA79,2)</f>
      </c>
      <c r="AK79" s="149" t="s">
        <v>290</v>
      </c>
      <c r="AL79" s="24"/>
      <c r="AM79" s="117" t="str">
        <f>=IFERROR(ROUND(AL79/FB_Kurs_6,2),0)</f>
      </c>
      <c r="AN79" s="116" t="str">
        <f>=ROUND(AL79+AG79,2)</f>
      </c>
      <c r="AO79" s="144" t="str">
        <f>=ROUND(AM79+AH79,2)</f>
      </c>
      <c r="AR79" s="149" t="s">
        <v>290</v>
      </c>
      <c r="AS79" s="24"/>
      <c r="AT79" s="117" t="str">
        <f>=IFERROR(ROUND(AS79/FB_Kurs_7,2),0)</f>
      </c>
      <c r="AU79" s="116" t="str">
        <f>=ROUND(AS79+AN79,2)</f>
      </c>
      <c r="AV79" s="144" t="str">
        <f>=ROUND(AT79+AO79,2)</f>
      </c>
      <c r="AY79" s="149" t="s">
        <v>290</v>
      </c>
      <c r="AZ79" s="24"/>
      <c r="BA79" s="117" t="str">
        <f>=IFERROR(ROUND(AZ79/FB_Kurs_8,2),0)</f>
      </c>
      <c r="BB79" s="116" t="str">
        <f>=ROUND(AZ79+AU79,2)</f>
      </c>
      <c r="BC79" s="144" t="str">
        <f>=ROUND(BA79+AV79,2)</f>
      </c>
      <c r="BF79" s="149" t="s">
        <v>290</v>
      </c>
      <c r="BG79" s="24"/>
      <c r="BH79" s="117" t="str">
        <f>=IFERROR(ROUND(BG79/FB_Kurs_9,2),0)</f>
      </c>
      <c r="BI79" s="116" t="str">
        <f>=ROUND(BG79+BB79,2)</f>
      </c>
      <c r="BJ79" s="144" t="str">
        <f>=ROUND(BH79+BC79,2)</f>
      </c>
      <c r="BM79" s="149" t="s">
        <v>290</v>
      </c>
      <c r="BN79" s="24"/>
      <c r="BO79" s="117" t="str">
        <f>=IFERROR(ROUND(BN79/FB_Kurs_10,2),0)</f>
      </c>
      <c r="BP79" s="116" t="str">
        <f>=ROUND(BN79+BI79,2)</f>
      </c>
      <c r="BQ79" s="144" t="str">
        <f>=ROUND(BO79+BJ79,2)</f>
      </c>
      <c r="BT79" s="149" t="s">
        <v>290</v>
      </c>
      <c r="BU79" s="24"/>
      <c r="BV79" s="117" t="str">
        <f>=IFERROR(ROUND(BU79/FB_Kurs_11,2),0)</f>
      </c>
      <c r="BW79" s="116" t="str">
        <f>=ROUND(BU79+BP79,2)</f>
      </c>
      <c r="BX79" s="144" t="str">
        <f>=ROUND(BV79+BQ79,2)</f>
      </c>
      <c r="CA79" s="149" t="s">
        <v>290</v>
      </c>
      <c r="CB79" s="24"/>
      <c r="CC79" s="117" t="str">
        <f>=IFERROR(ROUND(CB79/FB_Kurs_12,2),0)</f>
      </c>
      <c r="CD79" s="116" t="str">
        <f>=ROUND(CB79+BW79,2)</f>
      </c>
      <c r="CE79" s="144" t="str">
        <f>=ROUND(CC79+BX79,2)</f>
      </c>
      <c r="CH79" s="149" t="s">
        <v>290</v>
      </c>
      <c r="CI79" s="24"/>
      <c r="CJ79" s="117" t="str">
        <f>=IFERROR(ROUND(CI79/FB_Kurs_13,2),0)</f>
      </c>
      <c r="CK79" s="116" t="str">
        <f>=ROUND(CI79+CD79,2)</f>
      </c>
      <c r="CL79" s="144" t="str">
        <f>=ROUND(CJ79+CE79,2)</f>
      </c>
      <c r="CO79" s="149" t="s">
        <v>290</v>
      </c>
      <c r="CP79" s="24"/>
      <c r="CQ79" s="117" t="str">
        <f>=IFERROR(ROUND(CP79/FB_Kurs_14,2),0)</f>
      </c>
      <c r="CR79" s="116" t="str">
        <f>=ROUND(CP79+CK79,2)</f>
      </c>
      <c r="CS79" s="144" t="str">
        <f>=ROUND(CQ79+CL79,2)</f>
      </c>
      <c r="CV79" s="149" t="s">
        <v>290</v>
      </c>
      <c r="CW79" s="24"/>
      <c r="CX79" s="117" t="str">
        <f>=IFERROR(ROUND(CW79/FB_Kurs_15,2),0)</f>
      </c>
      <c r="CY79" s="116" t="str">
        <f>=ROUND(CW79+CR79,2)</f>
      </c>
      <c r="CZ79" s="144" t="str">
        <f>=ROUND(CX79+CS79,2)</f>
      </c>
      <c r="DC79" s="149" t="s">
        <v>290</v>
      </c>
      <c r="DD79" s="24"/>
      <c r="DE79" s="117" t="str">
        <f>=IFERROR(ROUND(DD79/FB_Kurs_16,2),0)</f>
      </c>
      <c r="DF79" s="116" t="str">
        <f>=ROUND(DD79+CY79,2)</f>
      </c>
      <c r="DG79" s="144" t="str">
        <f>=ROUND(DE79+CZ79,2)</f>
      </c>
      <c r="DJ79" s="149" t="s">
        <v>290</v>
      </c>
      <c r="DK79" s="24"/>
      <c r="DL79" s="117" t="str">
        <f>=IFERROR(ROUND(DK79/FB_Kurs_17,2),0)</f>
      </c>
      <c r="DM79" s="116" t="str">
        <f>=ROUND(DK79+DF79,2)</f>
      </c>
      <c r="DN79" s="144" t="str">
        <f>=ROUND(DL79+DG79,2)</f>
      </c>
      <c r="DQ79" s="149" t="s">
        <v>290</v>
      </c>
      <c r="DR79" s="24"/>
      <c r="DS79" s="117" t="str">
        <f>=IFERROR(ROUND(DR79/FB_Kurs_18,2),0)</f>
      </c>
      <c r="DT79" s="116" t="str">
        <f>=ROUND(DR79+DM79,2)</f>
      </c>
      <c r="DU79" s="144" t="str">
        <f>=ROUND(DS79+DN79,2)</f>
      </c>
    </row>
    <row r="80">
      <c r="B80" s="149" t="s">
        <v>291</v>
      </c>
      <c r="C80" s="24"/>
      <c r="D80" s="117" t="str">
        <f>=IFERROR(ROUND(C80/FB_Kurs_1,2),0)</f>
      </c>
      <c r="E80" s="116" t="str">
        <f>=ROUND(C80,2)</f>
      </c>
      <c r="F80" s="144" t="str">
        <f>=ROUND(D80,2)</f>
      </c>
      <c r="I80" s="149" t="s">
        <v>291</v>
      </c>
      <c r="J80" s="24"/>
      <c r="K80" s="117" t="str">
        <f>=IFERROR(ROUND(J80/FB_Kurs_2,2),0)</f>
      </c>
      <c r="L80" s="116" t="str">
        <f>=ROUND(J80+E80,2)</f>
      </c>
      <c r="M80" s="144" t="str">
        <f>=ROUND(K80+F80,2)</f>
      </c>
      <c r="P80" s="149" t="s">
        <v>291</v>
      </c>
      <c r="Q80" s="24"/>
      <c r="R80" s="117" t="str">
        <f>=IFERROR(ROUND(Q80/FB_Kurs_3,2),0)</f>
      </c>
      <c r="S80" s="116" t="str">
        <f>=ROUND(Q80+L80,2)</f>
      </c>
      <c r="T80" s="144" t="str">
        <f>=ROUND(R80+M80,2)</f>
      </c>
      <c r="W80" s="149" t="s">
        <v>291</v>
      </c>
      <c r="X80" s="24"/>
      <c r="Y80" s="117" t="str">
        <f>=IFERROR(ROUND(X80/FB_Kurs_4,2),0)</f>
      </c>
      <c r="Z80" s="116" t="str">
        <f>=ROUND(X80+S80,2)</f>
      </c>
      <c r="AA80" s="144" t="str">
        <f>=ROUND(Y80+T80,2)</f>
      </c>
      <c r="AD80" s="149" t="s">
        <v>291</v>
      </c>
      <c r="AE80" s="24"/>
      <c r="AF80" s="117" t="str">
        <f>=IFERROR(ROUND(AE80/FB_Kurs_5,2),0)</f>
      </c>
      <c r="AG80" s="116" t="str">
        <f>=ROUND(AE80+Z80,2)</f>
      </c>
      <c r="AH80" s="144" t="str">
        <f>=ROUND(AF80+AA80,2)</f>
      </c>
      <c r="AK80" s="149" t="s">
        <v>291</v>
      </c>
      <c r="AL80" s="24"/>
      <c r="AM80" s="117" t="str">
        <f>=IFERROR(ROUND(AL80/FB_Kurs_6,2),0)</f>
      </c>
      <c r="AN80" s="116" t="str">
        <f>=ROUND(AL80+AG80,2)</f>
      </c>
      <c r="AO80" s="144" t="str">
        <f>=ROUND(AM80+AH80,2)</f>
      </c>
      <c r="AR80" s="149" t="s">
        <v>291</v>
      </c>
      <c r="AS80" s="24"/>
      <c r="AT80" s="117" t="str">
        <f>=IFERROR(ROUND(AS80/FB_Kurs_7,2),0)</f>
      </c>
      <c r="AU80" s="116" t="str">
        <f>=ROUND(AS80+AN80,2)</f>
      </c>
      <c r="AV80" s="144" t="str">
        <f>=ROUND(AT80+AO80,2)</f>
      </c>
      <c r="AY80" s="149" t="s">
        <v>291</v>
      </c>
      <c r="AZ80" s="24"/>
      <c r="BA80" s="117" t="str">
        <f>=IFERROR(ROUND(AZ80/FB_Kurs_8,2),0)</f>
      </c>
      <c r="BB80" s="116" t="str">
        <f>=ROUND(AZ80+AU80,2)</f>
      </c>
      <c r="BC80" s="144" t="str">
        <f>=ROUND(BA80+AV80,2)</f>
      </c>
      <c r="BF80" s="149" t="s">
        <v>291</v>
      </c>
      <c r="BG80" s="24"/>
      <c r="BH80" s="117" t="str">
        <f>=IFERROR(ROUND(BG80/FB_Kurs_9,2),0)</f>
      </c>
      <c r="BI80" s="116" t="str">
        <f>=ROUND(BG80+BB80,2)</f>
      </c>
      <c r="BJ80" s="144" t="str">
        <f>=ROUND(BH80+BC80,2)</f>
      </c>
      <c r="BM80" s="149" t="s">
        <v>291</v>
      </c>
      <c r="BN80" s="24"/>
      <c r="BO80" s="117" t="str">
        <f>=IFERROR(ROUND(BN80/FB_Kurs_10,2),0)</f>
      </c>
      <c r="BP80" s="116" t="str">
        <f>=ROUND(BN80+BI80,2)</f>
      </c>
      <c r="BQ80" s="144" t="str">
        <f>=ROUND(BO80+BJ80,2)</f>
      </c>
      <c r="BT80" s="149" t="s">
        <v>291</v>
      </c>
      <c r="BU80" s="24"/>
      <c r="BV80" s="117" t="str">
        <f>=IFERROR(ROUND(BU80/FB_Kurs_11,2),0)</f>
      </c>
      <c r="BW80" s="116" t="str">
        <f>=ROUND(BU80+BP80,2)</f>
      </c>
      <c r="BX80" s="144" t="str">
        <f>=ROUND(BV80+BQ80,2)</f>
      </c>
      <c r="CA80" s="149" t="s">
        <v>291</v>
      </c>
      <c r="CB80" s="24"/>
      <c r="CC80" s="117" t="str">
        <f>=IFERROR(ROUND(CB80/FB_Kurs_12,2),0)</f>
      </c>
      <c r="CD80" s="116" t="str">
        <f>=ROUND(CB80+BW80,2)</f>
      </c>
      <c r="CE80" s="144" t="str">
        <f>=ROUND(CC80+BX80,2)</f>
      </c>
      <c r="CH80" s="149" t="s">
        <v>291</v>
      </c>
      <c r="CI80" s="24"/>
      <c r="CJ80" s="117" t="str">
        <f>=IFERROR(ROUND(CI80/FB_Kurs_13,2),0)</f>
      </c>
      <c r="CK80" s="116" t="str">
        <f>=ROUND(CI80+CD80,2)</f>
      </c>
      <c r="CL80" s="144" t="str">
        <f>=ROUND(CJ80+CE80,2)</f>
      </c>
      <c r="CO80" s="149" t="s">
        <v>291</v>
      </c>
      <c r="CP80" s="24"/>
      <c r="CQ80" s="117" t="str">
        <f>=IFERROR(ROUND(CP80/FB_Kurs_14,2),0)</f>
      </c>
      <c r="CR80" s="116" t="str">
        <f>=ROUND(CP80+CK80,2)</f>
      </c>
      <c r="CS80" s="144" t="str">
        <f>=ROUND(CQ80+CL80,2)</f>
      </c>
      <c r="CV80" s="149" t="s">
        <v>291</v>
      </c>
      <c r="CW80" s="24"/>
      <c r="CX80" s="117" t="str">
        <f>=IFERROR(ROUND(CW80/FB_Kurs_15,2),0)</f>
      </c>
      <c r="CY80" s="116" t="str">
        <f>=ROUND(CW80+CR80,2)</f>
      </c>
      <c r="CZ80" s="144" t="str">
        <f>=ROUND(CX80+CS80,2)</f>
      </c>
      <c r="DC80" s="149" t="s">
        <v>291</v>
      </c>
      <c r="DD80" s="24"/>
      <c r="DE80" s="117" t="str">
        <f>=IFERROR(ROUND(DD80/FB_Kurs_16,2),0)</f>
      </c>
      <c r="DF80" s="116" t="str">
        <f>=ROUND(DD80+CY80,2)</f>
      </c>
      <c r="DG80" s="144" t="str">
        <f>=ROUND(DE80+CZ80,2)</f>
      </c>
      <c r="DJ80" s="149" t="s">
        <v>291</v>
      </c>
      <c r="DK80" s="24"/>
      <c r="DL80" s="117" t="str">
        <f>=IFERROR(ROUND(DK80/FB_Kurs_17,2),0)</f>
      </c>
      <c r="DM80" s="116" t="str">
        <f>=ROUND(DK80+DF80,2)</f>
      </c>
      <c r="DN80" s="144" t="str">
        <f>=ROUND(DL80+DG80,2)</f>
      </c>
      <c r="DQ80" s="149" t="s">
        <v>291</v>
      </c>
      <c r="DR80" s="24"/>
      <c r="DS80" s="117" t="str">
        <f>=IFERROR(ROUND(DR80/FB_Kurs_18,2),0)</f>
      </c>
      <c r="DT80" s="116" t="str">
        <f>=ROUND(DR80+DM80,2)</f>
      </c>
      <c r="DU80" s="144" t="str">
        <f>=ROUND(DS80+DN80,2)</f>
      </c>
    </row>
    <row r="81">
      <c r="B81" s="149" t="s">
        <v>292</v>
      </c>
      <c r="C81" s="24"/>
      <c r="D81" s="117" t="str">
        <f>=IFERROR(ROUND(C81/FB_Kurs_1,2),0)</f>
      </c>
      <c r="E81" s="116" t="str">
        <f>=ROUND(C81,2)</f>
      </c>
      <c r="F81" s="144" t="str">
        <f>=ROUND(D81,2)</f>
      </c>
      <c r="I81" s="149" t="s">
        <v>292</v>
      </c>
      <c r="J81" s="24"/>
      <c r="K81" s="117" t="str">
        <f>=IFERROR(ROUND(J81/FB_Kurs_2,2),0)</f>
      </c>
      <c r="L81" s="116" t="str">
        <f>=ROUND(J81+E81,2)</f>
      </c>
      <c r="M81" s="144" t="str">
        <f>=ROUND(K81+F81,2)</f>
      </c>
      <c r="P81" s="149" t="s">
        <v>292</v>
      </c>
      <c r="Q81" s="24"/>
      <c r="R81" s="117" t="str">
        <f>=IFERROR(ROUND(Q81/FB_Kurs_3,2),0)</f>
      </c>
      <c r="S81" s="116" t="str">
        <f>=ROUND(Q81+L81,2)</f>
      </c>
      <c r="T81" s="144" t="str">
        <f>=ROUND(R81+M81,2)</f>
      </c>
      <c r="W81" s="149" t="s">
        <v>292</v>
      </c>
      <c r="X81" s="24"/>
      <c r="Y81" s="117" t="str">
        <f>=IFERROR(ROUND(X81/FB_Kurs_4,2),0)</f>
      </c>
      <c r="Z81" s="116" t="str">
        <f>=ROUND(X81+S81,2)</f>
      </c>
      <c r="AA81" s="144" t="str">
        <f>=ROUND(Y81+T81,2)</f>
      </c>
      <c r="AD81" s="149" t="s">
        <v>292</v>
      </c>
      <c r="AE81" s="24"/>
      <c r="AF81" s="117" t="str">
        <f>=IFERROR(ROUND(AE81/FB_Kurs_5,2),0)</f>
      </c>
      <c r="AG81" s="116" t="str">
        <f>=ROUND(AE81+Z81,2)</f>
      </c>
      <c r="AH81" s="144" t="str">
        <f>=ROUND(AF81+AA81,2)</f>
      </c>
      <c r="AK81" s="149" t="s">
        <v>292</v>
      </c>
      <c r="AL81" s="24"/>
      <c r="AM81" s="117" t="str">
        <f>=IFERROR(ROUND(AL81/FB_Kurs_6,2),0)</f>
      </c>
      <c r="AN81" s="116" t="str">
        <f>=ROUND(AL81+AG81,2)</f>
      </c>
      <c r="AO81" s="144" t="str">
        <f>=ROUND(AM81+AH81,2)</f>
      </c>
      <c r="AR81" s="149" t="s">
        <v>292</v>
      </c>
      <c r="AS81" s="24"/>
      <c r="AT81" s="117" t="str">
        <f>=IFERROR(ROUND(AS81/FB_Kurs_7,2),0)</f>
      </c>
      <c r="AU81" s="116" t="str">
        <f>=ROUND(AS81+AN81,2)</f>
      </c>
      <c r="AV81" s="144" t="str">
        <f>=ROUND(AT81+AO81,2)</f>
      </c>
      <c r="AY81" s="149" t="s">
        <v>292</v>
      </c>
      <c r="AZ81" s="24"/>
      <c r="BA81" s="117" t="str">
        <f>=IFERROR(ROUND(AZ81/FB_Kurs_8,2),0)</f>
      </c>
      <c r="BB81" s="116" t="str">
        <f>=ROUND(AZ81+AU81,2)</f>
      </c>
      <c r="BC81" s="144" t="str">
        <f>=ROUND(BA81+AV81,2)</f>
      </c>
      <c r="BF81" s="149" t="s">
        <v>292</v>
      </c>
      <c r="BG81" s="24"/>
      <c r="BH81" s="117" t="str">
        <f>=IFERROR(ROUND(BG81/FB_Kurs_9,2),0)</f>
      </c>
      <c r="BI81" s="116" t="str">
        <f>=ROUND(BG81+BB81,2)</f>
      </c>
      <c r="BJ81" s="144" t="str">
        <f>=ROUND(BH81+BC81,2)</f>
      </c>
      <c r="BM81" s="149" t="s">
        <v>292</v>
      </c>
      <c r="BN81" s="24"/>
      <c r="BO81" s="117" t="str">
        <f>=IFERROR(ROUND(BN81/FB_Kurs_10,2),0)</f>
      </c>
      <c r="BP81" s="116" t="str">
        <f>=ROUND(BN81+BI81,2)</f>
      </c>
      <c r="BQ81" s="144" t="str">
        <f>=ROUND(BO81+BJ81,2)</f>
      </c>
      <c r="BT81" s="149" t="s">
        <v>292</v>
      </c>
      <c r="BU81" s="24"/>
      <c r="BV81" s="117" t="str">
        <f>=IFERROR(ROUND(BU81/FB_Kurs_11,2),0)</f>
      </c>
      <c r="BW81" s="116" t="str">
        <f>=ROUND(BU81+BP81,2)</f>
      </c>
      <c r="BX81" s="144" t="str">
        <f>=ROUND(BV81+BQ81,2)</f>
      </c>
      <c r="CA81" s="149" t="s">
        <v>292</v>
      </c>
      <c r="CB81" s="24"/>
      <c r="CC81" s="117" t="str">
        <f>=IFERROR(ROUND(CB81/FB_Kurs_12,2),0)</f>
      </c>
      <c r="CD81" s="116" t="str">
        <f>=ROUND(CB81+BW81,2)</f>
      </c>
      <c r="CE81" s="144" t="str">
        <f>=ROUND(CC81+BX81,2)</f>
      </c>
      <c r="CH81" s="149" t="s">
        <v>292</v>
      </c>
      <c r="CI81" s="24"/>
      <c r="CJ81" s="117" t="str">
        <f>=IFERROR(ROUND(CI81/FB_Kurs_13,2),0)</f>
      </c>
      <c r="CK81" s="116" t="str">
        <f>=ROUND(CI81+CD81,2)</f>
      </c>
      <c r="CL81" s="144" t="str">
        <f>=ROUND(CJ81+CE81,2)</f>
      </c>
      <c r="CO81" s="149" t="s">
        <v>292</v>
      </c>
      <c r="CP81" s="24"/>
      <c r="CQ81" s="117" t="str">
        <f>=IFERROR(ROUND(CP81/FB_Kurs_14,2),0)</f>
      </c>
      <c r="CR81" s="116" t="str">
        <f>=ROUND(CP81+CK81,2)</f>
      </c>
      <c r="CS81" s="144" t="str">
        <f>=ROUND(CQ81+CL81,2)</f>
      </c>
      <c r="CV81" s="149" t="s">
        <v>292</v>
      </c>
      <c r="CW81" s="24"/>
      <c r="CX81" s="117" t="str">
        <f>=IFERROR(ROUND(CW81/FB_Kurs_15,2),0)</f>
      </c>
      <c r="CY81" s="116" t="str">
        <f>=ROUND(CW81+CR81,2)</f>
      </c>
      <c r="CZ81" s="144" t="str">
        <f>=ROUND(CX81+CS81,2)</f>
      </c>
      <c r="DC81" s="149" t="s">
        <v>292</v>
      </c>
      <c r="DD81" s="24"/>
      <c r="DE81" s="117" t="str">
        <f>=IFERROR(ROUND(DD81/FB_Kurs_16,2),0)</f>
      </c>
      <c r="DF81" s="116" t="str">
        <f>=ROUND(DD81+CY81,2)</f>
      </c>
      <c r="DG81" s="144" t="str">
        <f>=ROUND(DE81+CZ81,2)</f>
      </c>
      <c r="DJ81" s="149" t="s">
        <v>292</v>
      </c>
      <c r="DK81" s="24"/>
      <c r="DL81" s="117" t="str">
        <f>=IFERROR(ROUND(DK81/FB_Kurs_17,2),0)</f>
      </c>
      <c r="DM81" s="116" t="str">
        <f>=ROUND(DK81+DF81,2)</f>
      </c>
      <c r="DN81" s="144" t="str">
        <f>=ROUND(DL81+DG81,2)</f>
      </c>
      <c r="DQ81" s="149" t="s">
        <v>292</v>
      </c>
      <c r="DR81" s="24"/>
      <c r="DS81" s="117" t="str">
        <f>=IFERROR(ROUND(DR81/FB_Kurs_18,2),0)</f>
      </c>
      <c r="DT81" s="116" t="str">
        <f>=ROUND(DR81+DM81,2)</f>
      </c>
      <c r="DU81" s="144" t="str">
        <f>=ROUND(DS81+DN81,2)</f>
      </c>
    </row>
    <row r="82">
      <c r="B82" s="149" t="s">
        <v>293</v>
      </c>
      <c r="C82" s="24"/>
      <c r="D82" s="117" t="str">
        <f>=IFERROR(ROUND(C82/FB_Kurs_1,2),0)</f>
      </c>
      <c r="E82" s="116" t="str">
        <f>=ROUND(C82,2)</f>
      </c>
      <c r="F82" s="144" t="str">
        <f>=ROUND(D82,2)</f>
      </c>
      <c r="I82" s="149" t="s">
        <v>293</v>
      </c>
      <c r="J82" s="24"/>
      <c r="K82" s="117" t="str">
        <f>=IFERROR(ROUND(J82/FB_Kurs_2,2),0)</f>
      </c>
      <c r="L82" s="116" t="str">
        <f>=ROUND(J82+E82,2)</f>
      </c>
      <c r="M82" s="144" t="str">
        <f>=ROUND(K82+F82,2)</f>
      </c>
      <c r="P82" s="149" t="s">
        <v>293</v>
      </c>
      <c r="Q82" s="24"/>
      <c r="R82" s="117" t="str">
        <f>=IFERROR(ROUND(Q82/FB_Kurs_3,2),0)</f>
      </c>
      <c r="S82" s="116" t="str">
        <f>=ROUND(Q82+L82,2)</f>
      </c>
      <c r="T82" s="144" t="str">
        <f>=ROUND(R82+M82,2)</f>
      </c>
      <c r="W82" s="149" t="s">
        <v>293</v>
      </c>
      <c r="X82" s="24"/>
      <c r="Y82" s="117" t="str">
        <f>=IFERROR(ROUND(X82/FB_Kurs_4,2),0)</f>
      </c>
      <c r="Z82" s="116" t="str">
        <f>=ROUND(X82+S82,2)</f>
      </c>
      <c r="AA82" s="144" t="str">
        <f>=ROUND(Y82+T82,2)</f>
      </c>
      <c r="AD82" s="149" t="s">
        <v>293</v>
      </c>
      <c r="AE82" s="24"/>
      <c r="AF82" s="117" t="str">
        <f>=IFERROR(ROUND(AE82/FB_Kurs_5,2),0)</f>
      </c>
      <c r="AG82" s="116" t="str">
        <f>=ROUND(AE82+Z82,2)</f>
      </c>
      <c r="AH82" s="144" t="str">
        <f>=ROUND(AF82+AA82,2)</f>
      </c>
      <c r="AK82" s="149" t="s">
        <v>293</v>
      </c>
      <c r="AL82" s="24"/>
      <c r="AM82" s="117" t="str">
        <f>=IFERROR(ROUND(AL82/FB_Kurs_6,2),0)</f>
      </c>
      <c r="AN82" s="116" t="str">
        <f>=ROUND(AL82+AG82,2)</f>
      </c>
      <c r="AO82" s="144" t="str">
        <f>=ROUND(AM82+AH82,2)</f>
      </c>
      <c r="AR82" s="149" t="s">
        <v>293</v>
      </c>
      <c r="AS82" s="24"/>
      <c r="AT82" s="117" t="str">
        <f>=IFERROR(ROUND(AS82/FB_Kurs_7,2),0)</f>
      </c>
      <c r="AU82" s="116" t="str">
        <f>=ROUND(AS82+AN82,2)</f>
      </c>
      <c r="AV82" s="144" t="str">
        <f>=ROUND(AT82+AO82,2)</f>
      </c>
      <c r="AY82" s="149" t="s">
        <v>293</v>
      </c>
      <c r="AZ82" s="24"/>
      <c r="BA82" s="117" t="str">
        <f>=IFERROR(ROUND(AZ82/FB_Kurs_8,2),0)</f>
      </c>
      <c r="BB82" s="116" t="str">
        <f>=ROUND(AZ82+AU82,2)</f>
      </c>
      <c r="BC82" s="144" t="str">
        <f>=ROUND(BA82+AV82,2)</f>
      </c>
      <c r="BF82" s="149" t="s">
        <v>293</v>
      </c>
      <c r="BG82" s="24"/>
      <c r="BH82" s="117" t="str">
        <f>=IFERROR(ROUND(BG82/FB_Kurs_9,2),0)</f>
      </c>
      <c r="BI82" s="116" t="str">
        <f>=ROUND(BG82+BB82,2)</f>
      </c>
      <c r="BJ82" s="144" t="str">
        <f>=ROUND(BH82+BC82,2)</f>
      </c>
      <c r="BM82" s="149" t="s">
        <v>293</v>
      </c>
      <c r="BN82" s="24"/>
      <c r="BO82" s="117" t="str">
        <f>=IFERROR(ROUND(BN82/FB_Kurs_10,2),0)</f>
      </c>
      <c r="BP82" s="116" t="str">
        <f>=ROUND(BN82+BI82,2)</f>
      </c>
      <c r="BQ82" s="144" t="str">
        <f>=ROUND(BO82+BJ82,2)</f>
      </c>
      <c r="BT82" s="149" t="s">
        <v>293</v>
      </c>
      <c r="BU82" s="24"/>
      <c r="BV82" s="117" t="str">
        <f>=IFERROR(ROUND(BU82/FB_Kurs_11,2),0)</f>
      </c>
      <c r="BW82" s="116" t="str">
        <f>=ROUND(BU82+BP82,2)</f>
      </c>
      <c r="BX82" s="144" t="str">
        <f>=ROUND(BV82+BQ82,2)</f>
      </c>
      <c r="CA82" s="149" t="s">
        <v>293</v>
      </c>
      <c r="CB82" s="24"/>
      <c r="CC82" s="117" t="str">
        <f>=IFERROR(ROUND(CB82/FB_Kurs_12,2),0)</f>
      </c>
      <c r="CD82" s="116" t="str">
        <f>=ROUND(CB82+BW82,2)</f>
      </c>
      <c r="CE82" s="144" t="str">
        <f>=ROUND(CC82+BX82,2)</f>
      </c>
      <c r="CH82" s="149" t="s">
        <v>293</v>
      </c>
      <c r="CI82" s="24"/>
      <c r="CJ82" s="117" t="str">
        <f>=IFERROR(ROUND(CI82/FB_Kurs_13,2),0)</f>
      </c>
      <c r="CK82" s="116" t="str">
        <f>=ROUND(CI82+CD82,2)</f>
      </c>
      <c r="CL82" s="144" t="str">
        <f>=ROUND(CJ82+CE82,2)</f>
      </c>
      <c r="CO82" s="149" t="s">
        <v>293</v>
      </c>
      <c r="CP82" s="24"/>
      <c r="CQ82" s="117" t="str">
        <f>=IFERROR(ROUND(CP82/FB_Kurs_14,2),0)</f>
      </c>
      <c r="CR82" s="116" t="str">
        <f>=ROUND(CP82+CK82,2)</f>
      </c>
      <c r="CS82" s="144" t="str">
        <f>=ROUND(CQ82+CL82,2)</f>
      </c>
      <c r="CV82" s="149" t="s">
        <v>293</v>
      </c>
      <c r="CW82" s="24"/>
      <c r="CX82" s="117" t="str">
        <f>=IFERROR(ROUND(CW82/FB_Kurs_15,2),0)</f>
      </c>
      <c r="CY82" s="116" t="str">
        <f>=ROUND(CW82+CR82,2)</f>
      </c>
      <c r="CZ82" s="144" t="str">
        <f>=ROUND(CX82+CS82,2)</f>
      </c>
      <c r="DC82" s="149" t="s">
        <v>293</v>
      </c>
      <c r="DD82" s="24"/>
      <c r="DE82" s="117" t="str">
        <f>=IFERROR(ROUND(DD82/FB_Kurs_16,2),0)</f>
      </c>
      <c r="DF82" s="116" t="str">
        <f>=ROUND(DD82+CY82,2)</f>
      </c>
      <c r="DG82" s="144" t="str">
        <f>=ROUND(DE82+CZ82,2)</f>
      </c>
      <c r="DJ82" s="149" t="s">
        <v>293</v>
      </c>
      <c r="DK82" s="24"/>
      <c r="DL82" s="117" t="str">
        <f>=IFERROR(ROUND(DK82/FB_Kurs_17,2),0)</f>
      </c>
      <c r="DM82" s="116" t="str">
        <f>=ROUND(DK82+DF82,2)</f>
      </c>
      <c r="DN82" s="144" t="str">
        <f>=ROUND(DL82+DG82,2)</f>
      </c>
      <c r="DQ82" s="149" t="s">
        <v>293</v>
      </c>
      <c r="DR82" s="24"/>
      <c r="DS82" s="117" t="str">
        <f>=IFERROR(ROUND(DR82/FB_Kurs_18,2),0)</f>
      </c>
      <c r="DT82" s="116" t="str">
        <f>=ROUND(DR82+DM82,2)</f>
      </c>
      <c r="DU82" s="144" t="str">
        <f>=ROUND(DS82+DN82,2)</f>
      </c>
    </row>
    <row r="83">
      <c r="B83" s="149" t="s">
        <v>294</v>
      </c>
      <c r="C83" s="24"/>
      <c r="D83" s="117" t="str">
        <f>=IFERROR(ROUND(C83/FB_Kurs_1,2),0)</f>
      </c>
      <c r="E83" s="116" t="str">
        <f>=ROUND(C83,2)</f>
      </c>
      <c r="F83" s="144" t="str">
        <f>=ROUND(D83,2)</f>
      </c>
      <c r="I83" s="149" t="s">
        <v>294</v>
      </c>
      <c r="J83" s="24"/>
      <c r="K83" s="117" t="str">
        <f>=IFERROR(ROUND(J83/FB_Kurs_2,2),0)</f>
      </c>
      <c r="L83" s="116" t="str">
        <f>=ROUND(J83+E83,2)</f>
      </c>
      <c r="M83" s="144" t="str">
        <f>=ROUND(K83+F83,2)</f>
      </c>
      <c r="P83" s="149" t="s">
        <v>294</v>
      </c>
      <c r="Q83" s="24"/>
      <c r="R83" s="117" t="str">
        <f>=IFERROR(ROUND(Q83/FB_Kurs_3,2),0)</f>
      </c>
      <c r="S83" s="116" t="str">
        <f>=ROUND(Q83+L83,2)</f>
      </c>
      <c r="T83" s="144" t="str">
        <f>=ROUND(R83+M83,2)</f>
      </c>
      <c r="W83" s="149" t="s">
        <v>294</v>
      </c>
      <c r="X83" s="24"/>
      <c r="Y83" s="117" t="str">
        <f>=IFERROR(ROUND(X83/FB_Kurs_4,2),0)</f>
      </c>
      <c r="Z83" s="116" t="str">
        <f>=ROUND(X83+S83,2)</f>
      </c>
      <c r="AA83" s="144" t="str">
        <f>=ROUND(Y83+T83,2)</f>
      </c>
      <c r="AD83" s="149" t="s">
        <v>294</v>
      </c>
      <c r="AE83" s="24"/>
      <c r="AF83" s="117" t="str">
        <f>=IFERROR(ROUND(AE83/FB_Kurs_5,2),0)</f>
      </c>
      <c r="AG83" s="116" t="str">
        <f>=ROUND(AE83+Z83,2)</f>
      </c>
      <c r="AH83" s="144" t="str">
        <f>=ROUND(AF83+AA83,2)</f>
      </c>
      <c r="AK83" s="149" t="s">
        <v>294</v>
      </c>
      <c r="AL83" s="24"/>
      <c r="AM83" s="117" t="str">
        <f>=IFERROR(ROUND(AL83/FB_Kurs_6,2),0)</f>
      </c>
      <c r="AN83" s="116" t="str">
        <f>=ROUND(AL83+AG83,2)</f>
      </c>
      <c r="AO83" s="144" t="str">
        <f>=ROUND(AM83+AH83,2)</f>
      </c>
      <c r="AR83" s="149" t="s">
        <v>294</v>
      </c>
      <c r="AS83" s="24"/>
      <c r="AT83" s="117" t="str">
        <f>=IFERROR(ROUND(AS83/FB_Kurs_7,2),0)</f>
      </c>
      <c r="AU83" s="116" t="str">
        <f>=ROUND(AS83+AN83,2)</f>
      </c>
      <c r="AV83" s="144" t="str">
        <f>=ROUND(AT83+AO83,2)</f>
      </c>
      <c r="AY83" s="149" t="s">
        <v>294</v>
      </c>
      <c r="AZ83" s="24"/>
      <c r="BA83" s="117" t="str">
        <f>=IFERROR(ROUND(AZ83/FB_Kurs_8,2),0)</f>
      </c>
      <c r="BB83" s="116" t="str">
        <f>=ROUND(AZ83+AU83,2)</f>
      </c>
      <c r="BC83" s="144" t="str">
        <f>=ROUND(BA83+AV83,2)</f>
      </c>
      <c r="BF83" s="149" t="s">
        <v>294</v>
      </c>
      <c r="BG83" s="24"/>
      <c r="BH83" s="117" t="str">
        <f>=IFERROR(ROUND(BG83/FB_Kurs_9,2),0)</f>
      </c>
      <c r="BI83" s="116" t="str">
        <f>=ROUND(BG83+BB83,2)</f>
      </c>
      <c r="BJ83" s="144" t="str">
        <f>=ROUND(BH83+BC83,2)</f>
      </c>
      <c r="BM83" s="149" t="s">
        <v>294</v>
      </c>
      <c r="BN83" s="24"/>
      <c r="BO83" s="117" t="str">
        <f>=IFERROR(ROUND(BN83/FB_Kurs_10,2),0)</f>
      </c>
      <c r="BP83" s="116" t="str">
        <f>=ROUND(BN83+BI83,2)</f>
      </c>
      <c r="BQ83" s="144" t="str">
        <f>=ROUND(BO83+BJ83,2)</f>
      </c>
      <c r="BT83" s="149" t="s">
        <v>294</v>
      </c>
      <c r="BU83" s="24"/>
      <c r="BV83" s="117" t="str">
        <f>=IFERROR(ROUND(BU83/FB_Kurs_11,2),0)</f>
      </c>
      <c r="BW83" s="116" t="str">
        <f>=ROUND(BU83+BP83,2)</f>
      </c>
      <c r="BX83" s="144" t="str">
        <f>=ROUND(BV83+BQ83,2)</f>
      </c>
      <c r="CA83" s="149" t="s">
        <v>294</v>
      </c>
      <c r="CB83" s="24"/>
      <c r="CC83" s="117" t="str">
        <f>=IFERROR(ROUND(CB83/FB_Kurs_12,2),0)</f>
      </c>
      <c r="CD83" s="116" t="str">
        <f>=ROUND(CB83+BW83,2)</f>
      </c>
      <c r="CE83" s="144" t="str">
        <f>=ROUND(CC83+BX83,2)</f>
      </c>
      <c r="CH83" s="149" t="s">
        <v>294</v>
      </c>
      <c r="CI83" s="24"/>
      <c r="CJ83" s="117" t="str">
        <f>=IFERROR(ROUND(CI83/FB_Kurs_13,2),0)</f>
      </c>
      <c r="CK83" s="116" t="str">
        <f>=ROUND(CI83+CD83,2)</f>
      </c>
      <c r="CL83" s="144" t="str">
        <f>=ROUND(CJ83+CE83,2)</f>
      </c>
      <c r="CO83" s="149" t="s">
        <v>294</v>
      </c>
      <c r="CP83" s="24"/>
      <c r="CQ83" s="117" t="str">
        <f>=IFERROR(ROUND(CP83/FB_Kurs_14,2),0)</f>
      </c>
      <c r="CR83" s="116" t="str">
        <f>=ROUND(CP83+CK83,2)</f>
      </c>
      <c r="CS83" s="144" t="str">
        <f>=ROUND(CQ83+CL83,2)</f>
      </c>
      <c r="CV83" s="149" t="s">
        <v>294</v>
      </c>
      <c r="CW83" s="24"/>
      <c r="CX83" s="117" t="str">
        <f>=IFERROR(ROUND(CW83/FB_Kurs_15,2),0)</f>
      </c>
      <c r="CY83" s="116" t="str">
        <f>=ROUND(CW83+CR83,2)</f>
      </c>
      <c r="CZ83" s="144" t="str">
        <f>=ROUND(CX83+CS83,2)</f>
      </c>
      <c r="DC83" s="149" t="s">
        <v>294</v>
      </c>
      <c r="DD83" s="24"/>
      <c r="DE83" s="117" t="str">
        <f>=IFERROR(ROUND(DD83/FB_Kurs_16,2),0)</f>
      </c>
      <c r="DF83" s="116" t="str">
        <f>=ROUND(DD83+CY83,2)</f>
      </c>
      <c r="DG83" s="144" t="str">
        <f>=ROUND(DE83+CZ83,2)</f>
      </c>
      <c r="DJ83" s="149" t="s">
        <v>294</v>
      </c>
      <c r="DK83" s="24"/>
      <c r="DL83" s="117" t="str">
        <f>=IFERROR(ROUND(DK83/FB_Kurs_17,2),0)</f>
      </c>
      <c r="DM83" s="116" t="str">
        <f>=ROUND(DK83+DF83,2)</f>
      </c>
      <c r="DN83" s="144" t="str">
        <f>=ROUND(DL83+DG83,2)</f>
      </c>
      <c r="DQ83" s="149" t="s">
        <v>294</v>
      </c>
      <c r="DR83" s="24"/>
      <c r="DS83" s="117" t="str">
        <f>=IFERROR(ROUND(DR83/FB_Kurs_18,2),0)</f>
      </c>
      <c r="DT83" s="116" t="str">
        <f>=ROUND(DR83+DM83,2)</f>
      </c>
      <c r="DU83" s="144" t="str">
        <f>=ROUND(DS83+DN83,2)</f>
      </c>
    </row>
    <row r="84">
      <c r="B84" s="149" t="s">
        <v>295</v>
      </c>
      <c r="C84" s="24"/>
      <c r="D84" s="117" t="str">
        <f>=IFERROR(ROUND(C84/FB_Kurs_1,2),0)</f>
      </c>
      <c r="E84" s="116" t="str">
        <f>=ROUND(C84,2)</f>
      </c>
      <c r="F84" s="144" t="str">
        <f>=ROUND(D84,2)</f>
      </c>
      <c r="I84" s="149" t="s">
        <v>295</v>
      </c>
      <c r="J84" s="24"/>
      <c r="K84" s="117" t="str">
        <f>=IFERROR(ROUND(J84/FB_Kurs_2,2),0)</f>
      </c>
      <c r="L84" s="116" t="str">
        <f>=ROUND(J84+E84,2)</f>
      </c>
      <c r="M84" s="144" t="str">
        <f>=ROUND(K84+F84,2)</f>
      </c>
      <c r="P84" s="149" t="s">
        <v>295</v>
      </c>
      <c r="Q84" s="24"/>
      <c r="R84" s="117" t="str">
        <f>=IFERROR(ROUND(Q84/FB_Kurs_3,2),0)</f>
      </c>
      <c r="S84" s="116" t="str">
        <f>=ROUND(Q84+L84,2)</f>
      </c>
      <c r="T84" s="144" t="str">
        <f>=ROUND(R84+M84,2)</f>
      </c>
      <c r="W84" s="149" t="s">
        <v>295</v>
      </c>
      <c r="X84" s="24"/>
      <c r="Y84" s="117" t="str">
        <f>=IFERROR(ROUND(X84/FB_Kurs_4,2),0)</f>
      </c>
      <c r="Z84" s="116" t="str">
        <f>=ROUND(X84+S84,2)</f>
      </c>
      <c r="AA84" s="144" t="str">
        <f>=ROUND(Y84+T84,2)</f>
      </c>
      <c r="AD84" s="149" t="s">
        <v>295</v>
      </c>
      <c r="AE84" s="24"/>
      <c r="AF84" s="117" t="str">
        <f>=IFERROR(ROUND(AE84/FB_Kurs_5,2),0)</f>
      </c>
      <c r="AG84" s="116" t="str">
        <f>=ROUND(AE84+Z84,2)</f>
      </c>
      <c r="AH84" s="144" t="str">
        <f>=ROUND(AF84+AA84,2)</f>
      </c>
      <c r="AK84" s="149" t="s">
        <v>295</v>
      </c>
      <c r="AL84" s="24"/>
      <c r="AM84" s="117" t="str">
        <f>=IFERROR(ROUND(AL84/FB_Kurs_6,2),0)</f>
      </c>
      <c r="AN84" s="116" t="str">
        <f>=ROUND(AL84+AG84,2)</f>
      </c>
      <c r="AO84" s="144" t="str">
        <f>=ROUND(AM84+AH84,2)</f>
      </c>
      <c r="AR84" s="149" t="s">
        <v>295</v>
      </c>
      <c r="AS84" s="24"/>
      <c r="AT84" s="117" t="str">
        <f>=IFERROR(ROUND(AS84/FB_Kurs_7,2),0)</f>
      </c>
      <c r="AU84" s="116" t="str">
        <f>=ROUND(AS84+AN84,2)</f>
      </c>
      <c r="AV84" s="144" t="str">
        <f>=ROUND(AT84+AO84,2)</f>
      </c>
      <c r="AY84" s="149" t="s">
        <v>295</v>
      </c>
      <c r="AZ84" s="24"/>
      <c r="BA84" s="117" t="str">
        <f>=IFERROR(ROUND(AZ84/FB_Kurs_8,2),0)</f>
      </c>
      <c r="BB84" s="116" t="str">
        <f>=ROUND(AZ84+AU84,2)</f>
      </c>
      <c r="BC84" s="144" t="str">
        <f>=ROUND(BA84+AV84,2)</f>
      </c>
      <c r="BF84" s="149" t="s">
        <v>295</v>
      </c>
      <c r="BG84" s="24"/>
      <c r="BH84" s="117" t="str">
        <f>=IFERROR(ROUND(BG84/FB_Kurs_9,2),0)</f>
      </c>
      <c r="BI84" s="116" t="str">
        <f>=ROUND(BG84+BB84,2)</f>
      </c>
      <c r="BJ84" s="144" t="str">
        <f>=ROUND(BH84+BC84,2)</f>
      </c>
      <c r="BM84" s="149" t="s">
        <v>295</v>
      </c>
      <c r="BN84" s="24"/>
      <c r="BO84" s="117" t="str">
        <f>=IFERROR(ROUND(BN84/FB_Kurs_10,2),0)</f>
      </c>
      <c r="BP84" s="116" t="str">
        <f>=ROUND(BN84+BI84,2)</f>
      </c>
      <c r="BQ84" s="144" t="str">
        <f>=ROUND(BO84+BJ84,2)</f>
      </c>
      <c r="BT84" s="149" t="s">
        <v>295</v>
      </c>
      <c r="BU84" s="24"/>
      <c r="BV84" s="117" t="str">
        <f>=IFERROR(ROUND(BU84/FB_Kurs_11,2),0)</f>
      </c>
      <c r="BW84" s="116" t="str">
        <f>=ROUND(BU84+BP84,2)</f>
      </c>
      <c r="BX84" s="144" t="str">
        <f>=ROUND(BV84+BQ84,2)</f>
      </c>
      <c r="CA84" s="149" t="s">
        <v>295</v>
      </c>
      <c r="CB84" s="24"/>
      <c r="CC84" s="117" t="str">
        <f>=IFERROR(ROUND(CB84/FB_Kurs_12,2),0)</f>
      </c>
      <c r="CD84" s="116" t="str">
        <f>=ROUND(CB84+BW84,2)</f>
      </c>
      <c r="CE84" s="144" t="str">
        <f>=ROUND(CC84+BX84,2)</f>
      </c>
      <c r="CH84" s="149" t="s">
        <v>295</v>
      </c>
      <c r="CI84" s="24"/>
      <c r="CJ84" s="117" t="str">
        <f>=IFERROR(ROUND(CI84/FB_Kurs_13,2),0)</f>
      </c>
      <c r="CK84" s="116" t="str">
        <f>=ROUND(CI84+CD84,2)</f>
      </c>
      <c r="CL84" s="144" t="str">
        <f>=ROUND(CJ84+CE84,2)</f>
      </c>
      <c r="CO84" s="149" t="s">
        <v>295</v>
      </c>
      <c r="CP84" s="24"/>
      <c r="CQ84" s="117" t="str">
        <f>=IFERROR(ROUND(CP84/FB_Kurs_14,2),0)</f>
      </c>
      <c r="CR84" s="116" t="str">
        <f>=ROUND(CP84+CK84,2)</f>
      </c>
      <c r="CS84" s="144" t="str">
        <f>=ROUND(CQ84+CL84,2)</f>
      </c>
      <c r="CV84" s="149" t="s">
        <v>295</v>
      </c>
      <c r="CW84" s="24"/>
      <c r="CX84" s="117" t="str">
        <f>=IFERROR(ROUND(CW84/FB_Kurs_15,2),0)</f>
      </c>
      <c r="CY84" s="116" t="str">
        <f>=ROUND(CW84+CR84,2)</f>
      </c>
      <c r="CZ84" s="144" t="str">
        <f>=ROUND(CX84+CS84,2)</f>
      </c>
      <c r="DC84" s="149" t="s">
        <v>295</v>
      </c>
      <c r="DD84" s="24"/>
      <c r="DE84" s="117" t="str">
        <f>=IFERROR(ROUND(DD84/FB_Kurs_16,2),0)</f>
      </c>
      <c r="DF84" s="116" t="str">
        <f>=ROUND(DD84+CY84,2)</f>
      </c>
      <c r="DG84" s="144" t="str">
        <f>=ROUND(DE84+CZ84,2)</f>
      </c>
      <c r="DJ84" s="149" t="s">
        <v>295</v>
      </c>
      <c r="DK84" s="24"/>
      <c r="DL84" s="117" t="str">
        <f>=IFERROR(ROUND(DK84/FB_Kurs_17,2),0)</f>
      </c>
      <c r="DM84" s="116" t="str">
        <f>=ROUND(DK84+DF84,2)</f>
      </c>
      <c r="DN84" s="144" t="str">
        <f>=ROUND(DL84+DG84,2)</f>
      </c>
      <c r="DQ84" s="149" t="s">
        <v>295</v>
      </c>
      <c r="DR84" s="24"/>
      <c r="DS84" s="117" t="str">
        <f>=IFERROR(ROUND(DR84/FB_Kurs_18,2),0)</f>
      </c>
      <c r="DT84" s="116" t="str">
        <f>=ROUND(DR84+DM84,2)</f>
      </c>
      <c r="DU84" s="144" t="str">
        <f>=ROUND(DS84+DN84,2)</f>
      </c>
    </row>
    <row r="85">
      <c r="B85" s="149" t="s">
        <v>296</v>
      </c>
      <c r="C85" s="24"/>
      <c r="D85" s="117" t="str">
        <f>=IFERROR(ROUND(C85/FB_Kurs_1,2),0)</f>
      </c>
      <c r="E85" s="116" t="str">
        <f>=ROUND(C85,2)</f>
      </c>
      <c r="F85" s="144" t="str">
        <f>=ROUND(D85,2)</f>
      </c>
      <c r="I85" s="149" t="s">
        <v>296</v>
      </c>
      <c r="J85" s="24"/>
      <c r="K85" s="117" t="str">
        <f>=IFERROR(ROUND(J85/FB_Kurs_2,2),0)</f>
      </c>
      <c r="L85" s="116" t="str">
        <f>=ROUND(J85+E85,2)</f>
      </c>
      <c r="M85" s="144" t="str">
        <f>=ROUND(K85+F85,2)</f>
      </c>
      <c r="P85" s="149" t="s">
        <v>296</v>
      </c>
      <c r="Q85" s="24"/>
      <c r="R85" s="117" t="str">
        <f>=IFERROR(ROUND(Q85/FB_Kurs_3,2),0)</f>
      </c>
      <c r="S85" s="116" t="str">
        <f>=ROUND(Q85+L85,2)</f>
      </c>
      <c r="T85" s="144" t="str">
        <f>=ROUND(R85+M85,2)</f>
      </c>
      <c r="W85" s="149" t="s">
        <v>296</v>
      </c>
      <c r="X85" s="24"/>
      <c r="Y85" s="117" t="str">
        <f>=IFERROR(ROUND(X85/FB_Kurs_4,2),0)</f>
      </c>
      <c r="Z85" s="116" t="str">
        <f>=ROUND(X85+S85,2)</f>
      </c>
      <c r="AA85" s="144" t="str">
        <f>=ROUND(Y85+T85,2)</f>
      </c>
      <c r="AD85" s="149" t="s">
        <v>296</v>
      </c>
      <c r="AE85" s="24"/>
      <c r="AF85" s="117" t="str">
        <f>=IFERROR(ROUND(AE85/FB_Kurs_5,2),0)</f>
      </c>
      <c r="AG85" s="116" t="str">
        <f>=ROUND(AE85+Z85,2)</f>
      </c>
      <c r="AH85" s="144" t="str">
        <f>=ROUND(AF85+AA85,2)</f>
      </c>
      <c r="AK85" s="149" t="s">
        <v>296</v>
      </c>
      <c r="AL85" s="24"/>
      <c r="AM85" s="117" t="str">
        <f>=IFERROR(ROUND(AL85/FB_Kurs_6,2),0)</f>
      </c>
      <c r="AN85" s="116" t="str">
        <f>=ROUND(AL85+AG85,2)</f>
      </c>
      <c r="AO85" s="144" t="str">
        <f>=ROUND(AM85+AH85,2)</f>
      </c>
      <c r="AR85" s="149" t="s">
        <v>296</v>
      </c>
      <c r="AS85" s="24"/>
      <c r="AT85" s="117" t="str">
        <f>=IFERROR(ROUND(AS85/FB_Kurs_7,2),0)</f>
      </c>
      <c r="AU85" s="116" t="str">
        <f>=ROUND(AS85+AN85,2)</f>
      </c>
      <c r="AV85" s="144" t="str">
        <f>=ROUND(AT85+AO85,2)</f>
      </c>
      <c r="AY85" s="149" t="s">
        <v>296</v>
      </c>
      <c r="AZ85" s="24"/>
      <c r="BA85" s="117" t="str">
        <f>=IFERROR(ROUND(AZ85/FB_Kurs_8,2),0)</f>
      </c>
      <c r="BB85" s="116" t="str">
        <f>=ROUND(AZ85+AU85,2)</f>
      </c>
      <c r="BC85" s="144" t="str">
        <f>=ROUND(BA85+AV85,2)</f>
      </c>
      <c r="BF85" s="149" t="s">
        <v>296</v>
      </c>
      <c r="BG85" s="24"/>
      <c r="BH85" s="117" t="str">
        <f>=IFERROR(ROUND(BG85/FB_Kurs_9,2),0)</f>
      </c>
      <c r="BI85" s="116" t="str">
        <f>=ROUND(BG85+BB85,2)</f>
      </c>
      <c r="BJ85" s="144" t="str">
        <f>=ROUND(BH85+BC85,2)</f>
      </c>
      <c r="BM85" s="149" t="s">
        <v>296</v>
      </c>
      <c r="BN85" s="24"/>
      <c r="BO85" s="117" t="str">
        <f>=IFERROR(ROUND(BN85/FB_Kurs_10,2),0)</f>
      </c>
      <c r="BP85" s="116" t="str">
        <f>=ROUND(BN85+BI85,2)</f>
      </c>
      <c r="BQ85" s="144" t="str">
        <f>=ROUND(BO85+BJ85,2)</f>
      </c>
      <c r="BT85" s="149" t="s">
        <v>296</v>
      </c>
      <c r="BU85" s="24"/>
      <c r="BV85" s="117" t="str">
        <f>=IFERROR(ROUND(BU85/FB_Kurs_11,2),0)</f>
      </c>
      <c r="BW85" s="116" t="str">
        <f>=ROUND(BU85+BP85,2)</f>
      </c>
      <c r="BX85" s="144" t="str">
        <f>=ROUND(BV85+BQ85,2)</f>
      </c>
      <c r="CA85" s="149" t="s">
        <v>296</v>
      </c>
      <c r="CB85" s="24"/>
      <c r="CC85" s="117" t="str">
        <f>=IFERROR(ROUND(CB85/FB_Kurs_12,2),0)</f>
      </c>
      <c r="CD85" s="116" t="str">
        <f>=ROUND(CB85+BW85,2)</f>
      </c>
      <c r="CE85" s="144" t="str">
        <f>=ROUND(CC85+BX85,2)</f>
      </c>
      <c r="CH85" s="149" t="s">
        <v>296</v>
      </c>
      <c r="CI85" s="24"/>
      <c r="CJ85" s="117" t="str">
        <f>=IFERROR(ROUND(CI85/FB_Kurs_13,2),0)</f>
      </c>
      <c r="CK85" s="116" t="str">
        <f>=ROUND(CI85+CD85,2)</f>
      </c>
      <c r="CL85" s="144" t="str">
        <f>=ROUND(CJ85+CE85,2)</f>
      </c>
      <c r="CO85" s="149" t="s">
        <v>296</v>
      </c>
      <c r="CP85" s="24"/>
      <c r="CQ85" s="117" t="str">
        <f>=IFERROR(ROUND(CP85/FB_Kurs_14,2),0)</f>
      </c>
      <c r="CR85" s="116" t="str">
        <f>=ROUND(CP85+CK85,2)</f>
      </c>
      <c r="CS85" s="144" t="str">
        <f>=ROUND(CQ85+CL85,2)</f>
      </c>
      <c r="CV85" s="149" t="s">
        <v>296</v>
      </c>
      <c r="CW85" s="24"/>
      <c r="CX85" s="117" t="str">
        <f>=IFERROR(ROUND(CW85/FB_Kurs_15,2),0)</f>
      </c>
      <c r="CY85" s="116" t="str">
        <f>=ROUND(CW85+CR85,2)</f>
      </c>
      <c r="CZ85" s="144" t="str">
        <f>=ROUND(CX85+CS85,2)</f>
      </c>
      <c r="DC85" s="149" t="s">
        <v>296</v>
      </c>
      <c r="DD85" s="24"/>
      <c r="DE85" s="117" t="str">
        <f>=IFERROR(ROUND(DD85/FB_Kurs_16,2),0)</f>
      </c>
      <c r="DF85" s="116" t="str">
        <f>=ROUND(DD85+CY85,2)</f>
      </c>
      <c r="DG85" s="144" t="str">
        <f>=ROUND(DE85+CZ85,2)</f>
      </c>
      <c r="DJ85" s="149" t="s">
        <v>296</v>
      </c>
      <c r="DK85" s="24"/>
      <c r="DL85" s="117" t="str">
        <f>=IFERROR(ROUND(DK85/FB_Kurs_17,2),0)</f>
      </c>
      <c r="DM85" s="116" t="str">
        <f>=ROUND(DK85+DF85,2)</f>
      </c>
      <c r="DN85" s="144" t="str">
        <f>=ROUND(DL85+DG85,2)</f>
      </c>
      <c r="DQ85" s="149" t="s">
        <v>296</v>
      </c>
      <c r="DR85" s="24"/>
      <c r="DS85" s="117" t="str">
        <f>=IFERROR(ROUND(DR85/FB_Kurs_18,2),0)</f>
      </c>
      <c r="DT85" s="116" t="str">
        <f>=ROUND(DR85+DM85,2)</f>
      </c>
      <c r="DU85" s="144" t="str">
        <f>=ROUND(DS85+DN85,2)</f>
      </c>
    </row>
    <row r="86">
      <c r="B86" s="149" t="s">
        <v>297</v>
      </c>
      <c r="C86" s="24"/>
      <c r="D86" s="117" t="str">
        <f>=IFERROR(ROUND(C86/FB_Kurs_1,2),0)</f>
      </c>
      <c r="E86" s="116" t="str">
        <f>=ROUND(C86,2)</f>
      </c>
      <c r="F86" s="144" t="str">
        <f>=ROUND(D86,2)</f>
      </c>
      <c r="I86" s="149" t="s">
        <v>297</v>
      </c>
      <c r="J86" s="24"/>
      <c r="K86" s="117" t="str">
        <f>=IFERROR(ROUND(J86/FB_Kurs_2,2),0)</f>
      </c>
      <c r="L86" s="116" t="str">
        <f>=ROUND(J86+E86,2)</f>
      </c>
      <c r="M86" s="144" t="str">
        <f>=ROUND(K86+F86,2)</f>
      </c>
      <c r="P86" s="149" t="s">
        <v>297</v>
      </c>
      <c r="Q86" s="24"/>
      <c r="R86" s="117" t="str">
        <f>=IFERROR(ROUND(Q86/FB_Kurs_3,2),0)</f>
      </c>
      <c r="S86" s="116" t="str">
        <f>=ROUND(Q86+L86,2)</f>
      </c>
      <c r="T86" s="144" t="str">
        <f>=ROUND(R86+M86,2)</f>
      </c>
      <c r="W86" s="149" t="s">
        <v>297</v>
      </c>
      <c r="X86" s="24"/>
      <c r="Y86" s="117" t="str">
        <f>=IFERROR(ROUND(X86/FB_Kurs_4,2),0)</f>
      </c>
      <c r="Z86" s="116" t="str">
        <f>=ROUND(X86+S86,2)</f>
      </c>
      <c r="AA86" s="144" t="str">
        <f>=ROUND(Y86+T86,2)</f>
      </c>
      <c r="AD86" s="149" t="s">
        <v>297</v>
      </c>
      <c r="AE86" s="24"/>
      <c r="AF86" s="117" t="str">
        <f>=IFERROR(ROUND(AE86/FB_Kurs_5,2),0)</f>
      </c>
      <c r="AG86" s="116" t="str">
        <f>=ROUND(AE86+Z86,2)</f>
      </c>
      <c r="AH86" s="144" t="str">
        <f>=ROUND(AF86+AA86,2)</f>
      </c>
      <c r="AK86" s="149" t="s">
        <v>297</v>
      </c>
      <c r="AL86" s="24"/>
      <c r="AM86" s="117" t="str">
        <f>=IFERROR(ROUND(AL86/FB_Kurs_6,2),0)</f>
      </c>
      <c r="AN86" s="116" t="str">
        <f>=ROUND(AL86+AG86,2)</f>
      </c>
      <c r="AO86" s="144" t="str">
        <f>=ROUND(AM86+AH86,2)</f>
      </c>
      <c r="AR86" s="149" t="s">
        <v>297</v>
      </c>
      <c r="AS86" s="24"/>
      <c r="AT86" s="117" t="str">
        <f>=IFERROR(ROUND(AS86/FB_Kurs_7,2),0)</f>
      </c>
      <c r="AU86" s="116" t="str">
        <f>=ROUND(AS86+AN86,2)</f>
      </c>
      <c r="AV86" s="144" t="str">
        <f>=ROUND(AT86+AO86,2)</f>
      </c>
      <c r="AY86" s="149" t="s">
        <v>297</v>
      </c>
      <c r="AZ86" s="24"/>
      <c r="BA86" s="117" t="str">
        <f>=IFERROR(ROUND(AZ86/FB_Kurs_8,2),0)</f>
      </c>
      <c r="BB86" s="116" t="str">
        <f>=ROUND(AZ86+AU86,2)</f>
      </c>
      <c r="BC86" s="144" t="str">
        <f>=ROUND(BA86+AV86,2)</f>
      </c>
      <c r="BF86" s="149" t="s">
        <v>297</v>
      </c>
      <c r="BG86" s="24"/>
      <c r="BH86" s="117" t="str">
        <f>=IFERROR(ROUND(BG86/FB_Kurs_9,2),0)</f>
      </c>
      <c r="BI86" s="116" t="str">
        <f>=ROUND(BG86+BB86,2)</f>
      </c>
      <c r="BJ86" s="144" t="str">
        <f>=ROUND(BH86+BC86,2)</f>
      </c>
      <c r="BM86" s="149" t="s">
        <v>297</v>
      </c>
      <c r="BN86" s="24"/>
      <c r="BO86" s="117" t="str">
        <f>=IFERROR(ROUND(BN86/FB_Kurs_10,2),0)</f>
      </c>
      <c r="BP86" s="116" t="str">
        <f>=ROUND(BN86+BI86,2)</f>
      </c>
      <c r="BQ86" s="144" t="str">
        <f>=ROUND(BO86+BJ86,2)</f>
      </c>
      <c r="BT86" s="149" t="s">
        <v>297</v>
      </c>
      <c r="BU86" s="24"/>
      <c r="BV86" s="117" t="str">
        <f>=IFERROR(ROUND(BU86/FB_Kurs_11,2),0)</f>
      </c>
      <c r="BW86" s="116" t="str">
        <f>=ROUND(BU86+BP86,2)</f>
      </c>
      <c r="BX86" s="144" t="str">
        <f>=ROUND(BV86+BQ86,2)</f>
      </c>
      <c r="CA86" s="149" t="s">
        <v>297</v>
      </c>
      <c r="CB86" s="24"/>
      <c r="CC86" s="117" t="str">
        <f>=IFERROR(ROUND(CB86/FB_Kurs_12,2),0)</f>
      </c>
      <c r="CD86" s="116" t="str">
        <f>=ROUND(CB86+BW86,2)</f>
      </c>
      <c r="CE86" s="144" t="str">
        <f>=ROUND(CC86+BX86,2)</f>
      </c>
      <c r="CH86" s="149" t="s">
        <v>297</v>
      </c>
      <c r="CI86" s="24"/>
      <c r="CJ86" s="117" t="str">
        <f>=IFERROR(ROUND(CI86/FB_Kurs_13,2),0)</f>
      </c>
      <c r="CK86" s="116" t="str">
        <f>=ROUND(CI86+CD86,2)</f>
      </c>
      <c r="CL86" s="144" t="str">
        <f>=ROUND(CJ86+CE86,2)</f>
      </c>
      <c r="CO86" s="149" t="s">
        <v>297</v>
      </c>
      <c r="CP86" s="24"/>
      <c r="CQ86" s="117" t="str">
        <f>=IFERROR(ROUND(CP86/FB_Kurs_14,2),0)</f>
      </c>
      <c r="CR86" s="116" t="str">
        <f>=ROUND(CP86+CK86,2)</f>
      </c>
      <c r="CS86" s="144" t="str">
        <f>=ROUND(CQ86+CL86,2)</f>
      </c>
      <c r="CV86" s="149" t="s">
        <v>297</v>
      </c>
      <c r="CW86" s="24"/>
      <c r="CX86" s="117" t="str">
        <f>=IFERROR(ROUND(CW86/FB_Kurs_15,2),0)</f>
      </c>
      <c r="CY86" s="116" t="str">
        <f>=ROUND(CW86+CR86,2)</f>
      </c>
      <c r="CZ86" s="144" t="str">
        <f>=ROUND(CX86+CS86,2)</f>
      </c>
      <c r="DC86" s="149" t="s">
        <v>297</v>
      </c>
      <c r="DD86" s="24"/>
      <c r="DE86" s="117" t="str">
        <f>=IFERROR(ROUND(DD86/FB_Kurs_16,2),0)</f>
      </c>
      <c r="DF86" s="116" t="str">
        <f>=ROUND(DD86+CY86,2)</f>
      </c>
      <c r="DG86" s="144" t="str">
        <f>=ROUND(DE86+CZ86,2)</f>
      </c>
      <c r="DJ86" s="149" t="s">
        <v>297</v>
      </c>
      <c r="DK86" s="24"/>
      <c r="DL86" s="117" t="str">
        <f>=IFERROR(ROUND(DK86/FB_Kurs_17,2),0)</f>
      </c>
      <c r="DM86" s="116" t="str">
        <f>=ROUND(DK86+DF86,2)</f>
      </c>
      <c r="DN86" s="144" t="str">
        <f>=ROUND(DL86+DG86,2)</f>
      </c>
      <c r="DQ86" s="149" t="s">
        <v>297</v>
      </c>
      <c r="DR86" s="24"/>
      <c r="DS86" s="117" t="str">
        <f>=IFERROR(ROUND(DR86/FB_Kurs_18,2),0)</f>
      </c>
      <c r="DT86" s="116" t="str">
        <f>=ROUND(DR86+DM86,2)</f>
      </c>
      <c r="DU86" s="144" t="str">
        <f>=ROUND(DS86+DN86,2)</f>
      </c>
    </row>
    <row r="87">
      <c r="B87" s="149" t="s">
        <v>298</v>
      </c>
      <c r="C87" s="24"/>
      <c r="D87" s="117" t="str">
        <f>=IFERROR(ROUND(C87/FB_Kurs_1,2),0)</f>
      </c>
      <c r="E87" s="116" t="str">
        <f>=ROUND(C87,2)</f>
      </c>
      <c r="F87" s="144" t="str">
        <f>=ROUND(D87,2)</f>
      </c>
      <c r="I87" s="149" t="s">
        <v>298</v>
      </c>
      <c r="J87" s="24"/>
      <c r="K87" s="117" t="str">
        <f>=IFERROR(ROUND(J87/FB_Kurs_2,2),0)</f>
      </c>
      <c r="L87" s="116" t="str">
        <f>=ROUND(J87+E87,2)</f>
      </c>
      <c r="M87" s="144" t="str">
        <f>=ROUND(K87+F87,2)</f>
      </c>
      <c r="P87" s="149" t="s">
        <v>298</v>
      </c>
      <c r="Q87" s="24"/>
      <c r="R87" s="117" t="str">
        <f>=IFERROR(ROUND(Q87/FB_Kurs_3,2),0)</f>
      </c>
      <c r="S87" s="116" t="str">
        <f>=ROUND(Q87+L87,2)</f>
      </c>
      <c r="T87" s="144" t="str">
        <f>=ROUND(R87+M87,2)</f>
      </c>
      <c r="W87" s="149" t="s">
        <v>298</v>
      </c>
      <c r="X87" s="24"/>
      <c r="Y87" s="117" t="str">
        <f>=IFERROR(ROUND(X87/FB_Kurs_4,2),0)</f>
      </c>
      <c r="Z87" s="116" t="str">
        <f>=ROUND(X87+S87,2)</f>
      </c>
      <c r="AA87" s="144" t="str">
        <f>=ROUND(Y87+T87,2)</f>
      </c>
      <c r="AD87" s="149" t="s">
        <v>298</v>
      </c>
      <c r="AE87" s="24"/>
      <c r="AF87" s="117" t="str">
        <f>=IFERROR(ROUND(AE87/FB_Kurs_5,2),0)</f>
      </c>
      <c r="AG87" s="116" t="str">
        <f>=ROUND(AE87+Z87,2)</f>
      </c>
      <c r="AH87" s="144" t="str">
        <f>=ROUND(AF87+AA87,2)</f>
      </c>
      <c r="AK87" s="149" t="s">
        <v>298</v>
      </c>
      <c r="AL87" s="24"/>
      <c r="AM87" s="117" t="str">
        <f>=IFERROR(ROUND(AL87/FB_Kurs_6,2),0)</f>
      </c>
      <c r="AN87" s="116" t="str">
        <f>=ROUND(AL87+AG87,2)</f>
      </c>
      <c r="AO87" s="144" t="str">
        <f>=ROUND(AM87+AH87,2)</f>
      </c>
      <c r="AR87" s="149" t="s">
        <v>298</v>
      </c>
      <c r="AS87" s="24"/>
      <c r="AT87" s="117" t="str">
        <f>=IFERROR(ROUND(AS87/FB_Kurs_7,2),0)</f>
      </c>
      <c r="AU87" s="116" t="str">
        <f>=ROUND(AS87+AN87,2)</f>
      </c>
      <c r="AV87" s="144" t="str">
        <f>=ROUND(AT87+AO87,2)</f>
      </c>
      <c r="AY87" s="149" t="s">
        <v>298</v>
      </c>
      <c r="AZ87" s="24"/>
      <c r="BA87" s="117" t="str">
        <f>=IFERROR(ROUND(AZ87/FB_Kurs_8,2),0)</f>
      </c>
      <c r="BB87" s="116" t="str">
        <f>=ROUND(AZ87+AU87,2)</f>
      </c>
      <c r="BC87" s="144" t="str">
        <f>=ROUND(BA87+AV87,2)</f>
      </c>
      <c r="BF87" s="149" t="s">
        <v>298</v>
      </c>
      <c r="BG87" s="24"/>
      <c r="BH87" s="117" t="str">
        <f>=IFERROR(ROUND(BG87/FB_Kurs_9,2),0)</f>
      </c>
      <c r="BI87" s="116" t="str">
        <f>=ROUND(BG87+BB87,2)</f>
      </c>
      <c r="BJ87" s="144" t="str">
        <f>=ROUND(BH87+BC87,2)</f>
      </c>
      <c r="BM87" s="149" t="s">
        <v>298</v>
      </c>
      <c r="BN87" s="24"/>
      <c r="BO87" s="117" t="str">
        <f>=IFERROR(ROUND(BN87/FB_Kurs_10,2),0)</f>
      </c>
      <c r="BP87" s="116" t="str">
        <f>=ROUND(BN87+BI87,2)</f>
      </c>
      <c r="BQ87" s="144" t="str">
        <f>=ROUND(BO87+BJ87,2)</f>
      </c>
      <c r="BT87" s="149" t="s">
        <v>298</v>
      </c>
      <c r="BU87" s="24"/>
      <c r="BV87" s="117" t="str">
        <f>=IFERROR(ROUND(BU87/FB_Kurs_11,2),0)</f>
      </c>
      <c r="BW87" s="116" t="str">
        <f>=ROUND(BU87+BP87,2)</f>
      </c>
      <c r="BX87" s="144" t="str">
        <f>=ROUND(BV87+BQ87,2)</f>
      </c>
      <c r="CA87" s="149" t="s">
        <v>298</v>
      </c>
      <c r="CB87" s="24"/>
      <c r="CC87" s="117" t="str">
        <f>=IFERROR(ROUND(CB87/FB_Kurs_12,2),0)</f>
      </c>
      <c r="CD87" s="116" t="str">
        <f>=ROUND(CB87+BW87,2)</f>
      </c>
      <c r="CE87" s="144" t="str">
        <f>=ROUND(CC87+BX87,2)</f>
      </c>
      <c r="CH87" s="149" t="s">
        <v>298</v>
      </c>
      <c r="CI87" s="24"/>
      <c r="CJ87" s="117" t="str">
        <f>=IFERROR(ROUND(CI87/FB_Kurs_13,2),0)</f>
      </c>
      <c r="CK87" s="116" t="str">
        <f>=ROUND(CI87+CD87,2)</f>
      </c>
      <c r="CL87" s="144" t="str">
        <f>=ROUND(CJ87+CE87,2)</f>
      </c>
      <c r="CO87" s="149" t="s">
        <v>298</v>
      </c>
      <c r="CP87" s="24"/>
      <c r="CQ87" s="117" t="str">
        <f>=IFERROR(ROUND(CP87/FB_Kurs_14,2),0)</f>
      </c>
      <c r="CR87" s="116" t="str">
        <f>=ROUND(CP87+CK87,2)</f>
      </c>
      <c r="CS87" s="144" t="str">
        <f>=ROUND(CQ87+CL87,2)</f>
      </c>
      <c r="CV87" s="149" t="s">
        <v>298</v>
      </c>
      <c r="CW87" s="24"/>
      <c r="CX87" s="117" t="str">
        <f>=IFERROR(ROUND(CW87/FB_Kurs_15,2),0)</f>
      </c>
      <c r="CY87" s="116" t="str">
        <f>=ROUND(CW87+CR87,2)</f>
      </c>
      <c r="CZ87" s="144" t="str">
        <f>=ROUND(CX87+CS87,2)</f>
      </c>
      <c r="DC87" s="149" t="s">
        <v>298</v>
      </c>
      <c r="DD87" s="24"/>
      <c r="DE87" s="117" t="str">
        <f>=IFERROR(ROUND(DD87/FB_Kurs_16,2),0)</f>
      </c>
      <c r="DF87" s="116" t="str">
        <f>=ROUND(DD87+CY87,2)</f>
      </c>
      <c r="DG87" s="144" t="str">
        <f>=ROUND(DE87+CZ87,2)</f>
      </c>
      <c r="DJ87" s="149" t="s">
        <v>298</v>
      </c>
      <c r="DK87" s="24"/>
      <c r="DL87" s="117" t="str">
        <f>=IFERROR(ROUND(DK87/FB_Kurs_17,2),0)</f>
      </c>
      <c r="DM87" s="116" t="str">
        <f>=ROUND(DK87+DF87,2)</f>
      </c>
      <c r="DN87" s="144" t="str">
        <f>=ROUND(DL87+DG87,2)</f>
      </c>
      <c r="DQ87" s="149" t="s">
        <v>298</v>
      </c>
      <c r="DR87" s="24"/>
      <c r="DS87" s="117" t="str">
        <f>=IFERROR(ROUND(DR87/FB_Kurs_18,2),0)</f>
      </c>
      <c r="DT87" s="116" t="str">
        <f>=ROUND(DR87+DM87,2)</f>
      </c>
      <c r="DU87" s="144" t="str">
        <f>=ROUND(DS87+DN87,2)</f>
      </c>
    </row>
    <row r="88">
      <c r="B88" s="149" t="s">
        <v>299</v>
      </c>
      <c r="C88" s="24"/>
      <c r="D88" s="117" t="str">
        <f>=IFERROR(ROUND(C88/FB_Kurs_1,2),0)</f>
      </c>
      <c r="E88" s="116" t="str">
        <f>=ROUND(C88,2)</f>
      </c>
      <c r="F88" s="144" t="str">
        <f>=ROUND(D88,2)</f>
      </c>
      <c r="I88" s="149" t="s">
        <v>299</v>
      </c>
      <c r="J88" s="24"/>
      <c r="K88" s="117" t="str">
        <f>=IFERROR(ROUND(J88/FB_Kurs_2,2),0)</f>
      </c>
      <c r="L88" s="116" t="str">
        <f>=ROUND(J88+E88,2)</f>
      </c>
      <c r="M88" s="144" t="str">
        <f>=ROUND(K88+F88,2)</f>
      </c>
      <c r="P88" s="149" t="s">
        <v>299</v>
      </c>
      <c r="Q88" s="24"/>
      <c r="R88" s="117" t="str">
        <f>=IFERROR(ROUND(Q88/FB_Kurs_3,2),0)</f>
      </c>
      <c r="S88" s="116" t="str">
        <f>=ROUND(Q88+L88,2)</f>
      </c>
      <c r="T88" s="144" t="str">
        <f>=ROUND(R88+M88,2)</f>
      </c>
      <c r="W88" s="149" t="s">
        <v>299</v>
      </c>
      <c r="X88" s="24"/>
      <c r="Y88" s="117" t="str">
        <f>=IFERROR(ROUND(X88/FB_Kurs_4,2),0)</f>
      </c>
      <c r="Z88" s="116" t="str">
        <f>=ROUND(X88+S88,2)</f>
      </c>
      <c r="AA88" s="144" t="str">
        <f>=ROUND(Y88+T88,2)</f>
      </c>
      <c r="AD88" s="149" t="s">
        <v>299</v>
      </c>
      <c r="AE88" s="24"/>
      <c r="AF88" s="117" t="str">
        <f>=IFERROR(ROUND(AE88/FB_Kurs_5,2),0)</f>
      </c>
      <c r="AG88" s="116" t="str">
        <f>=ROUND(AE88+Z88,2)</f>
      </c>
      <c r="AH88" s="144" t="str">
        <f>=ROUND(AF88+AA88,2)</f>
      </c>
      <c r="AK88" s="149" t="s">
        <v>299</v>
      </c>
      <c r="AL88" s="24"/>
      <c r="AM88" s="117" t="str">
        <f>=IFERROR(ROUND(AL88/FB_Kurs_6,2),0)</f>
      </c>
      <c r="AN88" s="116" t="str">
        <f>=ROUND(AL88+AG88,2)</f>
      </c>
      <c r="AO88" s="144" t="str">
        <f>=ROUND(AM88+AH88,2)</f>
      </c>
      <c r="AR88" s="149" t="s">
        <v>299</v>
      </c>
      <c r="AS88" s="24"/>
      <c r="AT88" s="117" t="str">
        <f>=IFERROR(ROUND(AS88/FB_Kurs_7,2),0)</f>
      </c>
      <c r="AU88" s="116" t="str">
        <f>=ROUND(AS88+AN88,2)</f>
      </c>
      <c r="AV88" s="144" t="str">
        <f>=ROUND(AT88+AO88,2)</f>
      </c>
      <c r="AY88" s="149" t="s">
        <v>299</v>
      </c>
      <c r="AZ88" s="24"/>
      <c r="BA88" s="117" t="str">
        <f>=IFERROR(ROUND(AZ88/FB_Kurs_8,2),0)</f>
      </c>
      <c r="BB88" s="116" t="str">
        <f>=ROUND(AZ88+AU88,2)</f>
      </c>
      <c r="BC88" s="144" t="str">
        <f>=ROUND(BA88+AV88,2)</f>
      </c>
      <c r="BF88" s="149" t="s">
        <v>299</v>
      </c>
      <c r="BG88" s="24"/>
      <c r="BH88" s="117" t="str">
        <f>=IFERROR(ROUND(BG88/FB_Kurs_9,2),0)</f>
      </c>
      <c r="BI88" s="116" t="str">
        <f>=ROUND(BG88+BB88,2)</f>
      </c>
      <c r="BJ88" s="144" t="str">
        <f>=ROUND(BH88+BC88,2)</f>
      </c>
      <c r="BM88" s="149" t="s">
        <v>299</v>
      </c>
      <c r="BN88" s="24"/>
      <c r="BO88" s="117" t="str">
        <f>=IFERROR(ROUND(BN88/FB_Kurs_10,2),0)</f>
      </c>
      <c r="BP88" s="116" t="str">
        <f>=ROUND(BN88+BI88,2)</f>
      </c>
      <c r="BQ88" s="144" t="str">
        <f>=ROUND(BO88+BJ88,2)</f>
      </c>
      <c r="BT88" s="149" t="s">
        <v>299</v>
      </c>
      <c r="BU88" s="24"/>
      <c r="BV88" s="117" t="str">
        <f>=IFERROR(ROUND(BU88/FB_Kurs_11,2),0)</f>
      </c>
      <c r="BW88" s="116" t="str">
        <f>=ROUND(BU88+BP88,2)</f>
      </c>
      <c r="BX88" s="144" t="str">
        <f>=ROUND(BV88+BQ88,2)</f>
      </c>
      <c r="CA88" s="149" t="s">
        <v>299</v>
      </c>
      <c r="CB88" s="24"/>
      <c r="CC88" s="117" t="str">
        <f>=IFERROR(ROUND(CB88/FB_Kurs_12,2),0)</f>
      </c>
      <c r="CD88" s="116" t="str">
        <f>=ROUND(CB88+BW88,2)</f>
      </c>
      <c r="CE88" s="144" t="str">
        <f>=ROUND(CC88+BX88,2)</f>
      </c>
      <c r="CH88" s="149" t="s">
        <v>299</v>
      </c>
      <c r="CI88" s="24"/>
      <c r="CJ88" s="117" t="str">
        <f>=IFERROR(ROUND(CI88/FB_Kurs_13,2),0)</f>
      </c>
      <c r="CK88" s="116" t="str">
        <f>=ROUND(CI88+CD88,2)</f>
      </c>
      <c r="CL88" s="144" t="str">
        <f>=ROUND(CJ88+CE88,2)</f>
      </c>
      <c r="CO88" s="149" t="s">
        <v>299</v>
      </c>
      <c r="CP88" s="24"/>
      <c r="CQ88" s="117" t="str">
        <f>=IFERROR(ROUND(CP88/FB_Kurs_14,2),0)</f>
      </c>
      <c r="CR88" s="116" t="str">
        <f>=ROUND(CP88+CK88,2)</f>
      </c>
      <c r="CS88" s="144" t="str">
        <f>=ROUND(CQ88+CL88,2)</f>
      </c>
      <c r="CV88" s="149" t="s">
        <v>299</v>
      </c>
      <c r="CW88" s="24"/>
      <c r="CX88" s="117" t="str">
        <f>=IFERROR(ROUND(CW88/FB_Kurs_15,2),0)</f>
      </c>
      <c r="CY88" s="116" t="str">
        <f>=ROUND(CW88+CR88,2)</f>
      </c>
      <c r="CZ88" s="144" t="str">
        <f>=ROUND(CX88+CS88,2)</f>
      </c>
      <c r="DC88" s="149" t="s">
        <v>299</v>
      </c>
      <c r="DD88" s="24"/>
      <c r="DE88" s="117" t="str">
        <f>=IFERROR(ROUND(DD88/FB_Kurs_16,2),0)</f>
      </c>
      <c r="DF88" s="116" t="str">
        <f>=ROUND(DD88+CY88,2)</f>
      </c>
      <c r="DG88" s="144" t="str">
        <f>=ROUND(DE88+CZ88,2)</f>
      </c>
      <c r="DJ88" s="149" t="s">
        <v>299</v>
      </c>
      <c r="DK88" s="24"/>
      <c r="DL88" s="117" t="str">
        <f>=IFERROR(ROUND(DK88/FB_Kurs_17,2),0)</f>
      </c>
      <c r="DM88" s="116" t="str">
        <f>=ROUND(DK88+DF88,2)</f>
      </c>
      <c r="DN88" s="144" t="str">
        <f>=ROUND(DL88+DG88,2)</f>
      </c>
      <c r="DQ88" s="149" t="s">
        <v>299</v>
      </c>
      <c r="DR88" s="24"/>
      <c r="DS88" s="117" t="str">
        <f>=IFERROR(ROUND(DR88/FB_Kurs_18,2),0)</f>
      </c>
      <c r="DT88" s="116" t="str">
        <f>=ROUND(DR88+DM88,2)</f>
      </c>
      <c r="DU88" s="144" t="str">
        <f>=ROUND(DS88+DN88,2)</f>
      </c>
    </row>
    <row r="89">
      <c r="B89" s="149" t="s">
        <v>301</v>
      </c>
      <c r="C89" s="24"/>
      <c r="D89" s="117" t="str">
        <f>=IFERROR(ROUND(C89/FB_Kurs_1,2),0)</f>
      </c>
      <c r="E89" s="116" t="str">
        <f>=ROUND(C89,2)</f>
      </c>
      <c r="F89" s="144" t="str">
        <f>=ROUND(D89,2)</f>
      </c>
      <c r="I89" s="149" t="s">
        <v>301</v>
      </c>
      <c r="J89" s="24"/>
      <c r="K89" s="117" t="str">
        <f>=IFERROR(ROUND(J89/FB_Kurs_2,2),0)</f>
      </c>
      <c r="L89" s="116" t="str">
        <f>=ROUND(J89+E89,2)</f>
      </c>
      <c r="M89" s="144" t="str">
        <f>=ROUND(K89+F89,2)</f>
      </c>
      <c r="P89" s="149" t="s">
        <v>301</v>
      </c>
      <c r="Q89" s="24"/>
      <c r="R89" s="117" t="str">
        <f>=IFERROR(ROUND(Q89/FB_Kurs_3,2),0)</f>
      </c>
      <c r="S89" s="116" t="str">
        <f>=ROUND(Q89+L89,2)</f>
      </c>
      <c r="T89" s="144" t="str">
        <f>=ROUND(R89+M89,2)</f>
      </c>
      <c r="W89" s="149" t="s">
        <v>301</v>
      </c>
      <c r="X89" s="24"/>
      <c r="Y89" s="117" t="str">
        <f>=IFERROR(ROUND(X89/FB_Kurs_4,2),0)</f>
      </c>
      <c r="Z89" s="116" t="str">
        <f>=ROUND(X89+S89,2)</f>
      </c>
      <c r="AA89" s="144" t="str">
        <f>=ROUND(Y89+T89,2)</f>
      </c>
      <c r="AD89" s="149" t="s">
        <v>301</v>
      </c>
      <c r="AE89" s="24"/>
      <c r="AF89" s="117" t="str">
        <f>=IFERROR(ROUND(AE89/FB_Kurs_5,2),0)</f>
      </c>
      <c r="AG89" s="116" t="str">
        <f>=ROUND(AE89+Z89,2)</f>
      </c>
      <c r="AH89" s="144" t="str">
        <f>=ROUND(AF89+AA89,2)</f>
      </c>
      <c r="AK89" s="149" t="s">
        <v>301</v>
      </c>
      <c r="AL89" s="24"/>
      <c r="AM89" s="117" t="str">
        <f>=IFERROR(ROUND(AL89/FB_Kurs_6,2),0)</f>
      </c>
      <c r="AN89" s="116" t="str">
        <f>=ROUND(AL89+AG89,2)</f>
      </c>
      <c r="AO89" s="144" t="str">
        <f>=ROUND(AM89+AH89,2)</f>
      </c>
      <c r="AR89" s="149" t="s">
        <v>301</v>
      </c>
      <c r="AS89" s="24"/>
      <c r="AT89" s="117" t="str">
        <f>=IFERROR(ROUND(AS89/FB_Kurs_7,2),0)</f>
      </c>
      <c r="AU89" s="116" t="str">
        <f>=ROUND(AS89+AN89,2)</f>
      </c>
      <c r="AV89" s="144" t="str">
        <f>=ROUND(AT89+AO89,2)</f>
      </c>
      <c r="AY89" s="149" t="s">
        <v>301</v>
      </c>
      <c r="AZ89" s="24"/>
      <c r="BA89" s="117" t="str">
        <f>=IFERROR(ROUND(AZ89/FB_Kurs_8,2),0)</f>
      </c>
      <c r="BB89" s="116" t="str">
        <f>=ROUND(AZ89+AU89,2)</f>
      </c>
      <c r="BC89" s="144" t="str">
        <f>=ROUND(BA89+AV89,2)</f>
      </c>
      <c r="BF89" s="149" t="s">
        <v>301</v>
      </c>
      <c r="BG89" s="24"/>
      <c r="BH89" s="117" t="str">
        <f>=IFERROR(ROUND(BG89/FB_Kurs_9,2),0)</f>
      </c>
      <c r="BI89" s="116" t="str">
        <f>=ROUND(BG89+BB89,2)</f>
      </c>
      <c r="BJ89" s="144" t="str">
        <f>=ROUND(BH89+BC89,2)</f>
      </c>
      <c r="BM89" s="149" t="s">
        <v>301</v>
      </c>
      <c r="BN89" s="24"/>
      <c r="BO89" s="117" t="str">
        <f>=IFERROR(ROUND(BN89/FB_Kurs_10,2),0)</f>
      </c>
      <c r="BP89" s="116" t="str">
        <f>=ROUND(BN89+BI89,2)</f>
      </c>
      <c r="BQ89" s="144" t="str">
        <f>=ROUND(BO89+BJ89,2)</f>
      </c>
      <c r="BT89" s="149" t="s">
        <v>301</v>
      </c>
      <c r="BU89" s="24"/>
      <c r="BV89" s="117" t="str">
        <f>=IFERROR(ROUND(BU89/FB_Kurs_11,2),0)</f>
      </c>
      <c r="BW89" s="116" t="str">
        <f>=ROUND(BU89+BP89,2)</f>
      </c>
      <c r="BX89" s="144" t="str">
        <f>=ROUND(BV89+BQ89,2)</f>
      </c>
      <c r="CA89" s="149" t="s">
        <v>301</v>
      </c>
      <c r="CB89" s="24"/>
      <c r="CC89" s="117" t="str">
        <f>=IFERROR(ROUND(CB89/FB_Kurs_12,2),0)</f>
      </c>
      <c r="CD89" s="116" t="str">
        <f>=ROUND(CB89+BW89,2)</f>
      </c>
      <c r="CE89" s="144" t="str">
        <f>=ROUND(CC89+BX89,2)</f>
      </c>
      <c r="CH89" s="149" t="s">
        <v>301</v>
      </c>
      <c r="CI89" s="24"/>
      <c r="CJ89" s="117" t="str">
        <f>=IFERROR(ROUND(CI89/FB_Kurs_13,2),0)</f>
      </c>
      <c r="CK89" s="116" t="str">
        <f>=ROUND(CI89+CD89,2)</f>
      </c>
      <c r="CL89" s="144" t="str">
        <f>=ROUND(CJ89+CE89,2)</f>
      </c>
      <c r="CO89" s="149" t="s">
        <v>301</v>
      </c>
      <c r="CP89" s="24"/>
      <c r="CQ89" s="117" t="str">
        <f>=IFERROR(ROUND(CP89/FB_Kurs_14,2),0)</f>
      </c>
      <c r="CR89" s="116" t="str">
        <f>=ROUND(CP89+CK89,2)</f>
      </c>
      <c r="CS89" s="144" t="str">
        <f>=ROUND(CQ89+CL89,2)</f>
      </c>
      <c r="CV89" s="149" t="s">
        <v>301</v>
      </c>
      <c r="CW89" s="24"/>
      <c r="CX89" s="117" t="str">
        <f>=IFERROR(ROUND(CW89/FB_Kurs_15,2),0)</f>
      </c>
      <c r="CY89" s="116" t="str">
        <f>=ROUND(CW89+CR89,2)</f>
      </c>
      <c r="CZ89" s="144" t="str">
        <f>=ROUND(CX89+CS89,2)</f>
      </c>
      <c r="DC89" s="149" t="s">
        <v>301</v>
      </c>
      <c r="DD89" s="24"/>
      <c r="DE89" s="117" t="str">
        <f>=IFERROR(ROUND(DD89/FB_Kurs_16,2),0)</f>
      </c>
      <c r="DF89" s="116" t="str">
        <f>=ROUND(DD89+CY89,2)</f>
      </c>
      <c r="DG89" s="144" t="str">
        <f>=ROUND(DE89+CZ89,2)</f>
      </c>
      <c r="DJ89" s="149" t="s">
        <v>301</v>
      </c>
      <c r="DK89" s="24"/>
      <c r="DL89" s="117" t="str">
        <f>=IFERROR(ROUND(DK89/FB_Kurs_17,2),0)</f>
      </c>
      <c r="DM89" s="116" t="str">
        <f>=ROUND(DK89+DF89,2)</f>
      </c>
      <c r="DN89" s="144" t="str">
        <f>=ROUND(DL89+DG89,2)</f>
      </c>
      <c r="DQ89" s="149" t="s">
        <v>301</v>
      </c>
      <c r="DR89" s="24"/>
      <c r="DS89" s="117" t="str">
        <f>=IFERROR(ROUND(DR89/FB_Kurs_18,2),0)</f>
      </c>
      <c r="DT89" s="116" t="str">
        <f>=ROUND(DR89+DM89,2)</f>
      </c>
      <c r="DU89" s="144" t="str">
        <f>=ROUND(DS89+DN89,2)</f>
      </c>
    </row>
    <row r="90">
      <c r="B90" s="149" t="s">
        <v>302</v>
      </c>
      <c r="C90" s="24"/>
      <c r="D90" s="117" t="str">
        <f>=IFERROR(ROUND(C90/FB_Kurs_1,2),0)</f>
      </c>
      <c r="E90" s="116" t="str">
        <f>=ROUND(C90,2)</f>
      </c>
      <c r="F90" s="144" t="str">
        <f>=ROUND(D90,2)</f>
      </c>
      <c r="I90" s="149" t="s">
        <v>302</v>
      </c>
      <c r="J90" s="24"/>
      <c r="K90" s="117" t="str">
        <f>=IFERROR(ROUND(J90/FB_Kurs_2,2),0)</f>
      </c>
      <c r="L90" s="116" t="str">
        <f>=ROUND(J90+E90,2)</f>
      </c>
      <c r="M90" s="144" t="str">
        <f>=ROUND(K90+F90,2)</f>
      </c>
      <c r="P90" s="149" t="s">
        <v>302</v>
      </c>
      <c r="Q90" s="24"/>
      <c r="R90" s="117" t="str">
        <f>=IFERROR(ROUND(Q90/FB_Kurs_3,2),0)</f>
      </c>
      <c r="S90" s="116" t="str">
        <f>=ROUND(Q90+L90,2)</f>
      </c>
      <c r="T90" s="144" t="str">
        <f>=ROUND(R90+M90,2)</f>
      </c>
      <c r="W90" s="149" t="s">
        <v>302</v>
      </c>
      <c r="X90" s="24"/>
      <c r="Y90" s="117" t="str">
        <f>=IFERROR(ROUND(X90/FB_Kurs_4,2),0)</f>
      </c>
      <c r="Z90" s="116" t="str">
        <f>=ROUND(X90+S90,2)</f>
      </c>
      <c r="AA90" s="144" t="str">
        <f>=ROUND(Y90+T90,2)</f>
      </c>
      <c r="AD90" s="149" t="s">
        <v>302</v>
      </c>
      <c r="AE90" s="24"/>
      <c r="AF90" s="117" t="str">
        <f>=IFERROR(ROUND(AE90/FB_Kurs_5,2),0)</f>
      </c>
      <c r="AG90" s="116" t="str">
        <f>=ROUND(AE90+Z90,2)</f>
      </c>
      <c r="AH90" s="144" t="str">
        <f>=ROUND(AF90+AA90,2)</f>
      </c>
      <c r="AK90" s="149" t="s">
        <v>302</v>
      </c>
      <c r="AL90" s="24"/>
      <c r="AM90" s="117" t="str">
        <f>=IFERROR(ROUND(AL90/FB_Kurs_6,2),0)</f>
      </c>
      <c r="AN90" s="116" t="str">
        <f>=ROUND(AL90+AG90,2)</f>
      </c>
      <c r="AO90" s="144" t="str">
        <f>=ROUND(AM90+AH90,2)</f>
      </c>
      <c r="AR90" s="149" t="s">
        <v>302</v>
      </c>
      <c r="AS90" s="24"/>
      <c r="AT90" s="117" t="str">
        <f>=IFERROR(ROUND(AS90/FB_Kurs_7,2),0)</f>
      </c>
      <c r="AU90" s="116" t="str">
        <f>=ROUND(AS90+AN90,2)</f>
      </c>
      <c r="AV90" s="144" t="str">
        <f>=ROUND(AT90+AO90,2)</f>
      </c>
      <c r="AY90" s="149" t="s">
        <v>302</v>
      </c>
      <c r="AZ90" s="24"/>
      <c r="BA90" s="117" t="str">
        <f>=IFERROR(ROUND(AZ90/FB_Kurs_8,2),0)</f>
      </c>
      <c r="BB90" s="116" t="str">
        <f>=ROUND(AZ90+AU90,2)</f>
      </c>
      <c r="BC90" s="144" t="str">
        <f>=ROUND(BA90+AV90,2)</f>
      </c>
      <c r="BF90" s="149" t="s">
        <v>302</v>
      </c>
      <c r="BG90" s="24"/>
      <c r="BH90" s="117" t="str">
        <f>=IFERROR(ROUND(BG90/FB_Kurs_9,2),0)</f>
      </c>
      <c r="BI90" s="116" t="str">
        <f>=ROUND(BG90+BB90,2)</f>
      </c>
      <c r="BJ90" s="144" t="str">
        <f>=ROUND(BH90+BC90,2)</f>
      </c>
      <c r="BM90" s="149" t="s">
        <v>302</v>
      </c>
      <c r="BN90" s="24"/>
      <c r="BO90" s="117" t="str">
        <f>=IFERROR(ROUND(BN90/FB_Kurs_10,2),0)</f>
      </c>
      <c r="BP90" s="116" t="str">
        <f>=ROUND(BN90+BI90,2)</f>
      </c>
      <c r="BQ90" s="144" t="str">
        <f>=ROUND(BO90+BJ90,2)</f>
      </c>
      <c r="BT90" s="149" t="s">
        <v>302</v>
      </c>
      <c r="BU90" s="24"/>
      <c r="BV90" s="117" t="str">
        <f>=IFERROR(ROUND(BU90/FB_Kurs_11,2),0)</f>
      </c>
      <c r="BW90" s="116" t="str">
        <f>=ROUND(BU90+BP90,2)</f>
      </c>
      <c r="BX90" s="144" t="str">
        <f>=ROUND(BV90+BQ90,2)</f>
      </c>
      <c r="CA90" s="149" t="s">
        <v>302</v>
      </c>
      <c r="CB90" s="24"/>
      <c r="CC90" s="117" t="str">
        <f>=IFERROR(ROUND(CB90/FB_Kurs_12,2),0)</f>
      </c>
      <c r="CD90" s="116" t="str">
        <f>=ROUND(CB90+BW90,2)</f>
      </c>
      <c r="CE90" s="144" t="str">
        <f>=ROUND(CC90+BX90,2)</f>
      </c>
      <c r="CH90" s="149" t="s">
        <v>302</v>
      </c>
      <c r="CI90" s="24"/>
      <c r="CJ90" s="117" t="str">
        <f>=IFERROR(ROUND(CI90/FB_Kurs_13,2),0)</f>
      </c>
      <c r="CK90" s="116" t="str">
        <f>=ROUND(CI90+CD90,2)</f>
      </c>
      <c r="CL90" s="144" t="str">
        <f>=ROUND(CJ90+CE90,2)</f>
      </c>
      <c r="CO90" s="149" t="s">
        <v>302</v>
      </c>
      <c r="CP90" s="24"/>
      <c r="CQ90" s="117" t="str">
        <f>=IFERROR(ROUND(CP90/FB_Kurs_14,2),0)</f>
      </c>
      <c r="CR90" s="116" t="str">
        <f>=ROUND(CP90+CK90,2)</f>
      </c>
      <c r="CS90" s="144" t="str">
        <f>=ROUND(CQ90+CL90,2)</f>
      </c>
      <c r="CV90" s="149" t="s">
        <v>302</v>
      </c>
      <c r="CW90" s="24"/>
      <c r="CX90" s="117" t="str">
        <f>=IFERROR(ROUND(CW90/FB_Kurs_15,2),0)</f>
      </c>
      <c r="CY90" s="116" t="str">
        <f>=ROUND(CW90+CR90,2)</f>
      </c>
      <c r="CZ90" s="144" t="str">
        <f>=ROUND(CX90+CS90,2)</f>
      </c>
      <c r="DC90" s="149" t="s">
        <v>302</v>
      </c>
      <c r="DD90" s="24"/>
      <c r="DE90" s="117" t="str">
        <f>=IFERROR(ROUND(DD90/FB_Kurs_16,2),0)</f>
      </c>
      <c r="DF90" s="116" t="str">
        <f>=ROUND(DD90+CY90,2)</f>
      </c>
      <c r="DG90" s="144" t="str">
        <f>=ROUND(DE90+CZ90,2)</f>
      </c>
      <c r="DJ90" s="149" t="s">
        <v>302</v>
      </c>
      <c r="DK90" s="24"/>
      <c r="DL90" s="117" t="str">
        <f>=IFERROR(ROUND(DK90/FB_Kurs_17,2),0)</f>
      </c>
      <c r="DM90" s="116" t="str">
        <f>=ROUND(DK90+DF90,2)</f>
      </c>
      <c r="DN90" s="144" t="str">
        <f>=ROUND(DL90+DG90,2)</f>
      </c>
      <c r="DQ90" s="149" t="s">
        <v>302</v>
      </c>
      <c r="DR90" s="24"/>
      <c r="DS90" s="117" t="str">
        <f>=IFERROR(ROUND(DR90/FB_Kurs_18,2),0)</f>
      </c>
      <c r="DT90" s="116" t="str">
        <f>=ROUND(DR90+DM90,2)</f>
      </c>
      <c r="DU90" s="144" t="str">
        <f>=ROUND(DS90+DN90,2)</f>
      </c>
    </row>
    <row r="91">
      <c r="B91" s="149" t="s">
        <v>303</v>
      </c>
      <c r="C91" s="24"/>
      <c r="D91" s="117" t="str">
        <f>=IFERROR(ROUND(C91/FB_Kurs_1,2),0)</f>
      </c>
      <c r="E91" s="116" t="str">
        <f>=ROUND(C91,2)</f>
      </c>
      <c r="F91" s="144" t="str">
        <f>=ROUND(D91,2)</f>
      </c>
      <c r="I91" s="149" t="s">
        <v>303</v>
      </c>
      <c r="J91" s="24"/>
      <c r="K91" s="117" t="str">
        <f>=IFERROR(ROUND(J91/FB_Kurs_2,2),0)</f>
      </c>
      <c r="L91" s="116" t="str">
        <f>=ROUND(J91+E91,2)</f>
      </c>
      <c r="M91" s="144" t="str">
        <f>=ROUND(K91+F91,2)</f>
      </c>
      <c r="P91" s="149" t="s">
        <v>303</v>
      </c>
      <c r="Q91" s="24"/>
      <c r="R91" s="117" t="str">
        <f>=IFERROR(ROUND(Q91/FB_Kurs_3,2),0)</f>
      </c>
      <c r="S91" s="116" t="str">
        <f>=ROUND(Q91+L91,2)</f>
      </c>
      <c r="T91" s="144" t="str">
        <f>=ROUND(R91+M91,2)</f>
      </c>
      <c r="W91" s="149" t="s">
        <v>303</v>
      </c>
      <c r="X91" s="24"/>
      <c r="Y91" s="117" t="str">
        <f>=IFERROR(ROUND(X91/FB_Kurs_4,2),0)</f>
      </c>
      <c r="Z91" s="116" t="str">
        <f>=ROUND(X91+S91,2)</f>
      </c>
      <c r="AA91" s="144" t="str">
        <f>=ROUND(Y91+T91,2)</f>
      </c>
      <c r="AD91" s="149" t="s">
        <v>303</v>
      </c>
      <c r="AE91" s="24"/>
      <c r="AF91" s="117" t="str">
        <f>=IFERROR(ROUND(AE91/FB_Kurs_5,2),0)</f>
      </c>
      <c r="AG91" s="116" t="str">
        <f>=ROUND(AE91+Z91,2)</f>
      </c>
      <c r="AH91" s="144" t="str">
        <f>=ROUND(AF91+AA91,2)</f>
      </c>
      <c r="AK91" s="149" t="s">
        <v>303</v>
      </c>
      <c r="AL91" s="24"/>
      <c r="AM91" s="117" t="str">
        <f>=IFERROR(ROUND(AL91/FB_Kurs_6,2),0)</f>
      </c>
      <c r="AN91" s="116" t="str">
        <f>=ROUND(AL91+AG91,2)</f>
      </c>
      <c r="AO91" s="144" t="str">
        <f>=ROUND(AM91+AH91,2)</f>
      </c>
      <c r="AR91" s="149" t="s">
        <v>303</v>
      </c>
      <c r="AS91" s="24"/>
      <c r="AT91" s="117" t="str">
        <f>=IFERROR(ROUND(AS91/FB_Kurs_7,2),0)</f>
      </c>
      <c r="AU91" s="116" t="str">
        <f>=ROUND(AS91+AN91,2)</f>
      </c>
      <c r="AV91" s="144" t="str">
        <f>=ROUND(AT91+AO91,2)</f>
      </c>
      <c r="AY91" s="149" t="s">
        <v>303</v>
      </c>
      <c r="AZ91" s="24"/>
      <c r="BA91" s="117" t="str">
        <f>=IFERROR(ROUND(AZ91/FB_Kurs_8,2),0)</f>
      </c>
      <c r="BB91" s="116" t="str">
        <f>=ROUND(AZ91+AU91,2)</f>
      </c>
      <c r="BC91" s="144" t="str">
        <f>=ROUND(BA91+AV91,2)</f>
      </c>
      <c r="BF91" s="149" t="s">
        <v>303</v>
      </c>
      <c r="BG91" s="24"/>
      <c r="BH91" s="117" t="str">
        <f>=IFERROR(ROUND(BG91/FB_Kurs_9,2),0)</f>
      </c>
      <c r="BI91" s="116" t="str">
        <f>=ROUND(BG91+BB91,2)</f>
      </c>
      <c r="BJ91" s="144" t="str">
        <f>=ROUND(BH91+BC91,2)</f>
      </c>
      <c r="BM91" s="149" t="s">
        <v>303</v>
      </c>
      <c r="BN91" s="24"/>
      <c r="BO91" s="117" t="str">
        <f>=IFERROR(ROUND(BN91/FB_Kurs_10,2),0)</f>
      </c>
      <c r="BP91" s="116" t="str">
        <f>=ROUND(BN91+BI91,2)</f>
      </c>
      <c r="BQ91" s="144" t="str">
        <f>=ROUND(BO91+BJ91,2)</f>
      </c>
      <c r="BT91" s="149" t="s">
        <v>303</v>
      </c>
      <c r="BU91" s="24"/>
      <c r="BV91" s="117" t="str">
        <f>=IFERROR(ROUND(BU91/FB_Kurs_11,2),0)</f>
      </c>
      <c r="BW91" s="116" t="str">
        <f>=ROUND(BU91+BP91,2)</f>
      </c>
      <c r="BX91" s="144" t="str">
        <f>=ROUND(BV91+BQ91,2)</f>
      </c>
      <c r="CA91" s="149" t="s">
        <v>303</v>
      </c>
      <c r="CB91" s="24"/>
      <c r="CC91" s="117" t="str">
        <f>=IFERROR(ROUND(CB91/FB_Kurs_12,2),0)</f>
      </c>
      <c r="CD91" s="116" t="str">
        <f>=ROUND(CB91+BW91,2)</f>
      </c>
      <c r="CE91" s="144" t="str">
        <f>=ROUND(CC91+BX91,2)</f>
      </c>
      <c r="CH91" s="149" t="s">
        <v>303</v>
      </c>
      <c r="CI91" s="24"/>
      <c r="CJ91" s="117" t="str">
        <f>=IFERROR(ROUND(CI91/FB_Kurs_13,2),0)</f>
      </c>
      <c r="CK91" s="116" t="str">
        <f>=ROUND(CI91+CD91,2)</f>
      </c>
      <c r="CL91" s="144" t="str">
        <f>=ROUND(CJ91+CE91,2)</f>
      </c>
      <c r="CO91" s="149" t="s">
        <v>303</v>
      </c>
      <c r="CP91" s="24"/>
      <c r="CQ91" s="117" t="str">
        <f>=IFERROR(ROUND(CP91/FB_Kurs_14,2),0)</f>
      </c>
      <c r="CR91" s="116" t="str">
        <f>=ROUND(CP91+CK91,2)</f>
      </c>
      <c r="CS91" s="144" t="str">
        <f>=ROUND(CQ91+CL91,2)</f>
      </c>
      <c r="CV91" s="149" t="s">
        <v>303</v>
      </c>
      <c r="CW91" s="24"/>
      <c r="CX91" s="117" t="str">
        <f>=IFERROR(ROUND(CW91/FB_Kurs_15,2),0)</f>
      </c>
      <c r="CY91" s="116" t="str">
        <f>=ROUND(CW91+CR91,2)</f>
      </c>
      <c r="CZ91" s="144" t="str">
        <f>=ROUND(CX91+CS91,2)</f>
      </c>
      <c r="DC91" s="149" t="s">
        <v>303</v>
      </c>
      <c r="DD91" s="24"/>
      <c r="DE91" s="117" t="str">
        <f>=IFERROR(ROUND(DD91/FB_Kurs_16,2),0)</f>
      </c>
      <c r="DF91" s="116" t="str">
        <f>=ROUND(DD91+CY91,2)</f>
      </c>
      <c r="DG91" s="144" t="str">
        <f>=ROUND(DE91+CZ91,2)</f>
      </c>
      <c r="DJ91" s="149" t="s">
        <v>303</v>
      </c>
      <c r="DK91" s="24"/>
      <c r="DL91" s="117" t="str">
        <f>=IFERROR(ROUND(DK91/FB_Kurs_17,2),0)</f>
      </c>
      <c r="DM91" s="116" t="str">
        <f>=ROUND(DK91+DF91,2)</f>
      </c>
      <c r="DN91" s="144" t="str">
        <f>=ROUND(DL91+DG91,2)</f>
      </c>
      <c r="DQ91" s="149" t="s">
        <v>303</v>
      </c>
      <c r="DR91" s="24"/>
      <c r="DS91" s="117" t="str">
        <f>=IFERROR(ROUND(DR91/FB_Kurs_18,2),0)</f>
      </c>
      <c r="DT91" s="116" t="str">
        <f>=ROUND(DR91+DM91,2)</f>
      </c>
      <c r="DU91" s="144" t="str">
        <f>=ROUND(DS91+DN91,2)</f>
      </c>
    </row>
    <row r="92">
      <c r="B92" s="149" t="s">
        <v>304</v>
      </c>
      <c r="C92" s="24"/>
      <c r="D92" s="117" t="str">
        <f>=IFERROR(ROUND(C92/FB_Kurs_1,2),0)</f>
      </c>
      <c r="E92" s="116" t="str">
        <f>=ROUND(C92,2)</f>
      </c>
      <c r="F92" s="144" t="str">
        <f>=ROUND(D92,2)</f>
      </c>
      <c r="I92" s="149" t="s">
        <v>304</v>
      </c>
      <c r="J92" s="24"/>
      <c r="K92" s="117" t="str">
        <f>=IFERROR(ROUND(J92/FB_Kurs_2,2),0)</f>
      </c>
      <c r="L92" s="116" t="str">
        <f>=ROUND(J92+E92,2)</f>
      </c>
      <c r="M92" s="144" t="str">
        <f>=ROUND(K92+F92,2)</f>
      </c>
      <c r="P92" s="149" t="s">
        <v>304</v>
      </c>
      <c r="Q92" s="24"/>
      <c r="R92" s="117" t="str">
        <f>=IFERROR(ROUND(Q92/FB_Kurs_3,2),0)</f>
      </c>
      <c r="S92" s="116" t="str">
        <f>=ROUND(Q92+L92,2)</f>
      </c>
      <c r="T92" s="144" t="str">
        <f>=ROUND(R92+M92,2)</f>
      </c>
      <c r="W92" s="149" t="s">
        <v>304</v>
      </c>
      <c r="X92" s="24"/>
      <c r="Y92" s="117" t="str">
        <f>=IFERROR(ROUND(X92/FB_Kurs_4,2),0)</f>
      </c>
      <c r="Z92" s="116" t="str">
        <f>=ROUND(X92+S92,2)</f>
      </c>
      <c r="AA92" s="144" t="str">
        <f>=ROUND(Y92+T92,2)</f>
      </c>
      <c r="AD92" s="149" t="s">
        <v>304</v>
      </c>
      <c r="AE92" s="24"/>
      <c r="AF92" s="117" t="str">
        <f>=IFERROR(ROUND(AE92/FB_Kurs_5,2),0)</f>
      </c>
      <c r="AG92" s="116" t="str">
        <f>=ROUND(AE92+Z92,2)</f>
      </c>
      <c r="AH92" s="144" t="str">
        <f>=ROUND(AF92+AA92,2)</f>
      </c>
      <c r="AK92" s="149" t="s">
        <v>304</v>
      </c>
      <c r="AL92" s="24"/>
      <c r="AM92" s="117" t="str">
        <f>=IFERROR(ROUND(AL92/FB_Kurs_6,2),0)</f>
      </c>
      <c r="AN92" s="116" t="str">
        <f>=ROUND(AL92+AG92,2)</f>
      </c>
      <c r="AO92" s="144" t="str">
        <f>=ROUND(AM92+AH92,2)</f>
      </c>
      <c r="AR92" s="149" t="s">
        <v>304</v>
      </c>
      <c r="AS92" s="24"/>
      <c r="AT92" s="117" t="str">
        <f>=IFERROR(ROUND(AS92/FB_Kurs_7,2),0)</f>
      </c>
      <c r="AU92" s="116" t="str">
        <f>=ROUND(AS92+AN92,2)</f>
      </c>
      <c r="AV92" s="144" t="str">
        <f>=ROUND(AT92+AO92,2)</f>
      </c>
      <c r="AY92" s="149" t="s">
        <v>304</v>
      </c>
      <c r="AZ92" s="24"/>
      <c r="BA92" s="117" t="str">
        <f>=IFERROR(ROUND(AZ92/FB_Kurs_8,2),0)</f>
      </c>
      <c r="BB92" s="116" t="str">
        <f>=ROUND(AZ92+AU92,2)</f>
      </c>
      <c r="BC92" s="144" t="str">
        <f>=ROUND(BA92+AV92,2)</f>
      </c>
      <c r="BF92" s="149" t="s">
        <v>304</v>
      </c>
      <c r="BG92" s="24"/>
      <c r="BH92" s="117" t="str">
        <f>=IFERROR(ROUND(BG92/FB_Kurs_9,2),0)</f>
      </c>
      <c r="BI92" s="116" t="str">
        <f>=ROUND(BG92+BB92,2)</f>
      </c>
      <c r="BJ92" s="144" t="str">
        <f>=ROUND(BH92+BC92,2)</f>
      </c>
      <c r="BM92" s="149" t="s">
        <v>304</v>
      </c>
      <c r="BN92" s="24"/>
      <c r="BO92" s="117" t="str">
        <f>=IFERROR(ROUND(BN92/FB_Kurs_10,2),0)</f>
      </c>
      <c r="BP92" s="116" t="str">
        <f>=ROUND(BN92+BI92,2)</f>
      </c>
      <c r="BQ92" s="144" t="str">
        <f>=ROUND(BO92+BJ92,2)</f>
      </c>
      <c r="BT92" s="149" t="s">
        <v>304</v>
      </c>
      <c r="BU92" s="24"/>
      <c r="BV92" s="117" t="str">
        <f>=IFERROR(ROUND(BU92/FB_Kurs_11,2),0)</f>
      </c>
      <c r="BW92" s="116" t="str">
        <f>=ROUND(BU92+BP92,2)</f>
      </c>
      <c r="BX92" s="144" t="str">
        <f>=ROUND(BV92+BQ92,2)</f>
      </c>
      <c r="CA92" s="149" t="s">
        <v>304</v>
      </c>
      <c r="CB92" s="24"/>
      <c r="CC92" s="117" t="str">
        <f>=IFERROR(ROUND(CB92/FB_Kurs_12,2),0)</f>
      </c>
      <c r="CD92" s="116" t="str">
        <f>=ROUND(CB92+BW92,2)</f>
      </c>
      <c r="CE92" s="144" t="str">
        <f>=ROUND(CC92+BX92,2)</f>
      </c>
      <c r="CH92" s="149" t="s">
        <v>304</v>
      </c>
      <c r="CI92" s="24"/>
      <c r="CJ92" s="117" t="str">
        <f>=IFERROR(ROUND(CI92/FB_Kurs_13,2),0)</f>
      </c>
      <c r="CK92" s="116" t="str">
        <f>=ROUND(CI92+CD92,2)</f>
      </c>
      <c r="CL92" s="144" t="str">
        <f>=ROUND(CJ92+CE92,2)</f>
      </c>
      <c r="CO92" s="149" t="s">
        <v>304</v>
      </c>
      <c r="CP92" s="24"/>
      <c r="CQ92" s="117" t="str">
        <f>=IFERROR(ROUND(CP92/FB_Kurs_14,2),0)</f>
      </c>
      <c r="CR92" s="116" t="str">
        <f>=ROUND(CP92+CK92,2)</f>
      </c>
      <c r="CS92" s="144" t="str">
        <f>=ROUND(CQ92+CL92,2)</f>
      </c>
      <c r="CV92" s="149" t="s">
        <v>304</v>
      </c>
      <c r="CW92" s="24"/>
      <c r="CX92" s="117" t="str">
        <f>=IFERROR(ROUND(CW92/FB_Kurs_15,2),0)</f>
      </c>
      <c r="CY92" s="116" t="str">
        <f>=ROUND(CW92+CR92,2)</f>
      </c>
      <c r="CZ92" s="144" t="str">
        <f>=ROUND(CX92+CS92,2)</f>
      </c>
      <c r="DC92" s="149" t="s">
        <v>304</v>
      </c>
      <c r="DD92" s="24"/>
      <c r="DE92" s="117" t="str">
        <f>=IFERROR(ROUND(DD92/FB_Kurs_16,2),0)</f>
      </c>
      <c r="DF92" s="116" t="str">
        <f>=ROUND(DD92+CY92,2)</f>
      </c>
      <c r="DG92" s="144" t="str">
        <f>=ROUND(DE92+CZ92,2)</f>
      </c>
      <c r="DJ92" s="149" t="s">
        <v>304</v>
      </c>
      <c r="DK92" s="24"/>
      <c r="DL92" s="117" t="str">
        <f>=IFERROR(ROUND(DK92/FB_Kurs_17,2),0)</f>
      </c>
      <c r="DM92" s="116" t="str">
        <f>=ROUND(DK92+DF92,2)</f>
      </c>
      <c r="DN92" s="144" t="str">
        <f>=ROUND(DL92+DG92,2)</f>
      </c>
      <c r="DQ92" s="149" t="s">
        <v>304</v>
      </c>
      <c r="DR92" s="24"/>
      <c r="DS92" s="117" t="str">
        <f>=IFERROR(ROUND(DR92/FB_Kurs_18,2),0)</f>
      </c>
      <c r="DT92" s="116" t="str">
        <f>=ROUND(DR92+DM92,2)</f>
      </c>
      <c r="DU92" s="144" t="str">
        <f>=ROUND(DS92+DN92,2)</f>
      </c>
    </row>
    <row r="93">
      <c r="B93" s="149" t="s">
        <v>305</v>
      </c>
      <c r="C93" s="24"/>
      <c r="D93" s="117" t="str">
        <f>=IFERROR(ROUND(C93/FB_Kurs_1,2),0)</f>
      </c>
      <c r="E93" s="116" t="str">
        <f>=ROUND(C93,2)</f>
      </c>
      <c r="F93" s="144" t="str">
        <f>=ROUND(D93,2)</f>
      </c>
      <c r="I93" s="149" t="s">
        <v>305</v>
      </c>
      <c r="J93" s="24"/>
      <c r="K93" s="117" t="str">
        <f>=IFERROR(ROUND(J93/FB_Kurs_2,2),0)</f>
      </c>
      <c r="L93" s="116" t="str">
        <f>=ROUND(J93+E93,2)</f>
      </c>
      <c r="M93" s="144" t="str">
        <f>=ROUND(K93+F93,2)</f>
      </c>
      <c r="P93" s="149" t="s">
        <v>305</v>
      </c>
      <c r="Q93" s="24"/>
      <c r="R93" s="117" t="str">
        <f>=IFERROR(ROUND(Q93/FB_Kurs_3,2),0)</f>
      </c>
      <c r="S93" s="116" t="str">
        <f>=ROUND(Q93+L93,2)</f>
      </c>
      <c r="T93" s="144" t="str">
        <f>=ROUND(R93+M93,2)</f>
      </c>
      <c r="W93" s="149" t="s">
        <v>305</v>
      </c>
      <c r="X93" s="24"/>
      <c r="Y93" s="117" t="str">
        <f>=IFERROR(ROUND(X93/FB_Kurs_4,2),0)</f>
      </c>
      <c r="Z93" s="116" t="str">
        <f>=ROUND(X93+S93,2)</f>
      </c>
      <c r="AA93" s="144" t="str">
        <f>=ROUND(Y93+T93,2)</f>
      </c>
      <c r="AD93" s="149" t="s">
        <v>305</v>
      </c>
      <c r="AE93" s="24"/>
      <c r="AF93" s="117" t="str">
        <f>=IFERROR(ROUND(AE93/FB_Kurs_5,2),0)</f>
      </c>
      <c r="AG93" s="116" t="str">
        <f>=ROUND(AE93+Z93,2)</f>
      </c>
      <c r="AH93" s="144" t="str">
        <f>=ROUND(AF93+AA93,2)</f>
      </c>
      <c r="AK93" s="149" t="s">
        <v>305</v>
      </c>
      <c r="AL93" s="24"/>
      <c r="AM93" s="117" t="str">
        <f>=IFERROR(ROUND(AL93/FB_Kurs_6,2),0)</f>
      </c>
      <c r="AN93" s="116" t="str">
        <f>=ROUND(AL93+AG93,2)</f>
      </c>
      <c r="AO93" s="144" t="str">
        <f>=ROUND(AM93+AH93,2)</f>
      </c>
      <c r="AR93" s="149" t="s">
        <v>305</v>
      </c>
      <c r="AS93" s="24"/>
      <c r="AT93" s="117" t="str">
        <f>=IFERROR(ROUND(AS93/FB_Kurs_7,2),0)</f>
      </c>
      <c r="AU93" s="116" t="str">
        <f>=ROUND(AS93+AN93,2)</f>
      </c>
      <c r="AV93" s="144" t="str">
        <f>=ROUND(AT93+AO93,2)</f>
      </c>
      <c r="AY93" s="149" t="s">
        <v>305</v>
      </c>
      <c r="AZ93" s="24"/>
      <c r="BA93" s="117" t="str">
        <f>=IFERROR(ROUND(AZ93/FB_Kurs_8,2),0)</f>
      </c>
      <c r="BB93" s="116" t="str">
        <f>=ROUND(AZ93+AU93,2)</f>
      </c>
      <c r="BC93" s="144" t="str">
        <f>=ROUND(BA93+AV93,2)</f>
      </c>
      <c r="BF93" s="149" t="s">
        <v>305</v>
      </c>
      <c r="BG93" s="24"/>
      <c r="BH93" s="117" t="str">
        <f>=IFERROR(ROUND(BG93/FB_Kurs_9,2),0)</f>
      </c>
      <c r="BI93" s="116" t="str">
        <f>=ROUND(BG93+BB93,2)</f>
      </c>
      <c r="BJ93" s="144" t="str">
        <f>=ROUND(BH93+BC93,2)</f>
      </c>
      <c r="BM93" s="149" t="s">
        <v>305</v>
      </c>
      <c r="BN93" s="24"/>
      <c r="BO93" s="117" t="str">
        <f>=IFERROR(ROUND(BN93/FB_Kurs_10,2),0)</f>
      </c>
      <c r="BP93" s="116" t="str">
        <f>=ROUND(BN93+BI93,2)</f>
      </c>
      <c r="BQ93" s="144" t="str">
        <f>=ROUND(BO93+BJ93,2)</f>
      </c>
      <c r="BT93" s="149" t="s">
        <v>305</v>
      </c>
      <c r="BU93" s="24"/>
      <c r="BV93" s="117" t="str">
        <f>=IFERROR(ROUND(BU93/FB_Kurs_11,2),0)</f>
      </c>
      <c r="BW93" s="116" t="str">
        <f>=ROUND(BU93+BP93,2)</f>
      </c>
      <c r="BX93" s="144" t="str">
        <f>=ROUND(BV93+BQ93,2)</f>
      </c>
      <c r="CA93" s="149" t="s">
        <v>305</v>
      </c>
      <c r="CB93" s="24"/>
      <c r="CC93" s="117" t="str">
        <f>=IFERROR(ROUND(CB93/FB_Kurs_12,2),0)</f>
      </c>
      <c r="CD93" s="116" t="str">
        <f>=ROUND(CB93+BW93,2)</f>
      </c>
      <c r="CE93" s="144" t="str">
        <f>=ROUND(CC93+BX93,2)</f>
      </c>
      <c r="CH93" s="149" t="s">
        <v>305</v>
      </c>
      <c r="CI93" s="24"/>
      <c r="CJ93" s="117" t="str">
        <f>=IFERROR(ROUND(CI93/FB_Kurs_13,2),0)</f>
      </c>
      <c r="CK93" s="116" t="str">
        <f>=ROUND(CI93+CD93,2)</f>
      </c>
      <c r="CL93" s="144" t="str">
        <f>=ROUND(CJ93+CE93,2)</f>
      </c>
      <c r="CO93" s="149" t="s">
        <v>305</v>
      </c>
      <c r="CP93" s="24"/>
      <c r="CQ93" s="117" t="str">
        <f>=IFERROR(ROUND(CP93/FB_Kurs_14,2),0)</f>
      </c>
      <c r="CR93" s="116" t="str">
        <f>=ROUND(CP93+CK93,2)</f>
      </c>
      <c r="CS93" s="144" t="str">
        <f>=ROUND(CQ93+CL93,2)</f>
      </c>
      <c r="CV93" s="149" t="s">
        <v>305</v>
      </c>
      <c r="CW93" s="24"/>
      <c r="CX93" s="117" t="str">
        <f>=IFERROR(ROUND(CW93/FB_Kurs_15,2),0)</f>
      </c>
      <c r="CY93" s="116" t="str">
        <f>=ROUND(CW93+CR93,2)</f>
      </c>
      <c r="CZ93" s="144" t="str">
        <f>=ROUND(CX93+CS93,2)</f>
      </c>
      <c r="DC93" s="149" t="s">
        <v>305</v>
      </c>
      <c r="DD93" s="24"/>
      <c r="DE93" s="117" t="str">
        <f>=IFERROR(ROUND(DD93/FB_Kurs_16,2),0)</f>
      </c>
      <c r="DF93" s="116" t="str">
        <f>=ROUND(DD93+CY93,2)</f>
      </c>
      <c r="DG93" s="144" t="str">
        <f>=ROUND(DE93+CZ93,2)</f>
      </c>
      <c r="DJ93" s="149" t="s">
        <v>305</v>
      </c>
      <c r="DK93" s="24"/>
      <c r="DL93" s="117" t="str">
        <f>=IFERROR(ROUND(DK93/FB_Kurs_17,2),0)</f>
      </c>
      <c r="DM93" s="116" t="str">
        <f>=ROUND(DK93+DF93,2)</f>
      </c>
      <c r="DN93" s="144" t="str">
        <f>=ROUND(DL93+DG93,2)</f>
      </c>
      <c r="DQ93" s="149" t="s">
        <v>305</v>
      </c>
      <c r="DR93" s="24"/>
      <c r="DS93" s="117" t="str">
        <f>=IFERROR(ROUND(DR93/FB_Kurs_18,2),0)</f>
      </c>
      <c r="DT93" s="116" t="str">
        <f>=ROUND(DR93+DM93,2)</f>
      </c>
      <c r="DU93" s="144" t="str">
        <f>=ROUND(DS93+DN93,2)</f>
      </c>
    </row>
    <row r="94">
      <c r="B94" s="149" t="s">
        <v>306</v>
      </c>
      <c r="C94" s="24"/>
      <c r="D94" s="117" t="str">
        <f>=IFERROR(ROUND(C94/FB_Kurs_1,2),0)</f>
      </c>
      <c r="E94" s="116" t="str">
        <f>=ROUND(C94,2)</f>
      </c>
      <c r="F94" s="144" t="str">
        <f>=ROUND(D94,2)</f>
      </c>
      <c r="I94" s="149" t="s">
        <v>306</v>
      </c>
      <c r="J94" s="24"/>
      <c r="K94" s="117" t="str">
        <f>=IFERROR(ROUND(J94/FB_Kurs_2,2),0)</f>
      </c>
      <c r="L94" s="116" t="str">
        <f>=ROUND(J94+E94,2)</f>
      </c>
      <c r="M94" s="144" t="str">
        <f>=ROUND(K94+F94,2)</f>
      </c>
      <c r="P94" s="149" t="s">
        <v>306</v>
      </c>
      <c r="Q94" s="24"/>
      <c r="R94" s="117" t="str">
        <f>=IFERROR(ROUND(Q94/FB_Kurs_3,2),0)</f>
      </c>
      <c r="S94" s="116" t="str">
        <f>=ROUND(Q94+L94,2)</f>
      </c>
      <c r="T94" s="144" t="str">
        <f>=ROUND(R94+M94,2)</f>
      </c>
      <c r="W94" s="149" t="s">
        <v>306</v>
      </c>
      <c r="X94" s="24"/>
      <c r="Y94" s="117" t="str">
        <f>=IFERROR(ROUND(X94/FB_Kurs_4,2),0)</f>
      </c>
      <c r="Z94" s="116" t="str">
        <f>=ROUND(X94+S94,2)</f>
      </c>
      <c r="AA94" s="144" t="str">
        <f>=ROUND(Y94+T94,2)</f>
      </c>
      <c r="AD94" s="149" t="s">
        <v>306</v>
      </c>
      <c r="AE94" s="24"/>
      <c r="AF94" s="117" t="str">
        <f>=IFERROR(ROUND(AE94/FB_Kurs_5,2),0)</f>
      </c>
      <c r="AG94" s="116" t="str">
        <f>=ROUND(AE94+Z94,2)</f>
      </c>
      <c r="AH94" s="144" t="str">
        <f>=ROUND(AF94+AA94,2)</f>
      </c>
      <c r="AK94" s="149" t="s">
        <v>306</v>
      </c>
      <c r="AL94" s="24"/>
      <c r="AM94" s="117" t="str">
        <f>=IFERROR(ROUND(AL94/FB_Kurs_6,2),0)</f>
      </c>
      <c r="AN94" s="116" t="str">
        <f>=ROUND(AL94+AG94,2)</f>
      </c>
      <c r="AO94" s="144" t="str">
        <f>=ROUND(AM94+AH94,2)</f>
      </c>
      <c r="AR94" s="149" t="s">
        <v>306</v>
      </c>
      <c r="AS94" s="24"/>
      <c r="AT94" s="117" t="str">
        <f>=IFERROR(ROUND(AS94/FB_Kurs_7,2),0)</f>
      </c>
      <c r="AU94" s="116" t="str">
        <f>=ROUND(AS94+AN94,2)</f>
      </c>
      <c r="AV94" s="144" t="str">
        <f>=ROUND(AT94+AO94,2)</f>
      </c>
      <c r="AY94" s="149" t="s">
        <v>306</v>
      </c>
      <c r="AZ94" s="24"/>
      <c r="BA94" s="117" t="str">
        <f>=IFERROR(ROUND(AZ94/FB_Kurs_8,2),0)</f>
      </c>
      <c r="BB94" s="116" t="str">
        <f>=ROUND(AZ94+AU94,2)</f>
      </c>
      <c r="BC94" s="144" t="str">
        <f>=ROUND(BA94+AV94,2)</f>
      </c>
      <c r="BF94" s="149" t="s">
        <v>306</v>
      </c>
      <c r="BG94" s="24"/>
      <c r="BH94" s="117" t="str">
        <f>=IFERROR(ROUND(BG94/FB_Kurs_9,2),0)</f>
      </c>
      <c r="BI94" s="116" t="str">
        <f>=ROUND(BG94+BB94,2)</f>
      </c>
      <c r="BJ94" s="144" t="str">
        <f>=ROUND(BH94+BC94,2)</f>
      </c>
      <c r="BM94" s="149" t="s">
        <v>306</v>
      </c>
      <c r="BN94" s="24"/>
      <c r="BO94" s="117" t="str">
        <f>=IFERROR(ROUND(BN94/FB_Kurs_10,2),0)</f>
      </c>
      <c r="BP94" s="116" t="str">
        <f>=ROUND(BN94+BI94,2)</f>
      </c>
      <c r="BQ94" s="144" t="str">
        <f>=ROUND(BO94+BJ94,2)</f>
      </c>
      <c r="BT94" s="149" t="s">
        <v>306</v>
      </c>
      <c r="BU94" s="24"/>
      <c r="BV94" s="117" t="str">
        <f>=IFERROR(ROUND(BU94/FB_Kurs_11,2),0)</f>
      </c>
      <c r="BW94" s="116" t="str">
        <f>=ROUND(BU94+BP94,2)</f>
      </c>
      <c r="BX94" s="144" t="str">
        <f>=ROUND(BV94+BQ94,2)</f>
      </c>
      <c r="CA94" s="149" t="s">
        <v>306</v>
      </c>
      <c r="CB94" s="24"/>
      <c r="CC94" s="117" t="str">
        <f>=IFERROR(ROUND(CB94/FB_Kurs_12,2),0)</f>
      </c>
      <c r="CD94" s="116" t="str">
        <f>=ROUND(CB94+BW94,2)</f>
      </c>
      <c r="CE94" s="144" t="str">
        <f>=ROUND(CC94+BX94,2)</f>
      </c>
      <c r="CH94" s="149" t="s">
        <v>306</v>
      </c>
      <c r="CI94" s="24"/>
      <c r="CJ94" s="117" t="str">
        <f>=IFERROR(ROUND(CI94/FB_Kurs_13,2),0)</f>
      </c>
      <c r="CK94" s="116" t="str">
        <f>=ROUND(CI94+CD94,2)</f>
      </c>
      <c r="CL94" s="144" t="str">
        <f>=ROUND(CJ94+CE94,2)</f>
      </c>
      <c r="CO94" s="149" t="s">
        <v>306</v>
      </c>
      <c r="CP94" s="24"/>
      <c r="CQ94" s="117" t="str">
        <f>=IFERROR(ROUND(CP94/FB_Kurs_14,2),0)</f>
      </c>
      <c r="CR94" s="116" t="str">
        <f>=ROUND(CP94+CK94,2)</f>
      </c>
      <c r="CS94" s="144" t="str">
        <f>=ROUND(CQ94+CL94,2)</f>
      </c>
      <c r="CV94" s="149" t="s">
        <v>306</v>
      </c>
      <c r="CW94" s="24"/>
      <c r="CX94" s="117" t="str">
        <f>=IFERROR(ROUND(CW94/FB_Kurs_15,2),0)</f>
      </c>
      <c r="CY94" s="116" t="str">
        <f>=ROUND(CW94+CR94,2)</f>
      </c>
      <c r="CZ94" s="144" t="str">
        <f>=ROUND(CX94+CS94,2)</f>
      </c>
      <c r="DC94" s="149" t="s">
        <v>306</v>
      </c>
      <c r="DD94" s="24"/>
      <c r="DE94" s="117" t="str">
        <f>=IFERROR(ROUND(DD94/FB_Kurs_16,2),0)</f>
      </c>
      <c r="DF94" s="116" t="str">
        <f>=ROUND(DD94+CY94,2)</f>
      </c>
      <c r="DG94" s="144" t="str">
        <f>=ROUND(DE94+CZ94,2)</f>
      </c>
      <c r="DJ94" s="149" t="s">
        <v>306</v>
      </c>
      <c r="DK94" s="24"/>
      <c r="DL94" s="117" t="str">
        <f>=IFERROR(ROUND(DK94/FB_Kurs_17,2),0)</f>
      </c>
      <c r="DM94" s="116" t="str">
        <f>=ROUND(DK94+DF94,2)</f>
      </c>
      <c r="DN94" s="144" t="str">
        <f>=ROUND(DL94+DG94,2)</f>
      </c>
      <c r="DQ94" s="149" t="s">
        <v>306</v>
      </c>
      <c r="DR94" s="24"/>
      <c r="DS94" s="117" t="str">
        <f>=IFERROR(ROUND(DR94/FB_Kurs_18,2),0)</f>
      </c>
      <c r="DT94" s="116" t="str">
        <f>=ROUND(DR94+DM94,2)</f>
      </c>
      <c r="DU94" s="144" t="str">
        <f>=ROUND(DS94+DN94,2)</f>
      </c>
    </row>
    <row r="95">
      <c r="B95" s="149" t="s">
        <v>307</v>
      </c>
      <c r="C95" s="24"/>
      <c r="D95" s="117" t="str">
        <f>=IFERROR(ROUND(C95/FB_Kurs_1,2),0)</f>
      </c>
      <c r="E95" s="116" t="str">
        <f>=ROUND(C95,2)</f>
      </c>
      <c r="F95" s="144" t="str">
        <f>=ROUND(D95,2)</f>
      </c>
      <c r="I95" s="149" t="s">
        <v>307</v>
      </c>
      <c r="J95" s="24"/>
      <c r="K95" s="117" t="str">
        <f>=IFERROR(ROUND(J95/FB_Kurs_2,2),0)</f>
      </c>
      <c r="L95" s="116" t="str">
        <f>=ROUND(J95+E95,2)</f>
      </c>
      <c r="M95" s="144" t="str">
        <f>=ROUND(K95+F95,2)</f>
      </c>
      <c r="P95" s="149" t="s">
        <v>307</v>
      </c>
      <c r="Q95" s="24"/>
      <c r="R95" s="117" t="str">
        <f>=IFERROR(ROUND(Q95/FB_Kurs_3,2),0)</f>
      </c>
      <c r="S95" s="116" t="str">
        <f>=ROUND(Q95+L95,2)</f>
      </c>
      <c r="T95" s="144" t="str">
        <f>=ROUND(R95+M95,2)</f>
      </c>
      <c r="W95" s="149" t="s">
        <v>307</v>
      </c>
      <c r="X95" s="24"/>
      <c r="Y95" s="117" t="str">
        <f>=IFERROR(ROUND(X95/FB_Kurs_4,2),0)</f>
      </c>
      <c r="Z95" s="116" t="str">
        <f>=ROUND(X95+S95,2)</f>
      </c>
      <c r="AA95" s="144" t="str">
        <f>=ROUND(Y95+T95,2)</f>
      </c>
      <c r="AD95" s="149" t="s">
        <v>307</v>
      </c>
      <c r="AE95" s="24"/>
      <c r="AF95" s="117" t="str">
        <f>=IFERROR(ROUND(AE95/FB_Kurs_5,2),0)</f>
      </c>
      <c r="AG95" s="116" t="str">
        <f>=ROUND(AE95+Z95,2)</f>
      </c>
      <c r="AH95" s="144" t="str">
        <f>=ROUND(AF95+AA95,2)</f>
      </c>
      <c r="AK95" s="149" t="s">
        <v>307</v>
      </c>
      <c r="AL95" s="24"/>
      <c r="AM95" s="117" t="str">
        <f>=IFERROR(ROUND(AL95/FB_Kurs_6,2),0)</f>
      </c>
      <c r="AN95" s="116" t="str">
        <f>=ROUND(AL95+AG95,2)</f>
      </c>
      <c r="AO95" s="144" t="str">
        <f>=ROUND(AM95+AH95,2)</f>
      </c>
      <c r="AR95" s="149" t="s">
        <v>307</v>
      </c>
      <c r="AS95" s="24"/>
      <c r="AT95" s="117" t="str">
        <f>=IFERROR(ROUND(AS95/FB_Kurs_7,2),0)</f>
      </c>
      <c r="AU95" s="116" t="str">
        <f>=ROUND(AS95+AN95,2)</f>
      </c>
      <c r="AV95" s="144" t="str">
        <f>=ROUND(AT95+AO95,2)</f>
      </c>
      <c r="AY95" s="149" t="s">
        <v>307</v>
      </c>
      <c r="AZ95" s="24"/>
      <c r="BA95" s="117" t="str">
        <f>=IFERROR(ROUND(AZ95/FB_Kurs_8,2),0)</f>
      </c>
      <c r="BB95" s="116" t="str">
        <f>=ROUND(AZ95+AU95,2)</f>
      </c>
      <c r="BC95" s="144" t="str">
        <f>=ROUND(BA95+AV95,2)</f>
      </c>
      <c r="BF95" s="149" t="s">
        <v>307</v>
      </c>
      <c r="BG95" s="24"/>
      <c r="BH95" s="117" t="str">
        <f>=IFERROR(ROUND(BG95/FB_Kurs_9,2),0)</f>
      </c>
      <c r="BI95" s="116" t="str">
        <f>=ROUND(BG95+BB95,2)</f>
      </c>
      <c r="BJ95" s="144" t="str">
        <f>=ROUND(BH95+BC95,2)</f>
      </c>
      <c r="BM95" s="149" t="s">
        <v>307</v>
      </c>
      <c r="BN95" s="24"/>
      <c r="BO95" s="117" t="str">
        <f>=IFERROR(ROUND(BN95/FB_Kurs_10,2),0)</f>
      </c>
      <c r="BP95" s="116" t="str">
        <f>=ROUND(BN95+BI95,2)</f>
      </c>
      <c r="BQ95" s="144" t="str">
        <f>=ROUND(BO95+BJ95,2)</f>
      </c>
      <c r="BT95" s="149" t="s">
        <v>307</v>
      </c>
      <c r="BU95" s="24"/>
      <c r="BV95" s="117" t="str">
        <f>=IFERROR(ROUND(BU95/FB_Kurs_11,2),0)</f>
      </c>
      <c r="BW95" s="116" t="str">
        <f>=ROUND(BU95+BP95,2)</f>
      </c>
      <c r="BX95" s="144" t="str">
        <f>=ROUND(BV95+BQ95,2)</f>
      </c>
      <c r="CA95" s="149" t="s">
        <v>307</v>
      </c>
      <c r="CB95" s="24"/>
      <c r="CC95" s="117" t="str">
        <f>=IFERROR(ROUND(CB95/FB_Kurs_12,2),0)</f>
      </c>
      <c r="CD95" s="116" t="str">
        <f>=ROUND(CB95+BW95,2)</f>
      </c>
      <c r="CE95" s="144" t="str">
        <f>=ROUND(CC95+BX95,2)</f>
      </c>
      <c r="CH95" s="149" t="s">
        <v>307</v>
      </c>
      <c r="CI95" s="24"/>
      <c r="CJ95" s="117" t="str">
        <f>=IFERROR(ROUND(CI95/FB_Kurs_13,2),0)</f>
      </c>
      <c r="CK95" s="116" t="str">
        <f>=ROUND(CI95+CD95,2)</f>
      </c>
      <c r="CL95" s="144" t="str">
        <f>=ROUND(CJ95+CE95,2)</f>
      </c>
      <c r="CO95" s="149" t="s">
        <v>307</v>
      </c>
      <c r="CP95" s="24"/>
      <c r="CQ95" s="117" t="str">
        <f>=IFERROR(ROUND(CP95/FB_Kurs_14,2),0)</f>
      </c>
      <c r="CR95" s="116" t="str">
        <f>=ROUND(CP95+CK95,2)</f>
      </c>
      <c r="CS95" s="144" t="str">
        <f>=ROUND(CQ95+CL95,2)</f>
      </c>
      <c r="CV95" s="149" t="s">
        <v>307</v>
      </c>
      <c r="CW95" s="24"/>
      <c r="CX95" s="117" t="str">
        <f>=IFERROR(ROUND(CW95/FB_Kurs_15,2),0)</f>
      </c>
      <c r="CY95" s="116" t="str">
        <f>=ROUND(CW95+CR95,2)</f>
      </c>
      <c r="CZ95" s="144" t="str">
        <f>=ROUND(CX95+CS95,2)</f>
      </c>
      <c r="DC95" s="149" t="s">
        <v>307</v>
      </c>
      <c r="DD95" s="24"/>
      <c r="DE95" s="117" t="str">
        <f>=IFERROR(ROUND(DD95/FB_Kurs_16,2),0)</f>
      </c>
      <c r="DF95" s="116" t="str">
        <f>=ROUND(DD95+CY95,2)</f>
      </c>
      <c r="DG95" s="144" t="str">
        <f>=ROUND(DE95+CZ95,2)</f>
      </c>
      <c r="DJ95" s="149" t="s">
        <v>307</v>
      </c>
      <c r="DK95" s="24"/>
      <c r="DL95" s="117" t="str">
        <f>=IFERROR(ROUND(DK95/FB_Kurs_17,2),0)</f>
      </c>
      <c r="DM95" s="116" t="str">
        <f>=ROUND(DK95+DF95,2)</f>
      </c>
      <c r="DN95" s="144" t="str">
        <f>=ROUND(DL95+DG95,2)</f>
      </c>
      <c r="DQ95" s="149" t="s">
        <v>307</v>
      </c>
      <c r="DR95" s="24"/>
      <c r="DS95" s="117" t="str">
        <f>=IFERROR(ROUND(DR95/FB_Kurs_18,2),0)</f>
      </c>
      <c r="DT95" s="116" t="str">
        <f>=ROUND(DR95+DM95,2)</f>
      </c>
      <c r="DU95" s="144" t="str">
        <f>=ROUND(DS95+DN95,2)</f>
      </c>
    </row>
    <row r="96">
      <c r="B96" s="149" t="s">
        <v>308</v>
      </c>
      <c r="C96" s="24"/>
      <c r="D96" s="117" t="str">
        <f>=IFERROR(ROUND(C96/FB_Kurs_1,2),0)</f>
      </c>
      <c r="E96" s="116" t="str">
        <f>=ROUND(C96,2)</f>
      </c>
      <c r="F96" s="144" t="str">
        <f>=ROUND(D96,2)</f>
      </c>
      <c r="I96" s="149" t="s">
        <v>308</v>
      </c>
      <c r="J96" s="24"/>
      <c r="K96" s="117" t="str">
        <f>=IFERROR(ROUND(J96/FB_Kurs_2,2),0)</f>
      </c>
      <c r="L96" s="116" t="str">
        <f>=ROUND(J96+E96,2)</f>
      </c>
      <c r="M96" s="144" t="str">
        <f>=ROUND(K96+F96,2)</f>
      </c>
      <c r="P96" s="149" t="s">
        <v>308</v>
      </c>
      <c r="Q96" s="24"/>
      <c r="R96" s="117" t="str">
        <f>=IFERROR(ROUND(Q96/FB_Kurs_3,2),0)</f>
      </c>
      <c r="S96" s="116" t="str">
        <f>=ROUND(Q96+L96,2)</f>
      </c>
      <c r="T96" s="144" t="str">
        <f>=ROUND(R96+M96,2)</f>
      </c>
      <c r="W96" s="149" t="s">
        <v>308</v>
      </c>
      <c r="X96" s="24"/>
      <c r="Y96" s="117" t="str">
        <f>=IFERROR(ROUND(X96/FB_Kurs_4,2),0)</f>
      </c>
      <c r="Z96" s="116" t="str">
        <f>=ROUND(X96+S96,2)</f>
      </c>
      <c r="AA96" s="144" t="str">
        <f>=ROUND(Y96+T96,2)</f>
      </c>
      <c r="AD96" s="149" t="s">
        <v>308</v>
      </c>
      <c r="AE96" s="24"/>
      <c r="AF96" s="117" t="str">
        <f>=IFERROR(ROUND(AE96/FB_Kurs_5,2),0)</f>
      </c>
      <c r="AG96" s="116" t="str">
        <f>=ROUND(AE96+Z96,2)</f>
      </c>
      <c r="AH96" s="144" t="str">
        <f>=ROUND(AF96+AA96,2)</f>
      </c>
      <c r="AK96" s="149" t="s">
        <v>308</v>
      </c>
      <c r="AL96" s="24"/>
      <c r="AM96" s="117" t="str">
        <f>=IFERROR(ROUND(AL96/FB_Kurs_6,2),0)</f>
      </c>
      <c r="AN96" s="116" t="str">
        <f>=ROUND(AL96+AG96,2)</f>
      </c>
      <c r="AO96" s="144" t="str">
        <f>=ROUND(AM96+AH96,2)</f>
      </c>
      <c r="AR96" s="149" t="s">
        <v>308</v>
      </c>
      <c r="AS96" s="24"/>
      <c r="AT96" s="117" t="str">
        <f>=IFERROR(ROUND(AS96/FB_Kurs_7,2),0)</f>
      </c>
      <c r="AU96" s="116" t="str">
        <f>=ROUND(AS96+AN96,2)</f>
      </c>
      <c r="AV96" s="144" t="str">
        <f>=ROUND(AT96+AO96,2)</f>
      </c>
      <c r="AY96" s="149" t="s">
        <v>308</v>
      </c>
      <c r="AZ96" s="24"/>
      <c r="BA96" s="117" t="str">
        <f>=IFERROR(ROUND(AZ96/FB_Kurs_8,2),0)</f>
      </c>
      <c r="BB96" s="116" t="str">
        <f>=ROUND(AZ96+AU96,2)</f>
      </c>
      <c r="BC96" s="144" t="str">
        <f>=ROUND(BA96+AV96,2)</f>
      </c>
      <c r="BF96" s="149" t="s">
        <v>308</v>
      </c>
      <c r="BG96" s="24"/>
      <c r="BH96" s="117" t="str">
        <f>=IFERROR(ROUND(BG96/FB_Kurs_9,2),0)</f>
      </c>
      <c r="BI96" s="116" t="str">
        <f>=ROUND(BG96+BB96,2)</f>
      </c>
      <c r="BJ96" s="144" t="str">
        <f>=ROUND(BH96+BC96,2)</f>
      </c>
      <c r="BM96" s="149" t="s">
        <v>308</v>
      </c>
      <c r="BN96" s="24"/>
      <c r="BO96" s="117" t="str">
        <f>=IFERROR(ROUND(BN96/FB_Kurs_10,2),0)</f>
      </c>
      <c r="BP96" s="116" t="str">
        <f>=ROUND(BN96+BI96,2)</f>
      </c>
      <c r="BQ96" s="144" t="str">
        <f>=ROUND(BO96+BJ96,2)</f>
      </c>
      <c r="BT96" s="149" t="s">
        <v>308</v>
      </c>
      <c r="BU96" s="24"/>
      <c r="BV96" s="117" t="str">
        <f>=IFERROR(ROUND(BU96/FB_Kurs_11,2),0)</f>
      </c>
      <c r="BW96" s="116" t="str">
        <f>=ROUND(BU96+BP96,2)</f>
      </c>
      <c r="BX96" s="144" t="str">
        <f>=ROUND(BV96+BQ96,2)</f>
      </c>
      <c r="CA96" s="149" t="s">
        <v>308</v>
      </c>
      <c r="CB96" s="24"/>
      <c r="CC96" s="117" t="str">
        <f>=IFERROR(ROUND(CB96/FB_Kurs_12,2),0)</f>
      </c>
      <c r="CD96" s="116" t="str">
        <f>=ROUND(CB96+BW96,2)</f>
      </c>
      <c r="CE96" s="144" t="str">
        <f>=ROUND(CC96+BX96,2)</f>
      </c>
      <c r="CH96" s="149" t="s">
        <v>308</v>
      </c>
      <c r="CI96" s="24"/>
      <c r="CJ96" s="117" t="str">
        <f>=IFERROR(ROUND(CI96/FB_Kurs_13,2),0)</f>
      </c>
      <c r="CK96" s="116" t="str">
        <f>=ROUND(CI96+CD96,2)</f>
      </c>
      <c r="CL96" s="144" t="str">
        <f>=ROUND(CJ96+CE96,2)</f>
      </c>
      <c r="CO96" s="149" t="s">
        <v>308</v>
      </c>
      <c r="CP96" s="24"/>
      <c r="CQ96" s="117" t="str">
        <f>=IFERROR(ROUND(CP96/FB_Kurs_14,2),0)</f>
      </c>
      <c r="CR96" s="116" t="str">
        <f>=ROUND(CP96+CK96,2)</f>
      </c>
      <c r="CS96" s="144" t="str">
        <f>=ROUND(CQ96+CL96,2)</f>
      </c>
      <c r="CV96" s="149" t="s">
        <v>308</v>
      </c>
      <c r="CW96" s="24"/>
      <c r="CX96" s="117" t="str">
        <f>=IFERROR(ROUND(CW96/FB_Kurs_15,2),0)</f>
      </c>
      <c r="CY96" s="116" t="str">
        <f>=ROUND(CW96+CR96,2)</f>
      </c>
      <c r="CZ96" s="144" t="str">
        <f>=ROUND(CX96+CS96,2)</f>
      </c>
      <c r="DC96" s="149" t="s">
        <v>308</v>
      </c>
      <c r="DD96" s="24"/>
      <c r="DE96" s="117" t="str">
        <f>=IFERROR(ROUND(DD96/FB_Kurs_16,2),0)</f>
      </c>
      <c r="DF96" s="116" t="str">
        <f>=ROUND(DD96+CY96,2)</f>
      </c>
      <c r="DG96" s="144" t="str">
        <f>=ROUND(DE96+CZ96,2)</f>
      </c>
      <c r="DJ96" s="149" t="s">
        <v>308</v>
      </c>
      <c r="DK96" s="24"/>
      <c r="DL96" s="117" t="str">
        <f>=IFERROR(ROUND(DK96/FB_Kurs_17,2),0)</f>
      </c>
      <c r="DM96" s="116" t="str">
        <f>=ROUND(DK96+DF96,2)</f>
      </c>
      <c r="DN96" s="144" t="str">
        <f>=ROUND(DL96+DG96,2)</f>
      </c>
      <c r="DQ96" s="149" t="s">
        <v>308</v>
      </c>
      <c r="DR96" s="24"/>
      <c r="DS96" s="117" t="str">
        <f>=IFERROR(ROUND(DR96/FB_Kurs_18,2),0)</f>
      </c>
      <c r="DT96" s="116" t="str">
        <f>=ROUND(DR96+DM96,2)</f>
      </c>
      <c r="DU96" s="144" t="str">
        <f>=ROUND(DS96+DN96,2)</f>
      </c>
    </row>
    <row r="97">
      <c r="B97" s="149" t="s">
        <v>309</v>
      </c>
      <c r="C97" s="24"/>
      <c r="D97" s="117" t="str">
        <f>=IFERROR(ROUND(C97/FB_Kurs_1,2),0)</f>
      </c>
      <c r="E97" s="116" t="str">
        <f>=ROUND(C97,2)</f>
      </c>
      <c r="F97" s="144" t="str">
        <f>=ROUND(D97,2)</f>
      </c>
      <c r="I97" s="149" t="s">
        <v>309</v>
      </c>
      <c r="J97" s="24"/>
      <c r="K97" s="117" t="str">
        <f>=IFERROR(ROUND(J97/FB_Kurs_2,2),0)</f>
      </c>
      <c r="L97" s="116" t="str">
        <f>=ROUND(J97+E97,2)</f>
      </c>
      <c r="M97" s="144" t="str">
        <f>=ROUND(K97+F97,2)</f>
      </c>
      <c r="P97" s="149" t="s">
        <v>309</v>
      </c>
      <c r="Q97" s="24"/>
      <c r="R97" s="117" t="str">
        <f>=IFERROR(ROUND(Q97/FB_Kurs_3,2),0)</f>
      </c>
      <c r="S97" s="116" t="str">
        <f>=ROUND(Q97+L97,2)</f>
      </c>
      <c r="T97" s="144" t="str">
        <f>=ROUND(R97+M97,2)</f>
      </c>
      <c r="W97" s="149" t="s">
        <v>309</v>
      </c>
      <c r="X97" s="24"/>
      <c r="Y97" s="117" t="str">
        <f>=IFERROR(ROUND(X97/FB_Kurs_4,2),0)</f>
      </c>
      <c r="Z97" s="116" t="str">
        <f>=ROUND(X97+S97,2)</f>
      </c>
      <c r="AA97" s="144" t="str">
        <f>=ROUND(Y97+T97,2)</f>
      </c>
      <c r="AD97" s="149" t="s">
        <v>309</v>
      </c>
      <c r="AE97" s="24"/>
      <c r="AF97" s="117" t="str">
        <f>=IFERROR(ROUND(AE97/FB_Kurs_5,2),0)</f>
      </c>
      <c r="AG97" s="116" t="str">
        <f>=ROUND(AE97+Z97,2)</f>
      </c>
      <c r="AH97" s="144" t="str">
        <f>=ROUND(AF97+AA97,2)</f>
      </c>
      <c r="AK97" s="149" t="s">
        <v>309</v>
      </c>
      <c r="AL97" s="24"/>
      <c r="AM97" s="117" t="str">
        <f>=IFERROR(ROUND(AL97/FB_Kurs_6,2),0)</f>
      </c>
      <c r="AN97" s="116" t="str">
        <f>=ROUND(AL97+AG97,2)</f>
      </c>
      <c r="AO97" s="144" t="str">
        <f>=ROUND(AM97+AH97,2)</f>
      </c>
      <c r="AR97" s="149" t="s">
        <v>309</v>
      </c>
      <c r="AS97" s="24"/>
      <c r="AT97" s="117" t="str">
        <f>=IFERROR(ROUND(AS97/FB_Kurs_7,2),0)</f>
      </c>
      <c r="AU97" s="116" t="str">
        <f>=ROUND(AS97+AN97,2)</f>
      </c>
      <c r="AV97" s="144" t="str">
        <f>=ROUND(AT97+AO97,2)</f>
      </c>
      <c r="AY97" s="149" t="s">
        <v>309</v>
      </c>
      <c r="AZ97" s="24"/>
      <c r="BA97" s="117" t="str">
        <f>=IFERROR(ROUND(AZ97/FB_Kurs_8,2),0)</f>
      </c>
      <c r="BB97" s="116" t="str">
        <f>=ROUND(AZ97+AU97,2)</f>
      </c>
      <c r="BC97" s="144" t="str">
        <f>=ROUND(BA97+AV97,2)</f>
      </c>
      <c r="BF97" s="149" t="s">
        <v>309</v>
      </c>
      <c r="BG97" s="24"/>
      <c r="BH97" s="117" t="str">
        <f>=IFERROR(ROUND(BG97/FB_Kurs_9,2),0)</f>
      </c>
      <c r="BI97" s="116" t="str">
        <f>=ROUND(BG97+BB97,2)</f>
      </c>
      <c r="BJ97" s="144" t="str">
        <f>=ROUND(BH97+BC97,2)</f>
      </c>
      <c r="BM97" s="149" t="s">
        <v>309</v>
      </c>
      <c r="BN97" s="24"/>
      <c r="BO97" s="117" t="str">
        <f>=IFERROR(ROUND(BN97/FB_Kurs_10,2),0)</f>
      </c>
      <c r="BP97" s="116" t="str">
        <f>=ROUND(BN97+BI97,2)</f>
      </c>
      <c r="BQ97" s="144" t="str">
        <f>=ROUND(BO97+BJ97,2)</f>
      </c>
      <c r="BT97" s="149" t="s">
        <v>309</v>
      </c>
      <c r="BU97" s="24"/>
      <c r="BV97" s="117" t="str">
        <f>=IFERROR(ROUND(BU97/FB_Kurs_11,2),0)</f>
      </c>
      <c r="BW97" s="116" t="str">
        <f>=ROUND(BU97+BP97,2)</f>
      </c>
      <c r="BX97" s="144" t="str">
        <f>=ROUND(BV97+BQ97,2)</f>
      </c>
      <c r="CA97" s="149" t="s">
        <v>309</v>
      </c>
      <c r="CB97" s="24"/>
      <c r="CC97" s="117" t="str">
        <f>=IFERROR(ROUND(CB97/FB_Kurs_12,2),0)</f>
      </c>
      <c r="CD97" s="116" t="str">
        <f>=ROUND(CB97+BW97,2)</f>
      </c>
      <c r="CE97" s="144" t="str">
        <f>=ROUND(CC97+BX97,2)</f>
      </c>
      <c r="CH97" s="149" t="s">
        <v>309</v>
      </c>
      <c r="CI97" s="24"/>
      <c r="CJ97" s="117" t="str">
        <f>=IFERROR(ROUND(CI97/FB_Kurs_13,2),0)</f>
      </c>
      <c r="CK97" s="116" t="str">
        <f>=ROUND(CI97+CD97,2)</f>
      </c>
      <c r="CL97" s="144" t="str">
        <f>=ROUND(CJ97+CE97,2)</f>
      </c>
      <c r="CO97" s="149" t="s">
        <v>309</v>
      </c>
      <c r="CP97" s="24"/>
      <c r="CQ97" s="117" t="str">
        <f>=IFERROR(ROUND(CP97/FB_Kurs_14,2),0)</f>
      </c>
      <c r="CR97" s="116" t="str">
        <f>=ROUND(CP97+CK97,2)</f>
      </c>
      <c r="CS97" s="144" t="str">
        <f>=ROUND(CQ97+CL97,2)</f>
      </c>
      <c r="CV97" s="149" t="s">
        <v>309</v>
      </c>
      <c r="CW97" s="24"/>
      <c r="CX97" s="117" t="str">
        <f>=IFERROR(ROUND(CW97/FB_Kurs_15,2),0)</f>
      </c>
      <c r="CY97" s="116" t="str">
        <f>=ROUND(CW97+CR97,2)</f>
      </c>
      <c r="CZ97" s="144" t="str">
        <f>=ROUND(CX97+CS97,2)</f>
      </c>
      <c r="DC97" s="149" t="s">
        <v>309</v>
      </c>
      <c r="DD97" s="24"/>
      <c r="DE97" s="117" t="str">
        <f>=IFERROR(ROUND(DD97/FB_Kurs_16,2),0)</f>
      </c>
      <c r="DF97" s="116" t="str">
        <f>=ROUND(DD97+CY97,2)</f>
      </c>
      <c r="DG97" s="144" t="str">
        <f>=ROUND(DE97+CZ97,2)</f>
      </c>
      <c r="DJ97" s="149" t="s">
        <v>309</v>
      </c>
      <c r="DK97" s="24"/>
      <c r="DL97" s="117" t="str">
        <f>=IFERROR(ROUND(DK97/FB_Kurs_17,2),0)</f>
      </c>
      <c r="DM97" s="116" t="str">
        <f>=ROUND(DK97+DF97,2)</f>
      </c>
      <c r="DN97" s="144" t="str">
        <f>=ROUND(DL97+DG97,2)</f>
      </c>
      <c r="DQ97" s="149" t="s">
        <v>309</v>
      </c>
      <c r="DR97" s="24"/>
      <c r="DS97" s="117" t="str">
        <f>=IFERROR(ROUND(DR97/FB_Kurs_18,2),0)</f>
      </c>
      <c r="DT97" s="116" t="str">
        <f>=ROUND(DR97+DM97,2)</f>
      </c>
      <c r="DU97" s="144" t="str">
        <f>=ROUND(DS97+DN97,2)</f>
      </c>
    </row>
    <row r="98">
      <c r="B98" s="149" t="s">
        <v>310</v>
      </c>
      <c r="C98" s="24"/>
      <c r="D98" s="117" t="str">
        <f>=IFERROR(ROUND(C98/FB_Kurs_1,2),0)</f>
      </c>
      <c r="E98" s="116" t="str">
        <f>=ROUND(C98,2)</f>
      </c>
      <c r="F98" s="144" t="str">
        <f>=ROUND(D98,2)</f>
      </c>
      <c r="I98" s="149" t="s">
        <v>310</v>
      </c>
      <c r="J98" s="24"/>
      <c r="K98" s="117" t="str">
        <f>=IFERROR(ROUND(J98/FB_Kurs_2,2),0)</f>
      </c>
      <c r="L98" s="116" t="str">
        <f>=ROUND(J98+E98,2)</f>
      </c>
      <c r="M98" s="144" t="str">
        <f>=ROUND(K98+F98,2)</f>
      </c>
      <c r="P98" s="149" t="s">
        <v>310</v>
      </c>
      <c r="Q98" s="24"/>
      <c r="R98" s="117" t="str">
        <f>=IFERROR(ROUND(Q98/FB_Kurs_3,2),0)</f>
      </c>
      <c r="S98" s="116" t="str">
        <f>=ROUND(Q98+L98,2)</f>
      </c>
      <c r="T98" s="144" t="str">
        <f>=ROUND(R98+M98,2)</f>
      </c>
      <c r="W98" s="149" t="s">
        <v>310</v>
      </c>
      <c r="X98" s="24"/>
      <c r="Y98" s="117" t="str">
        <f>=IFERROR(ROUND(X98/FB_Kurs_4,2),0)</f>
      </c>
      <c r="Z98" s="116" t="str">
        <f>=ROUND(X98+S98,2)</f>
      </c>
      <c r="AA98" s="144" t="str">
        <f>=ROUND(Y98+T98,2)</f>
      </c>
      <c r="AD98" s="149" t="s">
        <v>310</v>
      </c>
      <c r="AE98" s="24"/>
      <c r="AF98" s="117" t="str">
        <f>=IFERROR(ROUND(AE98/FB_Kurs_5,2),0)</f>
      </c>
      <c r="AG98" s="116" t="str">
        <f>=ROUND(AE98+Z98,2)</f>
      </c>
      <c r="AH98" s="144" t="str">
        <f>=ROUND(AF98+AA98,2)</f>
      </c>
      <c r="AK98" s="149" t="s">
        <v>310</v>
      </c>
      <c r="AL98" s="24"/>
      <c r="AM98" s="117" t="str">
        <f>=IFERROR(ROUND(AL98/FB_Kurs_6,2),0)</f>
      </c>
      <c r="AN98" s="116" t="str">
        <f>=ROUND(AL98+AG98,2)</f>
      </c>
      <c r="AO98" s="144" t="str">
        <f>=ROUND(AM98+AH98,2)</f>
      </c>
      <c r="AR98" s="149" t="s">
        <v>310</v>
      </c>
      <c r="AS98" s="24"/>
      <c r="AT98" s="117" t="str">
        <f>=IFERROR(ROUND(AS98/FB_Kurs_7,2),0)</f>
      </c>
      <c r="AU98" s="116" t="str">
        <f>=ROUND(AS98+AN98,2)</f>
      </c>
      <c r="AV98" s="144" t="str">
        <f>=ROUND(AT98+AO98,2)</f>
      </c>
      <c r="AY98" s="149" t="s">
        <v>310</v>
      </c>
      <c r="AZ98" s="24"/>
      <c r="BA98" s="117" t="str">
        <f>=IFERROR(ROUND(AZ98/FB_Kurs_8,2),0)</f>
      </c>
      <c r="BB98" s="116" t="str">
        <f>=ROUND(AZ98+AU98,2)</f>
      </c>
      <c r="BC98" s="144" t="str">
        <f>=ROUND(BA98+AV98,2)</f>
      </c>
      <c r="BF98" s="149" t="s">
        <v>310</v>
      </c>
      <c r="BG98" s="24"/>
      <c r="BH98" s="117" t="str">
        <f>=IFERROR(ROUND(BG98/FB_Kurs_9,2),0)</f>
      </c>
      <c r="BI98" s="116" t="str">
        <f>=ROUND(BG98+BB98,2)</f>
      </c>
      <c r="BJ98" s="144" t="str">
        <f>=ROUND(BH98+BC98,2)</f>
      </c>
      <c r="BM98" s="149" t="s">
        <v>310</v>
      </c>
      <c r="BN98" s="24"/>
      <c r="BO98" s="117" t="str">
        <f>=IFERROR(ROUND(BN98/FB_Kurs_10,2),0)</f>
      </c>
      <c r="BP98" s="116" t="str">
        <f>=ROUND(BN98+BI98,2)</f>
      </c>
      <c r="BQ98" s="144" t="str">
        <f>=ROUND(BO98+BJ98,2)</f>
      </c>
      <c r="BT98" s="149" t="s">
        <v>310</v>
      </c>
      <c r="BU98" s="24"/>
      <c r="BV98" s="117" t="str">
        <f>=IFERROR(ROUND(BU98/FB_Kurs_11,2),0)</f>
      </c>
      <c r="BW98" s="116" t="str">
        <f>=ROUND(BU98+BP98,2)</f>
      </c>
      <c r="BX98" s="144" t="str">
        <f>=ROUND(BV98+BQ98,2)</f>
      </c>
      <c r="CA98" s="149" t="s">
        <v>310</v>
      </c>
      <c r="CB98" s="24"/>
      <c r="CC98" s="117" t="str">
        <f>=IFERROR(ROUND(CB98/FB_Kurs_12,2),0)</f>
      </c>
      <c r="CD98" s="116" t="str">
        <f>=ROUND(CB98+BW98,2)</f>
      </c>
      <c r="CE98" s="144" t="str">
        <f>=ROUND(CC98+BX98,2)</f>
      </c>
      <c r="CH98" s="149" t="s">
        <v>310</v>
      </c>
      <c r="CI98" s="24"/>
      <c r="CJ98" s="117" t="str">
        <f>=IFERROR(ROUND(CI98/FB_Kurs_13,2),0)</f>
      </c>
      <c r="CK98" s="116" t="str">
        <f>=ROUND(CI98+CD98,2)</f>
      </c>
      <c r="CL98" s="144" t="str">
        <f>=ROUND(CJ98+CE98,2)</f>
      </c>
      <c r="CO98" s="149" t="s">
        <v>310</v>
      </c>
      <c r="CP98" s="24"/>
      <c r="CQ98" s="117" t="str">
        <f>=IFERROR(ROUND(CP98/FB_Kurs_14,2),0)</f>
      </c>
      <c r="CR98" s="116" t="str">
        <f>=ROUND(CP98+CK98,2)</f>
      </c>
      <c r="CS98" s="144" t="str">
        <f>=ROUND(CQ98+CL98,2)</f>
      </c>
      <c r="CV98" s="149" t="s">
        <v>310</v>
      </c>
      <c r="CW98" s="24"/>
      <c r="CX98" s="117" t="str">
        <f>=IFERROR(ROUND(CW98/FB_Kurs_15,2),0)</f>
      </c>
      <c r="CY98" s="116" t="str">
        <f>=ROUND(CW98+CR98,2)</f>
      </c>
      <c r="CZ98" s="144" t="str">
        <f>=ROUND(CX98+CS98,2)</f>
      </c>
      <c r="DC98" s="149" t="s">
        <v>310</v>
      </c>
      <c r="DD98" s="24"/>
      <c r="DE98" s="117" t="str">
        <f>=IFERROR(ROUND(DD98/FB_Kurs_16,2),0)</f>
      </c>
      <c r="DF98" s="116" t="str">
        <f>=ROUND(DD98+CY98,2)</f>
      </c>
      <c r="DG98" s="144" t="str">
        <f>=ROUND(DE98+CZ98,2)</f>
      </c>
      <c r="DJ98" s="149" t="s">
        <v>310</v>
      </c>
      <c r="DK98" s="24"/>
      <c r="DL98" s="117" t="str">
        <f>=IFERROR(ROUND(DK98/FB_Kurs_17,2),0)</f>
      </c>
      <c r="DM98" s="116" t="str">
        <f>=ROUND(DK98+DF98,2)</f>
      </c>
      <c r="DN98" s="144" t="str">
        <f>=ROUND(DL98+DG98,2)</f>
      </c>
      <c r="DQ98" s="149" t="s">
        <v>310</v>
      </c>
      <c r="DR98" s="24"/>
      <c r="DS98" s="117" t="str">
        <f>=IFERROR(ROUND(DR98/FB_Kurs_18,2),0)</f>
      </c>
      <c r="DT98" s="116" t="str">
        <f>=ROUND(DR98+DM98,2)</f>
      </c>
      <c r="DU98" s="144" t="str">
        <f>=ROUND(DS98+DN98,2)</f>
      </c>
    </row>
    <row r="99">
      <c r="B99" s="149" t="s">
        <v>311</v>
      </c>
      <c r="C99" s="24"/>
      <c r="D99" s="117" t="str">
        <f>=IFERROR(ROUND(C99/FB_Kurs_1,2),0)</f>
      </c>
      <c r="E99" s="116" t="str">
        <f>=ROUND(C99,2)</f>
      </c>
      <c r="F99" s="144" t="str">
        <f>=ROUND(D99,2)</f>
      </c>
      <c r="I99" s="149" t="s">
        <v>311</v>
      </c>
      <c r="J99" s="24"/>
      <c r="K99" s="117" t="str">
        <f>=IFERROR(ROUND(J99/FB_Kurs_2,2),0)</f>
      </c>
      <c r="L99" s="116" t="str">
        <f>=ROUND(J99+E99,2)</f>
      </c>
      <c r="M99" s="144" t="str">
        <f>=ROUND(K99+F99,2)</f>
      </c>
      <c r="P99" s="149" t="s">
        <v>311</v>
      </c>
      <c r="Q99" s="24"/>
      <c r="R99" s="117" t="str">
        <f>=IFERROR(ROUND(Q99/FB_Kurs_3,2),0)</f>
      </c>
      <c r="S99" s="116" t="str">
        <f>=ROUND(Q99+L99,2)</f>
      </c>
      <c r="T99" s="144" t="str">
        <f>=ROUND(R99+M99,2)</f>
      </c>
      <c r="W99" s="149" t="s">
        <v>311</v>
      </c>
      <c r="X99" s="24"/>
      <c r="Y99" s="117" t="str">
        <f>=IFERROR(ROUND(X99/FB_Kurs_4,2),0)</f>
      </c>
      <c r="Z99" s="116" t="str">
        <f>=ROUND(X99+S99,2)</f>
      </c>
      <c r="AA99" s="144" t="str">
        <f>=ROUND(Y99+T99,2)</f>
      </c>
      <c r="AD99" s="149" t="s">
        <v>311</v>
      </c>
      <c r="AE99" s="24"/>
      <c r="AF99" s="117" t="str">
        <f>=IFERROR(ROUND(AE99/FB_Kurs_5,2),0)</f>
      </c>
      <c r="AG99" s="116" t="str">
        <f>=ROUND(AE99+Z99,2)</f>
      </c>
      <c r="AH99" s="144" t="str">
        <f>=ROUND(AF99+AA99,2)</f>
      </c>
      <c r="AK99" s="149" t="s">
        <v>311</v>
      </c>
      <c r="AL99" s="24"/>
      <c r="AM99" s="117" t="str">
        <f>=IFERROR(ROUND(AL99/FB_Kurs_6,2),0)</f>
      </c>
      <c r="AN99" s="116" t="str">
        <f>=ROUND(AL99+AG99,2)</f>
      </c>
      <c r="AO99" s="144" t="str">
        <f>=ROUND(AM99+AH99,2)</f>
      </c>
      <c r="AR99" s="149" t="s">
        <v>311</v>
      </c>
      <c r="AS99" s="24"/>
      <c r="AT99" s="117" t="str">
        <f>=IFERROR(ROUND(AS99/FB_Kurs_7,2),0)</f>
      </c>
      <c r="AU99" s="116" t="str">
        <f>=ROUND(AS99+AN99,2)</f>
      </c>
      <c r="AV99" s="144" t="str">
        <f>=ROUND(AT99+AO99,2)</f>
      </c>
      <c r="AY99" s="149" t="s">
        <v>311</v>
      </c>
      <c r="AZ99" s="24"/>
      <c r="BA99" s="117" t="str">
        <f>=IFERROR(ROUND(AZ99/FB_Kurs_8,2),0)</f>
      </c>
      <c r="BB99" s="116" t="str">
        <f>=ROUND(AZ99+AU99,2)</f>
      </c>
      <c r="BC99" s="144" t="str">
        <f>=ROUND(BA99+AV99,2)</f>
      </c>
      <c r="BF99" s="149" t="s">
        <v>311</v>
      </c>
      <c r="BG99" s="24"/>
      <c r="BH99" s="117" t="str">
        <f>=IFERROR(ROUND(BG99/FB_Kurs_9,2),0)</f>
      </c>
      <c r="BI99" s="116" t="str">
        <f>=ROUND(BG99+BB99,2)</f>
      </c>
      <c r="BJ99" s="144" t="str">
        <f>=ROUND(BH99+BC99,2)</f>
      </c>
      <c r="BM99" s="149" t="s">
        <v>311</v>
      </c>
      <c r="BN99" s="24"/>
      <c r="BO99" s="117" t="str">
        <f>=IFERROR(ROUND(BN99/FB_Kurs_10,2),0)</f>
      </c>
      <c r="BP99" s="116" t="str">
        <f>=ROUND(BN99+BI99,2)</f>
      </c>
      <c r="BQ99" s="144" t="str">
        <f>=ROUND(BO99+BJ99,2)</f>
      </c>
      <c r="BT99" s="149" t="s">
        <v>311</v>
      </c>
      <c r="BU99" s="24"/>
      <c r="BV99" s="117" t="str">
        <f>=IFERROR(ROUND(BU99/FB_Kurs_11,2),0)</f>
      </c>
      <c r="BW99" s="116" t="str">
        <f>=ROUND(BU99+BP99,2)</f>
      </c>
      <c r="BX99" s="144" t="str">
        <f>=ROUND(BV99+BQ99,2)</f>
      </c>
      <c r="CA99" s="149" t="s">
        <v>311</v>
      </c>
      <c r="CB99" s="24"/>
      <c r="CC99" s="117" t="str">
        <f>=IFERROR(ROUND(CB99/FB_Kurs_12,2),0)</f>
      </c>
      <c r="CD99" s="116" t="str">
        <f>=ROUND(CB99+BW99,2)</f>
      </c>
      <c r="CE99" s="144" t="str">
        <f>=ROUND(CC99+BX99,2)</f>
      </c>
      <c r="CH99" s="149" t="s">
        <v>311</v>
      </c>
      <c r="CI99" s="24"/>
      <c r="CJ99" s="117" t="str">
        <f>=IFERROR(ROUND(CI99/FB_Kurs_13,2),0)</f>
      </c>
      <c r="CK99" s="116" t="str">
        <f>=ROUND(CI99+CD99,2)</f>
      </c>
      <c r="CL99" s="144" t="str">
        <f>=ROUND(CJ99+CE99,2)</f>
      </c>
      <c r="CO99" s="149" t="s">
        <v>311</v>
      </c>
      <c r="CP99" s="24"/>
      <c r="CQ99" s="117" t="str">
        <f>=IFERROR(ROUND(CP99/FB_Kurs_14,2),0)</f>
      </c>
      <c r="CR99" s="116" t="str">
        <f>=ROUND(CP99+CK99,2)</f>
      </c>
      <c r="CS99" s="144" t="str">
        <f>=ROUND(CQ99+CL99,2)</f>
      </c>
      <c r="CV99" s="149" t="s">
        <v>311</v>
      </c>
      <c r="CW99" s="24"/>
      <c r="CX99" s="117" t="str">
        <f>=IFERROR(ROUND(CW99/FB_Kurs_15,2),0)</f>
      </c>
      <c r="CY99" s="116" t="str">
        <f>=ROUND(CW99+CR99,2)</f>
      </c>
      <c r="CZ99" s="144" t="str">
        <f>=ROUND(CX99+CS99,2)</f>
      </c>
      <c r="DC99" s="149" t="s">
        <v>311</v>
      </c>
      <c r="DD99" s="24"/>
      <c r="DE99" s="117" t="str">
        <f>=IFERROR(ROUND(DD99/FB_Kurs_16,2),0)</f>
      </c>
      <c r="DF99" s="116" t="str">
        <f>=ROUND(DD99+CY99,2)</f>
      </c>
      <c r="DG99" s="144" t="str">
        <f>=ROUND(DE99+CZ99,2)</f>
      </c>
      <c r="DJ99" s="149" t="s">
        <v>311</v>
      </c>
      <c r="DK99" s="24"/>
      <c r="DL99" s="117" t="str">
        <f>=IFERROR(ROUND(DK99/FB_Kurs_17,2),0)</f>
      </c>
      <c r="DM99" s="116" t="str">
        <f>=ROUND(DK99+DF99,2)</f>
      </c>
      <c r="DN99" s="144" t="str">
        <f>=ROUND(DL99+DG99,2)</f>
      </c>
      <c r="DQ99" s="149" t="s">
        <v>311</v>
      </c>
      <c r="DR99" s="24"/>
      <c r="DS99" s="117" t="str">
        <f>=IFERROR(ROUND(DR99/FB_Kurs_18,2),0)</f>
      </c>
      <c r="DT99" s="116" t="str">
        <f>=ROUND(DR99+DM99,2)</f>
      </c>
      <c r="DU99" s="144" t="str">
        <f>=ROUND(DS99+DN99,2)</f>
      </c>
    </row>
    <row r="100">
      <c r="B100" s="149" t="s">
        <v>312</v>
      </c>
      <c r="C100" s="24"/>
      <c r="D100" s="117" t="str">
        <f>=IFERROR(ROUND(C100/FB_Kurs_1,2),0)</f>
      </c>
      <c r="E100" s="116" t="str">
        <f>=ROUND(C100,2)</f>
      </c>
      <c r="F100" s="144" t="str">
        <f>=ROUND(D100,2)</f>
      </c>
      <c r="I100" s="149" t="s">
        <v>312</v>
      </c>
      <c r="J100" s="24"/>
      <c r="K100" s="117" t="str">
        <f>=IFERROR(ROUND(J100/FB_Kurs_2,2),0)</f>
      </c>
      <c r="L100" s="116" t="str">
        <f>=ROUND(J100+E100,2)</f>
      </c>
      <c r="M100" s="144" t="str">
        <f>=ROUND(K100+F100,2)</f>
      </c>
      <c r="P100" s="149" t="s">
        <v>312</v>
      </c>
      <c r="Q100" s="24"/>
      <c r="R100" s="117" t="str">
        <f>=IFERROR(ROUND(Q100/FB_Kurs_3,2),0)</f>
      </c>
      <c r="S100" s="116" t="str">
        <f>=ROUND(Q100+L100,2)</f>
      </c>
      <c r="T100" s="144" t="str">
        <f>=ROUND(R100+M100,2)</f>
      </c>
      <c r="W100" s="149" t="s">
        <v>312</v>
      </c>
      <c r="X100" s="24"/>
      <c r="Y100" s="117" t="str">
        <f>=IFERROR(ROUND(X100/FB_Kurs_4,2),0)</f>
      </c>
      <c r="Z100" s="116" t="str">
        <f>=ROUND(X100+S100,2)</f>
      </c>
      <c r="AA100" s="144" t="str">
        <f>=ROUND(Y100+T100,2)</f>
      </c>
      <c r="AD100" s="149" t="s">
        <v>312</v>
      </c>
      <c r="AE100" s="24"/>
      <c r="AF100" s="117" t="str">
        <f>=IFERROR(ROUND(AE100/FB_Kurs_5,2),0)</f>
      </c>
      <c r="AG100" s="116" t="str">
        <f>=ROUND(AE100+Z100,2)</f>
      </c>
      <c r="AH100" s="144" t="str">
        <f>=ROUND(AF100+AA100,2)</f>
      </c>
      <c r="AK100" s="149" t="s">
        <v>312</v>
      </c>
      <c r="AL100" s="24"/>
      <c r="AM100" s="117" t="str">
        <f>=IFERROR(ROUND(AL100/FB_Kurs_6,2),0)</f>
      </c>
      <c r="AN100" s="116" t="str">
        <f>=ROUND(AL100+AG100,2)</f>
      </c>
      <c r="AO100" s="144" t="str">
        <f>=ROUND(AM100+AH100,2)</f>
      </c>
      <c r="AR100" s="149" t="s">
        <v>312</v>
      </c>
      <c r="AS100" s="24"/>
      <c r="AT100" s="117" t="str">
        <f>=IFERROR(ROUND(AS100/FB_Kurs_7,2),0)</f>
      </c>
      <c r="AU100" s="116" t="str">
        <f>=ROUND(AS100+AN100,2)</f>
      </c>
      <c r="AV100" s="144" t="str">
        <f>=ROUND(AT100+AO100,2)</f>
      </c>
      <c r="AY100" s="149" t="s">
        <v>312</v>
      </c>
      <c r="AZ100" s="24"/>
      <c r="BA100" s="117" t="str">
        <f>=IFERROR(ROUND(AZ100/FB_Kurs_8,2),0)</f>
      </c>
      <c r="BB100" s="116" t="str">
        <f>=ROUND(AZ100+AU100,2)</f>
      </c>
      <c r="BC100" s="144" t="str">
        <f>=ROUND(BA100+AV100,2)</f>
      </c>
      <c r="BF100" s="149" t="s">
        <v>312</v>
      </c>
      <c r="BG100" s="24"/>
      <c r="BH100" s="117" t="str">
        <f>=IFERROR(ROUND(BG100/FB_Kurs_9,2),0)</f>
      </c>
      <c r="BI100" s="116" t="str">
        <f>=ROUND(BG100+BB100,2)</f>
      </c>
      <c r="BJ100" s="144" t="str">
        <f>=ROUND(BH100+BC100,2)</f>
      </c>
      <c r="BM100" s="149" t="s">
        <v>312</v>
      </c>
      <c r="BN100" s="24"/>
      <c r="BO100" s="117" t="str">
        <f>=IFERROR(ROUND(BN100/FB_Kurs_10,2),0)</f>
      </c>
      <c r="BP100" s="116" t="str">
        <f>=ROUND(BN100+BI100,2)</f>
      </c>
      <c r="BQ100" s="144" t="str">
        <f>=ROUND(BO100+BJ100,2)</f>
      </c>
      <c r="BT100" s="149" t="s">
        <v>312</v>
      </c>
      <c r="BU100" s="24"/>
      <c r="BV100" s="117" t="str">
        <f>=IFERROR(ROUND(BU100/FB_Kurs_11,2),0)</f>
      </c>
      <c r="BW100" s="116" t="str">
        <f>=ROUND(BU100+BP100,2)</f>
      </c>
      <c r="BX100" s="144" t="str">
        <f>=ROUND(BV100+BQ100,2)</f>
      </c>
      <c r="CA100" s="149" t="s">
        <v>312</v>
      </c>
      <c r="CB100" s="24"/>
      <c r="CC100" s="117" t="str">
        <f>=IFERROR(ROUND(CB100/FB_Kurs_12,2),0)</f>
      </c>
      <c r="CD100" s="116" t="str">
        <f>=ROUND(CB100+BW100,2)</f>
      </c>
      <c r="CE100" s="144" t="str">
        <f>=ROUND(CC100+BX100,2)</f>
      </c>
      <c r="CH100" s="149" t="s">
        <v>312</v>
      </c>
      <c r="CI100" s="24"/>
      <c r="CJ100" s="117" t="str">
        <f>=IFERROR(ROUND(CI100/FB_Kurs_13,2),0)</f>
      </c>
      <c r="CK100" s="116" t="str">
        <f>=ROUND(CI100+CD100,2)</f>
      </c>
      <c r="CL100" s="144" t="str">
        <f>=ROUND(CJ100+CE100,2)</f>
      </c>
      <c r="CO100" s="149" t="s">
        <v>312</v>
      </c>
      <c r="CP100" s="24"/>
      <c r="CQ100" s="117" t="str">
        <f>=IFERROR(ROUND(CP100/FB_Kurs_14,2),0)</f>
      </c>
      <c r="CR100" s="116" t="str">
        <f>=ROUND(CP100+CK100,2)</f>
      </c>
      <c r="CS100" s="144" t="str">
        <f>=ROUND(CQ100+CL100,2)</f>
      </c>
      <c r="CV100" s="149" t="s">
        <v>312</v>
      </c>
      <c r="CW100" s="24"/>
      <c r="CX100" s="117" t="str">
        <f>=IFERROR(ROUND(CW100/FB_Kurs_15,2),0)</f>
      </c>
      <c r="CY100" s="116" t="str">
        <f>=ROUND(CW100+CR100,2)</f>
      </c>
      <c r="CZ100" s="144" t="str">
        <f>=ROUND(CX100+CS100,2)</f>
      </c>
      <c r="DC100" s="149" t="s">
        <v>312</v>
      </c>
      <c r="DD100" s="24"/>
      <c r="DE100" s="117" t="str">
        <f>=IFERROR(ROUND(DD100/FB_Kurs_16,2),0)</f>
      </c>
      <c r="DF100" s="116" t="str">
        <f>=ROUND(DD100+CY100,2)</f>
      </c>
      <c r="DG100" s="144" t="str">
        <f>=ROUND(DE100+CZ100,2)</f>
      </c>
      <c r="DJ100" s="149" t="s">
        <v>312</v>
      </c>
      <c r="DK100" s="24"/>
      <c r="DL100" s="117" t="str">
        <f>=IFERROR(ROUND(DK100/FB_Kurs_17,2),0)</f>
      </c>
      <c r="DM100" s="116" t="str">
        <f>=ROUND(DK100+DF100,2)</f>
      </c>
      <c r="DN100" s="144" t="str">
        <f>=ROUND(DL100+DG100,2)</f>
      </c>
      <c r="DQ100" s="149" t="s">
        <v>312</v>
      </c>
      <c r="DR100" s="24"/>
      <c r="DS100" s="117" t="str">
        <f>=IFERROR(ROUND(DR100/FB_Kurs_18,2),0)</f>
      </c>
      <c r="DT100" s="116" t="str">
        <f>=ROUND(DR100+DM100,2)</f>
      </c>
      <c r="DU100" s="144" t="str">
        <f>=ROUND(DS100+DN100,2)</f>
      </c>
    </row>
    <row r="101">
      <c r="B101" s="149" t="s">
        <v>313</v>
      </c>
      <c r="C101" s="24"/>
      <c r="D101" s="117" t="str">
        <f>=IFERROR(ROUND(C101/FB_Kurs_1,2),0)</f>
      </c>
      <c r="E101" s="116" t="str">
        <f>=ROUND(C101,2)</f>
      </c>
      <c r="F101" s="144" t="str">
        <f>=ROUND(D101,2)</f>
      </c>
      <c r="I101" s="149" t="s">
        <v>313</v>
      </c>
      <c r="J101" s="24"/>
      <c r="K101" s="117" t="str">
        <f>=IFERROR(ROUND(J101/FB_Kurs_2,2),0)</f>
      </c>
      <c r="L101" s="116" t="str">
        <f>=ROUND(J101+E101,2)</f>
      </c>
      <c r="M101" s="144" t="str">
        <f>=ROUND(K101+F101,2)</f>
      </c>
      <c r="P101" s="149" t="s">
        <v>313</v>
      </c>
      <c r="Q101" s="24"/>
      <c r="R101" s="117" t="str">
        <f>=IFERROR(ROUND(Q101/FB_Kurs_3,2),0)</f>
      </c>
      <c r="S101" s="116" t="str">
        <f>=ROUND(Q101+L101,2)</f>
      </c>
      <c r="T101" s="144" t="str">
        <f>=ROUND(R101+M101,2)</f>
      </c>
      <c r="W101" s="149" t="s">
        <v>313</v>
      </c>
      <c r="X101" s="24"/>
      <c r="Y101" s="117" t="str">
        <f>=IFERROR(ROUND(X101/FB_Kurs_4,2),0)</f>
      </c>
      <c r="Z101" s="116" t="str">
        <f>=ROUND(X101+S101,2)</f>
      </c>
      <c r="AA101" s="144" t="str">
        <f>=ROUND(Y101+T101,2)</f>
      </c>
      <c r="AD101" s="149" t="s">
        <v>313</v>
      </c>
      <c r="AE101" s="24"/>
      <c r="AF101" s="117" t="str">
        <f>=IFERROR(ROUND(AE101/FB_Kurs_5,2),0)</f>
      </c>
      <c r="AG101" s="116" t="str">
        <f>=ROUND(AE101+Z101,2)</f>
      </c>
      <c r="AH101" s="144" t="str">
        <f>=ROUND(AF101+AA101,2)</f>
      </c>
      <c r="AK101" s="149" t="s">
        <v>313</v>
      </c>
      <c r="AL101" s="24"/>
      <c r="AM101" s="117" t="str">
        <f>=IFERROR(ROUND(AL101/FB_Kurs_6,2),0)</f>
      </c>
      <c r="AN101" s="116" t="str">
        <f>=ROUND(AL101+AG101,2)</f>
      </c>
      <c r="AO101" s="144" t="str">
        <f>=ROUND(AM101+AH101,2)</f>
      </c>
      <c r="AR101" s="149" t="s">
        <v>313</v>
      </c>
      <c r="AS101" s="24"/>
      <c r="AT101" s="117" t="str">
        <f>=IFERROR(ROUND(AS101/FB_Kurs_7,2),0)</f>
      </c>
      <c r="AU101" s="116" t="str">
        <f>=ROUND(AS101+AN101,2)</f>
      </c>
      <c r="AV101" s="144" t="str">
        <f>=ROUND(AT101+AO101,2)</f>
      </c>
      <c r="AY101" s="149" t="s">
        <v>313</v>
      </c>
      <c r="AZ101" s="24"/>
      <c r="BA101" s="117" t="str">
        <f>=IFERROR(ROUND(AZ101/FB_Kurs_8,2),0)</f>
      </c>
      <c r="BB101" s="116" t="str">
        <f>=ROUND(AZ101+AU101,2)</f>
      </c>
      <c r="BC101" s="144" t="str">
        <f>=ROUND(BA101+AV101,2)</f>
      </c>
      <c r="BF101" s="149" t="s">
        <v>313</v>
      </c>
      <c r="BG101" s="24"/>
      <c r="BH101" s="117" t="str">
        <f>=IFERROR(ROUND(BG101/FB_Kurs_9,2),0)</f>
      </c>
      <c r="BI101" s="116" t="str">
        <f>=ROUND(BG101+BB101,2)</f>
      </c>
      <c r="BJ101" s="144" t="str">
        <f>=ROUND(BH101+BC101,2)</f>
      </c>
      <c r="BM101" s="149" t="s">
        <v>313</v>
      </c>
      <c r="BN101" s="24"/>
      <c r="BO101" s="117" t="str">
        <f>=IFERROR(ROUND(BN101/FB_Kurs_10,2),0)</f>
      </c>
      <c r="BP101" s="116" t="str">
        <f>=ROUND(BN101+BI101,2)</f>
      </c>
      <c r="BQ101" s="144" t="str">
        <f>=ROUND(BO101+BJ101,2)</f>
      </c>
      <c r="BT101" s="149" t="s">
        <v>313</v>
      </c>
      <c r="BU101" s="24"/>
      <c r="BV101" s="117" t="str">
        <f>=IFERROR(ROUND(BU101/FB_Kurs_11,2),0)</f>
      </c>
      <c r="BW101" s="116" t="str">
        <f>=ROUND(BU101+BP101,2)</f>
      </c>
      <c r="BX101" s="144" t="str">
        <f>=ROUND(BV101+BQ101,2)</f>
      </c>
      <c r="CA101" s="149" t="s">
        <v>313</v>
      </c>
      <c r="CB101" s="24"/>
      <c r="CC101" s="117" t="str">
        <f>=IFERROR(ROUND(CB101/FB_Kurs_12,2),0)</f>
      </c>
      <c r="CD101" s="116" t="str">
        <f>=ROUND(CB101+BW101,2)</f>
      </c>
      <c r="CE101" s="144" t="str">
        <f>=ROUND(CC101+BX101,2)</f>
      </c>
      <c r="CH101" s="149" t="s">
        <v>313</v>
      </c>
      <c r="CI101" s="24"/>
      <c r="CJ101" s="117" t="str">
        <f>=IFERROR(ROUND(CI101/FB_Kurs_13,2),0)</f>
      </c>
      <c r="CK101" s="116" t="str">
        <f>=ROUND(CI101+CD101,2)</f>
      </c>
      <c r="CL101" s="144" t="str">
        <f>=ROUND(CJ101+CE101,2)</f>
      </c>
      <c r="CO101" s="149" t="s">
        <v>313</v>
      </c>
      <c r="CP101" s="24"/>
      <c r="CQ101" s="117" t="str">
        <f>=IFERROR(ROUND(CP101/FB_Kurs_14,2),0)</f>
      </c>
      <c r="CR101" s="116" t="str">
        <f>=ROUND(CP101+CK101,2)</f>
      </c>
      <c r="CS101" s="144" t="str">
        <f>=ROUND(CQ101+CL101,2)</f>
      </c>
      <c r="CV101" s="149" t="s">
        <v>313</v>
      </c>
      <c r="CW101" s="24"/>
      <c r="CX101" s="117" t="str">
        <f>=IFERROR(ROUND(CW101/FB_Kurs_15,2),0)</f>
      </c>
      <c r="CY101" s="116" t="str">
        <f>=ROUND(CW101+CR101,2)</f>
      </c>
      <c r="CZ101" s="144" t="str">
        <f>=ROUND(CX101+CS101,2)</f>
      </c>
      <c r="DC101" s="149" t="s">
        <v>313</v>
      </c>
      <c r="DD101" s="24"/>
      <c r="DE101" s="117" t="str">
        <f>=IFERROR(ROUND(DD101/FB_Kurs_16,2),0)</f>
      </c>
      <c r="DF101" s="116" t="str">
        <f>=ROUND(DD101+CY101,2)</f>
      </c>
      <c r="DG101" s="144" t="str">
        <f>=ROUND(DE101+CZ101,2)</f>
      </c>
      <c r="DJ101" s="149" t="s">
        <v>313</v>
      </c>
      <c r="DK101" s="24"/>
      <c r="DL101" s="117" t="str">
        <f>=IFERROR(ROUND(DK101/FB_Kurs_17,2),0)</f>
      </c>
      <c r="DM101" s="116" t="str">
        <f>=ROUND(DK101+DF101,2)</f>
      </c>
      <c r="DN101" s="144" t="str">
        <f>=ROUND(DL101+DG101,2)</f>
      </c>
      <c r="DQ101" s="149" t="s">
        <v>313</v>
      </c>
      <c r="DR101" s="24"/>
      <c r="DS101" s="117" t="str">
        <f>=IFERROR(ROUND(DR101/FB_Kurs_18,2),0)</f>
      </c>
      <c r="DT101" s="116" t="str">
        <f>=ROUND(DR101+DM101,2)</f>
      </c>
      <c r="DU101" s="144" t="str">
        <f>=ROUND(DS101+DN101,2)</f>
      </c>
    </row>
    <row r="102">
      <c r="B102" s="149" t="s">
        <v>314</v>
      </c>
      <c r="C102" s="24"/>
      <c r="D102" s="117" t="str">
        <f>=IFERROR(ROUND(C102/FB_Kurs_1,2),0)</f>
      </c>
      <c r="E102" s="116" t="str">
        <f>=ROUND(C102,2)</f>
      </c>
      <c r="F102" s="144" t="str">
        <f>=ROUND(D102,2)</f>
      </c>
      <c r="I102" s="149" t="s">
        <v>314</v>
      </c>
      <c r="J102" s="24"/>
      <c r="K102" s="117" t="str">
        <f>=IFERROR(ROUND(J102/FB_Kurs_2,2),0)</f>
      </c>
      <c r="L102" s="116" t="str">
        <f>=ROUND(J102+E102,2)</f>
      </c>
      <c r="M102" s="144" t="str">
        <f>=ROUND(K102+F102,2)</f>
      </c>
      <c r="P102" s="149" t="s">
        <v>314</v>
      </c>
      <c r="Q102" s="24"/>
      <c r="R102" s="117" t="str">
        <f>=IFERROR(ROUND(Q102/FB_Kurs_3,2),0)</f>
      </c>
      <c r="S102" s="116" t="str">
        <f>=ROUND(Q102+L102,2)</f>
      </c>
      <c r="T102" s="144" t="str">
        <f>=ROUND(R102+M102,2)</f>
      </c>
      <c r="W102" s="149" t="s">
        <v>314</v>
      </c>
      <c r="X102" s="24"/>
      <c r="Y102" s="117" t="str">
        <f>=IFERROR(ROUND(X102/FB_Kurs_4,2),0)</f>
      </c>
      <c r="Z102" s="116" t="str">
        <f>=ROUND(X102+S102,2)</f>
      </c>
      <c r="AA102" s="144" t="str">
        <f>=ROUND(Y102+T102,2)</f>
      </c>
      <c r="AD102" s="149" t="s">
        <v>314</v>
      </c>
      <c r="AE102" s="24"/>
      <c r="AF102" s="117" t="str">
        <f>=IFERROR(ROUND(AE102/FB_Kurs_5,2),0)</f>
      </c>
      <c r="AG102" s="116" t="str">
        <f>=ROUND(AE102+Z102,2)</f>
      </c>
      <c r="AH102" s="144" t="str">
        <f>=ROUND(AF102+AA102,2)</f>
      </c>
      <c r="AK102" s="149" t="s">
        <v>314</v>
      </c>
      <c r="AL102" s="24"/>
      <c r="AM102" s="117" t="str">
        <f>=IFERROR(ROUND(AL102/FB_Kurs_6,2),0)</f>
      </c>
      <c r="AN102" s="116" t="str">
        <f>=ROUND(AL102+AG102,2)</f>
      </c>
      <c r="AO102" s="144" t="str">
        <f>=ROUND(AM102+AH102,2)</f>
      </c>
      <c r="AR102" s="149" t="s">
        <v>314</v>
      </c>
      <c r="AS102" s="24"/>
      <c r="AT102" s="117" t="str">
        <f>=IFERROR(ROUND(AS102/FB_Kurs_7,2),0)</f>
      </c>
      <c r="AU102" s="116" t="str">
        <f>=ROUND(AS102+AN102,2)</f>
      </c>
      <c r="AV102" s="144" t="str">
        <f>=ROUND(AT102+AO102,2)</f>
      </c>
      <c r="AY102" s="149" t="s">
        <v>314</v>
      </c>
      <c r="AZ102" s="24"/>
      <c r="BA102" s="117" t="str">
        <f>=IFERROR(ROUND(AZ102/FB_Kurs_8,2),0)</f>
      </c>
      <c r="BB102" s="116" t="str">
        <f>=ROUND(AZ102+AU102,2)</f>
      </c>
      <c r="BC102" s="144" t="str">
        <f>=ROUND(BA102+AV102,2)</f>
      </c>
      <c r="BF102" s="149" t="s">
        <v>314</v>
      </c>
      <c r="BG102" s="24"/>
      <c r="BH102" s="117" t="str">
        <f>=IFERROR(ROUND(BG102/FB_Kurs_9,2),0)</f>
      </c>
      <c r="BI102" s="116" t="str">
        <f>=ROUND(BG102+BB102,2)</f>
      </c>
      <c r="BJ102" s="144" t="str">
        <f>=ROUND(BH102+BC102,2)</f>
      </c>
      <c r="BM102" s="149" t="s">
        <v>314</v>
      </c>
      <c r="BN102" s="24"/>
      <c r="BO102" s="117" t="str">
        <f>=IFERROR(ROUND(BN102/FB_Kurs_10,2),0)</f>
      </c>
      <c r="BP102" s="116" t="str">
        <f>=ROUND(BN102+BI102,2)</f>
      </c>
      <c r="BQ102" s="144" t="str">
        <f>=ROUND(BO102+BJ102,2)</f>
      </c>
      <c r="BT102" s="149" t="s">
        <v>314</v>
      </c>
      <c r="BU102" s="24"/>
      <c r="BV102" s="117" t="str">
        <f>=IFERROR(ROUND(BU102/FB_Kurs_11,2),0)</f>
      </c>
      <c r="BW102" s="116" t="str">
        <f>=ROUND(BU102+BP102,2)</f>
      </c>
      <c r="BX102" s="144" t="str">
        <f>=ROUND(BV102+BQ102,2)</f>
      </c>
      <c r="CA102" s="149" t="s">
        <v>314</v>
      </c>
      <c r="CB102" s="24"/>
      <c r="CC102" s="117" t="str">
        <f>=IFERROR(ROUND(CB102/FB_Kurs_12,2),0)</f>
      </c>
      <c r="CD102" s="116" t="str">
        <f>=ROUND(CB102+BW102,2)</f>
      </c>
      <c r="CE102" s="144" t="str">
        <f>=ROUND(CC102+BX102,2)</f>
      </c>
      <c r="CH102" s="149" t="s">
        <v>314</v>
      </c>
      <c r="CI102" s="24"/>
      <c r="CJ102" s="117" t="str">
        <f>=IFERROR(ROUND(CI102/FB_Kurs_13,2),0)</f>
      </c>
      <c r="CK102" s="116" t="str">
        <f>=ROUND(CI102+CD102,2)</f>
      </c>
      <c r="CL102" s="144" t="str">
        <f>=ROUND(CJ102+CE102,2)</f>
      </c>
      <c r="CO102" s="149" t="s">
        <v>314</v>
      </c>
      <c r="CP102" s="24"/>
      <c r="CQ102" s="117" t="str">
        <f>=IFERROR(ROUND(CP102/FB_Kurs_14,2),0)</f>
      </c>
      <c r="CR102" s="116" t="str">
        <f>=ROUND(CP102+CK102,2)</f>
      </c>
      <c r="CS102" s="144" t="str">
        <f>=ROUND(CQ102+CL102,2)</f>
      </c>
      <c r="CV102" s="149" t="s">
        <v>314</v>
      </c>
      <c r="CW102" s="24"/>
      <c r="CX102" s="117" t="str">
        <f>=IFERROR(ROUND(CW102/FB_Kurs_15,2),0)</f>
      </c>
      <c r="CY102" s="116" t="str">
        <f>=ROUND(CW102+CR102,2)</f>
      </c>
      <c r="CZ102" s="144" t="str">
        <f>=ROUND(CX102+CS102,2)</f>
      </c>
      <c r="DC102" s="149" t="s">
        <v>314</v>
      </c>
      <c r="DD102" s="24"/>
      <c r="DE102" s="117" t="str">
        <f>=IFERROR(ROUND(DD102/FB_Kurs_16,2),0)</f>
      </c>
      <c r="DF102" s="116" t="str">
        <f>=ROUND(DD102+CY102,2)</f>
      </c>
      <c r="DG102" s="144" t="str">
        <f>=ROUND(DE102+CZ102,2)</f>
      </c>
      <c r="DJ102" s="149" t="s">
        <v>314</v>
      </c>
      <c r="DK102" s="24"/>
      <c r="DL102" s="117" t="str">
        <f>=IFERROR(ROUND(DK102/FB_Kurs_17,2),0)</f>
      </c>
      <c r="DM102" s="116" t="str">
        <f>=ROUND(DK102+DF102,2)</f>
      </c>
      <c r="DN102" s="144" t="str">
        <f>=ROUND(DL102+DG102,2)</f>
      </c>
      <c r="DQ102" s="149" t="s">
        <v>314</v>
      </c>
      <c r="DR102" s="24"/>
      <c r="DS102" s="117" t="str">
        <f>=IFERROR(ROUND(DR102/FB_Kurs_18,2),0)</f>
      </c>
      <c r="DT102" s="116" t="str">
        <f>=ROUND(DR102+DM102,2)</f>
      </c>
      <c r="DU102" s="144" t="str">
        <f>=ROUND(DS102+DN102,2)</f>
      </c>
    </row>
    <row r="103">
      <c r="B103" s="149" t="s">
        <v>315</v>
      </c>
      <c r="C103" s="24"/>
      <c r="D103" s="117" t="str">
        <f>=IFERROR(ROUND(C103/FB_Kurs_1,2),0)</f>
      </c>
      <c r="E103" s="116" t="str">
        <f>=ROUND(C103,2)</f>
      </c>
      <c r="F103" s="144" t="str">
        <f>=ROUND(D103,2)</f>
      </c>
      <c r="I103" s="149" t="s">
        <v>315</v>
      </c>
      <c r="J103" s="24"/>
      <c r="K103" s="117" t="str">
        <f>=IFERROR(ROUND(J103/FB_Kurs_2,2),0)</f>
      </c>
      <c r="L103" s="116" t="str">
        <f>=ROUND(J103+E103,2)</f>
      </c>
      <c r="M103" s="144" t="str">
        <f>=ROUND(K103+F103,2)</f>
      </c>
      <c r="P103" s="149" t="s">
        <v>315</v>
      </c>
      <c r="Q103" s="24"/>
      <c r="R103" s="117" t="str">
        <f>=IFERROR(ROUND(Q103/FB_Kurs_3,2),0)</f>
      </c>
      <c r="S103" s="116" t="str">
        <f>=ROUND(Q103+L103,2)</f>
      </c>
      <c r="T103" s="144" t="str">
        <f>=ROUND(R103+M103,2)</f>
      </c>
      <c r="W103" s="149" t="s">
        <v>315</v>
      </c>
      <c r="X103" s="24"/>
      <c r="Y103" s="117" t="str">
        <f>=IFERROR(ROUND(X103/FB_Kurs_4,2),0)</f>
      </c>
      <c r="Z103" s="116" t="str">
        <f>=ROUND(X103+S103,2)</f>
      </c>
      <c r="AA103" s="144" t="str">
        <f>=ROUND(Y103+T103,2)</f>
      </c>
      <c r="AD103" s="149" t="s">
        <v>315</v>
      </c>
      <c r="AE103" s="24"/>
      <c r="AF103" s="117" t="str">
        <f>=IFERROR(ROUND(AE103/FB_Kurs_5,2),0)</f>
      </c>
      <c r="AG103" s="116" t="str">
        <f>=ROUND(AE103+Z103,2)</f>
      </c>
      <c r="AH103" s="144" t="str">
        <f>=ROUND(AF103+AA103,2)</f>
      </c>
      <c r="AK103" s="149" t="s">
        <v>315</v>
      </c>
      <c r="AL103" s="24"/>
      <c r="AM103" s="117" t="str">
        <f>=IFERROR(ROUND(AL103/FB_Kurs_6,2),0)</f>
      </c>
      <c r="AN103" s="116" t="str">
        <f>=ROUND(AL103+AG103,2)</f>
      </c>
      <c r="AO103" s="144" t="str">
        <f>=ROUND(AM103+AH103,2)</f>
      </c>
      <c r="AR103" s="149" t="s">
        <v>315</v>
      </c>
      <c r="AS103" s="24"/>
      <c r="AT103" s="117" t="str">
        <f>=IFERROR(ROUND(AS103/FB_Kurs_7,2),0)</f>
      </c>
      <c r="AU103" s="116" t="str">
        <f>=ROUND(AS103+AN103,2)</f>
      </c>
      <c r="AV103" s="144" t="str">
        <f>=ROUND(AT103+AO103,2)</f>
      </c>
      <c r="AY103" s="149" t="s">
        <v>315</v>
      </c>
      <c r="AZ103" s="24"/>
      <c r="BA103" s="117" t="str">
        <f>=IFERROR(ROUND(AZ103/FB_Kurs_8,2),0)</f>
      </c>
      <c r="BB103" s="116" t="str">
        <f>=ROUND(AZ103+AU103,2)</f>
      </c>
      <c r="BC103" s="144" t="str">
        <f>=ROUND(BA103+AV103,2)</f>
      </c>
      <c r="BF103" s="149" t="s">
        <v>315</v>
      </c>
      <c r="BG103" s="24"/>
      <c r="BH103" s="117" t="str">
        <f>=IFERROR(ROUND(BG103/FB_Kurs_9,2),0)</f>
      </c>
      <c r="BI103" s="116" t="str">
        <f>=ROUND(BG103+BB103,2)</f>
      </c>
      <c r="BJ103" s="144" t="str">
        <f>=ROUND(BH103+BC103,2)</f>
      </c>
      <c r="BM103" s="149" t="s">
        <v>315</v>
      </c>
      <c r="BN103" s="24"/>
      <c r="BO103" s="117" t="str">
        <f>=IFERROR(ROUND(BN103/FB_Kurs_10,2),0)</f>
      </c>
      <c r="BP103" s="116" t="str">
        <f>=ROUND(BN103+BI103,2)</f>
      </c>
      <c r="BQ103" s="144" t="str">
        <f>=ROUND(BO103+BJ103,2)</f>
      </c>
      <c r="BT103" s="149" t="s">
        <v>315</v>
      </c>
      <c r="BU103" s="24"/>
      <c r="BV103" s="117" t="str">
        <f>=IFERROR(ROUND(BU103/FB_Kurs_11,2),0)</f>
      </c>
      <c r="BW103" s="116" t="str">
        <f>=ROUND(BU103+BP103,2)</f>
      </c>
      <c r="BX103" s="144" t="str">
        <f>=ROUND(BV103+BQ103,2)</f>
      </c>
      <c r="CA103" s="149" t="s">
        <v>315</v>
      </c>
      <c r="CB103" s="24"/>
      <c r="CC103" s="117" t="str">
        <f>=IFERROR(ROUND(CB103/FB_Kurs_12,2),0)</f>
      </c>
      <c r="CD103" s="116" t="str">
        <f>=ROUND(CB103+BW103,2)</f>
      </c>
      <c r="CE103" s="144" t="str">
        <f>=ROUND(CC103+BX103,2)</f>
      </c>
      <c r="CH103" s="149" t="s">
        <v>315</v>
      </c>
      <c r="CI103" s="24"/>
      <c r="CJ103" s="117" t="str">
        <f>=IFERROR(ROUND(CI103/FB_Kurs_13,2),0)</f>
      </c>
      <c r="CK103" s="116" t="str">
        <f>=ROUND(CI103+CD103,2)</f>
      </c>
      <c r="CL103" s="144" t="str">
        <f>=ROUND(CJ103+CE103,2)</f>
      </c>
      <c r="CO103" s="149" t="s">
        <v>315</v>
      </c>
      <c r="CP103" s="24"/>
      <c r="CQ103" s="117" t="str">
        <f>=IFERROR(ROUND(CP103/FB_Kurs_14,2),0)</f>
      </c>
      <c r="CR103" s="116" t="str">
        <f>=ROUND(CP103+CK103,2)</f>
      </c>
      <c r="CS103" s="144" t="str">
        <f>=ROUND(CQ103+CL103,2)</f>
      </c>
      <c r="CV103" s="149" t="s">
        <v>315</v>
      </c>
      <c r="CW103" s="24"/>
      <c r="CX103" s="117" t="str">
        <f>=IFERROR(ROUND(CW103/FB_Kurs_15,2),0)</f>
      </c>
      <c r="CY103" s="116" t="str">
        <f>=ROUND(CW103+CR103,2)</f>
      </c>
      <c r="CZ103" s="144" t="str">
        <f>=ROUND(CX103+CS103,2)</f>
      </c>
      <c r="DC103" s="149" t="s">
        <v>315</v>
      </c>
      <c r="DD103" s="24"/>
      <c r="DE103" s="117" t="str">
        <f>=IFERROR(ROUND(DD103/FB_Kurs_16,2),0)</f>
      </c>
      <c r="DF103" s="116" t="str">
        <f>=ROUND(DD103+CY103,2)</f>
      </c>
      <c r="DG103" s="144" t="str">
        <f>=ROUND(DE103+CZ103,2)</f>
      </c>
      <c r="DJ103" s="149" t="s">
        <v>315</v>
      </c>
      <c r="DK103" s="24"/>
      <c r="DL103" s="117" t="str">
        <f>=IFERROR(ROUND(DK103/FB_Kurs_17,2),0)</f>
      </c>
      <c r="DM103" s="116" t="str">
        <f>=ROUND(DK103+DF103,2)</f>
      </c>
      <c r="DN103" s="144" t="str">
        <f>=ROUND(DL103+DG103,2)</f>
      </c>
      <c r="DQ103" s="149" t="s">
        <v>315</v>
      </c>
      <c r="DR103" s="24"/>
      <c r="DS103" s="117" t="str">
        <f>=IFERROR(ROUND(DR103/FB_Kurs_18,2),0)</f>
      </c>
      <c r="DT103" s="116" t="str">
        <f>=ROUND(DR103+DM103,2)</f>
      </c>
      <c r="DU103" s="144" t="str">
        <f>=ROUND(DS103+DN103,2)</f>
      </c>
    </row>
    <row r="104">
      <c r="B104" s="149" t="s">
        <v>316</v>
      </c>
      <c r="C104" s="24"/>
      <c r="D104" s="117" t="str">
        <f>=IFERROR(ROUND(C104/FB_Kurs_1,2),0)</f>
      </c>
      <c r="E104" s="116" t="str">
        <f>=ROUND(C104,2)</f>
      </c>
      <c r="F104" s="144" t="str">
        <f>=ROUND(D104,2)</f>
      </c>
      <c r="I104" s="149" t="s">
        <v>316</v>
      </c>
      <c r="J104" s="24"/>
      <c r="K104" s="117" t="str">
        <f>=IFERROR(ROUND(J104/FB_Kurs_2,2),0)</f>
      </c>
      <c r="L104" s="116" t="str">
        <f>=ROUND(J104+E104,2)</f>
      </c>
      <c r="M104" s="144" t="str">
        <f>=ROUND(K104+F104,2)</f>
      </c>
      <c r="P104" s="149" t="s">
        <v>316</v>
      </c>
      <c r="Q104" s="24"/>
      <c r="R104" s="117" t="str">
        <f>=IFERROR(ROUND(Q104/FB_Kurs_3,2),0)</f>
      </c>
      <c r="S104" s="116" t="str">
        <f>=ROUND(Q104+L104,2)</f>
      </c>
      <c r="T104" s="144" t="str">
        <f>=ROUND(R104+M104,2)</f>
      </c>
      <c r="W104" s="149" t="s">
        <v>316</v>
      </c>
      <c r="X104" s="24"/>
      <c r="Y104" s="117" t="str">
        <f>=IFERROR(ROUND(X104/FB_Kurs_4,2),0)</f>
      </c>
      <c r="Z104" s="116" t="str">
        <f>=ROUND(X104+S104,2)</f>
      </c>
      <c r="AA104" s="144" t="str">
        <f>=ROUND(Y104+T104,2)</f>
      </c>
      <c r="AD104" s="149" t="s">
        <v>316</v>
      </c>
      <c r="AE104" s="24"/>
      <c r="AF104" s="117" t="str">
        <f>=IFERROR(ROUND(AE104/FB_Kurs_5,2),0)</f>
      </c>
      <c r="AG104" s="116" t="str">
        <f>=ROUND(AE104+Z104,2)</f>
      </c>
      <c r="AH104" s="144" t="str">
        <f>=ROUND(AF104+AA104,2)</f>
      </c>
      <c r="AK104" s="149" t="s">
        <v>316</v>
      </c>
      <c r="AL104" s="24"/>
      <c r="AM104" s="117" t="str">
        <f>=IFERROR(ROUND(AL104/FB_Kurs_6,2),0)</f>
      </c>
      <c r="AN104" s="116" t="str">
        <f>=ROUND(AL104+AG104,2)</f>
      </c>
      <c r="AO104" s="144" t="str">
        <f>=ROUND(AM104+AH104,2)</f>
      </c>
      <c r="AR104" s="149" t="s">
        <v>316</v>
      </c>
      <c r="AS104" s="24"/>
      <c r="AT104" s="117" t="str">
        <f>=IFERROR(ROUND(AS104/FB_Kurs_7,2),0)</f>
      </c>
      <c r="AU104" s="116" t="str">
        <f>=ROUND(AS104+AN104,2)</f>
      </c>
      <c r="AV104" s="144" t="str">
        <f>=ROUND(AT104+AO104,2)</f>
      </c>
      <c r="AY104" s="149" t="s">
        <v>316</v>
      </c>
      <c r="AZ104" s="24"/>
      <c r="BA104" s="117" t="str">
        <f>=IFERROR(ROUND(AZ104/FB_Kurs_8,2),0)</f>
      </c>
      <c r="BB104" s="116" t="str">
        <f>=ROUND(AZ104+AU104,2)</f>
      </c>
      <c r="BC104" s="144" t="str">
        <f>=ROUND(BA104+AV104,2)</f>
      </c>
      <c r="BF104" s="149" t="s">
        <v>316</v>
      </c>
      <c r="BG104" s="24"/>
      <c r="BH104" s="117" t="str">
        <f>=IFERROR(ROUND(BG104/FB_Kurs_9,2),0)</f>
      </c>
      <c r="BI104" s="116" t="str">
        <f>=ROUND(BG104+BB104,2)</f>
      </c>
      <c r="BJ104" s="144" t="str">
        <f>=ROUND(BH104+BC104,2)</f>
      </c>
      <c r="BM104" s="149" t="s">
        <v>316</v>
      </c>
      <c r="BN104" s="24"/>
      <c r="BO104" s="117" t="str">
        <f>=IFERROR(ROUND(BN104/FB_Kurs_10,2),0)</f>
      </c>
      <c r="BP104" s="116" t="str">
        <f>=ROUND(BN104+BI104,2)</f>
      </c>
      <c r="BQ104" s="144" t="str">
        <f>=ROUND(BO104+BJ104,2)</f>
      </c>
      <c r="BT104" s="149" t="s">
        <v>316</v>
      </c>
      <c r="BU104" s="24"/>
      <c r="BV104" s="117" t="str">
        <f>=IFERROR(ROUND(BU104/FB_Kurs_11,2),0)</f>
      </c>
      <c r="BW104" s="116" t="str">
        <f>=ROUND(BU104+BP104,2)</f>
      </c>
      <c r="BX104" s="144" t="str">
        <f>=ROUND(BV104+BQ104,2)</f>
      </c>
      <c r="CA104" s="149" t="s">
        <v>316</v>
      </c>
      <c r="CB104" s="24"/>
      <c r="CC104" s="117" t="str">
        <f>=IFERROR(ROUND(CB104/FB_Kurs_12,2),0)</f>
      </c>
      <c r="CD104" s="116" t="str">
        <f>=ROUND(CB104+BW104,2)</f>
      </c>
      <c r="CE104" s="144" t="str">
        <f>=ROUND(CC104+BX104,2)</f>
      </c>
      <c r="CH104" s="149" t="s">
        <v>316</v>
      </c>
      <c r="CI104" s="24"/>
      <c r="CJ104" s="117" t="str">
        <f>=IFERROR(ROUND(CI104/FB_Kurs_13,2),0)</f>
      </c>
      <c r="CK104" s="116" t="str">
        <f>=ROUND(CI104+CD104,2)</f>
      </c>
      <c r="CL104" s="144" t="str">
        <f>=ROUND(CJ104+CE104,2)</f>
      </c>
      <c r="CO104" s="149" t="s">
        <v>316</v>
      </c>
      <c r="CP104" s="24"/>
      <c r="CQ104" s="117" t="str">
        <f>=IFERROR(ROUND(CP104/FB_Kurs_14,2),0)</f>
      </c>
      <c r="CR104" s="116" t="str">
        <f>=ROUND(CP104+CK104,2)</f>
      </c>
      <c r="CS104" s="144" t="str">
        <f>=ROUND(CQ104+CL104,2)</f>
      </c>
      <c r="CV104" s="149" t="s">
        <v>316</v>
      </c>
      <c r="CW104" s="24"/>
      <c r="CX104" s="117" t="str">
        <f>=IFERROR(ROUND(CW104/FB_Kurs_15,2),0)</f>
      </c>
      <c r="CY104" s="116" t="str">
        <f>=ROUND(CW104+CR104,2)</f>
      </c>
      <c r="CZ104" s="144" t="str">
        <f>=ROUND(CX104+CS104,2)</f>
      </c>
      <c r="DC104" s="149" t="s">
        <v>316</v>
      </c>
      <c r="DD104" s="24"/>
      <c r="DE104" s="117" t="str">
        <f>=IFERROR(ROUND(DD104/FB_Kurs_16,2),0)</f>
      </c>
      <c r="DF104" s="116" t="str">
        <f>=ROUND(DD104+CY104,2)</f>
      </c>
      <c r="DG104" s="144" t="str">
        <f>=ROUND(DE104+CZ104,2)</f>
      </c>
      <c r="DJ104" s="149" t="s">
        <v>316</v>
      </c>
      <c r="DK104" s="24"/>
      <c r="DL104" s="117" t="str">
        <f>=IFERROR(ROUND(DK104/FB_Kurs_17,2),0)</f>
      </c>
      <c r="DM104" s="116" t="str">
        <f>=ROUND(DK104+DF104,2)</f>
      </c>
      <c r="DN104" s="144" t="str">
        <f>=ROUND(DL104+DG104,2)</f>
      </c>
      <c r="DQ104" s="149" t="s">
        <v>316</v>
      </c>
      <c r="DR104" s="24"/>
      <c r="DS104" s="117" t="str">
        <f>=IFERROR(ROUND(DR104/FB_Kurs_18,2),0)</f>
      </c>
      <c r="DT104" s="116" t="str">
        <f>=ROUND(DR104+DM104,2)</f>
      </c>
      <c r="DU104" s="144" t="str">
        <f>=ROUND(DS104+DN104,2)</f>
      </c>
    </row>
    <row r="105">
      <c r="B105" s="149" t="s">
        <v>317</v>
      </c>
      <c r="C105" s="24"/>
      <c r="D105" s="117" t="str">
        <f>=IFERROR(ROUND(C105/FB_Kurs_1,2),0)</f>
      </c>
      <c r="E105" s="116" t="str">
        <f>=ROUND(C105,2)</f>
      </c>
      <c r="F105" s="144" t="str">
        <f>=ROUND(D105,2)</f>
      </c>
      <c r="I105" s="149" t="s">
        <v>317</v>
      </c>
      <c r="J105" s="24"/>
      <c r="K105" s="117" t="str">
        <f>=IFERROR(ROUND(J105/FB_Kurs_2,2),0)</f>
      </c>
      <c r="L105" s="116" t="str">
        <f>=ROUND(J105+E105,2)</f>
      </c>
      <c r="M105" s="144" t="str">
        <f>=ROUND(K105+F105,2)</f>
      </c>
      <c r="P105" s="149" t="s">
        <v>317</v>
      </c>
      <c r="Q105" s="24"/>
      <c r="R105" s="117" t="str">
        <f>=IFERROR(ROUND(Q105/FB_Kurs_3,2),0)</f>
      </c>
      <c r="S105" s="116" t="str">
        <f>=ROUND(Q105+L105,2)</f>
      </c>
      <c r="T105" s="144" t="str">
        <f>=ROUND(R105+M105,2)</f>
      </c>
      <c r="W105" s="149" t="s">
        <v>317</v>
      </c>
      <c r="X105" s="24"/>
      <c r="Y105" s="117" t="str">
        <f>=IFERROR(ROUND(X105/FB_Kurs_4,2),0)</f>
      </c>
      <c r="Z105" s="116" t="str">
        <f>=ROUND(X105+S105,2)</f>
      </c>
      <c r="AA105" s="144" t="str">
        <f>=ROUND(Y105+T105,2)</f>
      </c>
      <c r="AD105" s="149" t="s">
        <v>317</v>
      </c>
      <c r="AE105" s="24"/>
      <c r="AF105" s="117" t="str">
        <f>=IFERROR(ROUND(AE105/FB_Kurs_5,2),0)</f>
      </c>
      <c r="AG105" s="116" t="str">
        <f>=ROUND(AE105+Z105,2)</f>
      </c>
      <c r="AH105" s="144" t="str">
        <f>=ROUND(AF105+AA105,2)</f>
      </c>
      <c r="AK105" s="149" t="s">
        <v>317</v>
      </c>
      <c r="AL105" s="24"/>
      <c r="AM105" s="117" t="str">
        <f>=IFERROR(ROUND(AL105/FB_Kurs_6,2),0)</f>
      </c>
      <c r="AN105" s="116" t="str">
        <f>=ROUND(AL105+AG105,2)</f>
      </c>
      <c r="AO105" s="144" t="str">
        <f>=ROUND(AM105+AH105,2)</f>
      </c>
      <c r="AR105" s="149" t="s">
        <v>317</v>
      </c>
      <c r="AS105" s="24"/>
      <c r="AT105" s="117" t="str">
        <f>=IFERROR(ROUND(AS105/FB_Kurs_7,2),0)</f>
      </c>
      <c r="AU105" s="116" t="str">
        <f>=ROUND(AS105+AN105,2)</f>
      </c>
      <c r="AV105" s="144" t="str">
        <f>=ROUND(AT105+AO105,2)</f>
      </c>
      <c r="AY105" s="149" t="s">
        <v>317</v>
      </c>
      <c r="AZ105" s="24"/>
      <c r="BA105" s="117" t="str">
        <f>=IFERROR(ROUND(AZ105/FB_Kurs_8,2),0)</f>
      </c>
      <c r="BB105" s="116" t="str">
        <f>=ROUND(AZ105+AU105,2)</f>
      </c>
      <c r="BC105" s="144" t="str">
        <f>=ROUND(BA105+AV105,2)</f>
      </c>
      <c r="BF105" s="149" t="s">
        <v>317</v>
      </c>
      <c r="BG105" s="24"/>
      <c r="BH105" s="117" t="str">
        <f>=IFERROR(ROUND(BG105/FB_Kurs_9,2),0)</f>
      </c>
      <c r="BI105" s="116" t="str">
        <f>=ROUND(BG105+BB105,2)</f>
      </c>
      <c r="BJ105" s="144" t="str">
        <f>=ROUND(BH105+BC105,2)</f>
      </c>
      <c r="BM105" s="149" t="s">
        <v>317</v>
      </c>
      <c r="BN105" s="24"/>
      <c r="BO105" s="117" t="str">
        <f>=IFERROR(ROUND(BN105/FB_Kurs_10,2),0)</f>
      </c>
      <c r="BP105" s="116" t="str">
        <f>=ROUND(BN105+BI105,2)</f>
      </c>
      <c r="BQ105" s="144" t="str">
        <f>=ROUND(BO105+BJ105,2)</f>
      </c>
      <c r="BT105" s="149" t="s">
        <v>317</v>
      </c>
      <c r="BU105" s="24"/>
      <c r="BV105" s="117" t="str">
        <f>=IFERROR(ROUND(BU105/FB_Kurs_11,2),0)</f>
      </c>
      <c r="BW105" s="116" t="str">
        <f>=ROUND(BU105+BP105,2)</f>
      </c>
      <c r="BX105" s="144" t="str">
        <f>=ROUND(BV105+BQ105,2)</f>
      </c>
      <c r="CA105" s="149" t="s">
        <v>317</v>
      </c>
      <c r="CB105" s="24"/>
      <c r="CC105" s="117" t="str">
        <f>=IFERROR(ROUND(CB105/FB_Kurs_12,2),0)</f>
      </c>
      <c r="CD105" s="116" t="str">
        <f>=ROUND(CB105+BW105,2)</f>
      </c>
      <c r="CE105" s="144" t="str">
        <f>=ROUND(CC105+BX105,2)</f>
      </c>
      <c r="CH105" s="149" t="s">
        <v>317</v>
      </c>
      <c r="CI105" s="24"/>
      <c r="CJ105" s="117" t="str">
        <f>=IFERROR(ROUND(CI105/FB_Kurs_13,2),0)</f>
      </c>
      <c r="CK105" s="116" t="str">
        <f>=ROUND(CI105+CD105,2)</f>
      </c>
      <c r="CL105" s="144" t="str">
        <f>=ROUND(CJ105+CE105,2)</f>
      </c>
      <c r="CO105" s="149" t="s">
        <v>317</v>
      </c>
      <c r="CP105" s="24"/>
      <c r="CQ105" s="117" t="str">
        <f>=IFERROR(ROUND(CP105/FB_Kurs_14,2),0)</f>
      </c>
      <c r="CR105" s="116" t="str">
        <f>=ROUND(CP105+CK105,2)</f>
      </c>
      <c r="CS105" s="144" t="str">
        <f>=ROUND(CQ105+CL105,2)</f>
      </c>
      <c r="CV105" s="149" t="s">
        <v>317</v>
      </c>
      <c r="CW105" s="24"/>
      <c r="CX105" s="117" t="str">
        <f>=IFERROR(ROUND(CW105/FB_Kurs_15,2),0)</f>
      </c>
      <c r="CY105" s="116" t="str">
        <f>=ROUND(CW105+CR105,2)</f>
      </c>
      <c r="CZ105" s="144" t="str">
        <f>=ROUND(CX105+CS105,2)</f>
      </c>
      <c r="DC105" s="149" t="s">
        <v>317</v>
      </c>
      <c r="DD105" s="24"/>
      <c r="DE105" s="117" t="str">
        <f>=IFERROR(ROUND(DD105/FB_Kurs_16,2),0)</f>
      </c>
      <c r="DF105" s="116" t="str">
        <f>=ROUND(DD105+CY105,2)</f>
      </c>
      <c r="DG105" s="144" t="str">
        <f>=ROUND(DE105+CZ105,2)</f>
      </c>
      <c r="DJ105" s="149" t="s">
        <v>317</v>
      </c>
      <c r="DK105" s="24"/>
      <c r="DL105" s="117" t="str">
        <f>=IFERROR(ROUND(DK105/FB_Kurs_17,2),0)</f>
      </c>
      <c r="DM105" s="116" t="str">
        <f>=ROUND(DK105+DF105,2)</f>
      </c>
      <c r="DN105" s="144" t="str">
        <f>=ROUND(DL105+DG105,2)</f>
      </c>
      <c r="DQ105" s="149" t="s">
        <v>317</v>
      </c>
      <c r="DR105" s="24"/>
      <c r="DS105" s="117" t="str">
        <f>=IFERROR(ROUND(DR105/FB_Kurs_18,2),0)</f>
      </c>
      <c r="DT105" s="116" t="str">
        <f>=ROUND(DR105+DM105,2)</f>
      </c>
      <c r="DU105" s="144" t="str">
        <f>=ROUND(DS105+DN105,2)</f>
      </c>
    </row>
    <row r="106">
      <c r="B106" s="149" t="s">
        <v>318</v>
      </c>
      <c r="C106" s="24"/>
      <c r="D106" s="117" t="str">
        <f>=IFERROR(ROUND(C106/FB_Kurs_1,2),0)</f>
      </c>
      <c r="E106" s="116" t="str">
        <f>=ROUND(C106,2)</f>
      </c>
      <c r="F106" s="144" t="str">
        <f>=ROUND(D106,2)</f>
      </c>
      <c r="I106" s="149" t="s">
        <v>318</v>
      </c>
      <c r="J106" s="24"/>
      <c r="K106" s="117" t="str">
        <f>=IFERROR(ROUND(J106/FB_Kurs_2,2),0)</f>
      </c>
      <c r="L106" s="116" t="str">
        <f>=ROUND(J106+E106,2)</f>
      </c>
      <c r="M106" s="144" t="str">
        <f>=ROUND(K106+F106,2)</f>
      </c>
      <c r="P106" s="149" t="s">
        <v>318</v>
      </c>
      <c r="Q106" s="24"/>
      <c r="R106" s="117" t="str">
        <f>=IFERROR(ROUND(Q106/FB_Kurs_3,2),0)</f>
      </c>
      <c r="S106" s="116" t="str">
        <f>=ROUND(Q106+L106,2)</f>
      </c>
      <c r="T106" s="144" t="str">
        <f>=ROUND(R106+M106,2)</f>
      </c>
      <c r="W106" s="149" t="s">
        <v>318</v>
      </c>
      <c r="X106" s="24"/>
      <c r="Y106" s="117" t="str">
        <f>=IFERROR(ROUND(X106/FB_Kurs_4,2),0)</f>
      </c>
      <c r="Z106" s="116" t="str">
        <f>=ROUND(X106+S106,2)</f>
      </c>
      <c r="AA106" s="144" t="str">
        <f>=ROUND(Y106+T106,2)</f>
      </c>
      <c r="AD106" s="149" t="s">
        <v>318</v>
      </c>
      <c r="AE106" s="24"/>
      <c r="AF106" s="117" t="str">
        <f>=IFERROR(ROUND(AE106/FB_Kurs_5,2),0)</f>
      </c>
      <c r="AG106" s="116" t="str">
        <f>=ROUND(AE106+Z106,2)</f>
      </c>
      <c r="AH106" s="144" t="str">
        <f>=ROUND(AF106+AA106,2)</f>
      </c>
      <c r="AK106" s="149" t="s">
        <v>318</v>
      </c>
      <c r="AL106" s="24"/>
      <c r="AM106" s="117" t="str">
        <f>=IFERROR(ROUND(AL106/FB_Kurs_6,2),0)</f>
      </c>
      <c r="AN106" s="116" t="str">
        <f>=ROUND(AL106+AG106,2)</f>
      </c>
      <c r="AO106" s="144" t="str">
        <f>=ROUND(AM106+AH106,2)</f>
      </c>
      <c r="AR106" s="149" t="s">
        <v>318</v>
      </c>
      <c r="AS106" s="24"/>
      <c r="AT106" s="117" t="str">
        <f>=IFERROR(ROUND(AS106/FB_Kurs_7,2),0)</f>
      </c>
      <c r="AU106" s="116" t="str">
        <f>=ROUND(AS106+AN106,2)</f>
      </c>
      <c r="AV106" s="144" t="str">
        <f>=ROUND(AT106+AO106,2)</f>
      </c>
      <c r="AY106" s="149" t="s">
        <v>318</v>
      </c>
      <c r="AZ106" s="24"/>
      <c r="BA106" s="117" t="str">
        <f>=IFERROR(ROUND(AZ106/FB_Kurs_8,2),0)</f>
      </c>
      <c r="BB106" s="116" t="str">
        <f>=ROUND(AZ106+AU106,2)</f>
      </c>
      <c r="BC106" s="144" t="str">
        <f>=ROUND(BA106+AV106,2)</f>
      </c>
      <c r="BF106" s="149" t="s">
        <v>318</v>
      </c>
      <c r="BG106" s="24"/>
      <c r="BH106" s="117" t="str">
        <f>=IFERROR(ROUND(BG106/FB_Kurs_9,2),0)</f>
      </c>
      <c r="BI106" s="116" t="str">
        <f>=ROUND(BG106+BB106,2)</f>
      </c>
      <c r="BJ106" s="144" t="str">
        <f>=ROUND(BH106+BC106,2)</f>
      </c>
      <c r="BM106" s="149" t="s">
        <v>318</v>
      </c>
      <c r="BN106" s="24"/>
      <c r="BO106" s="117" t="str">
        <f>=IFERROR(ROUND(BN106/FB_Kurs_10,2),0)</f>
      </c>
      <c r="BP106" s="116" t="str">
        <f>=ROUND(BN106+BI106,2)</f>
      </c>
      <c r="BQ106" s="144" t="str">
        <f>=ROUND(BO106+BJ106,2)</f>
      </c>
      <c r="BT106" s="149" t="s">
        <v>318</v>
      </c>
      <c r="BU106" s="24"/>
      <c r="BV106" s="117" t="str">
        <f>=IFERROR(ROUND(BU106/FB_Kurs_11,2),0)</f>
      </c>
      <c r="BW106" s="116" t="str">
        <f>=ROUND(BU106+BP106,2)</f>
      </c>
      <c r="BX106" s="144" t="str">
        <f>=ROUND(BV106+BQ106,2)</f>
      </c>
      <c r="CA106" s="149" t="s">
        <v>318</v>
      </c>
      <c r="CB106" s="24"/>
      <c r="CC106" s="117" t="str">
        <f>=IFERROR(ROUND(CB106/FB_Kurs_12,2),0)</f>
      </c>
      <c r="CD106" s="116" t="str">
        <f>=ROUND(CB106+BW106,2)</f>
      </c>
      <c r="CE106" s="144" t="str">
        <f>=ROUND(CC106+BX106,2)</f>
      </c>
      <c r="CH106" s="149" t="s">
        <v>318</v>
      </c>
      <c r="CI106" s="24"/>
      <c r="CJ106" s="117" t="str">
        <f>=IFERROR(ROUND(CI106/FB_Kurs_13,2),0)</f>
      </c>
      <c r="CK106" s="116" t="str">
        <f>=ROUND(CI106+CD106,2)</f>
      </c>
      <c r="CL106" s="144" t="str">
        <f>=ROUND(CJ106+CE106,2)</f>
      </c>
      <c r="CO106" s="149" t="s">
        <v>318</v>
      </c>
      <c r="CP106" s="24"/>
      <c r="CQ106" s="117" t="str">
        <f>=IFERROR(ROUND(CP106/FB_Kurs_14,2),0)</f>
      </c>
      <c r="CR106" s="116" t="str">
        <f>=ROUND(CP106+CK106,2)</f>
      </c>
      <c r="CS106" s="144" t="str">
        <f>=ROUND(CQ106+CL106,2)</f>
      </c>
      <c r="CV106" s="149" t="s">
        <v>318</v>
      </c>
      <c r="CW106" s="24"/>
      <c r="CX106" s="117" t="str">
        <f>=IFERROR(ROUND(CW106/FB_Kurs_15,2),0)</f>
      </c>
      <c r="CY106" s="116" t="str">
        <f>=ROUND(CW106+CR106,2)</f>
      </c>
      <c r="CZ106" s="144" t="str">
        <f>=ROUND(CX106+CS106,2)</f>
      </c>
      <c r="DC106" s="149" t="s">
        <v>318</v>
      </c>
      <c r="DD106" s="24"/>
      <c r="DE106" s="117" t="str">
        <f>=IFERROR(ROUND(DD106/FB_Kurs_16,2),0)</f>
      </c>
      <c r="DF106" s="116" t="str">
        <f>=ROUND(DD106+CY106,2)</f>
      </c>
      <c r="DG106" s="144" t="str">
        <f>=ROUND(DE106+CZ106,2)</f>
      </c>
      <c r="DJ106" s="149" t="s">
        <v>318</v>
      </c>
      <c r="DK106" s="24"/>
      <c r="DL106" s="117" t="str">
        <f>=IFERROR(ROUND(DK106/FB_Kurs_17,2),0)</f>
      </c>
      <c r="DM106" s="116" t="str">
        <f>=ROUND(DK106+DF106,2)</f>
      </c>
      <c r="DN106" s="144" t="str">
        <f>=ROUND(DL106+DG106,2)</f>
      </c>
      <c r="DQ106" s="149" t="s">
        <v>318</v>
      </c>
      <c r="DR106" s="24"/>
      <c r="DS106" s="117" t="str">
        <f>=IFERROR(ROUND(DR106/FB_Kurs_18,2),0)</f>
      </c>
      <c r="DT106" s="116" t="str">
        <f>=ROUND(DR106+DM106,2)</f>
      </c>
      <c r="DU106" s="144" t="str">
        <f>=ROUND(DS106+DN106,2)</f>
      </c>
    </row>
    <row r="107">
      <c r="B107" s="149" t="s">
        <v>319</v>
      </c>
      <c r="C107" s="24"/>
      <c r="D107" s="117" t="str">
        <f>=IFERROR(ROUND(C107/FB_Kurs_1,2),0)</f>
      </c>
      <c r="E107" s="116" t="str">
        <f>=ROUND(C107,2)</f>
      </c>
      <c r="F107" s="144" t="str">
        <f>=ROUND(D107,2)</f>
      </c>
      <c r="I107" s="149" t="s">
        <v>319</v>
      </c>
      <c r="J107" s="24"/>
      <c r="K107" s="117" t="str">
        <f>=IFERROR(ROUND(J107/FB_Kurs_2,2),0)</f>
      </c>
      <c r="L107" s="116" t="str">
        <f>=ROUND(J107+E107,2)</f>
      </c>
      <c r="M107" s="144" t="str">
        <f>=ROUND(K107+F107,2)</f>
      </c>
      <c r="P107" s="149" t="s">
        <v>319</v>
      </c>
      <c r="Q107" s="24"/>
      <c r="R107" s="117" t="str">
        <f>=IFERROR(ROUND(Q107/FB_Kurs_3,2),0)</f>
      </c>
      <c r="S107" s="116" t="str">
        <f>=ROUND(Q107+L107,2)</f>
      </c>
      <c r="T107" s="144" t="str">
        <f>=ROUND(R107+M107,2)</f>
      </c>
      <c r="W107" s="149" t="s">
        <v>319</v>
      </c>
      <c r="X107" s="24"/>
      <c r="Y107" s="117" t="str">
        <f>=IFERROR(ROUND(X107/FB_Kurs_4,2),0)</f>
      </c>
      <c r="Z107" s="116" t="str">
        <f>=ROUND(X107+S107,2)</f>
      </c>
      <c r="AA107" s="144" t="str">
        <f>=ROUND(Y107+T107,2)</f>
      </c>
      <c r="AD107" s="149" t="s">
        <v>319</v>
      </c>
      <c r="AE107" s="24"/>
      <c r="AF107" s="117" t="str">
        <f>=IFERROR(ROUND(AE107/FB_Kurs_5,2),0)</f>
      </c>
      <c r="AG107" s="116" t="str">
        <f>=ROUND(AE107+Z107,2)</f>
      </c>
      <c r="AH107" s="144" t="str">
        <f>=ROUND(AF107+AA107,2)</f>
      </c>
      <c r="AK107" s="149" t="s">
        <v>319</v>
      </c>
      <c r="AL107" s="24"/>
      <c r="AM107" s="117" t="str">
        <f>=IFERROR(ROUND(AL107/FB_Kurs_6,2),0)</f>
      </c>
      <c r="AN107" s="116" t="str">
        <f>=ROUND(AL107+AG107,2)</f>
      </c>
      <c r="AO107" s="144" t="str">
        <f>=ROUND(AM107+AH107,2)</f>
      </c>
      <c r="AR107" s="149" t="s">
        <v>319</v>
      </c>
      <c r="AS107" s="24"/>
      <c r="AT107" s="117" t="str">
        <f>=IFERROR(ROUND(AS107/FB_Kurs_7,2),0)</f>
      </c>
      <c r="AU107" s="116" t="str">
        <f>=ROUND(AS107+AN107,2)</f>
      </c>
      <c r="AV107" s="144" t="str">
        <f>=ROUND(AT107+AO107,2)</f>
      </c>
      <c r="AY107" s="149" t="s">
        <v>319</v>
      </c>
      <c r="AZ107" s="24"/>
      <c r="BA107" s="117" t="str">
        <f>=IFERROR(ROUND(AZ107/FB_Kurs_8,2),0)</f>
      </c>
      <c r="BB107" s="116" t="str">
        <f>=ROUND(AZ107+AU107,2)</f>
      </c>
      <c r="BC107" s="144" t="str">
        <f>=ROUND(BA107+AV107,2)</f>
      </c>
      <c r="BF107" s="149" t="s">
        <v>319</v>
      </c>
      <c r="BG107" s="24"/>
      <c r="BH107" s="117" t="str">
        <f>=IFERROR(ROUND(BG107/FB_Kurs_9,2),0)</f>
      </c>
      <c r="BI107" s="116" t="str">
        <f>=ROUND(BG107+BB107,2)</f>
      </c>
      <c r="BJ107" s="144" t="str">
        <f>=ROUND(BH107+BC107,2)</f>
      </c>
      <c r="BM107" s="149" t="s">
        <v>319</v>
      </c>
      <c r="BN107" s="24"/>
      <c r="BO107" s="117" t="str">
        <f>=IFERROR(ROUND(BN107/FB_Kurs_10,2),0)</f>
      </c>
      <c r="BP107" s="116" t="str">
        <f>=ROUND(BN107+BI107,2)</f>
      </c>
      <c r="BQ107" s="144" t="str">
        <f>=ROUND(BO107+BJ107,2)</f>
      </c>
      <c r="BT107" s="149" t="s">
        <v>319</v>
      </c>
      <c r="BU107" s="24"/>
      <c r="BV107" s="117" t="str">
        <f>=IFERROR(ROUND(BU107/FB_Kurs_11,2),0)</f>
      </c>
      <c r="BW107" s="116" t="str">
        <f>=ROUND(BU107+BP107,2)</f>
      </c>
      <c r="BX107" s="144" t="str">
        <f>=ROUND(BV107+BQ107,2)</f>
      </c>
      <c r="CA107" s="149" t="s">
        <v>319</v>
      </c>
      <c r="CB107" s="24"/>
      <c r="CC107" s="117" t="str">
        <f>=IFERROR(ROUND(CB107/FB_Kurs_12,2),0)</f>
      </c>
      <c r="CD107" s="116" t="str">
        <f>=ROUND(CB107+BW107,2)</f>
      </c>
      <c r="CE107" s="144" t="str">
        <f>=ROUND(CC107+BX107,2)</f>
      </c>
      <c r="CH107" s="149" t="s">
        <v>319</v>
      </c>
      <c r="CI107" s="24"/>
      <c r="CJ107" s="117" t="str">
        <f>=IFERROR(ROUND(CI107/FB_Kurs_13,2),0)</f>
      </c>
      <c r="CK107" s="116" t="str">
        <f>=ROUND(CI107+CD107,2)</f>
      </c>
      <c r="CL107" s="144" t="str">
        <f>=ROUND(CJ107+CE107,2)</f>
      </c>
      <c r="CO107" s="149" t="s">
        <v>319</v>
      </c>
      <c r="CP107" s="24"/>
      <c r="CQ107" s="117" t="str">
        <f>=IFERROR(ROUND(CP107/FB_Kurs_14,2),0)</f>
      </c>
      <c r="CR107" s="116" t="str">
        <f>=ROUND(CP107+CK107,2)</f>
      </c>
      <c r="CS107" s="144" t="str">
        <f>=ROUND(CQ107+CL107,2)</f>
      </c>
      <c r="CV107" s="149" t="s">
        <v>319</v>
      </c>
      <c r="CW107" s="24"/>
      <c r="CX107" s="117" t="str">
        <f>=IFERROR(ROUND(CW107/FB_Kurs_15,2),0)</f>
      </c>
      <c r="CY107" s="116" t="str">
        <f>=ROUND(CW107+CR107,2)</f>
      </c>
      <c r="CZ107" s="144" t="str">
        <f>=ROUND(CX107+CS107,2)</f>
      </c>
      <c r="DC107" s="149" t="s">
        <v>319</v>
      </c>
      <c r="DD107" s="24"/>
      <c r="DE107" s="117" t="str">
        <f>=IFERROR(ROUND(DD107/FB_Kurs_16,2),0)</f>
      </c>
      <c r="DF107" s="116" t="str">
        <f>=ROUND(DD107+CY107,2)</f>
      </c>
      <c r="DG107" s="144" t="str">
        <f>=ROUND(DE107+CZ107,2)</f>
      </c>
      <c r="DJ107" s="149" t="s">
        <v>319</v>
      </c>
      <c r="DK107" s="24"/>
      <c r="DL107" s="117" t="str">
        <f>=IFERROR(ROUND(DK107/FB_Kurs_17,2),0)</f>
      </c>
      <c r="DM107" s="116" t="str">
        <f>=ROUND(DK107+DF107,2)</f>
      </c>
      <c r="DN107" s="144" t="str">
        <f>=ROUND(DL107+DG107,2)</f>
      </c>
      <c r="DQ107" s="149" t="s">
        <v>319</v>
      </c>
      <c r="DR107" s="24"/>
      <c r="DS107" s="117" t="str">
        <f>=IFERROR(ROUND(DR107/FB_Kurs_18,2),0)</f>
      </c>
      <c r="DT107" s="116" t="str">
        <f>=ROUND(DR107+DM107,2)</f>
      </c>
      <c r="DU107" s="144" t="str">
        <f>=ROUND(DS107+DN107,2)</f>
      </c>
    </row>
    <row r="108">
      <c r="B108" s="149" t="s">
        <v>320</v>
      </c>
      <c r="C108" s="24"/>
      <c r="D108" s="117" t="str">
        <f>=IFERROR(ROUND(C108/FB_Kurs_1,2),0)</f>
      </c>
      <c r="E108" s="116" t="str">
        <f>=ROUND(C108,2)</f>
      </c>
      <c r="F108" s="144" t="str">
        <f>=ROUND(D108,2)</f>
      </c>
      <c r="I108" s="149" t="s">
        <v>320</v>
      </c>
      <c r="J108" s="24"/>
      <c r="K108" s="117" t="str">
        <f>=IFERROR(ROUND(J108/FB_Kurs_2,2),0)</f>
      </c>
      <c r="L108" s="116" t="str">
        <f>=ROUND(J108+E108,2)</f>
      </c>
      <c r="M108" s="144" t="str">
        <f>=ROUND(K108+F108,2)</f>
      </c>
      <c r="P108" s="149" t="s">
        <v>320</v>
      </c>
      <c r="Q108" s="24"/>
      <c r="R108" s="117" t="str">
        <f>=IFERROR(ROUND(Q108/FB_Kurs_3,2),0)</f>
      </c>
      <c r="S108" s="116" t="str">
        <f>=ROUND(Q108+L108,2)</f>
      </c>
      <c r="T108" s="144" t="str">
        <f>=ROUND(R108+M108,2)</f>
      </c>
      <c r="W108" s="149" t="s">
        <v>320</v>
      </c>
      <c r="X108" s="24"/>
      <c r="Y108" s="117" t="str">
        <f>=IFERROR(ROUND(X108/FB_Kurs_4,2),0)</f>
      </c>
      <c r="Z108" s="116" t="str">
        <f>=ROUND(X108+S108,2)</f>
      </c>
      <c r="AA108" s="144" t="str">
        <f>=ROUND(Y108+T108,2)</f>
      </c>
      <c r="AD108" s="149" t="s">
        <v>320</v>
      </c>
      <c r="AE108" s="24"/>
      <c r="AF108" s="117" t="str">
        <f>=IFERROR(ROUND(AE108/FB_Kurs_5,2),0)</f>
      </c>
      <c r="AG108" s="116" t="str">
        <f>=ROUND(AE108+Z108,2)</f>
      </c>
      <c r="AH108" s="144" t="str">
        <f>=ROUND(AF108+AA108,2)</f>
      </c>
      <c r="AK108" s="149" t="s">
        <v>320</v>
      </c>
      <c r="AL108" s="24"/>
      <c r="AM108" s="117" t="str">
        <f>=IFERROR(ROUND(AL108/FB_Kurs_6,2),0)</f>
      </c>
      <c r="AN108" s="116" t="str">
        <f>=ROUND(AL108+AG108,2)</f>
      </c>
      <c r="AO108" s="144" t="str">
        <f>=ROUND(AM108+AH108,2)</f>
      </c>
      <c r="AR108" s="149" t="s">
        <v>320</v>
      </c>
      <c r="AS108" s="24"/>
      <c r="AT108" s="117" t="str">
        <f>=IFERROR(ROUND(AS108/FB_Kurs_7,2),0)</f>
      </c>
      <c r="AU108" s="116" t="str">
        <f>=ROUND(AS108+AN108,2)</f>
      </c>
      <c r="AV108" s="144" t="str">
        <f>=ROUND(AT108+AO108,2)</f>
      </c>
      <c r="AY108" s="149" t="s">
        <v>320</v>
      </c>
      <c r="AZ108" s="24"/>
      <c r="BA108" s="117" t="str">
        <f>=IFERROR(ROUND(AZ108/FB_Kurs_8,2),0)</f>
      </c>
      <c r="BB108" s="116" t="str">
        <f>=ROUND(AZ108+AU108,2)</f>
      </c>
      <c r="BC108" s="144" t="str">
        <f>=ROUND(BA108+AV108,2)</f>
      </c>
      <c r="BF108" s="149" t="s">
        <v>320</v>
      </c>
      <c r="BG108" s="24"/>
      <c r="BH108" s="117" t="str">
        <f>=IFERROR(ROUND(BG108/FB_Kurs_9,2),0)</f>
      </c>
      <c r="BI108" s="116" t="str">
        <f>=ROUND(BG108+BB108,2)</f>
      </c>
      <c r="BJ108" s="144" t="str">
        <f>=ROUND(BH108+BC108,2)</f>
      </c>
      <c r="BM108" s="149" t="s">
        <v>320</v>
      </c>
      <c r="BN108" s="24"/>
      <c r="BO108" s="117" t="str">
        <f>=IFERROR(ROUND(BN108/FB_Kurs_10,2),0)</f>
      </c>
      <c r="BP108" s="116" t="str">
        <f>=ROUND(BN108+BI108,2)</f>
      </c>
      <c r="BQ108" s="144" t="str">
        <f>=ROUND(BO108+BJ108,2)</f>
      </c>
      <c r="BT108" s="149" t="s">
        <v>320</v>
      </c>
      <c r="BU108" s="24"/>
      <c r="BV108" s="117" t="str">
        <f>=IFERROR(ROUND(BU108/FB_Kurs_11,2),0)</f>
      </c>
      <c r="BW108" s="116" t="str">
        <f>=ROUND(BU108+BP108,2)</f>
      </c>
      <c r="BX108" s="144" t="str">
        <f>=ROUND(BV108+BQ108,2)</f>
      </c>
      <c r="CA108" s="149" t="s">
        <v>320</v>
      </c>
      <c r="CB108" s="24"/>
      <c r="CC108" s="117" t="str">
        <f>=IFERROR(ROUND(CB108/FB_Kurs_12,2),0)</f>
      </c>
      <c r="CD108" s="116" t="str">
        <f>=ROUND(CB108+BW108,2)</f>
      </c>
      <c r="CE108" s="144" t="str">
        <f>=ROUND(CC108+BX108,2)</f>
      </c>
      <c r="CH108" s="149" t="s">
        <v>320</v>
      </c>
      <c r="CI108" s="24"/>
      <c r="CJ108" s="117" t="str">
        <f>=IFERROR(ROUND(CI108/FB_Kurs_13,2),0)</f>
      </c>
      <c r="CK108" s="116" t="str">
        <f>=ROUND(CI108+CD108,2)</f>
      </c>
      <c r="CL108" s="144" t="str">
        <f>=ROUND(CJ108+CE108,2)</f>
      </c>
      <c r="CO108" s="149" t="s">
        <v>320</v>
      </c>
      <c r="CP108" s="24"/>
      <c r="CQ108" s="117" t="str">
        <f>=IFERROR(ROUND(CP108/FB_Kurs_14,2),0)</f>
      </c>
      <c r="CR108" s="116" t="str">
        <f>=ROUND(CP108+CK108,2)</f>
      </c>
      <c r="CS108" s="144" t="str">
        <f>=ROUND(CQ108+CL108,2)</f>
      </c>
      <c r="CV108" s="149" t="s">
        <v>320</v>
      </c>
      <c r="CW108" s="24"/>
      <c r="CX108" s="117" t="str">
        <f>=IFERROR(ROUND(CW108/FB_Kurs_15,2),0)</f>
      </c>
      <c r="CY108" s="116" t="str">
        <f>=ROUND(CW108+CR108,2)</f>
      </c>
      <c r="CZ108" s="144" t="str">
        <f>=ROUND(CX108+CS108,2)</f>
      </c>
      <c r="DC108" s="149" t="s">
        <v>320</v>
      </c>
      <c r="DD108" s="24"/>
      <c r="DE108" s="117" t="str">
        <f>=IFERROR(ROUND(DD108/FB_Kurs_16,2),0)</f>
      </c>
      <c r="DF108" s="116" t="str">
        <f>=ROUND(DD108+CY108,2)</f>
      </c>
      <c r="DG108" s="144" t="str">
        <f>=ROUND(DE108+CZ108,2)</f>
      </c>
      <c r="DJ108" s="149" t="s">
        <v>320</v>
      </c>
      <c r="DK108" s="24"/>
      <c r="DL108" s="117" t="str">
        <f>=IFERROR(ROUND(DK108/FB_Kurs_17,2),0)</f>
      </c>
      <c r="DM108" s="116" t="str">
        <f>=ROUND(DK108+DF108,2)</f>
      </c>
      <c r="DN108" s="144" t="str">
        <f>=ROUND(DL108+DG108,2)</f>
      </c>
      <c r="DQ108" s="149" t="s">
        <v>320</v>
      </c>
      <c r="DR108" s="24"/>
      <c r="DS108" s="117" t="str">
        <f>=IFERROR(ROUND(DR108/FB_Kurs_18,2),0)</f>
      </c>
      <c r="DT108" s="116" t="str">
        <f>=ROUND(DR108+DM108,2)</f>
      </c>
      <c r="DU108" s="144" t="str">
        <f>=ROUND(DS108+DN108,2)</f>
      </c>
    </row>
    <row r="109">
      <c r="B109" s="149" t="s">
        <v>321</v>
      </c>
      <c r="C109" s="24"/>
      <c r="D109" s="117" t="str">
        <f>=IFERROR(ROUND(C109/FB_Kurs_1,2),0)</f>
      </c>
      <c r="E109" s="116" t="str">
        <f>=ROUND(C109,2)</f>
      </c>
      <c r="F109" s="144" t="str">
        <f>=ROUND(D109,2)</f>
      </c>
      <c r="I109" s="149" t="s">
        <v>321</v>
      </c>
      <c r="J109" s="24"/>
      <c r="K109" s="117" t="str">
        <f>=IFERROR(ROUND(J109/FB_Kurs_2,2),0)</f>
      </c>
      <c r="L109" s="116" t="str">
        <f>=ROUND(J109+E109,2)</f>
      </c>
      <c r="M109" s="144" t="str">
        <f>=ROUND(K109+F109,2)</f>
      </c>
      <c r="P109" s="149" t="s">
        <v>321</v>
      </c>
      <c r="Q109" s="24"/>
      <c r="R109" s="117" t="str">
        <f>=IFERROR(ROUND(Q109/FB_Kurs_3,2),0)</f>
      </c>
      <c r="S109" s="116" t="str">
        <f>=ROUND(Q109+L109,2)</f>
      </c>
      <c r="T109" s="144" t="str">
        <f>=ROUND(R109+M109,2)</f>
      </c>
      <c r="W109" s="149" t="s">
        <v>321</v>
      </c>
      <c r="X109" s="24"/>
      <c r="Y109" s="117" t="str">
        <f>=IFERROR(ROUND(X109/FB_Kurs_4,2),0)</f>
      </c>
      <c r="Z109" s="116" t="str">
        <f>=ROUND(X109+S109,2)</f>
      </c>
      <c r="AA109" s="144" t="str">
        <f>=ROUND(Y109+T109,2)</f>
      </c>
      <c r="AD109" s="149" t="s">
        <v>321</v>
      </c>
      <c r="AE109" s="24"/>
      <c r="AF109" s="117" t="str">
        <f>=IFERROR(ROUND(AE109/FB_Kurs_5,2),0)</f>
      </c>
      <c r="AG109" s="116" t="str">
        <f>=ROUND(AE109+Z109,2)</f>
      </c>
      <c r="AH109" s="144" t="str">
        <f>=ROUND(AF109+AA109,2)</f>
      </c>
      <c r="AK109" s="149" t="s">
        <v>321</v>
      </c>
      <c r="AL109" s="24"/>
      <c r="AM109" s="117" t="str">
        <f>=IFERROR(ROUND(AL109/FB_Kurs_6,2),0)</f>
      </c>
      <c r="AN109" s="116" t="str">
        <f>=ROUND(AL109+AG109,2)</f>
      </c>
      <c r="AO109" s="144" t="str">
        <f>=ROUND(AM109+AH109,2)</f>
      </c>
      <c r="AR109" s="149" t="s">
        <v>321</v>
      </c>
      <c r="AS109" s="24"/>
      <c r="AT109" s="117" t="str">
        <f>=IFERROR(ROUND(AS109/FB_Kurs_7,2),0)</f>
      </c>
      <c r="AU109" s="116" t="str">
        <f>=ROUND(AS109+AN109,2)</f>
      </c>
      <c r="AV109" s="144" t="str">
        <f>=ROUND(AT109+AO109,2)</f>
      </c>
      <c r="AY109" s="149" t="s">
        <v>321</v>
      </c>
      <c r="AZ109" s="24"/>
      <c r="BA109" s="117" t="str">
        <f>=IFERROR(ROUND(AZ109/FB_Kurs_8,2),0)</f>
      </c>
      <c r="BB109" s="116" t="str">
        <f>=ROUND(AZ109+AU109,2)</f>
      </c>
      <c r="BC109" s="144" t="str">
        <f>=ROUND(BA109+AV109,2)</f>
      </c>
      <c r="BF109" s="149" t="s">
        <v>321</v>
      </c>
      <c r="BG109" s="24"/>
      <c r="BH109" s="117" t="str">
        <f>=IFERROR(ROUND(BG109/FB_Kurs_9,2),0)</f>
      </c>
      <c r="BI109" s="116" t="str">
        <f>=ROUND(BG109+BB109,2)</f>
      </c>
      <c r="BJ109" s="144" t="str">
        <f>=ROUND(BH109+BC109,2)</f>
      </c>
      <c r="BM109" s="149" t="s">
        <v>321</v>
      </c>
      <c r="BN109" s="24"/>
      <c r="BO109" s="117" t="str">
        <f>=IFERROR(ROUND(BN109/FB_Kurs_10,2),0)</f>
      </c>
      <c r="BP109" s="116" t="str">
        <f>=ROUND(BN109+BI109,2)</f>
      </c>
      <c r="BQ109" s="144" t="str">
        <f>=ROUND(BO109+BJ109,2)</f>
      </c>
      <c r="BT109" s="149" t="s">
        <v>321</v>
      </c>
      <c r="BU109" s="24"/>
      <c r="BV109" s="117" t="str">
        <f>=IFERROR(ROUND(BU109/FB_Kurs_11,2),0)</f>
      </c>
      <c r="BW109" s="116" t="str">
        <f>=ROUND(BU109+BP109,2)</f>
      </c>
      <c r="BX109" s="144" t="str">
        <f>=ROUND(BV109+BQ109,2)</f>
      </c>
      <c r="CA109" s="149" t="s">
        <v>321</v>
      </c>
      <c r="CB109" s="24"/>
      <c r="CC109" s="117" t="str">
        <f>=IFERROR(ROUND(CB109/FB_Kurs_12,2),0)</f>
      </c>
      <c r="CD109" s="116" t="str">
        <f>=ROUND(CB109+BW109,2)</f>
      </c>
      <c r="CE109" s="144" t="str">
        <f>=ROUND(CC109+BX109,2)</f>
      </c>
      <c r="CH109" s="149" t="s">
        <v>321</v>
      </c>
      <c r="CI109" s="24"/>
      <c r="CJ109" s="117" t="str">
        <f>=IFERROR(ROUND(CI109/FB_Kurs_13,2),0)</f>
      </c>
      <c r="CK109" s="116" t="str">
        <f>=ROUND(CI109+CD109,2)</f>
      </c>
      <c r="CL109" s="144" t="str">
        <f>=ROUND(CJ109+CE109,2)</f>
      </c>
      <c r="CO109" s="149" t="s">
        <v>321</v>
      </c>
      <c r="CP109" s="24"/>
      <c r="CQ109" s="117" t="str">
        <f>=IFERROR(ROUND(CP109/FB_Kurs_14,2),0)</f>
      </c>
      <c r="CR109" s="116" t="str">
        <f>=ROUND(CP109+CK109,2)</f>
      </c>
      <c r="CS109" s="144" t="str">
        <f>=ROUND(CQ109+CL109,2)</f>
      </c>
      <c r="CV109" s="149" t="s">
        <v>321</v>
      </c>
      <c r="CW109" s="24"/>
      <c r="CX109" s="117" t="str">
        <f>=IFERROR(ROUND(CW109/FB_Kurs_15,2),0)</f>
      </c>
      <c r="CY109" s="116" t="str">
        <f>=ROUND(CW109+CR109,2)</f>
      </c>
      <c r="CZ109" s="144" t="str">
        <f>=ROUND(CX109+CS109,2)</f>
      </c>
      <c r="DC109" s="149" t="s">
        <v>321</v>
      </c>
      <c r="DD109" s="24"/>
      <c r="DE109" s="117" t="str">
        <f>=IFERROR(ROUND(DD109/FB_Kurs_16,2),0)</f>
      </c>
      <c r="DF109" s="116" t="str">
        <f>=ROUND(DD109+CY109,2)</f>
      </c>
      <c r="DG109" s="144" t="str">
        <f>=ROUND(DE109+CZ109,2)</f>
      </c>
      <c r="DJ109" s="149" t="s">
        <v>321</v>
      </c>
      <c r="DK109" s="24"/>
      <c r="DL109" s="117" t="str">
        <f>=IFERROR(ROUND(DK109/FB_Kurs_17,2),0)</f>
      </c>
      <c r="DM109" s="116" t="str">
        <f>=ROUND(DK109+DF109,2)</f>
      </c>
      <c r="DN109" s="144" t="str">
        <f>=ROUND(DL109+DG109,2)</f>
      </c>
      <c r="DQ109" s="149" t="s">
        <v>321</v>
      </c>
      <c r="DR109" s="24"/>
      <c r="DS109" s="117" t="str">
        <f>=IFERROR(ROUND(DR109/FB_Kurs_18,2),0)</f>
      </c>
      <c r="DT109" s="116" t="str">
        <f>=ROUND(DR109+DM109,2)</f>
      </c>
      <c r="DU109" s="144" t="str">
        <f>=ROUND(DS109+DN109,2)</f>
      </c>
    </row>
    <row r="110">
      <c r="B110" s="149" t="s">
        <v>322</v>
      </c>
      <c r="C110" s="24"/>
      <c r="D110" s="117" t="str">
        <f>=IFERROR(ROUND(C110/FB_Kurs_1,2),0)</f>
      </c>
      <c r="E110" s="116" t="str">
        <f>=ROUND(C110,2)</f>
      </c>
      <c r="F110" s="144" t="str">
        <f>=ROUND(D110,2)</f>
      </c>
      <c r="I110" s="149" t="s">
        <v>322</v>
      </c>
      <c r="J110" s="24"/>
      <c r="K110" s="117" t="str">
        <f>=IFERROR(ROUND(J110/FB_Kurs_2,2),0)</f>
      </c>
      <c r="L110" s="116" t="str">
        <f>=ROUND(J110+E110,2)</f>
      </c>
      <c r="M110" s="144" t="str">
        <f>=ROUND(K110+F110,2)</f>
      </c>
      <c r="P110" s="149" t="s">
        <v>322</v>
      </c>
      <c r="Q110" s="24"/>
      <c r="R110" s="117" t="str">
        <f>=IFERROR(ROUND(Q110/FB_Kurs_3,2),0)</f>
      </c>
      <c r="S110" s="116" t="str">
        <f>=ROUND(Q110+L110,2)</f>
      </c>
      <c r="T110" s="144" t="str">
        <f>=ROUND(R110+M110,2)</f>
      </c>
      <c r="W110" s="149" t="s">
        <v>322</v>
      </c>
      <c r="X110" s="24"/>
      <c r="Y110" s="117" t="str">
        <f>=IFERROR(ROUND(X110/FB_Kurs_4,2),0)</f>
      </c>
      <c r="Z110" s="116" t="str">
        <f>=ROUND(X110+S110,2)</f>
      </c>
      <c r="AA110" s="144" t="str">
        <f>=ROUND(Y110+T110,2)</f>
      </c>
      <c r="AD110" s="149" t="s">
        <v>322</v>
      </c>
      <c r="AE110" s="24"/>
      <c r="AF110" s="117" t="str">
        <f>=IFERROR(ROUND(AE110/FB_Kurs_5,2),0)</f>
      </c>
      <c r="AG110" s="116" t="str">
        <f>=ROUND(AE110+Z110,2)</f>
      </c>
      <c r="AH110" s="144" t="str">
        <f>=ROUND(AF110+AA110,2)</f>
      </c>
      <c r="AK110" s="149" t="s">
        <v>322</v>
      </c>
      <c r="AL110" s="24"/>
      <c r="AM110" s="117" t="str">
        <f>=IFERROR(ROUND(AL110/FB_Kurs_6,2),0)</f>
      </c>
      <c r="AN110" s="116" t="str">
        <f>=ROUND(AL110+AG110,2)</f>
      </c>
      <c r="AO110" s="144" t="str">
        <f>=ROUND(AM110+AH110,2)</f>
      </c>
      <c r="AR110" s="149" t="s">
        <v>322</v>
      </c>
      <c r="AS110" s="24"/>
      <c r="AT110" s="117" t="str">
        <f>=IFERROR(ROUND(AS110/FB_Kurs_7,2),0)</f>
      </c>
      <c r="AU110" s="116" t="str">
        <f>=ROUND(AS110+AN110,2)</f>
      </c>
      <c r="AV110" s="144" t="str">
        <f>=ROUND(AT110+AO110,2)</f>
      </c>
      <c r="AY110" s="149" t="s">
        <v>322</v>
      </c>
      <c r="AZ110" s="24"/>
      <c r="BA110" s="117" t="str">
        <f>=IFERROR(ROUND(AZ110/FB_Kurs_8,2),0)</f>
      </c>
      <c r="BB110" s="116" t="str">
        <f>=ROUND(AZ110+AU110,2)</f>
      </c>
      <c r="BC110" s="144" t="str">
        <f>=ROUND(BA110+AV110,2)</f>
      </c>
      <c r="BF110" s="149" t="s">
        <v>322</v>
      </c>
      <c r="BG110" s="24"/>
      <c r="BH110" s="117" t="str">
        <f>=IFERROR(ROUND(BG110/FB_Kurs_9,2),0)</f>
      </c>
      <c r="BI110" s="116" t="str">
        <f>=ROUND(BG110+BB110,2)</f>
      </c>
      <c r="BJ110" s="144" t="str">
        <f>=ROUND(BH110+BC110,2)</f>
      </c>
      <c r="BM110" s="149" t="s">
        <v>322</v>
      </c>
      <c r="BN110" s="24"/>
      <c r="BO110" s="117" t="str">
        <f>=IFERROR(ROUND(BN110/FB_Kurs_10,2),0)</f>
      </c>
      <c r="BP110" s="116" t="str">
        <f>=ROUND(BN110+BI110,2)</f>
      </c>
      <c r="BQ110" s="144" t="str">
        <f>=ROUND(BO110+BJ110,2)</f>
      </c>
      <c r="BT110" s="149" t="s">
        <v>322</v>
      </c>
      <c r="BU110" s="24"/>
      <c r="BV110" s="117" t="str">
        <f>=IFERROR(ROUND(BU110/FB_Kurs_11,2),0)</f>
      </c>
      <c r="BW110" s="116" t="str">
        <f>=ROUND(BU110+BP110,2)</f>
      </c>
      <c r="BX110" s="144" t="str">
        <f>=ROUND(BV110+BQ110,2)</f>
      </c>
      <c r="CA110" s="149" t="s">
        <v>322</v>
      </c>
      <c r="CB110" s="24"/>
      <c r="CC110" s="117" t="str">
        <f>=IFERROR(ROUND(CB110/FB_Kurs_12,2),0)</f>
      </c>
      <c r="CD110" s="116" t="str">
        <f>=ROUND(CB110+BW110,2)</f>
      </c>
      <c r="CE110" s="144" t="str">
        <f>=ROUND(CC110+BX110,2)</f>
      </c>
      <c r="CH110" s="149" t="s">
        <v>322</v>
      </c>
      <c r="CI110" s="24"/>
      <c r="CJ110" s="117" t="str">
        <f>=IFERROR(ROUND(CI110/FB_Kurs_13,2),0)</f>
      </c>
      <c r="CK110" s="116" t="str">
        <f>=ROUND(CI110+CD110,2)</f>
      </c>
      <c r="CL110" s="144" t="str">
        <f>=ROUND(CJ110+CE110,2)</f>
      </c>
      <c r="CO110" s="149" t="s">
        <v>322</v>
      </c>
      <c r="CP110" s="24"/>
      <c r="CQ110" s="117" t="str">
        <f>=IFERROR(ROUND(CP110/FB_Kurs_14,2),0)</f>
      </c>
      <c r="CR110" s="116" t="str">
        <f>=ROUND(CP110+CK110,2)</f>
      </c>
      <c r="CS110" s="144" t="str">
        <f>=ROUND(CQ110+CL110,2)</f>
      </c>
      <c r="CV110" s="149" t="s">
        <v>322</v>
      </c>
      <c r="CW110" s="24"/>
      <c r="CX110" s="117" t="str">
        <f>=IFERROR(ROUND(CW110/FB_Kurs_15,2),0)</f>
      </c>
      <c r="CY110" s="116" t="str">
        <f>=ROUND(CW110+CR110,2)</f>
      </c>
      <c r="CZ110" s="144" t="str">
        <f>=ROUND(CX110+CS110,2)</f>
      </c>
      <c r="DC110" s="149" t="s">
        <v>322</v>
      </c>
      <c r="DD110" s="24"/>
      <c r="DE110" s="117" t="str">
        <f>=IFERROR(ROUND(DD110/FB_Kurs_16,2),0)</f>
      </c>
      <c r="DF110" s="116" t="str">
        <f>=ROUND(DD110+CY110,2)</f>
      </c>
      <c r="DG110" s="144" t="str">
        <f>=ROUND(DE110+CZ110,2)</f>
      </c>
      <c r="DJ110" s="149" t="s">
        <v>322</v>
      </c>
      <c r="DK110" s="24"/>
      <c r="DL110" s="117" t="str">
        <f>=IFERROR(ROUND(DK110/FB_Kurs_17,2),0)</f>
      </c>
      <c r="DM110" s="116" t="str">
        <f>=ROUND(DK110+DF110,2)</f>
      </c>
      <c r="DN110" s="144" t="str">
        <f>=ROUND(DL110+DG110,2)</f>
      </c>
      <c r="DQ110" s="149" t="s">
        <v>322</v>
      </c>
      <c r="DR110" s="24"/>
      <c r="DS110" s="117" t="str">
        <f>=IFERROR(ROUND(DR110/FB_Kurs_18,2),0)</f>
      </c>
      <c r="DT110" s="116" t="str">
        <f>=ROUND(DR110+DM110,2)</f>
      </c>
      <c r="DU110" s="144" t="str">
        <f>=ROUND(DS110+DN110,2)</f>
      </c>
    </row>
    <row r="111">
      <c r="B111" s="149" t="s">
        <v>323</v>
      </c>
      <c r="C111" s="24"/>
      <c r="D111" s="117" t="str">
        <f>=IFERROR(ROUND(C111/FB_Kurs_1,2),0)</f>
      </c>
      <c r="E111" s="116" t="str">
        <f>=ROUND(C111,2)</f>
      </c>
      <c r="F111" s="144" t="str">
        <f>=ROUND(D111,2)</f>
      </c>
      <c r="I111" s="149" t="s">
        <v>323</v>
      </c>
      <c r="J111" s="24"/>
      <c r="K111" s="117" t="str">
        <f>=IFERROR(ROUND(J111/FB_Kurs_2,2),0)</f>
      </c>
      <c r="L111" s="116" t="str">
        <f>=ROUND(J111+E111,2)</f>
      </c>
      <c r="M111" s="144" t="str">
        <f>=ROUND(K111+F111,2)</f>
      </c>
      <c r="P111" s="149" t="s">
        <v>323</v>
      </c>
      <c r="Q111" s="24"/>
      <c r="R111" s="117" t="str">
        <f>=IFERROR(ROUND(Q111/FB_Kurs_3,2),0)</f>
      </c>
      <c r="S111" s="116" t="str">
        <f>=ROUND(Q111+L111,2)</f>
      </c>
      <c r="T111" s="144" t="str">
        <f>=ROUND(R111+M111,2)</f>
      </c>
      <c r="W111" s="149" t="s">
        <v>323</v>
      </c>
      <c r="X111" s="24"/>
      <c r="Y111" s="117" t="str">
        <f>=IFERROR(ROUND(X111/FB_Kurs_4,2),0)</f>
      </c>
      <c r="Z111" s="116" t="str">
        <f>=ROUND(X111+S111,2)</f>
      </c>
      <c r="AA111" s="144" t="str">
        <f>=ROUND(Y111+T111,2)</f>
      </c>
      <c r="AD111" s="149" t="s">
        <v>323</v>
      </c>
      <c r="AE111" s="24"/>
      <c r="AF111" s="117" t="str">
        <f>=IFERROR(ROUND(AE111/FB_Kurs_5,2),0)</f>
      </c>
      <c r="AG111" s="116" t="str">
        <f>=ROUND(AE111+Z111,2)</f>
      </c>
      <c r="AH111" s="144" t="str">
        <f>=ROUND(AF111+AA111,2)</f>
      </c>
      <c r="AK111" s="149" t="s">
        <v>323</v>
      </c>
      <c r="AL111" s="24"/>
      <c r="AM111" s="117" t="str">
        <f>=IFERROR(ROUND(AL111/FB_Kurs_6,2),0)</f>
      </c>
      <c r="AN111" s="116" t="str">
        <f>=ROUND(AL111+AG111,2)</f>
      </c>
      <c r="AO111" s="144" t="str">
        <f>=ROUND(AM111+AH111,2)</f>
      </c>
      <c r="AR111" s="149" t="s">
        <v>323</v>
      </c>
      <c r="AS111" s="24"/>
      <c r="AT111" s="117" t="str">
        <f>=IFERROR(ROUND(AS111/FB_Kurs_7,2),0)</f>
      </c>
      <c r="AU111" s="116" t="str">
        <f>=ROUND(AS111+AN111,2)</f>
      </c>
      <c r="AV111" s="144" t="str">
        <f>=ROUND(AT111+AO111,2)</f>
      </c>
      <c r="AY111" s="149" t="s">
        <v>323</v>
      </c>
      <c r="AZ111" s="24"/>
      <c r="BA111" s="117" t="str">
        <f>=IFERROR(ROUND(AZ111/FB_Kurs_8,2),0)</f>
      </c>
      <c r="BB111" s="116" t="str">
        <f>=ROUND(AZ111+AU111,2)</f>
      </c>
      <c r="BC111" s="144" t="str">
        <f>=ROUND(BA111+AV111,2)</f>
      </c>
      <c r="BF111" s="149" t="s">
        <v>323</v>
      </c>
      <c r="BG111" s="24"/>
      <c r="BH111" s="117" t="str">
        <f>=IFERROR(ROUND(BG111/FB_Kurs_9,2),0)</f>
      </c>
      <c r="BI111" s="116" t="str">
        <f>=ROUND(BG111+BB111,2)</f>
      </c>
      <c r="BJ111" s="144" t="str">
        <f>=ROUND(BH111+BC111,2)</f>
      </c>
      <c r="BM111" s="149" t="s">
        <v>323</v>
      </c>
      <c r="BN111" s="24"/>
      <c r="BO111" s="117" t="str">
        <f>=IFERROR(ROUND(BN111/FB_Kurs_10,2),0)</f>
      </c>
      <c r="BP111" s="116" t="str">
        <f>=ROUND(BN111+BI111,2)</f>
      </c>
      <c r="BQ111" s="144" t="str">
        <f>=ROUND(BO111+BJ111,2)</f>
      </c>
      <c r="BT111" s="149" t="s">
        <v>323</v>
      </c>
      <c r="BU111" s="24"/>
      <c r="BV111" s="117" t="str">
        <f>=IFERROR(ROUND(BU111/FB_Kurs_11,2),0)</f>
      </c>
      <c r="BW111" s="116" t="str">
        <f>=ROUND(BU111+BP111,2)</f>
      </c>
      <c r="BX111" s="144" t="str">
        <f>=ROUND(BV111+BQ111,2)</f>
      </c>
      <c r="CA111" s="149" t="s">
        <v>323</v>
      </c>
      <c r="CB111" s="24"/>
      <c r="CC111" s="117" t="str">
        <f>=IFERROR(ROUND(CB111/FB_Kurs_12,2),0)</f>
      </c>
      <c r="CD111" s="116" t="str">
        <f>=ROUND(CB111+BW111,2)</f>
      </c>
      <c r="CE111" s="144" t="str">
        <f>=ROUND(CC111+BX111,2)</f>
      </c>
      <c r="CH111" s="149" t="s">
        <v>323</v>
      </c>
      <c r="CI111" s="24"/>
      <c r="CJ111" s="117" t="str">
        <f>=IFERROR(ROUND(CI111/FB_Kurs_13,2),0)</f>
      </c>
      <c r="CK111" s="116" t="str">
        <f>=ROUND(CI111+CD111,2)</f>
      </c>
      <c r="CL111" s="144" t="str">
        <f>=ROUND(CJ111+CE111,2)</f>
      </c>
      <c r="CO111" s="149" t="s">
        <v>323</v>
      </c>
      <c r="CP111" s="24"/>
      <c r="CQ111" s="117" t="str">
        <f>=IFERROR(ROUND(CP111/FB_Kurs_14,2),0)</f>
      </c>
      <c r="CR111" s="116" t="str">
        <f>=ROUND(CP111+CK111,2)</f>
      </c>
      <c r="CS111" s="144" t="str">
        <f>=ROUND(CQ111+CL111,2)</f>
      </c>
      <c r="CV111" s="149" t="s">
        <v>323</v>
      </c>
      <c r="CW111" s="24"/>
      <c r="CX111" s="117" t="str">
        <f>=IFERROR(ROUND(CW111/FB_Kurs_15,2),0)</f>
      </c>
      <c r="CY111" s="116" t="str">
        <f>=ROUND(CW111+CR111,2)</f>
      </c>
      <c r="CZ111" s="144" t="str">
        <f>=ROUND(CX111+CS111,2)</f>
      </c>
      <c r="DC111" s="149" t="s">
        <v>323</v>
      </c>
      <c r="DD111" s="24"/>
      <c r="DE111" s="117" t="str">
        <f>=IFERROR(ROUND(DD111/FB_Kurs_16,2),0)</f>
      </c>
      <c r="DF111" s="116" t="str">
        <f>=ROUND(DD111+CY111,2)</f>
      </c>
      <c r="DG111" s="144" t="str">
        <f>=ROUND(DE111+CZ111,2)</f>
      </c>
      <c r="DJ111" s="149" t="s">
        <v>323</v>
      </c>
      <c r="DK111" s="24"/>
      <c r="DL111" s="117" t="str">
        <f>=IFERROR(ROUND(DK111/FB_Kurs_17,2),0)</f>
      </c>
      <c r="DM111" s="116" t="str">
        <f>=ROUND(DK111+DF111,2)</f>
      </c>
      <c r="DN111" s="144" t="str">
        <f>=ROUND(DL111+DG111,2)</f>
      </c>
      <c r="DQ111" s="149" t="s">
        <v>323</v>
      </c>
      <c r="DR111" s="24"/>
      <c r="DS111" s="117" t="str">
        <f>=IFERROR(ROUND(DR111/FB_Kurs_18,2),0)</f>
      </c>
      <c r="DT111" s="116" t="str">
        <f>=ROUND(DR111+DM111,2)</f>
      </c>
      <c r="DU111" s="144" t="str">
        <f>=ROUND(DS111+DN111,2)</f>
      </c>
    </row>
    <row r="112">
      <c r="B112" s="149" t="s">
        <v>324</v>
      </c>
      <c r="C112" s="24"/>
      <c r="D112" s="117" t="str">
        <f>=IFERROR(ROUND(C112/FB_Kurs_1,2),0)</f>
      </c>
      <c r="E112" s="116" t="str">
        <f>=ROUND(C112,2)</f>
      </c>
      <c r="F112" s="144" t="str">
        <f>=ROUND(D112,2)</f>
      </c>
      <c r="I112" s="149" t="s">
        <v>324</v>
      </c>
      <c r="J112" s="24"/>
      <c r="K112" s="117" t="str">
        <f>=IFERROR(ROUND(J112/FB_Kurs_2,2),0)</f>
      </c>
      <c r="L112" s="116" t="str">
        <f>=ROUND(J112+E112,2)</f>
      </c>
      <c r="M112" s="144" t="str">
        <f>=ROUND(K112+F112,2)</f>
      </c>
      <c r="P112" s="149" t="s">
        <v>324</v>
      </c>
      <c r="Q112" s="24"/>
      <c r="R112" s="117" t="str">
        <f>=IFERROR(ROUND(Q112/FB_Kurs_3,2),0)</f>
      </c>
      <c r="S112" s="116" t="str">
        <f>=ROUND(Q112+L112,2)</f>
      </c>
      <c r="T112" s="144" t="str">
        <f>=ROUND(R112+M112,2)</f>
      </c>
      <c r="W112" s="149" t="s">
        <v>324</v>
      </c>
      <c r="X112" s="24"/>
      <c r="Y112" s="117" t="str">
        <f>=IFERROR(ROUND(X112/FB_Kurs_4,2),0)</f>
      </c>
      <c r="Z112" s="116" t="str">
        <f>=ROUND(X112+S112,2)</f>
      </c>
      <c r="AA112" s="144" t="str">
        <f>=ROUND(Y112+T112,2)</f>
      </c>
      <c r="AD112" s="149" t="s">
        <v>324</v>
      </c>
      <c r="AE112" s="24"/>
      <c r="AF112" s="117" t="str">
        <f>=IFERROR(ROUND(AE112/FB_Kurs_5,2),0)</f>
      </c>
      <c r="AG112" s="116" t="str">
        <f>=ROUND(AE112+Z112,2)</f>
      </c>
      <c r="AH112" s="144" t="str">
        <f>=ROUND(AF112+AA112,2)</f>
      </c>
      <c r="AK112" s="149" t="s">
        <v>324</v>
      </c>
      <c r="AL112" s="24"/>
      <c r="AM112" s="117" t="str">
        <f>=IFERROR(ROUND(AL112/FB_Kurs_6,2),0)</f>
      </c>
      <c r="AN112" s="116" t="str">
        <f>=ROUND(AL112+AG112,2)</f>
      </c>
      <c r="AO112" s="144" t="str">
        <f>=ROUND(AM112+AH112,2)</f>
      </c>
      <c r="AR112" s="149" t="s">
        <v>324</v>
      </c>
      <c r="AS112" s="24"/>
      <c r="AT112" s="117" t="str">
        <f>=IFERROR(ROUND(AS112/FB_Kurs_7,2),0)</f>
      </c>
      <c r="AU112" s="116" t="str">
        <f>=ROUND(AS112+AN112,2)</f>
      </c>
      <c r="AV112" s="144" t="str">
        <f>=ROUND(AT112+AO112,2)</f>
      </c>
      <c r="AY112" s="149" t="s">
        <v>324</v>
      </c>
      <c r="AZ112" s="24"/>
      <c r="BA112" s="117" t="str">
        <f>=IFERROR(ROUND(AZ112/FB_Kurs_8,2),0)</f>
      </c>
      <c r="BB112" s="116" t="str">
        <f>=ROUND(AZ112+AU112,2)</f>
      </c>
      <c r="BC112" s="144" t="str">
        <f>=ROUND(BA112+AV112,2)</f>
      </c>
      <c r="BF112" s="149" t="s">
        <v>324</v>
      </c>
      <c r="BG112" s="24"/>
      <c r="BH112" s="117" t="str">
        <f>=IFERROR(ROUND(BG112/FB_Kurs_9,2),0)</f>
      </c>
      <c r="BI112" s="116" t="str">
        <f>=ROUND(BG112+BB112,2)</f>
      </c>
      <c r="BJ112" s="144" t="str">
        <f>=ROUND(BH112+BC112,2)</f>
      </c>
      <c r="BM112" s="149" t="s">
        <v>324</v>
      </c>
      <c r="BN112" s="24"/>
      <c r="BO112" s="117" t="str">
        <f>=IFERROR(ROUND(BN112/FB_Kurs_10,2),0)</f>
      </c>
      <c r="BP112" s="116" t="str">
        <f>=ROUND(BN112+BI112,2)</f>
      </c>
      <c r="BQ112" s="144" t="str">
        <f>=ROUND(BO112+BJ112,2)</f>
      </c>
      <c r="BT112" s="149" t="s">
        <v>324</v>
      </c>
      <c r="BU112" s="24"/>
      <c r="BV112" s="117" t="str">
        <f>=IFERROR(ROUND(BU112/FB_Kurs_11,2),0)</f>
      </c>
      <c r="BW112" s="116" t="str">
        <f>=ROUND(BU112+BP112,2)</f>
      </c>
      <c r="BX112" s="144" t="str">
        <f>=ROUND(BV112+BQ112,2)</f>
      </c>
      <c r="CA112" s="149" t="s">
        <v>324</v>
      </c>
      <c r="CB112" s="24"/>
      <c r="CC112" s="117" t="str">
        <f>=IFERROR(ROUND(CB112/FB_Kurs_12,2),0)</f>
      </c>
      <c r="CD112" s="116" t="str">
        <f>=ROUND(CB112+BW112,2)</f>
      </c>
      <c r="CE112" s="144" t="str">
        <f>=ROUND(CC112+BX112,2)</f>
      </c>
      <c r="CH112" s="149" t="s">
        <v>324</v>
      </c>
      <c r="CI112" s="24"/>
      <c r="CJ112" s="117" t="str">
        <f>=IFERROR(ROUND(CI112/FB_Kurs_13,2),0)</f>
      </c>
      <c r="CK112" s="116" t="str">
        <f>=ROUND(CI112+CD112,2)</f>
      </c>
      <c r="CL112" s="144" t="str">
        <f>=ROUND(CJ112+CE112,2)</f>
      </c>
      <c r="CO112" s="149" t="s">
        <v>324</v>
      </c>
      <c r="CP112" s="24"/>
      <c r="CQ112" s="117" t="str">
        <f>=IFERROR(ROUND(CP112/FB_Kurs_14,2),0)</f>
      </c>
      <c r="CR112" s="116" t="str">
        <f>=ROUND(CP112+CK112,2)</f>
      </c>
      <c r="CS112" s="144" t="str">
        <f>=ROUND(CQ112+CL112,2)</f>
      </c>
      <c r="CV112" s="149" t="s">
        <v>324</v>
      </c>
      <c r="CW112" s="24"/>
      <c r="CX112" s="117" t="str">
        <f>=IFERROR(ROUND(CW112/FB_Kurs_15,2),0)</f>
      </c>
      <c r="CY112" s="116" t="str">
        <f>=ROUND(CW112+CR112,2)</f>
      </c>
      <c r="CZ112" s="144" t="str">
        <f>=ROUND(CX112+CS112,2)</f>
      </c>
      <c r="DC112" s="149" t="s">
        <v>324</v>
      </c>
      <c r="DD112" s="24"/>
      <c r="DE112" s="117" t="str">
        <f>=IFERROR(ROUND(DD112/FB_Kurs_16,2),0)</f>
      </c>
      <c r="DF112" s="116" t="str">
        <f>=ROUND(DD112+CY112,2)</f>
      </c>
      <c r="DG112" s="144" t="str">
        <f>=ROUND(DE112+CZ112,2)</f>
      </c>
      <c r="DJ112" s="149" t="s">
        <v>324</v>
      </c>
      <c r="DK112" s="24"/>
      <c r="DL112" s="117" t="str">
        <f>=IFERROR(ROUND(DK112/FB_Kurs_17,2),0)</f>
      </c>
      <c r="DM112" s="116" t="str">
        <f>=ROUND(DK112+DF112,2)</f>
      </c>
      <c r="DN112" s="144" t="str">
        <f>=ROUND(DL112+DG112,2)</f>
      </c>
      <c r="DQ112" s="149" t="s">
        <v>324</v>
      </c>
      <c r="DR112" s="24"/>
      <c r="DS112" s="117" t="str">
        <f>=IFERROR(ROUND(DR112/FB_Kurs_18,2),0)</f>
      </c>
      <c r="DT112" s="116" t="str">
        <f>=ROUND(DR112+DM112,2)</f>
      </c>
      <c r="DU112" s="144" t="str">
        <f>=ROUND(DS112+DN112,2)</f>
      </c>
    </row>
    <row r="113">
      <c r="B113" s="149" t="s">
        <v>325</v>
      </c>
      <c r="C113" s="24"/>
      <c r="D113" s="117" t="str">
        <f>=IFERROR(ROUND(C113/FB_Kurs_1,2),0)</f>
      </c>
      <c r="E113" s="116" t="str">
        <f>=ROUND(C113,2)</f>
      </c>
      <c r="F113" s="144" t="str">
        <f>=ROUND(D113,2)</f>
      </c>
      <c r="I113" s="149" t="s">
        <v>325</v>
      </c>
      <c r="J113" s="24"/>
      <c r="K113" s="117" t="str">
        <f>=IFERROR(ROUND(J113/FB_Kurs_2,2),0)</f>
      </c>
      <c r="L113" s="116" t="str">
        <f>=ROUND(J113+E113,2)</f>
      </c>
      <c r="M113" s="144" t="str">
        <f>=ROUND(K113+F113,2)</f>
      </c>
      <c r="P113" s="149" t="s">
        <v>325</v>
      </c>
      <c r="Q113" s="24"/>
      <c r="R113" s="117" t="str">
        <f>=IFERROR(ROUND(Q113/FB_Kurs_3,2),0)</f>
      </c>
      <c r="S113" s="116" t="str">
        <f>=ROUND(Q113+L113,2)</f>
      </c>
      <c r="T113" s="144" t="str">
        <f>=ROUND(R113+M113,2)</f>
      </c>
      <c r="W113" s="149" t="s">
        <v>325</v>
      </c>
      <c r="X113" s="24"/>
      <c r="Y113" s="117" t="str">
        <f>=IFERROR(ROUND(X113/FB_Kurs_4,2),0)</f>
      </c>
      <c r="Z113" s="116" t="str">
        <f>=ROUND(X113+S113,2)</f>
      </c>
      <c r="AA113" s="144" t="str">
        <f>=ROUND(Y113+T113,2)</f>
      </c>
      <c r="AD113" s="149" t="s">
        <v>325</v>
      </c>
      <c r="AE113" s="24"/>
      <c r="AF113" s="117" t="str">
        <f>=IFERROR(ROUND(AE113/FB_Kurs_5,2),0)</f>
      </c>
      <c r="AG113" s="116" t="str">
        <f>=ROUND(AE113+Z113,2)</f>
      </c>
      <c r="AH113" s="144" t="str">
        <f>=ROUND(AF113+AA113,2)</f>
      </c>
      <c r="AK113" s="149" t="s">
        <v>325</v>
      </c>
      <c r="AL113" s="24"/>
      <c r="AM113" s="117" t="str">
        <f>=IFERROR(ROUND(AL113/FB_Kurs_6,2),0)</f>
      </c>
      <c r="AN113" s="116" t="str">
        <f>=ROUND(AL113+AG113,2)</f>
      </c>
      <c r="AO113" s="144" t="str">
        <f>=ROUND(AM113+AH113,2)</f>
      </c>
      <c r="AR113" s="149" t="s">
        <v>325</v>
      </c>
      <c r="AS113" s="24"/>
      <c r="AT113" s="117" t="str">
        <f>=IFERROR(ROUND(AS113/FB_Kurs_7,2),0)</f>
      </c>
      <c r="AU113" s="116" t="str">
        <f>=ROUND(AS113+AN113,2)</f>
      </c>
      <c r="AV113" s="144" t="str">
        <f>=ROUND(AT113+AO113,2)</f>
      </c>
      <c r="AY113" s="149" t="s">
        <v>325</v>
      </c>
      <c r="AZ113" s="24"/>
      <c r="BA113" s="117" t="str">
        <f>=IFERROR(ROUND(AZ113/FB_Kurs_8,2),0)</f>
      </c>
      <c r="BB113" s="116" t="str">
        <f>=ROUND(AZ113+AU113,2)</f>
      </c>
      <c r="BC113" s="144" t="str">
        <f>=ROUND(BA113+AV113,2)</f>
      </c>
      <c r="BF113" s="149" t="s">
        <v>325</v>
      </c>
      <c r="BG113" s="24"/>
      <c r="BH113" s="117" t="str">
        <f>=IFERROR(ROUND(BG113/FB_Kurs_9,2),0)</f>
      </c>
      <c r="BI113" s="116" t="str">
        <f>=ROUND(BG113+BB113,2)</f>
      </c>
      <c r="BJ113" s="144" t="str">
        <f>=ROUND(BH113+BC113,2)</f>
      </c>
      <c r="BM113" s="149" t="s">
        <v>325</v>
      </c>
      <c r="BN113" s="24"/>
      <c r="BO113" s="117" t="str">
        <f>=IFERROR(ROUND(BN113/FB_Kurs_10,2),0)</f>
      </c>
      <c r="BP113" s="116" t="str">
        <f>=ROUND(BN113+BI113,2)</f>
      </c>
      <c r="BQ113" s="144" t="str">
        <f>=ROUND(BO113+BJ113,2)</f>
      </c>
      <c r="BT113" s="149" t="s">
        <v>325</v>
      </c>
      <c r="BU113" s="24"/>
      <c r="BV113" s="117" t="str">
        <f>=IFERROR(ROUND(BU113/FB_Kurs_11,2),0)</f>
      </c>
      <c r="BW113" s="116" t="str">
        <f>=ROUND(BU113+BP113,2)</f>
      </c>
      <c r="BX113" s="144" t="str">
        <f>=ROUND(BV113+BQ113,2)</f>
      </c>
      <c r="CA113" s="149" t="s">
        <v>325</v>
      </c>
      <c r="CB113" s="24"/>
      <c r="CC113" s="117" t="str">
        <f>=IFERROR(ROUND(CB113/FB_Kurs_12,2),0)</f>
      </c>
      <c r="CD113" s="116" t="str">
        <f>=ROUND(CB113+BW113,2)</f>
      </c>
      <c r="CE113" s="144" t="str">
        <f>=ROUND(CC113+BX113,2)</f>
      </c>
      <c r="CH113" s="149" t="s">
        <v>325</v>
      </c>
      <c r="CI113" s="24"/>
      <c r="CJ113" s="117" t="str">
        <f>=IFERROR(ROUND(CI113/FB_Kurs_13,2),0)</f>
      </c>
      <c r="CK113" s="116" t="str">
        <f>=ROUND(CI113+CD113,2)</f>
      </c>
      <c r="CL113" s="144" t="str">
        <f>=ROUND(CJ113+CE113,2)</f>
      </c>
      <c r="CO113" s="149" t="s">
        <v>325</v>
      </c>
      <c r="CP113" s="24"/>
      <c r="CQ113" s="117" t="str">
        <f>=IFERROR(ROUND(CP113/FB_Kurs_14,2),0)</f>
      </c>
      <c r="CR113" s="116" t="str">
        <f>=ROUND(CP113+CK113,2)</f>
      </c>
      <c r="CS113" s="144" t="str">
        <f>=ROUND(CQ113+CL113,2)</f>
      </c>
      <c r="CV113" s="149" t="s">
        <v>325</v>
      </c>
      <c r="CW113" s="24"/>
      <c r="CX113" s="117" t="str">
        <f>=IFERROR(ROUND(CW113/FB_Kurs_15,2),0)</f>
      </c>
      <c r="CY113" s="116" t="str">
        <f>=ROUND(CW113+CR113,2)</f>
      </c>
      <c r="CZ113" s="144" t="str">
        <f>=ROUND(CX113+CS113,2)</f>
      </c>
      <c r="DC113" s="149" t="s">
        <v>325</v>
      </c>
      <c r="DD113" s="24"/>
      <c r="DE113" s="117" t="str">
        <f>=IFERROR(ROUND(DD113/FB_Kurs_16,2),0)</f>
      </c>
      <c r="DF113" s="116" t="str">
        <f>=ROUND(DD113+CY113,2)</f>
      </c>
      <c r="DG113" s="144" t="str">
        <f>=ROUND(DE113+CZ113,2)</f>
      </c>
      <c r="DJ113" s="149" t="s">
        <v>325</v>
      </c>
      <c r="DK113" s="24"/>
      <c r="DL113" s="117" t="str">
        <f>=IFERROR(ROUND(DK113/FB_Kurs_17,2),0)</f>
      </c>
      <c r="DM113" s="116" t="str">
        <f>=ROUND(DK113+DF113,2)</f>
      </c>
      <c r="DN113" s="144" t="str">
        <f>=ROUND(DL113+DG113,2)</f>
      </c>
      <c r="DQ113" s="149" t="s">
        <v>325</v>
      </c>
      <c r="DR113" s="24"/>
      <c r="DS113" s="117" t="str">
        <f>=IFERROR(ROUND(DR113/FB_Kurs_18,2),0)</f>
      </c>
      <c r="DT113" s="116" t="str">
        <f>=ROUND(DR113+DM113,2)</f>
      </c>
      <c r="DU113" s="144" t="str">
        <f>=ROUND(DS113+DN113,2)</f>
      </c>
    </row>
    <row r="114">
      <c r="B114" s="149" t="s">
        <v>326</v>
      </c>
      <c r="C114" s="24"/>
      <c r="D114" s="117" t="str">
        <f>=IFERROR(ROUND(C114/FB_Kurs_1,2),0)</f>
      </c>
      <c r="E114" s="116" t="str">
        <f>=ROUND(C114,2)</f>
      </c>
      <c r="F114" s="144" t="str">
        <f>=ROUND(D114,2)</f>
      </c>
      <c r="I114" s="149" t="s">
        <v>326</v>
      </c>
      <c r="J114" s="24"/>
      <c r="K114" s="117" t="str">
        <f>=IFERROR(ROUND(J114/FB_Kurs_2,2),0)</f>
      </c>
      <c r="L114" s="116" t="str">
        <f>=ROUND(J114+E114,2)</f>
      </c>
      <c r="M114" s="144" t="str">
        <f>=ROUND(K114+F114,2)</f>
      </c>
      <c r="P114" s="149" t="s">
        <v>326</v>
      </c>
      <c r="Q114" s="24"/>
      <c r="R114" s="117" t="str">
        <f>=IFERROR(ROUND(Q114/FB_Kurs_3,2),0)</f>
      </c>
      <c r="S114" s="116" t="str">
        <f>=ROUND(Q114+L114,2)</f>
      </c>
      <c r="T114" s="144" t="str">
        <f>=ROUND(R114+M114,2)</f>
      </c>
      <c r="W114" s="149" t="s">
        <v>326</v>
      </c>
      <c r="X114" s="24"/>
      <c r="Y114" s="117" t="str">
        <f>=IFERROR(ROUND(X114/FB_Kurs_4,2),0)</f>
      </c>
      <c r="Z114" s="116" t="str">
        <f>=ROUND(X114+S114,2)</f>
      </c>
      <c r="AA114" s="144" t="str">
        <f>=ROUND(Y114+T114,2)</f>
      </c>
      <c r="AD114" s="149" t="s">
        <v>326</v>
      </c>
      <c r="AE114" s="24"/>
      <c r="AF114" s="117" t="str">
        <f>=IFERROR(ROUND(AE114/FB_Kurs_5,2),0)</f>
      </c>
      <c r="AG114" s="116" t="str">
        <f>=ROUND(AE114+Z114,2)</f>
      </c>
      <c r="AH114" s="144" t="str">
        <f>=ROUND(AF114+AA114,2)</f>
      </c>
      <c r="AK114" s="149" t="s">
        <v>326</v>
      </c>
      <c r="AL114" s="24"/>
      <c r="AM114" s="117" t="str">
        <f>=IFERROR(ROUND(AL114/FB_Kurs_6,2),0)</f>
      </c>
      <c r="AN114" s="116" t="str">
        <f>=ROUND(AL114+AG114,2)</f>
      </c>
      <c r="AO114" s="144" t="str">
        <f>=ROUND(AM114+AH114,2)</f>
      </c>
      <c r="AR114" s="149" t="s">
        <v>326</v>
      </c>
      <c r="AS114" s="24"/>
      <c r="AT114" s="117" t="str">
        <f>=IFERROR(ROUND(AS114/FB_Kurs_7,2),0)</f>
      </c>
      <c r="AU114" s="116" t="str">
        <f>=ROUND(AS114+AN114,2)</f>
      </c>
      <c r="AV114" s="144" t="str">
        <f>=ROUND(AT114+AO114,2)</f>
      </c>
      <c r="AY114" s="149" t="s">
        <v>326</v>
      </c>
      <c r="AZ114" s="24"/>
      <c r="BA114" s="117" t="str">
        <f>=IFERROR(ROUND(AZ114/FB_Kurs_8,2),0)</f>
      </c>
      <c r="BB114" s="116" t="str">
        <f>=ROUND(AZ114+AU114,2)</f>
      </c>
      <c r="BC114" s="144" t="str">
        <f>=ROUND(BA114+AV114,2)</f>
      </c>
      <c r="BF114" s="149" t="s">
        <v>326</v>
      </c>
      <c r="BG114" s="24"/>
      <c r="BH114" s="117" t="str">
        <f>=IFERROR(ROUND(BG114/FB_Kurs_9,2),0)</f>
      </c>
      <c r="BI114" s="116" t="str">
        <f>=ROUND(BG114+BB114,2)</f>
      </c>
      <c r="BJ114" s="144" t="str">
        <f>=ROUND(BH114+BC114,2)</f>
      </c>
      <c r="BM114" s="149" t="s">
        <v>326</v>
      </c>
      <c r="BN114" s="24"/>
      <c r="BO114" s="117" t="str">
        <f>=IFERROR(ROUND(BN114/FB_Kurs_10,2),0)</f>
      </c>
      <c r="BP114" s="116" t="str">
        <f>=ROUND(BN114+BI114,2)</f>
      </c>
      <c r="BQ114" s="144" t="str">
        <f>=ROUND(BO114+BJ114,2)</f>
      </c>
      <c r="BT114" s="149" t="s">
        <v>326</v>
      </c>
      <c r="BU114" s="24"/>
      <c r="BV114" s="117" t="str">
        <f>=IFERROR(ROUND(BU114/FB_Kurs_11,2),0)</f>
      </c>
      <c r="BW114" s="116" t="str">
        <f>=ROUND(BU114+BP114,2)</f>
      </c>
      <c r="BX114" s="144" t="str">
        <f>=ROUND(BV114+BQ114,2)</f>
      </c>
      <c r="CA114" s="149" t="s">
        <v>326</v>
      </c>
      <c r="CB114" s="24"/>
      <c r="CC114" s="117" t="str">
        <f>=IFERROR(ROUND(CB114/FB_Kurs_12,2),0)</f>
      </c>
      <c r="CD114" s="116" t="str">
        <f>=ROUND(CB114+BW114,2)</f>
      </c>
      <c r="CE114" s="144" t="str">
        <f>=ROUND(CC114+BX114,2)</f>
      </c>
      <c r="CH114" s="149" t="s">
        <v>326</v>
      </c>
      <c r="CI114" s="24"/>
      <c r="CJ114" s="117" t="str">
        <f>=IFERROR(ROUND(CI114/FB_Kurs_13,2),0)</f>
      </c>
      <c r="CK114" s="116" t="str">
        <f>=ROUND(CI114+CD114,2)</f>
      </c>
      <c r="CL114" s="144" t="str">
        <f>=ROUND(CJ114+CE114,2)</f>
      </c>
      <c r="CO114" s="149" t="s">
        <v>326</v>
      </c>
      <c r="CP114" s="24"/>
      <c r="CQ114" s="117" t="str">
        <f>=IFERROR(ROUND(CP114/FB_Kurs_14,2),0)</f>
      </c>
      <c r="CR114" s="116" t="str">
        <f>=ROUND(CP114+CK114,2)</f>
      </c>
      <c r="CS114" s="144" t="str">
        <f>=ROUND(CQ114+CL114,2)</f>
      </c>
      <c r="CV114" s="149" t="s">
        <v>326</v>
      </c>
      <c r="CW114" s="24"/>
      <c r="CX114" s="117" t="str">
        <f>=IFERROR(ROUND(CW114/FB_Kurs_15,2),0)</f>
      </c>
      <c r="CY114" s="116" t="str">
        <f>=ROUND(CW114+CR114,2)</f>
      </c>
      <c r="CZ114" s="144" t="str">
        <f>=ROUND(CX114+CS114,2)</f>
      </c>
      <c r="DC114" s="149" t="s">
        <v>326</v>
      </c>
      <c r="DD114" s="24"/>
      <c r="DE114" s="117" t="str">
        <f>=IFERROR(ROUND(DD114/FB_Kurs_16,2),0)</f>
      </c>
      <c r="DF114" s="116" t="str">
        <f>=ROUND(DD114+CY114,2)</f>
      </c>
      <c r="DG114" s="144" t="str">
        <f>=ROUND(DE114+CZ114,2)</f>
      </c>
      <c r="DJ114" s="149" t="s">
        <v>326</v>
      </c>
      <c r="DK114" s="24"/>
      <c r="DL114" s="117" t="str">
        <f>=IFERROR(ROUND(DK114/FB_Kurs_17,2),0)</f>
      </c>
      <c r="DM114" s="116" t="str">
        <f>=ROUND(DK114+DF114,2)</f>
      </c>
      <c r="DN114" s="144" t="str">
        <f>=ROUND(DL114+DG114,2)</f>
      </c>
      <c r="DQ114" s="149" t="s">
        <v>326</v>
      </c>
      <c r="DR114" s="24"/>
      <c r="DS114" s="117" t="str">
        <f>=IFERROR(ROUND(DR114/FB_Kurs_18,2),0)</f>
      </c>
      <c r="DT114" s="116" t="str">
        <f>=ROUND(DR114+DM114,2)</f>
      </c>
      <c r="DU114" s="144" t="str">
        <f>=ROUND(DS114+DN114,2)</f>
      </c>
    </row>
    <row r="115">
      <c r="B115" s="149" t="s">
        <v>327</v>
      </c>
      <c r="C115" s="24"/>
      <c r="D115" s="117" t="str">
        <f>=IFERROR(ROUND(C115/FB_Kurs_1,2),0)</f>
      </c>
      <c r="E115" s="116" t="str">
        <f>=ROUND(C115,2)</f>
      </c>
      <c r="F115" s="144" t="str">
        <f>=ROUND(D115,2)</f>
      </c>
      <c r="I115" s="149" t="s">
        <v>327</v>
      </c>
      <c r="J115" s="24"/>
      <c r="K115" s="117" t="str">
        <f>=IFERROR(ROUND(J115/FB_Kurs_2,2),0)</f>
      </c>
      <c r="L115" s="116" t="str">
        <f>=ROUND(J115+E115,2)</f>
      </c>
      <c r="M115" s="144" t="str">
        <f>=ROUND(K115+F115,2)</f>
      </c>
      <c r="P115" s="149" t="s">
        <v>327</v>
      </c>
      <c r="Q115" s="24"/>
      <c r="R115" s="117" t="str">
        <f>=IFERROR(ROUND(Q115/FB_Kurs_3,2),0)</f>
      </c>
      <c r="S115" s="116" t="str">
        <f>=ROUND(Q115+L115,2)</f>
      </c>
      <c r="T115" s="144" t="str">
        <f>=ROUND(R115+M115,2)</f>
      </c>
      <c r="W115" s="149" t="s">
        <v>327</v>
      </c>
      <c r="X115" s="24"/>
      <c r="Y115" s="117" t="str">
        <f>=IFERROR(ROUND(X115/FB_Kurs_4,2),0)</f>
      </c>
      <c r="Z115" s="116" t="str">
        <f>=ROUND(X115+S115,2)</f>
      </c>
      <c r="AA115" s="144" t="str">
        <f>=ROUND(Y115+T115,2)</f>
      </c>
      <c r="AD115" s="149" t="s">
        <v>327</v>
      </c>
      <c r="AE115" s="24"/>
      <c r="AF115" s="117" t="str">
        <f>=IFERROR(ROUND(AE115/FB_Kurs_5,2),0)</f>
      </c>
      <c r="AG115" s="116" t="str">
        <f>=ROUND(AE115+Z115,2)</f>
      </c>
      <c r="AH115" s="144" t="str">
        <f>=ROUND(AF115+AA115,2)</f>
      </c>
      <c r="AK115" s="149" t="s">
        <v>327</v>
      </c>
      <c r="AL115" s="24"/>
      <c r="AM115" s="117" t="str">
        <f>=IFERROR(ROUND(AL115/FB_Kurs_6,2),0)</f>
      </c>
      <c r="AN115" s="116" t="str">
        <f>=ROUND(AL115+AG115,2)</f>
      </c>
      <c r="AO115" s="144" t="str">
        <f>=ROUND(AM115+AH115,2)</f>
      </c>
      <c r="AR115" s="149" t="s">
        <v>327</v>
      </c>
      <c r="AS115" s="24"/>
      <c r="AT115" s="117" t="str">
        <f>=IFERROR(ROUND(AS115/FB_Kurs_7,2),0)</f>
      </c>
      <c r="AU115" s="116" t="str">
        <f>=ROUND(AS115+AN115,2)</f>
      </c>
      <c r="AV115" s="144" t="str">
        <f>=ROUND(AT115+AO115,2)</f>
      </c>
      <c r="AY115" s="149" t="s">
        <v>327</v>
      </c>
      <c r="AZ115" s="24"/>
      <c r="BA115" s="117" t="str">
        <f>=IFERROR(ROUND(AZ115/FB_Kurs_8,2),0)</f>
      </c>
      <c r="BB115" s="116" t="str">
        <f>=ROUND(AZ115+AU115,2)</f>
      </c>
      <c r="BC115" s="144" t="str">
        <f>=ROUND(BA115+AV115,2)</f>
      </c>
      <c r="BF115" s="149" t="s">
        <v>327</v>
      </c>
      <c r="BG115" s="24"/>
      <c r="BH115" s="117" t="str">
        <f>=IFERROR(ROUND(BG115/FB_Kurs_9,2),0)</f>
      </c>
      <c r="BI115" s="116" t="str">
        <f>=ROUND(BG115+BB115,2)</f>
      </c>
      <c r="BJ115" s="144" t="str">
        <f>=ROUND(BH115+BC115,2)</f>
      </c>
      <c r="BM115" s="149" t="s">
        <v>327</v>
      </c>
      <c r="BN115" s="24"/>
      <c r="BO115" s="117" t="str">
        <f>=IFERROR(ROUND(BN115/FB_Kurs_10,2),0)</f>
      </c>
      <c r="BP115" s="116" t="str">
        <f>=ROUND(BN115+BI115,2)</f>
      </c>
      <c r="BQ115" s="144" t="str">
        <f>=ROUND(BO115+BJ115,2)</f>
      </c>
      <c r="BT115" s="149" t="s">
        <v>327</v>
      </c>
      <c r="BU115" s="24"/>
      <c r="BV115" s="117" t="str">
        <f>=IFERROR(ROUND(BU115/FB_Kurs_11,2),0)</f>
      </c>
      <c r="BW115" s="116" t="str">
        <f>=ROUND(BU115+BP115,2)</f>
      </c>
      <c r="BX115" s="144" t="str">
        <f>=ROUND(BV115+BQ115,2)</f>
      </c>
      <c r="CA115" s="149" t="s">
        <v>327</v>
      </c>
      <c r="CB115" s="24"/>
      <c r="CC115" s="117" t="str">
        <f>=IFERROR(ROUND(CB115/FB_Kurs_12,2),0)</f>
      </c>
      <c r="CD115" s="116" t="str">
        <f>=ROUND(CB115+BW115,2)</f>
      </c>
      <c r="CE115" s="144" t="str">
        <f>=ROUND(CC115+BX115,2)</f>
      </c>
      <c r="CH115" s="149" t="s">
        <v>327</v>
      </c>
      <c r="CI115" s="24"/>
      <c r="CJ115" s="117" t="str">
        <f>=IFERROR(ROUND(CI115/FB_Kurs_13,2),0)</f>
      </c>
      <c r="CK115" s="116" t="str">
        <f>=ROUND(CI115+CD115,2)</f>
      </c>
      <c r="CL115" s="144" t="str">
        <f>=ROUND(CJ115+CE115,2)</f>
      </c>
      <c r="CO115" s="149" t="s">
        <v>327</v>
      </c>
      <c r="CP115" s="24"/>
      <c r="CQ115" s="117" t="str">
        <f>=IFERROR(ROUND(CP115/FB_Kurs_14,2),0)</f>
      </c>
      <c r="CR115" s="116" t="str">
        <f>=ROUND(CP115+CK115,2)</f>
      </c>
      <c r="CS115" s="144" t="str">
        <f>=ROUND(CQ115+CL115,2)</f>
      </c>
      <c r="CV115" s="149" t="s">
        <v>327</v>
      </c>
      <c r="CW115" s="24"/>
      <c r="CX115" s="117" t="str">
        <f>=IFERROR(ROUND(CW115/FB_Kurs_15,2),0)</f>
      </c>
      <c r="CY115" s="116" t="str">
        <f>=ROUND(CW115+CR115,2)</f>
      </c>
      <c r="CZ115" s="144" t="str">
        <f>=ROUND(CX115+CS115,2)</f>
      </c>
      <c r="DC115" s="149" t="s">
        <v>327</v>
      </c>
      <c r="DD115" s="24"/>
      <c r="DE115" s="117" t="str">
        <f>=IFERROR(ROUND(DD115/FB_Kurs_16,2),0)</f>
      </c>
      <c r="DF115" s="116" t="str">
        <f>=ROUND(DD115+CY115,2)</f>
      </c>
      <c r="DG115" s="144" t="str">
        <f>=ROUND(DE115+CZ115,2)</f>
      </c>
      <c r="DJ115" s="149" t="s">
        <v>327</v>
      </c>
      <c r="DK115" s="24"/>
      <c r="DL115" s="117" t="str">
        <f>=IFERROR(ROUND(DK115/FB_Kurs_17,2),0)</f>
      </c>
      <c r="DM115" s="116" t="str">
        <f>=ROUND(DK115+DF115,2)</f>
      </c>
      <c r="DN115" s="144" t="str">
        <f>=ROUND(DL115+DG115,2)</f>
      </c>
      <c r="DQ115" s="149" t="s">
        <v>327</v>
      </c>
      <c r="DR115" s="24"/>
      <c r="DS115" s="117" t="str">
        <f>=IFERROR(ROUND(DR115/FB_Kurs_18,2),0)</f>
      </c>
      <c r="DT115" s="116" t="str">
        <f>=ROUND(DR115+DM115,2)</f>
      </c>
      <c r="DU115" s="144" t="str">
        <f>=ROUND(DS115+DN115,2)</f>
      </c>
    </row>
    <row r="116">
      <c r="B116" s="149" t="s">
        <v>328</v>
      </c>
      <c r="C116" s="24"/>
      <c r="D116" s="117" t="str">
        <f>=IFERROR(ROUND(C116/FB_Kurs_1,2),0)</f>
      </c>
      <c r="E116" s="116" t="str">
        <f>=ROUND(C116,2)</f>
      </c>
      <c r="F116" s="144" t="str">
        <f>=ROUND(D116,2)</f>
      </c>
      <c r="I116" s="149" t="s">
        <v>328</v>
      </c>
      <c r="J116" s="24"/>
      <c r="K116" s="117" t="str">
        <f>=IFERROR(ROUND(J116/FB_Kurs_2,2),0)</f>
      </c>
      <c r="L116" s="116" t="str">
        <f>=ROUND(J116+E116,2)</f>
      </c>
      <c r="M116" s="144" t="str">
        <f>=ROUND(K116+F116,2)</f>
      </c>
      <c r="P116" s="149" t="s">
        <v>328</v>
      </c>
      <c r="Q116" s="24"/>
      <c r="R116" s="117" t="str">
        <f>=IFERROR(ROUND(Q116/FB_Kurs_3,2),0)</f>
      </c>
      <c r="S116" s="116" t="str">
        <f>=ROUND(Q116+L116,2)</f>
      </c>
      <c r="T116" s="144" t="str">
        <f>=ROUND(R116+M116,2)</f>
      </c>
      <c r="W116" s="149" t="s">
        <v>328</v>
      </c>
      <c r="X116" s="24"/>
      <c r="Y116" s="117" t="str">
        <f>=IFERROR(ROUND(X116/FB_Kurs_4,2),0)</f>
      </c>
      <c r="Z116" s="116" t="str">
        <f>=ROUND(X116+S116,2)</f>
      </c>
      <c r="AA116" s="144" t="str">
        <f>=ROUND(Y116+T116,2)</f>
      </c>
      <c r="AD116" s="149" t="s">
        <v>328</v>
      </c>
      <c r="AE116" s="24"/>
      <c r="AF116" s="117" t="str">
        <f>=IFERROR(ROUND(AE116/FB_Kurs_5,2),0)</f>
      </c>
      <c r="AG116" s="116" t="str">
        <f>=ROUND(AE116+Z116,2)</f>
      </c>
      <c r="AH116" s="144" t="str">
        <f>=ROUND(AF116+AA116,2)</f>
      </c>
      <c r="AK116" s="149" t="s">
        <v>328</v>
      </c>
      <c r="AL116" s="24"/>
      <c r="AM116" s="117" t="str">
        <f>=IFERROR(ROUND(AL116/FB_Kurs_6,2),0)</f>
      </c>
      <c r="AN116" s="116" t="str">
        <f>=ROUND(AL116+AG116,2)</f>
      </c>
      <c r="AO116" s="144" t="str">
        <f>=ROUND(AM116+AH116,2)</f>
      </c>
      <c r="AR116" s="149" t="s">
        <v>328</v>
      </c>
      <c r="AS116" s="24"/>
      <c r="AT116" s="117" t="str">
        <f>=IFERROR(ROUND(AS116/FB_Kurs_7,2),0)</f>
      </c>
      <c r="AU116" s="116" t="str">
        <f>=ROUND(AS116+AN116,2)</f>
      </c>
      <c r="AV116" s="144" t="str">
        <f>=ROUND(AT116+AO116,2)</f>
      </c>
      <c r="AY116" s="149" t="s">
        <v>328</v>
      </c>
      <c r="AZ116" s="24"/>
      <c r="BA116" s="117" t="str">
        <f>=IFERROR(ROUND(AZ116/FB_Kurs_8,2),0)</f>
      </c>
      <c r="BB116" s="116" t="str">
        <f>=ROUND(AZ116+AU116,2)</f>
      </c>
      <c r="BC116" s="144" t="str">
        <f>=ROUND(BA116+AV116,2)</f>
      </c>
      <c r="BF116" s="149" t="s">
        <v>328</v>
      </c>
      <c r="BG116" s="24"/>
      <c r="BH116" s="117" t="str">
        <f>=IFERROR(ROUND(BG116/FB_Kurs_9,2),0)</f>
      </c>
      <c r="BI116" s="116" t="str">
        <f>=ROUND(BG116+BB116,2)</f>
      </c>
      <c r="BJ116" s="144" t="str">
        <f>=ROUND(BH116+BC116,2)</f>
      </c>
      <c r="BM116" s="149" t="s">
        <v>328</v>
      </c>
      <c r="BN116" s="24"/>
      <c r="BO116" s="117" t="str">
        <f>=IFERROR(ROUND(BN116/FB_Kurs_10,2),0)</f>
      </c>
      <c r="BP116" s="116" t="str">
        <f>=ROUND(BN116+BI116,2)</f>
      </c>
      <c r="BQ116" s="144" t="str">
        <f>=ROUND(BO116+BJ116,2)</f>
      </c>
      <c r="BT116" s="149" t="s">
        <v>328</v>
      </c>
      <c r="BU116" s="24"/>
      <c r="BV116" s="117" t="str">
        <f>=IFERROR(ROUND(BU116/FB_Kurs_11,2),0)</f>
      </c>
      <c r="BW116" s="116" t="str">
        <f>=ROUND(BU116+BP116,2)</f>
      </c>
      <c r="BX116" s="144" t="str">
        <f>=ROUND(BV116+BQ116,2)</f>
      </c>
      <c r="CA116" s="149" t="s">
        <v>328</v>
      </c>
      <c r="CB116" s="24"/>
      <c r="CC116" s="117" t="str">
        <f>=IFERROR(ROUND(CB116/FB_Kurs_12,2),0)</f>
      </c>
      <c r="CD116" s="116" t="str">
        <f>=ROUND(CB116+BW116,2)</f>
      </c>
      <c r="CE116" s="144" t="str">
        <f>=ROUND(CC116+BX116,2)</f>
      </c>
      <c r="CH116" s="149" t="s">
        <v>328</v>
      </c>
      <c r="CI116" s="24"/>
      <c r="CJ116" s="117" t="str">
        <f>=IFERROR(ROUND(CI116/FB_Kurs_13,2),0)</f>
      </c>
      <c r="CK116" s="116" t="str">
        <f>=ROUND(CI116+CD116,2)</f>
      </c>
      <c r="CL116" s="144" t="str">
        <f>=ROUND(CJ116+CE116,2)</f>
      </c>
      <c r="CO116" s="149" t="s">
        <v>328</v>
      </c>
      <c r="CP116" s="24"/>
      <c r="CQ116" s="117" t="str">
        <f>=IFERROR(ROUND(CP116/FB_Kurs_14,2),0)</f>
      </c>
      <c r="CR116" s="116" t="str">
        <f>=ROUND(CP116+CK116,2)</f>
      </c>
      <c r="CS116" s="144" t="str">
        <f>=ROUND(CQ116+CL116,2)</f>
      </c>
      <c r="CV116" s="149" t="s">
        <v>328</v>
      </c>
      <c r="CW116" s="24"/>
      <c r="CX116" s="117" t="str">
        <f>=IFERROR(ROUND(CW116/FB_Kurs_15,2),0)</f>
      </c>
      <c r="CY116" s="116" t="str">
        <f>=ROUND(CW116+CR116,2)</f>
      </c>
      <c r="CZ116" s="144" t="str">
        <f>=ROUND(CX116+CS116,2)</f>
      </c>
      <c r="DC116" s="149" t="s">
        <v>328</v>
      </c>
      <c r="DD116" s="24"/>
      <c r="DE116" s="117" t="str">
        <f>=IFERROR(ROUND(DD116/FB_Kurs_16,2),0)</f>
      </c>
      <c r="DF116" s="116" t="str">
        <f>=ROUND(DD116+CY116,2)</f>
      </c>
      <c r="DG116" s="144" t="str">
        <f>=ROUND(DE116+CZ116,2)</f>
      </c>
      <c r="DJ116" s="149" t="s">
        <v>328</v>
      </c>
      <c r="DK116" s="24"/>
      <c r="DL116" s="117" t="str">
        <f>=IFERROR(ROUND(DK116/FB_Kurs_17,2),0)</f>
      </c>
      <c r="DM116" s="116" t="str">
        <f>=ROUND(DK116+DF116,2)</f>
      </c>
      <c r="DN116" s="144" t="str">
        <f>=ROUND(DL116+DG116,2)</f>
      </c>
      <c r="DQ116" s="149" t="s">
        <v>328</v>
      </c>
      <c r="DR116" s="24"/>
      <c r="DS116" s="117" t="str">
        <f>=IFERROR(ROUND(DR116/FB_Kurs_18,2),0)</f>
      </c>
      <c r="DT116" s="116" t="str">
        <f>=ROUND(DR116+DM116,2)</f>
      </c>
      <c r="DU116" s="144" t="str">
        <f>=ROUND(DS116+DN116,2)</f>
      </c>
    </row>
    <row r="117">
      <c r="B117" s="149" t="s">
        <v>329</v>
      </c>
      <c r="C117" s="24"/>
      <c r="D117" s="117" t="str">
        <f>=IFERROR(ROUND(C117/FB_Kurs_1,2),0)</f>
      </c>
      <c r="E117" s="116" t="str">
        <f>=ROUND(C117,2)</f>
      </c>
      <c r="F117" s="144" t="str">
        <f>=ROUND(D117,2)</f>
      </c>
      <c r="I117" s="149" t="s">
        <v>329</v>
      </c>
      <c r="J117" s="24"/>
      <c r="K117" s="117" t="str">
        <f>=IFERROR(ROUND(J117/FB_Kurs_2,2),0)</f>
      </c>
      <c r="L117" s="116" t="str">
        <f>=ROUND(J117+E117,2)</f>
      </c>
      <c r="M117" s="144" t="str">
        <f>=ROUND(K117+F117,2)</f>
      </c>
      <c r="P117" s="149" t="s">
        <v>329</v>
      </c>
      <c r="Q117" s="24"/>
      <c r="R117" s="117" t="str">
        <f>=IFERROR(ROUND(Q117/FB_Kurs_3,2),0)</f>
      </c>
      <c r="S117" s="116" t="str">
        <f>=ROUND(Q117+L117,2)</f>
      </c>
      <c r="T117" s="144" t="str">
        <f>=ROUND(R117+M117,2)</f>
      </c>
      <c r="W117" s="149" t="s">
        <v>329</v>
      </c>
      <c r="X117" s="24"/>
      <c r="Y117" s="117" t="str">
        <f>=IFERROR(ROUND(X117/FB_Kurs_4,2),0)</f>
      </c>
      <c r="Z117" s="116" t="str">
        <f>=ROUND(X117+S117,2)</f>
      </c>
      <c r="AA117" s="144" t="str">
        <f>=ROUND(Y117+T117,2)</f>
      </c>
      <c r="AD117" s="149" t="s">
        <v>329</v>
      </c>
      <c r="AE117" s="24"/>
      <c r="AF117" s="117" t="str">
        <f>=IFERROR(ROUND(AE117/FB_Kurs_5,2),0)</f>
      </c>
      <c r="AG117" s="116" t="str">
        <f>=ROUND(AE117+Z117,2)</f>
      </c>
      <c r="AH117" s="144" t="str">
        <f>=ROUND(AF117+AA117,2)</f>
      </c>
      <c r="AK117" s="149" t="s">
        <v>329</v>
      </c>
      <c r="AL117" s="24"/>
      <c r="AM117" s="117" t="str">
        <f>=IFERROR(ROUND(AL117/FB_Kurs_6,2),0)</f>
      </c>
      <c r="AN117" s="116" t="str">
        <f>=ROUND(AL117+AG117,2)</f>
      </c>
      <c r="AO117" s="144" t="str">
        <f>=ROUND(AM117+AH117,2)</f>
      </c>
      <c r="AR117" s="149" t="s">
        <v>329</v>
      </c>
      <c r="AS117" s="24"/>
      <c r="AT117" s="117" t="str">
        <f>=IFERROR(ROUND(AS117/FB_Kurs_7,2),0)</f>
      </c>
      <c r="AU117" s="116" t="str">
        <f>=ROUND(AS117+AN117,2)</f>
      </c>
      <c r="AV117" s="144" t="str">
        <f>=ROUND(AT117+AO117,2)</f>
      </c>
      <c r="AY117" s="149" t="s">
        <v>329</v>
      </c>
      <c r="AZ117" s="24"/>
      <c r="BA117" s="117" t="str">
        <f>=IFERROR(ROUND(AZ117/FB_Kurs_8,2),0)</f>
      </c>
      <c r="BB117" s="116" t="str">
        <f>=ROUND(AZ117+AU117,2)</f>
      </c>
      <c r="BC117" s="144" t="str">
        <f>=ROUND(BA117+AV117,2)</f>
      </c>
      <c r="BF117" s="149" t="s">
        <v>329</v>
      </c>
      <c r="BG117" s="24"/>
      <c r="BH117" s="117" t="str">
        <f>=IFERROR(ROUND(BG117/FB_Kurs_9,2),0)</f>
      </c>
      <c r="BI117" s="116" t="str">
        <f>=ROUND(BG117+BB117,2)</f>
      </c>
      <c r="BJ117" s="144" t="str">
        <f>=ROUND(BH117+BC117,2)</f>
      </c>
      <c r="BM117" s="149" t="s">
        <v>329</v>
      </c>
      <c r="BN117" s="24"/>
      <c r="BO117" s="117" t="str">
        <f>=IFERROR(ROUND(BN117/FB_Kurs_10,2),0)</f>
      </c>
      <c r="BP117" s="116" t="str">
        <f>=ROUND(BN117+BI117,2)</f>
      </c>
      <c r="BQ117" s="144" t="str">
        <f>=ROUND(BO117+BJ117,2)</f>
      </c>
      <c r="BT117" s="149" t="s">
        <v>329</v>
      </c>
      <c r="BU117" s="24"/>
      <c r="BV117" s="117" t="str">
        <f>=IFERROR(ROUND(BU117/FB_Kurs_11,2),0)</f>
      </c>
      <c r="BW117" s="116" t="str">
        <f>=ROUND(BU117+BP117,2)</f>
      </c>
      <c r="BX117" s="144" t="str">
        <f>=ROUND(BV117+BQ117,2)</f>
      </c>
      <c r="CA117" s="149" t="s">
        <v>329</v>
      </c>
      <c r="CB117" s="24"/>
      <c r="CC117" s="117" t="str">
        <f>=IFERROR(ROUND(CB117/FB_Kurs_12,2),0)</f>
      </c>
      <c r="CD117" s="116" t="str">
        <f>=ROUND(CB117+BW117,2)</f>
      </c>
      <c r="CE117" s="144" t="str">
        <f>=ROUND(CC117+BX117,2)</f>
      </c>
      <c r="CH117" s="149" t="s">
        <v>329</v>
      </c>
      <c r="CI117" s="24"/>
      <c r="CJ117" s="117" t="str">
        <f>=IFERROR(ROUND(CI117/FB_Kurs_13,2),0)</f>
      </c>
      <c r="CK117" s="116" t="str">
        <f>=ROUND(CI117+CD117,2)</f>
      </c>
      <c r="CL117" s="144" t="str">
        <f>=ROUND(CJ117+CE117,2)</f>
      </c>
      <c r="CO117" s="149" t="s">
        <v>329</v>
      </c>
      <c r="CP117" s="24"/>
      <c r="CQ117" s="117" t="str">
        <f>=IFERROR(ROUND(CP117/FB_Kurs_14,2),0)</f>
      </c>
      <c r="CR117" s="116" t="str">
        <f>=ROUND(CP117+CK117,2)</f>
      </c>
      <c r="CS117" s="144" t="str">
        <f>=ROUND(CQ117+CL117,2)</f>
      </c>
      <c r="CV117" s="149" t="s">
        <v>329</v>
      </c>
      <c r="CW117" s="24"/>
      <c r="CX117" s="117" t="str">
        <f>=IFERROR(ROUND(CW117/FB_Kurs_15,2),0)</f>
      </c>
      <c r="CY117" s="116" t="str">
        <f>=ROUND(CW117+CR117,2)</f>
      </c>
      <c r="CZ117" s="144" t="str">
        <f>=ROUND(CX117+CS117,2)</f>
      </c>
      <c r="DC117" s="149" t="s">
        <v>329</v>
      </c>
      <c r="DD117" s="24"/>
      <c r="DE117" s="117" t="str">
        <f>=IFERROR(ROUND(DD117/FB_Kurs_16,2),0)</f>
      </c>
      <c r="DF117" s="116" t="str">
        <f>=ROUND(DD117+CY117,2)</f>
      </c>
      <c r="DG117" s="144" t="str">
        <f>=ROUND(DE117+CZ117,2)</f>
      </c>
      <c r="DJ117" s="149" t="s">
        <v>329</v>
      </c>
      <c r="DK117" s="24"/>
      <c r="DL117" s="117" t="str">
        <f>=IFERROR(ROUND(DK117/FB_Kurs_17,2),0)</f>
      </c>
      <c r="DM117" s="116" t="str">
        <f>=ROUND(DK117+DF117,2)</f>
      </c>
      <c r="DN117" s="144" t="str">
        <f>=ROUND(DL117+DG117,2)</f>
      </c>
      <c r="DQ117" s="149" t="s">
        <v>329</v>
      </c>
      <c r="DR117" s="24"/>
      <c r="DS117" s="117" t="str">
        <f>=IFERROR(ROUND(DR117/FB_Kurs_18,2),0)</f>
      </c>
      <c r="DT117" s="116" t="str">
        <f>=ROUND(DR117+DM117,2)</f>
      </c>
      <c r="DU117" s="144" t="str">
        <f>=ROUND(DS117+DN117,2)</f>
      </c>
    </row>
    <row r="118">
      <c r="B118" s="149" t="s">
        <v>330</v>
      </c>
      <c r="C118" s="24"/>
      <c r="D118" s="117" t="str">
        <f>=IFERROR(ROUND(C118/FB_Kurs_1,2),0)</f>
      </c>
      <c r="E118" s="116" t="str">
        <f>=ROUND(C118,2)</f>
      </c>
      <c r="F118" s="144" t="str">
        <f>=ROUND(D118,2)</f>
      </c>
      <c r="I118" s="149" t="s">
        <v>330</v>
      </c>
      <c r="J118" s="24"/>
      <c r="K118" s="117" t="str">
        <f>=IFERROR(ROUND(J118/FB_Kurs_2,2),0)</f>
      </c>
      <c r="L118" s="116" t="str">
        <f>=ROUND(J118+E118,2)</f>
      </c>
      <c r="M118" s="144" t="str">
        <f>=ROUND(K118+F118,2)</f>
      </c>
      <c r="P118" s="149" t="s">
        <v>330</v>
      </c>
      <c r="Q118" s="24"/>
      <c r="R118" s="117" t="str">
        <f>=IFERROR(ROUND(Q118/FB_Kurs_3,2),0)</f>
      </c>
      <c r="S118" s="116" t="str">
        <f>=ROUND(Q118+L118,2)</f>
      </c>
      <c r="T118" s="144" t="str">
        <f>=ROUND(R118+M118,2)</f>
      </c>
      <c r="W118" s="149" t="s">
        <v>330</v>
      </c>
      <c r="X118" s="24"/>
      <c r="Y118" s="117" t="str">
        <f>=IFERROR(ROUND(X118/FB_Kurs_4,2),0)</f>
      </c>
      <c r="Z118" s="116" t="str">
        <f>=ROUND(X118+S118,2)</f>
      </c>
      <c r="AA118" s="144" t="str">
        <f>=ROUND(Y118+T118,2)</f>
      </c>
      <c r="AD118" s="149" t="s">
        <v>330</v>
      </c>
      <c r="AE118" s="24"/>
      <c r="AF118" s="117" t="str">
        <f>=IFERROR(ROUND(AE118/FB_Kurs_5,2),0)</f>
      </c>
      <c r="AG118" s="116" t="str">
        <f>=ROUND(AE118+Z118,2)</f>
      </c>
      <c r="AH118" s="144" t="str">
        <f>=ROUND(AF118+AA118,2)</f>
      </c>
      <c r="AK118" s="149" t="s">
        <v>330</v>
      </c>
      <c r="AL118" s="24"/>
      <c r="AM118" s="117" t="str">
        <f>=IFERROR(ROUND(AL118/FB_Kurs_6,2),0)</f>
      </c>
      <c r="AN118" s="116" t="str">
        <f>=ROUND(AL118+AG118,2)</f>
      </c>
      <c r="AO118" s="144" t="str">
        <f>=ROUND(AM118+AH118,2)</f>
      </c>
      <c r="AR118" s="149" t="s">
        <v>330</v>
      </c>
      <c r="AS118" s="24"/>
      <c r="AT118" s="117" t="str">
        <f>=IFERROR(ROUND(AS118/FB_Kurs_7,2),0)</f>
      </c>
      <c r="AU118" s="116" t="str">
        <f>=ROUND(AS118+AN118,2)</f>
      </c>
      <c r="AV118" s="144" t="str">
        <f>=ROUND(AT118+AO118,2)</f>
      </c>
      <c r="AY118" s="149" t="s">
        <v>330</v>
      </c>
      <c r="AZ118" s="24"/>
      <c r="BA118" s="117" t="str">
        <f>=IFERROR(ROUND(AZ118/FB_Kurs_8,2),0)</f>
      </c>
      <c r="BB118" s="116" t="str">
        <f>=ROUND(AZ118+AU118,2)</f>
      </c>
      <c r="BC118" s="144" t="str">
        <f>=ROUND(BA118+AV118,2)</f>
      </c>
      <c r="BF118" s="149" t="s">
        <v>330</v>
      </c>
      <c r="BG118" s="24"/>
      <c r="BH118" s="117" t="str">
        <f>=IFERROR(ROUND(BG118/FB_Kurs_9,2),0)</f>
      </c>
      <c r="BI118" s="116" t="str">
        <f>=ROUND(BG118+BB118,2)</f>
      </c>
      <c r="BJ118" s="144" t="str">
        <f>=ROUND(BH118+BC118,2)</f>
      </c>
      <c r="BM118" s="149" t="s">
        <v>330</v>
      </c>
      <c r="BN118" s="24"/>
      <c r="BO118" s="117" t="str">
        <f>=IFERROR(ROUND(BN118/FB_Kurs_10,2),0)</f>
      </c>
      <c r="BP118" s="116" t="str">
        <f>=ROUND(BN118+BI118,2)</f>
      </c>
      <c r="BQ118" s="144" t="str">
        <f>=ROUND(BO118+BJ118,2)</f>
      </c>
      <c r="BT118" s="149" t="s">
        <v>330</v>
      </c>
      <c r="BU118" s="24"/>
      <c r="BV118" s="117" t="str">
        <f>=IFERROR(ROUND(BU118/FB_Kurs_11,2),0)</f>
      </c>
      <c r="BW118" s="116" t="str">
        <f>=ROUND(BU118+BP118,2)</f>
      </c>
      <c r="BX118" s="144" t="str">
        <f>=ROUND(BV118+BQ118,2)</f>
      </c>
      <c r="CA118" s="149" t="s">
        <v>330</v>
      </c>
      <c r="CB118" s="24"/>
      <c r="CC118" s="117" t="str">
        <f>=IFERROR(ROUND(CB118/FB_Kurs_12,2),0)</f>
      </c>
      <c r="CD118" s="116" t="str">
        <f>=ROUND(CB118+BW118,2)</f>
      </c>
      <c r="CE118" s="144" t="str">
        <f>=ROUND(CC118+BX118,2)</f>
      </c>
      <c r="CH118" s="149" t="s">
        <v>330</v>
      </c>
      <c r="CI118" s="24"/>
      <c r="CJ118" s="117" t="str">
        <f>=IFERROR(ROUND(CI118/FB_Kurs_13,2),0)</f>
      </c>
      <c r="CK118" s="116" t="str">
        <f>=ROUND(CI118+CD118,2)</f>
      </c>
      <c r="CL118" s="144" t="str">
        <f>=ROUND(CJ118+CE118,2)</f>
      </c>
      <c r="CO118" s="149" t="s">
        <v>330</v>
      </c>
      <c r="CP118" s="24"/>
      <c r="CQ118" s="117" t="str">
        <f>=IFERROR(ROUND(CP118/FB_Kurs_14,2),0)</f>
      </c>
      <c r="CR118" s="116" t="str">
        <f>=ROUND(CP118+CK118,2)</f>
      </c>
      <c r="CS118" s="144" t="str">
        <f>=ROUND(CQ118+CL118,2)</f>
      </c>
      <c r="CV118" s="149" t="s">
        <v>330</v>
      </c>
      <c r="CW118" s="24"/>
      <c r="CX118" s="117" t="str">
        <f>=IFERROR(ROUND(CW118/FB_Kurs_15,2),0)</f>
      </c>
      <c r="CY118" s="116" t="str">
        <f>=ROUND(CW118+CR118,2)</f>
      </c>
      <c r="CZ118" s="144" t="str">
        <f>=ROUND(CX118+CS118,2)</f>
      </c>
      <c r="DC118" s="149" t="s">
        <v>330</v>
      </c>
      <c r="DD118" s="24"/>
      <c r="DE118" s="117" t="str">
        <f>=IFERROR(ROUND(DD118/FB_Kurs_16,2),0)</f>
      </c>
      <c r="DF118" s="116" t="str">
        <f>=ROUND(DD118+CY118,2)</f>
      </c>
      <c r="DG118" s="144" t="str">
        <f>=ROUND(DE118+CZ118,2)</f>
      </c>
      <c r="DJ118" s="149" t="s">
        <v>330</v>
      </c>
      <c r="DK118" s="24"/>
      <c r="DL118" s="117" t="str">
        <f>=IFERROR(ROUND(DK118/FB_Kurs_17,2),0)</f>
      </c>
      <c r="DM118" s="116" t="str">
        <f>=ROUND(DK118+DF118,2)</f>
      </c>
      <c r="DN118" s="144" t="str">
        <f>=ROUND(DL118+DG118,2)</f>
      </c>
      <c r="DQ118" s="149" t="s">
        <v>330</v>
      </c>
      <c r="DR118" s="24"/>
      <c r="DS118" s="117" t="str">
        <f>=IFERROR(ROUND(DR118/FB_Kurs_18,2),0)</f>
      </c>
      <c r="DT118" s="116" t="str">
        <f>=ROUND(DR118+DM118,2)</f>
      </c>
      <c r="DU118" s="144" t="str">
        <f>=ROUND(DS118+DN118,2)</f>
      </c>
    </row>
    <row r="119">
      <c r="B119" s="149" t="s">
        <v>332</v>
      </c>
      <c r="C119" s="24"/>
      <c r="D119" s="117" t="str">
        <f>=IFERROR(ROUND(C119/FB_Kurs_1,2),0)</f>
      </c>
      <c r="E119" s="116" t="str">
        <f>=ROUND(C119,2)</f>
      </c>
      <c r="F119" s="144" t="str">
        <f>=ROUND(D119,2)</f>
      </c>
      <c r="I119" s="149" t="s">
        <v>332</v>
      </c>
      <c r="J119" s="24"/>
      <c r="K119" s="117" t="str">
        <f>=IFERROR(ROUND(J119/FB_Kurs_2,2),0)</f>
      </c>
      <c r="L119" s="116" t="str">
        <f>=ROUND(J119+E119,2)</f>
      </c>
      <c r="M119" s="144" t="str">
        <f>=ROUND(K119+F119,2)</f>
      </c>
      <c r="P119" s="149" t="s">
        <v>332</v>
      </c>
      <c r="Q119" s="24"/>
      <c r="R119" s="117" t="str">
        <f>=IFERROR(ROUND(Q119/FB_Kurs_3,2),0)</f>
      </c>
      <c r="S119" s="116" t="str">
        <f>=ROUND(Q119+L119,2)</f>
      </c>
      <c r="T119" s="144" t="str">
        <f>=ROUND(R119+M119,2)</f>
      </c>
      <c r="W119" s="149" t="s">
        <v>332</v>
      </c>
      <c r="X119" s="24"/>
      <c r="Y119" s="117" t="str">
        <f>=IFERROR(ROUND(X119/FB_Kurs_4,2),0)</f>
      </c>
      <c r="Z119" s="116" t="str">
        <f>=ROUND(X119+S119,2)</f>
      </c>
      <c r="AA119" s="144" t="str">
        <f>=ROUND(Y119+T119,2)</f>
      </c>
      <c r="AD119" s="149" t="s">
        <v>332</v>
      </c>
      <c r="AE119" s="24"/>
      <c r="AF119" s="117" t="str">
        <f>=IFERROR(ROUND(AE119/FB_Kurs_5,2),0)</f>
      </c>
      <c r="AG119" s="116" t="str">
        <f>=ROUND(AE119+Z119,2)</f>
      </c>
      <c r="AH119" s="144" t="str">
        <f>=ROUND(AF119+AA119,2)</f>
      </c>
      <c r="AK119" s="149" t="s">
        <v>332</v>
      </c>
      <c r="AL119" s="24"/>
      <c r="AM119" s="117" t="str">
        <f>=IFERROR(ROUND(AL119/FB_Kurs_6,2),0)</f>
      </c>
      <c r="AN119" s="116" t="str">
        <f>=ROUND(AL119+AG119,2)</f>
      </c>
      <c r="AO119" s="144" t="str">
        <f>=ROUND(AM119+AH119,2)</f>
      </c>
      <c r="AR119" s="149" t="s">
        <v>332</v>
      </c>
      <c r="AS119" s="24"/>
      <c r="AT119" s="117" t="str">
        <f>=IFERROR(ROUND(AS119/FB_Kurs_7,2),0)</f>
      </c>
      <c r="AU119" s="116" t="str">
        <f>=ROUND(AS119+AN119,2)</f>
      </c>
      <c r="AV119" s="144" t="str">
        <f>=ROUND(AT119+AO119,2)</f>
      </c>
      <c r="AY119" s="149" t="s">
        <v>332</v>
      </c>
      <c r="AZ119" s="24"/>
      <c r="BA119" s="117" t="str">
        <f>=IFERROR(ROUND(AZ119/FB_Kurs_8,2),0)</f>
      </c>
      <c r="BB119" s="116" t="str">
        <f>=ROUND(AZ119+AU119,2)</f>
      </c>
      <c r="BC119" s="144" t="str">
        <f>=ROUND(BA119+AV119,2)</f>
      </c>
      <c r="BF119" s="149" t="s">
        <v>332</v>
      </c>
      <c r="BG119" s="24"/>
      <c r="BH119" s="117" t="str">
        <f>=IFERROR(ROUND(BG119/FB_Kurs_9,2),0)</f>
      </c>
      <c r="BI119" s="116" t="str">
        <f>=ROUND(BG119+BB119,2)</f>
      </c>
      <c r="BJ119" s="144" t="str">
        <f>=ROUND(BH119+BC119,2)</f>
      </c>
      <c r="BM119" s="149" t="s">
        <v>332</v>
      </c>
      <c r="BN119" s="24"/>
      <c r="BO119" s="117" t="str">
        <f>=IFERROR(ROUND(BN119/FB_Kurs_10,2),0)</f>
      </c>
      <c r="BP119" s="116" t="str">
        <f>=ROUND(BN119+BI119,2)</f>
      </c>
      <c r="BQ119" s="144" t="str">
        <f>=ROUND(BO119+BJ119,2)</f>
      </c>
      <c r="BT119" s="149" t="s">
        <v>332</v>
      </c>
      <c r="BU119" s="24"/>
      <c r="BV119" s="117" t="str">
        <f>=IFERROR(ROUND(BU119/FB_Kurs_11,2),0)</f>
      </c>
      <c r="BW119" s="116" t="str">
        <f>=ROUND(BU119+BP119,2)</f>
      </c>
      <c r="BX119" s="144" t="str">
        <f>=ROUND(BV119+BQ119,2)</f>
      </c>
      <c r="CA119" s="149" t="s">
        <v>332</v>
      </c>
      <c r="CB119" s="24"/>
      <c r="CC119" s="117" t="str">
        <f>=IFERROR(ROUND(CB119/FB_Kurs_12,2),0)</f>
      </c>
      <c r="CD119" s="116" t="str">
        <f>=ROUND(CB119+BW119,2)</f>
      </c>
      <c r="CE119" s="144" t="str">
        <f>=ROUND(CC119+BX119,2)</f>
      </c>
      <c r="CH119" s="149" t="s">
        <v>332</v>
      </c>
      <c r="CI119" s="24"/>
      <c r="CJ119" s="117" t="str">
        <f>=IFERROR(ROUND(CI119/FB_Kurs_13,2),0)</f>
      </c>
      <c r="CK119" s="116" t="str">
        <f>=ROUND(CI119+CD119,2)</f>
      </c>
      <c r="CL119" s="144" t="str">
        <f>=ROUND(CJ119+CE119,2)</f>
      </c>
      <c r="CO119" s="149" t="s">
        <v>332</v>
      </c>
      <c r="CP119" s="24"/>
      <c r="CQ119" s="117" t="str">
        <f>=IFERROR(ROUND(CP119/FB_Kurs_14,2),0)</f>
      </c>
      <c r="CR119" s="116" t="str">
        <f>=ROUND(CP119+CK119,2)</f>
      </c>
      <c r="CS119" s="144" t="str">
        <f>=ROUND(CQ119+CL119,2)</f>
      </c>
      <c r="CV119" s="149" t="s">
        <v>332</v>
      </c>
      <c r="CW119" s="24"/>
      <c r="CX119" s="117" t="str">
        <f>=IFERROR(ROUND(CW119/FB_Kurs_15,2),0)</f>
      </c>
      <c r="CY119" s="116" t="str">
        <f>=ROUND(CW119+CR119,2)</f>
      </c>
      <c r="CZ119" s="144" t="str">
        <f>=ROUND(CX119+CS119,2)</f>
      </c>
      <c r="DC119" s="149" t="s">
        <v>332</v>
      </c>
      <c r="DD119" s="24"/>
      <c r="DE119" s="117" t="str">
        <f>=IFERROR(ROUND(DD119/FB_Kurs_16,2),0)</f>
      </c>
      <c r="DF119" s="116" t="str">
        <f>=ROUND(DD119+CY119,2)</f>
      </c>
      <c r="DG119" s="144" t="str">
        <f>=ROUND(DE119+CZ119,2)</f>
      </c>
      <c r="DJ119" s="149" t="s">
        <v>332</v>
      </c>
      <c r="DK119" s="24"/>
      <c r="DL119" s="117" t="str">
        <f>=IFERROR(ROUND(DK119/FB_Kurs_17,2),0)</f>
      </c>
      <c r="DM119" s="116" t="str">
        <f>=ROUND(DK119+DF119,2)</f>
      </c>
      <c r="DN119" s="144" t="str">
        <f>=ROUND(DL119+DG119,2)</f>
      </c>
      <c r="DQ119" s="149" t="s">
        <v>332</v>
      </c>
      <c r="DR119" s="24"/>
      <c r="DS119" s="117" t="str">
        <f>=IFERROR(ROUND(DR119/FB_Kurs_18,2),0)</f>
      </c>
      <c r="DT119" s="116" t="str">
        <f>=ROUND(DR119+DM119,2)</f>
      </c>
      <c r="DU119" s="144" t="str">
        <f>=ROUND(DS119+DN119,2)</f>
      </c>
    </row>
    <row r="120">
      <c r="B120" s="149" t="s">
        <v>333</v>
      </c>
      <c r="C120" s="24"/>
      <c r="D120" s="117" t="str">
        <f>=IFERROR(ROUND(C120/FB_Kurs_1,2),0)</f>
      </c>
      <c r="E120" s="116" t="str">
        <f>=ROUND(C120,2)</f>
      </c>
      <c r="F120" s="144" t="str">
        <f>=ROUND(D120,2)</f>
      </c>
      <c r="I120" s="149" t="s">
        <v>333</v>
      </c>
      <c r="J120" s="24"/>
      <c r="K120" s="117" t="str">
        <f>=IFERROR(ROUND(J120/FB_Kurs_2,2),0)</f>
      </c>
      <c r="L120" s="116" t="str">
        <f>=ROUND(J120+E120,2)</f>
      </c>
      <c r="M120" s="144" t="str">
        <f>=ROUND(K120+F120,2)</f>
      </c>
      <c r="P120" s="149" t="s">
        <v>333</v>
      </c>
      <c r="Q120" s="24"/>
      <c r="R120" s="117" t="str">
        <f>=IFERROR(ROUND(Q120/FB_Kurs_3,2),0)</f>
      </c>
      <c r="S120" s="116" t="str">
        <f>=ROUND(Q120+L120,2)</f>
      </c>
      <c r="T120" s="144" t="str">
        <f>=ROUND(R120+M120,2)</f>
      </c>
      <c r="W120" s="149" t="s">
        <v>333</v>
      </c>
      <c r="X120" s="24"/>
      <c r="Y120" s="117" t="str">
        <f>=IFERROR(ROUND(X120/FB_Kurs_4,2),0)</f>
      </c>
      <c r="Z120" s="116" t="str">
        <f>=ROUND(X120+S120,2)</f>
      </c>
      <c r="AA120" s="144" t="str">
        <f>=ROUND(Y120+T120,2)</f>
      </c>
      <c r="AD120" s="149" t="s">
        <v>333</v>
      </c>
      <c r="AE120" s="24"/>
      <c r="AF120" s="117" t="str">
        <f>=IFERROR(ROUND(AE120/FB_Kurs_5,2),0)</f>
      </c>
      <c r="AG120" s="116" t="str">
        <f>=ROUND(AE120+Z120,2)</f>
      </c>
      <c r="AH120" s="144" t="str">
        <f>=ROUND(AF120+AA120,2)</f>
      </c>
      <c r="AK120" s="149" t="s">
        <v>333</v>
      </c>
      <c r="AL120" s="24"/>
      <c r="AM120" s="117" t="str">
        <f>=IFERROR(ROUND(AL120/FB_Kurs_6,2),0)</f>
      </c>
      <c r="AN120" s="116" t="str">
        <f>=ROUND(AL120+AG120,2)</f>
      </c>
      <c r="AO120" s="144" t="str">
        <f>=ROUND(AM120+AH120,2)</f>
      </c>
      <c r="AR120" s="149" t="s">
        <v>333</v>
      </c>
      <c r="AS120" s="24"/>
      <c r="AT120" s="117" t="str">
        <f>=IFERROR(ROUND(AS120/FB_Kurs_7,2),0)</f>
      </c>
      <c r="AU120" s="116" t="str">
        <f>=ROUND(AS120+AN120,2)</f>
      </c>
      <c r="AV120" s="144" t="str">
        <f>=ROUND(AT120+AO120,2)</f>
      </c>
      <c r="AY120" s="149" t="s">
        <v>333</v>
      </c>
      <c r="AZ120" s="24"/>
      <c r="BA120" s="117" t="str">
        <f>=IFERROR(ROUND(AZ120/FB_Kurs_8,2),0)</f>
      </c>
      <c r="BB120" s="116" t="str">
        <f>=ROUND(AZ120+AU120,2)</f>
      </c>
      <c r="BC120" s="144" t="str">
        <f>=ROUND(BA120+AV120,2)</f>
      </c>
      <c r="BF120" s="149" t="s">
        <v>333</v>
      </c>
      <c r="BG120" s="24"/>
      <c r="BH120" s="117" t="str">
        <f>=IFERROR(ROUND(BG120/FB_Kurs_9,2),0)</f>
      </c>
      <c r="BI120" s="116" t="str">
        <f>=ROUND(BG120+BB120,2)</f>
      </c>
      <c r="BJ120" s="144" t="str">
        <f>=ROUND(BH120+BC120,2)</f>
      </c>
      <c r="BM120" s="149" t="s">
        <v>333</v>
      </c>
      <c r="BN120" s="24"/>
      <c r="BO120" s="117" t="str">
        <f>=IFERROR(ROUND(BN120/FB_Kurs_10,2),0)</f>
      </c>
      <c r="BP120" s="116" t="str">
        <f>=ROUND(BN120+BI120,2)</f>
      </c>
      <c r="BQ120" s="144" t="str">
        <f>=ROUND(BO120+BJ120,2)</f>
      </c>
      <c r="BT120" s="149" t="s">
        <v>333</v>
      </c>
      <c r="BU120" s="24"/>
      <c r="BV120" s="117" t="str">
        <f>=IFERROR(ROUND(BU120/FB_Kurs_11,2),0)</f>
      </c>
      <c r="BW120" s="116" t="str">
        <f>=ROUND(BU120+BP120,2)</f>
      </c>
      <c r="BX120" s="144" t="str">
        <f>=ROUND(BV120+BQ120,2)</f>
      </c>
      <c r="CA120" s="149" t="s">
        <v>333</v>
      </c>
      <c r="CB120" s="24"/>
      <c r="CC120" s="117" t="str">
        <f>=IFERROR(ROUND(CB120/FB_Kurs_12,2),0)</f>
      </c>
      <c r="CD120" s="116" t="str">
        <f>=ROUND(CB120+BW120,2)</f>
      </c>
      <c r="CE120" s="144" t="str">
        <f>=ROUND(CC120+BX120,2)</f>
      </c>
      <c r="CH120" s="149" t="s">
        <v>333</v>
      </c>
      <c r="CI120" s="24"/>
      <c r="CJ120" s="117" t="str">
        <f>=IFERROR(ROUND(CI120/FB_Kurs_13,2),0)</f>
      </c>
      <c r="CK120" s="116" t="str">
        <f>=ROUND(CI120+CD120,2)</f>
      </c>
      <c r="CL120" s="144" t="str">
        <f>=ROUND(CJ120+CE120,2)</f>
      </c>
      <c r="CO120" s="149" t="s">
        <v>333</v>
      </c>
      <c r="CP120" s="24"/>
      <c r="CQ120" s="117" t="str">
        <f>=IFERROR(ROUND(CP120/FB_Kurs_14,2),0)</f>
      </c>
      <c r="CR120" s="116" t="str">
        <f>=ROUND(CP120+CK120,2)</f>
      </c>
      <c r="CS120" s="144" t="str">
        <f>=ROUND(CQ120+CL120,2)</f>
      </c>
      <c r="CV120" s="149" t="s">
        <v>333</v>
      </c>
      <c r="CW120" s="24"/>
      <c r="CX120" s="117" t="str">
        <f>=IFERROR(ROUND(CW120/FB_Kurs_15,2),0)</f>
      </c>
      <c r="CY120" s="116" t="str">
        <f>=ROUND(CW120+CR120,2)</f>
      </c>
      <c r="CZ120" s="144" t="str">
        <f>=ROUND(CX120+CS120,2)</f>
      </c>
      <c r="DC120" s="149" t="s">
        <v>333</v>
      </c>
      <c r="DD120" s="24"/>
      <c r="DE120" s="117" t="str">
        <f>=IFERROR(ROUND(DD120/FB_Kurs_16,2),0)</f>
      </c>
      <c r="DF120" s="116" t="str">
        <f>=ROUND(DD120+CY120,2)</f>
      </c>
      <c r="DG120" s="144" t="str">
        <f>=ROUND(DE120+CZ120,2)</f>
      </c>
      <c r="DJ120" s="149" t="s">
        <v>333</v>
      </c>
      <c r="DK120" s="24"/>
      <c r="DL120" s="117" t="str">
        <f>=IFERROR(ROUND(DK120/FB_Kurs_17,2),0)</f>
      </c>
      <c r="DM120" s="116" t="str">
        <f>=ROUND(DK120+DF120,2)</f>
      </c>
      <c r="DN120" s="144" t="str">
        <f>=ROUND(DL120+DG120,2)</f>
      </c>
      <c r="DQ120" s="149" t="s">
        <v>333</v>
      </c>
      <c r="DR120" s="24"/>
      <c r="DS120" s="117" t="str">
        <f>=IFERROR(ROUND(DR120/FB_Kurs_18,2),0)</f>
      </c>
      <c r="DT120" s="116" t="str">
        <f>=ROUND(DR120+DM120,2)</f>
      </c>
      <c r="DU120" s="144" t="str">
        <f>=ROUND(DS120+DN120,2)</f>
      </c>
    </row>
    <row r="121">
      <c r="B121" s="149" t="s">
        <v>334</v>
      </c>
      <c r="C121" s="24"/>
      <c r="D121" s="117" t="str">
        <f>=IFERROR(ROUND(C121/FB_Kurs_1,2),0)</f>
      </c>
      <c r="E121" s="116" t="str">
        <f>=ROUND(C121,2)</f>
      </c>
      <c r="F121" s="144" t="str">
        <f>=ROUND(D121,2)</f>
      </c>
      <c r="I121" s="149" t="s">
        <v>334</v>
      </c>
      <c r="J121" s="24"/>
      <c r="K121" s="117" t="str">
        <f>=IFERROR(ROUND(J121/FB_Kurs_2,2),0)</f>
      </c>
      <c r="L121" s="116" t="str">
        <f>=ROUND(J121+E121,2)</f>
      </c>
      <c r="M121" s="144" t="str">
        <f>=ROUND(K121+F121,2)</f>
      </c>
      <c r="P121" s="149" t="s">
        <v>334</v>
      </c>
      <c r="Q121" s="24"/>
      <c r="R121" s="117" t="str">
        <f>=IFERROR(ROUND(Q121/FB_Kurs_3,2),0)</f>
      </c>
      <c r="S121" s="116" t="str">
        <f>=ROUND(Q121+L121,2)</f>
      </c>
      <c r="T121" s="144" t="str">
        <f>=ROUND(R121+M121,2)</f>
      </c>
      <c r="W121" s="149" t="s">
        <v>334</v>
      </c>
      <c r="X121" s="24"/>
      <c r="Y121" s="117" t="str">
        <f>=IFERROR(ROUND(X121/FB_Kurs_4,2),0)</f>
      </c>
      <c r="Z121" s="116" t="str">
        <f>=ROUND(X121+S121,2)</f>
      </c>
      <c r="AA121" s="144" t="str">
        <f>=ROUND(Y121+T121,2)</f>
      </c>
      <c r="AD121" s="149" t="s">
        <v>334</v>
      </c>
      <c r="AE121" s="24"/>
      <c r="AF121" s="117" t="str">
        <f>=IFERROR(ROUND(AE121/FB_Kurs_5,2),0)</f>
      </c>
      <c r="AG121" s="116" t="str">
        <f>=ROUND(AE121+Z121,2)</f>
      </c>
      <c r="AH121" s="144" t="str">
        <f>=ROUND(AF121+AA121,2)</f>
      </c>
      <c r="AK121" s="149" t="s">
        <v>334</v>
      </c>
      <c r="AL121" s="24"/>
      <c r="AM121" s="117" t="str">
        <f>=IFERROR(ROUND(AL121/FB_Kurs_6,2),0)</f>
      </c>
      <c r="AN121" s="116" t="str">
        <f>=ROUND(AL121+AG121,2)</f>
      </c>
      <c r="AO121" s="144" t="str">
        <f>=ROUND(AM121+AH121,2)</f>
      </c>
      <c r="AR121" s="149" t="s">
        <v>334</v>
      </c>
      <c r="AS121" s="24"/>
      <c r="AT121" s="117" t="str">
        <f>=IFERROR(ROUND(AS121/FB_Kurs_7,2),0)</f>
      </c>
      <c r="AU121" s="116" t="str">
        <f>=ROUND(AS121+AN121,2)</f>
      </c>
      <c r="AV121" s="144" t="str">
        <f>=ROUND(AT121+AO121,2)</f>
      </c>
      <c r="AY121" s="149" t="s">
        <v>334</v>
      </c>
      <c r="AZ121" s="24"/>
      <c r="BA121" s="117" t="str">
        <f>=IFERROR(ROUND(AZ121/FB_Kurs_8,2),0)</f>
      </c>
      <c r="BB121" s="116" t="str">
        <f>=ROUND(AZ121+AU121,2)</f>
      </c>
      <c r="BC121" s="144" t="str">
        <f>=ROUND(BA121+AV121,2)</f>
      </c>
      <c r="BF121" s="149" t="s">
        <v>334</v>
      </c>
      <c r="BG121" s="24"/>
      <c r="BH121" s="117" t="str">
        <f>=IFERROR(ROUND(BG121/FB_Kurs_9,2),0)</f>
      </c>
      <c r="BI121" s="116" t="str">
        <f>=ROUND(BG121+BB121,2)</f>
      </c>
      <c r="BJ121" s="144" t="str">
        <f>=ROUND(BH121+BC121,2)</f>
      </c>
      <c r="BM121" s="149" t="s">
        <v>334</v>
      </c>
      <c r="BN121" s="24"/>
      <c r="BO121" s="117" t="str">
        <f>=IFERROR(ROUND(BN121/FB_Kurs_10,2),0)</f>
      </c>
      <c r="BP121" s="116" t="str">
        <f>=ROUND(BN121+BI121,2)</f>
      </c>
      <c r="BQ121" s="144" t="str">
        <f>=ROUND(BO121+BJ121,2)</f>
      </c>
      <c r="BT121" s="149" t="s">
        <v>334</v>
      </c>
      <c r="BU121" s="24"/>
      <c r="BV121" s="117" t="str">
        <f>=IFERROR(ROUND(BU121/FB_Kurs_11,2),0)</f>
      </c>
      <c r="BW121" s="116" t="str">
        <f>=ROUND(BU121+BP121,2)</f>
      </c>
      <c r="BX121" s="144" t="str">
        <f>=ROUND(BV121+BQ121,2)</f>
      </c>
      <c r="CA121" s="149" t="s">
        <v>334</v>
      </c>
      <c r="CB121" s="24"/>
      <c r="CC121" s="117" t="str">
        <f>=IFERROR(ROUND(CB121/FB_Kurs_12,2),0)</f>
      </c>
      <c r="CD121" s="116" t="str">
        <f>=ROUND(CB121+BW121,2)</f>
      </c>
      <c r="CE121" s="144" t="str">
        <f>=ROUND(CC121+BX121,2)</f>
      </c>
      <c r="CH121" s="149" t="s">
        <v>334</v>
      </c>
      <c r="CI121" s="24"/>
      <c r="CJ121" s="117" t="str">
        <f>=IFERROR(ROUND(CI121/FB_Kurs_13,2),0)</f>
      </c>
      <c r="CK121" s="116" t="str">
        <f>=ROUND(CI121+CD121,2)</f>
      </c>
      <c r="CL121" s="144" t="str">
        <f>=ROUND(CJ121+CE121,2)</f>
      </c>
      <c r="CO121" s="149" t="s">
        <v>334</v>
      </c>
      <c r="CP121" s="24"/>
      <c r="CQ121" s="117" t="str">
        <f>=IFERROR(ROUND(CP121/FB_Kurs_14,2),0)</f>
      </c>
      <c r="CR121" s="116" t="str">
        <f>=ROUND(CP121+CK121,2)</f>
      </c>
      <c r="CS121" s="144" t="str">
        <f>=ROUND(CQ121+CL121,2)</f>
      </c>
      <c r="CV121" s="149" t="s">
        <v>334</v>
      </c>
      <c r="CW121" s="24"/>
      <c r="CX121" s="117" t="str">
        <f>=IFERROR(ROUND(CW121/FB_Kurs_15,2),0)</f>
      </c>
      <c r="CY121" s="116" t="str">
        <f>=ROUND(CW121+CR121,2)</f>
      </c>
      <c r="CZ121" s="144" t="str">
        <f>=ROUND(CX121+CS121,2)</f>
      </c>
      <c r="DC121" s="149" t="s">
        <v>334</v>
      </c>
      <c r="DD121" s="24"/>
      <c r="DE121" s="117" t="str">
        <f>=IFERROR(ROUND(DD121/FB_Kurs_16,2),0)</f>
      </c>
      <c r="DF121" s="116" t="str">
        <f>=ROUND(DD121+CY121,2)</f>
      </c>
      <c r="DG121" s="144" t="str">
        <f>=ROUND(DE121+CZ121,2)</f>
      </c>
      <c r="DJ121" s="149" t="s">
        <v>334</v>
      </c>
      <c r="DK121" s="24"/>
      <c r="DL121" s="117" t="str">
        <f>=IFERROR(ROUND(DK121/FB_Kurs_17,2),0)</f>
      </c>
      <c r="DM121" s="116" t="str">
        <f>=ROUND(DK121+DF121,2)</f>
      </c>
      <c r="DN121" s="144" t="str">
        <f>=ROUND(DL121+DG121,2)</f>
      </c>
      <c r="DQ121" s="149" t="s">
        <v>334</v>
      </c>
      <c r="DR121" s="24"/>
      <c r="DS121" s="117" t="str">
        <f>=IFERROR(ROUND(DR121/FB_Kurs_18,2),0)</f>
      </c>
      <c r="DT121" s="116" t="str">
        <f>=ROUND(DR121+DM121,2)</f>
      </c>
      <c r="DU121" s="144" t="str">
        <f>=ROUND(DS121+DN121,2)</f>
      </c>
    </row>
    <row r="122">
      <c r="B122" s="149" t="s">
        <v>335</v>
      </c>
      <c r="C122" s="24"/>
      <c r="D122" s="117" t="str">
        <f>=IFERROR(ROUND(C122/FB_Kurs_1,2),0)</f>
      </c>
      <c r="E122" s="116" t="str">
        <f>=ROUND(C122,2)</f>
      </c>
      <c r="F122" s="144" t="str">
        <f>=ROUND(D122,2)</f>
      </c>
      <c r="I122" s="149" t="s">
        <v>335</v>
      </c>
      <c r="J122" s="24"/>
      <c r="K122" s="117" t="str">
        <f>=IFERROR(ROUND(J122/FB_Kurs_2,2),0)</f>
      </c>
      <c r="L122" s="116" t="str">
        <f>=ROUND(J122+E122,2)</f>
      </c>
      <c r="M122" s="144" t="str">
        <f>=ROUND(K122+F122,2)</f>
      </c>
      <c r="P122" s="149" t="s">
        <v>335</v>
      </c>
      <c r="Q122" s="24"/>
      <c r="R122" s="117" t="str">
        <f>=IFERROR(ROUND(Q122/FB_Kurs_3,2),0)</f>
      </c>
      <c r="S122" s="116" t="str">
        <f>=ROUND(Q122+L122,2)</f>
      </c>
      <c r="T122" s="144" t="str">
        <f>=ROUND(R122+M122,2)</f>
      </c>
      <c r="W122" s="149" t="s">
        <v>335</v>
      </c>
      <c r="X122" s="24"/>
      <c r="Y122" s="117" t="str">
        <f>=IFERROR(ROUND(X122/FB_Kurs_4,2),0)</f>
      </c>
      <c r="Z122" s="116" t="str">
        <f>=ROUND(X122+S122,2)</f>
      </c>
      <c r="AA122" s="144" t="str">
        <f>=ROUND(Y122+T122,2)</f>
      </c>
      <c r="AD122" s="149" t="s">
        <v>335</v>
      </c>
      <c r="AE122" s="24"/>
      <c r="AF122" s="117" t="str">
        <f>=IFERROR(ROUND(AE122/FB_Kurs_5,2),0)</f>
      </c>
      <c r="AG122" s="116" t="str">
        <f>=ROUND(AE122+Z122,2)</f>
      </c>
      <c r="AH122" s="144" t="str">
        <f>=ROUND(AF122+AA122,2)</f>
      </c>
      <c r="AK122" s="149" t="s">
        <v>335</v>
      </c>
      <c r="AL122" s="24"/>
      <c r="AM122" s="117" t="str">
        <f>=IFERROR(ROUND(AL122/FB_Kurs_6,2),0)</f>
      </c>
      <c r="AN122" s="116" t="str">
        <f>=ROUND(AL122+AG122,2)</f>
      </c>
      <c r="AO122" s="144" t="str">
        <f>=ROUND(AM122+AH122,2)</f>
      </c>
      <c r="AR122" s="149" t="s">
        <v>335</v>
      </c>
      <c r="AS122" s="24"/>
      <c r="AT122" s="117" t="str">
        <f>=IFERROR(ROUND(AS122/FB_Kurs_7,2),0)</f>
      </c>
      <c r="AU122" s="116" t="str">
        <f>=ROUND(AS122+AN122,2)</f>
      </c>
      <c r="AV122" s="144" t="str">
        <f>=ROUND(AT122+AO122,2)</f>
      </c>
      <c r="AY122" s="149" t="s">
        <v>335</v>
      </c>
      <c r="AZ122" s="24"/>
      <c r="BA122" s="117" t="str">
        <f>=IFERROR(ROUND(AZ122/FB_Kurs_8,2),0)</f>
      </c>
      <c r="BB122" s="116" t="str">
        <f>=ROUND(AZ122+AU122,2)</f>
      </c>
      <c r="BC122" s="144" t="str">
        <f>=ROUND(BA122+AV122,2)</f>
      </c>
      <c r="BF122" s="149" t="s">
        <v>335</v>
      </c>
      <c r="BG122" s="24"/>
      <c r="BH122" s="117" t="str">
        <f>=IFERROR(ROUND(BG122/FB_Kurs_9,2),0)</f>
      </c>
      <c r="BI122" s="116" t="str">
        <f>=ROUND(BG122+BB122,2)</f>
      </c>
      <c r="BJ122" s="144" t="str">
        <f>=ROUND(BH122+BC122,2)</f>
      </c>
      <c r="BM122" s="149" t="s">
        <v>335</v>
      </c>
      <c r="BN122" s="24"/>
      <c r="BO122" s="117" t="str">
        <f>=IFERROR(ROUND(BN122/FB_Kurs_10,2),0)</f>
      </c>
      <c r="BP122" s="116" t="str">
        <f>=ROUND(BN122+BI122,2)</f>
      </c>
      <c r="BQ122" s="144" t="str">
        <f>=ROUND(BO122+BJ122,2)</f>
      </c>
      <c r="BT122" s="149" t="s">
        <v>335</v>
      </c>
      <c r="BU122" s="24"/>
      <c r="BV122" s="117" t="str">
        <f>=IFERROR(ROUND(BU122/FB_Kurs_11,2),0)</f>
      </c>
      <c r="BW122" s="116" t="str">
        <f>=ROUND(BU122+BP122,2)</f>
      </c>
      <c r="BX122" s="144" t="str">
        <f>=ROUND(BV122+BQ122,2)</f>
      </c>
      <c r="CA122" s="149" t="s">
        <v>335</v>
      </c>
      <c r="CB122" s="24"/>
      <c r="CC122" s="117" t="str">
        <f>=IFERROR(ROUND(CB122/FB_Kurs_12,2),0)</f>
      </c>
      <c r="CD122" s="116" t="str">
        <f>=ROUND(CB122+BW122,2)</f>
      </c>
      <c r="CE122" s="144" t="str">
        <f>=ROUND(CC122+BX122,2)</f>
      </c>
      <c r="CH122" s="149" t="s">
        <v>335</v>
      </c>
      <c r="CI122" s="24"/>
      <c r="CJ122" s="117" t="str">
        <f>=IFERROR(ROUND(CI122/FB_Kurs_13,2),0)</f>
      </c>
      <c r="CK122" s="116" t="str">
        <f>=ROUND(CI122+CD122,2)</f>
      </c>
      <c r="CL122" s="144" t="str">
        <f>=ROUND(CJ122+CE122,2)</f>
      </c>
      <c r="CO122" s="149" t="s">
        <v>335</v>
      </c>
      <c r="CP122" s="24"/>
      <c r="CQ122" s="117" t="str">
        <f>=IFERROR(ROUND(CP122/FB_Kurs_14,2),0)</f>
      </c>
      <c r="CR122" s="116" t="str">
        <f>=ROUND(CP122+CK122,2)</f>
      </c>
      <c r="CS122" s="144" t="str">
        <f>=ROUND(CQ122+CL122,2)</f>
      </c>
      <c r="CV122" s="149" t="s">
        <v>335</v>
      </c>
      <c r="CW122" s="24"/>
      <c r="CX122" s="117" t="str">
        <f>=IFERROR(ROUND(CW122/FB_Kurs_15,2),0)</f>
      </c>
      <c r="CY122" s="116" t="str">
        <f>=ROUND(CW122+CR122,2)</f>
      </c>
      <c r="CZ122" s="144" t="str">
        <f>=ROUND(CX122+CS122,2)</f>
      </c>
      <c r="DC122" s="149" t="s">
        <v>335</v>
      </c>
      <c r="DD122" s="24"/>
      <c r="DE122" s="117" t="str">
        <f>=IFERROR(ROUND(DD122/FB_Kurs_16,2),0)</f>
      </c>
      <c r="DF122" s="116" t="str">
        <f>=ROUND(DD122+CY122,2)</f>
      </c>
      <c r="DG122" s="144" t="str">
        <f>=ROUND(DE122+CZ122,2)</f>
      </c>
      <c r="DJ122" s="149" t="s">
        <v>335</v>
      </c>
      <c r="DK122" s="24"/>
      <c r="DL122" s="117" t="str">
        <f>=IFERROR(ROUND(DK122/FB_Kurs_17,2),0)</f>
      </c>
      <c r="DM122" s="116" t="str">
        <f>=ROUND(DK122+DF122,2)</f>
      </c>
      <c r="DN122" s="144" t="str">
        <f>=ROUND(DL122+DG122,2)</f>
      </c>
      <c r="DQ122" s="149" t="s">
        <v>335</v>
      </c>
      <c r="DR122" s="24"/>
      <c r="DS122" s="117" t="str">
        <f>=IFERROR(ROUND(DR122/FB_Kurs_18,2),0)</f>
      </c>
      <c r="DT122" s="116" t="str">
        <f>=ROUND(DR122+DM122,2)</f>
      </c>
      <c r="DU122" s="144" t="str">
        <f>=ROUND(DS122+DN122,2)</f>
      </c>
    </row>
    <row r="123">
      <c r="B123" s="149" t="s">
        <v>336</v>
      </c>
      <c r="C123" s="24"/>
      <c r="D123" s="117" t="str">
        <f>=IFERROR(ROUND(C123/FB_Kurs_1,2),0)</f>
      </c>
      <c r="E123" s="116" t="str">
        <f>=ROUND(C123,2)</f>
      </c>
      <c r="F123" s="144" t="str">
        <f>=ROUND(D123,2)</f>
      </c>
      <c r="I123" s="149" t="s">
        <v>336</v>
      </c>
      <c r="J123" s="24"/>
      <c r="K123" s="117" t="str">
        <f>=IFERROR(ROUND(J123/FB_Kurs_2,2),0)</f>
      </c>
      <c r="L123" s="116" t="str">
        <f>=ROUND(J123+E123,2)</f>
      </c>
      <c r="M123" s="144" t="str">
        <f>=ROUND(K123+F123,2)</f>
      </c>
      <c r="P123" s="149" t="s">
        <v>336</v>
      </c>
      <c r="Q123" s="24"/>
      <c r="R123" s="117" t="str">
        <f>=IFERROR(ROUND(Q123/FB_Kurs_3,2),0)</f>
      </c>
      <c r="S123" s="116" t="str">
        <f>=ROUND(Q123+L123,2)</f>
      </c>
      <c r="T123" s="144" t="str">
        <f>=ROUND(R123+M123,2)</f>
      </c>
      <c r="W123" s="149" t="s">
        <v>336</v>
      </c>
      <c r="X123" s="24"/>
      <c r="Y123" s="117" t="str">
        <f>=IFERROR(ROUND(X123/FB_Kurs_4,2),0)</f>
      </c>
      <c r="Z123" s="116" t="str">
        <f>=ROUND(X123+S123,2)</f>
      </c>
      <c r="AA123" s="144" t="str">
        <f>=ROUND(Y123+T123,2)</f>
      </c>
      <c r="AD123" s="149" t="s">
        <v>336</v>
      </c>
      <c r="AE123" s="24"/>
      <c r="AF123" s="117" t="str">
        <f>=IFERROR(ROUND(AE123/FB_Kurs_5,2),0)</f>
      </c>
      <c r="AG123" s="116" t="str">
        <f>=ROUND(AE123+Z123,2)</f>
      </c>
      <c r="AH123" s="144" t="str">
        <f>=ROUND(AF123+AA123,2)</f>
      </c>
      <c r="AK123" s="149" t="s">
        <v>336</v>
      </c>
      <c r="AL123" s="24"/>
      <c r="AM123" s="117" t="str">
        <f>=IFERROR(ROUND(AL123/FB_Kurs_6,2),0)</f>
      </c>
      <c r="AN123" s="116" t="str">
        <f>=ROUND(AL123+AG123,2)</f>
      </c>
      <c r="AO123" s="144" t="str">
        <f>=ROUND(AM123+AH123,2)</f>
      </c>
      <c r="AR123" s="149" t="s">
        <v>336</v>
      </c>
      <c r="AS123" s="24"/>
      <c r="AT123" s="117" t="str">
        <f>=IFERROR(ROUND(AS123/FB_Kurs_7,2),0)</f>
      </c>
      <c r="AU123" s="116" t="str">
        <f>=ROUND(AS123+AN123,2)</f>
      </c>
      <c r="AV123" s="144" t="str">
        <f>=ROUND(AT123+AO123,2)</f>
      </c>
      <c r="AY123" s="149" t="s">
        <v>336</v>
      </c>
      <c r="AZ123" s="24"/>
      <c r="BA123" s="117" t="str">
        <f>=IFERROR(ROUND(AZ123/FB_Kurs_8,2),0)</f>
      </c>
      <c r="BB123" s="116" t="str">
        <f>=ROUND(AZ123+AU123,2)</f>
      </c>
      <c r="BC123" s="144" t="str">
        <f>=ROUND(BA123+AV123,2)</f>
      </c>
      <c r="BF123" s="149" t="s">
        <v>336</v>
      </c>
      <c r="BG123" s="24"/>
      <c r="BH123" s="117" t="str">
        <f>=IFERROR(ROUND(BG123/FB_Kurs_9,2),0)</f>
      </c>
      <c r="BI123" s="116" t="str">
        <f>=ROUND(BG123+BB123,2)</f>
      </c>
      <c r="BJ123" s="144" t="str">
        <f>=ROUND(BH123+BC123,2)</f>
      </c>
      <c r="BM123" s="149" t="s">
        <v>336</v>
      </c>
      <c r="BN123" s="24"/>
      <c r="BO123" s="117" t="str">
        <f>=IFERROR(ROUND(BN123/FB_Kurs_10,2),0)</f>
      </c>
      <c r="BP123" s="116" t="str">
        <f>=ROUND(BN123+BI123,2)</f>
      </c>
      <c r="BQ123" s="144" t="str">
        <f>=ROUND(BO123+BJ123,2)</f>
      </c>
      <c r="BT123" s="149" t="s">
        <v>336</v>
      </c>
      <c r="BU123" s="24"/>
      <c r="BV123" s="117" t="str">
        <f>=IFERROR(ROUND(BU123/FB_Kurs_11,2),0)</f>
      </c>
      <c r="BW123" s="116" t="str">
        <f>=ROUND(BU123+BP123,2)</f>
      </c>
      <c r="BX123" s="144" t="str">
        <f>=ROUND(BV123+BQ123,2)</f>
      </c>
      <c r="CA123" s="149" t="s">
        <v>336</v>
      </c>
      <c r="CB123" s="24"/>
      <c r="CC123" s="117" t="str">
        <f>=IFERROR(ROUND(CB123/FB_Kurs_12,2),0)</f>
      </c>
      <c r="CD123" s="116" t="str">
        <f>=ROUND(CB123+BW123,2)</f>
      </c>
      <c r="CE123" s="144" t="str">
        <f>=ROUND(CC123+BX123,2)</f>
      </c>
      <c r="CH123" s="149" t="s">
        <v>336</v>
      </c>
      <c r="CI123" s="24"/>
      <c r="CJ123" s="117" t="str">
        <f>=IFERROR(ROUND(CI123/FB_Kurs_13,2),0)</f>
      </c>
      <c r="CK123" s="116" t="str">
        <f>=ROUND(CI123+CD123,2)</f>
      </c>
      <c r="CL123" s="144" t="str">
        <f>=ROUND(CJ123+CE123,2)</f>
      </c>
      <c r="CO123" s="149" t="s">
        <v>336</v>
      </c>
      <c r="CP123" s="24"/>
      <c r="CQ123" s="117" t="str">
        <f>=IFERROR(ROUND(CP123/FB_Kurs_14,2),0)</f>
      </c>
      <c r="CR123" s="116" t="str">
        <f>=ROUND(CP123+CK123,2)</f>
      </c>
      <c r="CS123" s="144" t="str">
        <f>=ROUND(CQ123+CL123,2)</f>
      </c>
      <c r="CV123" s="149" t="s">
        <v>336</v>
      </c>
      <c r="CW123" s="24"/>
      <c r="CX123" s="117" t="str">
        <f>=IFERROR(ROUND(CW123/FB_Kurs_15,2),0)</f>
      </c>
      <c r="CY123" s="116" t="str">
        <f>=ROUND(CW123+CR123,2)</f>
      </c>
      <c r="CZ123" s="144" t="str">
        <f>=ROUND(CX123+CS123,2)</f>
      </c>
      <c r="DC123" s="149" t="s">
        <v>336</v>
      </c>
      <c r="DD123" s="24"/>
      <c r="DE123" s="117" t="str">
        <f>=IFERROR(ROUND(DD123/FB_Kurs_16,2),0)</f>
      </c>
      <c r="DF123" s="116" t="str">
        <f>=ROUND(DD123+CY123,2)</f>
      </c>
      <c r="DG123" s="144" t="str">
        <f>=ROUND(DE123+CZ123,2)</f>
      </c>
      <c r="DJ123" s="149" t="s">
        <v>336</v>
      </c>
      <c r="DK123" s="24"/>
      <c r="DL123" s="117" t="str">
        <f>=IFERROR(ROUND(DK123/FB_Kurs_17,2),0)</f>
      </c>
      <c r="DM123" s="116" t="str">
        <f>=ROUND(DK123+DF123,2)</f>
      </c>
      <c r="DN123" s="144" t="str">
        <f>=ROUND(DL123+DG123,2)</f>
      </c>
      <c r="DQ123" s="149" t="s">
        <v>336</v>
      </c>
      <c r="DR123" s="24"/>
      <c r="DS123" s="117" t="str">
        <f>=IFERROR(ROUND(DR123/FB_Kurs_18,2),0)</f>
      </c>
      <c r="DT123" s="116" t="str">
        <f>=ROUND(DR123+DM123,2)</f>
      </c>
      <c r="DU123" s="144" t="str">
        <f>=ROUND(DS123+DN123,2)</f>
      </c>
    </row>
    <row r="124">
      <c r="B124" s="149" t="s">
        <v>337</v>
      </c>
      <c r="C124" s="24"/>
      <c r="D124" s="117" t="str">
        <f>=IFERROR(ROUND(C124/FB_Kurs_1,2),0)</f>
      </c>
      <c r="E124" s="116" t="str">
        <f>=ROUND(C124,2)</f>
      </c>
      <c r="F124" s="144" t="str">
        <f>=ROUND(D124,2)</f>
      </c>
      <c r="I124" s="149" t="s">
        <v>337</v>
      </c>
      <c r="J124" s="24"/>
      <c r="K124" s="117" t="str">
        <f>=IFERROR(ROUND(J124/FB_Kurs_2,2),0)</f>
      </c>
      <c r="L124" s="116" t="str">
        <f>=ROUND(J124+E124,2)</f>
      </c>
      <c r="M124" s="144" t="str">
        <f>=ROUND(K124+F124,2)</f>
      </c>
      <c r="P124" s="149" t="s">
        <v>337</v>
      </c>
      <c r="Q124" s="24"/>
      <c r="R124" s="117" t="str">
        <f>=IFERROR(ROUND(Q124/FB_Kurs_3,2),0)</f>
      </c>
      <c r="S124" s="116" t="str">
        <f>=ROUND(Q124+L124,2)</f>
      </c>
      <c r="T124" s="144" t="str">
        <f>=ROUND(R124+M124,2)</f>
      </c>
      <c r="W124" s="149" t="s">
        <v>337</v>
      </c>
      <c r="X124" s="24"/>
      <c r="Y124" s="117" t="str">
        <f>=IFERROR(ROUND(X124/FB_Kurs_4,2),0)</f>
      </c>
      <c r="Z124" s="116" t="str">
        <f>=ROUND(X124+S124,2)</f>
      </c>
      <c r="AA124" s="144" t="str">
        <f>=ROUND(Y124+T124,2)</f>
      </c>
      <c r="AD124" s="149" t="s">
        <v>337</v>
      </c>
      <c r="AE124" s="24"/>
      <c r="AF124" s="117" t="str">
        <f>=IFERROR(ROUND(AE124/FB_Kurs_5,2),0)</f>
      </c>
      <c r="AG124" s="116" t="str">
        <f>=ROUND(AE124+Z124,2)</f>
      </c>
      <c r="AH124" s="144" t="str">
        <f>=ROUND(AF124+AA124,2)</f>
      </c>
      <c r="AK124" s="149" t="s">
        <v>337</v>
      </c>
      <c r="AL124" s="24"/>
      <c r="AM124" s="117" t="str">
        <f>=IFERROR(ROUND(AL124/FB_Kurs_6,2),0)</f>
      </c>
      <c r="AN124" s="116" t="str">
        <f>=ROUND(AL124+AG124,2)</f>
      </c>
      <c r="AO124" s="144" t="str">
        <f>=ROUND(AM124+AH124,2)</f>
      </c>
      <c r="AR124" s="149" t="s">
        <v>337</v>
      </c>
      <c r="AS124" s="24"/>
      <c r="AT124" s="117" t="str">
        <f>=IFERROR(ROUND(AS124/FB_Kurs_7,2),0)</f>
      </c>
      <c r="AU124" s="116" t="str">
        <f>=ROUND(AS124+AN124,2)</f>
      </c>
      <c r="AV124" s="144" t="str">
        <f>=ROUND(AT124+AO124,2)</f>
      </c>
      <c r="AY124" s="149" t="s">
        <v>337</v>
      </c>
      <c r="AZ124" s="24"/>
      <c r="BA124" s="117" t="str">
        <f>=IFERROR(ROUND(AZ124/FB_Kurs_8,2),0)</f>
      </c>
      <c r="BB124" s="116" t="str">
        <f>=ROUND(AZ124+AU124,2)</f>
      </c>
      <c r="BC124" s="144" t="str">
        <f>=ROUND(BA124+AV124,2)</f>
      </c>
      <c r="BF124" s="149" t="s">
        <v>337</v>
      </c>
      <c r="BG124" s="24"/>
      <c r="BH124" s="117" t="str">
        <f>=IFERROR(ROUND(BG124/FB_Kurs_9,2),0)</f>
      </c>
      <c r="BI124" s="116" t="str">
        <f>=ROUND(BG124+BB124,2)</f>
      </c>
      <c r="BJ124" s="144" t="str">
        <f>=ROUND(BH124+BC124,2)</f>
      </c>
      <c r="BM124" s="149" t="s">
        <v>337</v>
      </c>
      <c r="BN124" s="24"/>
      <c r="BO124" s="117" t="str">
        <f>=IFERROR(ROUND(BN124/FB_Kurs_10,2),0)</f>
      </c>
      <c r="BP124" s="116" t="str">
        <f>=ROUND(BN124+BI124,2)</f>
      </c>
      <c r="BQ124" s="144" t="str">
        <f>=ROUND(BO124+BJ124,2)</f>
      </c>
      <c r="BT124" s="149" t="s">
        <v>337</v>
      </c>
      <c r="BU124" s="24"/>
      <c r="BV124" s="117" t="str">
        <f>=IFERROR(ROUND(BU124/FB_Kurs_11,2),0)</f>
      </c>
      <c r="BW124" s="116" t="str">
        <f>=ROUND(BU124+BP124,2)</f>
      </c>
      <c r="BX124" s="144" t="str">
        <f>=ROUND(BV124+BQ124,2)</f>
      </c>
      <c r="CA124" s="149" t="s">
        <v>337</v>
      </c>
      <c r="CB124" s="24"/>
      <c r="CC124" s="117" t="str">
        <f>=IFERROR(ROUND(CB124/FB_Kurs_12,2),0)</f>
      </c>
      <c r="CD124" s="116" t="str">
        <f>=ROUND(CB124+BW124,2)</f>
      </c>
      <c r="CE124" s="144" t="str">
        <f>=ROUND(CC124+BX124,2)</f>
      </c>
      <c r="CH124" s="149" t="s">
        <v>337</v>
      </c>
      <c r="CI124" s="24"/>
      <c r="CJ124" s="117" t="str">
        <f>=IFERROR(ROUND(CI124/FB_Kurs_13,2),0)</f>
      </c>
      <c r="CK124" s="116" t="str">
        <f>=ROUND(CI124+CD124,2)</f>
      </c>
      <c r="CL124" s="144" t="str">
        <f>=ROUND(CJ124+CE124,2)</f>
      </c>
      <c r="CO124" s="149" t="s">
        <v>337</v>
      </c>
      <c r="CP124" s="24"/>
      <c r="CQ124" s="117" t="str">
        <f>=IFERROR(ROUND(CP124/FB_Kurs_14,2),0)</f>
      </c>
      <c r="CR124" s="116" t="str">
        <f>=ROUND(CP124+CK124,2)</f>
      </c>
      <c r="CS124" s="144" t="str">
        <f>=ROUND(CQ124+CL124,2)</f>
      </c>
      <c r="CV124" s="149" t="s">
        <v>337</v>
      </c>
      <c r="CW124" s="24"/>
      <c r="CX124" s="117" t="str">
        <f>=IFERROR(ROUND(CW124/FB_Kurs_15,2),0)</f>
      </c>
      <c r="CY124" s="116" t="str">
        <f>=ROUND(CW124+CR124,2)</f>
      </c>
      <c r="CZ124" s="144" t="str">
        <f>=ROUND(CX124+CS124,2)</f>
      </c>
      <c r="DC124" s="149" t="s">
        <v>337</v>
      </c>
      <c r="DD124" s="24"/>
      <c r="DE124" s="117" t="str">
        <f>=IFERROR(ROUND(DD124/FB_Kurs_16,2),0)</f>
      </c>
      <c r="DF124" s="116" t="str">
        <f>=ROUND(DD124+CY124,2)</f>
      </c>
      <c r="DG124" s="144" t="str">
        <f>=ROUND(DE124+CZ124,2)</f>
      </c>
      <c r="DJ124" s="149" t="s">
        <v>337</v>
      </c>
      <c r="DK124" s="24"/>
      <c r="DL124" s="117" t="str">
        <f>=IFERROR(ROUND(DK124/FB_Kurs_17,2),0)</f>
      </c>
      <c r="DM124" s="116" t="str">
        <f>=ROUND(DK124+DF124,2)</f>
      </c>
      <c r="DN124" s="144" t="str">
        <f>=ROUND(DL124+DG124,2)</f>
      </c>
      <c r="DQ124" s="149" t="s">
        <v>337</v>
      </c>
      <c r="DR124" s="24"/>
      <c r="DS124" s="117" t="str">
        <f>=IFERROR(ROUND(DR124/FB_Kurs_18,2),0)</f>
      </c>
      <c r="DT124" s="116" t="str">
        <f>=ROUND(DR124+DM124,2)</f>
      </c>
      <c r="DU124" s="144" t="str">
        <f>=ROUND(DS124+DN124,2)</f>
      </c>
    </row>
    <row r="125">
      <c r="B125" s="149" t="s">
        <v>338</v>
      </c>
      <c r="C125" s="24"/>
      <c r="D125" s="117" t="str">
        <f>=IFERROR(ROUND(C125/FB_Kurs_1,2),0)</f>
      </c>
      <c r="E125" s="116" t="str">
        <f>=ROUND(C125,2)</f>
      </c>
      <c r="F125" s="144" t="str">
        <f>=ROUND(D125,2)</f>
      </c>
      <c r="I125" s="149" t="s">
        <v>338</v>
      </c>
      <c r="J125" s="24"/>
      <c r="K125" s="117" t="str">
        <f>=IFERROR(ROUND(J125/FB_Kurs_2,2),0)</f>
      </c>
      <c r="L125" s="116" t="str">
        <f>=ROUND(J125+E125,2)</f>
      </c>
      <c r="M125" s="144" t="str">
        <f>=ROUND(K125+F125,2)</f>
      </c>
      <c r="P125" s="149" t="s">
        <v>338</v>
      </c>
      <c r="Q125" s="24"/>
      <c r="R125" s="117" t="str">
        <f>=IFERROR(ROUND(Q125/FB_Kurs_3,2),0)</f>
      </c>
      <c r="S125" s="116" t="str">
        <f>=ROUND(Q125+L125,2)</f>
      </c>
      <c r="T125" s="144" t="str">
        <f>=ROUND(R125+M125,2)</f>
      </c>
      <c r="W125" s="149" t="s">
        <v>338</v>
      </c>
      <c r="X125" s="24"/>
      <c r="Y125" s="117" t="str">
        <f>=IFERROR(ROUND(X125/FB_Kurs_4,2),0)</f>
      </c>
      <c r="Z125" s="116" t="str">
        <f>=ROUND(X125+S125,2)</f>
      </c>
      <c r="AA125" s="144" t="str">
        <f>=ROUND(Y125+T125,2)</f>
      </c>
      <c r="AD125" s="149" t="s">
        <v>338</v>
      </c>
      <c r="AE125" s="24"/>
      <c r="AF125" s="117" t="str">
        <f>=IFERROR(ROUND(AE125/FB_Kurs_5,2),0)</f>
      </c>
      <c r="AG125" s="116" t="str">
        <f>=ROUND(AE125+Z125,2)</f>
      </c>
      <c r="AH125" s="144" t="str">
        <f>=ROUND(AF125+AA125,2)</f>
      </c>
      <c r="AK125" s="149" t="s">
        <v>338</v>
      </c>
      <c r="AL125" s="24"/>
      <c r="AM125" s="117" t="str">
        <f>=IFERROR(ROUND(AL125/FB_Kurs_6,2),0)</f>
      </c>
      <c r="AN125" s="116" t="str">
        <f>=ROUND(AL125+AG125,2)</f>
      </c>
      <c r="AO125" s="144" t="str">
        <f>=ROUND(AM125+AH125,2)</f>
      </c>
      <c r="AR125" s="149" t="s">
        <v>338</v>
      </c>
      <c r="AS125" s="24"/>
      <c r="AT125" s="117" t="str">
        <f>=IFERROR(ROUND(AS125/FB_Kurs_7,2),0)</f>
      </c>
      <c r="AU125" s="116" t="str">
        <f>=ROUND(AS125+AN125,2)</f>
      </c>
      <c r="AV125" s="144" t="str">
        <f>=ROUND(AT125+AO125,2)</f>
      </c>
      <c r="AY125" s="149" t="s">
        <v>338</v>
      </c>
      <c r="AZ125" s="24"/>
      <c r="BA125" s="117" t="str">
        <f>=IFERROR(ROUND(AZ125/FB_Kurs_8,2),0)</f>
      </c>
      <c r="BB125" s="116" t="str">
        <f>=ROUND(AZ125+AU125,2)</f>
      </c>
      <c r="BC125" s="144" t="str">
        <f>=ROUND(BA125+AV125,2)</f>
      </c>
      <c r="BF125" s="149" t="s">
        <v>338</v>
      </c>
      <c r="BG125" s="24"/>
      <c r="BH125" s="117" t="str">
        <f>=IFERROR(ROUND(BG125/FB_Kurs_9,2),0)</f>
      </c>
      <c r="BI125" s="116" t="str">
        <f>=ROUND(BG125+BB125,2)</f>
      </c>
      <c r="BJ125" s="144" t="str">
        <f>=ROUND(BH125+BC125,2)</f>
      </c>
      <c r="BM125" s="149" t="s">
        <v>338</v>
      </c>
      <c r="BN125" s="24"/>
      <c r="BO125" s="117" t="str">
        <f>=IFERROR(ROUND(BN125/FB_Kurs_10,2),0)</f>
      </c>
      <c r="BP125" s="116" t="str">
        <f>=ROUND(BN125+BI125,2)</f>
      </c>
      <c r="BQ125" s="144" t="str">
        <f>=ROUND(BO125+BJ125,2)</f>
      </c>
      <c r="BT125" s="149" t="s">
        <v>338</v>
      </c>
      <c r="BU125" s="24"/>
      <c r="BV125" s="117" t="str">
        <f>=IFERROR(ROUND(BU125/FB_Kurs_11,2),0)</f>
      </c>
      <c r="BW125" s="116" t="str">
        <f>=ROUND(BU125+BP125,2)</f>
      </c>
      <c r="BX125" s="144" t="str">
        <f>=ROUND(BV125+BQ125,2)</f>
      </c>
      <c r="CA125" s="149" t="s">
        <v>338</v>
      </c>
      <c r="CB125" s="24"/>
      <c r="CC125" s="117" t="str">
        <f>=IFERROR(ROUND(CB125/FB_Kurs_12,2),0)</f>
      </c>
      <c r="CD125" s="116" t="str">
        <f>=ROUND(CB125+BW125,2)</f>
      </c>
      <c r="CE125" s="144" t="str">
        <f>=ROUND(CC125+BX125,2)</f>
      </c>
      <c r="CH125" s="149" t="s">
        <v>338</v>
      </c>
      <c r="CI125" s="24"/>
      <c r="CJ125" s="117" t="str">
        <f>=IFERROR(ROUND(CI125/FB_Kurs_13,2),0)</f>
      </c>
      <c r="CK125" s="116" t="str">
        <f>=ROUND(CI125+CD125,2)</f>
      </c>
      <c r="CL125" s="144" t="str">
        <f>=ROUND(CJ125+CE125,2)</f>
      </c>
      <c r="CO125" s="149" t="s">
        <v>338</v>
      </c>
      <c r="CP125" s="24"/>
      <c r="CQ125" s="117" t="str">
        <f>=IFERROR(ROUND(CP125/FB_Kurs_14,2),0)</f>
      </c>
      <c r="CR125" s="116" t="str">
        <f>=ROUND(CP125+CK125,2)</f>
      </c>
      <c r="CS125" s="144" t="str">
        <f>=ROUND(CQ125+CL125,2)</f>
      </c>
      <c r="CV125" s="149" t="s">
        <v>338</v>
      </c>
      <c r="CW125" s="24"/>
      <c r="CX125" s="117" t="str">
        <f>=IFERROR(ROUND(CW125/FB_Kurs_15,2),0)</f>
      </c>
      <c r="CY125" s="116" t="str">
        <f>=ROUND(CW125+CR125,2)</f>
      </c>
      <c r="CZ125" s="144" t="str">
        <f>=ROUND(CX125+CS125,2)</f>
      </c>
      <c r="DC125" s="149" t="s">
        <v>338</v>
      </c>
      <c r="DD125" s="24"/>
      <c r="DE125" s="117" t="str">
        <f>=IFERROR(ROUND(DD125/FB_Kurs_16,2),0)</f>
      </c>
      <c r="DF125" s="116" t="str">
        <f>=ROUND(DD125+CY125,2)</f>
      </c>
      <c r="DG125" s="144" t="str">
        <f>=ROUND(DE125+CZ125,2)</f>
      </c>
      <c r="DJ125" s="149" t="s">
        <v>338</v>
      </c>
      <c r="DK125" s="24"/>
      <c r="DL125" s="117" t="str">
        <f>=IFERROR(ROUND(DK125/FB_Kurs_17,2),0)</f>
      </c>
      <c r="DM125" s="116" t="str">
        <f>=ROUND(DK125+DF125,2)</f>
      </c>
      <c r="DN125" s="144" t="str">
        <f>=ROUND(DL125+DG125,2)</f>
      </c>
      <c r="DQ125" s="149" t="s">
        <v>338</v>
      </c>
      <c r="DR125" s="24"/>
      <c r="DS125" s="117" t="str">
        <f>=IFERROR(ROUND(DR125/FB_Kurs_18,2),0)</f>
      </c>
      <c r="DT125" s="116" t="str">
        <f>=ROUND(DR125+DM125,2)</f>
      </c>
      <c r="DU125" s="144" t="str">
        <f>=ROUND(DS125+DN125,2)</f>
      </c>
    </row>
    <row r="126">
      <c r="B126" s="149" t="s">
        <v>339</v>
      </c>
      <c r="C126" s="24"/>
      <c r="D126" s="117" t="str">
        <f>=IFERROR(ROUND(C126/FB_Kurs_1,2),0)</f>
      </c>
      <c r="E126" s="116" t="str">
        <f>=ROUND(C126,2)</f>
      </c>
      <c r="F126" s="144" t="str">
        <f>=ROUND(D126,2)</f>
      </c>
      <c r="I126" s="149" t="s">
        <v>339</v>
      </c>
      <c r="J126" s="24"/>
      <c r="K126" s="117" t="str">
        <f>=IFERROR(ROUND(J126/FB_Kurs_2,2),0)</f>
      </c>
      <c r="L126" s="116" t="str">
        <f>=ROUND(J126+E126,2)</f>
      </c>
      <c r="M126" s="144" t="str">
        <f>=ROUND(K126+F126,2)</f>
      </c>
      <c r="P126" s="149" t="s">
        <v>339</v>
      </c>
      <c r="Q126" s="24"/>
      <c r="R126" s="117" t="str">
        <f>=IFERROR(ROUND(Q126/FB_Kurs_3,2),0)</f>
      </c>
      <c r="S126" s="116" t="str">
        <f>=ROUND(Q126+L126,2)</f>
      </c>
      <c r="T126" s="144" t="str">
        <f>=ROUND(R126+M126,2)</f>
      </c>
      <c r="W126" s="149" t="s">
        <v>339</v>
      </c>
      <c r="X126" s="24"/>
      <c r="Y126" s="117" t="str">
        <f>=IFERROR(ROUND(X126/FB_Kurs_4,2),0)</f>
      </c>
      <c r="Z126" s="116" t="str">
        <f>=ROUND(X126+S126,2)</f>
      </c>
      <c r="AA126" s="144" t="str">
        <f>=ROUND(Y126+T126,2)</f>
      </c>
      <c r="AD126" s="149" t="s">
        <v>339</v>
      </c>
      <c r="AE126" s="24"/>
      <c r="AF126" s="117" t="str">
        <f>=IFERROR(ROUND(AE126/FB_Kurs_5,2),0)</f>
      </c>
      <c r="AG126" s="116" t="str">
        <f>=ROUND(AE126+Z126,2)</f>
      </c>
      <c r="AH126" s="144" t="str">
        <f>=ROUND(AF126+AA126,2)</f>
      </c>
      <c r="AK126" s="149" t="s">
        <v>339</v>
      </c>
      <c r="AL126" s="24"/>
      <c r="AM126" s="117" t="str">
        <f>=IFERROR(ROUND(AL126/FB_Kurs_6,2),0)</f>
      </c>
      <c r="AN126" s="116" t="str">
        <f>=ROUND(AL126+AG126,2)</f>
      </c>
      <c r="AO126" s="144" t="str">
        <f>=ROUND(AM126+AH126,2)</f>
      </c>
      <c r="AR126" s="149" t="s">
        <v>339</v>
      </c>
      <c r="AS126" s="24"/>
      <c r="AT126" s="117" t="str">
        <f>=IFERROR(ROUND(AS126/FB_Kurs_7,2),0)</f>
      </c>
      <c r="AU126" s="116" t="str">
        <f>=ROUND(AS126+AN126,2)</f>
      </c>
      <c r="AV126" s="144" t="str">
        <f>=ROUND(AT126+AO126,2)</f>
      </c>
      <c r="AY126" s="149" t="s">
        <v>339</v>
      </c>
      <c r="AZ126" s="24"/>
      <c r="BA126" s="117" t="str">
        <f>=IFERROR(ROUND(AZ126/FB_Kurs_8,2),0)</f>
      </c>
      <c r="BB126" s="116" t="str">
        <f>=ROUND(AZ126+AU126,2)</f>
      </c>
      <c r="BC126" s="144" t="str">
        <f>=ROUND(BA126+AV126,2)</f>
      </c>
      <c r="BF126" s="149" t="s">
        <v>339</v>
      </c>
      <c r="BG126" s="24"/>
      <c r="BH126" s="117" t="str">
        <f>=IFERROR(ROUND(BG126/FB_Kurs_9,2),0)</f>
      </c>
      <c r="BI126" s="116" t="str">
        <f>=ROUND(BG126+BB126,2)</f>
      </c>
      <c r="BJ126" s="144" t="str">
        <f>=ROUND(BH126+BC126,2)</f>
      </c>
      <c r="BM126" s="149" t="s">
        <v>339</v>
      </c>
      <c r="BN126" s="24"/>
      <c r="BO126" s="117" t="str">
        <f>=IFERROR(ROUND(BN126/FB_Kurs_10,2),0)</f>
      </c>
      <c r="BP126" s="116" t="str">
        <f>=ROUND(BN126+BI126,2)</f>
      </c>
      <c r="BQ126" s="144" t="str">
        <f>=ROUND(BO126+BJ126,2)</f>
      </c>
      <c r="BT126" s="149" t="s">
        <v>339</v>
      </c>
      <c r="BU126" s="24"/>
      <c r="BV126" s="117" t="str">
        <f>=IFERROR(ROUND(BU126/FB_Kurs_11,2),0)</f>
      </c>
      <c r="BW126" s="116" t="str">
        <f>=ROUND(BU126+BP126,2)</f>
      </c>
      <c r="BX126" s="144" t="str">
        <f>=ROUND(BV126+BQ126,2)</f>
      </c>
      <c r="CA126" s="149" t="s">
        <v>339</v>
      </c>
      <c r="CB126" s="24"/>
      <c r="CC126" s="117" t="str">
        <f>=IFERROR(ROUND(CB126/FB_Kurs_12,2),0)</f>
      </c>
      <c r="CD126" s="116" t="str">
        <f>=ROUND(CB126+BW126,2)</f>
      </c>
      <c r="CE126" s="144" t="str">
        <f>=ROUND(CC126+BX126,2)</f>
      </c>
      <c r="CH126" s="149" t="s">
        <v>339</v>
      </c>
      <c r="CI126" s="24"/>
      <c r="CJ126" s="117" t="str">
        <f>=IFERROR(ROUND(CI126/FB_Kurs_13,2),0)</f>
      </c>
      <c r="CK126" s="116" t="str">
        <f>=ROUND(CI126+CD126,2)</f>
      </c>
      <c r="CL126" s="144" t="str">
        <f>=ROUND(CJ126+CE126,2)</f>
      </c>
      <c r="CO126" s="149" t="s">
        <v>339</v>
      </c>
      <c r="CP126" s="24"/>
      <c r="CQ126" s="117" t="str">
        <f>=IFERROR(ROUND(CP126/FB_Kurs_14,2),0)</f>
      </c>
      <c r="CR126" s="116" t="str">
        <f>=ROUND(CP126+CK126,2)</f>
      </c>
      <c r="CS126" s="144" t="str">
        <f>=ROUND(CQ126+CL126,2)</f>
      </c>
      <c r="CV126" s="149" t="s">
        <v>339</v>
      </c>
      <c r="CW126" s="24"/>
      <c r="CX126" s="117" t="str">
        <f>=IFERROR(ROUND(CW126/FB_Kurs_15,2),0)</f>
      </c>
      <c r="CY126" s="116" t="str">
        <f>=ROUND(CW126+CR126,2)</f>
      </c>
      <c r="CZ126" s="144" t="str">
        <f>=ROUND(CX126+CS126,2)</f>
      </c>
      <c r="DC126" s="149" t="s">
        <v>339</v>
      </c>
      <c r="DD126" s="24"/>
      <c r="DE126" s="117" t="str">
        <f>=IFERROR(ROUND(DD126/FB_Kurs_16,2),0)</f>
      </c>
      <c r="DF126" s="116" t="str">
        <f>=ROUND(DD126+CY126,2)</f>
      </c>
      <c r="DG126" s="144" t="str">
        <f>=ROUND(DE126+CZ126,2)</f>
      </c>
      <c r="DJ126" s="149" t="s">
        <v>339</v>
      </c>
      <c r="DK126" s="24"/>
      <c r="DL126" s="117" t="str">
        <f>=IFERROR(ROUND(DK126/FB_Kurs_17,2),0)</f>
      </c>
      <c r="DM126" s="116" t="str">
        <f>=ROUND(DK126+DF126,2)</f>
      </c>
      <c r="DN126" s="144" t="str">
        <f>=ROUND(DL126+DG126,2)</f>
      </c>
      <c r="DQ126" s="149" t="s">
        <v>339</v>
      </c>
      <c r="DR126" s="24"/>
      <c r="DS126" s="117" t="str">
        <f>=IFERROR(ROUND(DR126/FB_Kurs_18,2),0)</f>
      </c>
      <c r="DT126" s="116" t="str">
        <f>=ROUND(DR126+DM126,2)</f>
      </c>
      <c r="DU126" s="144" t="str">
        <f>=ROUND(DS126+DN126,2)</f>
      </c>
    </row>
    <row r="127">
      <c r="B127" s="149" t="s">
        <v>340</v>
      </c>
      <c r="C127" s="24"/>
      <c r="D127" s="117" t="str">
        <f>=IFERROR(ROUND(C127/FB_Kurs_1,2),0)</f>
      </c>
      <c r="E127" s="116" t="str">
        <f>=ROUND(C127,2)</f>
      </c>
      <c r="F127" s="144" t="str">
        <f>=ROUND(D127,2)</f>
      </c>
      <c r="I127" s="149" t="s">
        <v>340</v>
      </c>
      <c r="J127" s="24"/>
      <c r="K127" s="117" t="str">
        <f>=IFERROR(ROUND(J127/FB_Kurs_2,2),0)</f>
      </c>
      <c r="L127" s="116" t="str">
        <f>=ROUND(J127+E127,2)</f>
      </c>
      <c r="M127" s="144" t="str">
        <f>=ROUND(K127+F127,2)</f>
      </c>
      <c r="P127" s="149" t="s">
        <v>340</v>
      </c>
      <c r="Q127" s="24"/>
      <c r="R127" s="117" t="str">
        <f>=IFERROR(ROUND(Q127/FB_Kurs_3,2),0)</f>
      </c>
      <c r="S127" s="116" t="str">
        <f>=ROUND(Q127+L127,2)</f>
      </c>
      <c r="T127" s="144" t="str">
        <f>=ROUND(R127+M127,2)</f>
      </c>
      <c r="W127" s="149" t="s">
        <v>340</v>
      </c>
      <c r="X127" s="24"/>
      <c r="Y127" s="117" t="str">
        <f>=IFERROR(ROUND(X127/FB_Kurs_4,2),0)</f>
      </c>
      <c r="Z127" s="116" t="str">
        <f>=ROUND(X127+S127,2)</f>
      </c>
      <c r="AA127" s="144" t="str">
        <f>=ROUND(Y127+T127,2)</f>
      </c>
      <c r="AD127" s="149" t="s">
        <v>340</v>
      </c>
      <c r="AE127" s="24"/>
      <c r="AF127" s="117" t="str">
        <f>=IFERROR(ROUND(AE127/FB_Kurs_5,2),0)</f>
      </c>
      <c r="AG127" s="116" t="str">
        <f>=ROUND(AE127+Z127,2)</f>
      </c>
      <c r="AH127" s="144" t="str">
        <f>=ROUND(AF127+AA127,2)</f>
      </c>
      <c r="AK127" s="149" t="s">
        <v>340</v>
      </c>
      <c r="AL127" s="24"/>
      <c r="AM127" s="117" t="str">
        <f>=IFERROR(ROUND(AL127/FB_Kurs_6,2),0)</f>
      </c>
      <c r="AN127" s="116" t="str">
        <f>=ROUND(AL127+AG127,2)</f>
      </c>
      <c r="AO127" s="144" t="str">
        <f>=ROUND(AM127+AH127,2)</f>
      </c>
      <c r="AR127" s="149" t="s">
        <v>340</v>
      </c>
      <c r="AS127" s="24"/>
      <c r="AT127" s="117" t="str">
        <f>=IFERROR(ROUND(AS127/FB_Kurs_7,2),0)</f>
      </c>
      <c r="AU127" s="116" t="str">
        <f>=ROUND(AS127+AN127,2)</f>
      </c>
      <c r="AV127" s="144" t="str">
        <f>=ROUND(AT127+AO127,2)</f>
      </c>
      <c r="AY127" s="149" t="s">
        <v>340</v>
      </c>
      <c r="AZ127" s="24"/>
      <c r="BA127" s="117" t="str">
        <f>=IFERROR(ROUND(AZ127/FB_Kurs_8,2),0)</f>
      </c>
      <c r="BB127" s="116" t="str">
        <f>=ROUND(AZ127+AU127,2)</f>
      </c>
      <c r="BC127" s="144" t="str">
        <f>=ROUND(BA127+AV127,2)</f>
      </c>
      <c r="BF127" s="149" t="s">
        <v>340</v>
      </c>
      <c r="BG127" s="24"/>
      <c r="BH127" s="117" t="str">
        <f>=IFERROR(ROUND(BG127/FB_Kurs_9,2),0)</f>
      </c>
      <c r="BI127" s="116" t="str">
        <f>=ROUND(BG127+BB127,2)</f>
      </c>
      <c r="BJ127" s="144" t="str">
        <f>=ROUND(BH127+BC127,2)</f>
      </c>
      <c r="BM127" s="149" t="s">
        <v>340</v>
      </c>
      <c r="BN127" s="24"/>
      <c r="BO127" s="117" t="str">
        <f>=IFERROR(ROUND(BN127/FB_Kurs_10,2),0)</f>
      </c>
      <c r="BP127" s="116" t="str">
        <f>=ROUND(BN127+BI127,2)</f>
      </c>
      <c r="BQ127" s="144" t="str">
        <f>=ROUND(BO127+BJ127,2)</f>
      </c>
      <c r="BT127" s="149" t="s">
        <v>340</v>
      </c>
      <c r="BU127" s="24"/>
      <c r="BV127" s="117" t="str">
        <f>=IFERROR(ROUND(BU127/FB_Kurs_11,2),0)</f>
      </c>
      <c r="BW127" s="116" t="str">
        <f>=ROUND(BU127+BP127,2)</f>
      </c>
      <c r="BX127" s="144" t="str">
        <f>=ROUND(BV127+BQ127,2)</f>
      </c>
      <c r="CA127" s="149" t="s">
        <v>340</v>
      </c>
      <c r="CB127" s="24"/>
      <c r="CC127" s="117" t="str">
        <f>=IFERROR(ROUND(CB127/FB_Kurs_12,2),0)</f>
      </c>
      <c r="CD127" s="116" t="str">
        <f>=ROUND(CB127+BW127,2)</f>
      </c>
      <c r="CE127" s="144" t="str">
        <f>=ROUND(CC127+BX127,2)</f>
      </c>
      <c r="CH127" s="149" t="s">
        <v>340</v>
      </c>
      <c r="CI127" s="24"/>
      <c r="CJ127" s="117" t="str">
        <f>=IFERROR(ROUND(CI127/FB_Kurs_13,2),0)</f>
      </c>
      <c r="CK127" s="116" t="str">
        <f>=ROUND(CI127+CD127,2)</f>
      </c>
      <c r="CL127" s="144" t="str">
        <f>=ROUND(CJ127+CE127,2)</f>
      </c>
      <c r="CO127" s="149" t="s">
        <v>340</v>
      </c>
      <c r="CP127" s="24"/>
      <c r="CQ127" s="117" t="str">
        <f>=IFERROR(ROUND(CP127/FB_Kurs_14,2),0)</f>
      </c>
      <c r="CR127" s="116" t="str">
        <f>=ROUND(CP127+CK127,2)</f>
      </c>
      <c r="CS127" s="144" t="str">
        <f>=ROUND(CQ127+CL127,2)</f>
      </c>
      <c r="CV127" s="149" t="s">
        <v>340</v>
      </c>
      <c r="CW127" s="24"/>
      <c r="CX127" s="117" t="str">
        <f>=IFERROR(ROUND(CW127/FB_Kurs_15,2),0)</f>
      </c>
      <c r="CY127" s="116" t="str">
        <f>=ROUND(CW127+CR127,2)</f>
      </c>
      <c r="CZ127" s="144" t="str">
        <f>=ROUND(CX127+CS127,2)</f>
      </c>
      <c r="DC127" s="149" t="s">
        <v>340</v>
      </c>
      <c r="DD127" s="24"/>
      <c r="DE127" s="117" t="str">
        <f>=IFERROR(ROUND(DD127/FB_Kurs_16,2),0)</f>
      </c>
      <c r="DF127" s="116" t="str">
        <f>=ROUND(DD127+CY127,2)</f>
      </c>
      <c r="DG127" s="144" t="str">
        <f>=ROUND(DE127+CZ127,2)</f>
      </c>
      <c r="DJ127" s="149" t="s">
        <v>340</v>
      </c>
      <c r="DK127" s="24"/>
      <c r="DL127" s="117" t="str">
        <f>=IFERROR(ROUND(DK127/FB_Kurs_17,2),0)</f>
      </c>
      <c r="DM127" s="116" t="str">
        <f>=ROUND(DK127+DF127,2)</f>
      </c>
      <c r="DN127" s="144" t="str">
        <f>=ROUND(DL127+DG127,2)</f>
      </c>
      <c r="DQ127" s="149" t="s">
        <v>340</v>
      </c>
      <c r="DR127" s="24"/>
      <c r="DS127" s="117" t="str">
        <f>=IFERROR(ROUND(DR127/FB_Kurs_18,2),0)</f>
      </c>
      <c r="DT127" s="116" t="str">
        <f>=ROUND(DR127+DM127,2)</f>
      </c>
      <c r="DU127" s="144" t="str">
        <f>=ROUND(DS127+DN127,2)</f>
      </c>
    </row>
    <row r="128">
      <c r="B128" s="149" t="s">
        <v>341</v>
      </c>
      <c r="C128" s="24"/>
      <c r="D128" s="117" t="str">
        <f>=IFERROR(ROUND(C128/FB_Kurs_1,2),0)</f>
      </c>
      <c r="E128" s="116" t="str">
        <f>=ROUND(C128,2)</f>
      </c>
      <c r="F128" s="144" t="str">
        <f>=ROUND(D128,2)</f>
      </c>
      <c r="I128" s="149" t="s">
        <v>341</v>
      </c>
      <c r="J128" s="24"/>
      <c r="K128" s="117" t="str">
        <f>=IFERROR(ROUND(J128/FB_Kurs_2,2),0)</f>
      </c>
      <c r="L128" s="116" t="str">
        <f>=ROUND(J128+E128,2)</f>
      </c>
      <c r="M128" s="144" t="str">
        <f>=ROUND(K128+F128,2)</f>
      </c>
      <c r="P128" s="149" t="s">
        <v>341</v>
      </c>
      <c r="Q128" s="24"/>
      <c r="R128" s="117" t="str">
        <f>=IFERROR(ROUND(Q128/FB_Kurs_3,2),0)</f>
      </c>
      <c r="S128" s="116" t="str">
        <f>=ROUND(Q128+L128,2)</f>
      </c>
      <c r="T128" s="144" t="str">
        <f>=ROUND(R128+M128,2)</f>
      </c>
      <c r="W128" s="149" t="s">
        <v>341</v>
      </c>
      <c r="X128" s="24"/>
      <c r="Y128" s="117" t="str">
        <f>=IFERROR(ROUND(X128/FB_Kurs_4,2),0)</f>
      </c>
      <c r="Z128" s="116" t="str">
        <f>=ROUND(X128+S128,2)</f>
      </c>
      <c r="AA128" s="144" t="str">
        <f>=ROUND(Y128+T128,2)</f>
      </c>
      <c r="AD128" s="149" t="s">
        <v>341</v>
      </c>
      <c r="AE128" s="24"/>
      <c r="AF128" s="117" t="str">
        <f>=IFERROR(ROUND(AE128/FB_Kurs_5,2),0)</f>
      </c>
      <c r="AG128" s="116" t="str">
        <f>=ROUND(AE128+Z128,2)</f>
      </c>
      <c r="AH128" s="144" t="str">
        <f>=ROUND(AF128+AA128,2)</f>
      </c>
      <c r="AK128" s="149" t="s">
        <v>341</v>
      </c>
      <c r="AL128" s="24"/>
      <c r="AM128" s="117" t="str">
        <f>=IFERROR(ROUND(AL128/FB_Kurs_6,2),0)</f>
      </c>
      <c r="AN128" s="116" t="str">
        <f>=ROUND(AL128+AG128,2)</f>
      </c>
      <c r="AO128" s="144" t="str">
        <f>=ROUND(AM128+AH128,2)</f>
      </c>
      <c r="AR128" s="149" t="s">
        <v>341</v>
      </c>
      <c r="AS128" s="24"/>
      <c r="AT128" s="117" t="str">
        <f>=IFERROR(ROUND(AS128/FB_Kurs_7,2),0)</f>
      </c>
      <c r="AU128" s="116" t="str">
        <f>=ROUND(AS128+AN128,2)</f>
      </c>
      <c r="AV128" s="144" t="str">
        <f>=ROUND(AT128+AO128,2)</f>
      </c>
      <c r="AY128" s="149" t="s">
        <v>341</v>
      </c>
      <c r="AZ128" s="24"/>
      <c r="BA128" s="117" t="str">
        <f>=IFERROR(ROUND(AZ128/FB_Kurs_8,2),0)</f>
      </c>
      <c r="BB128" s="116" t="str">
        <f>=ROUND(AZ128+AU128,2)</f>
      </c>
      <c r="BC128" s="144" t="str">
        <f>=ROUND(BA128+AV128,2)</f>
      </c>
      <c r="BF128" s="149" t="s">
        <v>341</v>
      </c>
      <c r="BG128" s="24"/>
      <c r="BH128" s="117" t="str">
        <f>=IFERROR(ROUND(BG128/FB_Kurs_9,2),0)</f>
      </c>
      <c r="BI128" s="116" t="str">
        <f>=ROUND(BG128+BB128,2)</f>
      </c>
      <c r="BJ128" s="144" t="str">
        <f>=ROUND(BH128+BC128,2)</f>
      </c>
      <c r="BM128" s="149" t="s">
        <v>341</v>
      </c>
      <c r="BN128" s="24"/>
      <c r="BO128" s="117" t="str">
        <f>=IFERROR(ROUND(BN128/FB_Kurs_10,2),0)</f>
      </c>
      <c r="BP128" s="116" t="str">
        <f>=ROUND(BN128+BI128,2)</f>
      </c>
      <c r="BQ128" s="144" t="str">
        <f>=ROUND(BO128+BJ128,2)</f>
      </c>
      <c r="BT128" s="149" t="s">
        <v>341</v>
      </c>
      <c r="BU128" s="24"/>
      <c r="BV128" s="117" t="str">
        <f>=IFERROR(ROUND(BU128/FB_Kurs_11,2),0)</f>
      </c>
      <c r="BW128" s="116" t="str">
        <f>=ROUND(BU128+BP128,2)</f>
      </c>
      <c r="BX128" s="144" t="str">
        <f>=ROUND(BV128+BQ128,2)</f>
      </c>
      <c r="CA128" s="149" t="s">
        <v>341</v>
      </c>
      <c r="CB128" s="24"/>
      <c r="CC128" s="117" t="str">
        <f>=IFERROR(ROUND(CB128/FB_Kurs_12,2),0)</f>
      </c>
      <c r="CD128" s="116" t="str">
        <f>=ROUND(CB128+BW128,2)</f>
      </c>
      <c r="CE128" s="144" t="str">
        <f>=ROUND(CC128+BX128,2)</f>
      </c>
      <c r="CH128" s="149" t="s">
        <v>341</v>
      </c>
      <c r="CI128" s="24"/>
      <c r="CJ128" s="117" t="str">
        <f>=IFERROR(ROUND(CI128/FB_Kurs_13,2),0)</f>
      </c>
      <c r="CK128" s="116" t="str">
        <f>=ROUND(CI128+CD128,2)</f>
      </c>
      <c r="CL128" s="144" t="str">
        <f>=ROUND(CJ128+CE128,2)</f>
      </c>
      <c r="CO128" s="149" t="s">
        <v>341</v>
      </c>
      <c r="CP128" s="24"/>
      <c r="CQ128" s="117" t="str">
        <f>=IFERROR(ROUND(CP128/FB_Kurs_14,2),0)</f>
      </c>
      <c r="CR128" s="116" t="str">
        <f>=ROUND(CP128+CK128,2)</f>
      </c>
      <c r="CS128" s="144" t="str">
        <f>=ROUND(CQ128+CL128,2)</f>
      </c>
      <c r="CV128" s="149" t="s">
        <v>341</v>
      </c>
      <c r="CW128" s="24"/>
      <c r="CX128" s="117" t="str">
        <f>=IFERROR(ROUND(CW128/FB_Kurs_15,2),0)</f>
      </c>
      <c r="CY128" s="116" t="str">
        <f>=ROUND(CW128+CR128,2)</f>
      </c>
      <c r="CZ128" s="144" t="str">
        <f>=ROUND(CX128+CS128,2)</f>
      </c>
      <c r="DC128" s="149" t="s">
        <v>341</v>
      </c>
      <c r="DD128" s="24"/>
      <c r="DE128" s="117" t="str">
        <f>=IFERROR(ROUND(DD128/FB_Kurs_16,2),0)</f>
      </c>
      <c r="DF128" s="116" t="str">
        <f>=ROUND(DD128+CY128,2)</f>
      </c>
      <c r="DG128" s="144" t="str">
        <f>=ROUND(DE128+CZ128,2)</f>
      </c>
      <c r="DJ128" s="149" t="s">
        <v>341</v>
      </c>
      <c r="DK128" s="24"/>
      <c r="DL128" s="117" t="str">
        <f>=IFERROR(ROUND(DK128/FB_Kurs_17,2),0)</f>
      </c>
      <c r="DM128" s="116" t="str">
        <f>=ROUND(DK128+DF128,2)</f>
      </c>
      <c r="DN128" s="144" t="str">
        <f>=ROUND(DL128+DG128,2)</f>
      </c>
      <c r="DQ128" s="149" t="s">
        <v>341</v>
      </c>
      <c r="DR128" s="24"/>
      <c r="DS128" s="117" t="str">
        <f>=IFERROR(ROUND(DR128/FB_Kurs_18,2),0)</f>
      </c>
      <c r="DT128" s="116" t="str">
        <f>=ROUND(DR128+DM128,2)</f>
      </c>
      <c r="DU128" s="144" t="str">
        <f>=ROUND(DS128+DN128,2)</f>
      </c>
    </row>
    <row r="129">
      <c r="B129" s="149" t="s">
        <v>342</v>
      </c>
      <c r="C129" s="24"/>
      <c r="D129" s="117" t="str">
        <f>=IFERROR(ROUND(C129/FB_Kurs_1,2),0)</f>
      </c>
      <c r="E129" s="116" t="str">
        <f>=ROUND(C129,2)</f>
      </c>
      <c r="F129" s="144" t="str">
        <f>=ROUND(D129,2)</f>
      </c>
      <c r="I129" s="149" t="s">
        <v>342</v>
      </c>
      <c r="J129" s="24"/>
      <c r="K129" s="117" t="str">
        <f>=IFERROR(ROUND(J129/FB_Kurs_2,2),0)</f>
      </c>
      <c r="L129" s="116" t="str">
        <f>=ROUND(J129+E129,2)</f>
      </c>
      <c r="M129" s="144" t="str">
        <f>=ROUND(K129+F129,2)</f>
      </c>
      <c r="P129" s="149" t="s">
        <v>342</v>
      </c>
      <c r="Q129" s="24"/>
      <c r="R129" s="117" t="str">
        <f>=IFERROR(ROUND(Q129/FB_Kurs_3,2),0)</f>
      </c>
      <c r="S129" s="116" t="str">
        <f>=ROUND(Q129+L129,2)</f>
      </c>
      <c r="T129" s="144" t="str">
        <f>=ROUND(R129+M129,2)</f>
      </c>
      <c r="W129" s="149" t="s">
        <v>342</v>
      </c>
      <c r="X129" s="24"/>
      <c r="Y129" s="117" t="str">
        <f>=IFERROR(ROUND(X129/FB_Kurs_4,2),0)</f>
      </c>
      <c r="Z129" s="116" t="str">
        <f>=ROUND(X129+S129,2)</f>
      </c>
      <c r="AA129" s="144" t="str">
        <f>=ROUND(Y129+T129,2)</f>
      </c>
      <c r="AD129" s="149" t="s">
        <v>342</v>
      </c>
      <c r="AE129" s="24"/>
      <c r="AF129" s="117" t="str">
        <f>=IFERROR(ROUND(AE129/FB_Kurs_5,2),0)</f>
      </c>
      <c r="AG129" s="116" t="str">
        <f>=ROUND(AE129+Z129,2)</f>
      </c>
      <c r="AH129" s="144" t="str">
        <f>=ROUND(AF129+AA129,2)</f>
      </c>
      <c r="AK129" s="149" t="s">
        <v>342</v>
      </c>
      <c r="AL129" s="24"/>
      <c r="AM129" s="117" t="str">
        <f>=IFERROR(ROUND(AL129/FB_Kurs_6,2),0)</f>
      </c>
      <c r="AN129" s="116" t="str">
        <f>=ROUND(AL129+AG129,2)</f>
      </c>
      <c r="AO129" s="144" t="str">
        <f>=ROUND(AM129+AH129,2)</f>
      </c>
      <c r="AR129" s="149" t="s">
        <v>342</v>
      </c>
      <c r="AS129" s="24"/>
      <c r="AT129" s="117" t="str">
        <f>=IFERROR(ROUND(AS129/FB_Kurs_7,2),0)</f>
      </c>
      <c r="AU129" s="116" t="str">
        <f>=ROUND(AS129+AN129,2)</f>
      </c>
      <c r="AV129" s="144" t="str">
        <f>=ROUND(AT129+AO129,2)</f>
      </c>
      <c r="AY129" s="149" t="s">
        <v>342</v>
      </c>
      <c r="AZ129" s="24"/>
      <c r="BA129" s="117" t="str">
        <f>=IFERROR(ROUND(AZ129/FB_Kurs_8,2),0)</f>
      </c>
      <c r="BB129" s="116" t="str">
        <f>=ROUND(AZ129+AU129,2)</f>
      </c>
      <c r="BC129" s="144" t="str">
        <f>=ROUND(BA129+AV129,2)</f>
      </c>
      <c r="BF129" s="149" t="s">
        <v>342</v>
      </c>
      <c r="BG129" s="24"/>
      <c r="BH129" s="117" t="str">
        <f>=IFERROR(ROUND(BG129/FB_Kurs_9,2),0)</f>
      </c>
      <c r="BI129" s="116" t="str">
        <f>=ROUND(BG129+BB129,2)</f>
      </c>
      <c r="BJ129" s="144" t="str">
        <f>=ROUND(BH129+BC129,2)</f>
      </c>
      <c r="BM129" s="149" t="s">
        <v>342</v>
      </c>
      <c r="BN129" s="24"/>
      <c r="BO129" s="117" t="str">
        <f>=IFERROR(ROUND(BN129/FB_Kurs_10,2),0)</f>
      </c>
      <c r="BP129" s="116" t="str">
        <f>=ROUND(BN129+BI129,2)</f>
      </c>
      <c r="BQ129" s="144" t="str">
        <f>=ROUND(BO129+BJ129,2)</f>
      </c>
      <c r="BT129" s="149" t="s">
        <v>342</v>
      </c>
      <c r="BU129" s="24"/>
      <c r="BV129" s="117" t="str">
        <f>=IFERROR(ROUND(BU129/FB_Kurs_11,2),0)</f>
      </c>
      <c r="BW129" s="116" t="str">
        <f>=ROUND(BU129+BP129,2)</f>
      </c>
      <c r="BX129" s="144" t="str">
        <f>=ROUND(BV129+BQ129,2)</f>
      </c>
      <c r="CA129" s="149" t="s">
        <v>342</v>
      </c>
      <c r="CB129" s="24"/>
      <c r="CC129" s="117" t="str">
        <f>=IFERROR(ROUND(CB129/FB_Kurs_12,2),0)</f>
      </c>
      <c r="CD129" s="116" t="str">
        <f>=ROUND(CB129+BW129,2)</f>
      </c>
      <c r="CE129" s="144" t="str">
        <f>=ROUND(CC129+BX129,2)</f>
      </c>
      <c r="CH129" s="149" t="s">
        <v>342</v>
      </c>
      <c r="CI129" s="24"/>
      <c r="CJ129" s="117" t="str">
        <f>=IFERROR(ROUND(CI129/FB_Kurs_13,2),0)</f>
      </c>
      <c r="CK129" s="116" t="str">
        <f>=ROUND(CI129+CD129,2)</f>
      </c>
      <c r="CL129" s="144" t="str">
        <f>=ROUND(CJ129+CE129,2)</f>
      </c>
      <c r="CO129" s="149" t="s">
        <v>342</v>
      </c>
      <c r="CP129" s="24"/>
      <c r="CQ129" s="117" t="str">
        <f>=IFERROR(ROUND(CP129/FB_Kurs_14,2),0)</f>
      </c>
      <c r="CR129" s="116" t="str">
        <f>=ROUND(CP129+CK129,2)</f>
      </c>
      <c r="CS129" s="144" t="str">
        <f>=ROUND(CQ129+CL129,2)</f>
      </c>
      <c r="CV129" s="149" t="s">
        <v>342</v>
      </c>
      <c r="CW129" s="24"/>
      <c r="CX129" s="117" t="str">
        <f>=IFERROR(ROUND(CW129/FB_Kurs_15,2),0)</f>
      </c>
      <c r="CY129" s="116" t="str">
        <f>=ROUND(CW129+CR129,2)</f>
      </c>
      <c r="CZ129" s="144" t="str">
        <f>=ROUND(CX129+CS129,2)</f>
      </c>
      <c r="DC129" s="149" t="s">
        <v>342</v>
      </c>
      <c r="DD129" s="24"/>
      <c r="DE129" s="117" t="str">
        <f>=IFERROR(ROUND(DD129/FB_Kurs_16,2),0)</f>
      </c>
      <c r="DF129" s="116" t="str">
        <f>=ROUND(DD129+CY129,2)</f>
      </c>
      <c r="DG129" s="144" t="str">
        <f>=ROUND(DE129+CZ129,2)</f>
      </c>
      <c r="DJ129" s="149" t="s">
        <v>342</v>
      </c>
      <c r="DK129" s="24"/>
      <c r="DL129" s="117" t="str">
        <f>=IFERROR(ROUND(DK129/FB_Kurs_17,2),0)</f>
      </c>
      <c r="DM129" s="116" t="str">
        <f>=ROUND(DK129+DF129,2)</f>
      </c>
      <c r="DN129" s="144" t="str">
        <f>=ROUND(DL129+DG129,2)</f>
      </c>
      <c r="DQ129" s="149" t="s">
        <v>342</v>
      </c>
      <c r="DR129" s="24"/>
      <c r="DS129" s="117" t="str">
        <f>=IFERROR(ROUND(DR129/FB_Kurs_18,2),0)</f>
      </c>
      <c r="DT129" s="116" t="str">
        <f>=ROUND(DR129+DM129,2)</f>
      </c>
      <c r="DU129" s="144" t="str">
        <f>=ROUND(DS129+DN129,2)</f>
      </c>
    </row>
    <row r="130">
      <c r="B130" s="149" t="s">
        <v>343</v>
      </c>
      <c r="C130" s="24"/>
      <c r="D130" s="117" t="str">
        <f>=IFERROR(ROUND(C130/FB_Kurs_1,2),0)</f>
      </c>
      <c r="E130" s="116" t="str">
        <f>=ROUND(C130,2)</f>
      </c>
      <c r="F130" s="144" t="str">
        <f>=ROUND(D130,2)</f>
      </c>
      <c r="I130" s="149" t="s">
        <v>343</v>
      </c>
      <c r="J130" s="24"/>
      <c r="K130" s="117" t="str">
        <f>=IFERROR(ROUND(J130/FB_Kurs_2,2),0)</f>
      </c>
      <c r="L130" s="116" t="str">
        <f>=ROUND(J130+E130,2)</f>
      </c>
      <c r="M130" s="144" t="str">
        <f>=ROUND(K130+F130,2)</f>
      </c>
      <c r="P130" s="149" t="s">
        <v>343</v>
      </c>
      <c r="Q130" s="24"/>
      <c r="R130" s="117" t="str">
        <f>=IFERROR(ROUND(Q130/FB_Kurs_3,2),0)</f>
      </c>
      <c r="S130" s="116" t="str">
        <f>=ROUND(Q130+L130,2)</f>
      </c>
      <c r="T130" s="144" t="str">
        <f>=ROUND(R130+M130,2)</f>
      </c>
      <c r="W130" s="149" t="s">
        <v>343</v>
      </c>
      <c r="X130" s="24"/>
      <c r="Y130" s="117" t="str">
        <f>=IFERROR(ROUND(X130/FB_Kurs_4,2),0)</f>
      </c>
      <c r="Z130" s="116" t="str">
        <f>=ROUND(X130+S130,2)</f>
      </c>
      <c r="AA130" s="144" t="str">
        <f>=ROUND(Y130+T130,2)</f>
      </c>
      <c r="AD130" s="149" t="s">
        <v>343</v>
      </c>
      <c r="AE130" s="24"/>
      <c r="AF130" s="117" t="str">
        <f>=IFERROR(ROUND(AE130/FB_Kurs_5,2),0)</f>
      </c>
      <c r="AG130" s="116" t="str">
        <f>=ROUND(AE130+Z130,2)</f>
      </c>
      <c r="AH130" s="144" t="str">
        <f>=ROUND(AF130+AA130,2)</f>
      </c>
      <c r="AK130" s="149" t="s">
        <v>343</v>
      </c>
      <c r="AL130" s="24"/>
      <c r="AM130" s="117" t="str">
        <f>=IFERROR(ROUND(AL130/FB_Kurs_6,2),0)</f>
      </c>
      <c r="AN130" s="116" t="str">
        <f>=ROUND(AL130+AG130,2)</f>
      </c>
      <c r="AO130" s="144" t="str">
        <f>=ROUND(AM130+AH130,2)</f>
      </c>
      <c r="AR130" s="149" t="s">
        <v>343</v>
      </c>
      <c r="AS130" s="24"/>
      <c r="AT130" s="117" t="str">
        <f>=IFERROR(ROUND(AS130/FB_Kurs_7,2),0)</f>
      </c>
      <c r="AU130" s="116" t="str">
        <f>=ROUND(AS130+AN130,2)</f>
      </c>
      <c r="AV130" s="144" t="str">
        <f>=ROUND(AT130+AO130,2)</f>
      </c>
      <c r="AY130" s="149" t="s">
        <v>343</v>
      </c>
      <c r="AZ130" s="24"/>
      <c r="BA130" s="117" t="str">
        <f>=IFERROR(ROUND(AZ130/FB_Kurs_8,2),0)</f>
      </c>
      <c r="BB130" s="116" t="str">
        <f>=ROUND(AZ130+AU130,2)</f>
      </c>
      <c r="BC130" s="144" t="str">
        <f>=ROUND(BA130+AV130,2)</f>
      </c>
      <c r="BF130" s="149" t="s">
        <v>343</v>
      </c>
      <c r="BG130" s="24"/>
      <c r="BH130" s="117" t="str">
        <f>=IFERROR(ROUND(BG130/FB_Kurs_9,2),0)</f>
      </c>
      <c r="BI130" s="116" t="str">
        <f>=ROUND(BG130+BB130,2)</f>
      </c>
      <c r="BJ130" s="144" t="str">
        <f>=ROUND(BH130+BC130,2)</f>
      </c>
      <c r="BM130" s="149" t="s">
        <v>343</v>
      </c>
      <c r="BN130" s="24"/>
      <c r="BO130" s="117" t="str">
        <f>=IFERROR(ROUND(BN130/FB_Kurs_10,2),0)</f>
      </c>
      <c r="BP130" s="116" t="str">
        <f>=ROUND(BN130+BI130,2)</f>
      </c>
      <c r="BQ130" s="144" t="str">
        <f>=ROUND(BO130+BJ130,2)</f>
      </c>
      <c r="BT130" s="149" t="s">
        <v>343</v>
      </c>
      <c r="BU130" s="24"/>
      <c r="BV130" s="117" t="str">
        <f>=IFERROR(ROUND(BU130/FB_Kurs_11,2),0)</f>
      </c>
      <c r="BW130" s="116" t="str">
        <f>=ROUND(BU130+BP130,2)</f>
      </c>
      <c r="BX130" s="144" t="str">
        <f>=ROUND(BV130+BQ130,2)</f>
      </c>
      <c r="CA130" s="149" t="s">
        <v>343</v>
      </c>
      <c r="CB130" s="24"/>
      <c r="CC130" s="117" t="str">
        <f>=IFERROR(ROUND(CB130/FB_Kurs_12,2),0)</f>
      </c>
      <c r="CD130" s="116" t="str">
        <f>=ROUND(CB130+BW130,2)</f>
      </c>
      <c r="CE130" s="144" t="str">
        <f>=ROUND(CC130+BX130,2)</f>
      </c>
      <c r="CH130" s="149" t="s">
        <v>343</v>
      </c>
      <c r="CI130" s="24"/>
      <c r="CJ130" s="117" t="str">
        <f>=IFERROR(ROUND(CI130/FB_Kurs_13,2),0)</f>
      </c>
      <c r="CK130" s="116" t="str">
        <f>=ROUND(CI130+CD130,2)</f>
      </c>
      <c r="CL130" s="144" t="str">
        <f>=ROUND(CJ130+CE130,2)</f>
      </c>
      <c r="CO130" s="149" t="s">
        <v>343</v>
      </c>
      <c r="CP130" s="24"/>
      <c r="CQ130" s="117" t="str">
        <f>=IFERROR(ROUND(CP130/FB_Kurs_14,2),0)</f>
      </c>
      <c r="CR130" s="116" t="str">
        <f>=ROUND(CP130+CK130,2)</f>
      </c>
      <c r="CS130" s="144" t="str">
        <f>=ROUND(CQ130+CL130,2)</f>
      </c>
      <c r="CV130" s="149" t="s">
        <v>343</v>
      </c>
      <c r="CW130" s="24"/>
      <c r="CX130" s="117" t="str">
        <f>=IFERROR(ROUND(CW130/FB_Kurs_15,2),0)</f>
      </c>
      <c r="CY130" s="116" t="str">
        <f>=ROUND(CW130+CR130,2)</f>
      </c>
      <c r="CZ130" s="144" t="str">
        <f>=ROUND(CX130+CS130,2)</f>
      </c>
      <c r="DC130" s="149" t="s">
        <v>343</v>
      </c>
      <c r="DD130" s="24"/>
      <c r="DE130" s="117" t="str">
        <f>=IFERROR(ROUND(DD130/FB_Kurs_16,2),0)</f>
      </c>
      <c r="DF130" s="116" t="str">
        <f>=ROUND(DD130+CY130,2)</f>
      </c>
      <c r="DG130" s="144" t="str">
        <f>=ROUND(DE130+CZ130,2)</f>
      </c>
      <c r="DJ130" s="149" t="s">
        <v>343</v>
      </c>
      <c r="DK130" s="24"/>
      <c r="DL130" s="117" t="str">
        <f>=IFERROR(ROUND(DK130/FB_Kurs_17,2),0)</f>
      </c>
      <c r="DM130" s="116" t="str">
        <f>=ROUND(DK130+DF130,2)</f>
      </c>
      <c r="DN130" s="144" t="str">
        <f>=ROUND(DL130+DG130,2)</f>
      </c>
      <c r="DQ130" s="149" t="s">
        <v>343</v>
      </c>
      <c r="DR130" s="24"/>
      <c r="DS130" s="117" t="str">
        <f>=IFERROR(ROUND(DR130/FB_Kurs_18,2),0)</f>
      </c>
      <c r="DT130" s="116" t="str">
        <f>=ROUND(DR130+DM130,2)</f>
      </c>
      <c r="DU130" s="144" t="str">
        <f>=ROUND(DS130+DN130,2)</f>
      </c>
    </row>
    <row r="131">
      <c r="B131" s="149" t="s">
        <v>344</v>
      </c>
      <c r="C131" s="24"/>
      <c r="D131" s="117" t="str">
        <f>=IFERROR(ROUND(C131/FB_Kurs_1,2),0)</f>
      </c>
      <c r="E131" s="116" t="str">
        <f>=ROUND(C131,2)</f>
      </c>
      <c r="F131" s="144" t="str">
        <f>=ROUND(D131,2)</f>
      </c>
      <c r="I131" s="149" t="s">
        <v>344</v>
      </c>
      <c r="J131" s="24"/>
      <c r="K131" s="117" t="str">
        <f>=IFERROR(ROUND(J131/FB_Kurs_2,2),0)</f>
      </c>
      <c r="L131" s="116" t="str">
        <f>=ROUND(J131+E131,2)</f>
      </c>
      <c r="M131" s="144" t="str">
        <f>=ROUND(K131+F131,2)</f>
      </c>
      <c r="P131" s="149" t="s">
        <v>344</v>
      </c>
      <c r="Q131" s="24"/>
      <c r="R131" s="117" t="str">
        <f>=IFERROR(ROUND(Q131/FB_Kurs_3,2),0)</f>
      </c>
      <c r="S131" s="116" t="str">
        <f>=ROUND(Q131+L131,2)</f>
      </c>
      <c r="T131" s="144" t="str">
        <f>=ROUND(R131+M131,2)</f>
      </c>
      <c r="W131" s="149" t="s">
        <v>344</v>
      </c>
      <c r="X131" s="24"/>
      <c r="Y131" s="117" t="str">
        <f>=IFERROR(ROUND(X131/FB_Kurs_4,2),0)</f>
      </c>
      <c r="Z131" s="116" t="str">
        <f>=ROUND(X131+S131,2)</f>
      </c>
      <c r="AA131" s="144" t="str">
        <f>=ROUND(Y131+T131,2)</f>
      </c>
      <c r="AD131" s="149" t="s">
        <v>344</v>
      </c>
      <c r="AE131" s="24"/>
      <c r="AF131" s="117" t="str">
        <f>=IFERROR(ROUND(AE131/FB_Kurs_5,2),0)</f>
      </c>
      <c r="AG131" s="116" t="str">
        <f>=ROUND(AE131+Z131,2)</f>
      </c>
      <c r="AH131" s="144" t="str">
        <f>=ROUND(AF131+AA131,2)</f>
      </c>
      <c r="AK131" s="149" t="s">
        <v>344</v>
      </c>
      <c r="AL131" s="24"/>
      <c r="AM131" s="117" t="str">
        <f>=IFERROR(ROUND(AL131/FB_Kurs_6,2),0)</f>
      </c>
      <c r="AN131" s="116" t="str">
        <f>=ROUND(AL131+AG131,2)</f>
      </c>
      <c r="AO131" s="144" t="str">
        <f>=ROUND(AM131+AH131,2)</f>
      </c>
      <c r="AR131" s="149" t="s">
        <v>344</v>
      </c>
      <c r="AS131" s="24"/>
      <c r="AT131" s="117" t="str">
        <f>=IFERROR(ROUND(AS131/FB_Kurs_7,2),0)</f>
      </c>
      <c r="AU131" s="116" t="str">
        <f>=ROUND(AS131+AN131,2)</f>
      </c>
      <c r="AV131" s="144" t="str">
        <f>=ROUND(AT131+AO131,2)</f>
      </c>
      <c r="AY131" s="149" t="s">
        <v>344</v>
      </c>
      <c r="AZ131" s="24"/>
      <c r="BA131" s="117" t="str">
        <f>=IFERROR(ROUND(AZ131/FB_Kurs_8,2),0)</f>
      </c>
      <c r="BB131" s="116" t="str">
        <f>=ROUND(AZ131+AU131,2)</f>
      </c>
      <c r="BC131" s="144" t="str">
        <f>=ROUND(BA131+AV131,2)</f>
      </c>
      <c r="BF131" s="149" t="s">
        <v>344</v>
      </c>
      <c r="BG131" s="24"/>
      <c r="BH131" s="117" t="str">
        <f>=IFERROR(ROUND(BG131/FB_Kurs_9,2),0)</f>
      </c>
      <c r="BI131" s="116" t="str">
        <f>=ROUND(BG131+BB131,2)</f>
      </c>
      <c r="BJ131" s="144" t="str">
        <f>=ROUND(BH131+BC131,2)</f>
      </c>
      <c r="BM131" s="149" t="s">
        <v>344</v>
      </c>
      <c r="BN131" s="24"/>
      <c r="BO131" s="117" t="str">
        <f>=IFERROR(ROUND(BN131/FB_Kurs_10,2),0)</f>
      </c>
      <c r="BP131" s="116" t="str">
        <f>=ROUND(BN131+BI131,2)</f>
      </c>
      <c r="BQ131" s="144" t="str">
        <f>=ROUND(BO131+BJ131,2)</f>
      </c>
      <c r="BT131" s="149" t="s">
        <v>344</v>
      </c>
      <c r="BU131" s="24"/>
      <c r="BV131" s="117" t="str">
        <f>=IFERROR(ROUND(BU131/FB_Kurs_11,2),0)</f>
      </c>
      <c r="BW131" s="116" t="str">
        <f>=ROUND(BU131+BP131,2)</f>
      </c>
      <c r="BX131" s="144" t="str">
        <f>=ROUND(BV131+BQ131,2)</f>
      </c>
      <c r="CA131" s="149" t="s">
        <v>344</v>
      </c>
      <c r="CB131" s="24"/>
      <c r="CC131" s="117" t="str">
        <f>=IFERROR(ROUND(CB131/FB_Kurs_12,2),0)</f>
      </c>
      <c r="CD131" s="116" t="str">
        <f>=ROUND(CB131+BW131,2)</f>
      </c>
      <c r="CE131" s="144" t="str">
        <f>=ROUND(CC131+BX131,2)</f>
      </c>
      <c r="CH131" s="149" t="s">
        <v>344</v>
      </c>
      <c r="CI131" s="24"/>
      <c r="CJ131" s="117" t="str">
        <f>=IFERROR(ROUND(CI131/FB_Kurs_13,2),0)</f>
      </c>
      <c r="CK131" s="116" t="str">
        <f>=ROUND(CI131+CD131,2)</f>
      </c>
      <c r="CL131" s="144" t="str">
        <f>=ROUND(CJ131+CE131,2)</f>
      </c>
      <c r="CO131" s="149" t="s">
        <v>344</v>
      </c>
      <c r="CP131" s="24"/>
      <c r="CQ131" s="117" t="str">
        <f>=IFERROR(ROUND(CP131/FB_Kurs_14,2),0)</f>
      </c>
      <c r="CR131" s="116" t="str">
        <f>=ROUND(CP131+CK131,2)</f>
      </c>
      <c r="CS131" s="144" t="str">
        <f>=ROUND(CQ131+CL131,2)</f>
      </c>
      <c r="CV131" s="149" t="s">
        <v>344</v>
      </c>
      <c r="CW131" s="24"/>
      <c r="CX131" s="117" t="str">
        <f>=IFERROR(ROUND(CW131/FB_Kurs_15,2),0)</f>
      </c>
      <c r="CY131" s="116" t="str">
        <f>=ROUND(CW131+CR131,2)</f>
      </c>
      <c r="CZ131" s="144" t="str">
        <f>=ROUND(CX131+CS131,2)</f>
      </c>
      <c r="DC131" s="149" t="s">
        <v>344</v>
      </c>
      <c r="DD131" s="24"/>
      <c r="DE131" s="117" t="str">
        <f>=IFERROR(ROUND(DD131/FB_Kurs_16,2),0)</f>
      </c>
      <c r="DF131" s="116" t="str">
        <f>=ROUND(DD131+CY131,2)</f>
      </c>
      <c r="DG131" s="144" t="str">
        <f>=ROUND(DE131+CZ131,2)</f>
      </c>
      <c r="DJ131" s="149" t="s">
        <v>344</v>
      </c>
      <c r="DK131" s="24"/>
      <c r="DL131" s="117" t="str">
        <f>=IFERROR(ROUND(DK131/FB_Kurs_17,2),0)</f>
      </c>
      <c r="DM131" s="116" t="str">
        <f>=ROUND(DK131+DF131,2)</f>
      </c>
      <c r="DN131" s="144" t="str">
        <f>=ROUND(DL131+DG131,2)</f>
      </c>
      <c r="DQ131" s="149" t="s">
        <v>344</v>
      </c>
      <c r="DR131" s="24"/>
      <c r="DS131" s="117" t="str">
        <f>=IFERROR(ROUND(DR131/FB_Kurs_18,2),0)</f>
      </c>
      <c r="DT131" s="116" t="str">
        <f>=ROUND(DR131+DM131,2)</f>
      </c>
      <c r="DU131" s="144" t="str">
        <f>=ROUND(DS131+DN131,2)</f>
      </c>
    </row>
    <row r="132">
      <c r="B132" s="149" t="s">
        <v>345</v>
      </c>
      <c r="C132" s="24"/>
      <c r="D132" s="117" t="str">
        <f>=IFERROR(ROUND(C132/FB_Kurs_1,2),0)</f>
      </c>
      <c r="E132" s="116" t="str">
        <f>=ROUND(C132,2)</f>
      </c>
      <c r="F132" s="144" t="str">
        <f>=ROUND(D132,2)</f>
      </c>
      <c r="I132" s="149" t="s">
        <v>345</v>
      </c>
      <c r="J132" s="24"/>
      <c r="K132" s="117" t="str">
        <f>=IFERROR(ROUND(J132/FB_Kurs_2,2),0)</f>
      </c>
      <c r="L132" s="116" t="str">
        <f>=ROUND(J132+E132,2)</f>
      </c>
      <c r="M132" s="144" t="str">
        <f>=ROUND(K132+F132,2)</f>
      </c>
      <c r="P132" s="149" t="s">
        <v>345</v>
      </c>
      <c r="Q132" s="24"/>
      <c r="R132" s="117" t="str">
        <f>=IFERROR(ROUND(Q132/FB_Kurs_3,2),0)</f>
      </c>
      <c r="S132" s="116" t="str">
        <f>=ROUND(Q132+L132,2)</f>
      </c>
      <c r="T132" s="144" t="str">
        <f>=ROUND(R132+M132,2)</f>
      </c>
      <c r="W132" s="149" t="s">
        <v>345</v>
      </c>
      <c r="X132" s="24"/>
      <c r="Y132" s="117" t="str">
        <f>=IFERROR(ROUND(X132/FB_Kurs_4,2),0)</f>
      </c>
      <c r="Z132" s="116" t="str">
        <f>=ROUND(X132+S132,2)</f>
      </c>
      <c r="AA132" s="144" t="str">
        <f>=ROUND(Y132+T132,2)</f>
      </c>
      <c r="AD132" s="149" t="s">
        <v>345</v>
      </c>
      <c r="AE132" s="24"/>
      <c r="AF132" s="117" t="str">
        <f>=IFERROR(ROUND(AE132/FB_Kurs_5,2),0)</f>
      </c>
      <c r="AG132" s="116" t="str">
        <f>=ROUND(AE132+Z132,2)</f>
      </c>
      <c r="AH132" s="144" t="str">
        <f>=ROUND(AF132+AA132,2)</f>
      </c>
      <c r="AK132" s="149" t="s">
        <v>345</v>
      </c>
      <c r="AL132" s="24"/>
      <c r="AM132" s="117" t="str">
        <f>=IFERROR(ROUND(AL132/FB_Kurs_6,2),0)</f>
      </c>
      <c r="AN132" s="116" t="str">
        <f>=ROUND(AL132+AG132,2)</f>
      </c>
      <c r="AO132" s="144" t="str">
        <f>=ROUND(AM132+AH132,2)</f>
      </c>
      <c r="AR132" s="149" t="s">
        <v>345</v>
      </c>
      <c r="AS132" s="24"/>
      <c r="AT132" s="117" t="str">
        <f>=IFERROR(ROUND(AS132/FB_Kurs_7,2),0)</f>
      </c>
      <c r="AU132" s="116" t="str">
        <f>=ROUND(AS132+AN132,2)</f>
      </c>
      <c r="AV132" s="144" t="str">
        <f>=ROUND(AT132+AO132,2)</f>
      </c>
      <c r="AY132" s="149" t="s">
        <v>345</v>
      </c>
      <c r="AZ132" s="24"/>
      <c r="BA132" s="117" t="str">
        <f>=IFERROR(ROUND(AZ132/FB_Kurs_8,2),0)</f>
      </c>
      <c r="BB132" s="116" t="str">
        <f>=ROUND(AZ132+AU132,2)</f>
      </c>
      <c r="BC132" s="144" t="str">
        <f>=ROUND(BA132+AV132,2)</f>
      </c>
      <c r="BF132" s="149" t="s">
        <v>345</v>
      </c>
      <c r="BG132" s="24"/>
      <c r="BH132" s="117" t="str">
        <f>=IFERROR(ROUND(BG132/FB_Kurs_9,2),0)</f>
      </c>
      <c r="BI132" s="116" t="str">
        <f>=ROUND(BG132+BB132,2)</f>
      </c>
      <c r="BJ132" s="144" t="str">
        <f>=ROUND(BH132+BC132,2)</f>
      </c>
      <c r="BM132" s="149" t="s">
        <v>345</v>
      </c>
      <c r="BN132" s="24"/>
      <c r="BO132" s="117" t="str">
        <f>=IFERROR(ROUND(BN132/FB_Kurs_10,2),0)</f>
      </c>
      <c r="BP132" s="116" t="str">
        <f>=ROUND(BN132+BI132,2)</f>
      </c>
      <c r="BQ132" s="144" t="str">
        <f>=ROUND(BO132+BJ132,2)</f>
      </c>
      <c r="BT132" s="149" t="s">
        <v>345</v>
      </c>
      <c r="BU132" s="24"/>
      <c r="BV132" s="117" t="str">
        <f>=IFERROR(ROUND(BU132/FB_Kurs_11,2),0)</f>
      </c>
      <c r="BW132" s="116" t="str">
        <f>=ROUND(BU132+BP132,2)</f>
      </c>
      <c r="BX132" s="144" t="str">
        <f>=ROUND(BV132+BQ132,2)</f>
      </c>
      <c r="CA132" s="149" t="s">
        <v>345</v>
      </c>
      <c r="CB132" s="24"/>
      <c r="CC132" s="117" t="str">
        <f>=IFERROR(ROUND(CB132/FB_Kurs_12,2),0)</f>
      </c>
      <c r="CD132" s="116" t="str">
        <f>=ROUND(CB132+BW132,2)</f>
      </c>
      <c r="CE132" s="144" t="str">
        <f>=ROUND(CC132+BX132,2)</f>
      </c>
      <c r="CH132" s="149" t="s">
        <v>345</v>
      </c>
      <c r="CI132" s="24"/>
      <c r="CJ132" s="117" t="str">
        <f>=IFERROR(ROUND(CI132/FB_Kurs_13,2),0)</f>
      </c>
      <c r="CK132" s="116" t="str">
        <f>=ROUND(CI132+CD132,2)</f>
      </c>
      <c r="CL132" s="144" t="str">
        <f>=ROUND(CJ132+CE132,2)</f>
      </c>
      <c r="CO132" s="149" t="s">
        <v>345</v>
      </c>
      <c r="CP132" s="24"/>
      <c r="CQ132" s="117" t="str">
        <f>=IFERROR(ROUND(CP132/FB_Kurs_14,2),0)</f>
      </c>
      <c r="CR132" s="116" t="str">
        <f>=ROUND(CP132+CK132,2)</f>
      </c>
      <c r="CS132" s="144" t="str">
        <f>=ROUND(CQ132+CL132,2)</f>
      </c>
      <c r="CV132" s="149" t="s">
        <v>345</v>
      </c>
      <c r="CW132" s="24"/>
      <c r="CX132" s="117" t="str">
        <f>=IFERROR(ROUND(CW132/FB_Kurs_15,2),0)</f>
      </c>
      <c r="CY132" s="116" t="str">
        <f>=ROUND(CW132+CR132,2)</f>
      </c>
      <c r="CZ132" s="144" t="str">
        <f>=ROUND(CX132+CS132,2)</f>
      </c>
      <c r="DC132" s="149" t="s">
        <v>345</v>
      </c>
      <c r="DD132" s="24"/>
      <c r="DE132" s="117" t="str">
        <f>=IFERROR(ROUND(DD132/FB_Kurs_16,2),0)</f>
      </c>
      <c r="DF132" s="116" t="str">
        <f>=ROUND(DD132+CY132,2)</f>
      </c>
      <c r="DG132" s="144" t="str">
        <f>=ROUND(DE132+CZ132,2)</f>
      </c>
      <c r="DJ132" s="149" t="s">
        <v>345</v>
      </c>
      <c r="DK132" s="24"/>
      <c r="DL132" s="117" t="str">
        <f>=IFERROR(ROUND(DK132/FB_Kurs_17,2),0)</f>
      </c>
      <c r="DM132" s="116" t="str">
        <f>=ROUND(DK132+DF132,2)</f>
      </c>
      <c r="DN132" s="144" t="str">
        <f>=ROUND(DL132+DG132,2)</f>
      </c>
      <c r="DQ132" s="149" t="s">
        <v>345</v>
      </c>
      <c r="DR132" s="24"/>
      <c r="DS132" s="117" t="str">
        <f>=IFERROR(ROUND(DR132/FB_Kurs_18,2),0)</f>
      </c>
      <c r="DT132" s="116" t="str">
        <f>=ROUND(DR132+DM132,2)</f>
      </c>
      <c r="DU132" s="144" t="str">
        <f>=ROUND(DS132+DN132,2)</f>
      </c>
    </row>
    <row r="133">
      <c r="B133" s="149" t="s">
        <v>346</v>
      </c>
      <c r="C133" s="24"/>
      <c r="D133" s="117" t="str">
        <f>=IFERROR(ROUND(C133/FB_Kurs_1,2),0)</f>
      </c>
      <c r="E133" s="116" t="str">
        <f>=ROUND(C133,2)</f>
      </c>
      <c r="F133" s="144" t="str">
        <f>=ROUND(D133,2)</f>
      </c>
      <c r="I133" s="149" t="s">
        <v>346</v>
      </c>
      <c r="J133" s="24"/>
      <c r="K133" s="117" t="str">
        <f>=IFERROR(ROUND(J133/FB_Kurs_2,2),0)</f>
      </c>
      <c r="L133" s="116" t="str">
        <f>=ROUND(J133+E133,2)</f>
      </c>
      <c r="M133" s="144" t="str">
        <f>=ROUND(K133+F133,2)</f>
      </c>
      <c r="P133" s="149" t="s">
        <v>346</v>
      </c>
      <c r="Q133" s="24"/>
      <c r="R133" s="117" t="str">
        <f>=IFERROR(ROUND(Q133/FB_Kurs_3,2),0)</f>
      </c>
      <c r="S133" s="116" t="str">
        <f>=ROUND(Q133+L133,2)</f>
      </c>
      <c r="T133" s="144" t="str">
        <f>=ROUND(R133+M133,2)</f>
      </c>
      <c r="W133" s="149" t="s">
        <v>346</v>
      </c>
      <c r="X133" s="24"/>
      <c r="Y133" s="117" t="str">
        <f>=IFERROR(ROUND(X133/FB_Kurs_4,2),0)</f>
      </c>
      <c r="Z133" s="116" t="str">
        <f>=ROUND(X133+S133,2)</f>
      </c>
      <c r="AA133" s="144" t="str">
        <f>=ROUND(Y133+T133,2)</f>
      </c>
      <c r="AD133" s="149" t="s">
        <v>346</v>
      </c>
      <c r="AE133" s="24"/>
      <c r="AF133" s="117" t="str">
        <f>=IFERROR(ROUND(AE133/FB_Kurs_5,2),0)</f>
      </c>
      <c r="AG133" s="116" t="str">
        <f>=ROUND(AE133+Z133,2)</f>
      </c>
      <c r="AH133" s="144" t="str">
        <f>=ROUND(AF133+AA133,2)</f>
      </c>
      <c r="AK133" s="149" t="s">
        <v>346</v>
      </c>
      <c r="AL133" s="24"/>
      <c r="AM133" s="117" t="str">
        <f>=IFERROR(ROUND(AL133/FB_Kurs_6,2),0)</f>
      </c>
      <c r="AN133" s="116" t="str">
        <f>=ROUND(AL133+AG133,2)</f>
      </c>
      <c r="AO133" s="144" t="str">
        <f>=ROUND(AM133+AH133,2)</f>
      </c>
      <c r="AR133" s="149" t="s">
        <v>346</v>
      </c>
      <c r="AS133" s="24"/>
      <c r="AT133" s="117" t="str">
        <f>=IFERROR(ROUND(AS133/FB_Kurs_7,2),0)</f>
      </c>
      <c r="AU133" s="116" t="str">
        <f>=ROUND(AS133+AN133,2)</f>
      </c>
      <c r="AV133" s="144" t="str">
        <f>=ROUND(AT133+AO133,2)</f>
      </c>
      <c r="AY133" s="149" t="s">
        <v>346</v>
      </c>
      <c r="AZ133" s="24"/>
      <c r="BA133" s="117" t="str">
        <f>=IFERROR(ROUND(AZ133/FB_Kurs_8,2),0)</f>
      </c>
      <c r="BB133" s="116" t="str">
        <f>=ROUND(AZ133+AU133,2)</f>
      </c>
      <c r="BC133" s="144" t="str">
        <f>=ROUND(BA133+AV133,2)</f>
      </c>
      <c r="BF133" s="149" t="s">
        <v>346</v>
      </c>
      <c r="BG133" s="24"/>
      <c r="BH133" s="117" t="str">
        <f>=IFERROR(ROUND(BG133/FB_Kurs_9,2),0)</f>
      </c>
      <c r="BI133" s="116" t="str">
        <f>=ROUND(BG133+BB133,2)</f>
      </c>
      <c r="BJ133" s="144" t="str">
        <f>=ROUND(BH133+BC133,2)</f>
      </c>
      <c r="BM133" s="149" t="s">
        <v>346</v>
      </c>
      <c r="BN133" s="24"/>
      <c r="BO133" s="117" t="str">
        <f>=IFERROR(ROUND(BN133/FB_Kurs_10,2),0)</f>
      </c>
      <c r="BP133" s="116" t="str">
        <f>=ROUND(BN133+BI133,2)</f>
      </c>
      <c r="BQ133" s="144" t="str">
        <f>=ROUND(BO133+BJ133,2)</f>
      </c>
      <c r="BT133" s="149" t="s">
        <v>346</v>
      </c>
      <c r="BU133" s="24"/>
      <c r="BV133" s="117" t="str">
        <f>=IFERROR(ROUND(BU133/FB_Kurs_11,2),0)</f>
      </c>
      <c r="BW133" s="116" t="str">
        <f>=ROUND(BU133+BP133,2)</f>
      </c>
      <c r="BX133" s="144" t="str">
        <f>=ROUND(BV133+BQ133,2)</f>
      </c>
      <c r="CA133" s="149" t="s">
        <v>346</v>
      </c>
      <c r="CB133" s="24"/>
      <c r="CC133" s="117" t="str">
        <f>=IFERROR(ROUND(CB133/FB_Kurs_12,2),0)</f>
      </c>
      <c r="CD133" s="116" t="str">
        <f>=ROUND(CB133+BW133,2)</f>
      </c>
      <c r="CE133" s="144" t="str">
        <f>=ROUND(CC133+BX133,2)</f>
      </c>
      <c r="CH133" s="149" t="s">
        <v>346</v>
      </c>
      <c r="CI133" s="24"/>
      <c r="CJ133" s="117" t="str">
        <f>=IFERROR(ROUND(CI133/FB_Kurs_13,2),0)</f>
      </c>
      <c r="CK133" s="116" t="str">
        <f>=ROUND(CI133+CD133,2)</f>
      </c>
      <c r="CL133" s="144" t="str">
        <f>=ROUND(CJ133+CE133,2)</f>
      </c>
      <c r="CO133" s="149" t="s">
        <v>346</v>
      </c>
      <c r="CP133" s="24"/>
      <c r="CQ133" s="117" t="str">
        <f>=IFERROR(ROUND(CP133/FB_Kurs_14,2),0)</f>
      </c>
      <c r="CR133" s="116" t="str">
        <f>=ROUND(CP133+CK133,2)</f>
      </c>
      <c r="CS133" s="144" t="str">
        <f>=ROUND(CQ133+CL133,2)</f>
      </c>
      <c r="CV133" s="149" t="s">
        <v>346</v>
      </c>
      <c r="CW133" s="24"/>
      <c r="CX133" s="117" t="str">
        <f>=IFERROR(ROUND(CW133/FB_Kurs_15,2),0)</f>
      </c>
      <c r="CY133" s="116" t="str">
        <f>=ROUND(CW133+CR133,2)</f>
      </c>
      <c r="CZ133" s="144" t="str">
        <f>=ROUND(CX133+CS133,2)</f>
      </c>
      <c r="DC133" s="149" t="s">
        <v>346</v>
      </c>
      <c r="DD133" s="24"/>
      <c r="DE133" s="117" t="str">
        <f>=IFERROR(ROUND(DD133/FB_Kurs_16,2),0)</f>
      </c>
      <c r="DF133" s="116" t="str">
        <f>=ROUND(DD133+CY133,2)</f>
      </c>
      <c r="DG133" s="144" t="str">
        <f>=ROUND(DE133+CZ133,2)</f>
      </c>
      <c r="DJ133" s="149" t="s">
        <v>346</v>
      </c>
      <c r="DK133" s="24"/>
      <c r="DL133" s="117" t="str">
        <f>=IFERROR(ROUND(DK133/FB_Kurs_17,2),0)</f>
      </c>
      <c r="DM133" s="116" t="str">
        <f>=ROUND(DK133+DF133,2)</f>
      </c>
      <c r="DN133" s="144" t="str">
        <f>=ROUND(DL133+DG133,2)</f>
      </c>
      <c r="DQ133" s="149" t="s">
        <v>346</v>
      </c>
      <c r="DR133" s="24"/>
      <c r="DS133" s="117" t="str">
        <f>=IFERROR(ROUND(DR133/FB_Kurs_18,2),0)</f>
      </c>
      <c r="DT133" s="116" t="str">
        <f>=ROUND(DR133+DM133,2)</f>
      </c>
      <c r="DU133" s="144" t="str">
        <f>=ROUND(DS133+DN133,2)</f>
      </c>
    </row>
    <row r="134">
      <c r="B134" s="149" t="s">
        <v>347</v>
      </c>
      <c r="C134" s="24"/>
      <c r="D134" s="117" t="str">
        <f>=IFERROR(ROUND(C134/FB_Kurs_1,2),0)</f>
      </c>
      <c r="E134" s="116" t="str">
        <f>=ROUND(C134,2)</f>
      </c>
      <c r="F134" s="144" t="str">
        <f>=ROUND(D134,2)</f>
      </c>
      <c r="I134" s="149" t="s">
        <v>347</v>
      </c>
      <c r="J134" s="24"/>
      <c r="K134" s="117" t="str">
        <f>=IFERROR(ROUND(J134/FB_Kurs_2,2),0)</f>
      </c>
      <c r="L134" s="116" t="str">
        <f>=ROUND(J134+E134,2)</f>
      </c>
      <c r="M134" s="144" t="str">
        <f>=ROUND(K134+F134,2)</f>
      </c>
      <c r="P134" s="149" t="s">
        <v>347</v>
      </c>
      <c r="Q134" s="24"/>
      <c r="R134" s="117" t="str">
        <f>=IFERROR(ROUND(Q134/FB_Kurs_3,2),0)</f>
      </c>
      <c r="S134" s="116" t="str">
        <f>=ROUND(Q134+L134,2)</f>
      </c>
      <c r="T134" s="144" t="str">
        <f>=ROUND(R134+M134,2)</f>
      </c>
      <c r="W134" s="149" t="s">
        <v>347</v>
      </c>
      <c r="X134" s="24"/>
      <c r="Y134" s="117" t="str">
        <f>=IFERROR(ROUND(X134/FB_Kurs_4,2),0)</f>
      </c>
      <c r="Z134" s="116" t="str">
        <f>=ROUND(X134+S134,2)</f>
      </c>
      <c r="AA134" s="144" t="str">
        <f>=ROUND(Y134+T134,2)</f>
      </c>
      <c r="AD134" s="149" t="s">
        <v>347</v>
      </c>
      <c r="AE134" s="24"/>
      <c r="AF134" s="117" t="str">
        <f>=IFERROR(ROUND(AE134/FB_Kurs_5,2),0)</f>
      </c>
      <c r="AG134" s="116" t="str">
        <f>=ROUND(AE134+Z134,2)</f>
      </c>
      <c r="AH134" s="144" t="str">
        <f>=ROUND(AF134+AA134,2)</f>
      </c>
      <c r="AK134" s="149" t="s">
        <v>347</v>
      </c>
      <c r="AL134" s="24"/>
      <c r="AM134" s="117" t="str">
        <f>=IFERROR(ROUND(AL134/FB_Kurs_6,2),0)</f>
      </c>
      <c r="AN134" s="116" t="str">
        <f>=ROUND(AL134+AG134,2)</f>
      </c>
      <c r="AO134" s="144" t="str">
        <f>=ROUND(AM134+AH134,2)</f>
      </c>
      <c r="AR134" s="149" t="s">
        <v>347</v>
      </c>
      <c r="AS134" s="24"/>
      <c r="AT134" s="117" t="str">
        <f>=IFERROR(ROUND(AS134/FB_Kurs_7,2),0)</f>
      </c>
      <c r="AU134" s="116" t="str">
        <f>=ROUND(AS134+AN134,2)</f>
      </c>
      <c r="AV134" s="144" t="str">
        <f>=ROUND(AT134+AO134,2)</f>
      </c>
      <c r="AY134" s="149" t="s">
        <v>347</v>
      </c>
      <c r="AZ134" s="24"/>
      <c r="BA134" s="117" t="str">
        <f>=IFERROR(ROUND(AZ134/FB_Kurs_8,2),0)</f>
      </c>
      <c r="BB134" s="116" t="str">
        <f>=ROUND(AZ134+AU134,2)</f>
      </c>
      <c r="BC134" s="144" t="str">
        <f>=ROUND(BA134+AV134,2)</f>
      </c>
      <c r="BF134" s="149" t="s">
        <v>347</v>
      </c>
      <c r="BG134" s="24"/>
      <c r="BH134" s="117" t="str">
        <f>=IFERROR(ROUND(BG134/FB_Kurs_9,2),0)</f>
      </c>
      <c r="BI134" s="116" t="str">
        <f>=ROUND(BG134+BB134,2)</f>
      </c>
      <c r="BJ134" s="144" t="str">
        <f>=ROUND(BH134+BC134,2)</f>
      </c>
      <c r="BM134" s="149" t="s">
        <v>347</v>
      </c>
      <c r="BN134" s="24"/>
      <c r="BO134" s="117" t="str">
        <f>=IFERROR(ROUND(BN134/FB_Kurs_10,2),0)</f>
      </c>
      <c r="BP134" s="116" t="str">
        <f>=ROUND(BN134+BI134,2)</f>
      </c>
      <c r="BQ134" s="144" t="str">
        <f>=ROUND(BO134+BJ134,2)</f>
      </c>
      <c r="BT134" s="149" t="s">
        <v>347</v>
      </c>
      <c r="BU134" s="24"/>
      <c r="BV134" s="117" t="str">
        <f>=IFERROR(ROUND(BU134/FB_Kurs_11,2),0)</f>
      </c>
      <c r="BW134" s="116" t="str">
        <f>=ROUND(BU134+BP134,2)</f>
      </c>
      <c r="BX134" s="144" t="str">
        <f>=ROUND(BV134+BQ134,2)</f>
      </c>
      <c r="CA134" s="149" t="s">
        <v>347</v>
      </c>
      <c r="CB134" s="24"/>
      <c r="CC134" s="117" t="str">
        <f>=IFERROR(ROUND(CB134/FB_Kurs_12,2),0)</f>
      </c>
      <c r="CD134" s="116" t="str">
        <f>=ROUND(CB134+BW134,2)</f>
      </c>
      <c r="CE134" s="144" t="str">
        <f>=ROUND(CC134+BX134,2)</f>
      </c>
      <c r="CH134" s="149" t="s">
        <v>347</v>
      </c>
      <c r="CI134" s="24"/>
      <c r="CJ134" s="117" t="str">
        <f>=IFERROR(ROUND(CI134/FB_Kurs_13,2),0)</f>
      </c>
      <c r="CK134" s="116" t="str">
        <f>=ROUND(CI134+CD134,2)</f>
      </c>
      <c r="CL134" s="144" t="str">
        <f>=ROUND(CJ134+CE134,2)</f>
      </c>
      <c r="CO134" s="149" t="s">
        <v>347</v>
      </c>
      <c r="CP134" s="24"/>
      <c r="CQ134" s="117" t="str">
        <f>=IFERROR(ROUND(CP134/FB_Kurs_14,2),0)</f>
      </c>
      <c r="CR134" s="116" t="str">
        <f>=ROUND(CP134+CK134,2)</f>
      </c>
      <c r="CS134" s="144" t="str">
        <f>=ROUND(CQ134+CL134,2)</f>
      </c>
      <c r="CV134" s="149" t="s">
        <v>347</v>
      </c>
      <c r="CW134" s="24"/>
      <c r="CX134" s="117" t="str">
        <f>=IFERROR(ROUND(CW134/FB_Kurs_15,2),0)</f>
      </c>
      <c r="CY134" s="116" t="str">
        <f>=ROUND(CW134+CR134,2)</f>
      </c>
      <c r="CZ134" s="144" t="str">
        <f>=ROUND(CX134+CS134,2)</f>
      </c>
      <c r="DC134" s="149" t="s">
        <v>347</v>
      </c>
      <c r="DD134" s="24"/>
      <c r="DE134" s="117" t="str">
        <f>=IFERROR(ROUND(DD134/FB_Kurs_16,2),0)</f>
      </c>
      <c r="DF134" s="116" t="str">
        <f>=ROUND(DD134+CY134,2)</f>
      </c>
      <c r="DG134" s="144" t="str">
        <f>=ROUND(DE134+CZ134,2)</f>
      </c>
      <c r="DJ134" s="149" t="s">
        <v>347</v>
      </c>
      <c r="DK134" s="24"/>
      <c r="DL134" s="117" t="str">
        <f>=IFERROR(ROUND(DK134/FB_Kurs_17,2),0)</f>
      </c>
      <c r="DM134" s="116" t="str">
        <f>=ROUND(DK134+DF134,2)</f>
      </c>
      <c r="DN134" s="144" t="str">
        <f>=ROUND(DL134+DG134,2)</f>
      </c>
      <c r="DQ134" s="149" t="s">
        <v>347</v>
      </c>
      <c r="DR134" s="24"/>
      <c r="DS134" s="117" t="str">
        <f>=IFERROR(ROUND(DR134/FB_Kurs_18,2),0)</f>
      </c>
      <c r="DT134" s="116" t="str">
        <f>=ROUND(DR134+DM134,2)</f>
      </c>
      <c r="DU134" s="144" t="str">
        <f>=ROUND(DS134+DN134,2)</f>
      </c>
    </row>
    <row r="135">
      <c r="B135" s="149" t="s">
        <v>348</v>
      </c>
      <c r="C135" s="24"/>
      <c r="D135" s="117" t="str">
        <f>=IFERROR(ROUND(C135/FB_Kurs_1,2),0)</f>
      </c>
      <c r="E135" s="116" t="str">
        <f>=ROUND(C135,2)</f>
      </c>
      <c r="F135" s="144" t="str">
        <f>=ROUND(D135,2)</f>
      </c>
      <c r="I135" s="149" t="s">
        <v>348</v>
      </c>
      <c r="J135" s="24"/>
      <c r="K135" s="117" t="str">
        <f>=IFERROR(ROUND(J135/FB_Kurs_2,2),0)</f>
      </c>
      <c r="L135" s="116" t="str">
        <f>=ROUND(J135+E135,2)</f>
      </c>
      <c r="M135" s="144" t="str">
        <f>=ROUND(K135+F135,2)</f>
      </c>
      <c r="P135" s="149" t="s">
        <v>348</v>
      </c>
      <c r="Q135" s="24"/>
      <c r="R135" s="117" t="str">
        <f>=IFERROR(ROUND(Q135/FB_Kurs_3,2),0)</f>
      </c>
      <c r="S135" s="116" t="str">
        <f>=ROUND(Q135+L135,2)</f>
      </c>
      <c r="T135" s="144" t="str">
        <f>=ROUND(R135+M135,2)</f>
      </c>
      <c r="W135" s="149" t="s">
        <v>348</v>
      </c>
      <c r="X135" s="24"/>
      <c r="Y135" s="117" t="str">
        <f>=IFERROR(ROUND(X135/FB_Kurs_4,2),0)</f>
      </c>
      <c r="Z135" s="116" t="str">
        <f>=ROUND(X135+S135,2)</f>
      </c>
      <c r="AA135" s="144" t="str">
        <f>=ROUND(Y135+T135,2)</f>
      </c>
      <c r="AD135" s="149" t="s">
        <v>348</v>
      </c>
      <c r="AE135" s="24"/>
      <c r="AF135" s="117" t="str">
        <f>=IFERROR(ROUND(AE135/FB_Kurs_5,2),0)</f>
      </c>
      <c r="AG135" s="116" t="str">
        <f>=ROUND(AE135+Z135,2)</f>
      </c>
      <c r="AH135" s="144" t="str">
        <f>=ROUND(AF135+AA135,2)</f>
      </c>
      <c r="AK135" s="149" t="s">
        <v>348</v>
      </c>
      <c r="AL135" s="24"/>
      <c r="AM135" s="117" t="str">
        <f>=IFERROR(ROUND(AL135/FB_Kurs_6,2),0)</f>
      </c>
      <c r="AN135" s="116" t="str">
        <f>=ROUND(AL135+AG135,2)</f>
      </c>
      <c r="AO135" s="144" t="str">
        <f>=ROUND(AM135+AH135,2)</f>
      </c>
      <c r="AR135" s="149" t="s">
        <v>348</v>
      </c>
      <c r="AS135" s="24"/>
      <c r="AT135" s="117" t="str">
        <f>=IFERROR(ROUND(AS135/FB_Kurs_7,2),0)</f>
      </c>
      <c r="AU135" s="116" t="str">
        <f>=ROUND(AS135+AN135,2)</f>
      </c>
      <c r="AV135" s="144" t="str">
        <f>=ROUND(AT135+AO135,2)</f>
      </c>
      <c r="AY135" s="149" t="s">
        <v>348</v>
      </c>
      <c r="AZ135" s="24"/>
      <c r="BA135" s="117" t="str">
        <f>=IFERROR(ROUND(AZ135/FB_Kurs_8,2),0)</f>
      </c>
      <c r="BB135" s="116" t="str">
        <f>=ROUND(AZ135+AU135,2)</f>
      </c>
      <c r="BC135" s="144" t="str">
        <f>=ROUND(BA135+AV135,2)</f>
      </c>
      <c r="BF135" s="149" t="s">
        <v>348</v>
      </c>
      <c r="BG135" s="24"/>
      <c r="BH135" s="117" t="str">
        <f>=IFERROR(ROUND(BG135/FB_Kurs_9,2),0)</f>
      </c>
      <c r="BI135" s="116" t="str">
        <f>=ROUND(BG135+BB135,2)</f>
      </c>
      <c r="BJ135" s="144" t="str">
        <f>=ROUND(BH135+BC135,2)</f>
      </c>
      <c r="BM135" s="149" t="s">
        <v>348</v>
      </c>
      <c r="BN135" s="24"/>
      <c r="BO135" s="117" t="str">
        <f>=IFERROR(ROUND(BN135/FB_Kurs_10,2),0)</f>
      </c>
      <c r="BP135" s="116" t="str">
        <f>=ROUND(BN135+BI135,2)</f>
      </c>
      <c r="BQ135" s="144" t="str">
        <f>=ROUND(BO135+BJ135,2)</f>
      </c>
      <c r="BT135" s="149" t="s">
        <v>348</v>
      </c>
      <c r="BU135" s="24"/>
      <c r="BV135" s="117" t="str">
        <f>=IFERROR(ROUND(BU135/FB_Kurs_11,2),0)</f>
      </c>
      <c r="BW135" s="116" t="str">
        <f>=ROUND(BU135+BP135,2)</f>
      </c>
      <c r="BX135" s="144" t="str">
        <f>=ROUND(BV135+BQ135,2)</f>
      </c>
      <c r="CA135" s="149" t="s">
        <v>348</v>
      </c>
      <c r="CB135" s="24"/>
      <c r="CC135" s="117" t="str">
        <f>=IFERROR(ROUND(CB135/FB_Kurs_12,2),0)</f>
      </c>
      <c r="CD135" s="116" t="str">
        <f>=ROUND(CB135+BW135,2)</f>
      </c>
      <c r="CE135" s="144" t="str">
        <f>=ROUND(CC135+BX135,2)</f>
      </c>
      <c r="CH135" s="149" t="s">
        <v>348</v>
      </c>
      <c r="CI135" s="24"/>
      <c r="CJ135" s="117" t="str">
        <f>=IFERROR(ROUND(CI135/FB_Kurs_13,2),0)</f>
      </c>
      <c r="CK135" s="116" t="str">
        <f>=ROUND(CI135+CD135,2)</f>
      </c>
      <c r="CL135" s="144" t="str">
        <f>=ROUND(CJ135+CE135,2)</f>
      </c>
      <c r="CO135" s="149" t="s">
        <v>348</v>
      </c>
      <c r="CP135" s="24"/>
      <c r="CQ135" s="117" t="str">
        <f>=IFERROR(ROUND(CP135/FB_Kurs_14,2),0)</f>
      </c>
      <c r="CR135" s="116" t="str">
        <f>=ROUND(CP135+CK135,2)</f>
      </c>
      <c r="CS135" s="144" t="str">
        <f>=ROUND(CQ135+CL135,2)</f>
      </c>
      <c r="CV135" s="149" t="s">
        <v>348</v>
      </c>
      <c r="CW135" s="24"/>
      <c r="CX135" s="117" t="str">
        <f>=IFERROR(ROUND(CW135/FB_Kurs_15,2),0)</f>
      </c>
      <c r="CY135" s="116" t="str">
        <f>=ROUND(CW135+CR135,2)</f>
      </c>
      <c r="CZ135" s="144" t="str">
        <f>=ROUND(CX135+CS135,2)</f>
      </c>
      <c r="DC135" s="149" t="s">
        <v>348</v>
      </c>
      <c r="DD135" s="24"/>
      <c r="DE135" s="117" t="str">
        <f>=IFERROR(ROUND(DD135/FB_Kurs_16,2),0)</f>
      </c>
      <c r="DF135" s="116" t="str">
        <f>=ROUND(DD135+CY135,2)</f>
      </c>
      <c r="DG135" s="144" t="str">
        <f>=ROUND(DE135+CZ135,2)</f>
      </c>
      <c r="DJ135" s="149" t="s">
        <v>348</v>
      </c>
      <c r="DK135" s="24"/>
      <c r="DL135" s="117" t="str">
        <f>=IFERROR(ROUND(DK135/FB_Kurs_17,2),0)</f>
      </c>
      <c r="DM135" s="116" t="str">
        <f>=ROUND(DK135+DF135,2)</f>
      </c>
      <c r="DN135" s="144" t="str">
        <f>=ROUND(DL135+DG135,2)</f>
      </c>
      <c r="DQ135" s="149" t="s">
        <v>348</v>
      </c>
      <c r="DR135" s="24"/>
      <c r="DS135" s="117" t="str">
        <f>=IFERROR(ROUND(DR135/FB_Kurs_18,2),0)</f>
      </c>
      <c r="DT135" s="116" t="str">
        <f>=ROUND(DR135+DM135,2)</f>
      </c>
      <c r="DU135" s="144" t="str">
        <f>=ROUND(DS135+DN135,2)</f>
      </c>
    </row>
    <row r="136">
      <c r="B136" s="149" t="s">
        <v>349</v>
      </c>
      <c r="C136" s="24"/>
      <c r="D136" s="117" t="str">
        <f>=IFERROR(ROUND(C136/FB_Kurs_1,2),0)</f>
      </c>
      <c r="E136" s="116" t="str">
        <f>=ROUND(C136,2)</f>
      </c>
      <c r="F136" s="144" t="str">
        <f>=ROUND(D136,2)</f>
      </c>
      <c r="I136" s="149" t="s">
        <v>349</v>
      </c>
      <c r="J136" s="24"/>
      <c r="K136" s="117" t="str">
        <f>=IFERROR(ROUND(J136/FB_Kurs_2,2),0)</f>
      </c>
      <c r="L136" s="116" t="str">
        <f>=ROUND(J136+E136,2)</f>
      </c>
      <c r="M136" s="144" t="str">
        <f>=ROUND(K136+F136,2)</f>
      </c>
      <c r="P136" s="149" t="s">
        <v>349</v>
      </c>
      <c r="Q136" s="24"/>
      <c r="R136" s="117" t="str">
        <f>=IFERROR(ROUND(Q136/FB_Kurs_3,2),0)</f>
      </c>
      <c r="S136" s="116" t="str">
        <f>=ROUND(Q136+L136,2)</f>
      </c>
      <c r="T136" s="144" t="str">
        <f>=ROUND(R136+M136,2)</f>
      </c>
      <c r="W136" s="149" t="s">
        <v>349</v>
      </c>
      <c r="X136" s="24"/>
      <c r="Y136" s="117" t="str">
        <f>=IFERROR(ROUND(X136/FB_Kurs_4,2),0)</f>
      </c>
      <c r="Z136" s="116" t="str">
        <f>=ROUND(X136+S136,2)</f>
      </c>
      <c r="AA136" s="144" t="str">
        <f>=ROUND(Y136+T136,2)</f>
      </c>
      <c r="AD136" s="149" t="s">
        <v>349</v>
      </c>
      <c r="AE136" s="24"/>
      <c r="AF136" s="117" t="str">
        <f>=IFERROR(ROUND(AE136/FB_Kurs_5,2),0)</f>
      </c>
      <c r="AG136" s="116" t="str">
        <f>=ROUND(AE136+Z136,2)</f>
      </c>
      <c r="AH136" s="144" t="str">
        <f>=ROUND(AF136+AA136,2)</f>
      </c>
      <c r="AK136" s="149" t="s">
        <v>349</v>
      </c>
      <c r="AL136" s="24"/>
      <c r="AM136" s="117" t="str">
        <f>=IFERROR(ROUND(AL136/FB_Kurs_6,2),0)</f>
      </c>
      <c r="AN136" s="116" t="str">
        <f>=ROUND(AL136+AG136,2)</f>
      </c>
      <c r="AO136" s="144" t="str">
        <f>=ROUND(AM136+AH136,2)</f>
      </c>
      <c r="AR136" s="149" t="s">
        <v>349</v>
      </c>
      <c r="AS136" s="24"/>
      <c r="AT136" s="117" t="str">
        <f>=IFERROR(ROUND(AS136/FB_Kurs_7,2),0)</f>
      </c>
      <c r="AU136" s="116" t="str">
        <f>=ROUND(AS136+AN136,2)</f>
      </c>
      <c r="AV136" s="144" t="str">
        <f>=ROUND(AT136+AO136,2)</f>
      </c>
      <c r="AY136" s="149" t="s">
        <v>349</v>
      </c>
      <c r="AZ136" s="24"/>
      <c r="BA136" s="117" t="str">
        <f>=IFERROR(ROUND(AZ136/FB_Kurs_8,2),0)</f>
      </c>
      <c r="BB136" s="116" t="str">
        <f>=ROUND(AZ136+AU136,2)</f>
      </c>
      <c r="BC136" s="144" t="str">
        <f>=ROUND(BA136+AV136,2)</f>
      </c>
      <c r="BF136" s="149" t="s">
        <v>349</v>
      </c>
      <c r="BG136" s="24"/>
      <c r="BH136" s="117" t="str">
        <f>=IFERROR(ROUND(BG136/FB_Kurs_9,2),0)</f>
      </c>
      <c r="BI136" s="116" t="str">
        <f>=ROUND(BG136+BB136,2)</f>
      </c>
      <c r="BJ136" s="144" t="str">
        <f>=ROUND(BH136+BC136,2)</f>
      </c>
      <c r="BM136" s="149" t="s">
        <v>349</v>
      </c>
      <c r="BN136" s="24"/>
      <c r="BO136" s="117" t="str">
        <f>=IFERROR(ROUND(BN136/FB_Kurs_10,2),0)</f>
      </c>
      <c r="BP136" s="116" t="str">
        <f>=ROUND(BN136+BI136,2)</f>
      </c>
      <c r="BQ136" s="144" t="str">
        <f>=ROUND(BO136+BJ136,2)</f>
      </c>
      <c r="BT136" s="149" t="s">
        <v>349</v>
      </c>
      <c r="BU136" s="24"/>
      <c r="BV136" s="117" t="str">
        <f>=IFERROR(ROUND(BU136/FB_Kurs_11,2),0)</f>
      </c>
      <c r="BW136" s="116" t="str">
        <f>=ROUND(BU136+BP136,2)</f>
      </c>
      <c r="BX136" s="144" t="str">
        <f>=ROUND(BV136+BQ136,2)</f>
      </c>
      <c r="CA136" s="149" t="s">
        <v>349</v>
      </c>
      <c r="CB136" s="24"/>
      <c r="CC136" s="117" t="str">
        <f>=IFERROR(ROUND(CB136/FB_Kurs_12,2),0)</f>
      </c>
      <c r="CD136" s="116" t="str">
        <f>=ROUND(CB136+BW136,2)</f>
      </c>
      <c r="CE136" s="144" t="str">
        <f>=ROUND(CC136+BX136,2)</f>
      </c>
      <c r="CH136" s="149" t="s">
        <v>349</v>
      </c>
      <c r="CI136" s="24"/>
      <c r="CJ136" s="117" t="str">
        <f>=IFERROR(ROUND(CI136/FB_Kurs_13,2),0)</f>
      </c>
      <c r="CK136" s="116" t="str">
        <f>=ROUND(CI136+CD136,2)</f>
      </c>
      <c r="CL136" s="144" t="str">
        <f>=ROUND(CJ136+CE136,2)</f>
      </c>
      <c r="CO136" s="149" t="s">
        <v>349</v>
      </c>
      <c r="CP136" s="24"/>
      <c r="CQ136" s="117" t="str">
        <f>=IFERROR(ROUND(CP136/FB_Kurs_14,2),0)</f>
      </c>
      <c r="CR136" s="116" t="str">
        <f>=ROUND(CP136+CK136,2)</f>
      </c>
      <c r="CS136" s="144" t="str">
        <f>=ROUND(CQ136+CL136,2)</f>
      </c>
      <c r="CV136" s="149" t="s">
        <v>349</v>
      </c>
      <c r="CW136" s="24"/>
      <c r="CX136" s="117" t="str">
        <f>=IFERROR(ROUND(CW136/FB_Kurs_15,2),0)</f>
      </c>
      <c r="CY136" s="116" t="str">
        <f>=ROUND(CW136+CR136,2)</f>
      </c>
      <c r="CZ136" s="144" t="str">
        <f>=ROUND(CX136+CS136,2)</f>
      </c>
      <c r="DC136" s="149" t="s">
        <v>349</v>
      </c>
      <c r="DD136" s="24"/>
      <c r="DE136" s="117" t="str">
        <f>=IFERROR(ROUND(DD136/FB_Kurs_16,2),0)</f>
      </c>
      <c r="DF136" s="116" t="str">
        <f>=ROUND(DD136+CY136,2)</f>
      </c>
      <c r="DG136" s="144" t="str">
        <f>=ROUND(DE136+CZ136,2)</f>
      </c>
      <c r="DJ136" s="149" t="s">
        <v>349</v>
      </c>
      <c r="DK136" s="24"/>
      <c r="DL136" s="117" t="str">
        <f>=IFERROR(ROUND(DK136/FB_Kurs_17,2),0)</f>
      </c>
      <c r="DM136" s="116" t="str">
        <f>=ROUND(DK136+DF136,2)</f>
      </c>
      <c r="DN136" s="144" t="str">
        <f>=ROUND(DL136+DG136,2)</f>
      </c>
      <c r="DQ136" s="149" t="s">
        <v>349</v>
      </c>
      <c r="DR136" s="24"/>
      <c r="DS136" s="117" t="str">
        <f>=IFERROR(ROUND(DR136/FB_Kurs_18,2),0)</f>
      </c>
      <c r="DT136" s="116" t="str">
        <f>=ROUND(DR136+DM136,2)</f>
      </c>
      <c r="DU136" s="144" t="str">
        <f>=ROUND(DS136+DN136,2)</f>
      </c>
    </row>
    <row r="137">
      <c r="B137" s="149" t="s">
        <v>350</v>
      </c>
      <c r="C137" s="24"/>
      <c r="D137" s="117" t="str">
        <f>=IFERROR(ROUND(C137/FB_Kurs_1,2),0)</f>
      </c>
      <c r="E137" s="116" t="str">
        <f>=ROUND(C137,2)</f>
      </c>
      <c r="F137" s="144" t="str">
        <f>=ROUND(D137,2)</f>
      </c>
      <c r="I137" s="149" t="s">
        <v>350</v>
      </c>
      <c r="J137" s="24"/>
      <c r="K137" s="117" t="str">
        <f>=IFERROR(ROUND(J137/FB_Kurs_2,2),0)</f>
      </c>
      <c r="L137" s="116" t="str">
        <f>=ROUND(J137+E137,2)</f>
      </c>
      <c r="M137" s="144" t="str">
        <f>=ROUND(K137+F137,2)</f>
      </c>
      <c r="P137" s="149" t="s">
        <v>350</v>
      </c>
      <c r="Q137" s="24"/>
      <c r="R137" s="117" t="str">
        <f>=IFERROR(ROUND(Q137/FB_Kurs_3,2),0)</f>
      </c>
      <c r="S137" s="116" t="str">
        <f>=ROUND(Q137+L137,2)</f>
      </c>
      <c r="T137" s="144" t="str">
        <f>=ROUND(R137+M137,2)</f>
      </c>
      <c r="W137" s="149" t="s">
        <v>350</v>
      </c>
      <c r="X137" s="24"/>
      <c r="Y137" s="117" t="str">
        <f>=IFERROR(ROUND(X137/FB_Kurs_4,2),0)</f>
      </c>
      <c r="Z137" s="116" t="str">
        <f>=ROUND(X137+S137,2)</f>
      </c>
      <c r="AA137" s="144" t="str">
        <f>=ROUND(Y137+T137,2)</f>
      </c>
      <c r="AD137" s="149" t="s">
        <v>350</v>
      </c>
      <c r="AE137" s="24"/>
      <c r="AF137" s="117" t="str">
        <f>=IFERROR(ROUND(AE137/FB_Kurs_5,2),0)</f>
      </c>
      <c r="AG137" s="116" t="str">
        <f>=ROUND(AE137+Z137,2)</f>
      </c>
      <c r="AH137" s="144" t="str">
        <f>=ROUND(AF137+AA137,2)</f>
      </c>
      <c r="AK137" s="149" t="s">
        <v>350</v>
      </c>
      <c r="AL137" s="24"/>
      <c r="AM137" s="117" t="str">
        <f>=IFERROR(ROUND(AL137/FB_Kurs_6,2),0)</f>
      </c>
      <c r="AN137" s="116" t="str">
        <f>=ROUND(AL137+AG137,2)</f>
      </c>
      <c r="AO137" s="144" t="str">
        <f>=ROUND(AM137+AH137,2)</f>
      </c>
      <c r="AR137" s="149" t="s">
        <v>350</v>
      </c>
      <c r="AS137" s="24"/>
      <c r="AT137" s="117" t="str">
        <f>=IFERROR(ROUND(AS137/FB_Kurs_7,2),0)</f>
      </c>
      <c r="AU137" s="116" t="str">
        <f>=ROUND(AS137+AN137,2)</f>
      </c>
      <c r="AV137" s="144" t="str">
        <f>=ROUND(AT137+AO137,2)</f>
      </c>
      <c r="AY137" s="149" t="s">
        <v>350</v>
      </c>
      <c r="AZ137" s="24"/>
      <c r="BA137" s="117" t="str">
        <f>=IFERROR(ROUND(AZ137/FB_Kurs_8,2),0)</f>
      </c>
      <c r="BB137" s="116" t="str">
        <f>=ROUND(AZ137+AU137,2)</f>
      </c>
      <c r="BC137" s="144" t="str">
        <f>=ROUND(BA137+AV137,2)</f>
      </c>
      <c r="BF137" s="149" t="s">
        <v>350</v>
      </c>
      <c r="BG137" s="24"/>
      <c r="BH137" s="117" t="str">
        <f>=IFERROR(ROUND(BG137/FB_Kurs_9,2),0)</f>
      </c>
      <c r="BI137" s="116" t="str">
        <f>=ROUND(BG137+BB137,2)</f>
      </c>
      <c r="BJ137" s="144" t="str">
        <f>=ROUND(BH137+BC137,2)</f>
      </c>
      <c r="BM137" s="149" t="s">
        <v>350</v>
      </c>
      <c r="BN137" s="24"/>
      <c r="BO137" s="117" t="str">
        <f>=IFERROR(ROUND(BN137/FB_Kurs_10,2),0)</f>
      </c>
      <c r="BP137" s="116" t="str">
        <f>=ROUND(BN137+BI137,2)</f>
      </c>
      <c r="BQ137" s="144" t="str">
        <f>=ROUND(BO137+BJ137,2)</f>
      </c>
      <c r="BT137" s="149" t="s">
        <v>350</v>
      </c>
      <c r="BU137" s="24"/>
      <c r="BV137" s="117" t="str">
        <f>=IFERROR(ROUND(BU137/FB_Kurs_11,2),0)</f>
      </c>
      <c r="BW137" s="116" t="str">
        <f>=ROUND(BU137+BP137,2)</f>
      </c>
      <c r="BX137" s="144" t="str">
        <f>=ROUND(BV137+BQ137,2)</f>
      </c>
      <c r="CA137" s="149" t="s">
        <v>350</v>
      </c>
      <c r="CB137" s="24"/>
      <c r="CC137" s="117" t="str">
        <f>=IFERROR(ROUND(CB137/FB_Kurs_12,2),0)</f>
      </c>
      <c r="CD137" s="116" t="str">
        <f>=ROUND(CB137+BW137,2)</f>
      </c>
      <c r="CE137" s="144" t="str">
        <f>=ROUND(CC137+BX137,2)</f>
      </c>
      <c r="CH137" s="149" t="s">
        <v>350</v>
      </c>
      <c r="CI137" s="24"/>
      <c r="CJ137" s="117" t="str">
        <f>=IFERROR(ROUND(CI137/FB_Kurs_13,2),0)</f>
      </c>
      <c r="CK137" s="116" t="str">
        <f>=ROUND(CI137+CD137,2)</f>
      </c>
      <c r="CL137" s="144" t="str">
        <f>=ROUND(CJ137+CE137,2)</f>
      </c>
      <c r="CO137" s="149" t="s">
        <v>350</v>
      </c>
      <c r="CP137" s="24"/>
      <c r="CQ137" s="117" t="str">
        <f>=IFERROR(ROUND(CP137/FB_Kurs_14,2),0)</f>
      </c>
      <c r="CR137" s="116" t="str">
        <f>=ROUND(CP137+CK137,2)</f>
      </c>
      <c r="CS137" s="144" t="str">
        <f>=ROUND(CQ137+CL137,2)</f>
      </c>
      <c r="CV137" s="149" t="s">
        <v>350</v>
      </c>
      <c r="CW137" s="24"/>
      <c r="CX137" s="117" t="str">
        <f>=IFERROR(ROUND(CW137/FB_Kurs_15,2),0)</f>
      </c>
      <c r="CY137" s="116" t="str">
        <f>=ROUND(CW137+CR137,2)</f>
      </c>
      <c r="CZ137" s="144" t="str">
        <f>=ROUND(CX137+CS137,2)</f>
      </c>
      <c r="DC137" s="149" t="s">
        <v>350</v>
      </c>
      <c r="DD137" s="24"/>
      <c r="DE137" s="117" t="str">
        <f>=IFERROR(ROUND(DD137/FB_Kurs_16,2),0)</f>
      </c>
      <c r="DF137" s="116" t="str">
        <f>=ROUND(DD137+CY137,2)</f>
      </c>
      <c r="DG137" s="144" t="str">
        <f>=ROUND(DE137+CZ137,2)</f>
      </c>
      <c r="DJ137" s="149" t="s">
        <v>350</v>
      </c>
      <c r="DK137" s="24"/>
      <c r="DL137" s="117" t="str">
        <f>=IFERROR(ROUND(DK137/FB_Kurs_17,2),0)</f>
      </c>
      <c r="DM137" s="116" t="str">
        <f>=ROUND(DK137+DF137,2)</f>
      </c>
      <c r="DN137" s="144" t="str">
        <f>=ROUND(DL137+DG137,2)</f>
      </c>
      <c r="DQ137" s="149" t="s">
        <v>350</v>
      </c>
      <c r="DR137" s="24"/>
      <c r="DS137" s="117" t="str">
        <f>=IFERROR(ROUND(DR137/FB_Kurs_18,2),0)</f>
      </c>
      <c r="DT137" s="116" t="str">
        <f>=ROUND(DR137+DM137,2)</f>
      </c>
      <c r="DU137" s="144" t="str">
        <f>=ROUND(DS137+DN137,2)</f>
      </c>
    </row>
    <row r="138">
      <c r="B138" s="149" t="s">
        <v>351</v>
      </c>
      <c r="C138" s="24"/>
      <c r="D138" s="117" t="str">
        <f>=IFERROR(ROUND(C138/FB_Kurs_1,2),0)</f>
      </c>
      <c r="E138" s="116" t="str">
        <f>=ROUND(C138,2)</f>
      </c>
      <c r="F138" s="144" t="str">
        <f>=ROUND(D138,2)</f>
      </c>
      <c r="I138" s="149" t="s">
        <v>351</v>
      </c>
      <c r="J138" s="24"/>
      <c r="K138" s="117" t="str">
        <f>=IFERROR(ROUND(J138/FB_Kurs_2,2),0)</f>
      </c>
      <c r="L138" s="116" t="str">
        <f>=ROUND(J138+E138,2)</f>
      </c>
      <c r="M138" s="144" t="str">
        <f>=ROUND(K138+F138,2)</f>
      </c>
      <c r="P138" s="149" t="s">
        <v>351</v>
      </c>
      <c r="Q138" s="24"/>
      <c r="R138" s="117" t="str">
        <f>=IFERROR(ROUND(Q138/FB_Kurs_3,2),0)</f>
      </c>
      <c r="S138" s="116" t="str">
        <f>=ROUND(Q138+L138,2)</f>
      </c>
      <c r="T138" s="144" t="str">
        <f>=ROUND(R138+M138,2)</f>
      </c>
      <c r="W138" s="149" t="s">
        <v>351</v>
      </c>
      <c r="X138" s="24"/>
      <c r="Y138" s="117" t="str">
        <f>=IFERROR(ROUND(X138/FB_Kurs_4,2),0)</f>
      </c>
      <c r="Z138" s="116" t="str">
        <f>=ROUND(X138+S138,2)</f>
      </c>
      <c r="AA138" s="144" t="str">
        <f>=ROUND(Y138+T138,2)</f>
      </c>
      <c r="AD138" s="149" t="s">
        <v>351</v>
      </c>
      <c r="AE138" s="24"/>
      <c r="AF138" s="117" t="str">
        <f>=IFERROR(ROUND(AE138/FB_Kurs_5,2),0)</f>
      </c>
      <c r="AG138" s="116" t="str">
        <f>=ROUND(AE138+Z138,2)</f>
      </c>
      <c r="AH138" s="144" t="str">
        <f>=ROUND(AF138+AA138,2)</f>
      </c>
      <c r="AK138" s="149" t="s">
        <v>351</v>
      </c>
      <c r="AL138" s="24"/>
      <c r="AM138" s="117" t="str">
        <f>=IFERROR(ROUND(AL138/FB_Kurs_6,2),0)</f>
      </c>
      <c r="AN138" s="116" t="str">
        <f>=ROUND(AL138+AG138,2)</f>
      </c>
      <c r="AO138" s="144" t="str">
        <f>=ROUND(AM138+AH138,2)</f>
      </c>
      <c r="AR138" s="149" t="s">
        <v>351</v>
      </c>
      <c r="AS138" s="24"/>
      <c r="AT138" s="117" t="str">
        <f>=IFERROR(ROUND(AS138/FB_Kurs_7,2),0)</f>
      </c>
      <c r="AU138" s="116" t="str">
        <f>=ROUND(AS138+AN138,2)</f>
      </c>
      <c r="AV138" s="144" t="str">
        <f>=ROUND(AT138+AO138,2)</f>
      </c>
      <c r="AY138" s="149" t="s">
        <v>351</v>
      </c>
      <c r="AZ138" s="24"/>
      <c r="BA138" s="117" t="str">
        <f>=IFERROR(ROUND(AZ138/FB_Kurs_8,2),0)</f>
      </c>
      <c r="BB138" s="116" t="str">
        <f>=ROUND(AZ138+AU138,2)</f>
      </c>
      <c r="BC138" s="144" t="str">
        <f>=ROUND(BA138+AV138,2)</f>
      </c>
      <c r="BF138" s="149" t="s">
        <v>351</v>
      </c>
      <c r="BG138" s="24"/>
      <c r="BH138" s="117" t="str">
        <f>=IFERROR(ROUND(BG138/FB_Kurs_9,2),0)</f>
      </c>
      <c r="BI138" s="116" t="str">
        <f>=ROUND(BG138+BB138,2)</f>
      </c>
      <c r="BJ138" s="144" t="str">
        <f>=ROUND(BH138+BC138,2)</f>
      </c>
      <c r="BM138" s="149" t="s">
        <v>351</v>
      </c>
      <c r="BN138" s="24"/>
      <c r="BO138" s="117" t="str">
        <f>=IFERROR(ROUND(BN138/FB_Kurs_10,2),0)</f>
      </c>
      <c r="BP138" s="116" t="str">
        <f>=ROUND(BN138+BI138,2)</f>
      </c>
      <c r="BQ138" s="144" t="str">
        <f>=ROUND(BO138+BJ138,2)</f>
      </c>
      <c r="BT138" s="149" t="s">
        <v>351</v>
      </c>
      <c r="BU138" s="24"/>
      <c r="BV138" s="117" t="str">
        <f>=IFERROR(ROUND(BU138/FB_Kurs_11,2),0)</f>
      </c>
      <c r="BW138" s="116" t="str">
        <f>=ROUND(BU138+BP138,2)</f>
      </c>
      <c r="BX138" s="144" t="str">
        <f>=ROUND(BV138+BQ138,2)</f>
      </c>
      <c r="CA138" s="149" t="s">
        <v>351</v>
      </c>
      <c r="CB138" s="24"/>
      <c r="CC138" s="117" t="str">
        <f>=IFERROR(ROUND(CB138/FB_Kurs_12,2),0)</f>
      </c>
      <c r="CD138" s="116" t="str">
        <f>=ROUND(CB138+BW138,2)</f>
      </c>
      <c r="CE138" s="144" t="str">
        <f>=ROUND(CC138+BX138,2)</f>
      </c>
      <c r="CH138" s="149" t="s">
        <v>351</v>
      </c>
      <c r="CI138" s="24"/>
      <c r="CJ138" s="117" t="str">
        <f>=IFERROR(ROUND(CI138/FB_Kurs_13,2),0)</f>
      </c>
      <c r="CK138" s="116" t="str">
        <f>=ROUND(CI138+CD138,2)</f>
      </c>
      <c r="CL138" s="144" t="str">
        <f>=ROUND(CJ138+CE138,2)</f>
      </c>
      <c r="CO138" s="149" t="s">
        <v>351</v>
      </c>
      <c r="CP138" s="24"/>
      <c r="CQ138" s="117" t="str">
        <f>=IFERROR(ROUND(CP138/FB_Kurs_14,2),0)</f>
      </c>
      <c r="CR138" s="116" t="str">
        <f>=ROUND(CP138+CK138,2)</f>
      </c>
      <c r="CS138" s="144" t="str">
        <f>=ROUND(CQ138+CL138,2)</f>
      </c>
      <c r="CV138" s="149" t="s">
        <v>351</v>
      </c>
      <c r="CW138" s="24"/>
      <c r="CX138" s="117" t="str">
        <f>=IFERROR(ROUND(CW138/FB_Kurs_15,2),0)</f>
      </c>
      <c r="CY138" s="116" t="str">
        <f>=ROUND(CW138+CR138,2)</f>
      </c>
      <c r="CZ138" s="144" t="str">
        <f>=ROUND(CX138+CS138,2)</f>
      </c>
      <c r="DC138" s="149" t="s">
        <v>351</v>
      </c>
      <c r="DD138" s="24"/>
      <c r="DE138" s="117" t="str">
        <f>=IFERROR(ROUND(DD138/FB_Kurs_16,2),0)</f>
      </c>
      <c r="DF138" s="116" t="str">
        <f>=ROUND(DD138+CY138,2)</f>
      </c>
      <c r="DG138" s="144" t="str">
        <f>=ROUND(DE138+CZ138,2)</f>
      </c>
      <c r="DJ138" s="149" t="s">
        <v>351</v>
      </c>
      <c r="DK138" s="24"/>
      <c r="DL138" s="117" t="str">
        <f>=IFERROR(ROUND(DK138/FB_Kurs_17,2),0)</f>
      </c>
      <c r="DM138" s="116" t="str">
        <f>=ROUND(DK138+DF138,2)</f>
      </c>
      <c r="DN138" s="144" t="str">
        <f>=ROUND(DL138+DG138,2)</f>
      </c>
      <c r="DQ138" s="149" t="s">
        <v>351</v>
      </c>
      <c r="DR138" s="24"/>
      <c r="DS138" s="117" t="str">
        <f>=IFERROR(ROUND(DR138/FB_Kurs_18,2),0)</f>
      </c>
      <c r="DT138" s="116" t="str">
        <f>=ROUND(DR138+DM138,2)</f>
      </c>
      <c r="DU138" s="144" t="str">
        <f>=ROUND(DS138+DN138,2)</f>
      </c>
    </row>
    <row r="139">
      <c r="B139" s="149" t="s">
        <v>353</v>
      </c>
      <c r="C139" s="24"/>
      <c r="D139" s="117" t="str">
        <f>=IFERROR(ROUND(C139/FB_Kurs_1,2),0)</f>
      </c>
      <c r="E139" s="116" t="str">
        <f>=ROUND(C139,2)</f>
      </c>
      <c r="F139" s="144" t="str">
        <f>=ROUND(D139,2)</f>
      </c>
      <c r="I139" s="149" t="s">
        <v>353</v>
      </c>
      <c r="J139" s="24"/>
      <c r="K139" s="117" t="str">
        <f>=IFERROR(ROUND(J139/FB_Kurs_2,2),0)</f>
      </c>
      <c r="L139" s="116" t="str">
        <f>=ROUND(J139+E139,2)</f>
      </c>
      <c r="M139" s="144" t="str">
        <f>=ROUND(K139+F139,2)</f>
      </c>
      <c r="P139" s="149" t="s">
        <v>353</v>
      </c>
      <c r="Q139" s="24"/>
      <c r="R139" s="117" t="str">
        <f>=IFERROR(ROUND(Q139/FB_Kurs_3,2),0)</f>
      </c>
      <c r="S139" s="116" t="str">
        <f>=ROUND(Q139+L139,2)</f>
      </c>
      <c r="T139" s="144" t="str">
        <f>=ROUND(R139+M139,2)</f>
      </c>
      <c r="W139" s="149" t="s">
        <v>353</v>
      </c>
      <c r="X139" s="24"/>
      <c r="Y139" s="117" t="str">
        <f>=IFERROR(ROUND(X139/FB_Kurs_4,2),0)</f>
      </c>
      <c r="Z139" s="116" t="str">
        <f>=ROUND(X139+S139,2)</f>
      </c>
      <c r="AA139" s="144" t="str">
        <f>=ROUND(Y139+T139,2)</f>
      </c>
      <c r="AD139" s="149" t="s">
        <v>353</v>
      </c>
      <c r="AE139" s="24"/>
      <c r="AF139" s="117" t="str">
        <f>=IFERROR(ROUND(AE139/FB_Kurs_5,2),0)</f>
      </c>
      <c r="AG139" s="116" t="str">
        <f>=ROUND(AE139+Z139,2)</f>
      </c>
      <c r="AH139" s="144" t="str">
        <f>=ROUND(AF139+AA139,2)</f>
      </c>
      <c r="AK139" s="149" t="s">
        <v>353</v>
      </c>
      <c r="AL139" s="24"/>
      <c r="AM139" s="117" t="str">
        <f>=IFERROR(ROUND(AL139/FB_Kurs_6,2),0)</f>
      </c>
      <c r="AN139" s="116" t="str">
        <f>=ROUND(AL139+AG139,2)</f>
      </c>
      <c r="AO139" s="144" t="str">
        <f>=ROUND(AM139+AH139,2)</f>
      </c>
      <c r="AR139" s="149" t="s">
        <v>353</v>
      </c>
      <c r="AS139" s="24"/>
      <c r="AT139" s="117" t="str">
        <f>=IFERROR(ROUND(AS139/FB_Kurs_7,2),0)</f>
      </c>
      <c r="AU139" s="116" t="str">
        <f>=ROUND(AS139+AN139,2)</f>
      </c>
      <c r="AV139" s="144" t="str">
        <f>=ROUND(AT139+AO139,2)</f>
      </c>
      <c r="AY139" s="149" t="s">
        <v>353</v>
      </c>
      <c r="AZ139" s="24"/>
      <c r="BA139" s="117" t="str">
        <f>=IFERROR(ROUND(AZ139/FB_Kurs_8,2),0)</f>
      </c>
      <c r="BB139" s="116" t="str">
        <f>=ROUND(AZ139+AU139,2)</f>
      </c>
      <c r="BC139" s="144" t="str">
        <f>=ROUND(BA139+AV139,2)</f>
      </c>
      <c r="BF139" s="149" t="s">
        <v>353</v>
      </c>
      <c r="BG139" s="24"/>
      <c r="BH139" s="117" t="str">
        <f>=IFERROR(ROUND(BG139/FB_Kurs_9,2),0)</f>
      </c>
      <c r="BI139" s="116" t="str">
        <f>=ROUND(BG139+BB139,2)</f>
      </c>
      <c r="BJ139" s="144" t="str">
        <f>=ROUND(BH139+BC139,2)</f>
      </c>
      <c r="BM139" s="149" t="s">
        <v>353</v>
      </c>
      <c r="BN139" s="24"/>
      <c r="BO139" s="117" t="str">
        <f>=IFERROR(ROUND(BN139/FB_Kurs_10,2),0)</f>
      </c>
      <c r="BP139" s="116" t="str">
        <f>=ROUND(BN139+BI139,2)</f>
      </c>
      <c r="BQ139" s="144" t="str">
        <f>=ROUND(BO139+BJ139,2)</f>
      </c>
      <c r="BT139" s="149" t="s">
        <v>353</v>
      </c>
      <c r="BU139" s="24"/>
      <c r="BV139" s="117" t="str">
        <f>=IFERROR(ROUND(BU139/FB_Kurs_11,2),0)</f>
      </c>
      <c r="BW139" s="116" t="str">
        <f>=ROUND(BU139+BP139,2)</f>
      </c>
      <c r="BX139" s="144" t="str">
        <f>=ROUND(BV139+BQ139,2)</f>
      </c>
      <c r="CA139" s="149" t="s">
        <v>353</v>
      </c>
      <c r="CB139" s="24"/>
      <c r="CC139" s="117" t="str">
        <f>=IFERROR(ROUND(CB139/FB_Kurs_12,2),0)</f>
      </c>
      <c r="CD139" s="116" t="str">
        <f>=ROUND(CB139+BW139,2)</f>
      </c>
      <c r="CE139" s="144" t="str">
        <f>=ROUND(CC139+BX139,2)</f>
      </c>
      <c r="CH139" s="149" t="s">
        <v>353</v>
      </c>
      <c r="CI139" s="24"/>
      <c r="CJ139" s="117" t="str">
        <f>=IFERROR(ROUND(CI139/FB_Kurs_13,2),0)</f>
      </c>
      <c r="CK139" s="116" t="str">
        <f>=ROUND(CI139+CD139,2)</f>
      </c>
      <c r="CL139" s="144" t="str">
        <f>=ROUND(CJ139+CE139,2)</f>
      </c>
      <c r="CO139" s="149" t="s">
        <v>353</v>
      </c>
      <c r="CP139" s="24"/>
      <c r="CQ139" s="117" t="str">
        <f>=IFERROR(ROUND(CP139/FB_Kurs_14,2),0)</f>
      </c>
      <c r="CR139" s="116" t="str">
        <f>=ROUND(CP139+CK139,2)</f>
      </c>
      <c r="CS139" s="144" t="str">
        <f>=ROUND(CQ139+CL139,2)</f>
      </c>
      <c r="CV139" s="149" t="s">
        <v>353</v>
      </c>
      <c r="CW139" s="24"/>
      <c r="CX139" s="117" t="str">
        <f>=IFERROR(ROUND(CW139/FB_Kurs_15,2),0)</f>
      </c>
      <c r="CY139" s="116" t="str">
        <f>=ROUND(CW139+CR139,2)</f>
      </c>
      <c r="CZ139" s="144" t="str">
        <f>=ROUND(CX139+CS139,2)</f>
      </c>
      <c r="DC139" s="149" t="s">
        <v>353</v>
      </c>
      <c r="DD139" s="24"/>
      <c r="DE139" s="117" t="str">
        <f>=IFERROR(ROUND(DD139/FB_Kurs_16,2),0)</f>
      </c>
      <c r="DF139" s="116" t="str">
        <f>=ROUND(DD139+CY139,2)</f>
      </c>
      <c r="DG139" s="144" t="str">
        <f>=ROUND(DE139+CZ139,2)</f>
      </c>
      <c r="DJ139" s="149" t="s">
        <v>353</v>
      </c>
      <c r="DK139" s="24"/>
      <c r="DL139" s="117" t="str">
        <f>=IFERROR(ROUND(DK139/FB_Kurs_17,2),0)</f>
      </c>
      <c r="DM139" s="116" t="str">
        <f>=ROUND(DK139+DF139,2)</f>
      </c>
      <c r="DN139" s="144" t="str">
        <f>=ROUND(DL139+DG139,2)</f>
      </c>
      <c r="DQ139" s="149" t="s">
        <v>353</v>
      </c>
      <c r="DR139" s="24"/>
      <c r="DS139" s="117" t="str">
        <f>=IFERROR(ROUND(DR139/FB_Kurs_18,2),0)</f>
      </c>
      <c r="DT139" s="116" t="str">
        <f>=ROUND(DR139+DM139,2)</f>
      </c>
      <c r="DU139" s="144" t="str">
        <f>=ROUND(DS139+DN139,2)</f>
      </c>
    </row>
    <row r="140">
      <c r="B140" s="149" t="s">
        <v>356</v>
      </c>
      <c r="C140" s="24"/>
      <c r="D140" s="117" t="str">
        <f>=IFERROR(ROUND(C140/FB_Kurs_1,2),0)</f>
      </c>
      <c r="E140" s="116" t="str">
        <f>=ROUND(C140,2)</f>
      </c>
      <c r="F140" s="144" t="str">
        <f>=ROUND(D140,2)</f>
      </c>
      <c r="I140" s="149" t="s">
        <v>356</v>
      </c>
      <c r="J140" s="24"/>
      <c r="K140" s="117" t="str">
        <f>=IFERROR(ROUND(J140/FB_Kurs_2,2),0)</f>
      </c>
      <c r="L140" s="116" t="str">
        <f>=ROUND(J140+E140,2)</f>
      </c>
      <c r="M140" s="144" t="str">
        <f>=ROUND(K140+F140,2)</f>
      </c>
      <c r="P140" s="149" t="s">
        <v>356</v>
      </c>
      <c r="Q140" s="24"/>
      <c r="R140" s="117" t="str">
        <f>=IFERROR(ROUND(Q140/FB_Kurs_3,2),0)</f>
      </c>
      <c r="S140" s="116" t="str">
        <f>=ROUND(Q140+L140,2)</f>
      </c>
      <c r="T140" s="144" t="str">
        <f>=ROUND(R140+M140,2)</f>
      </c>
      <c r="W140" s="149" t="s">
        <v>356</v>
      </c>
      <c r="X140" s="24"/>
      <c r="Y140" s="117" t="str">
        <f>=IFERROR(ROUND(X140/FB_Kurs_4,2),0)</f>
      </c>
      <c r="Z140" s="116" t="str">
        <f>=ROUND(X140+S140,2)</f>
      </c>
      <c r="AA140" s="144" t="str">
        <f>=ROUND(Y140+T140,2)</f>
      </c>
      <c r="AD140" s="149" t="s">
        <v>356</v>
      </c>
      <c r="AE140" s="24"/>
      <c r="AF140" s="117" t="str">
        <f>=IFERROR(ROUND(AE140/FB_Kurs_5,2),0)</f>
      </c>
      <c r="AG140" s="116" t="str">
        <f>=ROUND(AE140+Z140,2)</f>
      </c>
      <c r="AH140" s="144" t="str">
        <f>=ROUND(AF140+AA140,2)</f>
      </c>
      <c r="AK140" s="149" t="s">
        <v>356</v>
      </c>
      <c r="AL140" s="24"/>
      <c r="AM140" s="117" t="str">
        <f>=IFERROR(ROUND(AL140/FB_Kurs_6,2),0)</f>
      </c>
      <c r="AN140" s="116" t="str">
        <f>=ROUND(AL140+AG140,2)</f>
      </c>
      <c r="AO140" s="144" t="str">
        <f>=ROUND(AM140+AH140,2)</f>
      </c>
      <c r="AR140" s="149" t="s">
        <v>356</v>
      </c>
      <c r="AS140" s="24"/>
      <c r="AT140" s="117" t="str">
        <f>=IFERROR(ROUND(AS140/FB_Kurs_7,2),0)</f>
      </c>
      <c r="AU140" s="116" t="str">
        <f>=ROUND(AS140+AN140,2)</f>
      </c>
      <c r="AV140" s="144" t="str">
        <f>=ROUND(AT140+AO140,2)</f>
      </c>
      <c r="AY140" s="149" t="s">
        <v>356</v>
      </c>
      <c r="AZ140" s="24"/>
      <c r="BA140" s="117" t="str">
        <f>=IFERROR(ROUND(AZ140/FB_Kurs_8,2),0)</f>
      </c>
      <c r="BB140" s="116" t="str">
        <f>=ROUND(AZ140+AU140,2)</f>
      </c>
      <c r="BC140" s="144" t="str">
        <f>=ROUND(BA140+AV140,2)</f>
      </c>
      <c r="BF140" s="149" t="s">
        <v>356</v>
      </c>
      <c r="BG140" s="24"/>
      <c r="BH140" s="117" t="str">
        <f>=IFERROR(ROUND(BG140/FB_Kurs_9,2),0)</f>
      </c>
      <c r="BI140" s="116" t="str">
        <f>=ROUND(BG140+BB140,2)</f>
      </c>
      <c r="BJ140" s="144" t="str">
        <f>=ROUND(BH140+BC140,2)</f>
      </c>
      <c r="BM140" s="149" t="s">
        <v>356</v>
      </c>
      <c r="BN140" s="24"/>
      <c r="BO140" s="117" t="str">
        <f>=IFERROR(ROUND(BN140/FB_Kurs_10,2),0)</f>
      </c>
      <c r="BP140" s="116" t="str">
        <f>=ROUND(BN140+BI140,2)</f>
      </c>
      <c r="BQ140" s="144" t="str">
        <f>=ROUND(BO140+BJ140,2)</f>
      </c>
      <c r="BT140" s="149" t="s">
        <v>356</v>
      </c>
      <c r="BU140" s="24"/>
      <c r="BV140" s="117" t="str">
        <f>=IFERROR(ROUND(BU140/FB_Kurs_11,2),0)</f>
      </c>
      <c r="BW140" s="116" t="str">
        <f>=ROUND(BU140+BP140,2)</f>
      </c>
      <c r="BX140" s="144" t="str">
        <f>=ROUND(BV140+BQ140,2)</f>
      </c>
      <c r="CA140" s="149" t="s">
        <v>356</v>
      </c>
      <c r="CB140" s="24"/>
      <c r="CC140" s="117" t="str">
        <f>=IFERROR(ROUND(CB140/FB_Kurs_12,2),0)</f>
      </c>
      <c r="CD140" s="116" t="str">
        <f>=ROUND(CB140+BW140,2)</f>
      </c>
      <c r="CE140" s="144" t="str">
        <f>=ROUND(CC140+BX140,2)</f>
      </c>
      <c r="CH140" s="149" t="s">
        <v>356</v>
      </c>
      <c r="CI140" s="24"/>
      <c r="CJ140" s="117" t="str">
        <f>=IFERROR(ROUND(CI140/FB_Kurs_13,2),0)</f>
      </c>
      <c r="CK140" s="116" t="str">
        <f>=ROUND(CI140+CD140,2)</f>
      </c>
      <c r="CL140" s="144" t="str">
        <f>=ROUND(CJ140+CE140,2)</f>
      </c>
      <c r="CO140" s="149" t="s">
        <v>356</v>
      </c>
      <c r="CP140" s="24"/>
      <c r="CQ140" s="117" t="str">
        <f>=IFERROR(ROUND(CP140/FB_Kurs_14,2),0)</f>
      </c>
      <c r="CR140" s="116" t="str">
        <f>=ROUND(CP140+CK140,2)</f>
      </c>
      <c r="CS140" s="144" t="str">
        <f>=ROUND(CQ140+CL140,2)</f>
      </c>
      <c r="CV140" s="149" t="s">
        <v>356</v>
      </c>
      <c r="CW140" s="24"/>
      <c r="CX140" s="117" t="str">
        <f>=IFERROR(ROUND(CW140/FB_Kurs_15,2),0)</f>
      </c>
      <c r="CY140" s="116" t="str">
        <f>=ROUND(CW140+CR140,2)</f>
      </c>
      <c r="CZ140" s="144" t="str">
        <f>=ROUND(CX140+CS140,2)</f>
      </c>
      <c r="DC140" s="149" t="s">
        <v>356</v>
      </c>
      <c r="DD140" s="24"/>
      <c r="DE140" s="117" t="str">
        <f>=IFERROR(ROUND(DD140/FB_Kurs_16,2),0)</f>
      </c>
      <c r="DF140" s="116" t="str">
        <f>=ROUND(DD140+CY140,2)</f>
      </c>
      <c r="DG140" s="144" t="str">
        <f>=ROUND(DE140+CZ140,2)</f>
      </c>
      <c r="DJ140" s="149" t="s">
        <v>356</v>
      </c>
      <c r="DK140" s="24"/>
      <c r="DL140" s="117" t="str">
        <f>=IFERROR(ROUND(DK140/FB_Kurs_17,2),0)</f>
      </c>
      <c r="DM140" s="116" t="str">
        <f>=ROUND(DK140+DF140,2)</f>
      </c>
      <c r="DN140" s="144" t="str">
        <f>=ROUND(DL140+DG140,2)</f>
      </c>
      <c r="DQ140" s="149" t="s">
        <v>356</v>
      </c>
      <c r="DR140" s="24"/>
      <c r="DS140" s="117" t="str">
        <f>=IFERROR(ROUND(DR140/FB_Kurs_18,2),0)</f>
      </c>
      <c r="DT140" s="116" t="str">
        <f>=ROUND(DR140+DM140,2)</f>
      </c>
      <c r="DU140" s="144" t="str">
        <f>=ROUND(DS140+DN140,2)</f>
      </c>
    </row>
    <row r="141">
      <c r="B141" s="149" t="s">
        <v>358</v>
      </c>
      <c r="C141" s="24"/>
      <c r="D141" s="117" t="str">
        <f>=IFERROR(ROUND(C141/FB_Kurs_1,2),0)</f>
      </c>
      <c r="E141" s="116" t="str">
        <f>=ROUND(C141,2)</f>
      </c>
      <c r="F141" s="144" t="str">
        <f>=ROUND(D141,2)</f>
      </c>
      <c r="I141" s="149" t="s">
        <v>358</v>
      </c>
      <c r="J141" s="24"/>
      <c r="K141" s="117" t="str">
        <f>=IFERROR(ROUND(J141/FB_Kurs_2,2),0)</f>
      </c>
      <c r="L141" s="116" t="str">
        <f>=ROUND(J141+E141,2)</f>
      </c>
      <c r="M141" s="144" t="str">
        <f>=ROUND(K141+F141,2)</f>
      </c>
      <c r="P141" s="149" t="s">
        <v>358</v>
      </c>
      <c r="Q141" s="24"/>
      <c r="R141" s="117" t="str">
        <f>=IFERROR(ROUND(Q141/FB_Kurs_3,2),0)</f>
      </c>
      <c r="S141" s="116" t="str">
        <f>=ROUND(Q141+L141,2)</f>
      </c>
      <c r="T141" s="144" t="str">
        <f>=ROUND(R141+M141,2)</f>
      </c>
      <c r="W141" s="149" t="s">
        <v>358</v>
      </c>
      <c r="X141" s="24"/>
      <c r="Y141" s="117" t="str">
        <f>=IFERROR(ROUND(X141/FB_Kurs_4,2),0)</f>
      </c>
      <c r="Z141" s="116" t="str">
        <f>=ROUND(X141+S141,2)</f>
      </c>
      <c r="AA141" s="144" t="str">
        <f>=ROUND(Y141+T141,2)</f>
      </c>
      <c r="AD141" s="149" t="s">
        <v>358</v>
      </c>
      <c r="AE141" s="24"/>
      <c r="AF141" s="117" t="str">
        <f>=IFERROR(ROUND(AE141/FB_Kurs_5,2),0)</f>
      </c>
      <c r="AG141" s="116" t="str">
        <f>=ROUND(AE141+Z141,2)</f>
      </c>
      <c r="AH141" s="144" t="str">
        <f>=ROUND(AF141+AA141,2)</f>
      </c>
      <c r="AK141" s="149" t="s">
        <v>358</v>
      </c>
      <c r="AL141" s="24"/>
      <c r="AM141" s="117" t="str">
        <f>=IFERROR(ROUND(AL141/FB_Kurs_6,2),0)</f>
      </c>
      <c r="AN141" s="116" t="str">
        <f>=ROUND(AL141+AG141,2)</f>
      </c>
      <c r="AO141" s="144" t="str">
        <f>=ROUND(AM141+AH141,2)</f>
      </c>
      <c r="AR141" s="149" t="s">
        <v>358</v>
      </c>
      <c r="AS141" s="24"/>
      <c r="AT141" s="117" t="str">
        <f>=IFERROR(ROUND(AS141/FB_Kurs_7,2),0)</f>
      </c>
      <c r="AU141" s="116" t="str">
        <f>=ROUND(AS141+AN141,2)</f>
      </c>
      <c r="AV141" s="144" t="str">
        <f>=ROUND(AT141+AO141,2)</f>
      </c>
      <c r="AY141" s="149" t="s">
        <v>358</v>
      </c>
      <c r="AZ141" s="24"/>
      <c r="BA141" s="117" t="str">
        <f>=IFERROR(ROUND(AZ141/FB_Kurs_8,2),0)</f>
      </c>
      <c r="BB141" s="116" t="str">
        <f>=ROUND(AZ141+AU141,2)</f>
      </c>
      <c r="BC141" s="144" t="str">
        <f>=ROUND(BA141+AV141,2)</f>
      </c>
      <c r="BF141" s="149" t="s">
        <v>358</v>
      </c>
      <c r="BG141" s="24"/>
      <c r="BH141" s="117" t="str">
        <f>=IFERROR(ROUND(BG141/FB_Kurs_9,2),0)</f>
      </c>
      <c r="BI141" s="116" t="str">
        <f>=ROUND(BG141+BB141,2)</f>
      </c>
      <c r="BJ141" s="144" t="str">
        <f>=ROUND(BH141+BC141,2)</f>
      </c>
      <c r="BM141" s="149" t="s">
        <v>358</v>
      </c>
      <c r="BN141" s="24"/>
      <c r="BO141" s="117" t="str">
        <f>=IFERROR(ROUND(BN141/FB_Kurs_10,2),0)</f>
      </c>
      <c r="BP141" s="116" t="str">
        <f>=ROUND(BN141+BI141,2)</f>
      </c>
      <c r="BQ141" s="144" t="str">
        <f>=ROUND(BO141+BJ141,2)</f>
      </c>
      <c r="BT141" s="149" t="s">
        <v>358</v>
      </c>
      <c r="BU141" s="24"/>
      <c r="BV141" s="117" t="str">
        <f>=IFERROR(ROUND(BU141/FB_Kurs_11,2),0)</f>
      </c>
      <c r="BW141" s="116" t="str">
        <f>=ROUND(BU141+BP141,2)</f>
      </c>
      <c r="BX141" s="144" t="str">
        <f>=ROUND(BV141+BQ141,2)</f>
      </c>
      <c r="CA141" s="149" t="s">
        <v>358</v>
      </c>
      <c r="CB141" s="24"/>
      <c r="CC141" s="117" t="str">
        <f>=IFERROR(ROUND(CB141/FB_Kurs_12,2),0)</f>
      </c>
      <c r="CD141" s="116" t="str">
        <f>=ROUND(CB141+BW141,2)</f>
      </c>
      <c r="CE141" s="144" t="str">
        <f>=ROUND(CC141+BX141,2)</f>
      </c>
      <c r="CH141" s="149" t="s">
        <v>358</v>
      </c>
      <c r="CI141" s="24"/>
      <c r="CJ141" s="117" t="str">
        <f>=IFERROR(ROUND(CI141/FB_Kurs_13,2),0)</f>
      </c>
      <c r="CK141" s="116" t="str">
        <f>=ROUND(CI141+CD141,2)</f>
      </c>
      <c r="CL141" s="144" t="str">
        <f>=ROUND(CJ141+CE141,2)</f>
      </c>
      <c r="CO141" s="149" t="s">
        <v>358</v>
      </c>
      <c r="CP141" s="24"/>
      <c r="CQ141" s="117" t="str">
        <f>=IFERROR(ROUND(CP141/FB_Kurs_14,2),0)</f>
      </c>
      <c r="CR141" s="116" t="str">
        <f>=ROUND(CP141+CK141,2)</f>
      </c>
      <c r="CS141" s="144" t="str">
        <f>=ROUND(CQ141+CL141,2)</f>
      </c>
      <c r="CV141" s="149" t="s">
        <v>358</v>
      </c>
      <c r="CW141" s="24"/>
      <c r="CX141" s="117" t="str">
        <f>=IFERROR(ROUND(CW141/FB_Kurs_15,2),0)</f>
      </c>
      <c r="CY141" s="116" t="str">
        <f>=ROUND(CW141+CR141,2)</f>
      </c>
      <c r="CZ141" s="144" t="str">
        <f>=ROUND(CX141+CS141,2)</f>
      </c>
      <c r="DC141" s="149" t="s">
        <v>358</v>
      </c>
      <c r="DD141" s="24"/>
      <c r="DE141" s="117" t="str">
        <f>=IFERROR(ROUND(DD141/FB_Kurs_16,2),0)</f>
      </c>
      <c r="DF141" s="116" t="str">
        <f>=ROUND(DD141+CY141,2)</f>
      </c>
      <c r="DG141" s="144" t="str">
        <f>=ROUND(DE141+CZ141,2)</f>
      </c>
      <c r="DJ141" s="149" t="s">
        <v>358</v>
      </c>
      <c r="DK141" s="24"/>
      <c r="DL141" s="117" t="str">
        <f>=IFERROR(ROUND(DK141/FB_Kurs_17,2),0)</f>
      </c>
      <c r="DM141" s="116" t="str">
        <f>=ROUND(DK141+DF141,2)</f>
      </c>
      <c r="DN141" s="144" t="str">
        <f>=ROUND(DL141+DG141,2)</f>
      </c>
      <c r="DQ141" s="149" t="s">
        <v>358</v>
      </c>
      <c r="DR141" s="24"/>
      <c r="DS141" s="117" t="str">
        <f>=IFERROR(ROUND(DR141/FB_Kurs_18,2),0)</f>
      </c>
      <c r="DT141" s="116" t="str">
        <f>=ROUND(DR141+DM141,2)</f>
      </c>
      <c r="DU141" s="144" t="str">
        <f>=ROUND(DS141+DN141,2)</f>
      </c>
    </row>
    <row r="142">
      <c r="B142" s="150" t="s">
        <v>435</v>
      </c>
      <c r="C142" s="124" t="str">
        <f>=ROUND(SUBTOTAL(109,$C$19:$C$141),2)</f>
      </c>
      <c r="D142" s="125" t="str">
        <f>=ROUND(SUBTOTAL(109,$D$19:$D$141),2)</f>
      </c>
      <c r="E142" s="124" t="str">
        <f>=ROUND(SUBTOTAL(109,$E$19:$E$141),2)</f>
      </c>
      <c r="F142" s="151" t="str">
        <f>=ROUND(SUBTOTAL(109,$F$19:$F$141),2)</f>
      </c>
      <c r="I142" s="150" t="s">
        <v>435</v>
      </c>
      <c r="J142" s="124" t="str">
        <f>=ROUND(SUBTOTAL(109,$J$19:$J$141),2)</f>
      </c>
      <c r="K142" s="125" t="str">
        <f>=ROUND(SUBTOTAL(109,$K$19:$K$141),2)</f>
      </c>
      <c r="L142" s="124" t="str">
        <f>=ROUND(SUBTOTAL(109,$L$19:$L$141),2)</f>
      </c>
      <c r="M142" s="151" t="str">
        <f>=ROUND(SUBTOTAL(109,$M$19:$M$141),2)</f>
      </c>
      <c r="P142" s="150" t="s">
        <v>435</v>
      </c>
      <c r="Q142" s="124" t="str">
        <f>=ROUND(SUBTOTAL(109,$Q$19:$Q$141),2)</f>
      </c>
      <c r="R142" s="125" t="str">
        <f>=ROUND(SUBTOTAL(109,$R$19:$R$141),2)</f>
      </c>
      <c r="S142" s="124" t="str">
        <f>=ROUND(SUBTOTAL(109,$S$19:$S$141),2)</f>
      </c>
      <c r="T142" s="151" t="str">
        <f>=ROUND(SUBTOTAL(109,$T$19:$T$141),2)</f>
      </c>
      <c r="W142" s="150" t="s">
        <v>435</v>
      </c>
      <c r="X142" s="124" t="str">
        <f>=ROUND(SUBTOTAL(109,$X$19:$X$141),2)</f>
      </c>
      <c r="Y142" s="125" t="str">
        <f>=ROUND(SUBTOTAL(109,$Y$19:$Y$141),2)</f>
      </c>
      <c r="Z142" s="124" t="str">
        <f>=ROUND(SUBTOTAL(109,$Z$19:$Z$141),2)</f>
      </c>
      <c r="AA142" s="151" t="str">
        <f>=ROUND(SUBTOTAL(109,$AA$19:$AA$141),2)</f>
      </c>
      <c r="AD142" s="150" t="s">
        <v>435</v>
      </c>
      <c r="AE142" s="124" t="str">
        <f>=ROUND(SUBTOTAL(109,$AE$19:$AE$141),2)</f>
      </c>
      <c r="AF142" s="125" t="str">
        <f>=ROUND(SUBTOTAL(109,$AF$19:$AF$141),2)</f>
      </c>
      <c r="AG142" s="124" t="str">
        <f>=ROUND(SUBTOTAL(109,$AG$19:$AG$141),2)</f>
      </c>
      <c r="AH142" s="151" t="str">
        <f>=ROUND(SUBTOTAL(109,$AH$19:$AH$141),2)</f>
      </c>
      <c r="AK142" s="150" t="s">
        <v>435</v>
      </c>
      <c r="AL142" s="124" t="str">
        <f>=ROUND(SUBTOTAL(109,$AL$19:$AL$141),2)</f>
      </c>
      <c r="AM142" s="125" t="str">
        <f>=ROUND(SUBTOTAL(109,$AM$19:$AM$141),2)</f>
      </c>
      <c r="AN142" s="124" t="str">
        <f>=ROUND(SUBTOTAL(109,$AN$19:$AN$141),2)</f>
      </c>
      <c r="AO142" s="151" t="str">
        <f>=ROUND(SUBTOTAL(109,$AO$19:$AO$141),2)</f>
      </c>
      <c r="AR142" s="150" t="s">
        <v>435</v>
      </c>
      <c r="AS142" s="124" t="str">
        <f>=ROUND(SUBTOTAL(109,$AS$19:$AS$141),2)</f>
      </c>
      <c r="AT142" s="125" t="str">
        <f>=ROUND(SUBTOTAL(109,$AT$19:$AT$141),2)</f>
      </c>
      <c r="AU142" s="124" t="str">
        <f>=ROUND(SUBTOTAL(109,$AU$19:$AU$141),2)</f>
      </c>
      <c r="AV142" s="151" t="str">
        <f>=ROUND(SUBTOTAL(109,$AV$19:$AV$141),2)</f>
      </c>
      <c r="AY142" s="150" t="s">
        <v>435</v>
      </c>
      <c r="AZ142" s="124" t="str">
        <f>=ROUND(SUBTOTAL(109,$AZ$19:$AZ$141),2)</f>
      </c>
      <c r="BA142" s="125" t="str">
        <f>=ROUND(SUBTOTAL(109,$BA$19:$BA$141),2)</f>
      </c>
      <c r="BB142" s="124" t="str">
        <f>=ROUND(SUBTOTAL(109,$BB$19:$BB$141),2)</f>
      </c>
      <c r="BC142" s="151" t="str">
        <f>=ROUND(SUBTOTAL(109,$BC$19:$BC$141),2)</f>
      </c>
      <c r="BF142" s="150" t="s">
        <v>435</v>
      </c>
      <c r="BG142" s="124" t="str">
        <f>=ROUND(SUBTOTAL(109,$BG$19:$BG$141),2)</f>
      </c>
      <c r="BH142" s="125" t="str">
        <f>=ROUND(SUBTOTAL(109,$BH$19:$BH$141),2)</f>
      </c>
      <c r="BI142" s="124" t="str">
        <f>=ROUND(SUBTOTAL(109,$BI$19:$BI$141),2)</f>
      </c>
      <c r="BJ142" s="151" t="str">
        <f>=ROUND(SUBTOTAL(109,$BJ$19:$BJ$141),2)</f>
      </c>
      <c r="BM142" s="150" t="s">
        <v>435</v>
      </c>
      <c r="BN142" s="124" t="str">
        <f>=ROUND(SUBTOTAL(109,$BN$19:$BN$141),2)</f>
      </c>
      <c r="BO142" s="125" t="str">
        <f>=ROUND(SUBTOTAL(109,$BO$19:$BO$141),2)</f>
      </c>
      <c r="BP142" s="124" t="str">
        <f>=ROUND(SUBTOTAL(109,$BP$19:$BP$141),2)</f>
      </c>
      <c r="BQ142" s="151" t="str">
        <f>=ROUND(SUBTOTAL(109,$BQ$19:$BQ$141),2)</f>
      </c>
      <c r="BT142" s="150" t="s">
        <v>435</v>
      </c>
      <c r="BU142" s="124" t="str">
        <f>=ROUND(SUBTOTAL(109,$BU$19:$BU$141),2)</f>
      </c>
      <c r="BV142" s="125" t="str">
        <f>=ROUND(SUBTOTAL(109,$BV$19:$BV$141),2)</f>
      </c>
      <c r="BW142" s="124" t="str">
        <f>=ROUND(SUBTOTAL(109,$BW$19:$BW$141),2)</f>
      </c>
      <c r="BX142" s="151" t="str">
        <f>=ROUND(SUBTOTAL(109,$BX$19:$BX$141),2)</f>
      </c>
      <c r="CA142" s="150" t="s">
        <v>435</v>
      </c>
      <c r="CB142" s="124" t="str">
        <f>=ROUND(SUBTOTAL(109,$CB$19:$CB$141),2)</f>
      </c>
      <c r="CC142" s="125" t="str">
        <f>=ROUND(SUBTOTAL(109,$CC$19:$CC$141),2)</f>
      </c>
      <c r="CD142" s="124" t="str">
        <f>=ROUND(SUBTOTAL(109,$CD$19:$CD$141),2)</f>
      </c>
      <c r="CE142" s="151" t="str">
        <f>=ROUND(SUBTOTAL(109,$CE$19:$CE$141),2)</f>
      </c>
      <c r="CH142" s="150" t="s">
        <v>435</v>
      </c>
      <c r="CI142" s="124" t="str">
        <f>=ROUND(SUBTOTAL(109,$CI$19:$CI$141),2)</f>
      </c>
      <c r="CJ142" s="125" t="str">
        <f>=ROUND(SUBTOTAL(109,$CJ$19:$CJ$141),2)</f>
      </c>
      <c r="CK142" s="124" t="str">
        <f>=ROUND(SUBTOTAL(109,$CK$19:$CK$141),2)</f>
      </c>
      <c r="CL142" s="151" t="str">
        <f>=ROUND(SUBTOTAL(109,$CL$19:$CL$141),2)</f>
      </c>
      <c r="CO142" s="150" t="s">
        <v>435</v>
      </c>
      <c r="CP142" s="124" t="str">
        <f>=ROUND(SUBTOTAL(109,$CP$19:$CP$141),2)</f>
      </c>
      <c r="CQ142" s="125" t="str">
        <f>=ROUND(SUBTOTAL(109,$CQ$19:$CQ$141),2)</f>
      </c>
      <c r="CR142" s="124" t="str">
        <f>=ROUND(SUBTOTAL(109,$CR$19:$CR$141),2)</f>
      </c>
      <c r="CS142" s="151" t="str">
        <f>=ROUND(SUBTOTAL(109,$CS$19:$CS$141),2)</f>
      </c>
      <c r="CV142" s="150" t="s">
        <v>435</v>
      </c>
      <c r="CW142" s="124" t="str">
        <f>=ROUND(SUBTOTAL(109,$CW$19:$CW$141),2)</f>
      </c>
      <c r="CX142" s="125" t="str">
        <f>=ROUND(SUBTOTAL(109,$CX$19:$CX$141),2)</f>
      </c>
      <c r="CY142" s="124" t="str">
        <f>=ROUND(SUBTOTAL(109,$CY$19:$CY$141),2)</f>
      </c>
      <c r="CZ142" s="151" t="str">
        <f>=ROUND(SUBTOTAL(109,$CZ$19:$CZ$141),2)</f>
      </c>
      <c r="DC142" s="150" t="s">
        <v>435</v>
      </c>
      <c r="DD142" s="124" t="str">
        <f>=ROUND(SUBTOTAL(109,$DD$19:$DD$141),2)</f>
      </c>
      <c r="DE142" s="125" t="str">
        <f>=ROUND(SUBTOTAL(109,$DE$19:$DE$141),2)</f>
      </c>
      <c r="DF142" s="124" t="str">
        <f>=ROUND(SUBTOTAL(109,$DF$19:$DF$141),2)</f>
      </c>
      <c r="DG142" s="151" t="str">
        <f>=ROUND(SUBTOTAL(109,$DG$19:$DG$141),2)</f>
      </c>
      <c r="DJ142" s="150" t="s">
        <v>435</v>
      </c>
      <c r="DK142" s="124" t="str">
        <f>=ROUND(SUBTOTAL(109,$DK$19:$DK$141),2)</f>
      </c>
      <c r="DL142" s="125" t="str">
        <f>=ROUND(SUBTOTAL(109,$DL$19:$DL$141),2)</f>
      </c>
      <c r="DM142" s="124" t="str">
        <f>=ROUND(SUBTOTAL(109,$DM$19:$DM$141),2)</f>
      </c>
      <c r="DN142" s="151" t="str">
        <f>=ROUND(SUBTOTAL(109,$DN$19:$DN$141),2)</f>
      </c>
      <c r="DQ142" s="150" t="s">
        <v>435</v>
      </c>
      <c r="DR142" s="124" t="str">
        <f>=ROUND(SUBTOTAL(109,$DR$19:$DR$141),2)</f>
      </c>
      <c r="DS142" s="125" t="str">
        <f>=ROUND(SUBTOTAL(109,$DS$19:$DS$141),2)</f>
      </c>
      <c r="DT142" s="124" t="str">
        <f>=ROUND(SUBTOTAL(109,$DT$19:$DT$141),2)</f>
      </c>
      <c r="DU142" s="151" t="str">
        <f>=ROUND(SUBTOTAL(109,$DU$19:$DU$141),2)</f>
      </c>
    </row>
    <row r="143">
      <c r="B143" s="45"/>
      <c r="F143" s="46"/>
      <c r="I143" s="45"/>
      <c r="M143" s="46"/>
      <c r="P143" s="45"/>
      <c r="T143" s="46"/>
      <c r="W143" s="45"/>
      <c r="AA143" s="46"/>
      <c r="AD143" s="45"/>
      <c r="AH143" s="46"/>
      <c r="AK143" s="45"/>
      <c r="AO143" s="46"/>
      <c r="AR143" s="45"/>
      <c r="AV143" s="46"/>
      <c r="AY143" s="45"/>
      <c r="BC143" s="46"/>
      <c r="BF143" s="45"/>
      <c r="BJ143" s="46"/>
      <c r="BM143" s="45"/>
      <c r="BQ143" s="46"/>
      <c r="BT143" s="45"/>
      <c r="BX143" s="46"/>
      <c r="CA143" s="45"/>
      <c r="CE143" s="46"/>
      <c r="CH143" s="45"/>
      <c r="CL143" s="46"/>
      <c r="CO143" s="45"/>
      <c r="CS143" s="46"/>
      <c r="CV143" s="45"/>
      <c r="CZ143" s="46"/>
      <c r="DC143" s="45"/>
      <c r="DG143" s="46"/>
      <c r="DJ143" s="45"/>
      <c r="DN143" s="46"/>
      <c r="DQ143" s="45"/>
      <c r="DU143" s="46"/>
    </row>
    <row r="144">
      <c r="B144" s="138" t="s">
        <v>436</v>
      </c>
      <c r="C144" s="126" t="str">
        <f>=ROUND(IFERROR(C16-$C$142,""),2)</f>
      </c>
      <c r="D144" s="127" t="str">
        <f>=ROUND(IFERROR(D16-$D$142,""),2)</f>
      </c>
      <c r="E144" s="126" t="str">
        <f>=ROUND(IFERROR(E16-E142,""),2)</f>
      </c>
      <c r="F144" s="152" t="str">
        <f>=ROUND(IFERROR(F16-F142,""),2)</f>
      </c>
      <c r="I144" s="138" t="s">
        <v>436</v>
      </c>
      <c r="J144" s="126" t="str">
        <f>=ROUND(IFERROR(J16-$J$142,""),2)</f>
      </c>
      <c r="K144" s="127" t="str">
        <f>=ROUND(IFERROR(K16-$K$142,""),2)</f>
      </c>
      <c r="L144" s="126" t="str">
        <f>=ROUND(IFERROR(L16-L142,""),2)</f>
      </c>
      <c r="M144" s="152" t="str">
        <f>=ROUND(IFERROR(M16-M142,""),2)</f>
      </c>
      <c r="P144" s="138" t="s">
        <v>436</v>
      </c>
      <c r="Q144" s="126" t="str">
        <f>=ROUND(IFERROR(Q16-$Q$142,""),2)</f>
      </c>
      <c r="R144" s="127" t="str">
        <f>=ROUND(IFERROR(R16-$R$142,""),2)</f>
      </c>
      <c r="S144" s="126" t="str">
        <f>=ROUND(IFERROR(S16-S142,""),2)</f>
      </c>
      <c r="T144" s="152" t="str">
        <f>=ROUND(IFERROR(T16-T142,""),2)</f>
      </c>
      <c r="W144" s="138" t="s">
        <v>436</v>
      </c>
      <c r="X144" s="126" t="str">
        <f>=ROUND(IFERROR(X16-$X$142,""),2)</f>
      </c>
      <c r="Y144" s="127" t="str">
        <f>=ROUND(IFERROR(Y16-$Y$142,""),2)</f>
      </c>
      <c r="Z144" s="126" t="str">
        <f>=ROUND(IFERROR(Z16-Z142,""),2)</f>
      </c>
      <c r="AA144" s="152" t="str">
        <f>=ROUND(IFERROR(AA16-AA142,""),2)</f>
      </c>
      <c r="AD144" s="138" t="s">
        <v>436</v>
      </c>
      <c r="AE144" s="126" t="str">
        <f>=ROUND(IFERROR(AE16-$AE$142,""),2)</f>
      </c>
      <c r="AF144" s="127" t="str">
        <f>=ROUND(IFERROR(AF16-$AF$142,""),2)</f>
      </c>
      <c r="AG144" s="126" t="str">
        <f>=ROUND(IFERROR(AG16-AG142,""),2)</f>
      </c>
      <c r="AH144" s="152" t="str">
        <f>=ROUND(IFERROR(AH16-AH142,""),2)</f>
      </c>
      <c r="AK144" s="138" t="s">
        <v>436</v>
      </c>
      <c r="AL144" s="126" t="str">
        <f>=ROUND(IFERROR(AL16-$AL$142,""),2)</f>
      </c>
      <c r="AM144" s="127" t="str">
        <f>=ROUND(IFERROR(AM16-$AM$142,""),2)</f>
      </c>
      <c r="AN144" s="126" t="str">
        <f>=ROUND(IFERROR(AN16-AN142,""),2)</f>
      </c>
      <c r="AO144" s="152" t="str">
        <f>=ROUND(IFERROR(AO16-AO142,""),2)</f>
      </c>
      <c r="AR144" s="138" t="s">
        <v>436</v>
      </c>
      <c r="AS144" s="126" t="str">
        <f>=ROUND(IFERROR(AS16-$AS$142,""),2)</f>
      </c>
      <c r="AT144" s="127" t="str">
        <f>=ROUND(IFERROR(AT16-$AT$142,""),2)</f>
      </c>
      <c r="AU144" s="126" t="str">
        <f>=ROUND(IFERROR(AU16-AU142,""),2)</f>
      </c>
      <c r="AV144" s="152" t="str">
        <f>=ROUND(IFERROR(AV16-AV142,""),2)</f>
      </c>
      <c r="AY144" s="138" t="s">
        <v>436</v>
      </c>
      <c r="AZ144" s="126" t="str">
        <f>=ROUND(IFERROR(AZ16-$AZ$142,""),2)</f>
      </c>
      <c r="BA144" s="127" t="str">
        <f>=ROUND(IFERROR(BA16-$BA$142,""),2)</f>
      </c>
      <c r="BB144" s="126" t="str">
        <f>=ROUND(IFERROR(BB16-BB142,""),2)</f>
      </c>
      <c r="BC144" s="152" t="str">
        <f>=ROUND(IFERROR(BC16-BC142,""),2)</f>
      </c>
      <c r="BF144" s="138" t="s">
        <v>436</v>
      </c>
      <c r="BG144" s="126" t="str">
        <f>=ROUND(IFERROR(BG16-$BG$142,""),2)</f>
      </c>
      <c r="BH144" s="127" t="str">
        <f>=ROUND(IFERROR(BH16-$BH$142,""),2)</f>
      </c>
      <c r="BI144" s="126" t="str">
        <f>=ROUND(IFERROR(BI16-BI142,""),2)</f>
      </c>
      <c r="BJ144" s="152" t="str">
        <f>=ROUND(IFERROR(BJ16-BJ142,""),2)</f>
      </c>
      <c r="BM144" s="138" t="s">
        <v>436</v>
      </c>
      <c r="BN144" s="126" t="str">
        <f>=ROUND(IFERROR(BN16-$BN$142,""),2)</f>
      </c>
      <c r="BO144" s="127" t="str">
        <f>=ROUND(IFERROR(BO16-$BO$142,""),2)</f>
      </c>
      <c r="BP144" s="126" t="str">
        <f>=ROUND(IFERROR(BP16-BP142,""),2)</f>
      </c>
      <c r="BQ144" s="152" t="str">
        <f>=ROUND(IFERROR(BQ16-BQ142,""),2)</f>
      </c>
      <c r="BT144" s="138" t="s">
        <v>436</v>
      </c>
      <c r="BU144" s="126" t="str">
        <f>=ROUND(IFERROR(BU16-$BU$142,""),2)</f>
      </c>
      <c r="BV144" s="127" t="str">
        <f>=ROUND(IFERROR(BV16-$BV$142,""),2)</f>
      </c>
      <c r="BW144" s="126" t="str">
        <f>=ROUND(IFERROR(BW16-BW142,""),2)</f>
      </c>
      <c r="BX144" s="152" t="str">
        <f>=ROUND(IFERROR(BX16-BX142,""),2)</f>
      </c>
      <c r="CA144" s="138" t="s">
        <v>436</v>
      </c>
      <c r="CB144" s="126" t="str">
        <f>=ROUND(IFERROR(CB16-$CB$142,""),2)</f>
      </c>
      <c r="CC144" s="127" t="str">
        <f>=ROUND(IFERROR(CC16-$CC$142,""),2)</f>
      </c>
      <c r="CD144" s="126" t="str">
        <f>=ROUND(IFERROR(CD16-CD142,""),2)</f>
      </c>
      <c r="CE144" s="152" t="str">
        <f>=ROUND(IFERROR(CE16-CE142,""),2)</f>
      </c>
      <c r="CH144" s="138" t="s">
        <v>436</v>
      </c>
      <c r="CI144" s="126" t="str">
        <f>=ROUND(IFERROR(CI16-$CI$142,""),2)</f>
      </c>
      <c r="CJ144" s="127" t="str">
        <f>=ROUND(IFERROR(CJ16-$CJ$142,""),2)</f>
      </c>
      <c r="CK144" s="126" t="str">
        <f>=ROUND(IFERROR(CK16-CK142,""),2)</f>
      </c>
      <c r="CL144" s="152" t="str">
        <f>=ROUND(IFERROR(CL16-CL142,""),2)</f>
      </c>
      <c r="CO144" s="138" t="s">
        <v>436</v>
      </c>
      <c r="CP144" s="126" t="str">
        <f>=ROUND(IFERROR(CP16-$CP$142,""),2)</f>
      </c>
      <c r="CQ144" s="127" t="str">
        <f>=ROUND(IFERROR(CQ16-$CQ$142,""),2)</f>
      </c>
      <c r="CR144" s="126" t="str">
        <f>=ROUND(IFERROR(CR16-CR142,""),2)</f>
      </c>
      <c r="CS144" s="152" t="str">
        <f>=ROUND(IFERROR(CS16-CS142,""),2)</f>
      </c>
      <c r="CV144" s="138" t="s">
        <v>436</v>
      </c>
      <c r="CW144" s="126" t="str">
        <f>=ROUND(IFERROR(CW16-$CW$142,""),2)</f>
      </c>
      <c r="CX144" s="127" t="str">
        <f>=ROUND(IFERROR(CX16-$CX$142,""),2)</f>
      </c>
      <c r="CY144" s="126" t="str">
        <f>=ROUND(IFERROR(CY16-CY142,""),2)</f>
      </c>
      <c r="CZ144" s="152" t="str">
        <f>=ROUND(IFERROR(CZ16-CZ142,""),2)</f>
      </c>
      <c r="DC144" s="138" t="s">
        <v>436</v>
      </c>
      <c r="DD144" s="126" t="str">
        <f>=ROUND(IFERROR(DD16-$DD$142,""),2)</f>
      </c>
      <c r="DE144" s="127" t="str">
        <f>=ROUND(IFERROR(DE16-$DE$142,""),2)</f>
      </c>
      <c r="DF144" s="126" t="str">
        <f>=ROUND(IFERROR(DF16-DF142,""),2)</f>
      </c>
      <c r="DG144" s="152" t="str">
        <f>=ROUND(IFERROR(DG16-DG142,""),2)</f>
      </c>
      <c r="DJ144" s="138" t="s">
        <v>436</v>
      </c>
      <c r="DK144" s="126" t="str">
        <f>=ROUND(IFERROR(DK16-$DK$142,""),2)</f>
      </c>
      <c r="DL144" s="127" t="str">
        <f>=ROUND(IFERROR(DL16-$DL$142,""),2)</f>
      </c>
      <c r="DM144" s="126" t="str">
        <f>=ROUND(IFERROR(DM16-DM142,""),2)</f>
      </c>
      <c r="DN144" s="152" t="str">
        <f>=ROUND(IFERROR(DN16-DN142,""),2)</f>
      </c>
      <c r="DQ144" s="138" t="s">
        <v>436</v>
      </c>
      <c r="DR144" s="126" t="str">
        <f>=ROUND(IFERROR(DR16-$DR$142,""),2)</f>
      </c>
      <c r="DS144" s="127" t="str">
        <f>=ROUND(IFERROR(DS16-$DS$142,""),2)</f>
      </c>
      <c r="DT144" s="126" t="str">
        <f>=ROUND(IFERROR(DT16-DT142,""),2)</f>
      </c>
      <c r="DU144" s="152" t="str">
        <f>=ROUND(IFERROR(DU16-DU142,""),2)</f>
      </c>
    </row>
    <row r="145">
      <c r="B145" s="45"/>
      <c r="F145" s="46"/>
      <c r="I145" s="45"/>
      <c r="M145" s="46"/>
      <c r="P145" s="45"/>
      <c r="T145" s="46"/>
      <c r="W145" s="45"/>
      <c r="AA145" s="46"/>
      <c r="AD145" s="45"/>
      <c r="AH145" s="46"/>
      <c r="AK145" s="45"/>
      <c r="AO145" s="46"/>
      <c r="AR145" s="45"/>
      <c r="AV145" s="46"/>
      <c r="AY145" s="45"/>
      <c r="BC145" s="46"/>
      <c r="BF145" s="45"/>
      <c r="BJ145" s="46"/>
      <c r="BM145" s="45"/>
      <c r="BQ145" s="46"/>
      <c r="BT145" s="45"/>
      <c r="BX145" s="46"/>
      <c r="CA145" s="45"/>
      <c r="CE145" s="46"/>
      <c r="CH145" s="45"/>
      <c r="CL145" s="46"/>
      <c r="CO145" s="45"/>
      <c r="CS145" s="46"/>
      <c r="CV145" s="45"/>
      <c r="CZ145" s="46"/>
      <c r="DC145" s="45"/>
      <c r="DG145" s="46"/>
      <c r="DJ145" s="45"/>
      <c r="DN145" s="46"/>
      <c r="DQ145" s="45"/>
      <c r="DU145" s="46"/>
    </row>
    <row r="146">
      <c r="B146" s="153" t="s">
        <v>437</v>
      </c>
      <c r="F146" s="46"/>
      <c r="I146" s="153" t="s">
        <v>437</v>
      </c>
      <c r="M146" s="46"/>
      <c r="P146" s="153" t="s">
        <v>437</v>
      </c>
      <c r="T146" s="46"/>
      <c r="W146" s="153" t="s">
        <v>437</v>
      </c>
      <c r="AA146" s="46"/>
      <c r="AD146" s="153" t="s">
        <v>437</v>
      </c>
      <c r="AH146" s="46"/>
      <c r="AK146" s="153" t="s">
        <v>437</v>
      </c>
      <c r="AO146" s="46"/>
      <c r="AR146" s="153" t="s">
        <v>437</v>
      </c>
      <c r="AV146" s="46"/>
      <c r="AY146" s="153" t="s">
        <v>437</v>
      </c>
      <c r="BC146" s="46"/>
      <c r="BF146" s="153" t="s">
        <v>437</v>
      </c>
      <c r="BJ146" s="46"/>
      <c r="BM146" s="153" t="s">
        <v>437</v>
      </c>
      <c r="BQ146" s="46"/>
      <c r="BT146" s="153" t="s">
        <v>437</v>
      </c>
      <c r="BX146" s="46"/>
      <c r="CA146" s="153" t="s">
        <v>437</v>
      </c>
      <c r="CE146" s="46"/>
      <c r="CH146" s="153" t="s">
        <v>437</v>
      </c>
      <c r="CL146" s="46"/>
      <c r="CO146" s="153" t="s">
        <v>437</v>
      </c>
      <c r="CS146" s="46"/>
      <c r="CV146" s="153" t="s">
        <v>437</v>
      </c>
      <c r="CZ146" s="46"/>
      <c r="DC146" s="153" t="s">
        <v>437</v>
      </c>
      <c r="DG146" s="46"/>
      <c r="DJ146" s="153" t="s">
        <v>437</v>
      </c>
      <c r="DN146" s="46"/>
      <c r="DQ146" s="153" t="s">
        <v>437</v>
      </c>
      <c r="DU146" s="46"/>
    </row>
    <row r="147">
      <c r="B147" s="154" t="s">
        <v>438</v>
      </c>
      <c r="C147" s="129"/>
      <c r="D147" s="130" t="str">
        <f>=IF(C147=0, 0, IF(ROUND(SUM(C148:C149), 2)=0, ROUND(D144 - 0, 2), ROUND(C147 / ROUND(SUM(C147:C149), 2) * D144, 2)))</f>
      </c>
      <c r="F147" s="46"/>
      <c r="I147" s="154" t="s">
        <v>438</v>
      </c>
      <c r="J147" s="129"/>
      <c r="K147" s="130" t="str">
        <f>=IF(J147=0, 0, IF(ROUND(SUM(J148:J149), 2)=0, ROUND(K144 - 0, 2), ROUND(J147 / ROUND(SUM(J147:J149), 2) * K144, 2)))</f>
      </c>
      <c r="M147" s="46"/>
      <c r="P147" s="154" t="s">
        <v>438</v>
      </c>
      <c r="Q147" s="129"/>
      <c r="R147" s="130" t="str">
        <f>=IF(Q147=0, 0, IF(ROUND(SUM(Q148:Q149), 2)=0, ROUND(R144 - 0, 2), ROUND(Q147 / ROUND(SUM(Q147:Q149), 2) * R144, 2)))</f>
      </c>
      <c r="T147" s="46"/>
      <c r="W147" s="154" t="s">
        <v>438</v>
      </c>
      <c r="X147" s="129"/>
      <c r="Y147" s="130" t="str">
        <f>=IF(X147=0, 0, IF(ROUND(SUM(X148:X149), 2)=0, ROUND(Y144 - 0, 2), ROUND(X147 / ROUND(SUM(X147:X149), 2) * Y144, 2)))</f>
      </c>
      <c r="AA147" s="46"/>
      <c r="AD147" s="154" t="s">
        <v>438</v>
      </c>
      <c r="AE147" s="129"/>
      <c r="AF147" s="130" t="str">
        <f>=IF(AE147=0, 0, IF(ROUND(SUM(AE148:AE149), 2)=0, ROUND(AF144 - 0, 2), ROUND(AE147 / ROUND(SUM(AE147:AE149), 2) * AF144, 2)))</f>
      </c>
      <c r="AH147" s="46"/>
      <c r="AK147" s="154" t="s">
        <v>438</v>
      </c>
      <c r="AL147" s="129"/>
      <c r="AM147" s="130" t="str">
        <f>=IF(AL147=0, 0, IF(ROUND(SUM(AL148:AL149), 2)=0, ROUND(AM144 - 0, 2), ROUND(AL147 / ROUND(SUM(AL147:AL149), 2) * AM144, 2)))</f>
      </c>
      <c r="AO147" s="46"/>
      <c r="AR147" s="154" t="s">
        <v>438</v>
      </c>
      <c r="AS147" s="129"/>
      <c r="AT147" s="130" t="str">
        <f>=IF(AS147=0, 0, IF(ROUND(SUM(AS148:AS149), 2)=0, ROUND(AT144 - 0, 2), ROUND(AS147 / ROUND(SUM(AS147:AS149), 2) * AT144, 2)))</f>
      </c>
      <c r="AV147" s="46"/>
      <c r="AY147" s="154" t="s">
        <v>438</v>
      </c>
      <c r="AZ147" s="129"/>
      <c r="BA147" s="130" t="str">
        <f>=IF(AZ147=0, 0, IF(ROUND(SUM(AZ148:AZ149), 2)=0, ROUND(BA144 - 0, 2), ROUND(AZ147 / ROUND(SUM(AZ147:AZ149), 2) * BA144, 2)))</f>
      </c>
      <c r="BC147" s="46"/>
      <c r="BF147" s="154" t="s">
        <v>438</v>
      </c>
      <c r="BG147" s="129"/>
      <c r="BH147" s="130" t="str">
        <f>=IF(BG147=0, 0, IF(ROUND(SUM(BG148:BG149), 2)=0, ROUND(BH144 - 0, 2), ROUND(BG147 / ROUND(SUM(BG147:BG149), 2) * BH144, 2)))</f>
      </c>
      <c r="BJ147" s="46"/>
      <c r="BM147" s="154" t="s">
        <v>438</v>
      </c>
      <c r="BN147" s="129"/>
      <c r="BO147" s="130" t="str">
        <f>=IF(BN147=0, 0, IF(ROUND(SUM(BN148:BN149), 2)=0, ROUND(BO144 - 0, 2), ROUND(BN147 / ROUND(SUM(BN147:BN149), 2) * BO144, 2)))</f>
      </c>
      <c r="BQ147" s="46"/>
      <c r="BT147" s="154" t="s">
        <v>438</v>
      </c>
      <c r="BU147" s="129"/>
      <c r="BV147" s="130" t="str">
        <f>=IF(BU147=0, 0, IF(ROUND(SUM(BU148:BU149), 2)=0, ROUND(BV144 - 0, 2), ROUND(BU147 / ROUND(SUM(BU147:BU149), 2) * BV144, 2)))</f>
      </c>
      <c r="BX147" s="46"/>
      <c r="CA147" s="154" t="s">
        <v>438</v>
      </c>
      <c r="CB147" s="129"/>
      <c r="CC147" s="130" t="str">
        <f>=IF(CB147=0, 0, IF(ROUND(SUM(CB148:CB149), 2)=0, ROUND(CC144 - 0, 2), ROUND(CB147 / ROUND(SUM(CB147:CB149), 2) * CC144, 2)))</f>
      </c>
      <c r="CE147" s="46"/>
      <c r="CH147" s="154" t="s">
        <v>438</v>
      </c>
      <c r="CI147" s="129"/>
      <c r="CJ147" s="130" t="str">
        <f>=IF(CI147=0, 0, IF(ROUND(SUM(CI148:CI149), 2)=0, ROUND(CJ144 - 0, 2), ROUND(CI147 / ROUND(SUM(CI147:CI149), 2) * CJ144, 2)))</f>
      </c>
      <c r="CL147" s="46"/>
      <c r="CO147" s="154" t="s">
        <v>438</v>
      </c>
      <c r="CP147" s="129"/>
      <c r="CQ147" s="130" t="str">
        <f>=IF(CP147=0, 0, IF(ROUND(SUM(CP148:CP149), 2)=0, ROUND(CQ144 - 0, 2), ROUND(CP147 / ROUND(SUM(CP147:CP149), 2) * CQ144, 2)))</f>
      </c>
      <c r="CS147" s="46"/>
      <c r="CV147" s="154" t="s">
        <v>438</v>
      </c>
      <c r="CW147" s="129"/>
      <c r="CX147" s="130" t="str">
        <f>=IF(CW147=0, 0, IF(ROUND(SUM(CW148:CW149), 2)=0, ROUND(CX144 - 0, 2), ROUND(CW147 / ROUND(SUM(CW147:CW149), 2) * CX144, 2)))</f>
      </c>
      <c r="CZ147" s="46"/>
      <c r="DC147" s="154" t="s">
        <v>438</v>
      </c>
      <c r="DD147" s="129"/>
      <c r="DE147" s="130" t="str">
        <f>=IF(DD147=0, 0, IF(ROUND(SUM(DD148:DD149), 2)=0, ROUND(DE144 - 0, 2), ROUND(DD147 / ROUND(SUM(DD147:DD149), 2) * DE144, 2)))</f>
      </c>
      <c r="DG147" s="46"/>
      <c r="DJ147" s="154" t="s">
        <v>438</v>
      </c>
      <c r="DK147" s="129"/>
      <c r="DL147" s="130" t="str">
        <f>=IF(DK147=0, 0, IF(ROUND(SUM(DK148:DK149), 2)=0, ROUND(DL144 - 0, 2), ROUND(DK147 / ROUND(SUM(DK147:DK149), 2) * DL144, 2)))</f>
      </c>
      <c r="DN147" s="46"/>
      <c r="DQ147" s="154" t="s">
        <v>438</v>
      </c>
      <c r="DR147" s="129"/>
      <c r="DS147" s="130" t="str">
        <f>=IF(DR147=0, 0, IF(ROUND(SUM(DR148:DR149), 2)=0, ROUND(DS144 - 0, 2), ROUND(DR147 / ROUND(SUM(DR147:DR149), 2) * DS144, 2)))</f>
      </c>
      <c r="DU147" s="46"/>
    </row>
    <row r="148">
      <c r="B148" s="154" t="s">
        <v>439</v>
      </c>
      <c r="C148" s="129"/>
      <c r="D148" s="130" t="str">
        <f>=IF(C148=0, 0, IF(ROUND(SUM(C149:C149), 2)=0, ROUND(D144 - SUM(D147:D147), 2), ROUND(C148 / ROUND(SUM(C147:C149), 2) * D144, 2)))</f>
      </c>
      <c r="F148" s="46"/>
      <c r="I148" s="154" t="s">
        <v>439</v>
      </c>
      <c r="J148" s="129"/>
      <c r="K148" s="130" t="str">
        <f>=IF(J148=0, 0, IF(ROUND(SUM(J149:J149), 2)=0, ROUND(K144 - SUM(K147:K147), 2), ROUND(J148 / ROUND(SUM(J147:J149), 2) * K144, 2)))</f>
      </c>
      <c r="M148" s="46"/>
      <c r="P148" s="154" t="s">
        <v>439</v>
      </c>
      <c r="Q148" s="129"/>
      <c r="R148" s="130" t="str">
        <f>=IF(Q148=0, 0, IF(ROUND(SUM(Q149:Q149), 2)=0, ROUND(R144 - SUM(R147:R147), 2), ROUND(Q148 / ROUND(SUM(Q147:Q149), 2) * R144, 2)))</f>
      </c>
      <c r="T148" s="46"/>
      <c r="W148" s="154" t="s">
        <v>439</v>
      </c>
      <c r="X148" s="129"/>
      <c r="Y148" s="130" t="str">
        <f>=IF(X148=0, 0, IF(ROUND(SUM(X149:X149), 2)=0, ROUND(Y144 - SUM(Y147:Y147), 2), ROUND(X148 / ROUND(SUM(X147:X149), 2) * Y144, 2)))</f>
      </c>
      <c r="AA148" s="46"/>
      <c r="AD148" s="154" t="s">
        <v>439</v>
      </c>
      <c r="AE148" s="129"/>
      <c r="AF148" s="130" t="str">
        <f>=IF(AE148=0, 0, IF(ROUND(SUM(AE149:AE149), 2)=0, ROUND(AF144 - SUM(AF147:AF147), 2), ROUND(AE148 / ROUND(SUM(AE147:AE149), 2) * AF144, 2)))</f>
      </c>
      <c r="AH148" s="46"/>
      <c r="AK148" s="154" t="s">
        <v>439</v>
      </c>
      <c r="AL148" s="129"/>
      <c r="AM148" s="130" t="str">
        <f>=IF(AL148=0, 0, IF(ROUND(SUM(AL149:AL149), 2)=0, ROUND(AM144 - SUM(AM147:AM147), 2), ROUND(AL148 / ROUND(SUM(AL147:AL149), 2) * AM144, 2)))</f>
      </c>
      <c r="AO148" s="46"/>
      <c r="AR148" s="154" t="s">
        <v>439</v>
      </c>
      <c r="AS148" s="129"/>
      <c r="AT148" s="130" t="str">
        <f>=IF(AS148=0, 0, IF(ROUND(SUM(AS149:AS149), 2)=0, ROUND(AT144 - SUM(AT147:AT147), 2), ROUND(AS148 / ROUND(SUM(AS147:AS149), 2) * AT144, 2)))</f>
      </c>
      <c r="AV148" s="46"/>
      <c r="AY148" s="154" t="s">
        <v>439</v>
      </c>
      <c r="AZ148" s="129"/>
      <c r="BA148" s="130" t="str">
        <f>=IF(AZ148=0, 0, IF(ROUND(SUM(AZ149:AZ149), 2)=0, ROUND(BA144 - SUM(BA147:BA147), 2), ROUND(AZ148 / ROUND(SUM(AZ147:AZ149), 2) * BA144, 2)))</f>
      </c>
      <c r="BC148" s="46"/>
      <c r="BF148" s="154" t="s">
        <v>439</v>
      </c>
      <c r="BG148" s="129"/>
      <c r="BH148" s="130" t="str">
        <f>=IF(BG148=0, 0, IF(ROUND(SUM(BG149:BG149), 2)=0, ROUND(BH144 - SUM(BH147:BH147), 2), ROUND(BG148 / ROUND(SUM(BG147:BG149), 2) * BH144, 2)))</f>
      </c>
      <c r="BJ148" s="46"/>
      <c r="BM148" s="154" t="s">
        <v>439</v>
      </c>
      <c r="BN148" s="129"/>
      <c r="BO148" s="130" t="str">
        <f>=IF(BN148=0, 0, IF(ROUND(SUM(BN149:BN149), 2)=0, ROUND(BO144 - SUM(BO147:BO147), 2), ROUND(BN148 / ROUND(SUM(BN147:BN149), 2) * BO144, 2)))</f>
      </c>
      <c r="BQ148" s="46"/>
      <c r="BT148" s="154" t="s">
        <v>439</v>
      </c>
      <c r="BU148" s="129"/>
      <c r="BV148" s="130" t="str">
        <f>=IF(BU148=0, 0, IF(ROUND(SUM(BU149:BU149), 2)=0, ROUND(BV144 - SUM(BV147:BV147), 2), ROUND(BU148 / ROUND(SUM(BU147:BU149), 2) * BV144, 2)))</f>
      </c>
      <c r="BX148" s="46"/>
      <c r="CA148" s="154" t="s">
        <v>439</v>
      </c>
      <c r="CB148" s="129"/>
      <c r="CC148" s="130" t="str">
        <f>=IF(CB148=0, 0, IF(ROUND(SUM(CB149:CB149), 2)=0, ROUND(CC144 - SUM(CC147:CC147), 2), ROUND(CB148 / ROUND(SUM(CB147:CB149), 2) * CC144, 2)))</f>
      </c>
      <c r="CE148" s="46"/>
      <c r="CH148" s="154" t="s">
        <v>439</v>
      </c>
      <c r="CI148" s="129"/>
      <c r="CJ148" s="130" t="str">
        <f>=IF(CI148=0, 0, IF(ROUND(SUM(CI149:CI149), 2)=0, ROUND(CJ144 - SUM(CJ147:CJ147), 2), ROUND(CI148 / ROUND(SUM(CI147:CI149), 2) * CJ144, 2)))</f>
      </c>
      <c r="CL148" s="46"/>
      <c r="CO148" s="154" t="s">
        <v>439</v>
      </c>
      <c r="CP148" s="129"/>
      <c r="CQ148" s="130" t="str">
        <f>=IF(CP148=0, 0, IF(ROUND(SUM(CP149:CP149), 2)=0, ROUND(CQ144 - SUM(CQ147:CQ147), 2), ROUND(CP148 / ROUND(SUM(CP147:CP149), 2) * CQ144, 2)))</f>
      </c>
      <c r="CS148" s="46"/>
      <c r="CV148" s="154" t="s">
        <v>439</v>
      </c>
      <c r="CW148" s="129"/>
      <c r="CX148" s="130" t="str">
        <f>=IF(CW148=0, 0, IF(ROUND(SUM(CW149:CW149), 2)=0, ROUND(CX144 - SUM(CX147:CX147), 2), ROUND(CW148 / ROUND(SUM(CW147:CW149), 2) * CX144, 2)))</f>
      </c>
      <c r="CZ148" s="46"/>
      <c r="DC148" s="154" t="s">
        <v>439</v>
      </c>
      <c r="DD148" s="129"/>
      <c r="DE148" s="130" t="str">
        <f>=IF(DD148=0, 0, IF(ROUND(SUM(DD149:DD149), 2)=0, ROUND(DE144 - SUM(DE147:DE147), 2), ROUND(DD148 / ROUND(SUM(DD147:DD149), 2) * DE144, 2)))</f>
      </c>
      <c r="DG148" s="46"/>
      <c r="DJ148" s="154" t="s">
        <v>439</v>
      </c>
      <c r="DK148" s="129"/>
      <c r="DL148" s="130" t="str">
        <f>=IF(DK148=0, 0, IF(ROUND(SUM(DK149:DK149), 2)=0, ROUND(DL144 - SUM(DL147:DL147), 2), ROUND(DK148 / ROUND(SUM(DK147:DK149), 2) * DL144, 2)))</f>
      </c>
      <c r="DN148" s="46"/>
      <c r="DQ148" s="154" t="s">
        <v>439</v>
      </c>
      <c r="DR148" s="129"/>
      <c r="DS148" s="130" t="str">
        <f>=IF(DR148=0, 0, IF(ROUND(SUM(DR149:DR149), 2)=0, ROUND(DS144 - SUM(DS147:DS147), 2), ROUND(DR148 / ROUND(SUM(DR147:DR149), 2) * DS144, 2)))</f>
      </c>
      <c r="DU148" s="46"/>
    </row>
    <row r="149">
      <c r="B149" s="154" t="s">
        <v>440</v>
      </c>
      <c r="C149" s="129"/>
      <c r="D149" s="130" t="str">
        <f>=IF(C149=0, 0, ROUND(D144 - SUM(D147:D148), 2))</f>
      </c>
      <c r="F149" s="46"/>
      <c r="I149" s="154" t="s">
        <v>440</v>
      </c>
      <c r="J149" s="129"/>
      <c r="K149" s="130" t="str">
        <f>=IF(J149=0, 0, ROUND(K144 - SUM(K147:K148), 2))</f>
      </c>
      <c r="M149" s="46"/>
      <c r="P149" s="154" t="s">
        <v>440</v>
      </c>
      <c r="Q149" s="129"/>
      <c r="R149" s="130" t="str">
        <f>=IF(Q149=0, 0, ROUND(R144 - SUM(R147:R148), 2))</f>
      </c>
      <c r="T149" s="46"/>
      <c r="W149" s="154" t="s">
        <v>440</v>
      </c>
      <c r="X149" s="129"/>
      <c r="Y149" s="130" t="str">
        <f>=IF(X149=0, 0, ROUND(Y144 - SUM(Y147:Y148), 2))</f>
      </c>
      <c r="AA149" s="46"/>
      <c r="AD149" s="154" t="s">
        <v>440</v>
      </c>
      <c r="AE149" s="129"/>
      <c r="AF149" s="130" t="str">
        <f>=IF(AE149=0, 0, ROUND(AF144 - SUM(AF147:AF148), 2))</f>
      </c>
      <c r="AH149" s="46"/>
      <c r="AK149" s="154" t="s">
        <v>440</v>
      </c>
      <c r="AL149" s="129"/>
      <c r="AM149" s="130" t="str">
        <f>=IF(AL149=0, 0, ROUND(AM144 - SUM(AM147:AM148), 2))</f>
      </c>
      <c r="AO149" s="46"/>
      <c r="AR149" s="154" t="s">
        <v>440</v>
      </c>
      <c r="AS149" s="129"/>
      <c r="AT149" s="130" t="str">
        <f>=IF(AS149=0, 0, ROUND(AT144 - SUM(AT147:AT148), 2))</f>
      </c>
      <c r="AV149" s="46"/>
      <c r="AY149" s="154" t="s">
        <v>440</v>
      </c>
      <c r="AZ149" s="129"/>
      <c r="BA149" s="130" t="str">
        <f>=IF(AZ149=0, 0, ROUND(BA144 - SUM(BA147:BA148), 2))</f>
      </c>
      <c r="BC149" s="46"/>
      <c r="BF149" s="154" t="s">
        <v>440</v>
      </c>
      <c r="BG149" s="129"/>
      <c r="BH149" s="130" t="str">
        <f>=IF(BG149=0, 0, ROUND(BH144 - SUM(BH147:BH148), 2))</f>
      </c>
      <c r="BJ149" s="46"/>
      <c r="BM149" s="154" t="s">
        <v>440</v>
      </c>
      <c r="BN149" s="129"/>
      <c r="BO149" s="130" t="str">
        <f>=IF(BN149=0, 0, ROUND(BO144 - SUM(BO147:BO148), 2))</f>
      </c>
      <c r="BQ149" s="46"/>
      <c r="BT149" s="154" t="s">
        <v>440</v>
      </c>
      <c r="BU149" s="129"/>
      <c r="BV149" s="130" t="str">
        <f>=IF(BU149=0, 0, ROUND(BV144 - SUM(BV147:BV148), 2))</f>
      </c>
      <c r="BX149" s="46"/>
      <c r="CA149" s="154" t="s">
        <v>440</v>
      </c>
      <c r="CB149" s="129"/>
      <c r="CC149" s="130" t="str">
        <f>=IF(CB149=0, 0, ROUND(CC144 - SUM(CC147:CC148), 2))</f>
      </c>
      <c r="CE149" s="46"/>
      <c r="CH149" s="154" t="s">
        <v>440</v>
      </c>
      <c r="CI149" s="129"/>
      <c r="CJ149" s="130" t="str">
        <f>=IF(CI149=0, 0, ROUND(CJ144 - SUM(CJ147:CJ148), 2))</f>
      </c>
      <c r="CL149" s="46"/>
      <c r="CO149" s="154" t="s">
        <v>440</v>
      </c>
      <c r="CP149" s="129"/>
      <c r="CQ149" s="130" t="str">
        <f>=IF(CP149=0, 0, ROUND(CQ144 - SUM(CQ147:CQ148), 2))</f>
      </c>
      <c r="CS149" s="46"/>
      <c r="CV149" s="154" t="s">
        <v>440</v>
      </c>
      <c r="CW149" s="129"/>
      <c r="CX149" s="130" t="str">
        <f>=IF(CW149=0, 0, ROUND(CX144 - SUM(CX147:CX148), 2))</f>
      </c>
      <c r="CZ149" s="46"/>
      <c r="DC149" s="154" t="s">
        <v>440</v>
      </c>
      <c r="DD149" s="129"/>
      <c r="DE149" s="130" t="str">
        <f>=IF(DD149=0, 0, ROUND(DE144 - SUM(DE147:DE148), 2))</f>
      </c>
      <c r="DG149" s="46"/>
      <c r="DJ149" s="154" t="s">
        <v>440</v>
      </c>
      <c r="DK149" s="129"/>
      <c r="DL149" s="130" t="str">
        <f>=IF(DK149=0, 0, ROUND(DL144 - SUM(DL147:DL148), 2))</f>
      </c>
      <c r="DN149" s="46"/>
      <c r="DQ149" s="154" t="s">
        <v>440</v>
      </c>
      <c r="DR149" s="129"/>
      <c r="DS149" s="130" t="str">
        <f>=IF(DR149=0, 0, ROUND(DS144 - SUM(DS147:DS148), 2))</f>
      </c>
      <c r="DU149" s="46"/>
    </row>
    <row r="150">
      <c r="B150" s="45"/>
      <c r="F150" s="46"/>
      <c r="I150" s="45"/>
      <c r="M150" s="46"/>
      <c r="P150" s="45"/>
      <c r="T150" s="46"/>
      <c r="W150" s="45"/>
      <c r="AA150" s="46"/>
      <c r="AD150" s="45"/>
      <c r="AH150" s="46"/>
      <c r="AK150" s="45"/>
      <c r="AO150" s="46"/>
      <c r="AR150" s="45"/>
      <c r="AV150" s="46"/>
      <c r="AY150" s="45"/>
      <c r="BC150" s="46"/>
      <c r="BF150" s="45"/>
      <c r="BJ150" s="46"/>
      <c r="BM150" s="45"/>
      <c r="BQ150" s="46"/>
      <c r="BT150" s="45"/>
      <c r="BX150" s="46"/>
      <c r="CA150" s="45"/>
      <c r="CE150" s="46"/>
      <c r="CH150" s="45"/>
      <c r="CL150" s="46"/>
      <c r="CO150" s="45"/>
      <c r="CS150" s="46"/>
      <c r="CV150" s="45"/>
      <c r="CZ150" s="46"/>
      <c r="DC150" s="45"/>
      <c r="DG150" s="46"/>
      <c r="DJ150" s="45"/>
      <c r="DN150" s="46"/>
      <c r="DQ150" s="45"/>
      <c r="DU150" s="46"/>
    </row>
    <row r="151">
      <c r="B151" s="155" t="s">
        <v>441</v>
      </c>
      <c r="C151" s="156" t="str">
        <f>=ROUND(IFERROR(C144-SUM(C147:C149),""),2)</f>
      </c>
      <c r="D151" s="157" t="str">
        <f>=ROUND(IFERROR(D144-SUM(D147:D149),""),2)</f>
      </c>
      <c r="E151" s="158"/>
      <c r="F151" s="159"/>
      <c r="I151" s="155" t="s">
        <v>441</v>
      </c>
      <c r="J151" s="156" t="str">
        <f>=ROUND(IFERROR(J144-SUM(J147:J149),""),2)</f>
      </c>
      <c r="K151" s="157" t="str">
        <f>=ROUND(IFERROR(K144-SUM(K147:K149),""),2)</f>
      </c>
      <c r="L151" s="158"/>
      <c r="M151" s="159"/>
      <c r="P151" s="155" t="s">
        <v>441</v>
      </c>
      <c r="Q151" s="156" t="str">
        <f>=ROUND(IFERROR(Q144-SUM(Q147:Q149),""),2)</f>
      </c>
      <c r="R151" s="157" t="str">
        <f>=ROUND(IFERROR(R144-SUM(R147:R149),""),2)</f>
      </c>
      <c r="S151" s="158"/>
      <c r="T151" s="159"/>
      <c r="W151" s="155" t="s">
        <v>441</v>
      </c>
      <c r="X151" s="156" t="str">
        <f>=ROUND(IFERROR(X144-SUM(X147:X149),""),2)</f>
      </c>
      <c r="Y151" s="157" t="str">
        <f>=ROUND(IFERROR(Y144-SUM(Y147:Y149),""),2)</f>
      </c>
      <c r="Z151" s="158"/>
      <c r="AA151" s="159"/>
      <c r="AD151" s="155" t="s">
        <v>441</v>
      </c>
      <c r="AE151" s="156" t="str">
        <f>=ROUND(IFERROR(AE144-SUM(AE147:AE149),""),2)</f>
      </c>
      <c r="AF151" s="157" t="str">
        <f>=ROUND(IFERROR(AF144-SUM(AF147:AF149),""),2)</f>
      </c>
      <c r="AG151" s="158"/>
      <c r="AH151" s="159"/>
      <c r="AK151" s="155" t="s">
        <v>441</v>
      </c>
      <c r="AL151" s="156" t="str">
        <f>=ROUND(IFERROR(AL144-SUM(AL147:AL149),""),2)</f>
      </c>
      <c r="AM151" s="157" t="str">
        <f>=ROUND(IFERROR(AM144-SUM(AM147:AM149),""),2)</f>
      </c>
      <c r="AN151" s="158"/>
      <c r="AO151" s="159"/>
      <c r="AR151" s="155" t="s">
        <v>441</v>
      </c>
      <c r="AS151" s="156" t="str">
        <f>=ROUND(IFERROR(AS144-SUM(AS147:AS149),""),2)</f>
      </c>
      <c r="AT151" s="157" t="str">
        <f>=ROUND(IFERROR(AT144-SUM(AT147:AT149),""),2)</f>
      </c>
      <c r="AU151" s="158"/>
      <c r="AV151" s="159"/>
      <c r="AY151" s="155" t="s">
        <v>441</v>
      </c>
      <c r="AZ151" s="156" t="str">
        <f>=ROUND(IFERROR(AZ144-SUM(AZ147:AZ149),""),2)</f>
      </c>
      <c r="BA151" s="157" t="str">
        <f>=ROUND(IFERROR(BA144-SUM(BA147:BA149),""),2)</f>
      </c>
      <c r="BB151" s="158"/>
      <c r="BC151" s="159"/>
      <c r="BF151" s="155" t="s">
        <v>441</v>
      </c>
      <c r="BG151" s="156" t="str">
        <f>=ROUND(IFERROR(BG144-SUM(BG147:BG149),""),2)</f>
      </c>
      <c r="BH151" s="157" t="str">
        <f>=ROUND(IFERROR(BH144-SUM(BH147:BH149),""),2)</f>
      </c>
      <c r="BI151" s="158"/>
      <c r="BJ151" s="159"/>
      <c r="BM151" s="155" t="s">
        <v>441</v>
      </c>
      <c r="BN151" s="156" t="str">
        <f>=ROUND(IFERROR(BN144-SUM(BN147:BN149),""),2)</f>
      </c>
      <c r="BO151" s="157" t="str">
        <f>=ROUND(IFERROR(BO144-SUM(BO147:BO149),""),2)</f>
      </c>
      <c r="BP151" s="158"/>
      <c r="BQ151" s="159"/>
      <c r="BT151" s="155" t="s">
        <v>441</v>
      </c>
      <c r="BU151" s="156" t="str">
        <f>=ROUND(IFERROR(BU144-SUM(BU147:BU149),""),2)</f>
      </c>
      <c r="BV151" s="157" t="str">
        <f>=ROUND(IFERROR(BV144-SUM(BV147:BV149),""),2)</f>
      </c>
      <c r="BW151" s="158"/>
      <c r="BX151" s="159"/>
      <c r="CA151" s="155" t="s">
        <v>441</v>
      </c>
      <c r="CB151" s="156" t="str">
        <f>=ROUND(IFERROR(CB144-SUM(CB147:CB149),""),2)</f>
      </c>
      <c r="CC151" s="157" t="str">
        <f>=ROUND(IFERROR(CC144-SUM(CC147:CC149),""),2)</f>
      </c>
      <c r="CD151" s="158"/>
      <c r="CE151" s="159"/>
      <c r="CH151" s="155" t="s">
        <v>441</v>
      </c>
      <c r="CI151" s="156" t="str">
        <f>=ROUND(IFERROR(CI144-SUM(CI147:CI149),""),2)</f>
      </c>
      <c r="CJ151" s="157" t="str">
        <f>=ROUND(IFERROR(CJ144-SUM(CJ147:CJ149),""),2)</f>
      </c>
      <c r="CK151" s="158"/>
      <c r="CL151" s="159"/>
      <c r="CO151" s="155" t="s">
        <v>441</v>
      </c>
      <c r="CP151" s="156" t="str">
        <f>=ROUND(IFERROR(CP144-SUM(CP147:CP149),""),2)</f>
      </c>
      <c r="CQ151" s="157" t="str">
        <f>=ROUND(IFERROR(CQ144-SUM(CQ147:CQ149),""),2)</f>
      </c>
      <c r="CR151" s="158"/>
      <c r="CS151" s="159"/>
      <c r="CV151" s="155" t="s">
        <v>441</v>
      </c>
      <c r="CW151" s="156" t="str">
        <f>=ROUND(IFERROR(CW144-SUM(CW147:CW149),""),2)</f>
      </c>
      <c r="CX151" s="157" t="str">
        <f>=ROUND(IFERROR(CX144-SUM(CX147:CX149),""),2)</f>
      </c>
      <c r="CY151" s="158"/>
      <c r="CZ151" s="159"/>
      <c r="DC151" s="155" t="s">
        <v>441</v>
      </c>
      <c r="DD151" s="156" t="str">
        <f>=ROUND(IFERROR(DD144-SUM(DD147:DD149),""),2)</f>
      </c>
      <c r="DE151" s="157" t="str">
        <f>=ROUND(IFERROR(DE144-SUM(DE147:DE149),""),2)</f>
      </c>
      <c r="DF151" s="158"/>
      <c r="DG151" s="159"/>
      <c r="DJ151" s="155" t="s">
        <v>441</v>
      </c>
      <c r="DK151" s="156" t="str">
        <f>=ROUND(IFERROR(DK144-SUM(DK147:DK149),""),2)</f>
      </c>
      <c r="DL151" s="157" t="str">
        <f>=ROUND(IFERROR(DL144-SUM(DL147:DL149),""),2)</f>
      </c>
      <c r="DM151" s="158"/>
      <c r="DN151" s="159"/>
      <c r="DQ151" s="155" t="s">
        <v>441</v>
      </c>
      <c r="DR151" s="156" t="str">
        <f>=ROUND(IFERROR(DR144-SUM(DR147:DR149),""),2)</f>
      </c>
      <c r="DS151" s="157" t="str">
        <f>=ROUND(IFERROR(DS144-SUM(DS147:DS149),""),2)</f>
      </c>
      <c r="DT151" s="158"/>
      <c r="DU151" s="159"/>
    </row>
    <row r="154">
      <c r="B154" s="105" t="s">
        <v>442</v>
      </c>
      <c r="I154" s="105" t="s">
        <v>442</v>
      </c>
      <c r="P154" s="105" t="s">
        <v>442</v>
      </c>
      <c r="W154" s="105" t="s">
        <v>442</v>
      </c>
      <c r="AD154" s="105" t="s">
        <v>442</v>
      </c>
      <c r="AK154" s="105" t="s">
        <v>442</v>
      </c>
      <c r="AR154" s="105" t="s">
        <v>442</v>
      </c>
      <c r="AY154" s="105" t="s">
        <v>442</v>
      </c>
      <c r="BF154" s="105" t="s">
        <v>442</v>
      </c>
      <c r="BM154" s="105" t="s">
        <v>442</v>
      </c>
      <c r="BT154" s="105" t="s">
        <v>442</v>
      </c>
      <c r="CA154" s="105" t="s">
        <v>442</v>
      </c>
      <c r="CH154" s="105" t="s">
        <v>442</v>
      </c>
      <c r="CO154" s="105" t="s">
        <v>442</v>
      </c>
      <c r="CV154" s="105" t="s">
        <v>442</v>
      </c>
      <c r="DC154" s="105" t="s">
        <v>442</v>
      </c>
      <c r="DJ154" s="105" t="s">
        <v>442</v>
      </c>
      <c r="DQ154" s="105" t="s">
        <v>442</v>
      </c>
    </row>
    <row r="155">
      <c r="B155" s="121" t="s">
        <v>443</v>
      </c>
      <c r="C155" s="121" t="s">
        <v>444</v>
      </c>
      <c r="D155" s="121" t="s">
        <v>422</v>
      </c>
      <c r="E155" s="121" t="s">
        <v>423</v>
      </c>
      <c r="F155" s="121" t="s">
        <v>445</v>
      </c>
      <c r="I155" s="121" t="s">
        <v>443</v>
      </c>
      <c r="J155" s="121" t="s">
        <v>444</v>
      </c>
      <c r="K155" s="121" t="s">
        <v>422</v>
      </c>
      <c r="L155" s="121" t="s">
        <v>423</v>
      </c>
      <c r="M155" s="121" t="s">
        <v>445</v>
      </c>
      <c r="P155" s="121" t="s">
        <v>443</v>
      </c>
      <c r="Q155" s="121" t="s">
        <v>444</v>
      </c>
      <c r="R155" s="121" t="s">
        <v>422</v>
      </c>
      <c r="S155" s="121" t="s">
        <v>423</v>
      </c>
      <c r="T155" s="121" t="s">
        <v>445</v>
      </c>
      <c r="W155" s="121" t="s">
        <v>443</v>
      </c>
      <c r="X155" s="121" t="s">
        <v>444</v>
      </c>
      <c r="Y155" s="121" t="s">
        <v>422</v>
      </c>
      <c r="Z155" s="121" t="s">
        <v>423</v>
      </c>
      <c r="AA155" s="121" t="s">
        <v>445</v>
      </c>
      <c r="AD155" s="121" t="s">
        <v>443</v>
      </c>
      <c r="AE155" s="121" t="s">
        <v>444</v>
      </c>
      <c r="AF155" s="121" t="s">
        <v>422</v>
      </c>
      <c r="AG155" s="121" t="s">
        <v>423</v>
      </c>
      <c r="AH155" s="121" t="s">
        <v>445</v>
      </c>
      <c r="AK155" s="121" t="s">
        <v>443</v>
      </c>
      <c r="AL155" s="121" t="s">
        <v>444</v>
      </c>
      <c r="AM155" s="121" t="s">
        <v>422</v>
      </c>
      <c r="AN155" s="121" t="s">
        <v>423</v>
      </c>
      <c r="AO155" s="121" t="s">
        <v>445</v>
      </c>
      <c r="AR155" s="121" t="s">
        <v>443</v>
      </c>
      <c r="AS155" s="121" t="s">
        <v>444</v>
      </c>
      <c r="AT155" s="121" t="s">
        <v>422</v>
      </c>
      <c r="AU155" s="121" t="s">
        <v>423</v>
      </c>
      <c r="AV155" s="121" t="s">
        <v>445</v>
      </c>
      <c r="AY155" s="121" t="s">
        <v>443</v>
      </c>
      <c r="AZ155" s="121" t="s">
        <v>444</v>
      </c>
      <c r="BA155" s="121" t="s">
        <v>422</v>
      </c>
      <c r="BB155" s="121" t="s">
        <v>423</v>
      </c>
      <c r="BC155" s="121" t="s">
        <v>445</v>
      </c>
      <c r="BF155" s="121" t="s">
        <v>443</v>
      </c>
      <c r="BG155" s="121" t="s">
        <v>444</v>
      </c>
      <c r="BH155" s="121" t="s">
        <v>422</v>
      </c>
      <c r="BI155" s="121" t="s">
        <v>423</v>
      </c>
      <c r="BJ155" s="121" t="s">
        <v>445</v>
      </c>
      <c r="BM155" s="121" t="s">
        <v>443</v>
      </c>
      <c r="BN155" s="121" t="s">
        <v>444</v>
      </c>
      <c r="BO155" s="121" t="s">
        <v>422</v>
      </c>
      <c r="BP155" s="121" t="s">
        <v>423</v>
      </c>
      <c r="BQ155" s="121" t="s">
        <v>445</v>
      </c>
      <c r="BT155" s="121" t="s">
        <v>443</v>
      </c>
      <c r="BU155" s="121" t="s">
        <v>444</v>
      </c>
      <c r="BV155" s="121" t="s">
        <v>422</v>
      </c>
      <c r="BW155" s="121" t="s">
        <v>423</v>
      </c>
      <c r="BX155" s="121" t="s">
        <v>445</v>
      </c>
      <c r="CA155" s="121" t="s">
        <v>443</v>
      </c>
      <c r="CB155" s="121" t="s">
        <v>444</v>
      </c>
      <c r="CC155" s="121" t="s">
        <v>422</v>
      </c>
      <c r="CD155" s="121" t="s">
        <v>423</v>
      </c>
      <c r="CE155" s="121" t="s">
        <v>445</v>
      </c>
      <c r="CH155" s="121" t="s">
        <v>443</v>
      </c>
      <c r="CI155" s="121" t="s">
        <v>444</v>
      </c>
      <c r="CJ155" s="121" t="s">
        <v>422</v>
      </c>
      <c r="CK155" s="121" t="s">
        <v>423</v>
      </c>
      <c r="CL155" s="121" t="s">
        <v>445</v>
      </c>
      <c r="CO155" s="121" t="s">
        <v>443</v>
      </c>
      <c r="CP155" s="121" t="s">
        <v>444</v>
      </c>
      <c r="CQ155" s="121" t="s">
        <v>422</v>
      </c>
      <c r="CR155" s="121" t="s">
        <v>423</v>
      </c>
      <c r="CS155" s="121" t="s">
        <v>445</v>
      </c>
      <c r="CV155" s="121" t="s">
        <v>443</v>
      </c>
      <c r="CW155" s="121" t="s">
        <v>444</v>
      </c>
      <c r="CX155" s="121" t="s">
        <v>422</v>
      </c>
      <c r="CY155" s="121" t="s">
        <v>423</v>
      </c>
      <c r="CZ155" s="121" t="s">
        <v>445</v>
      </c>
      <c r="DC155" s="121" t="s">
        <v>443</v>
      </c>
      <c r="DD155" s="121" t="s">
        <v>444</v>
      </c>
      <c r="DE155" s="121" t="s">
        <v>422</v>
      </c>
      <c r="DF155" s="121" t="s">
        <v>423</v>
      </c>
      <c r="DG155" s="121" t="s">
        <v>445</v>
      </c>
      <c r="DJ155" s="121" t="s">
        <v>443</v>
      </c>
      <c r="DK155" s="121" t="s">
        <v>444</v>
      </c>
      <c r="DL155" s="121" t="s">
        <v>422</v>
      </c>
      <c r="DM155" s="121" t="s">
        <v>423</v>
      </c>
      <c r="DN155" s="121" t="s">
        <v>445</v>
      </c>
      <c r="DQ155" s="121" t="s">
        <v>443</v>
      </c>
      <c r="DR155" s="121" t="s">
        <v>444</v>
      </c>
      <c r="DS155" s="121" t="s">
        <v>422</v>
      </c>
      <c r="DT155" s="121" t="s">
        <v>423</v>
      </c>
      <c r="DU155" s="121" t="s">
        <v>445</v>
      </c>
    </row>
    <row r="156">
      <c r="B156" s="160" t="s">
        <v>446</v>
      </c>
      <c r="C156" s="161" t="s">
        <v>158</v>
      </c>
      <c r="D156" s="162" t="str">
        <f>=ROUND(C11,2)</f>
      </c>
      <c r="E156" s="163" t="str">
        <f>=ROUND(D11,2)</f>
      </c>
      <c r="F156" s="164" t="str">
        <f>=ROUND(IFERROR(D156/E156,0),6)</f>
      </c>
      <c r="I156" s="160" t="s">
        <v>452</v>
      </c>
      <c r="J156" s="161" t="s">
        <v>158</v>
      </c>
      <c r="K156" s="162" t="str">
        <f>=ROUND(J11,2)</f>
      </c>
      <c r="L156" s="163" t="str">
        <f>=ROUND(K11,2)</f>
      </c>
      <c r="M156" s="164" t="str">
        <f>=ROUND(IFERROR(K156/L156,0),6)</f>
      </c>
      <c r="P156" s="160" t="s">
        <v>452</v>
      </c>
      <c r="Q156" s="161" t="s">
        <v>158</v>
      </c>
      <c r="R156" s="162" t="str">
        <f>=ROUND(Q11,2)</f>
      </c>
      <c r="S156" s="163" t="str">
        <f>=ROUND(R11,2)</f>
      </c>
      <c r="T156" s="164" t="str">
        <f>=ROUND(IFERROR(R156/S156,0),6)</f>
      </c>
      <c r="W156" s="160" t="s">
        <v>452</v>
      </c>
      <c r="X156" s="161" t="s">
        <v>158</v>
      </c>
      <c r="Y156" s="162" t="str">
        <f>=ROUND(X11,2)</f>
      </c>
      <c r="Z156" s="163" t="str">
        <f>=ROUND(Y11,2)</f>
      </c>
      <c r="AA156" s="164" t="str">
        <f>=ROUND(IFERROR(Y156/Z156,0),6)</f>
      </c>
      <c r="AD156" s="160" t="s">
        <v>452</v>
      </c>
      <c r="AE156" s="161" t="s">
        <v>158</v>
      </c>
      <c r="AF156" s="162" t="str">
        <f>=ROUND(AE11,2)</f>
      </c>
      <c r="AG156" s="163" t="str">
        <f>=ROUND(AF11,2)</f>
      </c>
      <c r="AH156" s="164" t="str">
        <f>=ROUND(IFERROR(AF156/AG156,0),6)</f>
      </c>
      <c r="AK156" s="160" t="s">
        <v>452</v>
      </c>
      <c r="AL156" s="161" t="s">
        <v>158</v>
      </c>
      <c r="AM156" s="162" t="str">
        <f>=ROUND(AL11,2)</f>
      </c>
      <c r="AN156" s="163" t="str">
        <f>=ROUND(AM11,2)</f>
      </c>
      <c r="AO156" s="164" t="str">
        <f>=ROUND(IFERROR(AM156/AN156,0),6)</f>
      </c>
      <c r="AR156" s="160" t="s">
        <v>452</v>
      </c>
      <c r="AS156" s="161" t="s">
        <v>158</v>
      </c>
      <c r="AT156" s="162" t="str">
        <f>=ROUND(AS11,2)</f>
      </c>
      <c r="AU156" s="163" t="str">
        <f>=ROUND(AT11,2)</f>
      </c>
      <c r="AV156" s="164" t="str">
        <f>=ROUND(IFERROR(AT156/AU156,0),6)</f>
      </c>
      <c r="AY156" s="160" t="s">
        <v>452</v>
      </c>
      <c r="AZ156" s="161" t="s">
        <v>158</v>
      </c>
      <c r="BA156" s="162" t="str">
        <f>=ROUND(AZ11,2)</f>
      </c>
      <c r="BB156" s="163" t="str">
        <f>=ROUND(BA11,2)</f>
      </c>
      <c r="BC156" s="164" t="str">
        <f>=ROUND(IFERROR(BA156/BB156,0),6)</f>
      </c>
      <c r="BF156" s="160" t="s">
        <v>452</v>
      </c>
      <c r="BG156" s="161" t="s">
        <v>158</v>
      </c>
      <c r="BH156" s="162" t="str">
        <f>=ROUND(BG11,2)</f>
      </c>
      <c r="BI156" s="163" t="str">
        <f>=ROUND(BH11,2)</f>
      </c>
      <c r="BJ156" s="164" t="str">
        <f>=ROUND(IFERROR(BH156/BI156,0),6)</f>
      </c>
      <c r="BM156" s="160" t="s">
        <v>452</v>
      </c>
      <c r="BN156" s="161" t="s">
        <v>158</v>
      </c>
      <c r="BO156" s="162" t="str">
        <f>=ROUND(BN11,2)</f>
      </c>
      <c r="BP156" s="163" t="str">
        <f>=ROUND(BO11,2)</f>
      </c>
      <c r="BQ156" s="164" t="str">
        <f>=ROUND(IFERROR(BO156/BP156,0),6)</f>
      </c>
      <c r="BT156" s="160" t="s">
        <v>452</v>
      </c>
      <c r="BU156" s="161" t="s">
        <v>158</v>
      </c>
      <c r="BV156" s="162" t="str">
        <f>=ROUND(BU11,2)</f>
      </c>
      <c r="BW156" s="163" t="str">
        <f>=ROUND(BV11,2)</f>
      </c>
      <c r="BX156" s="164" t="str">
        <f>=ROUND(IFERROR(BV156/BW156,0),6)</f>
      </c>
      <c r="CA156" s="160" t="s">
        <v>452</v>
      </c>
      <c r="CB156" s="161" t="s">
        <v>158</v>
      </c>
      <c r="CC156" s="162" t="str">
        <f>=ROUND(CB11,2)</f>
      </c>
      <c r="CD156" s="163" t="str">
        <f>=ROUND(CC11,2)</f>
      </c>
      <c r="CE156" s="164" t="str">
        <f>=ROUND(IFERROR(CC156/CD156,0),6)</f>
      </c>
      <c r="CH156" s="160" t="s">
        <v>452</v>
      </c>
      <c r="CI156" s="161" t="s">
        <v>158</v>
      </c>
      <c r="CJ156" s="162" t="str">
        <f>=ROUND(CI11,2)</f>
      </c>
      <c r="CK156" s="163" t="str">
        <f>=ROUND(CJ11,2)</f>
      </c>
      <c r="CL156" s="164" t="str">
        <f>=ROUND(IFERROR(CJ156/CK156,0),6)</f>
      </c>
      <c r="CO156" s="160" t="s">
        <v>452</v>
      </c>
      <c r="CP156" s="161" t="s">
        <v>158</v>
      </c>
      <c r="CQ156" s="162" t="str">
        <f>=ROUND(CP11,2)</f>
      </c>
      <c r="CR156" s="163" t="str">
        <f>=ROUND(CQ11,2)</f>
      </c>
      <c r="CS156" s="164" t="str">
        <f>=ROUND(IFERROR(CQ156/CR156,0),6)</f>
      </c>
      <c r="CV156" s="160" t="s">
        <v>452</v>
      </c>
      <c r="CW156" s="161" t="s">
        <v>158</v>
      </c>
      <c r="CX156" s="162" t="str">
        <f>=ROUND(CW11,2)</f>
      </c>
      <c r="CY156" s="163" t="str">
        <f>=ROUND(CX11,2)</f>
      </c>
      <c r="CZ156" s="164" t="str">
        <f>=ROUND(IFERROR(CX156/CY156,0),6)</f>
      </c>
      <c r="DC156" s="160" t="s">
        <v>452</v>
      </c>
      <c r="DD156" s="161" t="s">
        <v>158</v>
      </c>
      <c r="DE156" s="162" t="str">
        <f>=ROUND(DD11,2)</f>
      </c>
      <c r="DF156" s="163" t="str">
        <f>=ROUND(DE11,2)</f>
      </c>
      <c r="DG156" s="164" t="str">
        <f>=ROUND(IFERROR(DE156/DF156,0),6)</f>
      </c>
      <c r="DJ156" s="160" t="s">
        <v>452</v>
      </c>
      <c r="DK156" s="161" t="s">
        <v>158</v>
      </c>
      <c r="DL156" s="162" t="str">
        <f>=ROUND(DK11,2)</f>
      </c>
      <c r="DM156" s="163" t="str">
        <f>=ROUND(DL11,2)</f>
      </c>
      <c r="DN156" s="164" t="str">
        <f>=ROUND(IFERROR(DL156/DM156,0),6)</f>
      </c>
      <c r="DQ156" s="160" t="s">
        <v>452</v>
      </c>
      <c r="DR156" s="161" t="s">
        <v>158</v>
      </c>
      <c r="DS156" s="162" t="str">
        <f>=ROUND(DR11,2)</f>
      </c>
      <c r="DT156" s="163" t="str">
        <f>=ROUND(DS11,2)</f>
      </c>
      <c r="DU156" s="164" t="str">
        <f>=ROUND(IFERROR(DS156/DT156,0),6)</f>
      </c>
    </row>
    <row r="157">
      <c r="B157" s="165" t="s">
        <v>201</v>
      </c>
      <c r="C157" s="166" t="s">
        <v>158</v>
      </c>
      <c r="D157" s="167"/>
      <c r="E157" s="168"/>
      <c r="F157" s="169" t="str">
        <f>=ROUND(IFERROR(D157/E157,0),6)</f>
      </c>
      <c r="I157" s="165" t="s">
        <v>201</v>
      </c>
      <c r="J157" s="166" t="s">
        <v>158</v>
      </c>
      <c r="K157" s="167"/>
      <c r="L157" s="168"/>
      <c r="M157" s="169" t="str">
        <f>=ROUND(IFERROR(K157/L157,0),6)</f>
      </c>
      <c r="P157" s="165" t="s">
        <v>201</v>
      </c>
      <c r="Q157" s="166" t="s">
        <v>158</v>
      </c>
      <c r="R157" s="167"/>
      <c r="S157" s="168"/>
      <c r="T157" s="169" t="str">
        <f>=ROUND(IFERROR(R157/S157,0),6)</f>
      </c>
      <c r="W157" s="165" t="s">
        <v>201</v>
      </c>
      <c r="X157" s="166" t="s">
        <v>158</v>
      </c>
      <c r="Y157" s="167"/>
      <c r="Z157" s="168"/>
      <c r="AA157" s="169" t="str">
        <f>=ROUND(IFERROR(Y157/Z157,0),6)</f>
      </c>
      <c r="AD157" s="165" t="s">
        <v>201</v>
      </c>
      <c r="AE157" s="166" t="s">
        <v>158</v>
      </c>
      <c r="AF157" s="167"/>
      <c r="AG157" s="168"/>
      <c r="AH157" s="169" t="str">
        <f>=ROUND(IFERROR(AF157/AG157,0),6)</f>
      </c>
      <c r="AK157" s="165" t="s">
        <v>201</v>
      </c>
      <c r="AL157" s="166" t="s">
        <v>158</v>
      </c>
      <c r="AM157" s="167"/>
      <c r="AN157" s="168"/>
      <c r="AO157" s="169" t="str">
        <f>=ROUND(IFERROR(AM157/AN157,0),6)</f>
      </c>
      <c r="AR157" s="165" t="s">
        <v>201</v>
      </c>
      <c r="AS157" s="166" t="s">
        <v>158</v>
      </c>
      <c r="AT157" s="167"/>
      <c r="AU157" s="168"/>
      <c r="AV157" s="169" t="str">
        <f>=ROUND(IFERROR(AT157/AU157,0),6)</f>
      </c>
      <c r="AY157" s="165" t="s">
        <v>201</v>
      </c>
      <c r="AZ157" s="166" t="s">
        <v>158</v>
      </c>
      <c r="BA157" s="167"/>
      <c r="BB157" s="168"/>
      <c r="BC157" s="169" t="str">
        <f>=ROUND(IFERROR(BA157/BB157,0),6)</f>
      </c>
      <c r="BF157" s="165" t="s">
        <v>201</v>
      </c>
      <c r="BG157" s="166" t="s">
        <v>158</v>
      </c>
      <c r="BH157" s="167"/>
      <c r="BI157" s="168"/>
      <c r="BJ157" s="169" t="str">
        <f>=ROUND(IFERROR(BH157/BI157,0),6)</f>
      </c>
      <c r="BM157" s="165" t="s">
        <v>201</v>
      </c>
      <c r="BN157" s="166" t="s">
        <v>158</v>
      </c>
      <c r="BO157" s="167"/>
      <c r="BP157" s="168"/>
      <c r="BQ157" s="169" t="str">
        <f>=ROUND(IFERROR(BO157/BP157,0),6)</f>
      </c>
      <c r="BT157" s="165" t="s">
        <v>201</v>
      </c>
      <c r="BU157" s="166" t="s">
        <v>158</v>
      </c>
      <c r="BV157" s="167"/>
      <c r="BW157" s="168"/>
      <c r="BX157" s="169" t="str">
        <f>=ROUND(IFERROR(BV157/BW157,0),6)</f>
      </c>
      <c r="CA157" s="165" t="s">
        <v>201</v>
      </c>
      <c r="CB157" s="166" t="s">
        <v>158</v>
      </c>
      <c r="CC157" s="167"/>
      <c r="CD157" s="168"/>
      <c r="CE157" s="169" t="str">
        <f>=ROUND(IFERROR(CC157/CD157,0),6)</f>
      </c>
      <c r="CH157" s="165" t="s">
        <v>201</v>
      </c>
      <c r="CI157" s="166" t="s">
        <v>158</v>
      </c>
      <c r="CJ157" s="167"/>
      <c r="CK157" s="168"/>
      <c r="CL157" s="169" t="str">
        <f>=ROUND(IFERROR(CJ157/CK157,0),6)</f>
      </c>
      <c r="CO157" s="165" t="s">
        <v>201</v>
      </c>
      <c r="CP157" s="166" t="s">
        <v>158</v>
      </c>
      <c r="CQ157" s="167"/>
      <c r="CR157" s="168"/>
      <c r="CS157" s="169" t="str">
        <f>=ROUND(IFERROR(CQ157/CR157,0),6)</f>
      </c>
      <c r="CV157" s="165" t="s">
        <v>201</v>
      </c>
      <c r="CW157" s="166" t="s">
        <v>158</v>
      </c>
      <c r="CX157" s="167"/>
      <c r="CY157" s="168"/>
      <c r="CZ157" s="169" t="str">
        <f>=ROUND(IFERROR(CX157/CY157,0),6)</f>
      </c>
      <c r="DC157" s="165" t="s">
        <v>201</v>
      </c>
      <c r="DD157" s="166" t="s">
        <v>158</v>
      </c>
      <c r="DE157" s="167"/>
      <c r="DF157" s="168"/>
      <c r="DG157" s="169" t="str">
        <f>=ROUND(IFERROR(DE157/DF157,0),6)</f>
      </c>
      <c r="DJ157" s="165" t="s">
        <v>201</v>
      </c>
      <c r="DK157" s="166" t="s">
        <v>158</v>
      </c>
      <c r="DL157" s="167"/>
      <c r="DM157" s="168"/>
      <c r="DN157" s="169" t="str">
        <f>=ROUND(IFERROR(DL157/DM157,0),6)</f>
      </c>
      <c r="DQ157" s="165" t="s">
        <v>201</v>
      </c>
      <c r="DR157" s="166" t="s">
        <v>158</v>
      </c>
      <c r="DS157" s="167"/>
      <c r="DT157" s="168"/>
      <c r="DU157" s="169" t="str">
        <f>=ROUND(IFERROR(DS157/DT157,0),6)</f>
      </c>
    </row>
    <row r="158">
      <c r="B158" s="165" t="s">
        <v>158</v>
      </c>
      <c r="C158" s="166" t="s">
        <v>158</v>
      </c>
      <c r="D158" s="167"/>
      <c r="E158" s="168"/>
      <c r="F158" s="169" t="str">
        <f>=ROUND(IFERROR(D158/E158,0),6)</f>
      </c>
      <c r="I158" s="165" t="s">
        <v>158</v>
      </c>
      <c r="J158" s="166" t="s">
        <v>158</v>
      </c>
      <c r="K158" s="167"/>
      <c r="L158" s="168"/>
      <c r="M158" s="169" t="str">
        <f>=ROUND(IFERROR(K158/L158,0),6)</f>
      </c>
      <c r="P158" s="165" t="s">
        <v>158</v>
      </c>
      <c r="Q158" s="166" t="s">
        <v>158</v>
      </c>
      <c r="R158" s="167"/>
      <c r="S158" s="168"/>
      <c r="T158" s="169" t="str">
        <f>=ROUND(IFERROR(R158/S158,0),6)</f>
      </c>
      <c r="W158" s="165" t="s">
        <v>158</v>
      </c>
      <c r="X158" s="166" t="s">
        <v>158</v>
      </c>
      <c r="Y158" s="167"/>
      <c r="Z158" s="168"/>
      <c r="AA158" s="169" t="str">
        <f>=ROUND(IFERROR(Y158/Z158,0),6)</f>
      </c>
      <c r="AD158" s="165" t="s">
        <v>158</v>
      </c>
      <c r="AE158" s="166" t="s">
        <v>158</v>
      </c>
      <c r="AF158" s="167"/>
      <c r="AG158" s="168"/>
      <c r="AH158" s="169" t="str">
        <f>=ROUND(IFERROR(AF158/AG158,0),6)</f>
      </c>
      <c r="AK158" s="165" t="s">
        <v>158</v>
      </c>
      <c r="AL158" s="166" t="s">
        <v>158</v>
      </c>
      <c r="AM158" s="167"/>
      <c r="AN158" s="168"/>
      <c r="AO158" s="169" t="str">
        <f>=ROUND(IFERROR(AM158/AN158,0),6)</f>
      </c>
      <c r="AR158" s="165" t="s">
        <v>158</v>
      </c>
      <c r="AS158" s="166" t="s">
        <v>158</v>
      </c>
      <c r="AT158" s="167"/>
      <c r="AU158" s="168"/>
      <c r="AV158" s="169" t="str">
        <f>=ROUND(IFERROR(AT158/AU158,0),6)</f>
      </c>
      <c r="AY158" s="165" t="s">
        <v>158</v>
      </c>
      <c r="AZ158" s="166" t="s">
        <v>158</v>
      </c>
      <c r="BA158" s="167"/>
      <c r="BB158" s="168"/>
      <c r="BC158" s="169" t="str">
        <f>=ROUND(IFERROR(BA158/BB158,0),6)</f>
      </c>
      <c r="BF158" s="165" t="s">
        <v>158</v>
      </c>
      <c r="BG158" s="166" t="s">
        <v>158</v>
      </c>
      <c r="BH158" s="167"/>
      <c r="BI158" s="168"/>
      <c r="BJ158" s="169" t="str">
        <f>=ROUND(IFERROR(BH158/BI158,0),6)</f>
      </c>
      <c r="BM158" s="165" t="s">
        <v>158</v>
      </c>
      <c r="BN158" s="166" t="s">
        <v>158</v>
      </c>
      <c r="BO158" s="167"/>
      <c r="BP158" s="168"/>
      <c r="BQ158" s="169" t="str">
        <f>=ROUND(IFERROR(BO158/BP158,0),6)</f>
      </c>
      <c r="BT158" s="165" t="s">
        <v>158</v>
      </c>
      <c r="BU158" s="166" t="s">
        <v>158</v>
      </c>
      <c r="BV158" s="167"/>
      <c r="BW158" s="168"/>
      <c r="BX158" s="169" t="str">
        <f>=ROUND(IFERROR(BV158/BW158,0),6)</f>
      </c>
      <c r="CA158" s="165" t="s">
        <v>158</v>
      </c>
      <c r="CB158" s="166" t="s">
        <v>158</v>
      </c>
      <c r="CC158" s="167"/>
      <c r="CD158" s="168"/>
      <c r="CE158" s="169" t="str">
        <f>=ROUND(IFERROR(CC158/CD158,0),6)</f>
      </c>
      <c r="CH158" s="165" t="s">
        <v>158</v>
      </c>
      <c r="CI158" s="166" t="s">
        <v>158</v>
      </c>
      <c r="CJ158" s="167"/>
      <c r="CK158" s="168"/>
      <c r="CL158" s="169" t="str">
        <f>=ROUND(IFERROR(CJ158/CK158,0),6)</f>
      </c>
      <c r="CO158" s="165" t="s">
        <v>158</v>
      </c>
      <c r="CP158" s="166" t="s">
        <v>158</v>
      </c>
      <c r="CQ158" s="167"/>
      <c r="CR158" s="168"/>
      <c r="CS158" s="169" t="str">
        <f>=ROUND(IFERROR(CQ158/CR158,0),6)</f>
      </c>
      <c r="CV158" s="165" t="s">
        <v>158</v>
      </c>
      <c r="CW158" s="166" t="s">
        <v>158</v>
      </c>
      <c r="CX158" s="167"/>
      <c r="CY158" s="168"/>
      <c r="CZ158" s="169" t="str">
        <f>=ROUND(IFERROR(CX158/CY158,0),6)</f>
      </c>
      <c r="DC158" s="165" t="s">
        <v>158</v>
      </c>
      <c r="DD158" s="166" t="s">
        <v>158</v>
      </c>
      <c r="DE158" s="167"/>
      <c r="DF158" s="168"/>
      <c r="DG158" s="169" t="str">
        <f>=ROUND(IFERROR(DE158/DF158,0),6)</f>
      </c>
      <c r="DJ158" s="165" t="s">
        <v>158</v>
      </c>
      <c r="DK158" s="166" t="s">
        <v>158</v>
      </c>
      <c r="DL158" s="167"/>
      <c r="DM158" s="168"/>
      <c r="DN158" s="169" t="str">
        <f>=ROUND(IFERROR(DL158/DM158,0),6)</f>
      </c>
      <c r="DQ158" s="165" t="s">
        <v>158</v>
      </c>
      <c r="DR158" s="166" t="s">
        <v>158</v>
      </c>
      <c r="DS158" s="167"/>
      <c r="DT158" s="168"/>
      <c r="DU158" s="169" t="str">
        <f>=ROUND(IFERROR(DS158/DT158,0),6)</f>
      </c>
    </row>
    <row r="159">
      <c r="B159" s="165" t="s">
        <v>158</v>
      </c>
      <c r="C159" s="166" t="s">
        <v>158</v>
      </c>
      <c r="D159" s="167"/>
      <c r="E159" s="168"/>
      <c r="F159" s="169" t="str">
        <f>=ROUND(IFERROR(D159/E159,0),6)</f>
      </c>
      <c r="I159" s="165" t="s">
        <v>158</v>
      </c>
      <c r="J159" s="166" t="s">
        <v>158</v>
      </c>
      <c r="K159" s="167"/>
      <c r="L159" s="168"/>
      <c r="M159" s="169" t="str">
        <f>=ROUND(IFERROR(K159/L159,0),6)</f>
      </c>
      <c r="P159" s="165" t="s">
        <v>158</v>
      </c>
      <c r="Q159" s="166" t="s">
        <v>158</v>
      </c>
      <c r="R159" s="167"/>
      <c r="S159" s="168"/>
      <c r="T159" s="169" t="str">
        <f>=ROUND(IFERROR(R159/S159,0),6)</f>
      </c>
      <c r="W159" s="165" t="s">
        <v>158</v>
      </c>
      <c r="X159" s="166" t="s">
        <v>158</v>
      </c>
      <c r="Y159" s="167"/>
      <c r="Z159" s="168"/>
      <c r="AA159" s="169" t="str">
        <f>=ROUND(IFERROR(Y159/Z159,0),6)</f>
      </c>
      <c r="AD159" s="165" t="s">
        <v>158</v>
      </c>
      <c r="AE159" s="166" t="s">
        <v>158</v>
      </c>
      <c r="AF159" s="167"/>
      <c r="AG159" s="168"/>
      <c r="AH159" s="169" t="str">
        <f>=ROUND(IFERROR(AF159/AG159,0),6)</f>
      </c>
      <c r="AK159" s="165" t="s">
        <v>158</v>
      </c>
      <c r="AL159" s="166" t="s">
        <v>158</v>
      </c>
      <c r="AM159" s="167"/>
      <c r="AN159" s="168"/>
      <c r="AO159" s="169" t="str">
        <f>=ROUND(IFERROR(AM159/AN159,0),6)</f>
      </c>
      <c r="AR159" s="165" t="s">
        <v>158</v>
      </c>
      <c r="AS159" s="166" t="s">
        <v>158</v>
      </c>
      <c r="AT159" s="167"/>
      <c r="AU159" s="168"/>
      <c r="AV159" s="169" t="str">
        <f>=ROUND(IFERROR(AT159/AU159,0),6)</f>
      </c>
      <c r="AY159" s="165" t="s">
        <v>158</v>
      </c>
      <c r="AZ159" s="166" t="s">
        <v>158</v>
      </c>
      <c r="BA159" s="167"/>
      <c r="BB159" s="168"/>
      <c r="BC159" s="169" t="str">
        <f>=ROUND(IFERROR(BA159/BB159,0),6)</f>
      </c>
      <c r="BF159" s="165" t="s">
        <v>158</v>
      </c>
      <c r="BG159" s="166" t="s">
        <v>158</v>
      </c>
      <c r="BH159" s="167"/>
      <c r="BI159" s="168"/>
      <c r="BJ159" s="169" t="str">
        <f>=ROUND(IFERROR(BH159/BI159,0),6)</f>
      </c>
      <c r="BM159" s="165" t="s">
        <v>158</v>
      </c>
      <c r="BN159" s="166" t="s">
        <v>158</v>
      </c>
      <c r="BO159" s="167"/>
      <c r="BP159" s="168"/>
      <c r="BQ159" s="169" t="str">
        <f>=ROUND(IFERROR(BO159/BP159,0),6)</f>
      </c>
      <c r="BT159" s="165" t="s">
        <v>158</v>
      </c>
      <c r="BU159" s="166" t="s">
        <v>158</v>
      </c>
      <c r="BV159" s="167"/>
      <c r="BW159" s="168"/>
      <c r="BX159" s="169" t="str">
        <f>=ROUND(IFERROR(BV159/BW159,0),6)</f>
      </c>
      <c r="CA159" s="165" t="s">
        <v>158</v>
      </c>
      <c r="CB159" s="166" t="s">
        <v>158</v>
      </c>
      <c r="CC159" s="167"/>
      <c r="CD159" s="168"/>
      <c r="CE159" s="169" t="str">
        <f>=ROUND(IFERROR(CC159/CD159,0),6)</f>
      </c>
      <c r="CH159" s="165" t="s">
        <v>158</v>
      </c>
      <c r="CI159" s="166" t="s">
        <v>158</v>
      </c>
      <c r="CJ159" s="167"/>
      <c r="CK159" s="168"/>
      <c r="CL159" s="169" t="str">
        <f>=ROUND(IFERROR(CJ159/CK159,0),6)</f>
      </c>
      <c r="CO159" s="165" t="s">
        <v>158</v>
      </c>
      <c r="CP159" s="166" t="s">
        <v>158</v>
      </c>
      <c r="CQ159" s="167"/>
      <c r="CR159" s="168"/>
      <c r="CS159" s="169" t="str">
        <f>=ROUND(IFERROR(CQ159/CR159,0),6)</f>
      </c>
      <c r="CV159" s="165" t="s">
        <v>158</v>
      </c>
      <c r="CW159" s="166" t="s">
        <v>158</v>
      </c>
      <c r="CX159" s="167"/>
      <c r="CY159" s="168"/>
      <c r="CZ159" s="169" t="str">
        <f>=ROUND(IFERROR(CX159/CY159,0),6)</f>
      </c>
      <c r="DC159" s="165" t="s">
        <v>158</v>
      </c>
      <c r="DD159" s="166" t="s">
        <v>158</v>
      </c>
      <c r="DE159" s="167"/>
      <c r="DF159" s="168"/>
      <c r="DG159" s="169" t="str">
        <f>=ROUND(IFERROR(DE159/DF159,0),6)</f>
      </c>
      <c r="DJ159" s="165" t="s">
        <v>158</v>
      </c>
      <c r="DK159" s="166" t="s">
        <v>158</v>
      </c>
      <c r="DL159" s="167"/>
      <c r="DM159" s="168"/>
      <c r="DN159" s="169" t="str">
        <f>=ROUND(IFERROR(DL159/DM159,0),6)</f>
      </c>
      <c r="DQ159" s="165" t="s">
        <v>158</v>
      </c>
      <c r="DR159" s="166" t="s">
        <v>158</v>
      </c>
      <c r="DS159" s="167"/>
      <c r="DT159" s="168"/>
      <c r="DU159" s="169" t="str">
        <f>=ROUND(IFERROR(DS159/DT159,0),6)</f>
      </c>
    </row>
    <row r="160">
      <c r="B160" s="165" t="s">
        <v>158</v>
      </c>
      <c r="C160" s="166" t="s">
        <v>158</v>
      </c>
      <c r="D160" s="167"/>
      <c r="E160" s="168"/>
      <c r="F160" s="169" t="str">
        <f>=ROUND(IFERROR(D160/E160,0),6)</f>
      </c>
      <c r="I160" s="165" t="s">
        <v>158</v>
      </c>
      <c r="J160" s="166" t="s">
        <v>158</v>
      </c>
      <c r="K160" s="167"/>
      <c r="L160" s="168"/>
      <c r="M160" s="169" t="str">
        <f>=ROUND(IFERROR(K160/L160,0),6)</f>
      </c>
      <c r="P160" s="165" t="s">
        <v>158</v>
      </c>
      <c r="Q160" s="166" t="s">
        <v>158</v>
      </c>
      <c r="R160" s="167"/>
      <c r="S160" s="168"/>
      <c r="T160" s="169" t="str">
        <f>=ROUND(IFERROR(R160/S160,0),6)</f>
      </c>
      <c r="W160" s="165" t="s">
        <v>158</v>
      </c>
      <c r="X160" s="166" t="s">
        <v>158</v>
      </c>
      <c r="Y160" s="167"/>
      <c r="Z160" s="168"/>
      <c r="AA160" s="169" t="str">
        <f>=ROUND(IFERROR(Y160/Z160,0),6)</f>
      </c>
      <c r="AD160" s="165" t="s">
        <v>158</v>
      </c>
      <c r="AE160" s="166" t="s">
        <v>158</v>
      </c>
      <c r="AF160" s="167"/>
      <c r="AG160" s="168"/>
      <c r="AH160" s="169" t="str">
        <f>=ROUND(IFERROR(AF160/AG160,0),6)</f>
      </c>
      <c r="AK160" s="165" t="s">
        <v>158</v>
      </c>
      <c r="AL160" s="166" t="s">
        <v>158</v>
      </c>
      <c r="AM160" s="167"/>
      <c r="AN160" s="168"/>
      <c r="AO160" s="169" t="str">
        <f>=ROUND(IFERROR(AM160/AN160,0),6)</f>
      </c>
      <c r="AR160" s="165" t="s">
        <v>158</v>
      </c>
      <c r="AS160" s="166" t="s">
        <v>158</v>
      </c>
      <c r="AT160" s="167"/>
      <c r="AU160" s="168"/>
      <c r="AV160" s="169" t="str">
        <f>=ROUND(IFERROR(AT160/AU160,0),6)</f>
      </c>
      <c r="AY160" s="165" t="s">
        <v>158</v>
      </c>
      <c r="AZ160" s="166" t="s">
        <v>158</v>
      </c>
      <c r="BA160" s="167"/>
      <c r="BB160" s="168"/>
      <c r="BC160" s="169" t="str">
        <f>=ROUND(IFERROR(BA160/BB160,0),6)</f>
      </c>
      <c r="BF160" s="165" t="s">
        <v>158</v>
      </c>
      <c r="BG160" s="166" t="s">
        <v>158</v>
      </c>
      <c r="BH160" s="167"/>
      <c r="BI160" s="168"/>
      <c r="BJ160" s="169" t="str">
        <f>=ROUND(IFERROR(BH160/BI160,0),6)</f>
      </c>
      <c r="BM160" s="165" t="s">
        <v>158</v>
      </c>
      <c r="BN160" s="166" t="s">
        <v>158</v>
      </c>
      <c r="BO160" s="167"/>
      <c r="BP160" s="168"/>
      <c r="BQ160" s="169" t="str">
        <f>=ROUND(IFERROR(BO160/BP160,0),6)</f>
      </c>
      <c r="BT160" s="165" t="s">
        <v>158</v>
      </c>
      <c r="BU160" s="166" t="s">
        <v>158</v>
      </c>
      <c r="BV160" s="167"/>
      <c r="BW160" s="168"/>
      <c r="BX160" s="169" t="str">
        <f>=ROUND(IFERROR(BV160/BW160,0),6)</f>
      </c>
      <c r="CA160" s="165" t="s">
        <v>158</v>
      </c>
      <c r="CB160" s="166" t="s">
        <v>158</v>
      </c>
      <c r="CC160" s="167"/>
      <c r="CD160" s="168"/>
      <c r="CE160" s="169" t="str">
        <f>=ROUND(IFERROR(CC160/CD160,0),6)</f>
      </c>
      <c r="CH160" s="165" t="s">
        <v>158</v>
      </c>
      <c r="CI160" s="166" t="s">
        <v>158</v>
      </c>
      <c r="CJ160" s="167"/>
      <c r="CK160" s="168"/>
      <c r="CL160" s="169" t="str">
        <f>=ROUND(IFERROR(CJ160/CK160,0),6)</f>
      </c>
      <c r="CO160" s="165" t="s">
        <v>158</v>
      </c>
      <c r="CP160" s="166" t="s">
        <v>158</v>
      </c>
      <c r="CQ160" s="167"/>
      <c r="CR160" s="168"/>
      <c r="CS160" s="169" t="str">
        <f>=ROUND(IFERROR(CQ160/CR160,0),6)</f>
      </c>
      <c r="CV160" s="165" t="s">
        <v>158</v>
      </c>
      <c r="CW160" s="166" t="s">
        <v>158</v>
      </c>
      <c r="CX160" s="167"/>
      <c r="CY160" s="168"/>
      <c r="CZ160" s="169" t="str">
        <f>=ROUND(IFERROR(CX160/CY160,0),6)</f>
      </c>
      <c r="DC160" s="165" t="s">
        <v>158</v>
      </c>
      <c r="DD160" s="166" t="s">
        <v>158</v>
      </c>
      <c r="DE160" s="167"/>
      <c r="DF160" s="168"/>
      <c r="DG160" s="169" t="str">
        <f>=ROUND(IFERROR(DE160/DF160,0),6)</f>
      </c>
      <c r="DJ160" s="165" t="s">
        <v>158</v>
      </c>
      <c r="DK160" s="166" t="s">
        <v>158</v>
      </c>
      <c r="DL160" s="167"/>
      <c r="DM160" s="168"/>
      <c r="DN160" s="169" t="str">
        <f>=ROUND(IFERROR(DL160/DM160,0),6)</f>
      </c>
      <c r="DQ160" s="165" t="s">
        <v>158</v>
      </c>
      <c r="DR160" s="166" t="s">
        <v>158</v>
      </c>
      <c r="DS160" s="167"/>
      <c r="DT160" s="168"/>
      <c r="DU160" s="169" t="str">
        <f>=ROUND(IFERROR(DS160/DT160,0),6)</f>
      </c>
    </row>
    <row r="161">
      <c r="B161" s="170" t="s">
        <v>447</v>
      </c>
      <c r="C161" s="171" t="s">
        <v>419</v>
      </c>
      <c r="D161" s="172" t="str">
        <f>=ROUND(SUBTOTAL(109,$D$156:$D$160),2)</f>
      </c>
      <c r="E161" s="173" t="str">
        <f>=ROUND(SUBTOTAL(109,$E$156:$E$160),2)</f>
      </c>
      <c r="F161" s="174" t="str">
        <f>=ROUND(IFERROR(D161/E161,0),6)</f>
      </c>
      <c r="I161" s="170" t="s">
        <v>447</v>
      </c>
      <c r="J161" s="171" t="s">
        <v>419</v>
      </c>
      <c r="K161" s="172" t="str">
        <f>=ROUND(SUBTOTAL(109,$K$156:$K$160),2)</f>
      </c>
      <c r="L161" s="173" t="str">
        <f>=ROUND(SUBTOTAL(109,$L$156:$L$160),2)</f>
      </c>
      <c r="M161" s="174" t="str">
        <f>=ROUND(IFERROR(K161/L161,0),6)</f>
      </c>
      <c r="P161" s="170" t="s">
        <v>447</v>
      </c>
      <c r="Q161" s="171" t="s">
        <v>419</v>
      </c>
      <c r="R161" s="172" t="str">
        <f>=ROUND(SUBTOTAL(109,$R$156:$R$160),2)</f>
      </c>
      <c r="S161" s="173" t="str">
        <f>=ROUND(SUBTOTAL(109,$S$156:$S$160),2)</f>
      </c>
      <c r="T161" s="174" t="str">
        <f>=ROUND(IFERROR(R161/S161,0),6)</f>
      </c>
      <c r="W161" s="170" t="s">
        <v>447</v>
      </c>
      <c r="X161" s="171" t="s">
        <v>419</v>
      </c>
      <c r="Y161" s="172" t="str">
        <f>=ROUND(SUBTOTAL(109,$Y$156:$Y$160),2)</f>
      </c>
      <c r="Z161" s="173" t="str">
        <f>=ROUND(SUBTOTAL(109,$Z$156:$Z$160),2)</f>
      </c>
      <c r="AA161" s="174" t="str">
        <f>=ROUND(IFERROR(Y161/Z161,0),6)</f>
      </c>
      <c r="AD161" s="170" t="s">
        <v>447</v>
      </c>
      <c r="AE161" s="171" t="s">
        <v>419</v>
      </c>
      <c r="AF161" s="172" t="str">
        <f>=ROUND(SUBTOTAL(109,$AF$156:$AF$160),2)</f>
      </c>
      <c r="AG161" s="173" t="str">
        <f>=ROUND(SUBTOTAL(109,$AG$156:$AG$160),2)</f>
      </c>
      <c r="AH161" s="174" t="str">
        <f>=ROUND(IFERROR(AF161/AG161,0),6)</f>
      </c>
      <c r="AK161" s="170" t="s">
        <v>447</v>
      </c>
      <c r="AL161" s="171" t="s">
        <v>419</v>
      </c>
      <c r="AM161" s="172" t="str">
        <f>=ROUND(SUBTOTAL(109,$AM$156:$AM$160),2)</f>
      </c>
      <c r="AN161" s="173" t="str">
        <f>=ROUND(SUBTOTAL(109,$AN$156:$AN$160),2)</f>
      </c>
      <c r="AO161" s="174" t="str">
        <f>=ROUND(IFERROR(AM161/AN161,0),6)</f>
      </c>
      <c r="AR161" s="170" t="s">
        <v>447</v>
      </c>
      <c r="AS161" s="171" t="s">
        <v>419</v>
      </c>
      <c r="AT161" s="172" t="str">
        <f>=ROUND(SUBTOTAL(109,$AT$156:$AT$160),2)</f>
      </c>
      <c r="AU161" s="173" t="str">
        <f>=ROUND(SUBTOTAL(109,$AU$156:$AU$160),2)</f>
      </c>
      <c r="AV161" s="174" t="str">
        <f>=ROUND(IFERROR(AT161/AU161,0),6)</f>
      </c>
      <c r="AY161" s="170" t="s">
        <v>447</v>
      </c>
      <c r="AZ161" s="171" t="s">
        <v>419</v>
      </c>
      <c r="BA161" s="172" t="str">
        <f>=ROUND(SUBTOTAL(109,$BA$156:$BA$160),2)</f>
      </c>
      <c r="BB161" s="173" t="str">
        <f>=ROUND(SUBTOTAL(109,$BB$156:$BB$160),2)</f>
      </c>
      <c r="BC161" s="174" t="str">
        <f>=ROUND(IFERROR(BA161/BB161,0),6)</f>
      </c>
      <c r="BF161" s="170" t="s">
        <v>447</v>
      </c>
      <c r="BG161" s="171" t="s">
        <v>419</v>
      </c>
      <c r="BH161" s="172" t="str">
        <f>=ROUND(SUBTOTAL(109,$BH$156:$BH$160),2)</f>
      </c>
      <c r="BI161" s="173" t="str">
        <f>=ROUND(SUBTOTAL(109,$BI$156:$BI$160),2)</f>
      </c>
      <c r="BJ161" s="174" t="str">
        <f>=ROUND(IFERROR(BH161/BI161,0),6)</f>
      </c>
      <c r="BM161" s="170" t="s">
        <v>447</v>
      </c>
      <c r="BN161" s="171" t="s">
        <v>419</v>
      </c>
      <c r="BO161" s="172" t="str">
        <f>=ROUND(SUBTOTAL(109,$BO$156:$BO$160),2)</f>
      </c>
      <c r="BP161" s="173" t="str">
        <f>=ROUND(SUBTOTAL(109,$BP$156:$BP$160),2)</f>
      </c>
      <c r="BQ161" s="174" t="str">
        <f>=ROUND(IFERROR(BO161/BP161,0),6)</f>
      </c>
      <c r="BT161" s="170" t="s">
        <v>447</v>
      </c>
      <c r="BU161" s="171" t="s">
        <v>419</v>
      </c>
      <c r="BV161" s="172" t="str">
        <f>=ROUND(SUBTOTAL(109,$BV$156:$BV$160),2)</f>
      </c>
      <c r="BW161" s="173" t="str">
        <f>=ROUND(SUBTOTAL(109,$BW$156:$BW$160),2)</f>
      </c>
      <c r="BX161" s="174" t="str">
        <f>=ROUND(IFERROR(BV161/BW161,0),6)</f>
      </c>
      <c r="CA161" s="170" t="s">
        <v>447</v>
      </c>
      <c r="CB161" s="171" t="s">
        <v>419</v>
      </c>
      <c r="CC161" s="172" t="str">
        <f>=ROUND(SUBTOTAL(109,$CC$156:$CC$160),2)</f>
      </c>
      <c r="CD161" s="173" t="str">
        <f>=ROUND(SUBTOTAL(109,$CD$156:$CD$160),2)</f>
      </c>
      <c r="CE161" s="174" t="str">
        <f>=ROUND(IFERROR(CC161/CD161,0),6)</f>
      </c>
      <c r="CH161" s="170" t="s">
        <v>447</v>
      </c>
      <c r="CI161" s="171" t="s">
        <v>419</v>
      </c>
      <c r="CJ161" s="172" t="str">
        <f>=ROUND(SUBTOTAL(109,$CJ$156:$CJ$160),2)</f>
      </c>
      <c r="CK161" s="173" t="str">
        <f>=ROUND(SUBTOTAL(109,$CK$156:$CK$160),2)</f>
      </c>
      <c r="CL161" s="174" t="str">
        <f>=ROUND(IFERROR(CJ161/CK161,0),6)</f>
      </c>
      <c r="CO161" s="170" t="s">
        <v>447</v>
      </c>
      <c r="CP161" s="171" t="s">
        <v>419</v>
      </c>
      <c r="CQ161" s="172" t="str">
        <f>=ROUND(SUBTOTAL(109,$CQ$156:$CQ$160),2)</f>
      </c>
      <c r="CR161" s="173" t="str">
        <f>=ROUND(SUBTOTAL(109,$CR$156:$CR$160),2)</f>
      </c>
      <c r="CS161" s="174" t="str">
        <f>=ROUND(IFERROR(CQ161/CR161,0),6)</f>
      </c>
      <c r="CV161" s="170" t="s">
        <v>447</v>
      </c>
      <c r="CW161" s="171" t="s">
        <v>419</v>
      </c>
      <c r="CX161" s="172" t="str">
        <f>=ROUND(SUBTOTAL(109,$CX$156:$CX$160),2)</f>
      </c>
      <c r="CY161" s="173" t="str">
        <f>=ROUND(SUBTOTAL(109,$CY$156:$CY$160),2)</f>
      </c>
      <c r="CZ161" s="174" t="str">
        <f>=ROUND(IFERROR(CX161/CY161,0),6)</f>
      </c>
      <c r="DC161" s="170" t="s">
        <v>447</v>
      </c>
      <c r="DD161" s="171" t="s">
        <v>419</v>
      </c>
      <c r="DE161" s="172" t="str">
        <f>=ROUND(SUBTOTAL(109,$DE$156:$DE$160),2)</f>
      </c>
      <c r="DF161" s="173" t="str">
        <f>=ROUND(SUBTOTAL(109,$DF$156:$DF$160),2)</f>
      </c>
      <c r="DG161" s="174" t="str">
        <f>=ROUND(IFERROR(DE161/DF161,0),6)</f>
      </c>
      <c r="DJ161" s="170" t="s">
        <v>447</v>
      </c>
      <c r="DK161" s="171" t="s">
        <v>419</v>
      </c>
      <c r="DL161" s="172" t="str">
        <f>=ROUND(SUBTOTAL(109,$DL$156:$DL$160),2)</f>
      </c>
      <c r="DM161" s="173" t="str">
        <f>=ROUND(SUBTOTAL(109,$DM$156:$DM$160),2)</f>
      </c>
      <c r="DN161" s="174" t="str">
        <f>=ROUND(IFERROR(DL161/DM161,0),6)</f>
      </c>
      <c r="DQ161" s="170" t="s">
        <v>447</v>
      </c>
      <c r="DR161" s="171" t="s">
        <v>419</v>
      </c>
      <c r="DS161" s="172" t="str">
        <f>=ROUND(SUBTOTAL(109,$DS$156:$DS$160),2)</f>
      </c>
      <c r="DT161" s="173" t="str">
        <f>=ROUND(SUBTOTAL(109,$DT$156:$DT$160),2)</f>
      </c>
      <c r="DU161" s="174" t="str">
        <f>=ROUND(IFERROR(DS161/DT161,0),6)</f>
      </c>
    </row>
    <row r="163">
      <c r="B163" s="105" t="s">
        <v>448</v>
      </c>
      <c r="I163" s="105" t="s">
        <v>448</v>
      </c>
      <c r="P163" s="105" t="s">
        <v>448</v>
      </c>
      <c r="W163" s="105" t="s">
        <v>448</v>
      </c>
      <c r="AD163" s="105" t="s">
        <v>448</v>
      </c>
      <c r="AK163" s="105" t="s">
        <v>448</v>
      </c>
      <c r="AR163" s="105" t="s">
        <v>448</v>
      </c>
      <c r="AY163" s="105" t="s">
        <v>448</v>
      </c>
      <c r="BF163" s="105" t="s">
        <v>448</v>
      </c>
      <c r="BM163" s="105" t="s">
        <v>448</v>
      </c>
      <c r="BT163" s="105" t="s">
        <v>448</v>
      </c>
      <c r="CA163" s="105" t="s">
        <v>448</v>
      </c>
      <c r="CH163" s="105" t="s">
        <v>448</v>
      </c>
      <c r="CO163" s="105" t="s">
        <v>448</v>
      </c>
      <c r="CV163" s="105" t="s">
        <v>448</v>
      </c>
      <c r="DC163" s="105" t="s">
        <v>448</v>
      </c>
      <c r="DJ163" s="105" t="s">
        <v>448</v>
      </c>
      <c r="DQ163" s="105" t="s">
        <v>448</v>
      </c>
    </row>
    <row r="164">
      <c r="B164" s="121" t="s">
        <v>443</v>
      </c>
      <c r="C164" s="121" t="s">
        <v>444</v>
      </c>
      <c r="D164" s="121" t="s">
        <v>422</v>
      </c>
      <c r="E164" s="121" t="s">
        <v>423</v>
      </c>
      <c r="F164" s="121" t="s">
        <v>445</v>
      </c>
      <c r="I164" s="121" t="s">
        <v>443</v>
      </c>
      <c r="J164" s="121" t="s">
        <v>444</v>
      </c>
      <c r="K164" s="121" t="s">
        <v>422</v>
      </c>
      <c r="L164" s="121" t="s">
        <v>423</v>
      </c>
      <c r="M164" s="121" t="s">
        <v>445</v>
      </c>
      <c r="P164" s="121" t="s">
        <v>443</v>
      </c>
      <c r="Q164" s="121" t="s">
        <v>444</v>
      </c>
      <c r="R164" s="121" t="s">
        <v>422</v>
      </c>
      <c r="S164" s="121" t="s">
        <v>423</v>
      </c>
      <c r="T164" s="121" t="s">
        <v>445</v>
      </c>
      <c r="W164" s="121" t="s">
        <v>443</v>
      </c>
      <c r="X164" s="121" t="s">
        <v>444</v>
      </c>
      <c r="Y164" s="121" t="s">
        <v>422</v>
      </c>
      <c r="Z164" s="121" t="s">
        <v>423</v>
      </c>
      <c r="AA164" s="121" t="s">
        <v>445</v>
      </c>
      <c r="AD164" s="121" t="s">
        <v>443</v>
      </c>
      <c r="AE164" s="121" t="s">
        <v>444</v>
      </c>
      <c r="AF164" s="121" t="s">
        <v>422</v>
      </c>
      <c r="AG164" s="121" t="s">
        <v>423</v>
      </c>
      <c r="AH164" s="121" t="s">
        <v>445</v>
      </c>
      <c r="AK164" s="121" t="s">
        <v>443</v>
      </c>
      <c r="AL164" s="121" t="s">
        <v>444</v>
      </c>
      <c r="AM164" s="121" t="s">
        <v>422</v>
      </c>
      <c r="AN164" s="121" t="s">
        <v>423</v>
      </c>
      <c r="AO164" s="121" t="s">
        <v>445</v>
      </c>
      <c r="AR164" s="121" t="s">
        <v>443</v>
      </c>
      <c r="AS164" s="121" t="s">
        <v>444</v>
      </c>
      <c r="AT164" s="121" t="s">
        <v>422</v>
      </c>
      <c r="AU164" s="121" t="s">
        <v>423</v>
      </c>
      <c r="AV164" s="121" t="s">
        <v>445</v>
      </c>
      <c r="AY164" s="121" t="s">
        <v>443</v>
      </c>
      <c r="AZ164" s="121" t="s">
        <v>444</v>
      </c>
      <c r="BA164" s="121" t="s">
        <v>422</v>
      </c>
      <c r="BB164" s="121" t="s">
        <v>423</v>
      </c>
      <c r="BC164" s="121" t="s">
        <v>445</v>
      </c>
      <c r="BF164" s="121" t="s">
        <v>443</v>
      </c>
      <c r="BG164" s="121" t="s">
        <v>444</v>
      </c>
      <c r="BH164" s="121" t="s">
        <v>422</v>
      </c>
      <c r="BI164" s="121" t="s">
        <v>423</v>
      </c>
      <c r="BJ164" s="121" t="s">
        <v>445</v>
      </c>
      <c r="BM164" s="121" t="s">
        <v>443</v>
      </c>
      <c r="BN164" s="121" t="s">
        <v>444</v>
      </c>
      <c r="BO164" s="121" t="s">
        <v>422</v>
      </c>
      <c r="BP164" s="121" t="s">
        <v>423</v>
      </c>
      <c r="BQ164" s="121" t="s">
        <v>445</v>
      </c>
      <c r="BT164" s="121" t="s">
        <v>443</v>
      </c>
      <c r="BU164" s="121" t="s">
        <v>444</v>
      </c>
      <c r="BV164" s="121" t="s">
        <v>422</v>
      </c>
      <c r="BW164" s="121" t="s">
        <v>423</v>
      </c>
      <c r="BX164" s="121" t="s">
        <v>445</v>
      </c>
      <c r="CA164" s="121" t="s">
        <v>443</v>
      </c>
      <c r="CB164" s="121" t="s">
        <v>444</v>
      </c>
      <c r="CC164" s="121" t="s">
        <v>422</v>
      </c>
      <c r="CD164" s="121" t="s">
        <v>423</v>
      </c>
      <c r="CE164" s="121" t="s">
        <v>445</v>
      </c>
      <c r="CH164" s="121" t="s">
        <v>443</v>
      </c>
      <c r="CI164" s="121" t="s">
        <v>444</v>
      </c>
      <c r="CJ164" s="121" t="s">
        <v>422</v>
      </c>
      <c r="CK164" s="121" t="s">
        <v>423</v>
      </c>
      <c r="CL164" s="121" t="s">
        <v>445</v>
      </c>
      <c r="CO164" s="121" t="s">
        <v>443</v>
      </c>
      <c r="CP164" s="121" t="s">
        <v>444</v>
      </c>
      <c r="CQ164" s="121" t="s">
        <v>422</v>
      </c>
      <c r="CR164" s="121" t="s">
        <v>423</v>
      </c>
      <c r="CS164" s="121" t="s">
        <v>445</v>
      </c>
      <c r="CV164" s="121" t="s">
        <v>443</v>
      </c>
      <c r="CW164" s="121" t="s">
        <v>444</v>
      </c>
      <c r="CX164" s="121" t="s">
        <v>422</v>
      </c>
      <c r="CY164" s="121" t="s">
        <v>423</v>
      </c>
      <c r="CZ164" s="121" t="s">
        <v>445</v>
      </c>
      <c r="DC164" s="121" t="s">
        <v>443</v>
      </c>
      <c r="DD164" s="121" t="s">
        <v>444</v>
      </c>
      <c r="DE164" s="121" t="s">
        <v>422</v>
      </c>
      <c r="DF164" s="121" t="s">
        <v>423</v>
      </c>
      <c r="DG164" s="121" t="s">
        <v>445</v>
      </c>
      <c r="DJ164" s="121" t="s">
        <v>443</v>
      </c>
      <c r="DK164" s="121" t="s">
        <v>444</v>
      </c>
      <c r="DL164" s="121" t="s">
        <v>422</v>
      </c>
      <c r="DM164" s="121" t="s">
        <v>423</v>
      </c>
      <c r="DN164" s="121" t="s">
        <v>445</v>
      </c>
      <c r="DQ164" s="121" t="s">
        <v>443</v>
      </c>
      <c r="DR164" s="121" t="s">
        <v>444</v>
      </c>
      <c r="DS164" s="121" t="s">
        <v>422</v>
      </c>
      <c r="DT164" s="121" t="s">
        <v>423</v>
      </c>
      <c r="DU164" s="121" t="s">
        <v>445</v>
      </c>
    </row>
    <row r="165">
      <c r="B165" s="165" t="s">
        <v>196</v>
      </c>
      <c r="C165" s="166" t="s">
        <v>158</v>
      </c>
      <c r="D165" s="167"/>
      <c r="E165" s="175" t="str">
        <f>=IFERROR(ROUND(D165/$C$8,2),0)</f>
      </c>
      <c r="F165" s="169" t="str">
        <f>=ROUND(IFERROR(D165/E165,0),6)</f>
      </c>
      <c r="I165" s="165" t="s">
        <v>196</v>
      </c>
      <c r="J165" s="166" t="s">
        <v>158</v>
      </c>
      <c r="K165" s="167"/>
      <c r="L165" s="175" t="str">
        <f>=IFERROR(ROUND(K165/$J$8,2),0)</f>
      </c>
      <c r="M165" s="169" t="str">
        <f>=ROUND(IFERROR(K165/L165,0),6)</f>
      </c>
      <c r="P165" s="165" t="s">
        <v>196</v>
      </c>
      <c r="Q165" s="166" t="s">
        <v>158</v>
      </c>
      <c r="R165" s="167"/>
      <c r="S165" s="175" t="str">
        <f>=IFERROR(ROUND(R165/$Q$8,2),0)</f>
      </c>
      <c r="T165" s="169" t="str">
        <f>=ROUND(IFERROR(R165/S165,0),6)</f>
      </c>
      <c r="W165" s="165" t="s">
        <v>196</v>
      </c>
      <c r="X165" s="166" t="s">
        <v>158</v>
      </c>
      <c r="Y165" s="167"/>
      <c r="Z165" s="175" t="str">
        <f>=IFERROR(ROUND(Y165/$X$8,2),0)</f>
      </c>
      <c r="AA165" s="169" t="str">
        <f>=ROUND(IFERROR(Y165/Z165,0),6)</f>
      </c>
      <c r="AD165" s="165" t="s">
        <v>196</v>
      </c>
      <c r="AE165" s="166" t="s">
        <v>158</v>
      </c>
      <c r="AF165" s="167"/>
      <c r="AG165" s="175" t="str">
        <f>=IFERROR(ROUND(AF165/$AE$8,2),0)</f>
      </c>
      <c r="AH165" s="169" t="str">
        <f>=ROUND(IFERROR(AF165/AG165,0),6)</f>
      </c>
      <c r="AK165" s="165" t="s">
        <v>196</v>
      </c>
      <c r="AL165" s="166" t="s">
        <v>158</v>
      </c>
      <c r="AM165" s="167"/>
      <c r="AN165" s="175" t="str">
        <f>=IFERROR(ROUND(AM165/$AL$8,2),0)</f>
      </c>
      <c r="AO165" s="169" t="str">
        <f>=ROUND(IFERROR(AM165/AN165,0),6)</f>
      </c>
      <c r="AR165" s="165" t="s">
        <v>196</v>
      </c>
      <c r="AS165" s="166" t="s">
        <v>158</v>
      </c>
      <c r="AT165" s="167"/>
      <c r="AU165" s="175" t="str">
        <f>=IFERROR(ROUND(AT165/$AS$8,2),0)</f>
      </c>
      <c r="AV165" s="169" t="str">
        <f>=ROUND(IFERROR(AT165/AU165,0),6)</f>
      </c>
      <c r="AY165" s="165" t="s">
        <v>196</v>
      </c>
      <c r="AZ165" s="166" t="s">
        <v>158</v>
      </c>
      <c r="BA165" s="167"/>
      <c r="BB165" s="175" t="str">
        <f>=IFERROR(ROUND(BA165/$AZ$8,2),0)</f>
      </c>
      <c r="BC165" s="169" t="str">
        <f>=ROUND(IFERROR(BA165/BB165,0),6)</f>
      </c>
      <c r="BF165" s="165" t="s">
        <v>196</v>
      </c>
      <c r="BG165" s="166" t="s">
        <v>158</v>
      </c>
      <c r="BH165" s="167"/>
      <c r="BI165" s="175" t="str">
        <f>=IFERROR(ROUND(BH165/$BG$8,2),0)</f>
      </c>
      <c r="BJ165" s="169" t="str">
        <f>=ROUND(IFERROR(BH165/BI165,0),6)</f>
      </c>
      <c r="BM165" s="165" t="s">
        <v>196</v>
      </c>
      <c r="BN165" s="166" t="s">
        <v>158</v>
      </c>
      <c r="BO165" s="167"/>
      <c r="BP165" s="175" t="str">
        <f>=IFERROR(ROUND(BO165/$BN$8,2),0)</f>
      </c>
      <c r="BQ165" s="169" t="str">
        <f>=ROUND(IFERROR(BO165/BP165,0),6)</f>
      </c>
      <c r="BT165" s="165" t="s">
        <v>196</v>
      </c>
      <c r="BU165" s="166" t="s">
        <v>158</v>
      </c>
      <c r="BV165" s="167"/>
      <c r="BW165" s="175" t="str">
        <f>=IFERROR(ROUND(BV165/$BU$8,2),0)</f>
      </c>
      <c r="BX165" s="169" t="str">
        <f>=ROUND(IFERROR(BV165/BW165,0),6)</f>
      </c>
      <c r="CA165" s="165" t="s">
        <v>196</v>
      </c>
      <c r="CB165" s="166" t="s">
        <v>158</v>
      </c>
      <c r="CC165" s="167"/>
      <c r="CD165" s="175" t="str">
        <f>=IFERROR(ROUND(CC165/$CB$8,2),0)</f>
      </c>
      <c r="CE165" s="169" t="str">
        <f>=ROUND(IFERROR(CC165/CD165,0),6)</f>
      </c>
      <c r="CH165" s="165" t="s">
        <v>196</v>
      </c>
      <c r="CI165" s="166" t="s">
        <v>158</v>
      </c>
      <c r="CJ165" s="167"/>
      <c r="CK165" s="175" t="str">
        <f>=IFERROR(ROUND(CJ165/$CI$8,2),0)</f>
      </c>
      <c r="CL165" s="169" t="str">
        <f>=ROUND(IFERROR(CJ165/CK165,0),6)</f>
      </c>
      <c r="CO165" s="165" t="s">
        <v>196</v>
      </c>
      <c r="CP165" s="166" t="s">
        <v>158</v>
      </c>
      <c r="CQ165" s="167"/>
      <c r="CR165" s="175" t="str">
        <f>=IFERROR(ROUND(CQ165/$CP$8,2),0)</f>
      </c>
      <c r="CS165" s="169" t="str">
        <f>=ROUND(IFERROR(CQ165/CR165,0),6)</f>
      </c>
      <c r="CV165" s="165" t="s">
        <v>196</v>
      </c>
      <c r="CW165" s="166" t="s">
        <v>158</v>
      </c>
      <c r="CX165" s="167"/>
      <c r="CY165" s="175" t="str">
        <f>=IFERROR(ROUND(CX165/$CW$8,2),0)</f>
      </c>
      <c r="CZ165" s="169" t="str">
        <f>=ROUND(IFERROR(CX165/CY165,0),6)</f>
      </c>
      <c r="DC165" s="165" t="s">
        <v>196</v>
      </c>
      <c r="DD165" s="166" t="s">
        <v>158</v>
      </c>
      <c r="DE165" s="167"/>
      <c r="DF165" s="175" t="str">
        <f>=IFERROR(ROUND(DE165/$DD$8,2),0)</f>
      </c>
      <c r="DG165" s="169" t="str">
        <f>=ROUND(IFERROR(DE165/DF165,0),6)</f>
      </c>
      <c r="DJ165" s="165" t="s">
        <v>196</v>
      </c>
      <c r="DK165" s="166" t="s">
        <v>158</v>
      </c>
      <c r="DL165" s="167"/>
      <c r="DM165" s="175" t="str">
        <f>=IFERROR(ROUND(DL165/$DK$8,2),0)</f>
      </c>
      <c r="DN165" s="169" t="str">
        <f>=ROUND(IFERROR(DL165/DM165,0),6)</f>
      </c>
      <c r="DQ165" s="165" t="s">
        <v>196</v>
      </c>
      <c r="DR165" s="166" t="s">
        <v>158</v>
      </c>
      <c r="DS165" s="167"/>
      <c r="DT165" s="175" t="str">
        <f>=IFERROR(ROUND(DS165/$DR$8,2),0)</f>
      </c>
      <c r="DU165" s="169" t="str">
        <f>=ROUND(IFERROR(DS165/DT165,0),6)</f>
      </c>
    </row>
    <row r="166">
      <c r="B166" s="165" t="s">
        <v>427</v>
      </c>
      <c r="C166" s="166" t="s">
        <v>158</v>
      </c>
      <c r="D166" s="167"/>
      <c r="E166" s="175" t="str">
        <f>=IFERROR(ROUND(D166/$C$8,2),0)</f>
      </c>
      <c r="F166" s="169" t="str">
        <f>=ROUND(IFERROR(D166/E166,0),6)</f>
      </c>
      <c r="I166" s="165" t="s">
        <v>427</v>
      </c>
      <c r="J166" s="166" t="s">
        <v>158</v>
      </c>
      <c r="K166" s="167"/>
      <c r="L166" s="175" t="str">
        <f>=IFERROR(ROUND(K166/$J$8,2),0)</f>
      </c>
      <c r="M166" s="169" t="str">
        <f>=ROUND(IFERROR(K166/L166,0),6)</f>
      </c>
      <c r="P166" s="165" t="s">
        <v>427</v>
      </c>
      <c r="Q166" s="166" t="s">
        <v>158</v>
      </c>
      <c r="R166" s="167"/>
      <c r="S166" s="175" t="str">
        <f>=IFERROR(ROUND(R166/$Q$8,2),0)</f>
      </c>
      <c r="T166" s="169" t="str">
        <f>=ROUND(IFERROR(R166/S166,0),6)</f>
      </c>
      <c r="W166" s="165" t="s">
        <v>427</v>
      </c>
      <c r="X166" s="166" t="s">
        <v>158</v>
      </c>
      <c r="Y166" s="167"/>
      <c r="Z166" s="175" t="str">
        <f>=IFERROR(ROUND(Y166/$X$8,2),0)</f>
      </c>
      <c r="AA166" s="169" t="str">
        <f>=ROUND(IFERROR(Y166/Z166,0),6)</f>
      </c>
      <c r="AD166" s="165" t="s">
        <v>427</v>
      </c>
      <c r="AE166" s="166" t="s">
        <v>158</v>
      </c>
      <c r="AF166" s="167"/>
      <c r="AG166" s="175" t="str">
        <f>=IFERROR(ROUND(AF166/$AE$8,2),0)</f>
      </c>
      <c r="AH166" s="169" t="str">
        <f>=ROUND(IFERROR(AF166/AG166,0),6)</f>
      </c>
      <c r="AK166" s="165" t="s">
        <v>427</v>
      </c>
      <c r="AL166" s="166" t="s">
        <v>158</v>
      </c>
      <c r="AM166" s="167"/>
      <c r="AN166" s="175" t="str">
        <f>=IFERROR(ROUND(AM166/$AL$8,2),0)</f>
      </c>
      <c r="AO166" s="169" t="str">
        <f>=ROUND(IFERROR(AM166/AN166,0),6)</f>
      </c>
      <c r="AR166" s="165" t="s">
        <v>427</v>
      </c>
      <c r="AS166" s="166" t="s">
        <v>158</v>
      </c>
      <c r="AT166" s="167"/>
      <c r="AU166" s="175" t="str">
        <f>=IFERROR(ROUND(AT166/$AS$8,2),0)</f>
      </c>
      <c r="AV166" s="169" t="str">
        <f>=ROUND(IFERROR(AT166/AU166,0),6)</f>
      </c>
      <c r="AY166" s="165" t="s">
        <v>427</v>
      </c>
      <c r="AZ166" s="166" t="s">
        <v>158</v>
      </c>
      <c r="BA166" s="167"/>
      <c r="BB166" s="175" t="str">
        <f>=IFERROR(ROUND(BA166/$AZ$8,2),0)</f>
      </c>
      <c r="BC166" s="169" t="str">
        <f>=ROUND(IFERROR(BA166/BB166,0),6)</f>
      </c>
      <c r="BF166" s="165" t="s">
        <v>427</v>
      </c>
      <c r="BG166" s="166" t="s">
        <v>158</v>
      </c>
      <c r="BH166" s="167"/>
      <c r="BI166" s="175" t="str">
        <f>=IFERROR(ROUND(BH166/$BG$8,2),0)</f>
      </c>
      <c r="BJ166" s="169" t="str">
        <f>=ROUND(IFERROR(BH166/BI166,0),6)</f>
      </c>
      <c r="BM166" s="165" t="s">
        <v>427</v>
      </c>
      <c r="BN166" s="166" t="s">
        <v>158</v>
      </c>
      <c r="BO166" s="167"/>
      <c r="BP166" s="175" t="str">
        <f>=IFERROR(ROUND(BO166/$BN$8,2),0)</f>
      </c>
      <c r="BQ166" s="169" t="str">
        <f>=ROUND(IFERROR(BO166/BP166,0),6)</f>
      </c>
      <c r="BT166" s="165" t="s">
        <v>427</v>
      </c>
      <c r="BU166" s="166" t="s">
        <v>158</v>
      </c>
      <c r="BV166" s="167"/>
      <c r="BW166" s="175" t="str">
        <f>=IFERROR(ROUND(BV166/$BU$8,2),0)</f>
      </c>
      <c r="BX166" s="169" t="str">
        <f>=ROUND(IFERROR(BV166/BW166,0),6)</f>
      </c>
      <c r="CA166" s="165" t="s">
        <v>427</v>
      </c>
      <c r="CB166" s="166" t="s">
        <v>158</v>
      </c>
      <c r="CC166" s="167"/>
      <c r="CD166" s="175" t="str">
        <f>=IFERROR(ROUND(CC166/$CB$8,2),0)</f>
      </c>
      <c r="CE166" s="169" t="str">
        <f>=ROUND(IFERROR(CC166/CD166,0),6)</f>
      </c>
      <c r="CH166" s="165" t="s">
        <v>427</v>
      </c>
      <c r="CI166" s="166" t="s">
        <v>158</v>
      </c>
      <c r="CJ166" s="167"/>
      <c r="CK166" s="175" t="str">
        <f>=IFERROR(ROUND(CJ166/$CI$8,2),0)</f>
      </c>
      <c r="CL166" s="169" t="str">
        <f>=ROUND(IFERROR(CJ166/CK166,0),6)</f>
      </c>
      <c r="CO166" s="165" t="s">
        <v>427</v>
      </c>
      <c r="CP166" s="166" t="s">
        <v>158</v>
      </c>
      <c r="CQ166" s="167"/>
      <c r="CR166" s="175" t="str">
        <f>=IFERROR(ROUND(CQ166/$CP$8,2),0)</f>
      </c>
      <c r="CS166" s="169" t="str">
        <f>=ROUND(IFERROR(CQ166/CR166,0),6)</f>
      </c>
      <c r="CV166" s="165" t="s">
        <v>427</v>
      </c>
      <c r="CW166" s="166" t="s">
        <v>158</v>
      </c>
      <c r="CX166" s="167"/>
      <c r="CY166" s="175" t="str">
        <f>=IFERROR(ROUND(CX166/$CW$8,2),0)</f>
      </c>
      <c r="CZ166" s="169" t="str">
        <f>=ROUND(IFERROR(CX166/CY166,0),6)</f>
      </c>
      <c r="DC166" s="165" t="s">
        <v>427</v>
      </c>
      <c r="DD166" s="166" t="s">
        <v>158</v>
      </c>
      <c r="DE166" s="167"/>
      <c r="DF166" s="175" t="str">
        <f>=IFERROR(ROUND(DE166/$DD$8,2),0)</f>
      </c>
      <c r="DG166" s="169" t="str">
        <f>=ROUND(IFERROR(DE166/DF166,0),6)</f>
      </c>
      <c r="DJ166" s="165" t="s">
        <v>427</v>
      </c>
      <c r="DK166" s="166" t="s">
        <v>158</v>
      </c>
      <c r="DL166" s="167"/>
      <c r="DM166" s="175" t="str">
        <f>=IFERROR(ROUND(DL166/$DK$8,2),0)</f>
      </c>
      <c r="DN166" s="169" t="str">
        <f>=ROUND(IFERROR(DL166/DM166,0),6)</f>
      </c>
      <c r="DQ166" s="165" t="s">
        <v>427</v>
      </c>
      <c r="DR166" s="166" t="s">
        <v>158</v>
      </c>
      <c r="DS166" s="167"/>
      <c r="DT166" s="175" t="str">
        <f>=IFERROR(ROUND(DS166/$DR$8,2),0)</f>
      </c>
      <c r="DU166" s="169" t="str">
        <f>=ROUND(IFERROR(DS166/DT166,0),6)</f>
      </c>
    </row>
    <row r="167">
      <c r="B167" s="165" t="s">
        <v>428</v>
      </c>
      <c r="C167" s="166" t="s">
        <v>158</v>
      </c>
      <c r="D167" s="167"/>
      <c r="E167" s="175" t="str">
        <f>=IFERROR(ROUND(D167/$C$8,2),0)</f>
      </c>
      <c r="F167" s="169" t="str">
        <f>=ROUND(IFERROR(D167/E167,0),6)</f>
      </c>
      <c r="I167" s="165" t="s">
        <v>428</v>
      </c>
      <c r="J167" s="166" t="s">
        <v>158</v>
      </c>
      <c r="K167" s="167"/>
      <c r="L167" s="175" t="str">
        <f>=IFERROR(ROUND(K167/$J$8,2),0)</f>
      </c>
      <c r="M167" s="169" t="str">
        <f>=ROUND(IFERROR(K167/L167,0),6)</f>
      </c>
      <c r="P167" s="165" t="s">
        <v>428</v>
      </c>
      <c r="Q167" s="166" t="s">
        <v>158</v>
      </c>
      <c r="R167" s="167"/>
      <c r="S167" s="175" t="str">
        <f>=IFERROR(ROUND(R167/$Q$8,2),0)</f>
      </c>
      <c r="T167" s="169" t="str">
        <f>=ROUND(IFERROR(R167/S167,0),6)</f>
      </c>
      <c r="W167" s="165" t="s">
        <v>428</v>
      </c>
      <c r="X167" s="166" t="s">
        <v>158</v>
      </c>
      <c r="Y167" s="167"/>
      <c r="Z167" s="175" t="str">
        <f>=IFERROR(ROUND(Y167/$X$8,2),0)</f>
      </c>
      <c r="AA167" s="169" t="str">
        <f>=ROUND(IFERROR(Y167/Z167,0),6)</f>
      </c>
      <c r="AD167" s="165" t="s">
        <v>428</v>
      </c>
      <c r="AE167" s="166" t="s">
        <v>158</v>
      </c>
      <c r="AF167" s="167"/>
      <c r="AG167" s="175" t="str">
        <f>=IFERROR(ROUND(AF167/$AE$8,2),0)</f>
      </c>
      <c r="AH167" s="169" t="str">
        <f>=ROUND(IFERROR(AF167/AG167,0),6)</f>
      </c>
      <c r="AK167" s="165" t="s">
        <v>428</v>
      </c>
      <c r="AL167" s="166" t="s">
        <v>158</v>
      </c>
      <c r="AM167" s="167"/>
      <c r="AN167" s="175" t="str">
        <f>=IFERROR(ROUND(AM167/$AL$8,2),0)</f>
      </c>
      <c r="AO167" s="169" t="str">
        <f>=ROUND(IFERROR(AM167/AN167,0),6)</f>
      </c>
      <c r="AR167" s="165" t="s">
        <v>428</v>
      </c>
      <c r="AS167" s="166" t="s">
        <v>158</v>
      </c>
      <c r="AT167" s="167"/>
      <c r="AU167" s="175" t="str">
        <f>=IFERROR(ROUND(AT167/$AS$8,2),0)</f>
      </c>
      <c r="AV167" s="169" t="str">
        <f>=ROUND(IFERROR(AT167/AU167,0),6)</f>
      </c>
      <c r="AY167" s="165" t="s">
        <v>428</v>
      </c>
      <c r="AZ167" s="166" t="s">
        <v>158</v>
      </c>
      <c r="BA167" s="167"/>
      <c r="BB167" s="175" t="str">
        <f>=IFERROR(ROUND(BA167/$AZ$8,2),0)</f>
      </c>
      <c r="BC167" s="169" t="str">
        <f>=ROUND(IFERROR(BA167/BB167,0),6)</f>
      </c>
      <c r="BF167" s="165" t="s">
        <v>428</v>
      </c>
      <c r="BG167" s="166" t="s">
        <v>158</v>
      </c>
      <c r="BH167" s="167"/>
      <c r="BI167" s="175" t="str">
        <f>=IFERROR(ROUND(BH167/$BG$8,2),0)</f>
      </c>
      <c r="BJ167" s="169" t="str">
        <f>=ROUND(IFERROR(BH167/BI167,0),6)</f>
      </c>
      <c r="BM167" s="165" t="s">
        <v>428</v>
      </c>
      <c r="BN167" s="166" t="s">
        <v>158</v>
      </c>
      <c r="BO167" s="167"/>
      <c r="BP167" s="175" t="str">
        <f>=IFERROR(ROUND(BO167/$BN$8,2),0)</f>
      </c>
      <c r="BQ167" s="169" t="str">
        <f>=ROUND(IFERROR(BO167/BP167,0),6)</f>
      </c>
      <c r="BT167" s="165" t="s">
        <v>428</v>
      </c>
      <c r="BU167" s="166" t="s">
        <v>158</v>
      </c>
      <c r="BV167" s="167"/>
      <c r="BW167" s="175" t="str">
        <f>=IFERROR(ROUND(BV167/$BU$8,2),0)</f>
      </c>
      <c r="BX167" s="169" t="str">
        <f>=ROUND(IFERROR(BV167/BW167,0),6)</f>
      </c>
      <c r="CA167" s="165" t="s">
        <v>428</v>
      </c>
      <c r="CB167" s="166" t="s">
        <v>158</v>
      </c>
      <c r="CC167" s="167"/>
      <c r="CD167" s="175" t="str">
        <f>=IFERROR(ROUND(CC167/$CB$8,2),0)</f>
      </c>
      <c r="CE167" s="169" t="str">
        <f>=ROUND(IFERROR(CC167/CD167,0),6)</f>
      </c>
      <c r="CH167" s="165" t="s">
        <v>428</v>
      </c>
      <c r="CI167" s="166" t="s">
        <v>158</v>
      </c>
      <c r="CJ167" s="167"/>
      <c r="CK167" s="175" t="str">
        <f>=IFERROR(ROUND(CJ167/$CI$8,2),0)</f>
      </c>
      <c r="CL167" s="169" t="str">
        <f>=ROUND(IFERROR(CJ167/CK167,0),6)</f>
      </c>
      <c r="CO167" s="165" t="s">
        <v>428</v>
      </c>
      <c r="CP167" s="166" t="s">
        <v>158</v>
      </c>
      <c r="CQ167" s="167"/>
      <c r="CR167" s="175" t="str">
        <f>=IFERROR(ROUND(CQ167/$CP$8,2),0)</f>
      </c>
      <c r="CS167" s="169" t="str">
        <f>=ROUND(IFERROR(CQ167/CR167,0),6)</f>
      </c>
      <c r="CV167" s="165" t="s">
        <v>428</v>
      </c>
      <c r="CW167" s="166" t="s">
        <v>158</v>
      </c>
      <c r="CX167" s="167"/>
      <c r="CY167" s="175" t="str">
        <f>=IFERROR(ROUND(CX167/$CW$8,2),0)</f>
      </c>
      <c r="CZ167" s="169" t="str">
        <f>=ROUND(IFERROR(CX167/CY167,0),6)</f>
      </c>
      <c r="DC167" s="165" t="s">
        <v>428</v>
      </c>
      <c r="DD167" s="166" t="s">
        <v>158</v>
      </c>
      <c r="DE167" s="167"/>
      <c r="DF167" s="175" t="str">
        <f>=IFERROR(ROUND(DE167/$DD$8,2),0)</f>
      </c>
      <c r="DG167" s="169" t="str">
        <f>=ROUND(IFERROR(DE167/DF167,0),6)</f>
      </c>
      <c r="DJ167" s="165" t="s">
        <v>428</v>
      </c>
      <c r="DK167" s="166" t="s">
        <v>158</v>
      </c>
      <c r="DL167" s="167"/>
      <c r="DM167" s="175" t="str">
        <f>=IFERROR(ROUND(DL167/$DK$8,2),0)</f>
      </c>
      <c r="DN167" s="169" t="str">
        <f>=ROUND(IFERROR(DL167/DM167,0),6)</f>
      </c>
      <c r="DQ167" s="165" t="s">
        <v>428</v>
      </c>
      <c r="DR167" s="166" t="s">
        <v>158</v>
      </c>
      <c r="DS167" s="167"/>
      <c r="DT167" s="175" t="str">
        <f>=IFERROR(ROUND(DS167/$DR$8,2),0)</f>
      </c>
      <c r="DU167" s="169" t="str">
        <f>=ROUND(IFERROR(DS167/DT167,0),6)</f>
      </c>
    </row>
    <row r="168">
      <c r="B168" s="165" t="s">
        <v>158</v>
      </c>
      <c r="C168" s="166" t="s">
        <v>158</v>
      </c>
      <c r="D168" s="167"/>
      <c r="E168" s="175" t="str">
        <f>=IFERROR(ROUND(D168/$C$8,2),0)</f>
      </c>
      <c r="F168" s="169" t="str">
        <f>=ROUND(IFERROR(D168/E168,0),6)</f>
      </c>
      <c r="I168" s="165" t="s">
        <v>158</v>
      </c>
      <c r="J168" s="166" t="s">
        <v>158</v>
      </c>
      <c r="K168" s="167"/>
      <c r="L168" s="175" t="str">
        <f>=IFERROR(ROUND(K168/$J$8,2),0)</f>
      </c>
      <c r="M168" s="169" t="str">
        <f>=ROUND(IFERROR(K168/L168,0),6)</f>
      </c>
      <c r="P168" s="165" t="s">
        <v>158</v>
      </c>
      <c r="Q168" s="166" t="s">
        <v>158</v>
      </c>
      <c r="R168" s="167"/>
      <c r="S168" s="175" t="str">
        <f>=IFERROR(ROUND(R168/$Q$8,2),0)</f>
      </c>
      <c r="T168" s="169" t="str">
        <f>=ROUND(IFERROR(R168/S168,0),6)</f>
      </c>
      <c r="W168" s="165" t="s">
        <v>158</v>
      </c>
      <c r="X168" s="166" t="s">
        <v>158</v>
      </c>
      <c r="Y168" s="167"/>
      <c r="Z168" s="175" t="str">
        <f>=IFERROR(ROUND(Y168/$X$8,2),0)</f>
      </c>
      <c r="AA168" s="169" t="str">
        <f>=ROUND(IFERROR(Y168/Z168,0),6)</f>
      </c>
      <c r="AD168" s="165" t="s">
        <v>158</v>
      </c>
      <c r="AE168" s="166" t="s">
        <v>158</v>
      </c>
      <c r="AF168" s="167"/>
      <c r="AG168" s="175" t="str">
        <f>=IFERROR(ROUND(AF168/$AE$8,2),0)</f>
      </c>
      <c r="AH168" s="169" t="str">
        <f>=ROUND(IFERROR(AF168/AG168,0),6)</f>
      </c>
      <c r="AK168" s="165" t="s">
        <v>158</v>
      </c>
      <c r="AL168" s="166" t="s">
        <v>158</v>
      </c>
      <c r="AM168" s="167"/>
      <c r="AN168" s="175" t="str">
        <f>=IFERROR(ROUND(AM168/$AL$8,2),0)</f>
      </c>
      <c r="AO168" s="169" t="str">
        <f>=ROUND(IFERROR(AM168/AN168,0),6)</f>
      </c>
      <c r="AR168" s="165" t="s">
        <v>158</v>
      </c>
      <c r="AS168" s="166" t="s">
        <v>158</v>
      </c>
      <c r="AT168" s="167"/>
      <c r="AU168" s="175" t="str">
        <f>=IFERROR(ROUND(AT168/$AS$8,2),0)</f>
      </c>
      <c r="AV168" s="169" t="str">
        <f>=ROUND(IFERROR(AT168/AU168,0),6)</f>
      </c>
      <c r="AY168" s="165" t="s">
        <v>158</v>
      </c>
      <c r="AZ168" s="166" t="s">
        <v>158</v>
      </c>
      <c r="BA168" s="167"/>
      <c r="BB168" s="175" t="str">
        <f>=IFERROR(ROUND(BA168/$AZ$8,2),0)</f>
      </c>
      <c r="BC168" s="169" t="str">
        <f>=ROUND(IFERROR(BA168/BB168,0),6)</f>
      </c>
      <c r="BF168" s="165" t="s">
        <v>158</v>
      </c>
      <c r="BG168" s="166" t="s">
        <v>158</v>
      </c>
      <c r="BH168" s="167"/>
      <c r="BI168" s="175" t="str">
        <f>=IFERROR(ROUND(BH168/$BG$8,2),0)</f>
      </c>
      <c r="BJ168" s="169" t="str">
        <f>=ROUND(IFERROR(BH168/BI168,0),6)</f>
      </c>
      <c r="BM168" s="165" t="s">
        <v>158</v>
      </c>
      <c r="BN168" s="166" t="s">
        <v>158</v>
      </c>
      <c r="BO168" s="167"/>
      <c r="BP168" s="175" t="str">
        <f>=IFERROR(ROUND(BO168/$BN$8,2),0)</f>
      </c>
      <c r="BQ168" s="169" t="str">
        <f>=ROUND(IFERROR(BO168/BP168,0),6)</f>
      </c>
      <c r="BT168" s="165" t="s">
        <v>158</v>
      </c>
      <c r="BU168" s="166" t="s">
        <v>158</v>
      </c>
      <c r="BV168" s="167"/>
      <c r="BW168" s="175" t="str">
        <f>=IFERROR(ROUND(BV168/$BU$8,2),0)</f>
      </c>
      <c r="BX168" s="169" t="str">
        <f>=ROUND(IFERROR(BV168/BW168,0),6)</f>
      </c>
      <c r="CA168" s="165" t="s">
        <v>158</v>
      </c>
      <c r="CB168" s="166" t="s">
        <v>158</v>
      </c>
      <c r="CC168" s="167"/>
      <c r="CD168" s="175" t="str">
        <f>=IFERROR(ROUND(CC168/$CB$8,2),0)</f>
      </c>
      <c r="CE168" s="169" t="str">
        <f>=ROUND(IFERROR(CC168/CD168,0),6)</f>
      </c>
      <c r="CH168" s="165" t="s">
        <v>158</v>
      </c>
      <c r="CI168" s="166" t="s">
        <v>158</v>
      </c>
      <c r="CJ168" s="167"/>
      <c r="CK168" s="175" t="str">
        <f>=IFERROR(ROUND(CJ168/$CI$8,2),0)</f>
      </c>
      <c r="CL168" s="169" t="str">
        <f>=ROUND(IFERROR(CJ168/CK168,0),6)</f>
      </c>
      <c r="CO168" s="165" t="s">
        <v>158</v>
      </c>
      <c r="CP168" s="166" t="s">
        <v>158</v>
      </c>
      <c r="CQ168" s="167"/>
      <c r="CR168" s="175" t="str">
        <f>=IFERROR(ROUND(CQ168/$CP$8,2),0)</f>
      </c>
      <c r="CS168" s="169" t="str">
        <f>=ROUND(IFERROR(CQ168/CR168,0),6)</f>
      </c>
      <c r="CV168" s="165" t="s">
        <v>158</v>
      </c>
      <c r="CW168" s="166" t="s">
        <v>158</v>
      </c>
      <c r="CX168" s="167"/>
      <c r="CY168" s="175" t="str">
        <f>=IFERROR(ROUND(CX168/$CW$8,2),0)</f>
      </c>
      <c r="CZ168" s="169" t="str">
        <f>=ROUND(IFERROR(CX168/CY168,0),6)</f>
      </c>
      <c r="DC168" s="165" t="s">
        <v>158</v>
      </c>
      <c r="DD168" s="166" t="s">
        <v>158</v>
      </c>
      <c r="DE168" s="167"/>
      <c r="DF168" s="175" t="str">
        <f>=IFERROR(ROUND(DE168/$DD$8,2),0)</f>
      </c>
      <c r="DG168" s="169" t="str">
        <f>=ROUND(IFERROR(DE168/DF168,0),6)</f>
      </c>
      <c r="DJ168" s="165" t="s">
        <v>158</v>
      </c>
      <c r="DK168" s="166" t="s">
        <v>158</v>
      </c>
      <c r="DL168" s="167"/>
      <c r="DM168" s="175" t="str">
        <f>=IFERROR(ROUND(DL168/$DK$8,2),0)</f>
      </c>
      <c r="DN168" s="169" t="str">
        <f>=ROUND(IFERROR(DL168/DM168,0),6)</f>
      </c>
      <c r="DQ168" s="165" t="s">
        <v>158</v>
      </c>
      <c r="DR168" s="166" t="s">
        <v>158</v>
      </c>
      <c r="DS168" s="167"/>
      <c r="DT168" s="175" t="str">
        <f>=IFERROR(ROUND(DS168/$DR$8,2),0)</f>
      </c>
      <c r="DU168" s="169" t="str">
        <f>=ROUND(IFERROR(DS168/DT168,0),6)</f>
      </c>
    </row>
    <row r="169">
      <c r="B169" s="165" t="s">
        <v>158</v>
      </c>
      <c r="C169" s="166" t="s">
        <v>158</v>
      </c>
      <c r="D169" s="167"/>
      <c r="E169" s="175" t="str">
        <f>=IFERROR(ROUND(D169/$C$8,2),0)</f>
      </c>
      <c r="F169" s="169" t="str">
        <f>=ROUND(IFERROR(D169/E169,0),6)</f>
      </c>
      <c r="I169" s="165" t="s">
        <v>158</v>
      </c>
      <c r="J169" s="166" t="s">
        <v>158</v>
      </c>
      <c r="K169" s="167"/>
      <c r="L169" s="175" t="str">
        <f>=IFERROR(ROUND(K169/$J$8,2),0)</f>
      </c>
      <c r="M169" s="169" t="str">
        <f>=ROUND(IFERROR(K169/L169,0),6)</f>
      </c>
      <c r="P169" s="165" t="s">
        <v>158</v>
      </c>
      <c r="Q169" s="166" t="s">
        <v>158</v>
      </c>
      <c r="R169" s="167"/>
      <c r="S169" s="175" t="str">
        <f>=IFERROR(ROUND(R169/$Q$8,2),0)</f>
      </c>
      <c r="T169" s="169" t="str">
        <f>=ROUND(IFERROR(R169/S169,0),6)</f>
      </c>
      <c r="W169" s="165" t="s">
        <v>158</v>
      </c>
      <c r="X169" s="166" t="s">
        <v>158</v>
      </c>
      <c r="Y169" s="167"/>
      <c r="Z169" s="175" t="str">
        <f>=IFERROR(ROUND(Y169/$X$8,2),0)</f>
      </c>
      <c r="AA169" s="169" t="str">
        <f>=ROUND(IFERROR(Y169/Z169,0),6)</f>
      </c>
      <c r="AD169" s="165" t="s">
        <v>158</v>
      </c>
      <c r="AE169" s="166" t="s">
        <v>158</v>
      </c>
      <c r="AF169" s="167"/>
      <c r="AG169" s="175" t="str">
        <f>=IFERROR(ROUND(AF169/$AE$8,2),0)</f>
      </c>
      <c r="AH169" s="169" t="str">
        <f>=ROUND(IFERROR(AF169/AG169,0),6)</f>
      </c>
      <c r="AK169" s="165" t="s">
        <v>158</v>
      </c>
      <c r="AL169" s="166" t="s">
        <v>158</v>
      </c>
      <c r="AM169" s="167"/>
      <c r="AN169" s="175" t="str">
        <f>=IFERROR(ROUND(AM169/$AL$8,2),0)</f>
      </c>
      <c r="AO169" s="169" t="str">
        <f>=ROUND(IFERROR(AM169/AN169,0),6)</f>
      </c>
      <c r="AR169" s="165" t="s">
        <v>158</v>
      </c>
      <c r="AS169" s="166" t="s">
        <v>158</v>
      </c>
      <c r="AT169" s="167"/>
      <c r="AU169" s="175" t="str">
        <f>=IFERROR(ROUND(AT169/$AS$8,2),0)</f>
      </c>
      <c r="AV169" s="169" t="str">
        <f>=ROUND(IFERROR(AT169/AU169,0),6)</f>
      </c>
      <c r="AY169" s="165" t="s">
        <v>158</v>
      </c>
      <c r="AZ169" s="166" t="s">
        <v>158</v>
      </c>
      <c r="BA169" s="167"/>
      <c r="BB169" s="175" t="str">
        <f>=IFERROR(ROUND(BA169/$AZ$8,2),0)</f>
      </c>
      <c r="BC169" s="169" t="str">
        <f>=ROUND(IFERROR(BA169/BB169,0),6)</f>
      </c>
      <c r="BF169" s="165" t="s">
        <v>158</v>
      </c>
      <c r="BG169" s="166" t="s">
        <v>158</v>
      </c>
      <c r="BH169" s="167"/>
      <c r="BI169" s="175" t="str">
        <f>=IFERROR(ROUND(BH169/$BG$8,2),0)</f>
      </c>
      <c r="BJ169" s="169" t="str">
        <f>=ROUND(IFERROR(BH169/BI169,0),6)</f>
      </c>
      <c r="BM169" s="165" t="s">
        <v>158</v>
      </c>
      <c r="BN169" s="166" t="s">
        <v>158</v>
      </c>
      <c r="BO169" s="167"/>
      <c r="BP169" s="175" t="str">
        <f>=IFERROR(ROUND(BO169/$BN$8,2),0)</f>
      </c>
      <c r="BQ169" s="169" t="str">
        <f>=ROUND(IFERROR(BO169/BP169,0),6)</f>
      </c>
      <c r="BT169" s="165" t="s">
        <v>158</v>
      </c>
      <c r="BU169" s="166" t="s">
        <v>158</v>
      </c>
      <c r="BV169" s="167"/>
      <c r="BW169" s="175" t="str">
        <f>=IFERROR(ROUND(BV169/$BU$8,2),0)</f>
      </c>
      <c r="BX169" s="169" t="str">
        <f>=ROUND(IFERROR(BV169/BW169,0),6)</f>
      </c>
      <c r="CA169" s="165" t="s">
        <v>158</v>
      </c>
      <c r="CB169" s="166" t="s">
        <v>158</v>
      </c>
      <c r="CC169" s="167"/>
      <c r="CD169" s="175" t="str">
        <f>=IFERROR(ROUND(CC169/$CB$8,2),0)</f>
      </c>
      <c r="CE169" s="169" t="str">
        <f>=ROUND(IFERROR(CC169/CD169,0),6)</f>
      </c>
      <c r="CH169" s="165" t="s">
        <v>158</v>
      </c>
      <c r="CI169" s="166" t="s">
        <v>158</v>
      </c>
      <c r="CJ169" s="167"/>
      <c r="CK169" s="175" t="str">
        <f>=IFERROR(ROUND(CJ169/$CI$8,2),0)</f>
      </c>
      <c r="CL169" s="169" t="str">
        <f>=ROUND(IFERROR(CJ169/CK169,0),6)</f>
      </c>
      <c r="CO169" s="165" t="s">
        <v>158</v>
      </c>
      <c r="CP169" s="166" t="s">
        <v>158</v>
      </c>
      <c r="CQ169" s="167"/>
      <c r="CR169" s="175" t="str">
        <f>=IFERROR(ROUND(CQ169/$CP$8,2),0)</f>
      </c>
      <c r="CS169" s="169" t="str">
        <f>=ROUND(IFERROR(CQ169/CR169,0),6)</f>
      </c>
      <c r="CV169" s="165" t="s">
        <v>158</v>
      </c>
      <c r="CW169" s="166" t="s">
        <v>158</v>
      </c>
      <c r="CX169" s="167"/>
      <c r="CY169" s="175" t="str">
        <f>=IFERROR(ROUND(CX169/$CW$8,2),0)</f>
      </c>
      <c r="CZ169" s="169" t="str">
        <f>=ROUND(IFERROR(CX169/CY169,0),6)</f>
      </c>
      <c r="DC169" s="165" t="s">
        <v>158</v>
      </c>
      <c r="DD169" s="166" t="s">
        <v>158</v>
      </c>
      <c r="DE169" s="167"/>
      <c r="DF169" s="175" t="str">
        <f>=IFERROR(ROUND(DE169/$DD$8,2),0)</f>
      </c>
      <c r="DG169" s="169" t="str">
        <f>=ROUND(IFERROR(DE169/DF169,0),6)</f>
      </c>
      <c r="DJ169" s="165" t="s">
        <v>158</v>
      </c>
      <c r="DK169" s="166" t="s">
        <v>158</v>
      </c>
      <c r="DL169" s="167"/>
      <c r="DM169" s="175" t="str">
        <f>=IFERROR(ROUND(DL169/$DK$8,2),0)</f>
      </c>
      <c r="DN169" s="169" t="str">
        <f>=ROUND(IFERROR(DL169/DM169,0),6)</f>
      </c>
      <c r="DQ169" s="165" t="s">
        <v>158</v>
      </c>
      <c r="DR169" s="166" t="s">
        <v>158</v>
      </c>
      <c r="DS169" s="167"/>
      <c r="DT169" s="175" t="str">
        <f>=IFERROR(ROUND(DS169/$DR$8,2),0)</f>
      </c>
      <c r="DU169" s="169" t="str">
        <f>=ROUND(IFERROR(DS169/DT169,0),6)</f>
      </c>
    </row>
    <row r="170">
      <c r="B170" s="165" t="s">
        <v>158</v>
      </c>
      <c r="C170" s="166" t="s">
        <v>158</v>
      </c>
      <c r="D170" s="167"/>
      <c r="E170" s="175" t="str">
        <f>=IFERROR(ROUND(D170/$C$8,2),0)</f>
      </c>
      <c r="F170" s="169" t="str">
        <f>=ROUND(IFERROR(D170/E170,0),6)</f>
      </c>
      <c r="I170" s="165" t="s">
        <v>158</v>
      </c>
      <c r="J170" s="166" t="s">
        <v>158</v>
      </c>
      <c r="K170" s="167"/>
      <c r="L170" s="175" t="str">
        <f>=IFERROR(ROUND(K170/$J$8,2),0)</f>
      </c>
      <c r="M170" s="169" t="str">
        <f>=ROUND(IFERROR(K170/L170,0),6)</f>
      </c>
      <c r="P170" s="165" t="s">
        <v>158</v>
      </c>
      <c r="Q170" s="166" t="s">
        <v>158</v>
      </c>
      <c r="R170" s="167"/>
      <c r="S170" s="175" t="str">
        <f>=IFERROR(ROUND(R170/$Q$8,2),0)</f>
      </c>
      <c r="T170" s="169" t="str">
        <f>=ROUND(IFERROR(R170/S170,0),6)</f>
      </c>
      <c r="W170" s="165" t="s">
        <v>158</v>
      </c>
      <c r="X170" s="166" t="s">
        <v>158</v>
      </c>
      <c r="Y170" s="167"/>
      <c r="Z170" s="175" t="str">
        <f>=IFERROR(ROUND(Y170/$X$8,2),0)</f>
      </c>
      <c r="AA170" s="169" t="str">
        <f>=ROUND(IFERROR(Y170/Z170,0),6)</f>
      </c>
      <c r="AD170" s="165" t="s">
        <v>158</v>
      </c>
      <c r="AE170" s="166" t="s">
        <v>158</v>
      </c>
      <c r="AF170" s="167"/>
      <c r="AG170" s="175" t="str">
        <f>=IFERROR(ROUND(AF170/$AE$8,2),0)</f>
      </c>
      <c r="AH170" s="169" t="str">
        <f>=ROUND(IFERROR(AF170/AG170,0),6)</f>
      </c>
      <c r="AK170" s="165" t="s">
        <v>158</v>
      </c>
      <c r="AL170" s="166" t="s">
        <v>158</v>
      </c>
      <c r="AM170" s="167"/>
      <c r="AN170" s="175" t="str">
        <f>=IFERROR(ROUND(AM170/$AL$8,2),0)</f>
      </c>
      <c r="AO170" s="169" t="str">
        <f>=ROUND(IFERROR(AM170/AN170,0),6)</f>
      </c>
      <c r="AR170" s="165" t="s">
        <v>158</v>
      </c>
      <c r="AS170" s="166" t="s">
        <v>158</v>
      </c>
      <c r="AT170" s="167"/>
      <c r="AU170" s="175" t="str">
        <f>=IFERROR(ROUND(AT170/$AS$8,2),0)</f>
      </c>
      <c r="AV170" s="169" t="str">
        <f>=ROUND(IFERROR(AT170/AU170,0),6)</f>
      </c>
      <c r="AY170" s="165" t="s">
        <v>158</v>
      </c>
      <c r="AZ170" s="166" t="s">
        <v>158</v>
      </c>
      <c r="BA170" s="167"/>
      <c r="BB170" s="175" t="str">
        <f>=IFERROR(ROUND(BA170/$AZ$8,2),0)</f>
      </c>
      <c r="BC170" s="169" t="str">
        <f>=ROUND(IFERROR(BA170/BB170,0),6)</f>
      </c>
      <c r="BF170" s="165" t="s">
        <v>158</v>
      </c>
      <c r="BG170" s="166" t="s">
        <v>158</v>
      </c>
      <c r="BH170" s="167"/>
      <c r="BI170" s="175" t="str">
        <f>=IFERROR(ROUND(BH170/$BG$8,2),0)</f>
      </c>
      <c r="BJ170" s="169" t="str">
        <f>=ROUND(IFERROR(BH170/BI170,0),6)</f>
      </c>
      <c r="BM170" s="165" t="s">
        <v>158</v>
      </c>
      <c r="BN170" s="166" t="s">
        <v>158</v>
      </c>
      <c r="BO170" s="167"/>
      <c r="BP170" s="175" t="str">
        <f>=IFERROR(ROUND(BO170/$BN$8,2),0)</f>
      </c>
      <c r="BQ170" s="169" t="str">
        <f>=ROUND(IFERROR(BO170/BP170,0),6)</f>
      </c>
      <c r="BT170" s="165" t="s">
        <v>158</v>
      </c>
      <c r="BU170" s="166" t="s">
        <v>158</v>
      </c>
      <c r="BV170" s="167"/>
      <c r="BW170" s="175" t="str">
        <f>=IFERROR(ROUND(BV170/$BU$8,2),0)</f>
      </c>
      <c r="BX170" s="169" t="str">
        <f>=ROUND(IFERROR(BV170/BW170,0),6)</f>
      </c>
      <c r="CA170" s="165" t="s">
        <v>158</v>
      </c>
      <c r="CB170" s="166" t="s">
        <v>158</v>
      </c>
      <c r="CC170" s="167"/>
      <c r="CD170" s="175" t="str">
        <f>=IFERROR(ROUND(CC170/$CB$8,2),0)</f>
      </c>
      <c r="CE170" s="169" t="str">
        <f>=ROUND(IFERROR(CC170/CD170,0),6)</f>
      </c>
      <c r="CH170" s="165" t="s">
        <v>158</v>
      </c>
      <c r="CI170" s="166" t="s">
        <v>158</v>
      </c>
      <c r="CJ170" s="167"/>
      <c r="CK170" s="175" t="str">
        <f>=IFERROR(ROUND(CJ170/$CI$8,2),0)</f>
      </c>
      <c r="CL170" s="169" t="str">
        <f>=ROUND(IFERROR(CJ170/CK170,0),6)</f>
      </c>
      <c r="CO170" s="165" t="s">
        <v>158</v>
      </c>
      <c r="CP170" s="166" t="s">
        <v>158</v>
      </c>
      <c r="CQ170" s="167"/>
      <c r="CR170" s="175" t="str">
        <f>=IFERROR(ROUND(CQ170/$CP$8,2),0)</f>
      </c>
      <c r="CS170" s="169" t="str">
        <f>=ROUND(IFERROR(CQ170/CR170,0),6)</f>
      </c>
      <c r="CV170" s="165" t="s">
        <v>158</v>
      </c>
      <c r="CW170" s="166" t="s">
        <v>158</v>
      </c>
      <c r="CX170" s="167"/>
      <c r="CY170" s="175" t="str">
        <f>=IFERROR(ROUND(CX170/$CW$8,2),0)</f>
      </c>
      <c r="CZ170" s="169" t="str">
        <f>=ROUND(IFERROR(CX170/CY170,0),6)</f>
      </c>
      <c r="DC170" s="165" t="s">
        <v>158</v>
      </c>
      <c r="DD170" s="166" t="s">
        <v>158</v>
      </c>
      <c r="DE170" s="167"/>
      <c r="DF170" s="175" t="str">
        <f>=IFERROR(ROUND(DE170/$DD$8,2),0)</f>
      </c>
      <c r="DG170" s="169" t="str">
        <f>=ROUND(IFERROR(DE170/DF170,0),6)</f>
      </c>
      <c r="DJ170" s="165" t="s">
        <v>158</v>
      </c>
      <c r="DK170" s="166" t="s">
        <v>158</v>
      </c>
      <c r="DL170" s="167"/>
      <c r="DM170" s="175" t="str">
        <f>=IFERROR(ROUND(DL170/$DK$8,2),0)</f>
      </c>
      <c r="DN170" s="169" t="str">
        <f>=ROUND(IFERROR(DL170/DM170,0),6)</f>
      </c>
      <c r="DQ170" s="165" t="s">
        <v>158</v>
      </c>
      <c r="DR170" s="166" t="s">
        <v>158</v>
      </c>
      <c r="DS170" s="167"/>
      <c r="DT170" s="175" t="str">
        <f>=IFERROR(ROUND(DS170/$DR$8,2),0)</f>
      </c>
      <c r="DU170" s="169" t="str">
        <f>=ROUND(IFERROR(DS170/DT170,0),6)</f>
      </c>
    </row>
    <row r="171">
      <c r="B171" s="170" t="s">
        <v>449</v>
      </c>
      <c r="C171" s="171" t="s">
        <v>419</v>
      </c>
      <c r="D171" s="172" t="str">
        <f>=ROUND(SUBTOTAL(109,$D$165:$D$170),2)</f>
      </c>
      <c r="E171" s="173" t="str">
        <f>=ROUND(SUBTOTAL(109,$E$165:$E$170),2)</f>
      </c>
      <c r="F171" s="174" t="str">
        <f>=ROUND(IFERROR(D171/E171,0),6)</f>
      </c>
      <c r="I171" s="170" t="s">
        <v>449</v>
      </c>
      <c r="J171" s="171" t="s">
        <v>419</v>
      </c>
      <c r="K171" s="172" t="str">
        <f>=ROUND(SUBTOTAL(109,$K$165:$K$170),2)</f>
      </c>
      <c r="L171" s="173" t="str">
        <f>=ROUND(SUBTOTAL(109,$L$165:$L$170),2)</f>
      </c>
      <c r="M171" s="174" t="str">
        <f>=ROUND(IFERROR(K171/L171,0),6)</f>
      </c>
      <c r="P171" s="170" t="s">
        <v>449</v>
      </c>
      <c r="Q171" s="171" t="s">
        <v>419</v>
      </c>
      <c r="R171" s="172" t="str">
        <f>=ROUND(SUBTOTAL(109,$R$165:$R$170),2)</f>
      </c>
      <c r="S171" s="173" t="str">
        <f>=ROUND(SUBTOTAL(109,$S$165:$S$170),2)</f>
      </c>
      <c r="T171" s="174" t="str">
        <f>=ROUND(IFERROR(R171/S171,0),6)</f>
      </c>
      <c r="W171" s="170" t="s">
        <v>449</v>
      </c>
      <c r="X171" s="171" t="s">
        <v>419</v>
      </c>
      <c r="Y171" s="172" t="str">
        <f>=ROUND(SUBTOTAL(109,$Y$165:$Y$170),2)</f>
      </c>
      <c r="Z171" s="173" t="str">
        <f>=ROUND(SUBTOTAL(109,$Z$165:$Z$170),2)</f>
      </c>
      <c r="AA171" s="174" t="str">
        <f>=ROUND(IFERROR(Y171/Z171,0),6)</f>
      </c>
      <c r="AD171" s="170" t="s">
        <v>449</v>
      </c>
      <c r="AE171" s="171" t="s">
        <v>419</v>
      </c>
      <c r="AF171" s="172" t="str">
        <f>=ROUND(SUBTOTAL(109,$AF$165:$AF$170),2)</f>
      </c>
      <c r="AG171" s="173" t="str">
        <f>=ROUND(SUBTOTAL(109,$AG$165:$AG$170),2)</f>
      </c>
      <c r="AH171" s="174" t="str">
        <f>=ROUND(IFERROR(AF171/AG171,0),6)</f>
      </c>
      <c r="AK171" s="170" t="s">
        <v>449</v>
      </c>
      <c r="AL171" s="171" t="s">
        <v>419</v>
      </c>
      <c r="AM171" s="172" t="str">
        <f>=ROUND(SUBTOTAL(109,$AM$165:$AM$170),2)</f>
      </c>
      <c r="AN171" s="173" t="str">
        <f>=ROUND(SUBTOTAL(109,$AN$165:$AN$170),2)</f>
      </c>
      <c r="AO171" s="174" t="str">
        <f>=ROUND(IFERROR(AM171/AN171,0),6)</f>
      </c>
      <c r="AR171" s="170" t="s">
        <v>449</v>
      </c>
      <c r="AS171" s="171" t="s">
        <v>419</v>
      </c>
      <c r="AT171" s="172" t="str">
        <f>=ROUND(SUBTOTAL(109,$AT$165:$AT$170),2)</f>
      </c>
      <c r="AU171" s="173" t="str">
        <f>=ROUND(SUBTOTAL(109,$AU$165:$AU$170),2)</f>
      </c>
      <c r="AV171" s="174" t="str">
        <f>=ROUND(IFERROR(AT171/AU171,0),6)</f>
      </c>
      <c r="AY171" s="170" t="s">
        <v>449</v>
      </c>
      <c r="AZ171" s="171" t="s">
        <v>419</v>
      </c>
      <c r="BA171" s="172" t="str">
        <f>=ROUND(SUBTOTAL(109,$BA$165:$BA$170),2)</f>
      </c>
      <c r="BB171" s="173" t="str">
        <f>=ROUND(SUBTOTAL(109,$BB$165:$BB$170),2)</f>
      </c>
      <c r="BC171" s="174" t="str">
        <f>=ROUND(IFERROR(BA171/BB171,0),6)</f>
      </c>
      <c r="BF171" s="170" t="s">
        <v>449</v>
      </c>
      <c r="BG171" s="171" t="s">
        <v>419</v>
      </c>
      <c r="BH171" s="172" t="str">
        <f>=ROUND(SUBTOTAL(109,$BH$165:$BH$170),2)</f>
      </c>
      <c r="BI171" s="173" t="str">
        <f>=ROUND(SUBTOTAL(109,$BI$165:$BI$170),2)</f>
      </c>
      <c r="BJ171" s="174" t="str">
        <f>=ROUND(IFERROR(BH171/BI171,0),6)</f>
      </c>
      <c r="BM171" s="170" t="s">
        <v>449</v>
      </c>
      <c r="BN171" s="171" t="s">
        <v>419</v>
      </c>
      <c r="BO171" s="172" t="str">
        <f>=ROUND(SUBTOTAL(109,$BO$165:$BO$170),2)</f>
      </c>
      <c r="BP171" s="173" t="str">
        <f>=ROUND(SUBTOTAL(109,$BP$165:$BP$170),2)</f>
      </c>
      <c r="BQ171" s="174" t="str">
        <f>=ROUND(IFERROR(BO171/BP171,0),6)</f>
      </c>
      <c r="BT171" s="170" t="s">
        <v>449</v>
      </c>
      <c r="BU171" s="171" t="s">
        <v>419</v>
      </c>
      <c r="BV171" s="172" t="str">
        <f>=ROUND(SUBTOTAL(109,$BV$165:$BV$170),2)</f>
      </c>
      <c r="BW171" s="173" t="str">
        <f>=ROUND(SUBTOTAL(109,$BW$165:$BW$170),2)</f>
      </c>
      <c r="BX171" s="174" t="str">
        <f>=ROUND(IFERROR(BV171/BW171,0),6)</f>
      </c>
      <c r="CA171" s="170" t="s">
        <v>449</v>
      </c>
      <c r="CB171" s="171" t="s">
        <v>419</v>
      </c>
      <c r="CC171" s="172" t="str">
        <f>=ROUND(SUBTOTAL(109,$CC$165:$CC$170),2)</f>
      </c>
      <c r="CD171" s="173" t="str">
        <f>=ROUND(SUBTOTAL(109,$CD$165:$CD$170),2)</f>
      </c>
      <c r="CE171" s="174" t="str">
        <f>=ROUND(IFERROR(CC171/CD171,0),6)</f>
      </c>
      <c r="CH171" s="170" t="s">
        <v>449</v>
      </c>
      <c r="CI171" s="171" t="s">
        <v>419</v>
      </c>
      <c r="CJ171" s="172" t="str">
        <f>=ROUND(SUBTOTAL(109,$CJ$165:$CJ$170),2)</f>
      </c>
      <c r="CK171" s="173" t="str">
        <f>=ROUND(SUBTOTAL(109,$CK$165:$CK$170),2)</f>
      </c>
      <c r="CL171" s="174" t="str">
        <f>=ROUND(IFERROR(CJ171/CK171,0),6)</f>
      </c>
      <c r="CO171" s="170" t="s">
        <v>449</v>
      </c>
      <c r="CP171" s="171" t="s">
        <v>419</v>
      </c>
      <c r="CQ171" s="172" t="str">
        <f>=ROUND(SUBTOTAL(109,$CQ$165:$CQ$170),2)</f>
      </c>
      <c r="CR171" s="173" t="str">
        <f>=ROUND(SUBTOTAL(109,$CR$165:$CR$170),2)</f>
      </c>
      <c r="CS171" s="174" t="str">
        <f>=ROUND(IFERROR(CQ171/CR171,0),6)</f>
      </c>
      <c r="CV171" s="170" t="s">
        <v>449</v>
      </c>
      <c r="CW171" s="171" t="s">
        <v>419</v>
      </c>
      <c r="CX171" s="172" t="str">
        <f>=ROUND(SUBTOTAL(109,$CX$165:$CX$170),2)</f>
      </c>
      <c r="CY171" s="173" t="str">
        <f>=ROUND(SUBTOTAL(109,$CY$165:$CY$170),2)</f>
      </c>
      <c r="CZ171" s="174" t="str">
        <f>=ROUND(IFERROR(CX171/CY171,0),6)</f>
      </c>
      <c r="DC171" s="170" t="s">
        <v>449</v>
      </c>
      <c r="DD171" s="171" t="s">
        <v>419</v>
      </c>
      <c r="DE171" s="172" t="str">
        <f>=ROUND(SUBTOTAL(109,$DE$165:$DE$170),2)</f>
      </c>
      <c r="DF171" s="173" t="str">
        <f>=ROUND(SUBTOTAL(109,$DF$165:$DF$170),2)</f>
      </c>
      <c r="DG171" s="174" t="str">
        <f>=ROUND(IFERROR(DE171/DF171,0),6)</f>
      </c>
      <c r="DJ171" s="170" t="s">
        <v>449</v>
      </c>
      <c r="DK171" s="171" t="s">
        <v>419</v>
      </c>
      <c r="DL171" s="172" t="str">
        <f>=ROUND(SUBTOTAL(109,$DL$165:$DL$170),2)</f>
      </c>
      <c r="DM171" s="173" t="str">
        <f>=ROUND(SUBTOTAL(109,$DM$165:$DM$170),2)</f>
      </c>
      <c r="DN171" s="174" t="str">
        <f>=ROUND(IFERROR(DL171/DM171,0),6)</f>
      </c>
      <c r="DQ171" s="170" t="s">
        <v>449</v>
      </c>
      <c r="DR171" s="171" t="s">
        <v>419</v>
      </c>
      <c r="DS171" s="172" t="str">
        <f>=ROUND(SUBTOTAL(109,$DS$165:$DS$170),2)</f>
      </c>
      <c r="DT171" s="173" t="str">
        <f>=ROUND(SUBTOTAL(109,$DT$165:$DT$170),2)</f>
      </c>
      <c r="DU171" s="174" t="str">
        <f>=ROUND(IFERROR(DS171/DT171,0),6)</f>
      </c>
    </row>
  </sheetData>
  <mergeCells count="288">
    <mergeCell ref="B4:B4"/>
    <mergeCell ref="C4:D4"/>
    <mergeCell ref="B5:B5"/>
    <mergeCell ref="C5:D5"/>
    <mergeCell ref="B6:B6"/>
    <mergeCell ref="C6:D6"/>
    <mergeCell ref="B7:B7"/>
    <mergeCell ref="C7:D7"/>
    <mergeCell ref="B8:B8"/>
    <mergeCell ref="C8:D8"/>
    <mergeCell ref="B9:F9"/>
    <mergeCell ref="B17:F17"/>
    <mergeCell ref="B144:B144"/>
    <mergeCell ref="B146:B146"/>
    <mergeCell ref="B154:B154"/>
    <mergeCell ref="B163:B163"/>
    <mergeCell ref="I4:I4"/>
    <mergeCell ref="J4:K4"/>
    <mergeCell ref="I5:I5"/>
    <mergeCell ref="J5:K5"/>
    <mergeCell ref="I6:I6"/>
    <mergeCell ref="J6:K6"/>
    <mergeCell ref="I7:I7"/>
    <mergeCell ref="J7:K7"/>
    <mergeCell ref="I8:I8"/>
    <mergeCell ref="J8:K8"/>
    <mergeCell ref="I9:M9"/>
    <mergeCell ref="I17:M17"/>
    <mergeCell ref="I144:I144"/>
    <mergeCell ref="I146:I146"/>
    <mergeCell ref="I154:I154"/>
    <mergeCell ref="I163:I163"/>
    <mergeCell ref="P4:P4"/>
    <mergeCell ref="Q4:R4"/>
    <mergeCell ref="P5:P5"/>
    <mergeCell ref="Q5:R5"/>
    <mergeCell ref="P6:P6"/>
    <mergeCell ref="Q6:R6"/>
    <mergeCell ref="P7:P7"/>
    <mergeCell ref="Q7:R7"/>
    <mergeCell ref="P8:P8"/>
    <mergeCell ref="Q8:R8"/>
    <mergeCell ref="P9:T9"/>
    <mergeCell ref="P17:T17"/>
    <mergeCell ref="P144:P144"/>
    <mergeCell ref="P146:P146"/>
    <mergeCell ref="P154:P154"/>
    <mergeCell ref="P163:P163"/>
    <mergeCell ref="W4:W4"/>
    <mergeCell ref="X4:Y4"/>
    <mergeCell ref="W5:W5"/>
    <mergeCell ref="X5:Y5"/>
    <mergeCell ref="W6:W6"/>
    <mergeCell ref="X6:Y6"/>
    <mergeCell ref="W7:W7"/>
    <mergeCell ref="X7:Y7"/>
    <mergeCell ref="W8:W8"/>
    <mergeCell ref="X8:Y8"/>
    <mergeCell ref="W9:AA9"/>
    <mergeCell ref="W17:AA17"/>
    <mergeCell ref="W144:W144"/>
    <mergeCell ref="W146:W146"/>
    <mergeCell ref="W154:W154"/>
    <mergeCell ref="W163:W163"/>
    <mergeCell ref="AD4:AD4"/>
    <mergeCell ref="AE4:AF4"/>
    <mergeCell ref="AD5:AD5"/>
    <mergeCell ref="AE5:AF5"/>
    <mergeCell ref="AD6:AD6"/>
    <mergeCell ref="AE6:AF6"/>
    <mergeCell ref="AD7:AD7"/>
    <mergeCell ref="AE7:AF7"/>
    <mergeCell ref="AD8:AD8"/>
    <mergeCell ref="AE8:AF8"/>
    <mergeCell ref="AD9:AH9"/>
    <mergeCell ref="AD17:AH17"/>
    <mergeCell ref="AD144:AD144"/>
    <mergeCell ref="AD146:AD146"/>
    <mergeCell ref="AD154:AD154"/>
    <mergeCell ref="AD163:AD163"/>
    <mergeCell ref="AK4:AK4"/>
    <mergeCell ref="AL4:AM4"/>
    <mergeCell ref="AK5:AK5"/>
    <mergeCell ref="AL5:AM5"/>
    <mergeCell ref="AK6:AK6"/>
    <mergeCell ref="AL6:AM6"/>
    <mergeCell ref="AK7:AK7"/>
    <mergeCell ref="AL7:AM7"/>
    <mergeCell ref="AK8:AK8"/>
    <mergeCell ref="AL8:AM8"/>
    <mergeCell ref="AK9:AO9"/>
    <mergeCell ref="AK17:AO17"/>
    <mergeCell ref="AK144:AK144"/>
    <mergeCell ref="AK146:AK146"/>
    <mergeCell ref="AK154:AK154"/>
    <mergeCell ref="AK163:AK163"/>
    <mergeCell ref="AR4:AR4"/>
    <mergeCell ref="AS4:AT4"/>
    <mergeCell ref="AR5:AR5"/>
    <mergeCell ref="AS5:AT5"/>
    <mergeCell ref="AR6:AR6"/>
    <mergeCell ref="AS6:AT6"/>
    <mergeCell ref="AR7:AR7"/>
    <mergeCell ref="AS7:AT7"/>
    <mergeCell ref="AR8:AR8"/>
    <mergeCell ref="AS8:AT8"/>
    <mergeCell ref="AR9:AV9"/>
    <mergeCell ref="AR17:AV17"/>
    <mergeCell ref="AR144:AR144"/>
    <mergeCell ref="AR146:AR146"/>
    <mergeCell ref="AR154:AR154"/>
    <mergeCell ref="AR163:AR163"/>
    <mergeCell ref="AY4:AY4"/>
    <mergeCell ref="AZ4:BA4"/>
    <mergeCell ref="AY5:AY5"/>
    <mergeCell ref="AZ5:BA5"/>
    <mergeCell ref="AY6:AY6"/>
    <mergeCell ref="AZ6:BA6"/>
    <mergeCell ref="AY7:AY7"/>
    <mergeCell ref="AZ7:BA7"/>
    <mergeCell ref="AY8:AY8"/>
    <mergeCell ref="AZ8:BA8"/>
    <mergeCell ref="AY9:BC9"/>
    <mergeCell ref="AY17:BC17"/>
    <mergeCell ref="AY144:AY144"/>
    <mergeCell ref="AY146:AY146"/>
    <mergeCell ref="AY154:AY154"/>
    <mergeCell ref="AY163:AY163"/>
    <mergeCell ref="BF4:BF4"/>
    <mergeCell ref="BG4:BH4"/>
    <mergeCell ref="BF5:BF5"/>
    <mergeCell ref="BG5:BH5"/>
    <mergeCell ref="BF6:BF6"/>
    <mergeCell ref="BG6:BH6"/>
    <mergeCell ref="BF7:BF7"/>
    <mergeCell ref="BG7:BH7"/>
    <mergeCell ref="BF8:BF8"/>
    <mergeCell ref="BG8:BH8"/>
    <mergeCell ref="BF9:BJ9"/>
    <mergeCell ref="BF17:BJ17"/>
    <mergeCell ref="BF144:BF144"/>
    <mergeCell ref="BF146:BF146"/>
    <mergeCell ref="BF154:BF154"/>
    <mergeCell ref="BF163:BF163"/>
    <mergeCell ref="BM4:BM4"/>
    <mergeCell ref="BN4:BO4"/>
    <mergeCell ref="BM5:BM5"/>
    <mergeCell ref="BN5:BO5"/>
    <mergeCell ref="BM6:BM6"/>
    <mergeCell ref="BN6:BO6"/>
    <mergeCell ref="BM7:BM7"/>
    <mergeCell ref="BN7:BO7"/>
    <mergeCell ref="BM8:BM8"/>
    <mergeCell ref="BN8:BO8"/>
    <mergeCell ref="BM9:BQ9"/>
    <mergeCell ref="BM17:BQ17"/>
    <mergeCell ref="BM144:BM144"/>
    <mergeCell ref="BM146:BM146"/>
    <mergeCell ref="BM154:BM154"/>
    <mergeCell ref="BM163:BM163"/>
    <mergeCell ref="BT4:BT4"/>
    <mergeCell ref="BU4:BV4"/>
    <mergeCell ref="BT5:BT5"/>
    <mergeCell ref="BU5:BV5"/>
    <mergeCell ref="BT6:BT6"/>
    <mergeCell ref="BU6:BV6"/>
    <mergeCell ref="BT7:BT7"/>
    <mergeCell ref="BU7:BV7"/>
    <mergeCell ref="BT8:BT8"/>
    <mergeCell ref="BU8:BV8"/>
    <mergeCell ref="BT9:BX9"/>
    <mergeCell ref="BT17:BX17"/>
    <mergeCell ref="BT144:BT144"/>
    <mergeCell ref="BT146:BT146"/>
    <mergeCell ref="BT154:BT154"/>
    <mergeCell ref="BT163:BT163"/>
    <mergeCell ref="CA4:CA4"/>
    <mergeCell ref="CB4:CC4"/>
    <mergeCell ref="CA5:CA5"/>
    <mergeCell ref="CB5:CC5"/>
    <mergeCell ref="CA6:CA6"/>
    <mergeCell ref="CB6:CC6"/>
    <mergeCell ref="CA7:CA7"/>
    <mergeCell ref="CB7:CC7"/>
    <mergeCell ref="CA8:CA8"/>
    <mergeCell ref="CB8:CC8"/>
    <mergeCell ref="CA9:CE9"/>
    <mergeCell ref="CA17:CE17"/>
    <mergeCell ref="CA144:CA144"/>
    <mergeCell ref="CA146:CA146"/>
    <mergeCell ref="CA154:CA154"/>
    <mergeCell ref="CA163:CA163"/>
    <mergeCell ref="CH4:CH4"/>
    <mergeCell ref="CI4:CJ4"/>
    <mergeCell ref="CH5:CH5"/>
    <mergeCell ref="CI5:CJ5"/>
    <mergeCell ref="CH6:CH6"/>
    <mergeCell ref="CI6:CJ6"/>
    <mergeCell ref="CH7:CH7"/>
    <mergeCell ref="CI7:CJ7"/>
    <mergeCell ref="CH8:CH8"/>
    <mergeCell ref="CI8:CJ8"/>
    <mergeCell ref="CH9:CL9"/>
    <mergeCell ref="CH17:CL17"/>
    <mergeCell ref="CH144:CH144"/>
    <mergeCell ref="CH146:CH146"/>
    <mergeCell ref="CH154:CH154"/>
    <mergeCell ref="CH163:CH163"/>
    <mergeCell ref="CO4:CO4"/>
    <mergeCell ref="CP4:CQ4"/>
    <mergeCell ref="CO5:CO5"/>
    <mergeCell ref="CP5:CQ5"/>
    <mergeCell ref="CO6:CO6"/>
    <mergeCell ref="CP6:CQ6"/>
    <mergeCell ref="CO7:CO7"/>
    <mergeCell ref="CP7:CQ7"/>
    <mergeCell ref="CO8:CO8"/>
    <mergeCell ref="CP8:CQ8"/>
    <mergeCell ref="CO9:CS9"/>
    <mergeCell ref="CO17:CS17"/>
    <mergeCell ref="CO144:CO144"/>
    <mergeCell ref="CO146:CO146"/>
    <mergeCell ref="CO154:CO154"/>
    <mergeCell ref="CO163:CO163"/>
    <mergeCell ref="CV4:CV4"/>
    <mergeCell ref="CW4:CX4"/>
    <mergeCell ref="CV5:CV5"/>
    <mergeCell ref="CW5:CX5"/>
    <mergeCell ref="CV6:CV6"/>
    <mergeCell ref="CW6:CX6"/>
    <mergeCell ref="CV7:CV7"/>
    <mergeCell ref="CW7:CX7"/>
    <mergeCell ref="CV8:CV8"/>
    <mergeCell ref="CW8:CX8"/>
    <mergeCell ref="CV9:CZ9"/>
    <mergeCell ref="CV17:CZ17"/>
    <mergeCell ref="CV144:CV144"/>
    <mergeCell ref="CV146:CV146"/>
    <mergeCell ref="CV154:CV154"/>
    <mergeCell ref="CV163:CV163"/>
    <mergeCell ref="DC4:DC4"/>
    <mergeCell ref="DD4:DE4"/>
    <mergeCell ref="DC5:DC5"/>
    <mergeCell ref="DD5:DE5"/>
    <mergeCell ref="DC6:DC6"/>
    <mergeCell ref="DD6:DE6"/>
    <mergeCell ref="DC7:DC7"/>
    <mergeCell ref="DD7:DE7"/>
    <mergeCell ref="DC8:DC8"/>
    <mergeCell ref="DD8:DE8"/>
    <mergeCell ref="DC9:DG9"/>
    <mergeCell ref="DC17:DG17"/>
    <mergeCell ref="DC144:DC144"/>
    <mergeCell ref="DC146:DC146"/>
    <mergeCell ref="DC154:DC154"/>
    <mergeCell ref="DC163:DC163"/>
    <mergeCell ref="DJ4:DJ4"/>
    <mergeCell ref="DK4:DL4"/>
    <mergeCell ref="DJ5:DJ5"/>
    <mergeCell ref="DK5:DL5"/>
    <mergeCell ref="DJ6:DJ6"/>
    <mergeCell ref="DK6:DL6"/>
    <mergeCell ref="DJ7:DJ7"/>
    <mergeCell ref="DK7:DL7"/>
    <mergeCell ref="DJ8:DJ8"/>
    <mergeCell ref="DK8:DL8"/>
    <mergeCell ref="DJ9:DN9"/>
    <mergeCell ref="DJ17:DN17"/>
    <mergeCell ref="DJ144:DJ144"/>
    <mergeCell ref="DJ146:DJ146"/>
    <mergeCell ref="DJ154:DJ154"/>
    <mergeCell ref="DJ163:DJ163"/>
    <mergeCell ref="DQ4:DQ4"/>
    <mergeCell ref="DR4:DS4"/>
    <mergeCell ref="DQ5:DQ5"/>
    <mergeCell ref="DR5:DS5"/>
    <mergeCell ref="DQ6:DQ6"/>
    <mergeCell ref="DR6:DS6"/>
    <mergeCell ref="DQ7:DQ7"/>
    <mergeCell ref="DR7:DS7"/>
    <mergeCell ref="DQ8:DQ8"/>
    <mergeCell ref="DR8:DS8"/>
    <mergeCell ref="DQ9:DU9"/>
    <mergeCell ref="DQ17:DU17"/>
    <mergeCell ref="DQ144:DQ144"/>
    <mergeCell ref="DQ146:DQ146"/>
    <mergeCell ref="DQ154:DQ154"/>
    <mergeCell ref="DQ163:DQ163"/>
  </mergeCells>
  <dataValidations count="72">
    <dataValidation allowBlank="true" sqref="B156:B160" type="list">
      <formula1>"Saldo des Vorprojekts,Eigenmittel,Drittmittel,KMW-Mittel,Zinsertraege"</formula1>
    </dataValidation>
    <dataValidation allowBlank="true" sqref="C156:C160" type="list">
      <formula1>=Geber_Liste</formula1>
    </dataValidation>
    <dataValidation allowBlank="true" sqref="B165:B170" type="list">
      <formula1>"Saldo des Vorprojekts,Eigenmittel,Drittmittel,KMW-Mittel,Zinsertraege"</formula1>
    </dataValidation>
    <dataValidation allowBlank="true" sqref="C165:C170" type="list">
      <formula1>=Geber_Liste</formula1>
    </dataValidation>
    <dataValidation allowBlank="true" sqref="I156:I160" type="list">
      <formula1>"Saldo der Vorperiode,Eigenmittel,Drittmittel,KMW-Mittel,Zinsertraege"</formula1>
    </dataValidation>
    <dataValidation allowBlank="true" sqref="J156:J160" type="list">
      <formula1>=Geber_Liste</formula1>
    </dataValidation>
    <dataValidation allowBlank="true" sqref="I165:I170" type="list">
      <formula1>"Saldo der Vorperiode,Eigenmittel,Drittmittel,KMW-Mittel,Zinsertraege"</formula1>
    </dataValidation>
    <dataValidation allowBlank="true" sqref="J165:J170" type="list">
      <formula1>=Geber_Liste</formula1>
    </dataValidation>
    <dataValidation allowBlank="true" sqref="P156:P160" type="list">
      <formula1>"Saldo der Vorperiode,Eigenmittel,Drittmittel,KMW-Mittel,Zinsertraege"</formula1>
    </dataValidation>
    <dataValidation allowBlank="true" sqref="Q156:Q160" type="list">
      <formula1>=Geber_Liste</formula1>
    </dataValidation>
    <dataValidation allowBlank="true" sqref="P165:P170" type="list">
      <formula1>"Saldo der Vorperiode,Eigenmittel,Drittmittel,KMW-Mittel,Zinsertraege"</formula1>
    </dataValidation>
    <dataValidation allowBlank="true" sqref="Q165:Q170" type="list">
      <formula1>=Geber_Liste</formula1>
    </dataValidation>
    <dataValidation allowBlank="true" sqref="W156:W160" type="list">
      <formula1>"Saldo der Vorperiode,Eigenmittel,Drittmittel,KMW-Mittel,Zinsertraege"</formula1>
    </dataValidation>
    <dataValidation allowBlank="true" sqref="X156:X160" type="list">
      <formula1>=Geber_Liste</formula1>
    </dataValidation>
    <dataValidation allowBlank="true" sqref="W165:W170" type="list">
      <formula1>"Saldo der Vorperiode,Eigenmittel,Drittmittel,KMW-Mittel,Zinsertraege"</formula1>
    </dataValidation>
    <dataValidation allowBlank="true" sqref="X165:X170" type="list">
      <formula1>=Geber_Liste</formula1>
    </dataValidation>
    <dataValidation allowBlank="true" sqref="AD156:AD160" type="list">
      <formula1>"Saldo der Vorperiode,Eigenmittel,Drittmittel,KMW-Mittel,Zinsertraege"</formula1>
    </dataValidation>
    <dataValidation allowBlank="true" sqref="AE156:AE160" type="list">
      <formula1>=Geber_Liste</formula1>
    </dataValidation>
    <dataValidation allowBlank="true" sqref="AD165:AD170" type="list">
      <formula1>"Saldo der Vorperiode,Eigenmittel,Drittmittel,KMW-Mittel,Zinsertraege"</formula1>
    </dataValidation>
    <dataValidation allowBlank="true" sqref="AE165:AE170" type="list">
      <formula1>=Geber_Liste</formula1>
    </dataValidation>
    <dataValidation allowBlank="true" sqref="AK156:AK160" type="list">
      <formula1>"Saldo der Vorperiode,Eigenmittel,Drittmittel,KMW-Mittel,Zinsertraege"</formula1>
    </dataValidation>
    <dataValidation allowBlank="true" sqref="AL156:AL160" type="list">
      <formula1>=Geber_Liste</formula1>
    </dataValidation>
    <dataValidation allowBlank="true" sqref="AK165:AK170" type="list">
      <formula1>"Saldo der Vorperiode,Eigenmittel,Drittmittel,KMW-Mittel,Zinsertraege"</formula1>
    </dataValidation>
    <dataValidation allowBlank="true" sqref="AL165:AL170" type="list">
      <formula1>=Geber_Liste</formula1>
    </dataValidation>
    <dataValidation allowBlank="true" sqref="AR156:AR160" type="list">
      <formula1>"Saldo der Vorperiode,Eigenmittel,Drittmittel,KMW-Mittel,Zinsertraege"</formula1>
    </dataValidation>
    <dataValidation allowBlank="true" sqref="AS156:AS160" type="list">
      <formula1>=Geber_Liste</formula1>
    </dataValidation>
    <dataValidation allowBlank="true" sqref="AR165:AR170" type="list">
      <formula1>"Saldo der Vorperiode,Eigenmittel,Drittmittel,KMW-Mittel,Zinsertraege"</formula1>
    </dataValidation>
    <dataValidation allowBlank="true" sqref="AS165:AS170" type="list">
      <formula1>=Geber_Liste</formula1>
    </dataValidation>
    <dataValidation allowBlank="true" sqref="AY156:AY160" type="list">
      <formula1>"Saldo der Vorperiode,Eigenmittel,Drittmittel,KMW-Mittel,Zinsertraege"</formula1>
    </dataValidation>
    <dataValidation allowBlank="true" sqref="AZ156:AZ160" type="list">
      <formula1>=Geber_Liste</formula1>
    </dataValidation>
    <dataValidation allowBlank="true" sqref="AY165:AY170" type="list">
      <formula1>"Saldo der Vorperiode,Eigenmittel,Drittmittel,KMW-Mittel,Zinsertraege"</formula1>
    </dataValidation>
    <dataValidation allowBlank="true" sqref="AZ165:AZ170" type="list">
      <formula1>=Geber_Liste</formula1>
    </dataValidation>
    <dataValidation allowBlank="true" sqref="BF156:BF160" type="list">
      <formula1>"Saldo der Vorperiode,Eigenmittel,Drittmittel,KMW-Mittel,Zinsertraege"</formula1>
    </dataValidation>
    <dataValidation allowBlank="true" sqref="BG156:BG160" type="list">
      <formula1>=Geber_Liste</formula1>
    </dataValidation>
    <dataValidation allowBlank="true" sqref="BF165:BF170" type="list">
      <formula1>"Saldo der Vorperiode,Eigenmittel,Drittmittel,KMW-Mittel,Zinsertraege"</formula1>
    </dataValidation>
    <dataValidation allowBlank="true" sqref="BG165:BG170" type="list">
      <formula1>=Geber_Liste</formula1>
    </dataValidation>
    <dataValidation allowBlank="true" sqref="BM156:BM160" type="list">
      <formula1>"Saldo der Vorperiode,Eigenmittel,Drittmittel,KMW-Mittel,Zinsertraege"</formula1>
    </dataValidation>
    <dataValidation allowBlank="true" sqref="BN156:BN160" type="list">
      <formula1>=Geber_Liste</formula1>
    </dataValidation>
    <dataValidation allowBlank="true" sqref="BM165:BM170" type="list">
      <formula1>"Saldo der Vorperiode,Eigenmittel,Drittmittel,KMW-Mittel,Zinsertraege"</formula1>
    </dataValidation>
    <dataValidation allowBlank="true" sqref="BN165:BN170" type="list">
      <formula1>=Geber_Liste</formula1>
    </dataValidation>
    <dataValidation allowBlank="true" sqref="BT156:BT160" type="list">
      <formula1>"Saldo der Vorperiode,Eigenmittel,Drittmittel,KMW-Mittel,Zinsertraege"</formula1>
    </dataValidation>
    <dataValidation allowBlank="true" sqref="BU156:BU160" type="list">
      <formula1>=Geber_Liste</formula1>
    </dataValidation>
    <dataValidation allowBlank="true" sqref="BT165:BT170" type="list">
      <formula1>"Saldo der Vorperiode,Eigenmittel,Drittmittel,KMW-Mittel,Zinsertraege"</formula1>
    </dataValidation>
    <dataValidation allowBlank="true" sqref="BU165:BU170" type="list">
      <formula1>=Geber_Liste</formula1>
    </dataValidation>
    <dataValidation allowBlank="true" sqref="CA156:CA160" type="list">
      <formula1>"Saldo der Vorperiode,Eigenmittel,Drittmittel,KMW-Mittel,Zinsertraege"</formula1>
    </dataValidation>
    <dataValidation allowBlank="true" sqref="CB156:CB160" type="list">
      <formula1>=Geber_Liste</formula1>
    </dataValidation>
    <dataValidation allowBlank="true" sqref="CA165:CA170" type="list">
      <formula1>"Saldo der Vorperiode,Eigenmittel,Drittmittel,KMW-Mittel,Zinsertraege"</formula1>
    </dataValidation>
    <dataValidation allowBlank="true" sqref="CB165:CB170" type="list">
      <formula1>=Geber_Liste</formula1>
    </dataValidation>
    <dataValidation allowBlank="true" sqref="CH156:CH160" type="list">
      <formula1>"Saldo der Vorperiode,Eigenmittel,Drittmittel,KMW-Mittel,Zinsertraege"</formula1>
    </dataValidation>
    <dataValidation allowBlank="true" sqref="CI156:CI160" type="list">
      <formula1>=Geber_Liste</formula1>
    </dataValidation>
    <dataValidation allowBlank="true" sqref="CH165:CH170" type="list">
      <formula1>"Saldo der Vorperiode,Eigenmittel,Drittmittel,KMW-Mittel,Zinsertraege"</formula1>
    </dataValidation>
    <dataValidation allowBlank="true" sqref="CI165:CI170" type="list">
      <formula1>=Geber_Liste</formula1>
    </dataValidation>
    <dataValidation allowBlank="true" sqref="CO156:CO160" type="list">
      <formula1>"Saldo der Vorperiode,Eigenmittel,Drittmittel,KMW-Mittel,Zinsertraege"</formula1>
    </dataValidation>
    <dataValidation allowBlank="true" sqref="CP156:CP160" type="list">
      <formula1>=Geber_Liste</formula1>
    </dataValidation>
    <dataValidation allowBlank="true" sqref="CO165:CO170" type="list">
      <formula1>"Saldo der Vorperiode,Eigenmittel,Drittmittel,KMW-Mittel,Zinsertraege"</formula1>
    </dataValidation>
    <dataValidation allowBlank="true" sqref="CP165:CP170" type="list">
      <formula1>=Geber_Liste</formula1>
    </dataValidation>
    <dataValidation allowBlank="true" sqref="CV156:CV160" type="list">
      <formula1>"Saldo der Vorperiode,Eigenmittel,Drittmittel,KMW-Mittel,Zinsertraege"</formula1>
    </dataValidation>
    <dataValidation allowBlank="true" sqref="CW156:CW160" type="list">
      <formula1>=Geber_Liste</formula1>
    </dataValidation>
    <dataValidation allowBlank="true" sqref="CV165:CV170" type="list">
      <formula1>"Saldo der Vorperiode,Eigenmittel,Drittmittel,KMW-Mittel,Zinsertraege"</formula1>
    </dataValidation>
    <dataValidation allowBlank="true" sqref="CW165:CW170" type="list">
      <formula1>=Geber_Liste</formula1>
    </dataValidation>
    <dataValidation allowBlank="true" sqref="DC156:DC160" type="list">
      <formula1>"Saldo der Vorperiode,Eigenmittel,Drittmittel,KMW-Mittel,Zinsertraege"</formula1>
    </dataValidation>
    <dataValidation allowBlank="true" sqref="DD156:DD160" type="list">
      <formula1>=Geber_Liste</formula1>
    </dataValidation>
    <dataValidation allowBlank="true" sqref="DC165:DC170" type="list">
      <formula1>"Saldo der Vorperiode,Eigenmittel,Drittmittel,KMW-Mittel,Zinsertraege"</formula1>
    </dataValidation>
    <dataValidation allowBlank="true" sqref="DD165:DD170" type="list">
      <formula1>=Geber_Liste</formula1>
    </dataValidation>
    <dataValidation allowBlank="true" sqref="DJ156:DJ160" type="list">
      <formula1>"Saldo der Vorperiode,Eigenmittel,Drittmittel,KMW-Mittel,Zinsertraege"</formula1>
    </dataValidation>
    <dataValidation allowBlank="true" sqref="DK156:DK160" type="list">
      <formula1>=Geber_Liste</formula1>
    </dataValidation>
    <dataValidation allowBlank="true" sqref="DJ165:DJ170" type="list">
      <formula1>"Saldo der Vorperiode,Eigenmittel,Drittmittel,KMW-Mittel,Zinsertraege"</formula1>
    </dataValidation>
    <dataValidation allowBlank="true" sqref="DK165:DK170" type="list">
      <formula1>=Geber_Liste</formula1>
    </dataValidation>
    <dataValidation allowBlank="true" sqref="DQ156:DQ160" type="list">
      <formula1>"Saldo der Vorperiode,Eigenmittel,Drittmittel,KMW-Mittel,Zinsertraege"</formula1>
    </dataValidation>
    <dataValidation allowBlank="true" sqref="DR156:DR160" type="list">
      <formula1>=Geber_Liste</formula1>
    </dataValidation>
    <dataValidation allowBlank="true" sqref="DQ165:DQ170" type="list">
      <formula1>"Saldo der Vorperiode,Eigenmittel,Drittmittel,KMW-Mittel,Zinsertraege"</formula1>
    </dataValidation>
    <dataValidation allowBlank="true" sqref="DR165:DR170" type="list">
      <formula1>=Geber_Liste</formula1>
    </dataValidation>
  </dataValidations>
  <tableParts count="5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s>
</worksheet>
</file>

<file path=xl/worksheets/sheet6.xml><?xml version="1.0" encoding="utf-8"?>
<worksheet xmlns="http://schemas.openxmlformats.org/spreadsheetml/2006/main" xmlns:r="http://schemas.openxmlformats.org/officeDocument/2006/relationships" xmlns:mc="http://schemas.openxmlformats.org/markup-compatibility/2006">
  <sheetPr>
    <tabColor rgb="FFFF00"/>
  </sheetPr>
  <dimension ref="A1"/>
  <sheetViews>
    <sheetView showGridLines="false" workbookViewId="0"/>
  </sheetViews>
  <sheetFormatPr defaultRowHeight="15"/>
  <cols>
    <col customWidth="true" max="2" min="2" width="32"/>
    <col customWidth="true" max="4" min="3" width="24.71"/>
    <col customWidth="true" hidden="true" max="6" min="6" outlineLevel="1" width="32"/>
    <col customWidth="true" hidden="true" max="8" min="7" outlineLevel="1" width="24.71"/>
    <col customWidth="true" hidden="true" max="10" min="10" outlineLevel="1" width="32"/>
    <col customWidth="true" hidden="true" max="12" min="11" outlineLevel="1" width="24.71"/>
    <col customWidth="true" hidden="true" max="14" min="14" outlineLevel="1" width="32"/>
    <col customWidth="true" hidden="true" max="16" min="15" outlineLevel="1" width="24.71"/>
    <col customWidth="true" hidden="true" max="18" min="18" outlineLevel="1" width="32"/>
    <col customWidth="true" hidden="true" max="20" min="19" outlineLevel="1" width="24.71"/>
    <col customWidth="true" hidden="true" max="22" min="22" outlineLevel="1" width="32"/>
    <col customWidth="true" hidden="true" max="24" min="23" outlineLevel="1" width="24.71"/>
    <col customWidth="true" hidden="true" max="26" min="26" outlineLevel="1" width="32"/>
    <col customWidth="true" hidden="true" max="28" min="27" outlineLevel="1" width="24.71"/>
    <col customWidth="true" hidden="true" max="30" min="30" outlineLevel="1" width="32"/>
    <col customWidth="true" hidden="true" max="32" min="31" outlineLevel="1" width="24.71"/>
    <col customWidth="true" hidden="true" max="34" min="34" outlineLevel="1" width="32"/>
    <col customWidth="true" hidden="true" max="36" min="35" outlineLevel="1" width="24.71"/>
    <col customWidth="true" hidden="true" max="38" min="38" outlineLevel="1" width="32"/>
    <col customWidth="true" hidden="true" max="40" min="39" outlineLevel="1" width="24.71"/>
    <col customWidth="true" hidden="true" max="42" min="42" outlineLevel="1" width="32"/>
    <col customWidth="true" hidden="true" max="44" min="43" outlineLevel="1" width="24.71"/>
    <col customWidth="true" hidden="true" max="46" min="46" outlineLevel="1" width="32"/>
    <col customWidth="true" hidden="true" max="48" min="47" outlineLevel="1" width="24.71"/>
    <col customWidth="true" hidden="true" max="50" min="50" outlineLevel="1" width="32"/>
    <col customWidth="true" hidden="true" max="52" min="51" outlineLevel="1" width="24.71"/>
    <col customWidth="true" hidden="true" max="54" min="54" outlineLevel="1" width="32"/>
    <col customWidth="true" hidden="true" max="56" min="55" outlineLevel="1" width="24.71"/>
    <col customWidth="true" hidden="true" max="58" min="58" outlineLevel="1" width="32"/>
    <col customWidth="true" hidden="true" max="60" min="59" outlineLevel="1" width="24.71"/>
    <col customWidth="true" hidden="true" max="62" min="62" outlineLevel="1" width="32"/>
    <col customWidth="true" hidden="true" max="64" min="63" outlineLevel="1" width="24.71"/>
    <col customWidth="true" hidden="true" max="66" min="66" outlineLevel="1" width="32"/>
    <col customWidth="true" hidden="true" max="68" min="67" outlineLevel="1" width="24.71"/>
    <col customWidth="true" hidden="true" max="70" min="70" outlineLevel="1" width="32"/>
    <col customWidth="true" hidden="true" max="72" min="71" outlineLevel="1" width="24.71"/>
  </cols>
  <sheetData>
    <row r="3">
      <c r="E3" s="176" t="s">
        <v>450</v>
      </c>
      <c r="I3" s="176" t="s">
        <v>450</v>
      </c>
      <c r="M3" s="176" t="s">
        <v>450</v>
      </c>
      <c r="Q3" s="176" t="s">
        <v>450</v>
      </c>
      <c r="U3" s="176" t="s">
        <v>450</v>
      </c>
      <c r="Y3" s="176" t="s">
        <v>450</v>
      </c>
      <c r="AC3" s="176" t="s">
        <v>450</v>
      </c>
      <c r="AG3" s="176" t="s">
        <v>450</v>
      </c>
      <c r="AK3" s="176" t="s">
        <v>450</v>
      </c>
      <c r="AO3" s="176" t="s">
        <v>450</v>
      </c>
      <c r="AS3" s="176" t="s">
        <v>450</v>
      </c>
      <c r="AW3" s="176" t="s">
        <v>450</v>
      </c>
      <c r="BA3" s="176" t="s">
        <v>450</v>
      </c>
      <c r="BE3" s="176" t="s">
        <v>450</v>
      </c>
      <c r="BI3" s="176" t="s">
        <v>450</v>
      </c>
      <c r="BM3" s="176" t="s">
        <v>450</v>
      </c>
      <c r="BQ3" s="176" t="s">
        <v>450</v>
      </c>
    </row>
    <row r="4">
      <c r="B4" s="105" t="s">
        <v>415</v>
      </c>
      <c r="C4" s="177" t="s">
        <v>374</v>
      </c>
      <c r="D4" s="177"/>
      <c r="F4" s="105" t="s">
        <v>415</v>
      </c>
      <c r="G4" s="177" t="s">
        <v>375</v>
      </c>
      <c r="H4" s="177"/>
      <c r="J4" s="105" t="s">
        <v>415</v>
      </c>
      <c r="K4" s="177" t="s">
        <v>376</v>
      </c>
      <c r="L4" s="177"/>
      <c r="N4" s="105" t="s">
        <v>415</v>
      </c>
      <c r="O4" s="177" t="s">
        <v>377</v>
      </c>
      <c r="P4" s="177"/>
      <c r="R4" s="105" t="s">
        <v>415</v>
      </c>
      <c r="S4" s="177" t="s">
        <v>378</v>
      </c>
      <c r="T4" s="177"/>
      <c r="V4" s="105" t="s">
        <v>415</v>
      </c>
      <c r="W4" s="177" t="s">
        <v>379</v>
      </c>
      <c r="X4" s="177"/>
      <c r="Z4" s="105" t="s">
        <v>415</v>
      </c>
      <c r="AA4" s="177" t="s">
        <v>380</v>
      </c>
      <c r="AB4" s="177"/>
      <c r="AD4" s="105" t="s">
        <v>415</v>
      </c>
      <c r="AE4" s="177" t="s">
        <v>381</v>
      </c>
      <c r="AF4" s="177"/>
      <c r="AH4" s="105" t="s">
        <v>415</v>
      </c>
      <c r="AI4" s="177" t="s">
        <v>382</v>
      </c>
      <c r="AJ4" s="177"/>
      <c r="AL4" s="105" t="s">
        <v>415</v>
      </c>
      <c r="AM4" s="177" t="s">
        <v>383</v>
      </c>
      <c r="AN4" s="177"/>
      <c r="AP4" s="105" t="s">
        <v>415</v>
      </c>
      <c r="AQ4" s="177" t="s">
        <v>384</v>
      </c>
      <c r="AR4" s="177"/>
      <c r="AT4" s="105" t="s">
        <v>415</v>
      </c>
      <c r="AU4" s="177" t="s">
        <v>385</v>
      </c>
      <c r="AV4" s="177"/>
      <c r="AX4" s="105" t="s">
        <v>415</v>
      </c>
      <c r="AY4" s="177" t="s">
        <v>386</v>
      </c>
      <c r="AZ4" s="177"/>
      <c r="BB4" s="105" t="s">
        <v>415</v>
      </c>
      <c r="BC4" s="177" t="s">
        <v>387</v>
      </c>
      <c r="BD4" s="177"/>
      <c r="BF4" s="105" t="s">
        <v>415</v>
      </c>
      <c r="BG4" s="177" t="s">
        <v>388</v>
      </c>
      <c r="BH4" s="177"/>
      <c r="BJ4" s="105" t="s">
        <v>415</v>
      </c>
      <c r="BK4" s="177" t="s">
        <v>389</v>
      </c>
      <c r="BL4" s="177"/>
      <c r="BN4" s="105" t="s">
        <v>415</v>
      </c>
      <c r="BO4" s="177" t="s">
        <v>390</v>
      </c>
      <c r="BP4" s="177"/>
      <c r="BR4" s="105" t="s">
        <v>415</v>
      </c>
      <c r="BS4" s="177" t="s">
        <v>391</v>
      </c>
      <c r="BT4" s="177"/>
    </row>
    <row r="5">
      <c r="B5" s="105" t="s">
        <v>416</v>
      </c>
      <c r="C5" s="108"/>
      <c r="D5" s="108"/>
      <c r="F5" s="105" t="s">
        <v>416</v>
      </c>
      <c r="G5" s="108"/>
      <c r="H5" s="108"/>
      <c r="J5" s="105" t="s">
        <v>416</v>
      </c>
      <c r="K5" s="108"/>
      <c r="L5" s="108"/>
      <c r="N5" s="105" t="s">
        <v>416</v>
      </c>
      <c r="O5" s="108"/>
      <c r="P5" s="108"/>
      <c r="R5" s="105" t="s">
        <v>416</v>
      </c>
      <c r="S5" s="108"/>
      <c r="T5" s="108"/>
      <c r="V5" s="105" t="s">
        <v>416</v>
      </c>
      <c r="W5" s="108"/>
      <c r="X5" s="108"/>
      <c r="Z5" s="105" t="s">
        <v>416</v>
      </c>
      <c r="AA5" s="108"/>
      <c r="AB5" s="108"/>
      <c r="AD5" s="105" t="s">
        <v>416</v>
      </c>
      <c r="AE5" s="108"/>
      <c r="AF5" s="108"/>
      <c r="AH5" s="105" t="s">
        <v>416</v>
      </c>
      <c r="AI5" s="108"/>
      <c r="AJ5" s="108"/>
      <c r="AL5" s="105" t="s">
        <v>416</v>
      </c>
      <c r="AM5" s="108"/>
      <c r="AN5" s="108"/>
      <c r="AP5" s="105" t="s">
        <v>416</v>
      </c>
      <c r="AQ5" s="108"/>
      <c r="AR5" s="108"/>
      <c r="AT5" s="105" t="s">
        <v>416</v>
      </c>
      <c r="AU5" s="108"/>
      <c r="AV5" s="108"/>
      <c r="AX5" s="105" t="s">
        <v>416</v>
      </c>
      <c r="AY5" s="108"/>
      <c r="AZ5" s="108"/>
      <c r="BB5" s="105" t="s">
        <v>416</v>
      </c>
      <c r="BC5" s="108"/>
      <c r="BD5" s="108"/>
      <c r="BF5" s="105" t="s">
        <v>416</v>
      </c>
      <c r="BG5" s="108"/>
      <c r="BH5" s="108"/>
      <c r="BJ5" s="105" t="s">
        <v>416</v>
      </c>
      <c r="BK5" s="108"/>
      <c r="BL5" s="108"/>
      <c r="BN5" s="105" t="s">
        <v>416</v>
      </c>
      <c r="BO5" s="108"/>
      <c r="BP5" s="108"/>
      <c r="BR5" s="105" t="s">
        <v>416</v>
      </c>
      <c r="BS5" s="108"/>
      <c r="BT5" s="108"/>
    </row>
    <row r="6">
      <c r="B6" s="105" t="s">
        <v>417</v>
      </c>
      <c r="C6" s="108"/>
      <c r="D6" s="108"/>
      <c r="F6" s="105" t="s">
        <v>417</v>
      </c>
      <c r="G6" s="108"/>
      <c r="H6" s="108"/>
      <c r="J6" s="105" t="s">
        <v>417</v>
      </c>
      <c r="K6" s="108"/>
      <c r="L6" s="108"/>
      <c r="N6" s="105" t="s">
        <v>417</v>
      </c>
      <c r="O6" s="108"/>
      <c r="P6" s="108"/>
      <c r="R6" s="105" t="s">
        <v>417</v>
      </c>
      <c r="S6" s="108"/>
      <c r="T6" s="108"/>
      <c r="V6" s="105" t="s">
        <v>417</v>
      </c>
      <c r="W6" s="108"/>
      <c r="X6" s="108"/>
      <c r="Z6" s="105" t="s">
        <v>417</v>
      </c>
      <c r="AA6" s="108"/>
      <c r="AB6" s="108"/>
      <c r="AD6" s="105" t="s">
        <v>417</v>
      </c>
      <c r="AE6" s="108"/>
      <c r="AF6" s="108"/>
      <c r="AH6" s="105" t="s">
        <v>417</v>
      </c>
      <c r="AI6" s="108"/>
      <c r="AJ6" s="108"/>
      <c r="AL6" s="105" t="s">
        <v>417</v>
      </c>
      <c r="AM6" s="108"/>
      <c r="AN6" s="108"/>
      <c r="AP6" s="105" t="s">
        <v>417</v>
      </c>
      <c r="AQ6" s="108"/>
      <c r="AR6" s="108"/>
      <c r="AT6" s="105" t="s">
        <v>417</v>
      </c>
      <c r="AU6" s="108"/>
      <c r="AV6" s="108"/>
      <c r="AX6" s="105" t="s">
        <v>417</v>
      </c>
      <c r="AY6" s="108"/>
      <c r="AZ6" s="108"/>
      <c r="BB6" s="105" t="s">
        <v>417</v>
      </c>
      <c r="BC6" s="108"/>
      <c r="BD6" s="108"/>
      <c r="BF6" s="105" t="s">
        <v>417</v>
      </c>
      <c r="BG6" s="108"/>
      <c r="BH6" s="108"/>
      <c r="BJ6" s="105" t="s">
        <v>417</v>
      </c>
      <c r="BK6" s="108"/>
      <c r="BL6" s="108"/>
      <c r="BN6" s="105" t="s">
        <v>417</v>
      </c>
      <c r="BO6" s="108"/>
      <c r="BP6" s="108"/>
      <c r="BR6" s="105" t="s">
        <v>417</v>
      </c>
      <c r="BS6" s="108"/>
      <c r="BT6" s="108"/>
    </row>
    <row r="7">
      <c r="B7" s="105" t="s">
        <v>418</v>
      </c>
      <c r="C7" s="178" t="str">
        <f>=IF(OR(C5="",C6=""),"",DATEDIF(C5,C6,"m")+1)</f>
      </c>
      <c r="D7" s="178"/>
      <c r="F7" s="105" t="s">
        <v>418</v>
      </c>
      <c r="G7" s="178" t="str">
        <f>=IF(OR(G5="",G6=""),"",DATEDIF(G5,G6,"m")+1)</f>
      </c>
      <c r="H7" s="178"/>
      <c r="J7" s="105" t="s">
        <v>418</v>
      </c>
      <c r="K7" s="178" t="str">
        <f>=IF(OR(K5="",K6=""),"",DATEDIF(K5,K6,"m")+1)</f>
      </c>
      <c r="L7" s="178"/>
      <c r="N7" s="105" t="s">
        <v>418</v>
      </c>
      <c r="O7" s="178" t="str">
        <f>=IF(OR(O5="",O6=""),"",DATEDIF(O5,O6,"m")+1)</f>
      </c>
      <c r="P7" s="178"/>
      <c r="R7" s="105" t="s">
        <v>418</v>
      </c>
      <c r="S7" s="178" t="str">
        <f>=IF(OR(S5="",S6=""),"",DATEDIF(S5,S6,"m")+1)</f>
      </c>
      <c r="T7" s="178"/>
      <c r="V7" s="105" t="s">
        <v>418</v>
      </c>
      <c r="W7" s="178" t="str">
        <f>=IF(OR(W5="",W6=""),"",DATEDIF(W5,W6,"m")+1)</f>
      </c>
      <c r="X7" s="178"/>
      <c r="Z7" s="105" t="s">
        <v>418</v>
      </c>
      <c r="AA7" s="178" t="str">
        <f>=IF(OR(AA5="",AA6=""),"",DATEDIF(AA5,AA6,"m")+1)</f>
      </c>
      <c r="AB7" s="178"/>
      <c r="AD7" s="105" t="s">
        <v>418</v>
      </c>
      <c r="AE7" s="178" t="str">
        <f>=IF(OR(AE5="",AE6=""),"",DATEDIF(AE5,AE6,"m")+1)</f>
      </c>
      <c r="AF7" s="178"/>
      <c r="AH7" s="105" t="s">
        <v>418</v>
      </c>
      <c r="AI7" s="178" t="str">
        <f>=IF(OR(AI5="",AI6=""),"",DATEDIF(AI5,AI6,"m")+1)</f>
      </c>
      <c r="AJ7" s="178"/>
      <c r="AL7" s="105" t="s">
        <v>418</v>
      </c>
      <c r="AM7" s="178" t="str">
        <f>=IF(OR(AM5="",AM6=""),"",DATEDIF(AM5,AM6,"m")+1)</f>
      </c>
      <c r="AN7" s="178"/>
      <c r="AP7" s="105" t="s">
        <v>418</v>
      </c>
      <c r="AQ7" s="178" t="str">
        <f>=IF(OR(AQ5="",AQ6=""),"",DATEDIF(AQ5,AQ6,"m")+1)</f>
      </c>
      <c r="AR7" s="178"/>
      <c r="AT7" s="105" t="s">
        <v>418</v>
      </c>
      <c r="AU7" s="178" t="str">
        <f>=IF(OR(AU5="",AU6=""),"",DATEDIF(AU5,AU6,"m")+1)</f>
      </c>
      <c r="AV7" s="178"/>
      <c r="AX7" s="105" t="s">
        <v>418</v>
      </c>
      <c r="AY7" s="178" t="str">
        <f>=IF(OR(AY5="",AY6=""),"",DATEDIF(AY5,AY6,"m")+1)</f>
      </c>
      <c r="AZ7" s="178"/>
      <c r="BB7" s="105" t="s">
        <v>418</v>
      </c>
      <c r="BC7" s="178" t="str">
        <f>=IF(OR(BC5="",BC6=""),"",DATEDIF(BC5,BC6,"m")+1)</f>
      </c>
      <c r="BD7" s="178"/>
      <c r="BF7" s="105" t="s">
        <v>418</v>
      </c>
      <c r="BG7" s="178" t="str">
        <f>=IF(OR(BG5="",BG6=""),"",DATEDIF(BG5,BG6,"m")+1)</f>
      </c>
      <c r="BH7" s="178"/>
      <c r="BJ7" s="105" t="s">
        <v>418</v>
      </c>
      <c r="BK7" s="178" t="str">
        <f>=IF(OR(BK5="",BK6=""),"",DATEDIF(BK5,BK6,"m")+1)</f>
      </c>
      <c r="BL7" s="178"/>
      <c r="BN7" s="105" t="s">
        <v>418</v>
      </c>
      <c r="BO7" s="178" t="str">
        <f>=IF(OR(BO5="",BO6=""),"",DATEDIF(BO5,BO6,"m")+1)</f>
      </c>
      <c r="BP7" s="178"/>
      <c r="BR7" s="105" t="s">
        <v>418</v>
      </c>
      <c r="BS7" s="178" t="str">
        <f>=IF(OR(BS5="",BS6=""),"",DATEDIF(BS5,BS6,"m")+1)</f>
      </c>
      <c r="BT7" s="178"/>
    </row>
    <row r="8">
      <c r="B8" s="105" t="s">
        <v>453</v>
      </c>
      <c r="C8" s="179"/>
      <c r="D8" s="179"/>
      <c r="F8" s="105" t="s">
        <v>453</v>
      </c>
      <c r="G8" s="179"/>
      <c r="H8" s="179"/>
      <c r="J8" s="105" t="s">
        <v>453</v>
      </c>
      <c r="K8" s="179"/>
      <c r="L8" s="179"/>
      <c r="N8" s="105" t="s">
        <v>453</v>
      </c>
      <c r="O8" s="179"/>
      <c r="P8" s="179"/>
      <c r="R8" s="105" t="s">
        <v>453</v>
      </c>
      <c r="S8" s="179"/>
      <c r="T8" s="179"/>
      <c r="V8" s="105" t="s">
        <v>453</v>
      </c>
      <c r="W8" s="179"/>
      <c r="X8" s="179"/>
      <c r="Z8" s="105" t="s">
        <v>453</v>
      </c>
      <c r="AA8" s="179"/>
      <c r="AB8" s="179"/>
      <c r="AD8" s="105" t="s">
        <v>453</v>
      </c>
      <c r="AE8" s="179"/>
      <c r="AF8" s="179"/>
      <c r="AH8" s="105" t="s">
        <v>453</v>
      </c>
      <c r="AI8" s="179"/>
      <c r="AJ8" s="179"/>
      <c r="AL8" s="105" t="s">
        <v>453</v>
      </c>
      <c r="AM8" s="179"/>
      <c r="AN8" s="179"/>
      <c r="AP8" s="105" t="s">
        <v>453</v>
      </c>
      <c r="AQ8" s="179"/>
      <c r="AR8" s="179"/>
      <c r="AT8" s="105" t="s">
        <v>453</v>
      </c>
      <c r="AU8" s="179"/>
      <c r="AV8" s="179"/>
      <c r="AX8" s="105" t="s">
        <v>453</v>
      </c>
      <c r="AY8" s="179"/>
      <c r="AZ8" s="179"/>
      <c r="BB8" s="105" t="s">
        <v>453</v>
      </c>
      <c r="BC8" s="179"/>
      <c r="BD8" s="179"/>
      <c r="BF8" s="105" t="s">
        <v>453</v>
      </c>
      <c r="BG8" s="179"/>
      <c r="BH8" s="179"/>
      <c r="BJ8" s="105" t="s">
        <v>453</v>
      </c>
      <c r="BK8" s="179"/>
      <c r="BL8" s="179"/>
      <c r="BN8" s="105" t="s">
        <v>453</v>
      </c>
      <c r="BO8" s="179"/>
      <c r="BP8" s="179"/>
      <c r="BR8" s="105" t="s">
        <v>453</v>
      </c>
      <c r="BS8" s="179"/>
      <c r="BT8" s="179"/>
    </row>
    <row r="9">
      <c r="B9" s="180" t="s">
        <v>204</v>
      </c>
      <c r="C9" s="180" t="s">
        <v>454</v>
      </c>
      <c r="D9" s="180" t="s">
        <v>455</v>
      </c>
      <c r="F9" s="180" t="s">
        <v>204</v>
      </c>
      <c r="G9" s="180" t="s">
        <v>454</v>
      </c>
      <c r="H9" s="180" t="s">
        <v>455</v>
      </c>
      <c r="J9" s="180" t="s">
        <v>204</v>
      </c>
      <c r="K9" s="180" t="s">
        <v>454</v>
      </c>
      <c r="L9" s="180" t="s">
        <v>455</v>
      </c>
      <c r="N9" s="180" t="s">
        <v>204</v>
      </c>
      <c r="O9" s="180" t="s">
        <v>454</v>
      </c>
      <c r="P9" s="180" t="s">
        <v>455</v>
      </c>
      <c r="R9" s="180" t="s">
        <v>204</v>
      </c>
      <c r="S9" s="180" t="s">
        <v>454</v>
      </c>
      <c r="T9" s="180" t="s">
        <v>455</v>
      </c>
      <c r="V9" s="180" t="s">
        <v>204</v>
      </c>
      <c r="W9" s="180" t="s">
        <v>454</v>
      </c>
      <c r="X9" s="180" t="s">
        <v>455</v>
      </c>
      <c r="Z9" s="180" t="s">
        <v>204</v>
      </c>
      <c r="AA9" s="180" t="s">
        <v>454</v>
      </c>
      <c r="AB9" s="180" t="s">
        <v>455</v>
      </c>
      <c r="AD9" s="180" t="s">
        <v>204</v>
      </c>
      <c r="AE9" s="180" t="s">
        <v>454</v>
      </c>
      <c r="AF9" s="180" t="s">
        <v>455</v>
      </c>
      <c r="AH9" s="180" t="s">
        <v>204</v>
      </c>
      <c r="AI9" s="180" t="s">
        <v>454</v>
      </c>
      <c r="AJ9" s="180" t="s">
        <v>455</v>
      </c>
      <c r="AL9" s="180" t="s">
        <v>204</v>
      </c>
      <c r="AM9" s="180" t="s">
        <v>454</v>
      </c>
      <c r="AN9" s="180" t="s">
        <v>455</v>
      </c>
      <c r="AP9" s="180" t="s">
        <v>204</v>
      </c>
      <c r="AQ9" s="180" t="s">
        <v>454</v>
      </c>
      <c r="AR9" s="180" t="s">
        <v>455</v>
      </c>
      <c r="AT9" s="180" t="s">
        <v>204</v>
      </c>
      <c r="AU9" s="180" t="s">
        <v>454</v>
      </c>
      <c r="AV9" s="180" t="s">
        <v>455</v>
      </c>
      <c r="AX9" s="180" t="s">
        <v>204</v>
      </c>
      <c r="AY9" s="180" t="s">
        <v>454</v>
      </c>
      <c r="AZ9" s="180" t="s">
        <v>455</v>
      </c>
      <c r="BB9" s="180" t="s">
        <v>204</v>
      </c>
      <c r="BC9" s="180" t="s">
        <v>454</v>
      </c>
      <c r="BD9" s="180" t="s">
        <v>455</v>
      </c>
      <c r="BF9" s="180" t="s">
        <v>204</v>
      </c>
      <c r="BG9" s="180" t="s">
        <v>454</v>
      </c>
      <c r="BH9" s="180" t="s">
        <v>455</v>
      </c>
      <c r="BJ9" s="180" t="s">
        <v>204</v>
      </c>
      <c r="BK9" s="180" t="s">
        <v>454</v>
      </c>
      <c r="BL9" s="180" t="s">
        <v>455</v>
      </c>
      <c r="BN9" s="180" t="s">
        <v>204</v>
      </c>
      <c r="BO9" s="180" t="s">
        <v>454</v>
      </c>
      <c r="BP9" s="180" t="s">
        <v>455</v>
      </c>
      <c r="BR9" s="180" t="s">
        <v>204</v>
      </c>
      <c r="BS9" s="180" t="s">
        <v>454</v>
      </c>
      <c r="BT9" s="180" t="s">
        <v>455</v>
      </c>
    </row>
    <row r="10">
      <c r="B10" s="181" t="s">
        <v>207</v>
      </c>
      <c r="C10" s="24"/>
      <c r="D10" s="182" t="str">
        <f>=IFERROR(ROUND(C10/MA_Kurs_1,2),0)</f>
      </c>
      <c r="F10" s="181" t="s">
        <v>207</v>
      </c>
      <c r="G10" s="24"/>
      <c r="H10" s="182" t="str">
        <f>=IFERROR(ROUND(G10/MA_Kurs_2,2),0)</f>
      </c>
      <c r="J10" s="181" t="s">
        <v>207</v>
      </c>
      <c r="K10" s="24"/>
      <c r="L10" s="182" t="str">
        <f>=IFERROR(ROUND(K10/MA_Kurs_3,2),0)</f>
      </c>
      <c r="N10" s="181" t="s">
        <v>207</v>
      </c>
      <c r="O10" s="24"/>
      <c r="P10" s="182" t="str">
        <f>=IFERROR(ROUND(O10/MA_Kurs_4,2),0)</f>
      </c>
      <c r="R10" s="181" t="s">
        <v>207</v>
      </c>
      <c r="S10" s="24"/>
      <c r="T10" s="182" t="str">
        <f>=IFERROR(ROUND(S10/MA_Kurs_5,2),0)</f>
      </c>
      <c r="V10" s="181" t="s">
        <v>207</v>
      </c>
      <c r="W10" s="24"/>
      <c r="X10" s="182" t="str">
        <f>=IFERROR(ROUND(W10/MA_Kurs_6,2),0)</f>
      </c>
      <c r="Z10" s="181" t="s">
        <v>207</v>
      </c>
      <c r="AA10" s="24"/>
      <c r="AB10" s="182" t="str">
        <f>=IFERROR(ROUND(AA10/MA_Kurs_7,2),0)</f>
      </c>
      <c r="AD10" s="181" t="s">
        <v>207</v>
      </c>
      <c r="AE10" s="24"/>
      <c r="AF10" s="182" t="str">
        <f>=IFERROR(ROUND(AE10/MA_Kurs_8,2),0)</f>
      </c>
      <c r="AH10" s="181" t="s">
        <v>207</v>
      </c>
      <c r="AI10" s="24"/>
      <c r="AJ10" s="182" t="str">
        <f>=IFERROR(ROUND(AI10/MA_Kurs_9,2),0)</f>
      </c>
      <c r="AL10" s="181" t="s">
        <v>207</v>
      </c>
      <c r="AM10" s="24"/>
      <c r="AN10" s="182" t="str">
        <f>=IFERROR(ROUND(AM10/MA_Kurs_10,2),0)</f>
      </c>
      <c r="AP10" s="181" t="s">
        <v>207</v>
      </c>
      <c r="AQ10" s="24"/>
      <c r="AR10" s="182" t="str">
        <f>=IFERROR(ROUND(AQ10/MA_Kurs_11,2),0)</f>
      </c>
      <c r="AT10" s="181" t="s">
        <v>207</v>
      </c>
      <c r="AU10" s="24"/>
      <c r="AV10" s="182" t="str">
        <f>=IFERROR(ROUND(AU10/MA_Kurs_12,2),0)</f>
      </c>
      <c r="AX10" s="181" t="s">
        <v>207</v>
      </c>
      <c r="AY10" s="24"/>
      <c r="AZ10" s="182" t="str">
        <f>=IFERROR(ROUND(AY10/MA_Kurs_13,2),0)</f>
      </c>
      <c r="BB10" s="181" t="s">
        <v>207</v>
      </c>
      <c r="BC10" s="24"/>
      <c r="BD10" s="182" t="str">
        <f>=IFERROR(ROUND(BC10/MA_Kurs_14,2),0)</f>
      </c>
      <c r="BF10" s="181" t="s">
        <v>207</v>
      </c>
      <c r="BG10" s="24"/>
      <c r="BH10" s="182" t="str">
        <f>=IFERROR(ROUND(BG10/MA_Kurs_15,2),0)</f>
      </c>
      <c r="BJ10" s="181" t="s">
        <v>207</v>
      </c>
      <c r="BK10" s="24"/>
      <c r="BL10" s="182" t="str">
        <f>=IFERROR(ROUND(BK10/MA_Kurs_16,2),0)</f>
      </c>
      <c r="BN10" s="181" t="s">
        <v>207</v>
      </c>
      <c r="BO10" s="24"/>
      <c r="BP10" s="182" t="str">
        <f>=IFERROR(ROUND(BO10/MA_Kurs_17,2),0)</f>
      </c>
      <c r="BR10" s="181" t="s">
        <v>207</v>
      </c>
      <c r="BS10" s="24"/>
      <c r="BT10" s="182" t="str">
        <f>=IFERROR(ROUND(BS10/MA_Kurs_18,2),0)</f>
      </c>
    </row>
    <row r="11">
      <c r="B11" s="181" t="s">
        <v>248</v>
      </c>
      <c r="C11" s="24"/>
      <c r="D11" s="182" t="str">
        <f>=IFERROR(ROUND(C11/MA_Kurs_1,2),0)</f>
      </c>
      <c r="F11" s="181" t="s">
        <v>248</v>
      </c>
      <c r="G11" s="24"/>
      <c r="H11" s="182" t="str">
        <f>=IFERROR(ROUND(G11/MA_Kurs_2,2),0)</f>
      </c>
      <c r="J11" s="181" t="s">
        <v>248</v>
      </c>
      <c r="K11" s="24"/>
      <c r="L11" s="182" t="str">
        <f>=IFERROR(ROUND(K11/MA_Kurs_3,2),0)</f>
      </c>
      <c r="N11" s="181" t="s">
        <v>248</v>
      </c>
      <c r="O11" s="24"/>
      <c r="P11" s="182" t="str">
        <f>=IFERROR(ROUND(O11/MA_Kurs_4,2),0)</f>
      </c>
      <c r="R11" s="181" t="s">
        <v>248</v>
      </c>
      <c r="S11" s="24"/>
      <c r="T11" s="182" t="str">
        <f>=IFERROR(ROUND(S11/MA_Kurs_5,2),0)</f>
      </c>
      <c r="V11" s="181" t="s">
        <v>248</v>
      </c>
      <c r="W11" s="24"/>
      <c r="X11" s="182" t="str">
        <f>=IFERROR(ROUND(W11/MA_Kurs_6,2),0)</f>
      </c>
      <c r="Z11" s="181" t="s">
        <v>248</v>
      </c>
      <c r="AA11" s="24"/>
      <c r="AB11" s="182" t="str">
        <f>=IFERROR(ROUND(AA11/MA_Kurs_7,2),0)</f>
      </c>
      <c r="AD11" s="181" t="s">
        <v>248</v>
      </c>
      <c r="AE11" s="24"/>
      <c r="AF11" s="182" t="str">
        <f>=IFERROR(ROUND(AE11/MA_Kurs_8,2),0)</f>
      </c>
      <c r="AH11" s="181" t="s">
        <v>248</v>
      </c>
      <c r="AI11" s="24"/>
      <c r="AJ11" s="182" t="str">
        <f>=IFERROR(ROUND(AI11/MA_Kurs_9,2),0)</f>
      </c>
      <c r="AL11" s="181" t="s">
        <v>248</v>
      </c>
      <c r="AM11" s="24"/>
      <c r="AN11" s="182" t="str">
        <f>=IFERROR(ROUND(AM11/MA_Kurs_10,2),0)</f>
      </c>
      <c r="AP11" s="181" t="s">
        <v>248</v>
      </c>
      <c r="AQ11" s="24"/>
      <c r="AR11" s="182" t="str">
        <f>=IFERROR(ROUND(AQ11/MA_Kurs_11,2),0)</f>
      </c>
      <c r="AT11" s="181" t="s">
        <v>248</v>
      </c>
      <c r="AU11" s="24"/>
      <c r="AV11" s="182" t="str">
        <f>=IFERROR(ROUND(AU11/MA_Kurs_12,2),0)</f>
      </c>
      <c r="AX11" s="181" t="s">
        <v>248</v>
      </c>
      <c r="AY11" s="24"/>
      <c r="AZ11" s="182" t="str">
        <f>=IFERROR(ROUND(AY11/MA_Kurs_13,2),0)</f>
      </c>
      <c r="BB11" s="181" t="s">
        <v>248</v>
      </c>
      <c r="BC11" s="24"/>
      <c r="BD11" s="182" t="str">
        <f>=IFERROR(ROUND(BC11/MA_Kurs_14,2),0)</f>
      </c>
      <c r="BF11" s="181" t="s">
        <v>248</v>
      </c>
      <c r="BG11" s="24"/>
      <c r="BH11" s="182" t="str">
        <f>=IFERROR(ROUND(BG11/MA_Kurs_15,2),0)</f>
      </c>
      <c r="BJ11" s="181" t="s">
        <v>248</v>
      </c>
      <c r="BK11" s="24"/>
      <c r="BL11" s="182" t="str">
        <f>=IFERROR(ROUND(BK11/MA_Kurs_16,2),0)</f>
      </c>
      <c r="BN11" s="181" t="s">
        <v>248</v>
      </c>
      <c r="BO11" s="24"/>
      <c r="BP11" s="182" t="str">
        <f>=IFERROR(ROUND(BO11/MA_Kurs_17,2),0)</f>
      </c>
      <c r="BR11" s="181" t="s">
        <v>248</v>
      </c>
      <c r="BS11" s="24"/>
      <c r="BT11" s="182" t="str">
        <f>=IFERROR(ROUND(BS11/MA_Kurs_18,2),0)</f>
      </c>
    </row>
    <row r="12">
      <c r="B12" s="181" t="s">
        <v>269</v>
      </c>
      <c r="C12" s="24"/>
      <c r="D12" s="182" t="str">
        <f>=IFERROR(ROUND(C12/MA_Kurs_1,2),0)</f>
      </c>
      <c r="F12" s="181" t="s">
        <v>269</v>
      </c>
      <c r="G12" s="24"/>
      <c r="H12" s="182" t="str">
        <f>=IFERROR(ROUND(G12/MA_Kurs_2,2),0)</f>
      </c>
      <c r="J12" s="181" t="s">
        <v>269</v>
      </c>
      <c r="K12" s="24"/>
      <c r="L12" s="182" t="str">
        <f>=IFERROR(ROUND(K12/MA_Kurs_3,2),0)</f>
      </c>
      <c r="N12" s="181" t="s">
        <v>269</v>
      </c>
      <c r="O12" s="24"/>
      <c r="P12" s="182" t="str">
        <f>=IFERROR(ROUND(O12/MA_Kurs_4,2),0)</f>
      </c>
      <c r="R12" s="181" t="s">
        <v>269</v>
      </c>
      <c r="S12" s="24"/>
      <c r="T12" s="182" t="str">
        <f>=IFERROR(ROUND(S12/MA_Kurs_5,2),0)</f>
      </c>
      <c r="V12" s="181" t="s">
        <v>269</v>
      </c>
      <c r="W12" s="24"/>
      <c r="X12" s="182" t="str">
        <f>=IFERROR(ROUND(W12/MA_Kurs_6,2),0)</f>
      </c>
      <c r="Z12" s="181" t="s">
        <v>269</v>
      </c>
      <c r="AA12" s="24"/>
      <c r="AB12" s="182" t="str">
        <f>=IFERROR(ROUND(AA12/MA_Kurs_7,2),0)</f>
      </c>
      <c r="AD12" s="181" t="s">
        <v>269</v>
      </c>
      <c r="AE12" s="24"/>
      <c r="AF12" s="182" t="str">
        <f>=IFERROR(ROUND(AE12/MA_Kurs_8,2),0)</f>
      </c>
      <c r="AH12" s="181" t="s">
        <v>269</v>
      </c>
      <c r="AI12" s="24"/>
      <c r="AJ12" s="182" t="str">
        <f>=IFERROR(ROUND(AI12/MA_Kurs_9,2),0)</f>
      </c>
      <c r="AL12" s="181" t="s">
        <v>269</v>
      </c>
      <c r="AM12" s="24"/>
      <c r="AN12" s="182" t="str">
        <f>=IFERROR(ROUND(AM12/MA_Kurs_10,2),0)</f>
      </c>
      <c r="AP12" s="181" t="s">
        <v>269</v>
      </c>
      <c r="AQ12" s="24"/>
      <c r="AR12" s="182" t="str">
        <f>=IFERROR(ROUND(AQ12/MA_Kurs_11,2),0)</f>
      </c>
      <c r="AT12" s="181" t="s">
        <v>269</v>
      </c>
      <c r="AU12" s="24"/>
      <c r="AV12" s="182" t="str">
        <f>=IFERROR(ROUND(AU12/MA_Kurs_12,2),0)</f>
      </c>
      <c r="AX12" s="181" t="s">
        <v>269</v>
      </c>
      <c r="AY12" s="24"/>
      <c r="AZ12" s="182" t="str">
        <f>=IFERROR(ROUND(AY12/MA_Kurs_13,2),0)</f>
      </c>
      <c r="BB12" s="181" t="s">
        <v>269</v>
      </c>
      <c r="BC12" s="24"/>
      <c r="BD12" s="182" t="str">
        <f>=IFERROR(ROUND(BC12/MA_Kurs_14,2),0)</f>
      </c>
      <c r="BF12" s="181" t="s">
        <v>269</v>
      </c>
      <c r="BG12" s="24"/>
      <c r="BH12" s="182" t="str">
        <f>=IFERROR(ROUND(BG12/MA_Kurs_15,2),0)</f>
      </c>
      <c r="BJ12" s="181" t="s">
        <v>269</v>
      </c>
      <c r="BK12" s="24"/>
      <c r="BL12" s="182" t="str">
        <f>=IFERROR(ROUND(BK12/MA_Kurs_16,2),0)</f>
      </c>
      <c r="BN12" s="181" t="s">
        <v>269</v>
      </c>
      <c r="BO12" s="24"/>
      <c r="BP12" s="182" t="str">
        <f>=IFERROR(ROUND(BO12/MA_Kurs_17,2),0)</f>
      </c>
      <c r="BR12" s="181" t="s">
        <v>269</v>
      </c>
      <c r="BS12" s="24"/>
      <c r="BT12" s="182" t="str">
        <f>=IFERROR(ROUND(BS12/MA_Kurs_18,2),0)</f>
      </c>
    </row>
    <row r="13">
      <c r="B13" s="181" t="s">
        <v>300</v>
      </c>
      <c r="C13" s="24"/>
      <c r="D13" s="182" t="str">
        <f>=IFERROR(ROUND(C13/MA_Kurs_1,2),0)</f>
      </c>
      <c r="F13" s="181" t="s">
        <v>300</v>
      </c>
      <c r="G13" s="24"/>
      <c r="H13" s="182" t="str">
        <f>=IFERROR(ROUND(G13/MA_Kurs_2,2),0)</f>
      </c>
      <c r="J13" s="181" t="s">
        <v>300</v>
      </c>
      <c r="K13" s="24"/>
      <c r="L13" s="182" t="str">
        <f>=IFERROR(ROUND(K13/MA_Kurs_3,2),0)</f>
      </c>
      <c r="N13" s="181" t="s">
        <v>300</v>
      </c>
      <c r="O13" s="24"/>
      <c r="P13" s="182" t="str">
        <f>=IFERROR(ROUND(O13/MA_Kurs_4,2),0)</f>
      </c>
      <c r="R13" s="181" t="s">
        <v>300</v>
      </c>
      <c r="S13" s="24"/>
      <c r="T13" s="182" t="str">
        <f>=IFERROR(ROUND(S13/MA_Kurs_5,2),0)</f>
      </c>
      <c r="V13" s="181" t="s">
        <v>300</v>
      </c>
      <c r="W13" s="24"/>
      <c r="X13" s="182" t="str">
        <f>=IFERROR(ROUND(W13/MA_Kurs_6,2),0)</f>
      </c>
      <c r="Z13" s="181" t="s">
        <v>300</v>
      </c>
      <c r="AA13" s="24"/>
      <c r="AB13" s="182" t="str">
        <f>=IFERROR(ROUND(AA13/MA_Kurs_7,2),0)</f>
      </c>
      <c r="AD13" s="181" t="s">
        <v>300</v>
      </c>
      <c r="AE13" s="24"/>
      <c r="AF13" s="182" t="str">
        <f>=IFERROR(ROUND(AE13/MA_Kurs_8,2),0)</f>
      </c>
      <c r="AH13" s="181" t="s">
        <v>300</v>
      </c>
      <c r="AI13" s="24"/>
      <c r="AJ13" s="182" t="str">
        <f>=IFERROR(ROUND(AI13/MA_Kurs_9,2),0)</f>
      </c>
      <c r="AL13" s="181" t="s">
        <v>300</v>
      </c>
      <c r="AM13" s="24"/>
      <c r="AN13" s="182" t="str">
        <f>=IFERROR(ROUND(AM13/MA_Kurs_10,2),0)</f>
      </c>
      <c r="AP13" s="181" t="s">
        <v>300</v>
      </c>
      <c r="AQ13" s="24"/>
      <c r="AR13" s="182" t="str">
        <f>=IFERROR(ROUND(AQ13/MA_Kurs_11,2),0)</f>
      </c>
      <c r="AT13" s="181" t="s">
        <v>300</v>
      </c>
      <c r="AU13" s="24"/>
      <c r="AV13" s="182" t="str">
        <f>=IFERROR(ROUND(AU13/MA_Kurs_12,2),0)</f>
      </c>
      <c r="AX13" s="181" t="s">
        <v>300</v>
      </c>
      <c r="AY13" s="24"/>
      <c r="AZ13" s="182" t="str">
        <f>=IFERROR(ROUND(AY13/MA_Kurs_13,2),0)</f>
      </c>
      <c r="BB13" s="181" t="s">
        <v>300</v>
      </c>
      <c r="BC13" s="24"/>
      <c r="BD13" s="182" t="str">
        <f>=IFERROR(ROUND(BC13/MA_Kurs_14,2),0)</f>
      </c>
      <c r="BF13" s="181" t="s">
        <v>300</v>
      </c>
      <c r="BG13" s="24"/>
      <c r="BH13" s="182" t="str">
        <f>=IFERROR(ROUND(BG13/MA_Kurs_15,2),0)</f>
      </c>
      <c r="BJ13" s="181" t="s">
        <v>300</v>
      </c>
      <c r="BK13" s="24"/>
      <c r="BL13" s="182" t="str">
        <f>=IFERROR(ROUND(BK13/MA_Kurs_16,2),0)</f>
      </c>
      <c r="BN13" s="181" t="s">
        <v>300</v>
      </c>
      <c r="BO13" s="24"/>
      <c r="BP13" s="182" t="str">
        <f>=IFERROR(ROUND(BO13/MA_Kurs_17,2),0)</f>
      </c>
      <c r="BR13" s="181" t="s">
        <v>300</v>
      </c>
      <c r="BS13" s="24"/>
      <c r="BT13" s="182" t="str">
        <f>=IFERROR(ROUND(BS13/MA_Kurs_18,2),0)</f>
      </c>
    </row>
    <row r="14">
      <c r="B14" s="181" t="s">
        <v>331</v>
      </c>
      <c r="C14" s="24"/>
      <c r="D14" s="182" t="str">
        <f>=IFERROR(ROUND(C14/MA_Kurs_1,2),0)</f>
      </c>
      <c r="F14" s="181" t="s">
        <v>331</v>
      </c>
      <c r="G14" s="24"/>
      <c r="H14" s="182" t="str">
        <f>=IFERROR(ROUND(G14/MA_Kurs_2,2),0)</f>
      </c>
      <c r="J14" s="181" t="s">
        <v>331</v>
      </c>
      <c r="K14" s="24"/>
      <c r="L14" s="182" t="str">
        <f>=IFERROR(ROUND(K14/MA_Kurs_3,2),0)</f>
      </c>
      <c r="N14" s="181" t="s">
        <v>331</v>
      </c>
      <c r="O14" s="24"/>
      <c r="P14" s="182" t="str">
        <f>=IFERROR(ROUND(O14/MA_Kurs_4,2),0)</f>
      </c>
      <c r="R14" s="181" t="s">
        <v>331</v>
      </c>
      <c r="S14" s="24"/>
      <c r="T14" s="182" t="str">
        <f>=IFERROR(ROUND(S14/MA_Kurs_5,2),0)</f>
      </c>
      <c r="V14" s="181" t="s">
        <v>331</v>
      </c>
      <c r="W14" s="24"/>
      <c r="X14" s="182" t="str">
        <f>=IFERROR(ROUND(W14/MA_Kurs_6,2),0)</f>
      </c>
      <c r="Z14" s="181" t="s">
        <v>331</v>
      </c>
      <c r="AA14" s="24"/>
      <c r="AB14" s="182" t="str">
        <f>=IFERROR(ROUND(AA14/MA_Kurs_7,2),0)</f>
      </c>
      <c r="AD14" s="181" t="s">
        <v>331</v>
      </c>
      <c r="AE14" s="24"/>
      <c r="AF14" s="182" t="str">
        <f>=IFERROR(ROUND(AE14/MA_Kurs_8,2),0)</f>
      </c>
      <c r="AH14" s="181" t="s">
        <v>331</v>
      </c>
      <c r="AI14" s="24"/>
      <c r="AJ14" s="182" t="str">
        <f>=IFERROR(ROUND(AI14/MA_Kurs_9,2),0)</f>
      </c>
      <c r="AL14" s="181" t="s">
        <v>331</v>
      </c>
      <c r="AM14" s="24"/>
      <c r="AN14" s="182" t="str">
        <f>=IFERROR(ROUND(AM14/MA_Kurs_10,2),0)</f>
      </c>
      <c r="AP14" s="181" t="s">
        <v>331</v>
      </c>
      <c r="AQ14" s="24"/>
      <c r="AR14" s="182" t="str">
        <f>=IFERROR(ROUND(AQ14/MA_Kurs_11,2),0)</f>
      </c>
      <c r="AT14" s="181" t="s">
        <v>331</v>
      </c>
      <c r="AU14" s="24"/>
      <c r="AV14" s="182" t="str">
        <f>=IFERROR(ROUND(AU14/MA_Kurs_12,2),0)</f>
      </c>
      <c r="AX14" s="181" t="s">
        <v>331</v>
      </c>
      <c r="AY14" s="24"/>
      <c r="AZ14" s="182" t="str">
        <f>=IFERROR(ROUND(AY14/MA_Kurs_13,2),0)</f>
      </c>
      <c r="BB14" s="181" t="s">
        <v>331</v>
      </c>
      <c r="BC14" s="24"/>
      <c r="BD14" s="182" t="str">
        <f>=IFERROR(ROUND(BC14/MA_Kurs_14,2),0)</f>
      </c>
      <c r="BF14" s="181" t="s">
        <v>331</v>
      </c>
      <c r="BG14" s="24"/>
      <c r="BH14" s="182" t="str">
        <f>=IFERROR(ROUND(BG14/MA_Kurs_15,2),0)</f>
      </c>
      <c r="BJ14" s="181" t="s">
        <v>331</v>
      </c>
      <c r="BK14" s="24"/>
      <c r="BL14" s="182" t="str">
        <f>=IFERROR(ROUND(BK14/MA_Kurs_16,2),0)</f>
      </c>
      <c r="BN14" s="181" t="s">
        <v>331</v>
      </c>
      <c r="BO14" s="24"/>
      <c r="BP14" s="182" t="str">
        <f>=IFERROR(ROUND(BO14/MA_Kurs_17,2),0)</f>
      </c>
      <c r="BR14" s="181" t="s">
        <v>331</v>
      </c>
      <c r="BS14" s="24"/>
      <c r="BT14" s="182" t="str">
        <f>=IFERROR(ROUND(BS14/MA_Kurs_18,2),0)</f>
      </c>
    </row>
    <row r="15">
      <c r="B15" s="181" t="s">
        <v>352</v>
      </c>
      <c r="C15" s="24"/>
      <c r="D15" s="182" t="str">
        <f>=IFERROR(ROUND(C15/MA_Kurs_1,2),0)</f>
      </c>
      <c r="F15" s="181" t="s">
        <v>352</v>
      </c>
      <c r="G15" s="24"/>
      <c r="H15" s="182" t="str">
        <f>=IFERROR(ROUND(G15/MA_Kurs_2,2),0)</f>
      </c>
      <c r="J15" s="181" t="s">
        <v>352</v>
      </c>
      <c r="K15" s="24"/>
      <c r="L15" s="182" t="str">
        <f>=IFERROR(ROUND(K15/MA_Kurs_3,2),0)</f>
      </c>
      <c r="N15" s="181" t="s">
        <v>352</v>
      </c>
      <c r="O15" s="24"/>
      <c r="P15" s="182" t="str">
        <f>=IFERROR(ROUND(O15/MA_Kurs_4,2),0)</f>
      </c>
      <c r="R15" s="181" t="s">
        <v>352</v>
      </c>
      <c r="S15" s="24"/>
      <c r="T15" s="182" t="str">
        <f>=IFERROR(ROUND(S15/MA_Kurs_5,2),0)</f>
      </c>
      <c r="V15" s="181" t="s">
        <v>352</v>
      </c>
      <c r="W15" s="24"/>
      <c r="X15" s="182" t="str">
        <f>=IFERROR(ROUND(W15/MA_Kurs_6,2),0)</f>
      </c>
      <c r="Z15" s="181" t="s">
        <v>352</v>
      </c>
      <c r="AA15" s="24"/>
      <c r="AB15" s="182" t="str">
        <f>=IFERROR(ROUND(AA15/MA_Kurs_7,2),0)</f>
      </c>
      <c r="AD15" s="181" t="s">
        <v>352</v>
      </c>
      <c r="AE15" s="24"/>
      <c r="AF15" s="182" t="str">
        <f>=IFERROR(ROUND(AE15/MA_Kurs_8,2),0)</f>
      </c>
      <c r="AH15" s="181" t="s">
        <v>352</v>
      </c>
      <c r="AI15" s="24"/>
      <c r="AJ15" s="182" t="str">
        <f>=IFERROR(ROUND(AI15/MA_Kurs_9,2),0)</f>
      </c>
      <c r="AL15" s="181" t="s">
        <v>352</v>
      </c>
      <c r="AM15" s="24"/>
      <c r="AN15" s="182" t="str">
        <f>=IFERROR(ROUND(AM15/MA_Kurs_10,2),0)</f>
      </c>
      <c r="AP15" s="181" t="s">
        <v>352</v>
      </c>
      <c r="AQ15" s="24"/>
      <c r="AR15" s="182" t="str">
        <f>=IFERROR(ROUND(AQ15/MA_Kurs_11,2),0)</f>
      </c>
      <c r="AT15" s="181" t="s">
        <v>352</v>
      </c>
      <c r="AU15" s="24"/>
      <c r="AV15" s="182" t="str">
        <f>=IFERROR(ROUND(AU15/MA_Kurs_12,2),0)</f>
      </c>
      <c r="AX15" s="181" t="s">
        <v>352</v>
      </c>
      <c r="AY15" s="24"/>
      <c r="AZ15" s="182" t="str">
        <f>=IFERROR(ROUND(AY15/MA_Kurs_13,2),0)</f>
      </c>
      <c r="BB15" s="181" t="s">
        <v>352</v>
      </c>
      <c r="BC15" s="24"/>
      <c r="BD15" s="182" t="str">
        <f>=IFERROR(ROUND(BC15/MA_Kurs_14,2),0)</f>
      </c>
      <c r="BF15" s="181" t="s">
        <v>352</v>
      </c>
      <c r="BG15" s="24"/>
      <c r="BH15" s="182" t="str">
        <f>=IFERROR(ROUND(BG15/MA_Kurs_15,2),0)</f>
      </c>
      <c r="BJ15" s="181" t="s">
        <v>352</v>
      </c>
      <c r="BK15" s="24"/>
      <c r="BL15" s="182" t="str">
        <f>=IFERROR(ROUND(BK15/MA_Kurs_16,2),0)</f>
      </c>
      <c r="BN15" s="181" t="s">
        <v>352</v>
      </c>
      <c r="BO15" s="24"/>
      <c r="BP15" s="182" t="str">
        <f>=IFERROR(ROUND(BO15/MA_Kurs_17,2),0)</f>
      </c>
      <c r="BR15" s="181" t="s">
        <v>352</v>
      </c>
      <c r="BS15" s="24"/>
      <c r="BT15" s="182" t="str">
        <f>=IFERROR(ROUND(BS15/MA_Kurs_18,2),0)</f>
      </c>
    </row>
    <row r="16">
      <c r="B16" s="181" t="s">
        <v>355</v>
      </c>
      <c r="C16" s="24"/>
      <c r="D16" s="182" t="str">
        <f>=IFERROR(ROUND(C16/MA_Kurs_1,2),0)</f>
      </c>
      <c r="F16" s="181" t="s">
        <v>355</v>
      </c>
      <c r="G16" s="24"/>
      <c r="H16" s="182" t="str">
        <f>=IFERROR(ROUND(G16/MA_Kurs_2,2),0)</f>
      </c>
      <c r="J16" s="181" t="s">
        <v>355</v>
      </c>
      <c r="K16" s="24"/>
      <c r="L16" s="182" t="str">
        <f>=IFERROR(ROUND(K16/MA_Kurs_3,2),0)</f>
      </c>
      <c r="N16" s="181" t="s">
        <v>355</v>
      </c>
      <c r="O16" s="24"/>
      <c r="P16" s="182" t="str">
        <f>=IFERROR(ROUND(O16/MA_Kurs_4,2),0)</f>
      </c>
      <c r="R16" s="181" t="s">
        <v>355</v>
      </c>
      <c r="S16" s="24"/>
      <c r="T16" s="182" t="str">
        <f>=IFERROR(ROUND(S16/MA_Kurs_5,2),0)</f>
      </c>
      <c r="V16" s="181" t="s">
        <v>355</v>
      </c>
      <c r="W16" s="24"/>
      <c r="X16" s="182" t="str">
        <f>=IFERROR(ROUND(W16/MA_Kurs_6,2),0)</f>
      </c>
      <c r="Z16" s="181" t="s">
        <v>355</v>
      </c>
      <c r="AA16" s="24"/>
      <c r="AB16" s="182" t="str">
        <f>=IFERROR(ROUND(AA16/MA_Kurs_7,2),0)</f>
      </c>
      <c r="AD16" s="181" t="s">
        <v>355</v>
      </c>
      <c r="AE16" s="24"/>
      <c r="AF16" s="182" t="str">
        <f>=IFERROR(ROUND(AE16/MA_Kurs_8,2),0)</f>
      </c>
      <c r="AH16" s="181" t="s">
        <v>355</v>
      </c>
      <c r="AI16" s="24"/>
      <c r="AJ16" s="182" t="str">
        <f>=IFERROR(ROUND(AI16/MA_Kurs_9,2),0)</f>
      </c>
      <c r="AL16" s="181" t="s">
        <v>355</v>
      </c>
      <c r="AM16" s="24"/>
      <c r="AN16" s="182" t="str">
        <f>=IFERROR(ROUND(AM16/MA_Kurs_10,2),0)</f>
      </c>
      <c r="AP16" s="181" t="s">
        <v>355</v>
      </c>
      <c r="AQ16" s="24"/>
      <c r="AR16" s="182" t="str">
        <f>=IFERROR(ROUND(AQ16/MA_Kurs_11,2),0)</f>
      </c>
      <c r="AT16" s="181" t="s">
        <v>355</v>
      </c>
      <c r="AU16" s="24"/>
      <c r="AV16" s="182" t="str">
        <f>=IFERROR(ROUND(AU16/MA_Kurs_12,2),0)</f>
      </c>
      <c r="AX16" s="181" t="s">
        <v>355</v>
      </c>
      <c r="AY16" s="24"/>
      <c r="AZ16" s="182" t="str">
        <f>=IFERROR(ROUND(AY16/MA_Kurs_13,2),0)</f>
      </c>
      <c r="BB16" s="181" t="s">
        <v>355</v>
      </c>
      <c r="BC16" s="24"/>
      <c r="BD16" s="182" t="str">
        <f>=IFERROR(ROUND(BC16/MA_Kurs_14,2),0)</f>
      </c>
      <c r="BF16" s="181" t="s">
        <v>355</v>
      </c>
      <c r="BG16" s="24"/>
      <c r="BH16" s="182" t="str">
        <f>=IFERROR(ROUND(BG16/MA_Kurs_15,2),0)</f>
      </c>
      <c r="BJ16" s="181" t="s">
        <v>355</v>
      </c>
      <c r="BK16" s="24"/>
      <c r="BL16" s="182" t="str">
        <f>=IFERROR(ROUND(BK16/MA_Kurs_16,2),0)</f>
      </c>
      <c r="BN16" s="181" t="s">
        <v>355</v>
      </c>
      <c r="BO16" s="24"/>
      <c r="BP16" s="182" t="str">
        <f>=IFERROR(ROUND(BO16/MA_Kurs_17,2),0)</f>
      </c>
      <c r="BR16" s="181" t="s">
        <v>355</v>
      </c>
      <c r="BS16" s="24"/>
      <c r="BT16" s="182" t="str">
        <f>=IFERROR(ROUND(BS16/MA_Kurs_18,2),0)</f>
      </c>
    </row>
    <row r="17">
      <c r="B17" s="181" t="s">
        <v>357</v>
      </c>
      <c r="C17" s="24"/>
      <c r="D17" s="182" t="str">
        <f>=IFERROR(ROUND(C17/MA_Kurs_1,2),0)</f>
      </c>
      <c r="F17" s="181" t="s">
        <v>357</v>
      </c>
      <c r="G17" s="24"/>
      <c r="H17" s="182" t="str">
        <f>=IFERROR(ROUND(G17/MA_Kurs_2,2),0)</f>
      </c>
      <c r="J17" s="181" t="s">
        <v>357</v>
      </c>
      <c r="K17" s="24"/>
      <c r="L17" s="182" t="str">
        <f>=IFERROR(ROUND(K17/MA_Kurs_3,2),0)</f>
      </c>
      <c r="N17" s="181" t="s">
        <v>357</v>
      </c>
      <c r="O17" s="24"/>
      <c r="P17" s="182" t="str">
        <f>=IFERROR(ROUND(O17/MA_Kurs_4,2),0)</f>
      </c>
      <c r="R17" s="181" t="s">
        <v>357</v>
      </c>
      <c r="S17" s="24"/>
      <c r="T17" s="182" t="str">
        <f>=IFERROR(ROUND(S17/MA_Kurs_5,2),0)</f>
      </c>
      <c r="V17" s="181" t="s">
        <v>357</v>
      </c>
      <c r="W17" s="24"/>
      <c r="X17" s="182" t="str">
        <f>=IFERROR(ROUND(W17/MA_Kurs_6,2),0)</f>
      </c>
      <c r="Z17" s="181" t="s">
        <v>357</v>
      </c>
      <c r="AA17" s="24"/>
      <c r="AB17" s="182" t="str">
        <f>=IFERROR(ROUND(AA17/MA_Kurs_7,2),0)</f>
      </c>
      <c r="AD17" s="181" t="s">
        <v>357</v>
      </c>
      <c r="AE17" s="24"/>
      <c r="AF17" s="182" t="str">
        <f>=IFERROR(ROUND(AE17/MA_Kurs_8,2),0)</f>
      </c>
      <c r="AH17" s="181" t="s">
        <v>357</v>
      </c>
      <c r="AI17" s="24"/>
      <c r="AJ17" s="182" t="str">
        <f>=IFERROR(ROUND(AI17/MA_Kurs_9,2),0)</f>
      </c>
      <c r="AL17" s="181" t="s">
        <v>357</v>
      </c>
      <c r="AM17" s="24"/>
      <c r="AN17" s="182" t="str">
        <f>=IFERROR(ROUND(AM17/MA_Kurs_10,2),0)</f>
      </c>
      <c r="AP17" s="181" t="s">
        <v>357</v>
      </c>
      <c r="AQ17" s="24"/>
      <c r="AR17" s="182" t="str">
        <f>=IFERROR(ROUND(AQ17/MA_Kurs_11,2),0)</f>
      </c>
      <c r="AT17" s="181" t="s">
        <v>357</v>
      </c>
      <c r="AU17" s="24"/>
      <c r="AV17" s="182" t="str">
        <f>=IFERROR(ROUND(AU17/MA_Kurs_12,2),0)</f>
      </c>
      <c r="AX17" s="181" t="s">
        <v>357</v>
      </c>
      <c r="AY17" s="24"/>
      <c r="AZ17" s="182" t="str">
        <f>=IFERROR(ROUND(AY17/MA_Kurs_13,2),0)</f>
      </c>
      <c r="BB17" s="181" t="s">
        <v>357</v>
      </c>
      <c r="BC17" s="24"/>
      <c r="BD17" s="182" t="str">
        <f>=IFERROR(ROUND(BC17/MA_Kurs_14,2),0)</f>
      </c>
      <c r="BF17" s="181" t="s">
        <v>357</v>
      </c>
      <c r="BG17" s="24"/>
      <c r="BH17" s="182" t="str">
        <f>=IFERROR(ROUND(BG17/MA_Kurs_15,2),0)</f>
      </c>
      <c r="BJ17" s="181" t="s">
        <v>357</v>
      </c>
      <c r="BK17" s="24"/>
      <c r="BL17" s="182" t="str">
        <f>=IFERROR(ROUND(BK17/MA_Kurs_16,2),0)</f>
      </c>
      <c r="BN17" s="181" t="s">
        <v>357</v>
      </c>
      <c r="BO17" s="24"/>
      <c r="BP17" s="182" t="str">
        <f>=IFERROR(ROUND(BO17/MA_Kurs_17,2),0)</f>
      </c>
      <c r="BR17" s="181" t="s">
        <v>357</v>
      </c>
      <c r="BS17" s="24"/>
      <c r="BT17" s="182" t="str">
        <f>=IFERROR(ROUND(BS17/MA_Kurs_18,2),0)</f>
      </c>
    </row>
    <row r="18">
      <c r="B18" s="183" t="s">
        <v>456</v>
      </c>
      <c r="C18" s="184" t="str">
        <f>=ROUND(SUBTOTAL(109,MA_1[Angefordert (LC)]),2)</f>
      </c>
      <c r="D18" s="185" t="str">
        <f>=ROUND(SUBTOTAL(109,MA_1[Angefordert (EUR)]),2)</f>
      </c>
      <c r="F18" s="183" t="s">
        <v>456</v>
      </c>
      <c r="G18" s="184" t="str">
        <f>=ROUND(SUBTOTAL(109,MA_2[Angefordert (LC)]),2)</f>
      </c>
      <c r="H18" s="185" t="str">
        <f>=ROUND(SUBTOTAL(109,MA_2[Angefordert (EUR)]),2)</f>
      </c>
      <c r="J18" s="183" t="s">
        <v>456</v>
      </c>
      <c r="K18" s="184" t="str">
        <f>=ROUND(SUBTOTAL(109,MA_3[Angefordert (LC)]),2)</f>
      </c>
      <c r="L18" s="185" t="str">
        <f>=ROUND(SUBTOTAL(109,MA_3[Angefordert (EUR)]),2)</f>
      </c>
      <c r="N18" s="183" t="s">
        <v>456</v>
      </c>
      <c r="O18" s="184" t="str">
        <f>=ROUND(SUBTOTAL(109,MA_4[Angefordert (LC)]),2)</f>
      </c>
      <c r="P18" s="185" t="str">
        <f>=ROUND(SUBTOTAL(109,MA_4[Angefordert (EUR)]),2)</f>
      </c>
      <c r="R18" s="183" t="s">
        <v>456</v>
      </c>
      <c r="S18" s="184" t="str">
        <f>=ROUND(SUBTOTAL(109,MA_5[Angefordert (LC)]),2)</f>
      </c>
      <c r="T18" s="185" t="str">
        <f>=ROUND(SUBTOTAL(109,MA_5[Angefordert (EUR)]),2)</f>
      </c>
      <c r="V18" s="183" t="s">
        <v>456</v>
      </c>
      <c r="W18" s="184" t="str">
        <f>=ROUND(SUBTOTAL(109,MA_6[Angefordert (LC)]),2)</f>
      </c>
      <c r="X18" s="185" t="str">
        <f>=ROUND(SUBTOTAL(109,MA_6[Angefordert (EUR)]),2)</f>
      </c>
      <c r="Z18" s="183" t="s">
        <v>456</v>
      </c>
      <c r="AA18" s="184" t="str">
        <f>=ROUND(SUBTOTAL(109,MA_7[Angefordert (LC)]),2)</f>
      </c>
      <c r="AB18" s="185" t="str">
        <f>=ROUND(SUBTOTAL(109,MA_7[Angefordert (EUR)]),2)</f>
      </c>
      <c r="AD18" s="183" t="s">
        <v>456</v>
      </c>
      <c r="AE18" s="184" t="str">
        <f>=ROUND(SUBTOTAL(109,MA_8[Angefordert (LC)]),2)</f>
      </c>
      <c r="AF18" s="185" t="str">
        <f>=ROUND(SUBTOTAL(109,MA_8[Angefordert (EUR)]),2)</f>
      </c>
      <c r="AH18" s="183" t="s">
        <v>456</v>
      </c>
      <c r="AI18" s="184" t="str">
        <f>=ROUND(SUBTOTAL(109,MA_9[Angefordert (LC)]),2)</f>
      </c>
      <c r="AJ18" s="185" t="str">
        <f>=ROUND(SUBTOTAL(109,MA_9[Angefordert (EUR)]),2)</f>
      </c>
      <c r="AL18" s="183" t="s">
        <v>456</v>
      </c>
      <c r="AM18" s="184" t="str">
        <f>=ROUND(SUBTOTAL(109,MA_10[Angefordert (LC)]),2)</f>
      </c>
      <c r="AN18" s="185" t="str">
        <f>=ROUND(SUBTOTAL(109,MA_10[Angefordert (EUR)]),2)</f>
      </c>
      <c r="AP18" s="183" t="s">
        <v>456</v>
      </c>
      <c r="AQ18" s="184" t="str">
        <f>=ROUND(SUBTOTAL(109,MA_11[Angefordert (LC)]),2)</f>
      </c>
      <c r="AR18" s="185" t="str">
        <f>=ROUND(SUBTOTAL(109,MA_11[Angefordert (EUR)]),2)</f>
      </c>
      <c r="AT18" s="183" t="s">
        <v>456</v>
      </c>
      <c r="AU18" s="184" t="str">
        <f>=ROUND(SUBTOTAL(109,MA_12[Angefordert (LC)]),2)</f>
      </c>
      <c r="AV18" s="185" t="str">
        <f>=ROUND(SUBTOTAL(109,MA_12[Angefordert (EUR)]),2)</f>
      </c>
      <c r="AX18" s="183" t="s">
        <v>456</v>
      </c>
      <c r="AY18" s="184" t="str">
        <f>=ROUND(SUBTOTAL(109,MA_13[Angefordert (LC)]),2)</f>
      </c>
      <c r="AZ18" s="185" t="str">
        <f>=ROUND(SUBTOTAL(109,MA_13[Angefordert (EUR)]),2)</f>
      </c>
      <c r="BB18" s="183" t="s">
        <v>456</v>
      </c>
      <c r="BC18" s="184" t="str">
        <f>=ROUND(SUBTOTAL(109,MA_14[Angefordert (LC)]),2)</f>
      </c>
      <c r="BD18" s="185" t="str">
        <f>=ROUND(SUBTOTAL(109,MA_14[Angefordert (EUR)]),2)</f>
      </c>
      <c r="BF18" s="183" t="s">
        <v>456</v>
      </c>
      <c r="BG18" s="184" t="str">
        <f>=ROUND(SUBTOTAL(109,MA_15[Angefordert (LC)]),2)</f>
      </c>
      <c r="BH18" s="185" t="str">
        <f>=ROUND(SUBTOTAL(109,MA_15[Angefordert (EUR)]),2)</f>
      </c>
      <c r="BJ18" s="183" t="s">
        <v>456</v>
      </c>
      <c r="BK18" s="184" t="str">
        <f>=ROUND(SUBTOTAL(109,MA_16[Angefordert (LC)]),2)</f>
      </c>
      <c r="BL18" s="185" t="str">
        <f>=ROUND(SUBTOTAL(109,MA_16[Angefordert (EUR)]),2)</f>
      </c>
      <c r="BN18" s="183" t="s">
        <v>456</v>
      </c>
      <c r="BO18" s="184" t="str">
        <f>=ROUND(SUBTOTAL(109,MA_17[Angefordert (LC)]),2)</f>
      </c>
      <c r="BP18" s="185" t="str">
        <f>=ROUND(SUBTOTAL(109,MA_17[Angefordert (EUR)]),2)</f>
      </c>
      <c r="BR18" s="183" t="s">
        <v>456</v>
      </c>
      <c r="BS18" s="184" t="str">
        <f>=ROUND(SUBTOTAL(109,MA_18[Angefordert (LC)]),2)</f>
      </c>
      <c r="BT18" s="185" t="str">
        <f>=ROUND(SUBTOTAL(109,MA_18[Angefordert (EUR)]),2)</f>
      </c>
    </row>
    <row r="20">
      <c r="B20" t="s">
        <v>457</v>
      </c>
      <c r="C20" s="186" t="str">
        <f>=ROUND($C$18,2)</f>
      </c>
      <c r="D20" s="187" t="str">
        <f>=ROUND($D$18,2)</f>
      </c>
      <c r="F20" t="s">
        <v>457</v>
      </c>
      <c r="G20" s="186" t="str">
        <f>=ROUND($G$18,2)</f>
      </c>
      <c r="H20" s="187" t="str">
        <f>=ROUND($H$18,2)</f>
      </c>
      <c r="J20" t="s">
        <v>457</v>
      </c>
      <c r="K20" s="186" t="str">
        <f>=ROUND($K$18,2)</f>
      </c>
      <c r="L20" s="187" t="str">
        <f>=ROUND($L$18,2)</f>
      </c>
      <c r="N20" t="s">
        <v>457</v>
      </c>
      <c r="O20" s="186" t="str">
        <f>=ROUND($O$18,2)</f>
      </c>
      <c r="P20" s="187" t="str">
        <f>=ROUND($P$18,2)</f>
      </c>
      <c r="R20" t="s">
        <v>457</v>
      </c>
      <c r="S20" s="186" t="str">
        <f>=ROUND($S$18,2)</f>
      </c>
      <c r="T20" s="187" t="str">
        <f>=ROUND($T$18,2)</f>
      </c>
      <c r="V20" t="s">
        <v>457</v>
      </c>
      <c r="W20" s="186" t="str">
        <f>=ROUND($W$18,2)</f>
      </c>
      <c r="X20" s="187" t="str">
        <f>=ROUND($X$18,2)</f>
      </c>
      <c r="Z20" t="s">
        <v>457</v>
      </c>
      <c r="AA20" s="186" t="str">
        <f>=ROUND($AA$18,2)</f>
      </c>
      <c r="AB20" s="187" t="str">
        <f>=ROUND($AB$18,2)</f>
      </c>
      <c r="AD20" t="s">
        <v>457</v>
      </c>
      <c r="AE20" s="186" t="str">
        <f>=ROUND($AE$18,2)</f>
      </c>
      <c r="AF20" s="187" t="str">
        <f>=ROUND($AF$18,2)</f>
      </c>
      <c r="AH20" t="s">
        <v>457</v>
      </c>
      <c r="AI20" s="186" t="str">
        <f>=ROUND($AI$18,2)</f>
      </c>
      <c r="AJ20" s="187" t="str">
        <f>=ROUND($AJ$18,2)</f>
      </c>
      <c r="AL20" t="s">
        <v>457</v>
      </c>
      <c r="AM20" s="186" t="str">
        <f>=ROUND($AM$18,2)</f>
      </c>
      <c r="AN20" s="187" t="str">
        <f>=ROUND($AN$18,2)</f>
      </c>
      <c r="AP20" t="s">
        <v>457</v>
      </c>
      <c r="AQ20" s="186" t="str">
        <f>=ROUND($AQ$18,2)</f>
      </c>
      <c r="AR20" s="187" t="str">
        <f>=ROUND($AR$18,2)</f>
      </c>
      <c r="AT20" t="s">
        <v>457</v>
      </c>
      <c r="AU20" s="186" t="str">
        <f>=ROUND($AU$18,2)</f>
      </c>
      <c r="AV20" s="187" t="str">
        <f>=ROUND($AV$18,2)</f>
      </c>
      <c r="AX20" t="s">
        <v>457</v>
      </c>
      <c r="AY20" s="186" t="str">
        <f>=ROUND($AY$18,2)</f>
      </c>
      <c r="AZ20" s="187" t="str">
        <f>=ROUND($AZ$18,2)</f>
      </c>
      <c r="BB20" t="s">
        <v>457</v>
      </c>
      <c r="BC20" s="186" t="str">
        <f>=ROUND($BC$18,2)</f>
      </c>
      <c r="BD20" s="187" t="str">
        <f>=ROUND($BD$18,2)</f>
      </c>
      <c r="BF20" t="s">
        <v>457</v>
      </c>
      <c r="BG20" s="186" t="str">
        <f>=ROUND($BG$18,2)</f>
      </c>
      <c r="BH20" s="187" t="str">
        <f>=ROUND($BH$18,2)</f>
      </c>
      <c r="BJ20" t="s">
        <v>457</v>
      </c>
      <c r="BK20" s="186" t="str">
        <f>=ROUND($BK$18,2)</f>
      </c>
      <c r="BL20" s="187" t="str">
        <f>=ROUND($BL$18,2)</f>
      </c>
      <c r="BN20" t="s">
        <v>457</v>
      </c>
      <c r="BO20" s="186" t="str">
        <f>=ROUND($BO$18,2)</f>
      </c>
      <c r="BP20" s="187" t="str">
        <f>=ROUND($BP$18,2)</f>
      </c>
      <c r="BR20" t="s">
        <v>457</v>
      </c>
      <c r="BS20" s="186" t="str">
        <f>=ROUND($BS$18,2)</f>
      </c>
      <c r="BT20" s="187" t="str">
        <f>=ROUND($BT$18,2)</f>
      </c>
    </row>
    <row r="21">
      <c r="B21" t="s">
        <v>458</v>
      </c>
      <c r="C21" s="24"/>
      <c r="D21" s="182" t="str">
        <f>=IFERROR(ROUND($C$21/$C$8,2),0)</f>
      </c>
      <c r="F21" t="s">
        <v>458</v>
      </c>
      <c r="G21" s="24"/>
      <c r="H21" s="182" t="str">
        <f>=IFERROR(ROUND($G$21/$G$8,2),0)</f>
      </c>
      <c r="J21" t="s">
        <v>458</v>
      </c>
      <c r="K21" s="24"/>
      <c r="L21" s="182" t="str">
        <f>=IFERROR(ROUND($K$21/$K$8,2),0)</f>
      </c>
      <c r="N21" t="s">
        <v>458</v>
      </c>
      <c r="O21" s="24"/>
      <c r="P21" s="182" t="str">
        <f>=IFERROR(ROUND($O$21/$O$8,2),0)</f>
      </c>
      <c r="R21" t="s">
        <v>458</v>
      </c>
      <c r="S21" s="24"/>
      <c r="T21" s="182" t="str">
        <f>=IFERROR(ROUND($S$21/$S$8,2),0)</f>
      </c>
      <c r="V21" t="s">
        <v>458</v>
      </c>
      <c r="W21" s="24"/>
      <c r="X21" s="182" t="str">
        <f>=IFERROR(ROUND($W$21/$W$8,2),0)</f>
      </c>
      <c r="Z21" t="s">
        <v>458</v>
      </c>
      <c r="AA21" s="24"/>
      <c r="AB21" s="182" t="str">
        <f>=IFERROR(ROUND($AA$21/$AA$8,2),0)</f>
      </c>
      <c r="AD21" t="s">
        <v>458</v>
      </c>
      <c r="AE21" s="24"/>
      <c r="AF21" s="182" t="str">
        <f>=IFERROR(ROUND($AE$21/$AE$8,2),0)</f>
      </c>
      <c r="AH21" t="s">
        <v>458</v>
      </c>
      <c r="AI21" s="24"/>
      <c r="AJ21" s="182" t="str">
        <f>=IFERROR(ROUND($AI$21/$AI$8,2),0)</f>
      </c>
      <c r="AL21" t="s">
        <v>458</v>
      </c>
      <c r="AM21" s="24"/>
      <c r="AN21" s="182" t="str">
        <f>=IFERROR(ROUND($AM$21/$AM$8,2),0)</f>
      </c>
      <c r="AP21" t="s">
        <v>458</v>
      </c>
      <c r="AQ21" s="24"/>
      <c r="AR21" s="182" t="str">
        <f>=IFERROR(ROUND($AQ$21/$AQ$8,2),0)</f>
      </c>
      <c r="AT21" t="s">
        <v>458</v>
      </c>
      <c r="AU21" s="24"/>
      <c r="AV21" s="182" t="str">
        <f>=IFERROR(ROUND($AU$21/$AU$8,2),0)</f>
      </c>
      <c r="AX21" t="s">
        <v>458</v>
      </c>
      <c r="AY21" s="24"/>
      <c r="AZ21" s="182" t="str">
        <f>=IFERROR(ROUND($AY$21/$AY$8,2),0)</f>
      </c>
      <c r="BB21" t="s">
        <v>458</v>
      </c>
      <c r="BC21" s="24"/>
      <c r="BD21" s="182" t="str">
        <f>=IFERROR(ROUND($BC$21/$BC$8,2),0)</f>
      </c>
      <c r="BF21" t="s">
        <v>458</v>
      </c>
      <c r="BG21" s="24"/>
      <c r="BH21" s="182" t="str">
        <f>=IFERROR(ROUND($BG$21/$BG$8,2),0)</f>
      </c>
      <c r="BJ21" t="s">
        <v>458</v>
      </c>
      <c r="BK21" s="24"/>
      <c r="BL21" s="182" t="str">
        <f>=IFERROR(ROUND($BK$21/$BK$8,2),0)</f>
      </c>
      <c r="BN21" t="s">
        <v>458</v>
      </c>
      <c r="BO21" s="24"/>
      <c r="BP21" s="182" t="str">
        <f>=IFERROR(ROUND($BO$21/$BO$8,2),0)</f>
      </c>
      <c r="BR21" t="s">
        <v>458</v>
      </c>
      <c r="BS21" s="24"/>
      <c r="BT21" s="182" t="str">
        <f>=IFERROR(ROUND($BS$21/$BS$8,2),0)</f>
      </c>
    </row>
    <row r="22">
      <c r="B22" t="s">
        <v>459</v>
      </c>
      <c r="C22" s="24"/>
      <c r="D22" s="182" t="str">
        <f>=IFERROR(ROUND($C$22/$C$8,2),0)</f>
      </c>
      <c r="F22" t="s">
        <v>459</v>
      </c>
      <c r="G22" s="24"/>
      <c r="H22" s="182" t="str">
        <f>=IFERROR(ROUND($G$22/$G$8,2),0)</f>
      </c>
      <c r="J22" t="s">
        <v>459</v>
      </c>
      <c r="K22" s="24"/>
      <c r="L22" s="182" t="str">
        <f>=IFERROR(ROUND($K$22/$K$8,2),0)</f>
      </c>
      <c r="N22" t="s">
        <v>459</v>
      </c>
      <c r="O22" s="24"/>
      <c r="P22" s="182" t="str">
        <f>=IFERROR(ROUND($O$22/$O$8,2),0)</f>
      </c>
      <c r="R22" t="s">
        <v>459</v>
      </c>
      <c r="S22" s="24"/>
      <c r="T22" s="182" t="str">
        <f>=IFERROR(ROUND($S$22/$S$8,2),0)</f>
      </c>
      <c r="V22" t="s">
        <v>459</v>
      </c>
      <c r="W22" s="24"/>
      <c r="X22" s="182" t="str">
        <f>=IFERROR(ROUND($W$22/$W$8,2),0)</f>
      </c>
      <c r="Z22" t="s">
        <v>459</v>
      </c>
      <c r="AA22" s="24"/>
      <c r="AB22" s="182" t="str">
        <f>=IFERROR(ROUND($AA$22/$AA$8,2),0)</f>
      </c>
      <c r="AD22" t="s">
        <v>459</v>
      </c>
      <c r="AE22" s="24"/>
      <c r="AF22" s="182" t="str">
        <f>=IFERROR(ROUND($AE$22/$AE$8,2),0)</f>
      </c>
      <c r="AH22" t="s">
        <v>459</v>
      </c>
      <c r="AI22" s="24"/>
      <c r="AJ22" s="182" t="str">
        <f>=IFERROR(ROUND($AI$22/$AI$8,2),0)</f>
      </c>
      <c r="AL22" t="s">
        <v>459</v>
      </c>
      <c r="AM22" s="24"/>
      <c r="AN22" s="182" t="str">
        <f>=IFERROR(ROUND($AM$22/$AM$8,2),0)</f>
      </c>
      <c r="AP22" t="s">
        <v>459</v>
      </c>
      <c r="AQ22" s="24"/>
      <c r="AR22" s="182" t="str">
        <f>=IFERROR(ROUND($AQ$22/$AQ$8,2),0)</f>
      </c>
      <c r="AT22" t="s">
        <v>459</v>
      </c>
      <c r="AU22" s="24"/>
      <c r="AV22" s="182" t="str">
        <f>=IFERROR(ROUND($AU$22/$AU$8,2),0)</f>
      </c>
      <c r="AX22" t="s">
        <v>459</v>
      </c>
      <c r="AY22" s="24"/>
      <c r="AZ22" s="182" t="str">
        <f>=IFERROR(ROUND($AY$22/$AY$8,2),0)</f>
      </c>
      <c r="BB22" t="s">
        <v>459</v>
      </c>
      <c r="BC22" s="24"/>
      <c r="BD22" s="182" t="str">
        <f>=IFERROR(ROUND($BC$22/$BC$8,2),0)</f>
      </c>
      <c r="BF22" t="s">
        <v>459</v>
      </c>
      <c r="BG22" s="24"/>
      <c r="BH22" s="182" t="str">
        <f>=IFERROR(ROUND($BG$22/$BG$8,2),0)</f>
      </c>
      <c r="BJ22" t="s">
        <v>459</v>
      </c>
      <c r="BK22" s="24"/>
      <c r="BL22" s="182" t="str">
        <f>=IFERROR(ROUND($BK$22/$BK$8,2),0)</f>
      </c>
      <c r="BN22" t="s">
        <v>459</v>
      </c>
      <c r="BO22" s="24"/>
      <c r="BP22" s="182" t="str">
        <f>=IFERROR(ROUND($BO$22/$BO$8,2),0)</f>
      </c>
      <c r="BR22" t="s">
        <v>459</v>
      </c>
      <c r="BS22" s="24"/>
      <c r="BT22" s="182" t="str">
        <f>=IFERROR(ROUND($BS$22/$BS$8,2),0)</f>
      </c>
    </row>
    <row r="23">
      <c r="B23" t="s">
        <v>460</v>
      </c>
      <c r="C23" s="188" t="str">
        <f>=ROUND(IF(Saldovortrag_LW="",0,Saldovortrag_LW),2)</f>
      </c>
      <c r="D23" s="182" t="str">
        <f>=IFERROR(ROUND($C$23/$C$8,2),0)</f>
      </c>
      <c r="F23" t="s">
        <v>463</v>
      </c>
      <c r="G23" s="188" t="str">
        <f>=ROUND(IFERROR(FB_SaldoLC_1,0),2)</f>
      </c>
      <c r="H23" s="182" t="str">
        <f>=IFERROR(ROUND($G$23/$G$8,2),0)</f>
      </c>
      <c r="J23" t="s">
        <v>463</v>
      </c>
      <c r="K23" s="188" t="str">
        <f>=ROUND(IFERROR(FB_SaldoLC_2,0),2)</f>
      </c>
      <c r="L23" s="182" t="str">
        <f>=IFERROR(ROUND($K$23/$K$8,2),0)</f>
      </c>
      <c r="N23" t="s">
        <v>463</v>
      </c>
      <c r="O23" s="188" t="str">
        <f>=ROUND(IFERROR(FB_SaldoLC_3,0),2)</f>
      </c>
      <c r="P23" s="182" t="str">
        <f>=IFERROR(ROUND($O$23/$O$8,2),0)</f>
      </c>
      <c r="R23" t="s">
        <v>463</v>
      </c>
      <c r="S23" s="188" t="str">
        <f>=ROUND(IFERROR(FB_SaldoLC_4,0),2)</f>
      </c>
      <c r="T23" s="182" t="str">
        <f>=IFERROR(ROUND($S$23/$S$8,2),0)</f>
      </c>
      <c r="V23" t="s">
        <v>463</v>
      </c>
      <c r="W23" s="188" t="str">
        <f>=ROUND(IFERROR(FB_SaldoLC_5,0),2)</f>
      </c>
      <c r="X23" s="182" t="str">
        <f>=IFERROR(ROUND($W$23/$W$8,2),0)</f>
      </c>
      <c r="Z23" t="s">
        <v>463</v>
      </c>
      <c r="AA23" s="188" t="str">
        <f>=ROUND(IFERROR(FB_SaldoLC_6,0),2)</f>
      </c>
      <c r="AB23" s="182" t="str">
        <f>=IFERROR(ROUND($AA$23/$AA$8,2),0)</f>
      </c>
      <c r="AD23" t="s">
        <v>463</v>
      </c>
      <c r="AE23" s="188" t="str">
        <f>=ROUND(IFERROR(FB_SaldoLC_7,0),2)</f>
      </c>
      <c r="AF23" s="182" t="str">
        <f>=IFERROR(ROUND($AE$23/$AE$8,2),0)</f>
      </c>
      <c r="AH23" t="s">
        <v>463</v>
      </c>
      <c r="AI23" s="188" t="str">
        <f>=ROUND(IFERROR(FB_SaldoLC_8,0),2)</f>
      </c>
      <c r="AJ23" s="182" t="str">
        <f>=IFERROR(ROUND($AI$23/$AI$8,2),0)</f>
      </c>
      <c r="AL23" t="s">
        <v>463</v>
      </c>
      <c r="AM23" s="188" t="str">
        <f>=ROUND(IFERROR(FB_SaldoLC_9,0),2)</f>
      </c>
      <c r="AN23" s="182" t="str">
        <f>=IFERROR(ROUND($AM$23/$AM$8,2),0)</f>
      </c>
      <c r="AP23" t="s">
        <v>463</v>
      </c>
      <c r="AQ23" s="188" t="str">
        <f>=ROUND(IFERROR(FB_SaldoLC_10,0),2)</f>
      </c>
      <c r="AR23" s="182" t="str">
        <f>=IFERROR(ROUND($AQ$23/$AQ$8,2),0)</f>
      </c>
      <c r="AT23" t="s">
        <v>463</v>
      </c>
      <c r="AU23" s="188" t="str">
        <f>=ROUND(IFERROR(FB_SaldoLC_11,0),2)</f>
      </c>
      <c r="AV23" s="182" t="str">
        <f>=IFERROR(ROUND($AU$23/$AU$8,2),0)</f>
      </c>
      <c r="AX23" t="s">
        <v>463</v>
      </c>
      <c r="AY23" s="188" t="str">
        <f>=ROUND(IFERROR(FB_SaldoLC_12,0),2)</f>
      </c>
      <c r="AZ23" s="182" t="str">
        <f>=IFERROR(ROUND($AY$23/$AY$8,2),0)</f>
      </c>
      <c r="BB23" t="s">
        <v>463</v>
      </c>
      <c r="BC23" s="188" t="str">
        <f>=ROUND(IFERROR(FB_SaldoLC_13,0),2)</f>
      </c>
      <c r="BD23" s="182" t="str">
        <f>=IFERROR(ROUND($BC$23/$BC$8,2),0)</f>
      </c>
      <c r="BF23" t="s">
        <v>463</v>
      </c>
      <c r="BG23" s="188" t="str">
        <f>=ROUND(IFERROR(FB_SaldoLC_14,0),2)</f>
      </c>
      <c r="BH23" s="182" t="str">
        <f>=IFERROR(ROUND($BG$23/$BG$8,2),0)</f>
      </c>
      <c r="BJ23" t="s">
        <v>463</v>
      </c>
      <c r="BK23" s="188" t="str">
        <f>=ROUND(IFERROR(FB_SaldoLC_15,0),2)</f>
      </c>
      <c r="BL23" s="182" t="str">
        <f>=IFERROR(ROUND($BK$23/$BK$8,2),0)</f>
      </c>
      <c r="BN23" t="s">
        <v>463</v>
      </c>
      <c r="BO23" s="188" t="str">
        <f>=ROUND(IFERROR(FB_SaldoLC_16,0),2)</f>
      </c>
      <c r="BP23" s="182" t="str">
        <f>=IFERROR(ROUND($BO$23/$BO$8,2),0)</f>
      </c>
      <c r="BR23" t="s">
        <v>463</v>
      </c>
      <c r="BS23" s="188" t="str">
        <f>=ROUND(IFERROR(FB_SaldoLC_17,0),2)</f>
      </c>
      <c r="BT23" s="182" t="str">
        <f>=IFERROR(ROUND($BS$23/$BS$8,2),0)</f>
      </c>
    </row>
    <row r="25">
      <c r="B25" s="189" t="s">
        <v>461</v>
      </c>
      <c r="C25" s="190" t="str">
        <f>=IFERROR(ROUND($C$18-$C$21-$C$22-$C$23,2),0)</f>
      </c>
      <c r="D25" s="191" t="str">
        <f>=IFERROR(ROUND($D$18-$D$21-$D$22-$D$23,2),0)</f>
      </c>
      <c r="F25" s="189" t="s">
        <v>461</v>
      </c>
      <c r="G25" s="190" t="str">
        <f>=IFERROR(ROUND($G$18-$G$21-$G$22-$G$23,2),0)</f>
      </c>
      <c r="H25" s="191" t="str">
        <f>=IFERROR(ROUND($H$18-$H$21-$H$22-$H$23,2),0)</f>
      </c>
      <c r="J25" s="189" t="s">
        <v>461</v>
      </c>
      <c r="K25" s="190" t="str">
        <f>=IFERROR(ROUND($K$18-$K$21-$K$22-$K$23,2),0)</f>
      </c>
      <c r="L25" s="191" t="str">
        <f>=IFERROR(ROUND($L$18-$L$21-$L$22-$L$23,2),0)</f>
      </c>
      <c r="N25" s="189" t="s">
        <v>461</v>
      </c>
      <c r="O25" s="190" t="str">
        <f>=IFERROR(ROUND($O$18-$O$21-$O$22-$O$23,2),0)</f>
      </c>
      <c r="P25" s="191" t="str">
        <f>=IFERROR(ROUND($P$18-$P$21-$P$22-$P$23,2),0)</f>
      </c>
      <c r="R25" s="189" t="s">
        <v>461</v>
      </c>
      <c r="S25" s="190" t="str">
        <f>=IFERROR(ROUND($S$18-$S$21-$S$22-$S$23,2),0)</f>
      </c>
      <c r="T25" s="191" t="str">
        <f>=IFERROR(ROUND($T$18-$T$21-$T$22-$T$23,2),0)</f>
      </c>
      <c r="V25" s="189" t="s">
        <v>461</v>
      </c>
      <c r="W25" s="190" t="str">
        <f>=IFERROR(ROUND($W$18-$W$21-$W$22-$W$23,2),0)</f>
      </c>
      <c r="X25" s="191" t="str">
        <f>=IFERROR(ROUND($X$18-$X$21-$X$22-$X$23,2),0)</f>
      </c>
      <c r="Z25" s="189" t="s">
        <v>461</v>
      </c>
      <c r="AA25" s="190" t="str">
        <f>=IFERROR(ROUND($AA$18-$AA$21-$AA$22-$AA$23,2),0)</f>
      </c>
      <c r="AB25" s="191" t="str">
        <f>=IFERROR(ROUND($AB$18-$AB$21-$AB$22-$AB$23,2),0)</f>
      </c>
      <c r="AD25" s="189" t="s">
        <v>461</v>
      </c>
      <c r="AE25" s="190" t="str">
        <f>=IFERROR(ROUND($AE$18-$AE$21-$AE$22-$AE$23,2),0)</f>
      </c>
      <c r="AF25" s="191" t="str">
        <f>=IFERROR(ROUND($AF$18-$AF$21-$AF$22-$AF$23,2),0)</f>
      </c>
      <c r="AH25" s="189" t="s">
        <v>461</v>
      </c>
      <c r="AI25" s="190" t="str">
        <f>=IFERROR(ROUND($AI$18-$AI$21-$AI$22-$AI$23,2),0)</f>
      </c>
      <c r="AJ25" s="191" t="str">
        <f>=IFERROR(ROUND($AJ$18-$AJ$21-$AJ$22-$AJ$23,2),0)</f>
      </c>
      <c r="AL25" s="189" t="s">
        <v>461</v>
      </c>
      <c r="AM25" s="190" t="str">
        <f>=IFERROR(ROUND($AM$18-$AM$21-$AM$22-$AM$23,2),0)</f>
      </c>
      <c r="AN25" s="191" t="str">
        <f>=IFERROR(ROUND($AN$18-$AN$21-$AN$22-$AN$23,2),0)</f>
      </c>
      <c r="AP25" s="189" t="s">
        <v>461</v>
      </c>
      <c r="AQ25" s="190" t="str">
        <f>=IFERROR(ROUND($AQ$18-$AQ$21-$AQ$22-$AQ$23,2),0)</f>
      </c>
      <c r="AR25" s="191" t="str">
        <f>=IFERROR(ROUND($AR$18-$AR$21-$AR$22-$AR$23,2),0)</f>
      </c>
      <c r="AT25" s="189" t="s">
        <v>461</v>
      </c>
      <c r="AU25" s="190" t="str">
        <f>=IFERROR(ROUND($AU$18-$AU$21-$AU$22-$AU$23,2),0)</f>
      </c>
      <c r="AV25" s="191" t="str">
        <f>=IFERROR(ROUND($AV$18-$AV$21-$AV$22-$AV$23,2),0)</f>
      </c>
      <c r="AX25" s="189" t="s">
        <v>461</v>
      </c>
      <c r="AY25" s="190" t="str">
        <f>=IFERROR(ROUND($AY$18-$AY$21-$AY$22-$AY$23,2),0)</f>
      </c>
      <c r="AZ25" s="191" t="str">
        <f>=IFERROR(ROUND($AZ$18-$AZ$21-$AZ$22-$AZ$23,2),0)</f>
      </c>
      <c r="BB25" s="189" t="s">
        <v>461</v>
      </c>
      <c r="BC25" s="190" t="str">
        <f>=IFERROR(ROUND($BC$18-$BC$21-$BC$22-$BC$23,2),0)</f>
      </c>
      <c r="BD25" s="191" t="str">
        <f>=IFERROR(ROUND($BD$18-$BD$21-$BD$22-$BD$23,2),0)</f>
      </c>
      <c r="BF25" s="189" t="s">
        <v>461</v>
      </c>
      <c r="BG25" s="190" t="str">
        <f>=IFERROR(ROUND($BG$18-$BG$21-$BG$22-$BG$23,2),0)</f>
      </c>
      <c r="BH25" s="191" t="str">
        <f>=IFERROR(ROUND($BH$18-$BH$21-$BH$22-$BH$23,2),0)</f>
      </c>
      <c r="BJ25" s="189" t="s">
        <v>461</v>
      </c>
      <c r="BK25" s="190" t="str">
        <f>=IFERROR(ROUND($BK$18-$BK$21-$BK$22-$BK$23,2),0)</f>
      </c>
      <c r="BL25" s="191" t="str">
        <f>=IFERROR(ROUND($BL$18-$BL$21-$BL$22-$BL$23,2),0)</f>
      </c>
      <c r="BN25" s="189" t="s">
        <v>461</v>
      </c>
      <c r="BO25" s="190" t="str">
        <f>=IFERROR(ROUND($BO$18-$BO$21-$BO$22-$BO$23,2),0)</f>
      </c>
      <c r="BP25" s="191" t="str">
        <f>=IFERROR(ROUND($BP$18-$BP$21-$BP$22-$BP$23,2),0)</f>
      </c>
      <c r="BR25" s="189" t="s">
        <v>461</v>
      </c>
      <c r="BS25" s="190" t="str">
        <f>=IFERROR(ROUND($BS$18-$BS$21-$BS$22-$BS$23,2),0)</f>
      </c>
      <c r="BT25" s="191" t="str">
        <f>=IFERROR(ROUND($BT$18-$BT$21-$BT$22-$BT$23,2),0)</f>
      </c>
    </row>
    <row r="27">
      <c r="B27" s="181" t="s">
        <v>462</v>
      </c>
      <c r="C27" s="181"/>
      <c r="D27" s="25"/>
      <c r="F27" s="181" t="s">
        <v>462</v>
      </c>
      <c r="G27" s="181"/>
      <c r="H27" s="25"/>
      <c r="J27" s="181" t="s">
        <v>462</v>
      </c>
      <c r="K27" s="181"/>
      <c r="L27" s="25"/>
      <c r="N27" s="181" t="s">
        <v>462</v>
      </c>
      <c r="O27" s="181"/>
      <c r="P27" s="25"/>
      <c r="R27" s="181" t="s">
        <v>462</v>
      </c>
      <c r="S27" s="181"/>
      <c r="T27" s="25"/>
      <c r="V27" s="181" t="s">
        <v>462</v>
      </c>
      <c r="W27" s="181"/>
      <c r="X27" s="25"/>
      <c r="Z27" s="181" t="s">
        <v>462</v>
      </c>
      <c r="AA27" s="181"/>
      <c r="AB27" s="25"/>
      <c r="AD27" s="181" t="s">
        <v>462</v>
      </c>
      <c r="AE27" s="181"/>
      <c r="AF27" s="25"/>
      <c r="AH27" s="181" t="s">
        <v>462</v>
      </c>
      <c r="AI27" s="181"/>
      <c r="AJ27" s="25"/>
      <c r="AL27" s="181" t="s">
        <v>462</v>
      </c>
      <c r="AM27" s="181"/>
      <c r="AN27" s="25"/>
      <c r="AP27" s="181" t="s">
        <v>462</v>
      </c>
      <c r="AQ27" s="181"/>
      <c r="AR27" s="25"/>
      <c r="AT27" s="181" t="s">
        <v>462</v>
      </c>
      <c r="AU27" s="181"/>
      <c r="AV27" s="25"/>
      <c r="AX27" s="181" t="s">
        <v>462</v>
      </c>
      <c r="AY27" s="181"/>
      <c r="AZ27" s="25"/>
      <c r="BB27" s="181" t="s">
        <v>462</v>
      </c>
      <c r="BC27" s="181"/>
      <c r="BD27" s="25"/>
      <c r="BF27" s="181" t="s">
        <v>462</v>
      </c>
      <c r="BG27" s="181"/>
      <c r="BH27" s="25"/>
      <c r="BJ27" s="181" t="s">
        <v>462</v>
      </c>
      <c r="BK27" s="181"/>
      <c r="BL27" s="25"/>
      <c r="BN27" s="181" t="s">
        <v>462</v>
      </c>
      <c r="BO27" s="181"/>
      <c r="BP27" s="25"/>
      <c r="BR27" s="181" t="s">
        <v>462</v>
      </c>
      <c r="BS27" s="181"/>
      <c r="BT27" s="25"/>
    </row>
  </sheetData>
  <mergeCells count="108">
    <mergeCell ref="C4:D4"/>
    <mergeCell ref="C5:D5"/>
    <mergeCell ref="C6:D6"/>
    <mergeCell ref="C7:D7"/>
    <mergeCell ref="C8:D8"/>
    <mergeCell ref="B27:C27"/>
    <mergeCell ref="G4:H4"/>
    <mergeCell ref="G5:H5"/>
    <mergeCell ref="G6:H6"/>
    <mergeCell ref="G7:H7"/>
    <mergeCell ref="G8:H8"/>
    <mergeCell ref="F27:G27"/>
    <mergeCell ref="K4:L4"/>
    <mergeCell ref="K5:L5"/>
    <mergeCell ref="K6:L6"/>
    <mergeCell ref="K7:L7"/>
    <mergeCell ref="K8:L8"/>
    <mergeCell ref="J27:K27"/>
    <mergeCell ref="O4:P4"/>
    <mergeCell ref="O5:P5"/>
    <mergeCell ref="O6:P6"/>
    <mergeCell ref="O7:P7"/>
    <mergeCell ref="O8:P8"/>
    <mergeCell ref="N27:O27"/>
    <mergeCell ref="S4:T4"/>
    <mergeCell ref="S5:T5"/>
    <mergeCell ref="S6:T6"/>
    <mergeCell ref="S7:T7"/>
    <mergeCell ref="S8:T8"/>
    <mergeCell ref="R27:S27"/>
    <mergeCell ref="W4:X4"/>
    <mergeCell ref="W5:X5"/>
    <mergeCell ref="W6:X6"/>
    <mergeCell ref="W7:X7"/>
    <mergeCell ref="W8:X8"/>
    <mergeCell ref="V27:W27"/>
    <mergeCell ref="AA4:AB4"/>
    <mergeCell ref="AA5:AB5"/>
    <mergeCell ref="AA6:AB6"/>
    <mergeCell ref="AA7:AB7"/>
    <mergeCell ref="AA8:AB8"/>
    <mergeCell ref="Z27:AA27"/>
    <mergeCell ref="AE4:AF4"/>
    <mergeCell ref="AE5:AF5"/>
    <mergeCell ref="AE6:AF6"/>
    <mergeCell ref="AE7:AF7"/>
    <mergeCell ref="AE8:AF8"/>
    <mergeCell ref="AD27:AE27"/>
    <mergeCell ref="AI4:AJ4"/>
    <mergeCell ref="AI5:AJ5"/>
    <mergeCell ref="AI6:AJ6"/>
    <mergeCell ref="AI7:AJ7"/>
    <mergeCell ref="AI8:AJ8"/>
    <mergeCell ref="AH27:AI27"/>
    <mergeCell ref="AM4:AN4"/>
    <mergeCell ref="AM5:AN5"/>
    <mergeCell ref="AM6:AN6"/>
    <mergeCell ref="AM7:AN7"/>
    <mergeCell ref="AM8:AN8"/>
    <mergeCell ref="AL27:AM27"/>
    <mergeCell ref="AQ4:AR4"/>
    <mergeCell ref="AQ5:AR5"/>
    <mergeCell ref="AQ6:AR6"/>
    <mergeCell ref="AQ7:AR7"/>
    <mergeCell ref="AQ8:AR8"/>
    <mergeCell ref="AP27:AQ27"/>
    <mergeCell ref="AU4:AV4"/>
    <mergeCell ref="AU5:AV5"/>
    <mergeCell ref="AU6:AV6"/>
    <mergeCell ref="AU7:AV7"/>
    <mergeCell ref="AU8:AV8"/>
    <mergeCell ref="AT27:AU27"/>
    <mergeCell ref="AY4:AZ4"/>
    <mergeCell ref="AY5:AZ5"/>
    <mergeCell ref="AY6:AZ6"/>
    <mergeCell ref="AY7:AZ7"/>
    <mergeCell ref="AY8:AZ8"/>
    <mergeCell ref="AX27:AY27"/>
    <mergeCell ref="BC4:BD4"/>
    <mergeCell ref="BC5:BD5"/>
    <mergeCell ref="BC6:BD6"/>
    <mergeCell ref="BC7:BD7"/>
    <mergeCell ref="BC8:BD8"/>
    <mergeCell ref="BB27:BC27"/>
    <mergeCell ref="BG4:BH4"/>
    <mergeCell ref="BG5:BH5"/>
    <mergeCell ref="BG6:BH6"/>
    <mergeCell ref="BG7:BH7"/>
    <mergeCell ref="BG8:BH8"/>
    <mergeCell ref="BF27:BG27"/>
    <mergeCell ref="BK4:BL4"/>
    <mergeCell ref="BK5:BL5"/>
    <mergeCell ref="BK6:BL6"/>
    <mergeCell ref="BK7:BL7"/>
    <mergeCell ref="BK8:BL8"/>
    <mergeCell ref="BJ27:BK27"/>
    <mergeCell ref="BO4:BP4"/>
    <mergeCell ref="BO5:BP5"/>
    <mergeCell ref="BO6:BP6"/>
    <mergeCell ref="BO7:BP7"/>
    <mergeCell ref="BO8:BP8"/>
    <mergeCell ref="BN27:BO27"/>
    <mergeCell ref="BS4:BT4"/>
    <mergeCell ref="BS5:BT5"/>
    <mergeCell ref="BS6:BT6"/>
    <mergeCell ref="BS7:BT7"/>
    <mergeCell ref="BS8:BT8"/>
    <mergeCell ref="BR27:BS27"/>
  </mergeCells>
  <dataValidations count="18">
    <dataValidation allowBlank="true" sqref="C4" type="list">
      <formula1>'Daten'!$A$1:$A$18</formula1>
    </dataValidation>
    <dataValidation allowBlank="true" sqref="G4" type="list">
      <formula1>'Daten'!$A$1:$A$18</formula1>
    </dataValidation>
    <dataValidation allowBlank="true" sqref="K4" type="list">
      <formula1>'Daten'!$A$1:$A$18</formula1>
    </dataValidation>
    <dataValidation allowBlank="true" sqref="O4" type="list">
      <formula1>'Daten'!$A$1:$A$18</formula1>
    </dataValidation>
    <dataValidation allowBlank="true" sqref="S4" type="list">
      <formula1>'Daten'!$A$1:$A$18</formula1>
    </dataValidation>
    <dataValidation allowBlank="true" sqref="W4" type="list">
      <formula1>'Daten'!$A$1:$A$18</formula1>
    </dataValidation>
    <dataValidation allowBlank="true" sqref="AA4" type="list">
      <formula1>'Daten'!$A$1:$A$18</formula1>
    </dataValidation>
    <dataValidation allowBlank="true" sqref="AE4" type="list">
      <formula1>'Daten'!$A$1:$A$18</formula1>
    </dataValidation>
    <dataValidation allowBlank="true" sqref="AI4" type="list">
      <formula1>'Daten'!$A$1:$A$18</formula1>
    </dataValidation>
    <dataValidation allowBlank="true" sqref="AM4" type="list">
      <formula1>'Daten'!$A$1:$A$18</formula1>
    </dataValidation>
    <dataValidation allowBlank="true" sqref="AQ4" type="list">
      <formula1>'Daten'!$A$1:$A$18</formula1>
    </dataValidation>
    <dataValidation allowBlank="true" sqref="AU4" type="list">
      <formula1>'Daten'!$A$1:$A$18</formula1>
    </dataValidation>
    <dataValidation allowBlank="true" sqref="AY4" type="list">
      <formula1>'Daten'!$A$1:$A$18</formula1>
    </dataValidation>
    <dataValidation allowBlank="true" sqref="BC4" type="list">
      <formula1>'Daten'!$A$1:$A$18</formula1>
    </dataValidation>
    <dataValidation allowBlank="true" sqref="BG4" type="list">
      <formula1>'Daten'!$A$1:$A$18</formula1>
    </dataValidation>
    <dataValidation allowBlank="true" sqref="BK4" type="list">
      <formula1>'Daten'!$A$1:$A$18</formula1>
    </dataValidation>
    <dataValidation allowBlank="true" sqref="BO4" type="list">
      <formula1>'Daten'!$A$1:$A$18</formula1>
    </dataValidation>
    <dataValidation allowBlank="true" sqref="BS4" type="list">
      <formula1>'Daten'!$A$1:$A$18</formula1>
    </dataValidation>
  </dataValidations>
  <tableParts count="18">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7.xml><?xml version="1.0" encoding="utf-8"?>
<worksheet xmlns="http://schemas.openxmlformats.org/spreadsheetml/2006/main" xmlns:r="http://schemas.openxmlformats.org/officeDocument/2006/relationships" xmlns:mc="http://schemas.openxmlformats.org/markup-compatibility/2006">
  <sheetPr>
    <tabColor rgb="FFFF00"/>
  </sheetPr>
  <dimension ref="A1"/>
  <sheetViews>
    <sheetView showGridLines="false" workbookViewId="0"/>
  </sheetViews>
  <sheetFormatPr defaultRowHeight="15"/>
  <cols>
    <col customWidth="true" max="1" min="1" width="3"/>
    <col customWidth="true" max="2" min="2" width="42"/>
    <col customWidth="true" max="10" min="3" width="20"/>
    <col customWidth="true" max="11" min="11" width="3"/>
    <col customWidth="true" max="12" min="12" width="25"/>
    <col customWidth="true" max="16" min="13" width="18"/>
    <col customWidth="true" hidden="true" max="30" min="30" width="9.140625"/>
  </cols>
  <sheetData>
    <row r="2" ht="30" customHeight="true">
      <c r="B2" s="192" t="s">
        <v>464</v>
      </c>
      <c r="C2" s="192"/>
      <c r="D2" s="192"/>
      <c r="E2" s="192"/>
      <c r="F2" s="192"/>
      <c r="G2" s="192"/>
      <c r="H2" s="192"/>
      <c r="I2" s="192"/>
      <c r="J2" s="192"/>
    </row>
    <row r="3" ht="18" customHeight="true">
      <c r="B3" s="193" t="s">
        <v>465</v>
      </c>
      <c r="C3" s="193"/>
      <c r="D3" s="193"/>
      <c r="E3" s="193"/>
      <c r="F3" s="193"/>
      <c r="G3" s="193"/>
      <c r="H3" s="193"/>
      <c r="I3" s="193"/>
      <c r="J3" s="193"/>
    </row>
    <row r="5" ht="22" customHeight="true">
      <c r="B5" s="194" t="s">
        <v>466</v>
      </c>
      <c r="C5" s="194"/>
      <c r="D5" s="194"/>
      <c r="E5" s="194"/>
      <c r="F5" s="194"/>
      <c r="G5" s="194"/>
      <c r="H5" s="194"/>
      <c r="I5" s="194"/>
      <c r="J5" s="194"/>
      <c r="L5" s="202" t="str">
        <f>=IF(E11=0,"Aktuelle Mittelanforderung (keine gewählt)","Aktuelle Mittelanforderung – Periode "&amp;E10&amp;" (#"&amp;E11&amp;")")</f>
      </c>
      <c r="M5" s="203"/>
      <c r="N5" s="204"/>
      <c r="AD5" t="str">
        <f>=IFERROR(SUMPRODUCT('Daten'!$BA$1:$BA$18,('Daten'!$BB$1:$BB$18=E10)*('Daten'!$BD$1:$BD$18=E11)),0)</f>
      </c>
    </row>
    <row r="6">
      <c r="B6" s="195" t="s">
        <v>467</v>
      </c>
      <c r="C6" s="195"/>
      <c r="D6" s="195"/>
      <c r="E6" s="195"/>
      <c r="F6" s="195"/>
      <c r="G6" s="195"/>
      <c r="H6" s="195"/>
      <c r="I6" s="195"/>
      <c r="J6" s="195"/>
      <c r="L6" s="315" t="s">
        <v>415</v>
      </c>
      <c r="M6" s="307" t="str">
        <f>=IFERROR(CHOOSE($AD$5,'IV. MA'!$C$4,'IV. MA'!$G$4,'IV. MA'!$K$4,'IV. MA'!$O$4,'IV. MA'!$S$4,'IV. MA'!$W$4,'IV. MA'!$AA$4,'IV. MA'!$AE$4,'IV. MA'!$AI$4,'IV. MA'!$AM$4,'IV. MA'!$AQ$4,'IV. MA'!$AU$4,'IV. MA'!$AY$4,'IV. MA'!$BC$4,'IV. MA'!$BG$4,'IV. MA'!$BK$4,'IV. MA'!$BO$4,'IV. MA'!$BS$4),"")</f>
      </c>
      <c r="N6" s="316"/>
    </row>
    <row r="7">
      <c r="L7" s="315" t="s">
        <v>416</v>
      </c>
      <c r="M7" s="308" t="str">
        <f>=IFERROR(CHOOSE($AD$5,'IV. MA'!$C$5,'IV. MA'!$G$5,'IV. MA'!$K$5,'IV. MA'!$O$5,'IV. MA'!$S$5,'IV. MA'!$W$5,'IV. MA'!$AA$5,'IV. MA'!$AE$5,'IV. MA'!$AI$5,'IV. MA'!$AM$5,'IV. MA'!$AQ$5,'IV. MA'!$AU$5,'IV. MA'!$AY$5,'IV. MA'!$BC$5,'IV. MA'!$BG$5,'IV. MA'!$BK$5,'IV. MA'!$BO$5,'IV. MA'!$BS$5),"")</f>
      </c>
      <c r="N7" s="317"/>
    </row>
    <row r="8" ht="22" customHeight="true">
      <c r="C8" s="202" t="s">
        <v>468</v>
      </c>
      <c r="D8" s="203"/>
      <c r="E8" s="203"/>
      <c r="F8" s="203"/>
      <c r="G8" s="204"/>
      <c r="L8" s="315" t="s">
        <v>417</v>
      </c>
      <c r="M8" s="308" t="str">
        <f>=IFERROR(CHOOSE($AD$5,'IV. MA'!$C$6,'IV. MA'!$G$6,'IV. MA'!$K$6,'IV. MA'!$O$6,'IV. MA'!$S$6,'IV. MA'!$W$6,'IV. MA'!$AA$6,'IV. MA'!$AE$6,'IV. MA'!$AI$6,'IV. MA'!$AM$6,'IV. MA'!$AQ$6,'IV. MA'!$AU$6,'IV. MA'!$AY$6,'IV. MA'!$BC$6,'IV. MA'!$BG$6,'IV. MA'!$BK$6,'IV. MA'!$BO$6,'IV. MA'!$BS$6),"")</f>
      </c>
      <c r="N8" s="317"/>
    </row>
    <row r="9">
      <c r="C9" s="205" t="s">
        <v>469</v>
      </c>
      <c r="D9" s="197"/>
      <c r="E9" s="63" t="s">
        <v>470</v>
      </c>
      <c r="F9" s="63"/>
      <c r="G9" s="206"/>
      <c r="L9" s="315" t="s">
        <v>418</v>
      </c>
      <c r="M9" s="309" t="str">
        <f>=IFERROR(CHOOSE($AD$5,'IV. MA'!$C$7,'IV. MA'!$G$7,'IV. MA'!$K$7,'IV. MA'!$O$7,'IV. MA'!$S$7,'IV. MA'!$W$7,'IV. MA'!$AA$7,'IV. MA'!$AE$7,'IV. MA'!$AI$7,'IV. MA'!$AM$7,'IV. MA'!$AQ$7,'IV. MA'!$AU$7,'IV. MA'!$AY$7,'IV. MA'!$BC$7,'IV. MA'!$BG$7,'IV. MA'!$BK$7,'IV. MA'!$BO$7,'IV. MA'!$BS$7),"")</f>
      </c>
      <c r="N9" s="318"/>
    </row>
    <row r="10">
      <c r="C10" s="205" t="s">
        <v>471</v>
      </c>
      <c r="D10" s="197"/>
      <c r="E10" s="198" t="str">
        <f>=E81+1</f>
        <v>0</v>
      </c>
      <c r="F10" s="198"/>
      <c r="G10" s="207"/>
      <c r="L10" s="315" t="s">
        <v>453</v>
      </c>
      <c r="M10" s="310" t="str">
        <f>=IFERROR(CHOOSE($AD$5,'IV. MA'!$C$8,'IV. MA'!$G$8,'IV. MA'!$K$8,'IV. MA'!$O$8,'IV. MA'!$S$8,'IV. MA'!$W$8,'IV. MA'!$AA$8,'IV. MA'!$AE$8,'IV. MA'!$AI$8,'IV. MA'!$AM$8,'IV. MA'!$AQ$8,'IV. MA'!$AU$8,'IV. MA'!$AY$8,'IV. MA'!$BC$8,'IV. MA'!$BG$8,'IV. MA'!$BK$8,'IV. MA'!$BO$8,'IV. MA'!$BS$8),"")</f>
      </c>
      <c r="N10" s="319"/>
    </row>
    <row r="11">
      <c r="C11" s="205" t="s">
        <v>472</v>
      </c>
      <c r="D11" s="197"/>
      <c r="E11" s="198" t="str">
        <f>=IF(E9="Neuste MA",IFERROR(SUMPRODUCT(MAX(('Daten'!$BB$1:$BB$18=E10)*('Daten'!$BC$1:$BC$18=1)*'Daten'!$BD$1:$BD$18)),0),IFERROR(VALUE(MID(E9,FIND("(#",E9)+2,FIND(")",E9)-FIND("(#",E9)-2)),0))</f>
      </c>
      <c r="F11" s="198"/>
      <c r="G11" s="208"/>
      <c r="L11" s="45"/>
      <c r="N11" s="46"/>
    </row>
    <row r="12">
      <c r="C12" s="209" t="s">
        <v>473</v>
      </c>
      <c r="D12" s="199"/>
      <c r="E12" s="199"/>
      <c r="F12" s="199"/>
      <c r="G12" s="210"/>
      <c r="L12" s="320" t="s">
        <v>204</v>
      </c>
      <c r="M12" s="180" t="s">
        <v>454</v>
      </c>
      <c r="N12" s="321" t="s">
        <v>455</v>
      </c>
    </row>
    <row r="13">
      <c r="C13" s="211" t="str">
        <f>=IF(1&lt;=E11,"Periode "&amp;E10&amp;" (#1)","")</f>
      </c>
      <c r="D13" s="200"/>
      <c r="E13" s="201" t="str">
        <f>=IF(1&lt;=E11,IFERROR(SUMIFS('Daten'!$BF$1:$BF$18,'Daten'!$BB$1:$BB$18,E10,'Daten'!$BD$1:$BD$18,1),0),"")</f>
      </c>
      <c r="F13" s="201"/>
      <c r="G13" s="212" t="str">
        <f>=IF(1&lt;=E11,IFERROR(SUMIFS('Daten'!$BG$1:$BG$18,'Daten'!$BB$1:$BB$18,E10,'Daten'!$BD$1:$BD$18,1),0),"")</f>
      </c>
      <c r="L13" s="143" t="s">
        <v>207</v>
      </c>
      <c r="M13" s="116" t="str">
        <f>=IFERROR(CHOOSE($AD$5,'IV. MA'!$C$10,'IV. MA'!$G$10,'IV. MA'!$K$10,'IV. MA'!$O$10,'IV. MA'!$S$10,'IV. MA'!$W$10,'IV. MA'!$AA$10,'IV. MA'!$AE$10,'IV. MA'!$AI$10,'IV. MA'!$AM$10,'IV. MA'!$AQ$10,'IV. MA'!$AU$10,'IV. MA'!$AY$10,'IV. MA'!$BC$10,'IV. MA'!$BG$10,'IV. MA'!$BK$10,'IV. MA'!$BO$10,'IV. MA'!$BS$10),"")</f>
      </c>
      <c r="N13" s="144" t="str">
        <f>=IFERROR(CHOOSE($AD$5,'IV. MA'!$D$10,'IV. MA'!$H$10,'IV. MA'!$L$10,'IV. MA'!$P$10,'IV. MA'!$T$10,'IV. MA'!$X$10,'IV. MA'!$AB$10,'IV. MA'!$AF$10,'IV. MA'!$AJ$10,'IV. MA'!$AN$10,'IV. MA'!$AR$10,'IV. MA'!$AV$10,'IV. MA'!$AZ$10,'IV. MA'!$BD$10,'IV. MA'!$BH$10,'IV. MA'!$BL$10,'IV. MA'!$BP$10,'IV. MA'!$BT$10),"")</f>
      </c>
    </row>
    <row r="14">
      <c r="C14" s="211" t="str">
        <f>=IF(2&lt;=E11,"Periode "&amp;E10&amp;" (#2)","")</f>
      </c>
      <c r="D14" s="200"/>
      <c r="E14" s="201" t="str">
        <f>=IF(2&lt;=E11,IFERROR(SUMIFS('Daten'!$BF$1:$BF$18,'Daten'!$BB$1:$BB$18,E10,'Daten'!$BD$1:$BD$18,2),0),"")</f>
      </c>
      <c r="F14" s="201"/>
      <c r="G14" s="212" t="str">
        <f>=IF(2&lt;=E11,IFERROR(SUMIFS('Daten'!$BG$1:$BG$18,'Daten'!$BB$1:$BB$18,E10,'Daten'!$BD$1:$BD$18,2),0),"")</f>
      </c>
      <c r="L14" s="143" t="s">
        <v>248</v>
      </c>
      <c r="M14" s="116" t="str">
        <f>=IFERROR(CHOOSE($AD$5,'IV. MA'!$C$11,'IV. MA'!$G$11,'IV. MA'!$K$11,'IV. MA'!$O$11,'IV. MA'!$S$11,'IV. MA'!$W$11,'IV. MA'!$AA$11,'IV. MA'!$AE$11,'IV. MA'!$AI$11,'IV. MA'!$AM$11,'IV. MA'!$AQ$11,'IV. MA'!$AU$11,'IV. MA'!$AY$11,'IV. MA'!$BC$11,'IV. MA'!$BG$11,'IV. MA'!$BK$11,'IV. MA'!$BO$11,'IV. MA'!$BS$11),"")</f>
      </c>
      <c r="N14" s="144" t="str">
        <f>=IFERROR(CHOOSE($AD$5,'IV. MA'!$D$11,'IV. MA'!$H$11,'IV. MA'!$L$11,'IV. MA'!$P$11,'IV. MA'!$T$11,'IV. MA'!$X$11,'IV. MA'!$AB$11,'IV. MA'!$AF$11,'IV. MA'!$AJ$11,'IV. MA'!$AN$11,'IV. MA'!$AR$11,'IV. MA'!$AV$11,'IV. MA'!$AZ$11,'IV. MA'!$BD$11,'IV. MA'!$BH$11,'IV. MA'!$BL$11,'IV. MA'!$BP$11,'IV. MA'!$BT$11),"")</f>
      </c>
    </row>
    <row r="15">
      <c r="C15" s="211" t="str">
        <f>=IF(3&lt;=E11,"Periode "&amp;E10&amp;" (#3)","")</f>
      </c>
      <c r="D15" s="200"/>
      <c r="E15" s="201" t="str">
        <f>=IF(3&lt;=E11,IFERROR(SUMIFS('Daten'!$BF$1:$BF$18,'Daten'!$BB$1:$BB$18,E10,'Daten'!$BD$1:$BD$18,3),0),"")</f>
      </c>
      <c r="F15" s="201"/>
      <c r="G15" s="212" t="str">
        <f>=IF(3&lt;=E11,IFERROR(SUMIFS('Daten'!$BG$1:$BG$18,'Daten'!$BB$1:$BB$18,E10,'Daten'!$BD$1:$BD$18,3),0),"")</f>
      </c>
      <c r="L15" s="143" t="s">
        <v>269</v>
      </c>
      <c r="M15" s="116" t="str">
        <f>=IFERROR(CHOOSE($AD$5,'IV. MA'!$C$12,'IV. MA'!$G$12,'IV. MA'!$K$12,'IV. MA'!$O$12,'IV. MA'!$S$12,'IV. MA'!$W$12,'IV. MA'!$AA$12,'IV. MA'!$AE$12,'IV. MA'!$AI$12,'IV. MA'!$AM$12,'IV. MA'!$AQ$12,'IV. MA'!$AU$12,'IV. MA'!$AY$12,'IV. MA'!$BC$12,'IV. MA'!$BG$12,'IV. MA'!$BK$12,'IV. MA'!$BO$12,'IV. MA'!$BS$12),"")</f>
      </c>
      <c r="N15" s="144" t="str">
        <f>=IFERROR(CHOOSE($AD$5,'IV. MA'!$D$12,'IV. MA'!$H$12,'IV. MA'!$L$12,'IV. MA'!$P$12,'IV. MA'!$T$12,'IV. MA'!$X$12,'IV. MA'!$AB$12,'IV. MA'!$AF$12,'IV. MA'!$AJ$12,'IV. MA'!$AN$12,'IV. MA'!$AR$12,'IV. MA'!$AV$12,'IV. MA'!$AZ$12,'IV. MA'!$BD$12,'IV. MA'!$BH$12,'IV. MA'!$BL$12,'IV. MA'!$BP$12,'IV. MA'!$BT$12),"")</f>
      </c>
    </row>
    <row r="16">
      <c r="C16" s="211" t="str">
        <f>=IF(4&lt;=E11,"Periode "&amp;E10&amp;" (#4)","")</f>
      </c>
      <c r="D16" s="200"/>
      <c r="E16" s="201" t="str">
        <f>=IF(4&lt;=E11,IFERROR(SUMIFS('Daten'!$BF$1:$BF$18,'Daten'!$BB$1:$BB$18,E10,'Daten'!$BD$1:$BD$18,4),0),"")</f>
      </c>
      <c r="F16" s="201"/>
      <c r="G16" s="212" t="str">
        <f>=IF(4&lt;=E11,IFERROR(SUMIFS('Daten'!$BG$1:$BG$18,'Daten'!$BB$1:$BB$18,E10,'Daten'!$BD$1:$BD$18,4),0),"")</f>
      </c>
      <c r="L16" s="143" t="s">
        <v>300</v>
      </c>
      <c r="M16" s="116" t="str">
        <f>=IFERROR(CHOOSE($AD$5,'IV. MA'!$C$13,'IV. MA'!$G$13,'IV. MA'!$K$13,'IV. MA'!$O$13,'IV. MA'!$S$13,'IV. MA'!$W$13,'IV. MA'!$AA$13,'IV. MA'!$AE$13,'IV. MA'!$AI$13,'IV. MA'!$AM$13,'IV. MA'!$AQ$13,'IV. MA'!$AU$13,'IV. MA'!$AY$13,'IV. MA'!$BC$13,'IV. MA'!$BG$13,'IV. MA'!$BK$13,'IV. MA'!$BO$13,'IV. MA'!$BS$13),"")</f>
      </c>
      <c r="N16" s="144" t="str">
        <f>=IFERROR(CHOOSE($AD$5,'IV. MA'!$D$13,'IV. MA'!$H$13,'IV. MA'!$L$13,'IV. MA'!$P$13,'IV. MA'!$T$13,'IV. MA'!$X$13,'IV. MA'!$AB$13,'IV. MA'!$AF$13,'IV. MA'!$AJ$13,'IV. MA'!$AN$13,'IV. MA'!$AR$13,'IV. MA'!$AV$13,'IV. MA'!$AZ$13,'IV. MA'!$BD$13,'IV. MA'!$BH$13,'IV. MA'!$BL$13,'IV. MA'!$BP$13,'IV. MA'!$BT$13),"")</f>
      </c>
    </row>
    <row r="17">
      <c r="C17" s="211" t="str">
        <f>=IF(5&lt;=E11,"Periode "&amp;E10&amp;" (#5)","")</f>
      </c>
      <c r="D17" s="200"/>
      <c r="E17" s="201" t="str">
        <f>=IF(5&lt;=E11,IFERROR(SUMIFS('Daten'!$BF$1:$BF$18,'Daten'!$BB$1:$BB$18,E10,'Daten'!$BD$1:$BD$18,5),0),"")</f>
      </c>
      <c r="F17" s="201"/>
      <c r="G17" s="212" t="str">
        <f>=IF(5&lt;=E11,IFERROR(SUMIFS('Daten'!$BG$1:$BG$18,'Daten'!$BB$1:$BB$18,E10,'Daten'!$BD$1:$BD$18,5),0),"")</f>
      </c>
      <c r="L17" s="143" t="s">
        <v>331</v>
      </c>
      <c r="M17" s="116" t="str">
        <f>=IFERROR(CHOOSE($AD$5,'IV. MA'!$C$14,'IV. MA'!$G$14,'IV. MA'!$K$14,'IV. MA'!$O$14,'IV. MA'!$S$14,'IV. MA'!$W$14,'IV. MA'!$AA$14,'IV. MA'!$AE$14,'IV. MA'!$AI$14,'IV. MA'!$AM$14,'IV. MA'!$AQ$14,'IV. MA'!$AU$14,'IV. MA'!$AY$14,'IV. MA'!$BC$14,'IV. MA'!$BG$14,'IV. MA'!$BK$14,'IV. MA'!$BO$14,'IV. MA'!$BS$14),"")</f>
      </c>
      <c r="N17" s="144" t="str">
        <f>=IFERROR(CHOOSE($AD$5,'IV. MA'!$D$14,'IV. MA'!$H$14,'IV. MA'!$L$14,'IV. MA'!$P$14,'IV. MA'!$T$14,'IV. MA'!$X$14,'IV. MA'!$AB$14,'IV. MA'!$AF$14,'IV. MA'!$AJ$14,'IV. MA'!$AN$14,'IV. MA'!$AR$14,'IV. MA'!$AV$14,'IV. MA'!$AZ$14,'IV. MA'!$BD$14,'IV. MA'!$BH$14,'IV. MA'!$BL$14,'IV. MA'!$BP$14,'IV. MA'!$BT$14),"")</f>
      </c>
    </row>
    <row r="18">
      <c r="C18" s="213" t="str">
        <f>=IF(6&lt;=E11,"Periode "&amp;E10&amp;" (#6)","")</f>
      </c>
      <c r="D18" s="214"/>
      <c r="E18" s="215" t="str">
        <f>=IF(6&lt;=E11,IFERROR(SUMIFS('Daten'!$BF$1:$BF$18,'Daten'!$BB$1:$BB$18,E10,'Daten'!$BD$1:$BD$18,6),0),"")</f>
      </c>
      <c r="F18" s="215"/>
      <c r="G18" s="216" t="str">
        <f>=IF(6&lt;=E11,IFERROR(SUMIFS('Daten'!$BG$1:$BG$18,'Daten'!$BB$1:$BB$18,E10,'Daten'!$BD$1:$BD$18,6),0),"")</f>
      </c>
      <c r="L18" s="143" t="s">
        <v>352</v>
      </c>
      <c r="M18" s="116" t="str">
        <f>=IFERROR(CHOOSE($AD$5,'IV. MA'!$C$15,'IV. MA'!$G$15,'IV. MA'!$K$15,'IV. MA'!$O$15,'IV. MA'!$S$15,'IV. MA'!$W$15,'IV. MA'!$AA$15,'IV. MA'!$AE$15,'IV. MA'!$AI$15,'IV. MA'!$AM$15,'IV. MA'!$AQ$15,'IV. MA'!$AU$15,'IV. MA'!$AY$15,'IV. MA'!$BC$15,'IV. MA'!$BG$15,'IV. MA'!$BK$15,'IV. MA'!$BO$15,'IV. MA'!$BS$15),"")</f>
      </c>
      <c r="N18" s="144" t="str">
        <f>=IFERROR(CHOOSE($AD$5,'IV. MA'!$D$15,'IV. MA'!$H$15,'IV. MA'!$L$15,'IV. MA'!$P$15,'IV. MA'!$T$15,'IV. MA'!$X$15,'IV. MA'!$AB$15,'IV. MA'!$AF$15,'IV. MA'!$AJ$15,'IV. MA'!$AN$15,'IV. MA'!$AR$15,'IV. MA'!$AV$15,'IV. MA'!$AZ$15,'IV. MA'!$BD$15,'IV. MA'!$BH$15,'IV. MA'!$BL$15,'IV. MA'!$BP$15,'IV. MA'!$BT$15),"")</f>
      </c>
    </row>
    <row r="19">
      <c r="L19" s="143" t="s">
        <v>355</v>
      </c>
      <c r="M19" s="116" t="str">
        <f>=IFERROR(CHOOSE($AD$5,'IV. MA'!$C$16,'IV. MA'!$G$16,'IV. MA'!$K$16,'IV. MA'!$O$16,'IV. MA'!$S$16,'IV. MA'!$W$16,'IV. MA'!$AA$16,'IV. MA'!$AE$16,'IV. MA'!$AI$16,'IV. MA'!$AM$16,'IV. MA'!$AQ$16,'IV. MA'!$AU$16,'IV. MA'!$AY$16,'IV. MA'!$BC$16,'IV. MA'!$BG$16,'IV. MA'!$BK$16,'IV. MA'!$BO$16,'IV. MA'!$BS$16),"")</f>
      </c>
      <c r="N19" s="144" t="str">
        <f>=IFERROR(CHOOSE($AD$5,'IV. MA'!$D$16,'IV. MA'!$H$16,'IV. MA'!$L$16,'IV. MA'!$P$16,'IV. MA'!$T$16,'IV. MA'!$X$16,'IV. MA'!$AB$16,'IV. MA'!$AF$16,'IV. MA'!$AJ$16,'IV. MA'!$AN$16,'IV. MA'!$AR$16,'IV. MA'!$AV$16,'IV. MA'!$AZ$16,'IV. MA'!$BD$16,'IV. MA'!$BH$16,'IV. MA'!$BL$16,'IV. MA'!$BP$16,'IV. MA'!$BT$16),"")</f>
      </c>
    </row>
    <row r="20" ht="22" customHeight="true">
      <c r="B20" s="18" t="s">
        <v>474</v>
      </c>
      <c r="C20" s="18"/>
      <c r="D20" s="18"/>
      <c r="E20" s="18"/>
      <c r="F20" s="18"/>
      <c r="G20" s="18"/>
      <c r="H20" s="18"/>
      <c r="I20" s="18"/>
      <c r="J20" s="18"/>
      <c r="L20" s="143" t="s">
        <v>357</v>
      </c>
      <c r="M20" s="116" t="str">
        <f>=IFERROR(CHOOSE($AD$5,'IV. MA'!$C$17,'IV. MA'!$G$17,'IV. MA'!$K$17,'IV. MA'!$O$17,'IV. MA'!$S$17,'IV. MA'!$W$17,'IV. MA'!$AA$17,'IV. MA'!$AE$17,'IV. MA'!$AI$17,'IV. MA'!$AM$17,'IV. MA'!$AQ$17,'IV. MA'!$AU$17,'IV. MA'!$AY$17,'IV. MA'!$BC$17,'IV. MA'!$BG$17,'IV. MA'!$BK$17,'IV. MA'!$BO$17,'IV. MA'!$BS$17),"")</f>
      </c>
      <c r="N20" s="144" t="str">
        <f>=IFERROR(CHOOSE($AD$5,'IV. MA'!$D$17,'IV. MA'!$H$17,'IV. MA'!$L$17,'IV. MA'!$P$17,'IV. MA'!$T$17,'IV. MA'!$X$17,'IV. MA'!$AB$17,'IV. MA'!$AF$17,'IV. MA'!$AJ$17,'IV. MA'!$AN$17,'IV. MA'!$AR$17,'IV. MA'!$AV$17,'IV. MA'!$AZ$17,'IV. MA'!$BD$17,'IV. MA'!$BH$17,'IV. MA'!$BL$17,'IV. MA'!$BP$17,'IV. MA'!$BT$17),"")</f>
      </c>
    </row>
    <row r="21">
      <c r="L21" s="322" t="s">
        <v>456</v>
      </c>
      <c r="M21" s="243" t="str">
        <f>=IFERROR(CHOOSE($AD$5,'IV. MA'!$C$18,'IV. MA'!$G$18,'IV. MA'!$K$18,'IV. MA'!$O$18,'IV. MA'!$S$18,'IV. MA'!$W$18,'IV. MA'!$AA$18,'IV. MA'!$AE$18,'IV. MA'!$AI$18,'IV. MA'!$AM$18,'IV. MA'!$AQ$18,'IV. MA'!$AU$18,'IV. MA'!$AY$18,'IV. MA'!$BC$18,'IV. MA'!$BG$18,'IV. MA'!$BK$18,'IV. MA'!$BO$18,'IV. MA'!$BS$18),"")</f>
      </c>
      <c r="N21" s="235" t="str">
        <f>=IFERROR(CHOOSE($AD$5,'IV. MA'!$D$18,'IV. MA'!$H$18,'IV. MA'!$L$18,'IV. MA'!$P$18,'IV. MA'!$T$18,'IV. MA'!$X$18,'IV. MA'!$AB$18,'IV. MA'!$AF$18,'IV. MA'!$AJ$18,'IV. MA'!$AN$18,'IV. MA'!$AR$18,'IV. MA'!$AV$18,'IV. MA'!$AZ$18,'IV. MA'!$BD$18,'IV. MA'!$BH$18,'IV. MA'!$BL$18,'IV. MA'!$BP$18,'IV. MA'!$BT$18),"")</f>
      </c>
    </row>
    <row r="22">
      <c r="B22" s="223" t="s">
        <v>475</v>
      </c>
      <c r="C22" s="224"/>
      <c r="D22" s="225" t="str">
        <f>=IFERROR(ROUND(KMW_Mittel_EUR,2),0)</f>
      </c>
      <c r="F22" s="230" t="s">
        <v>479</v>
      </c>
      <c r="G22" s="231"/>
      <c r="H22" s="231"/>
      <c r="I22" s="232"/>
      <c r="L22" s="45"/>
      <c r="N22" s="46"/>
    </row>
    <row r="23">
      <c r="B23" s="205" t="s">
        <v>476</v>
      </c>
      <c r="C23" s="197"/>
      <c r="D23" s="226" t="str">
        <f>=IFERROR(ROUND(Kosten_Reserve_EUR,2),0)</f>
      </c>
      <c r="F23" s="233" t="s">
        <v>480</v>
      </c>
      <c r="G23" s="197" t="s">
        <v>481</v>
      </c>
      <c r="H23" s="197"/>
      <c r="I23" s="234" t="str">
        <f>=IFERROR(ROUND(Saldovortrag_EUR,2),0)</f>
      </c>
      <c r="L23" s="143" t="s">
        <v>457</v>
      </c>
      <c r="M23" s="116" t="str">
        <f>=IFERROR(CHOOSE($AD$5,'IV. MA'!$C$20,'IV. MA'!$G$20,'IV. MA'!$K$20,'IV. MA'!$O$20,'IV. MA'!$S$20,'IV. MA'!$W$20,'IV. MA'!$AA$20,'IV. MA'!$AE$20,'IV. MA'!$AI$20,'IV. MA'!$AM$20,'IV. MA'!$AQ$20,'IV. MA'!$AU$20,'IV. MA'!$AY$20,'IV. MA'!$BC$20,'IV. MA'!$BG$20,'IV. MA'!$BK$20,'IV. MA'!$BO$20,'IV. MA'!$BS$20),"")</f>
      </c>
      <c r="N23" s="144" t="str">
        <f>=IFERROR(CHOOSE($AD$5,'IV. MA'!$D$20,'IV. MA'!$H$20,'IV. MA'!$L$20,'IV. MA'!$P$20,'IV. MA'!$T$20,'IV. MA'!$X$20,'IV. MA'!$AB$20,'IV. MA'!$AF$20,'IV. MA'!$AJ$20,'IV. MA'!$AN$20,'IV. MA'!$AR$20,'IV. MA'!$AV$20,'IV. MA'!$AZ$20,'IV. MA'!$BD$20,'IV. MA'!$BH$20,'IV. MA'!$BL$20,'IV. MA'!$BP$20,'IV. MA'!$BT$20),"")</f>
      </c>
    </row>
    <row r="24">
      <c r="B24" s="205" t="str">
        <f>=IF(Reserve_Freigabe="Ja","Operatives Budget (Reserve freigegeben)","Operatives Budget (abzgl. Reserve)")</f>
      </c>
      <c r="C24" s="197"/>
      <c r="D24" s="226" t="str">
        <f>=IF(Reserve_Freigabe="Ja",ROUND($D$22,2),ROUND($D$22-$D$23,2))</f>
      </c>
      <c r="F24" s="233" t="s">
        <v>480</v>
      </c>
      <c r="G24" s="197" t="s">
        <v>482</v>
      </c>
      <c r="H24" s="197"/>
      <c r="I24" s="234" t="str">
        <f>=I87</f>
        <v>0</v>
      </c>
      <c r="L24" s="143" t="s">
        <v>524</v>
      </c>
      <c r="M24" s="116" t="str">
        <f>=IFERROR(CHOOSE($AD$5,'IV. MA'!$C$21,'IV. MA'!$G$21,'IV. MA'!$K$21,'IV. MA'!$O$21,'IV. MA'!$S$21,'IV. MA'!$W$21,'IV. MA'!$AA$21,'IV. MA'!$AE$21,'IV. MA'!$AI$21,'IV. MA'!$AM$21,'IV. MA'!$AQ$21,'IV. MA'!$AU$21,'IV. MA'!$AY$21,'IV. MA'!$BC$21,'IV. MA'!$BG$21,'IV. MA'!$BK$21,'IV. MA'!$BO$21,'IV. MA'!$BS$21),"")</f>
      </c>
      <c r="N24" s="144" t="str">
        <f>=IFERROR(CHOOSE($AD$5,'IV. MA'!$D$21,'IV. MA'!$H$21,'IV. MA'!$L$21,'IV. MA'!$P$21,'IV. MA'!$T$21,'IV. MA'!$X$21,'IV. MA'!$AB$21,'IV. MA'!$AF$21,'IV. MA'!$AJ$21,'IV. MA'!$AN$21,'IV. MA'!$AR$21,'IV. MA'!$AV$21,'IV. MA'!$AZ$21,'IV. MA'!$BD$21,'IV. MA'!$BH$21,'IV. MA'!$BL$21,'IV. MA'!$BP$21,'IV. MA'!$BT$21),"")</f>
      </c>
    </row>
    <row r="25">
      <c r="B25" s="205" t="s">
        <v>477</v>
      </c>
      <c r="C25" s="197"/>
      <c r="D25" s="226" t="str">
        <f>=IFERROR(ROUND(SUBTOTAL(109,TblKMWMittel[Betrag]),2),0)</f>
      </c>
      <c r="F25" s="233" t="s">
        <v>480</v>
      </c>
      <c r="G25" s="197" t="s">
        <v>483</v>
      </c>
      <c r="H25" s="197"/>
      <c r="I25" s="234" t="str">
        <f>=ROUND(MAX(0,MAX(0,(SUM($G$96:$G$99)-$G$98)+SUMIFS('Daten'!$BH$1:$BH$18,'Daten'!$BB$1:$BB$18,E10,'Daten'!$BD$1:$BD$18,"&lt;="&amp;E11,'Daten'!$BD$1:$BD$18,"&gt;=1")-(SUM($H$96:$H$99)-$H$98))-I87),2)</f>
        <v>0</v>
      </c>
      <c r="L25" s="143" t="s">
        <v>525</v>
      </c>
      <c r="M25" s="116" t="str">
        <f>=IFERROR(CHOOSE($AD$5,'IV. MA'!$C$22,'IV. MA'!$G$22,'IV. MA'!$K$22,'IV. MA'!$O$22,'IV. MA'!$S$22,'IV. MA'!$W$22,'IV. MA'!$AA$22,'IV. MA'!$AE$22,'IV. MA'!$AI$22,'IV. MA'!$AM$22,'IV. MA'!$AQ$22,'IV. MA'!$AU$22,'IV. MA'!$AY$22,'IV. MA'!$BC$22,'IV. MA'!$BG$22,'IV. MA'!$BK$22,'IV. MA'!$BO$22,'IV. MA'!$BS$22),"")</f>
      </c>
      <c r="N25" s="144" t="str">
        <f>=IFERROR(CHOOSE($AD$5,'IV. MA'!$D$22,'IV. MA'!$H$22,'IV. MA'!$L$22,'IV. MA'!$P$22,'IV. MA'!$T$22,'IV. MA'!$X$22,'IV. MA'!$AB$22,'IV. MA'!$AF$22,'IV. MA'!$AJ$22,'IV. MA'!$AN$22,'IV. MA'!$AR$22,'IV. MA'!$AV$22,'IV. MA'!$AZ$22,'IV. MA'!$BD$22,'IV. MA'!$BH$22,'IV. MA'!$BL$22,'IV. MA'!$BP$22,'IV. MA'!$BT$22),"")</f>
      </c>
    </row>
    <row r="26">
      <c r="B26" s="227" t="s">
        <v>478</v>
      </c>
      <c r="C26" s="228"/>
      <c r="D26" s="229" t="str">
        <f>=ROUND($D$24-$D$25,2)</f>
      </c>
      <c r="F26" s="45"/>
      <c r="G26" s="218" t="s">
        <v>484</v>
      </c>
      <c r="H26" s="218"/>
      <c r="I26" s="235" t="str">
        <f>=ROUND(IF($F$23="Abzug",MAX(0,$I$23),0)+IF($F$24="Abzug",MAX(0,$I$24),0)+IF($F$25="Abzug",MAX(0,$I$25),0),2)</f>
      </c>
      <c r="L26" s="143" t="str">
        <f>=IFERROR(CHOOSE($AD$5,'IV. MA'!$B$23,'IV. MA'!$F$23,'IV. MA'!$J$23,'IV. MA'!$N$23,'IV. MA'!$R$23,'IV. MA'!$V$23,'IV. MA'!$Z$23,'IV. MA'!$AD$23,'IV. MA'!$AH$23,'IV. MA'!$AL$23,'IV. MA'!$AP$23,'IV. MA'!$AT$23,'IV. MA'!$AX$23,'IV. MA'!$BB$23,'IV. MA'!$BF$23,'IV. MA'!$BJ$23,'IV. MA'!$BN$23,'IV. MA'!$BR$23),"")</f>
      </c>
      <c r="M26" s="116" t="str">
        <f>=IFERROR(CHOOSE($AD$5,'IV. MA'!$C$23,'IV. MA'!$G$23,'IV. MA'!$K$23,'IV. MA'!$O$23,'IV. MA'!$S$23,'IV. MA'!$W$23,'IV. MA'!$AA$23,'IV. MA'!$AE$23,'IV. MA'!$AI$23,'IV. MA'!$AM$23,'IV. MA'!$AQ$23,'IV. MA'!$AU$23,'IV. MA'!$AY$23,'IV. MA'!$BC$23,'IV. MA'!$BG$23,'IV. MA'!$BK$23,'IV. MA'!$BO$23,'IV. MA'!$BS$23),"")</f>
      </c>
      <c r="N26" s="144" t="str">
        <f>=IFERROR(CHOOSE($AD$5,'IV. MA'!$D$23,'IV. MA'!$H$23,'IV. MA'!$L$23,'IV. MA'!$P$23,'IV. MA'!$T$23,'IV. MA'!$X$23,'IV. MA'!$AB$23,'IV. MA'!$AF$23,'IV. MA'!$AJ$23,'IV. MA'!$AN$23,'IV. MA'!$AR$23,'IV. MA'!$AV$23,'IV. MA'!$AZ$23,'IV. MA'!$BD$23,'IV. MA'!$BH$23,'IV. MA'!$BL$23,'IV. MA'!$BP$23,'IV. MA'!$BT$23),"")</f>
      </c>
    </row>
    <row r="27">
      <c r="F27" s="236"/>
      <c r="G27" s="228" t="s">
        <v>485</v>
      </c>
      <c r="H27" s="228"/>
      <c r="I27" s="229" t="str">
        <f>=ROUND($D$26-$I$26,2)</f>
      </c>
      <c r="L27" s="45"/>
      <c r="N27" s="46"/>
    </row>
    <row r="28">
      <c r="L28" s="323" t="s">
        <v>461</v>
      </c>
      <c r="M28" s="324" t="str">
        <f>=IFERROR(CHOOSE($AD$5,'IV. MA'!$C$25,'IV. MA'!$G$25,'IV. MA'!$K$25,'IV. MA'!$O$25,'IV. MA'!$S$25,'IV. MA'!$W$25,'IV. MA'!$AA$25,'IV. MA'!$AE$25,'IV. MA'!$AI$25,'IV. MA'!$AM$25,'IV. MA'!$AQ$25,'IV. MA'!$AU$25,'IV. MA'!$AY$25,'IV. MA'!$BC$25,'IV. MA'!$BG$25,'IV. MA'!$BK$25,'IV. MA'!$BO$25,'IV. MA'!$BS$25),"")</f>
      </c>
      <c r="N28" s="325" t="str">
        <f>=IFERROR(CHOOSE($AD$5,'IV. MA'!$D$25,'IV. MA'!$H$25,'IV. MA'!$L$25,'IV. MA'!$P$25,'IV. MA'!$T$25,'IV. MA'!$X$25,'IV. MA'!$AB$25,'IV. MA'!$AF$25,'IV. MA'!$AJ$25,'IV. MA'!$AN$25,'IV. MA'!$AR$25,'IV. MA'!$AV$25,'IV. MA'!$AZ$25,'IV. MA'!$BD$25,'IV. MA'!$BH$25,'IV. MA'!$BL$25,'IV. MA'!$BP$25,'IV. MA'!$BT$25),"")</f>
      </c>
    </row>
    <row r="29">
      <c r="B29" s="223" t="s">
        <v>486</v>
      </c>
      <c r="C29" s="224"/>
      <c r="D29" s="225" t="str">
        <f>=IFERROR(ROUND(SUMIFS('Daten'!$BV$1:$BV$198,'Daten'!$BT$1:$BT$198,"KMW-Mittel",'Daten'!$BR$1:$BR$198,E10,'Daten'!$BS$1:$BS$198,E11),2),0)</f>
      </c>
      <c r="F29" s="223" t="s">
        <v>486</v>
      </c>
      <c r="G29" s="224"/>
      <c r="H29" s="224"/>
      <c r="I29" s="225" t="str">
        <f>=IFERROR(ROUND(SUMIFS('Daten'!$BV$1:$BV$198,'Daten'!$BT$1:$BT$198,"KMW-Mittel",'Daten'!$BR$1:$BR$198,E10,'Daten'!$BS$1:$BS$198,E11),2),0)</f>
      </c>
    </row>
    <row r="30">
      <c r="B30" s="227" t="s">
        <v>487</v>
      </c>
      <c r="C30" s="228"/>
      <c r="D30" s="229" t="str">
        <f>=ROUND($D$26-MAX(0,$D$29),2)</f>
      </c>
      <c r="F30" s="227" t="s">
        <v>488</v>
      </c>
      <c r="G30" s="228"/>
      <c r="H30" s="228"/>
      <c r="I30" s="229" t="str">
        <f>=ROUND($I$27-MAX(0,$I$29),2)</f>
      </c>
    </row>
    <row r="32">
      <c r="B32" s="223" t="s">
        <v>489</v>
      </c>
      <c r="C32" s="224"/>
      <c r="D32" s="237" t="str">
        <f>=IFERROR(CHOOSE(E10,MA_ManBetrag_1,MA_ManBetrag_2,MA_ManBetrag_3,MA_ManBetrag_4,MA_ManBetrag_5,MA_ManBetrag_6,MA_ManBetrag_7,MA_ManBetrag_8,MA_ManBetrag_9,MA_ManBetrag_10,MA_ManBetrag_11,MA_ManBetrag_12,MA_ManBetrag_13,MA_ManBetrag_14,MA_ManBetrag_15,MA_ManBetrag_16,MA_ManBetrag_17,MA_ManBetrag_18),0)</f>
      </c>
      <c r="F32" s="223" t="s">
        <v>489</v>
      </c>
      <c r="G32" s="224"/>
      <c r="H32" s="224"/>
      <c r="I32" s="237" t="str">
        <f>=IFERROR(CHOOSE(E10,MA_ManBetrag_1,MA_ManBetrag_2,MA_ManBetrag_3,MA_ManBetrag_4,MA_ManBetrag_5,MA_ManBetrag_6,MA_ManBetrag_7,MA_ManBetrag_8,MA_ManBetrag_9,MA_ManBetrag_10,MA_ManBetrag_11,MA_ManBetrag_12,MA_ManBetrag_13,MA_ManBetrag_14,MA_ManBetrag_15,MA_ManBetrag_16,MA_ManBetrag_17,MA_ManBetrag_18),0)</f>
      </c>
    </row>
    <row r="33">
      <c r="B33" s="227" t="s">
        <v>487</v>
      </c>
      <c r="C33" s="228"/>
      <c r="D33" s="229" t="str">
        <f>=ROUND(MAX(0,$D$26-MAX(0,$D$32)),2)</f>
      </c>
      <c r="F33" s="227" t="s">
        <v>488</v>
      </c>
      <c r="G33" s="228"/>
      <c r="H33" s="228"/>
      <c r="I33" s="229" t="str">
        <f>=ROUND(MAX(0,$I$27-MAX(0,$I$32)),2)</f>
      </c>
    </row>
    <row r="36" ht="22" customHeight="true">
      <c r="B36" s="18" t="s">
        <v>490</v>
      </c>
      <c r="C36" s="18"/>
      <c r="D36" s="18"/>
      <c r="E36" s="18"/>
      <c r="F36" s="18"/>
      <c r="G36" s="18"/>
      <c r="H36" s="18"/>
      <c r="I36" s="18"/>
      <c r="J36" s="18"/>
    </row>
    <row r="38">
      <c r="B38" s="246" t="s">
        <v>158</v>
      </c>
      <c r="C38" s="247" t="s">
        <v>491</v>
      </c>
      <c r="D38" s="247" t="s">
        <v>492</v>
      </c>
      <c r="E38" s="248" t="s">
        <v>493</v>
      </c>
    </row>
    <row r="39">
      <c r="B39" s="205" t="s">
        <v>494</v>
      </c>
      <c r="C39" s="239" t="str">
        <f>=IFERROR(ROUND(SUMIFS('Daten'!$BF$1:$BF$18,'Daten'!$BB$1:$BB$18,E10,'Daten'!$BD$1:$BD$18,"&lt;="&amp;E11,'Daten'!$BD$1:$BD$18,"&gt;=1"),2),0)</f>
      </c>
      <c r="D39" s="240"/>
      <c r="E39" s="226" t="str">
        <f>=IFERROR(ROUND(SUMIFS('Daten'!$BG$1:$BG$18,'Daten'!$BB$1:$BB$18,E10,'Daten'!$BD$1:$BD$18,"&lt;="&amp;E11,'Daten'!$BD$1:$BD$18,"&gt;=1"),2),0)</f>
      </c>
    </row>
    <row r="40">
      <c r="B40" s="205" t="s">
        <v>495</v>
      </c>
      <c r="C40" s="239" t="str">
        <f>=IFERROR(ROUND(SUBTOTAL(109,TblBudgetAusgaben[Jahr 1]),2),0)</f>
      </c>
      <c r="D40" s="241">
        <v>8</v>
      </c>
      <c r="E40" s="226" t="str">
        <f>=IFERROR(ROUND($C$40/Budget_Kurs,2),0)</f>
      </c>
    </row>
    <row r="41">
      <c r="B41" s="205" t="s">
        <v>496</v>
      </c>
      <c r="C41" s="239" t="str">
        <f>=IFERROR(ROUND(SUBTOTAL(109,TblBudgetAusgaben[Jahr 2]),2),0)</f>
      </c>
      <c r="D41" s="241">
        <v>0</v>
      </c>
      <c r="E41" s="226" t="str">
        <f>=IFERROR(ROUND($C$41/Budget_Kurs,2),0)</f>
      </c>
    </row>
    <row r="42">
      <c r="B42" s="205" t="s">
        <v>497</v>
      </c>
      <c r="C42" s="239" t="str">
        <f>=IFERROR(ROUND(SUBTOTAL(109,TblBudgetAusgaben[Jahr 3]),2),0)</f>
      </c>
      <c r="D42" s="241">
        <v>0</v>
      </c>
      <c r="E42" s="226" t="str">
        <f>=IFERROR(ROUND($C$42/Budget_Kurs,2),0)</f>
      </c>
    </row>
    <row r="43">
      <c r="B43" s="205" t="s">
        <v>498</v>
      </c>
      <c r="C43" s="242" t="str">
        <f>=$D$40+$D$41+$D$42</f>
      </c>
      <c r="D43" s="242"/>
      <c r="E43" s="249"/>
    </row>
    <row r="44">
      <c r="B44" s="205" t="s">
        <v>499</v>
      </c>
      <c r="C44" s="242" t="str">
        <f>=IFERROR(CHOOSE(IFERROR(SUMPRODUCT('Daten'!$BA$1:$BA$18,('Daten'!$BB$1:$BB$18=E10)*('Daten'!$BD$1:$BD$18=E11)),0),'IV. MA'!$C$7,'IV. MA'!$G$7,'IV. MA'!$K$7,'IV. MA'!$O$7,'IV. MA'!$S$7,'IV. MA'!$W$7,'IV. MA'!$AA$7,'IV. MA'!$AE$7,'IV. MA'!$AI$7,'IV. MA'!$AM$7,'IV. MA'!$AQ$7,'IV. MA'!$AU$7,'IV. MA'!$AY$7,'IV. MA'!$BC$7,'IV. MA'!$BG$7,'IV. MA'!$BK$7,'IV. MA'!$BO$7,'IV. MA'!$BS$7),0)</f>
      </c>
      <c r="D44" s="242"/>
      <c r="E44" s="250"/>
    </row>
    <row r="45">
      <c r="B45" s="251" t="s">
        <v>500</v>
      </c>
      <c r="C45" s="243" t="str">
        <f>=IFERROR(ROUND($C$40*$D$40/12+$C$41*$D$41/12+$C$42*$D$42/12,2),0)</f>
      </c>
      <c r="D45" s="240"/>
      <c r="E45" s="235" t="str">
        <f>=IFERROR(ROUND($E$40*$D$40/12+$E$41*$D$41/12+$E$42*$D$42/12,2),0)</f>
      </c>
    </row>
    <row r="46">
      <c r="B46" s="251" t="s">
        <v>501</v>
      </c>
      <c r="C46" s="244" t="str">
        <f>=IF($C$39&lt;=$C$45,"OK","ÜBERSCHRITTEN")</f>
      </c>
      <c r="D46" s="240"/>
      <c r="E46" s="252" t="str">
        <f>=IF($E$39&lt;=$E$45,"OK","ÜBERSCHRITTEN")</f>
      </c>
    </row>
    <row r="47">
      <c r="B47" s="205" t="s">
        <v>502</v>
      </c>
      <c r="C47" s="239" t="str">
        <f>=ROUND(MAX(0,$C$39-$C$45),2)</f>
      </c>
      <c r="D47" s="240"/>
      <c r="E47" s="226" t="str">
        <f>=ROUND(MAX(0,$E$39-$E$45),2)</f>
      </c>
    </row>
    <row r="48">
      <c r="B48" s="253" t="s">
        <v>503</v>
      </c>
      <c r="C48" s="254" t="str">
        <f>=IFERROR($C$39/$C$45,0)</f>
      </c>
      <c r="D48" s="255"/>
      <c r="E48" s="256" t="str">
        <f>=IFERROR($E$39/$E$45,0)</f>
      </c>
    </row>
    <row r="50" ht="22" customHeight="true">
      <c r="B50" s="18" t="s">
        <v>504</v>
      </c>
      <c r="C50" s="18"/>
      <c r="D50" s="18"/>
      <c r="E50" s="18"/>
      <c r="F50" s="18"/>
      <c r="G50" s="18"/>
      <c r="H50" s="18"/>
      <c r="I50" s="18"/>
      <c r="J50" s="18"/>
    </row>
    <row r="52" ht="28" customHeight="true">
      <c r="B52" s="263" t="s">
        <v>505</v>
      </c>
      <c r="C52" s="264" t="s">
        <v>506</v>
      </c>
      <c r="D52" s="264" t="s">
        <v>507</v>
      </c>
      <c r="E52" s="264" t="s">
        <v>508</v>
      </c>
      <c r="F52" s="264" t="s">
        <v>509</v>
      </c>
      <c r="G52" s="264" t="s">
        <v>510</v>
      </c>
      <c r="H52" s="264" t="s">
        <v>511</v>
      </c>
      <c r="I52" s="264" t="s">
        <v>512</v>
      </c>
      <c r="J52" s="265" t="s">
        <v>513</v>
      </c>
    </row>
    <row r="53">
      <c r="B53" s="266" t="s">
        <v>196</v>
      </c>
      <c r="C53" s="239" t="str">
        <f>=IFERROR(ROUND(SUMIFS('Daten'!$BU$1:$BU$198,'Daten'!$BT$1:$BT$198,"Eigenmittel",'Daten'!$BR$1:$BR$198,E10,'Daten'!$BS$1:$BS$198,"&lt;="&amp;E11,'Daten'!$BS$1:$BS$198,"&gt;=1"),2),0)</f>
      </c>
      <c r="D53" s="239" t="str">
        <f>=IFERROR(ROUND(Eigenmittel_LW,2),0)</f>
      </c>
      <c r="E53" s="201" t="str">
        <f>=ROUND(IFERROR($C$53-$D$53,0),2)</f>
      </c>
      <c r="F53" s="258" t="str">
        <f>=ROUND(IFERROR(($C$53/$D$53)-1,0),4)</f>
      </c>
      <c r="G53" s="217" t="str">
        <f>=IFERROR(ROUND(SUMIFS('Daten'!$BV$1:$BV$198,'Daten'!$BT$1:$BT$198,"Eigenmittel",'Daten'!$BR$1:$BR$198,E10,'Daten'!$BS$1:$BS$198,"&lt;="&amp;E11,'Daten'!$BS$1:$BS$198,"&gt;=1"),2),0)</f>
      </c>
      <c r="H53" s="217" t="str">
        <f>=IFERROR(ROUND(Eigenmittel_EUR,2),0)</f>
      </c>
      <c r="I53" s="182" t="str">
        <f>=ROUND(IFERROR($G$53-$H$53,0),2)</f>
      </c>
      <c r="J53" s="267" t="str">
        <f>=ROUND(IFERROR(($G$53/$H$53)-1,0),4)</f>
      </c>
    </row>
    <row r="54">
      <c r="B54" s="266" t="s">
        <v>427</v>
      </c>
      <c r="C54" s="239" t="str">
        <f>=IFERROR(ROUND(SUMIFS('Daten'!$BU$1:$BU$198,'Daten'!$BT$1:$BT$198,"Drittmittel",'Daten'!$BR$1:$BR$198,E10,'Daten'!$BS$1:$BS$198,"&lt;="&amp;E11,'Daten'!$BS$1:$BS$198,"&gt;=1"),2),0)</f>
      </c>
      <c r="D54" s="239" t="str">
        <f>=IFERROR(ROUND(Drittmittel_LW,2),0)</f>
      </c>
      <c r="E54" s="201" t="str">
        <f>=ROUND(IFERROR($C$54-$D$54,0),2)</f>
      </c>
      <c r="F54" s="258" t="str">
        <f>=ROUND(IFERROR(($C$54/$D$54)-1,0),4)</f>
      </c>
      <c r="G54" s="217" t="str">
        <f>=IFERROR(ROUND(SUMIFS('Daten'!$BV$1:$BV$198,'Daten'!$BT$1:$BT$198,"Drittmittel",'Daten'!$BR$1:$BR$198,E10,'Daten'!$BS$1:$BS$198,"&lt;="&amp;E11,'Daten'!$BS$1:$BS$198,"&gt;=1"),2),0)</f>
      </c>
      <c r="H54" s="217" t="str">
        <f>=IFERROR(ROUND(Drittmittel_EUR,2),0)</f>
      </c>
      <c r="I54" s="182" t="str">
        <f>=ROUND(IFERROR($G$54-$H$54,0),2)</f>
      </c>
      <c r="J54" s="268" t="str">
        <f>=ROUND(IFERROR(($G$54/$H$54)-1,0),4)</f>
      </c>
    </row>
    <row r="55">
      <c r="B55" s="266" t="s">
        <v>201</v>
      </c>
      <c r="C55" s="239" t="str">
        <f>=IFERROR(ROUND(SUMIFS('Daten'!$BU$1:$BU$198,'Daten'!$BT$1:$BT$198,"KMW-Mittel",'Daten'!$BR$1:$BR$198,E10,'Daten'!$BS$1:$BS$198,"&lt;="&amp;E11,'Daten'!$BS$1:$BS$198,"&gt;=1"),2),0)</f>
      </c>
      <c r="D55" s="239" t="str">
        <f>=IFERROR(ROUND(KMW_Mittel_LW,2),0)</f>
      </c>
      <c r="E55" s="201" t="str">
        <f>=ROUND(IFERROR($C$55-$D$55,0),2)</f>
      </c>
      <c r="F55" s="258" t="str">
        <f>=ROUND(IFERROR(($C$55/$D$55)-1,0),4)</f>
      </c>
      <c r="G55" s="217" t="str">
        <f>=IFERROR(ROUND(SUMIFS('Daten'!$BV$1:$BV$198,'Daten'!$BT$1:$BT$198,"KMW-Mittel",'Daten'!$BR$1:$BR$198,E10,'Daten'!$BS$1:$BS$198,"&lt;="&amp;E11,'Daten'!$BS$1:$BS$198,"&gt;=1"),2),0)</f>
      </c>
      <c r="H55" s="217" t="str">
        <f>=IFERROR(ROUND(KMW_Mittel_EUR,2),0)</f>
      </c>
      <c r="I55" s="182" t="str">
        <f>=ROUND(IFERROR($G$55-$H$55,0),2)</f>
      </c>
      <c r="J55" s="269" t="str">
        <f>=ROUND(IFERROR(($G$55/$H$55)-1,0),4)</f>
      </c>
    </row>
    <row r="56">
      <c r="B56" s="266" t="s">
        <v>428</v>
      </c>
      <c r="C56" s="239" t="str">
        <f>=IFERROR(ROUND(SUMIFS('Daten'!$BU$1:$BU$198,'Daten'!$BT$1:$BT$198,"Zinsertraege",'Daten'!$BR$1:$BR$198,E10,'Daten'!$BS$1:$BS$198,"&lt;="&amp;E11,'Daten'!$BS$1:$BS$198,"&gt;=1"),2),0)</f>
      </c>
      <c r="D56" s="239" t="str">
        <f>=IFERROR(ROUND(0,2),0)</f>
      </c>
      <c r="E56" s="201" t="str">
        <f>=ROUND(IFERROR($C$56-$D$56,0),2)</f>
      </c>
      <c r="F56" s="258" t="str">
        <f>=ROUND(IFERROR(($C$56/$D$56)-1,0),4)</f>
      </c>
      <c r="G56" s="217" t="str">
        <f>=IFERROR(ROUND(SUMIFS('Daten'!$BV$1:$BV$198,'Daten'!$BT$1:$BT$198,"Zinsertraege",'Daten'!$BR$1:$BR$198,E10,'Daten'!$BS$1:$BS$198,"&lt;="&amp;E11,'Daten'!$BS$1:$BS$198,"&gt;=1"),2),0)</f>
      </c>
      <c r="H56" s="217" t="str">
        <f>=IFERROR(ROUND(0,2),0)</f>
      </c>
      <c r="I56" s="182" t="str">
        <f>=ROUND(IFERROR($G$56-$H$56,0),2)</f>
      </c>
      <c r="J56" s="270" t="str">
        <f>=ROUND(IFERROR(($G$56/$H$56)-1,0),4)</f>
      </c>
    </row>
    <row r="57" ht="20" customHeight="true">
      <c r="B57" s="271" t="s">
        <v>414</v>
      </c>
      <c r="C57" s="272" t="str">
        <f>=ROUND(SUM($C$53:$C$56),2)</f>
      </c>
      <c r="D57" s="272" t="str">
        <f>=ROUND(SUM($D$53:$D$56),2)</f>
      </c>
      <c r="E57" s="272" t="str">
        <f>=ROUND(SUM($E$53:$E$56),2)</f>
      </c>
      <c r="F57" s="273" t="str">
        <f>=ROUND(IFERROR(($C$57/$D$57)-1,0),4)</f>
      </c>
      <c r="G57" s="274" t="str">
        <f>=ROUND(SUM($G$53:$G$56),2)</f>
      </c>
      <c r="H57" s="274" t="str">
        <f>=ROUND(SUM($H$53:$H$56),2)</f>
      </c>
      <c r="I57" s="274" t="str">
        <f>=ROUND(SUM($I$53:$I$56),2)</f>
      </c>
      <c r="J57" s="275" t="str">
        <f>=ROUND(IFERROR(($G$57/$H$57)-1,0),4)</f>
      </c>
    </row>
    <row r="59" ht="22" customHeight="true">
      <c r="B59" s="18" t="s">
        <v>514</v>
      </c>
      <c r="C59" s="18"/>
      <c r="D59" s="18"/>
      <c r="E59" s="18"/>
      <c r="F59" s="18"/>
      <c r="G59" s="18"/>
      <c r="H59" s="18"/>
      <c r="I59" s="18"/>
      <c r="J59" s="18"/>
    </row>
    <row r="61" ht="28" customHeight="true">
      <c r="B61" s="263" t="s">
        <v>505</v>
      </c>
      <c r="C61" s="264" t="s">
        <v>506</v>
      </c>
      <c r="D61" s="264" t="s">
        <v>507</v>
      </c>
      <c r="E61" s="264" t="s">
        <v>508</v>
      </c>
      <c r="F61" s="264" t="s">
        <v>509</v>
      </c>
      <c r="G61" s="264" t="s">
        <v>510</v>
      </c>
      <c r="H61" s="264" t="s">
        <v>511</v>
      </c>
      <c r="I61" s="264" t="s">
        <v>512</v>
      </c>
      <c r="J61" s="265" t="s">
        <v>513</v>
      </c>
    </row>
    <row r="62">
      <c r="B62" s="266" t="s">
        <v>207</v>
      </c>
      <c r="C62" s="239" t="str">
        <f>=IFERROR(ROUND(SUMIFS('Daten'!$BU$1:$BU$198,'Daten'!$BT$1:$BT$198,"Bauausgaben",'Daten'!$BR$1:$BR$198,E10,'Daten'!$BS$1:$BS$198,"&lt;="&amp;E11,'Daten'!$BS$1:$BS$198,"&gt;=1"),2),0)</f>
      </c>
      <c r="D62" s="239" t="str">
        <f>=IFERROR(ROUND(Kosten_Bauausgaben_LW,2),0)</f>
      </c>
      <c r="E62" s="201" t="str">
        <f>=ROUND(IFERROR($C$62-$D$62,0),2)</f>
      </c>
      <c r="F62" s="258" t="str">
        <f>=ROUND(IFERROR(($C$62/$D$62)-1,0),4)</f>
      </c>
      <c r="G62" s="217" t="str">
        <f>=IFERROR(ROUND(SUMIFS('Daten'!$BV$1:$BV$198,'Daten'!$BT$1:$BT$198,"Bauausgaben",'Daten'!$BR$1:$BR$198,E10,'Daten'!$BS$1:$BS$198,"&lt;="&amp;E11,'Daten'!$BS$1:$BS$198,"&gt;=1"),2),0)</f>
      </c>
      <c r="H62" s="217" t="str">
        <f>=IFERROR(ROUND(Kosten_Bauausgaben_EUR,2),0)</f>
      </c>
      <c r="I62" s="182" t="str">
        <f>=ROUND(IFERROR($G$62-$H$62,0),2)</f>
      </c>
      <c r="J62" s="276" t="str">
        <f>=ROUND(IFERROR(($G$62/$H$62)-1,0),4)</f>
      </c>
    </row>
    <row r="63">
      <c r="B63" s="266" t="s">
        <v>248</v>
      </c>
      <c r="C63" s="239" t="str">
        <f>=IFERROR(ROUND(SUMIFS('Daten'!$BU$1:$BU$198,'Daten'!$BT$1:$BT$198,"Investitionen",'Daten'!$BR$1:$BR$198,E10,'Daten'!$BS$1:$BS$198,"&lt;="&amp;E11,'Daten'!$BS$1:$BS$198,"&gt;=1"),2),0)</f>
      </c>
      <c r="D63" s="239" t="str">
        <f>=IFERROR(ROUND(Kosten_Investitionen_LW,2),0)</f>
      </c>
      <c r="E63" s="201" t="str">
        <f>=ROUND(IFERROR($C$63-$D$63,0),2)</f>
      </c>
      <c r="F63" s="258" t="str">
        <f>=ROUND(IFERROR(($C$63/$D$63)-1,0),4)</f>
      </c>
      <c r="G63" s="217" t="str">
        <f>=IFERROR(ROUND(SUMIFS('Daten'!$BV$1:$BV$198,'Daten'!$BT$1:$BT$198,"Investitionen",'Daten'!$BR$1:$BR$198,E10,'Daten'!$BS$1:$BS$198,"&lt;="&amp;E11,'Daten'!$BS$1:$BS$198,"&gt;=1"),2),0)</f>
      </c>
      <c r="H63" s="217" t="str">
        <f>=IFERROR(ROUND(Kosten_Investitionen_EUR,2),0)</f>
      </c>
      <c r="I63" s="182" t="str">
        <f>=ROUND(IFERROR($G$63-$H$63,0),2)</f>
      </c>
      <c r="J63" s="277" t="str">
        <f>=ROUND(IFERROR(($G$63/$H$63)-1,0),4)</f>
      </c>
    </row>
    <row r="64">
      <c r="B64" s="266" t="s">
        <v>269</v>
      </c>
      <c r="C64" s="239" t="str">
        <f>=IFERROR(ROUND(SUMIFS('Daten'!$BU$1:$BU$198,'Daten'!$BT$1:$BT$198,"Personalkosten",'Daten'!$BR$1:$BR$198,E10,'Daten'!$BS$1:$BS$198,"&lt;="&amp;E11,'Daten'!$BS$1:$BS$198,"&gt;=1"),2),0)</f>
      </c>
      <c r="D64" s="239" t="str">
        <f>=IFERROR(ROUND(Kosten_Personalkosten_LW,2),0)</f>
      </c>
      <c r="E64" s="201" t="str">
        <f>=ROUND(IFERROR($C$64-$D$64,0),2)</f>
      </c>
      <c r="F64" s="258" t="str">
        <f>=ROUND(IFERROR(($C$64/$D$64)-1,0),4)</f>
      </c>
      <c r="G64" s="217" t="str">
        <f>=IFERROR(ROUND(SUMIFS('Daten'!$BV$1:$BV$198,'Daten'!$BT$1:$BT$198,"Personalkosten",'Daten'!$BR$1:$BR$198,E10,'Daten'!$BS$1:$BS$198,"&lt;="&amp;E11,'Daten'!$BS$1:$BS$198,"&gt;=1"),2),0)</f>
      </c>
      <c r="H64" s="217" t="str">
        <f>=IFERROR(ROUND(Kosten_Personalkosten_EUR,2),0)</f>
      </c>
      <c r="I64" s="182" t="str">
        <f>=ROUND(IFERROR($G$64-$H$64,0),2)</f>
      </c>
      <c r="J64" s="278" t="str">
        <f>=ROUND(IFERROR(($G$64/$H$64)-1,0),4)</f>
      </c>
    </row>
    <row r="65">
      <c r="B65" s="266" t="s">
        <v>300</v>
      </c>
      <c r="C65" s="239" t="str">
        <f>=IFERROR(ROUND(SUMIFS('Daten'!$BU$1:$BU$198,'Daten'!$BT$1:$BT$198,"Projektaktivitaeten",'Daten'!$BR$1:$BR$198,E10,'Daten'!$BS$1:$BS$198,"&lt;="&amp;E11,'Daten'!$BS$1:$BS$198,"&gt;=1"),2),0)</f>
      </c>
      <c r="D65" s="239" t="str">
        <f>=IFERROR(ROUND(Kosten_Projektaktivitaeten_LW,2),0)</f>
      </c>
      <c r="E65" s="201" t="str">
        <f>=ROUND(IFERROR($C$65-$D$65,0),2)</f>
      </c>
      <c r="F65" s="258" t="str">
        <f>=ROUND(IFERROR(($C$65/$D$65)-1,0),4)</f>
      </c>
      <c r="G65" s="217" t="str">
        <f>=IFERROR(ROUND(SUMIFS('Daten'!$BV$1:$BV$198,'Daten'!$BT$1:$BT$198,"Projektaktivitaeten",'Daten'!$BR$1:$BR$198,E10,'Daten'!$BS$1:$BS$198,"&lt;="&amp;E11,'Daten'!$BS$1:$BS$198,"&gt;=1"),2),0)</f>
      </c>
      <c r="H65" s="217" t="str">
        <f>=IFERROR(ROUND(Kosten_Projektaktivitaeten_EUR,2),0)</f>
      </c>
      <c r="I65" s="182" t="str">
        <f>=ROUND(IFERROR($G$65-$H$65,0),2)</f>
      </c>
      <c r="J65" s="279" t="str">
        <f>=ROUND(IFERROR(($G$65/$H$65)-1,0),4)</f>
      </c>
    </row>
    <row r="66">
      <c r="B66" s="266" t="s">
        <v>331</v>
      </c>
      <c r="C66" s="239" t="str">
        <f>=IFERROR(ROUND(SUMIFS('Daten'!$BU$1:$BU$198,'Daten'!$BT$1:$BT$198,"Projektverwaltung",'Daten'!$BR$1:$BR$198,E10,'Daten'!$BS$1:$BS$198,"&lt;="&amp;E11,'Daten'!$BS$1:$BS$198,"&gt;=1"),2),0)</f>
      </c>
      <c r="D66" s="239" t="str">
        <f>=IFERROR(ROUND(Kosten_Projektverwaltung_LW,2),0)</f>
      </c>
      <c r="E66" s="201" t="str">
        <f>=ROUND(IFERROR($C$66-$D$66,0),2)</f>
      </c>
      <c r="F66" s="258" t="str">
        <f>=ROUND(IFERROR(($C$66/$D$66)-1,0),4)</f>
      </c>
      <c r="G66" s="217" t="str">
        <f>=IFERROR(ROUND(SUMIFS('Daten'!$BV$1:$BV$198,'Daten'!$BT$1:$BT$198,"Projektverwaltung",'Daten'!$BR$1:$BR$198,E10,'Daten'!$BS$1:$BS$198,"&lt;="&amp;E11,'Daten'!$BS$1:$BS$198,"&gt;=1"),2),0)</f>
      </c>
      <c r="H66" s="217" t="str">
        <f>=IFERROR(ROUND(Kosten_Projektverwaltung_EUR,2),0)</f>
      </c>
      <c r="I66" s="182" t="str">
        <f>=ROUND(IFERROR($G$66-$H$66,0),2)</f>
      </c>
      <c r="J66" s="280" t="str">
        <f>=ROUND(IFERROR(($G$66/$H$66)-1,0),4)</f>
      </c>
    </row>
    <row r="67">
      <c r="B67" s="266" t="s">
        <v>352</v>
      </c>
      <c r="C67" s="239" t="str">
        <f>=IFERROR(ROUND(SUMIFS('Daten'!$BU$1:$BU$198,'Daten'!$BT$1:$BT$198,"Evaluierung",'Daten'!$BR$1:$BR$198,E10,'Daten'!$BS$1:$BS$198,"&lt;="&amp;E11,'Daten'!$BS$1:$BS$198,"&gt;=1"),2),0)</f>
      </c>
      <c r="D67" s="239" t="str">
        <f>=IFERROR(ROUND(Kosten_Evaluierung_LW,2),0)</f>
      </c>
      <c r="E67" s="201" t="str">
        <f>=ROUND(IFERROR($C$67-$D$67,0),2)</f>
      </c>
      <c r="F67" s="258" t="str">
        <f>=ROUND(IFERROR(($C$67/$D$67)-1,0),4)</f>
      </c>
      <c r="G67" s="217" t="str">
        <f>=IFERROR(ROUND(SUMIFS('Daten'!$BV$1:$BV$198,'Daten'!$BT$1:$BT$198,"Evaluierung",'Daten'!$BR$1:$BR$198,E10,'Daten'!$BS$1:$BS$198,"&lt;="&amp;E11,'Daten'!$BS$1:$BS$198,"&gt;=1"),2),0)</f>
      </c>
      <c r="H67" s="217" t="str">
        <f>=IFERROR(ROUND(Kosten_Evaluierung_EUR,2),0)</f>
      </c>
      <c r="I67" s="182" t="str">
        <f>=ROUND(IFERROR($G$67-$H$67,0),2)</f>
      </c>
      <c r="J67" s="281" t="str">
        <f>=ROUND(IFERROR(($G$67/$H$67)-1,0),4)</f>
      </c>
    </row>
    <row r="68">
      <c r="B68" s="266" t="s">
        <v>355</v>
      </c>
      <c r="C68" s="239" t="str">
        <f>=IFERROR(ROUND(SUMIFS('Daten'!$BU$1:$BU$198,'Daten'!$BT$1:$BT$198,"Audit",'Daten'!$BR$1:$BR$198,E10,'Daten'!$BS$1:$BS$198,"&lt;="&amp;E11,'Daten'!$BS$1:$BS$198,"&gt;=1"),2),0)</f>
      </c>
      <c r="D68" s="239" t="str">
        <f>=IFERROR(ROUND(Kosten_Audit_LW,2),0)</f>
      </c>
      <c r="E68" s="201" t="str">
        <f>=ROUND(IFERROR($C$68-$D$68,0),2)</f>
      </c>
      <c r="F68" s="258" t="str">
        <f>=ROUND(IFERROR(($C$68/$D$68)-1,0),4)</f>
      </c>
      <c r="G68" s="217" t="str">
        <f>=IFERROR(ROUND(SUMIFS('Daten'!$BV$1:$BV$198,'Daten'!$BT$1:$BT$198,"Audit",'Daten'!$BR$1:$BR$198,E10,'Daten'!$BS$1:$BS$198,"&lt;="&amp;E11,'Daten'!$BS$1:$BS$198,"&gt;=1"),2),0)</f>
      </c>
      <c r="H68" s="217" t="str">
        <f>=IFERROR(ROUND(Kosten_Audit_EUR,2),0)</f>
      </c>
      <c r="I68" s="182" t="str">
        <f>=ROUND(IFERROR($G$68-$H$68,0),2)</f>
      </c>
      <c r="J68" s="282" t="str">
        <f>=ROUND(IFERROR(($G$68/$H$68)-1,0),4)</f>
      </c>
    </row>
    <row r="69">
      <c r="B69" s="266" t="s">
        <v>357</v>
      </c>
      <c r="C69" s="239" t="str">
        <f>=IFERROR(ROUND(SUMIFS('Daten'!$BU$1:$BU$198,'Daten'!$BT$1:$BT$198,"Reserve",'Daten'!$BR$1:$BR$198,E10,'Daten'!$BS$1:$BS$198,"&lt;="&amp;E11,'Daten'!$BS$1:$BS$198,"&gt;=1"),2),0)</f>
      </c>
      <c r="D69" s="239" t="str">
        <f>=IFERROR(ROUND(Kosten_Reserve_LW,2),0)</f>
      </c>
      <c r="E69" s="201" t="str">
        <f>=ROUND(IFERROR($C$69-$D$69,0),2)</f>
      </c>
      <c r="F69" s="258" t="str">
        <f>=ROUND(IFERROR(($C$69/$D$69)-1,0),4)</f>
      </c>
      <c r="G69" s="217" t="str">
        <f>=IFERROR(ROUND(SUMIFS('Daten'!$BV$1:$BV$198,'Daten'!$BT$1:$BT$198,"Reserve",'Daten'!$BR$1:$BR$198,E10,'Daten'!$BS$1:$BS$198,"&lt;="&amp;E11,'Daten'!$BS$1:$BS$198,"&gt;=1"),2),0)</f>
      </c>
      <c r="H69" s="217" t="str">
        <f>=IFERROR(ROUND(Kosten_Reserve_EUR,2),0)</f>
      </c>
      <c r="I69" s="182" t="str">
        <f>=ROUND(IFERROR($G$69-$H$69,0),2)</f>
      </c>
      <c r="J69" s="283" t="str">
        <f>=ROUND(IFERROR(($G$69/$H$69)-1,0),4)</f>
      </c>
    </row>
    <row r="70" ht="20" customHeight="true">
      <c r="B70" s="271" t="s">
        <v>414</v>
      </c>
      <c r="C70" s="272" t="str">
        <f>=ROUND(SUM($C$62:$C$69),2)</f>
      </c>
      <c r="D70" s="272" t="str">
        <f>=ROUND(SUM($D$62:$D$69),2)</f>
      </c>
      <c r="E70" s="272" t="str">
        <f>=ROUND(SUM($E$62:$E$69),2)</f>
      </c>
      <c r="F70" s="284" t="str">
        <f>=ROUND(IFERROR(($C$70/$D$70)-1,0),4)</f>
      </c>
      <c r="G70" s="274" t="str">
        <f>=ROUND(SUM($G$62:$G$69),2)</f>
      </c>
      <c r="H70" s="274" t="str">
        <f>=ROUND(SUM($H$62:$H$69),2)</f>
      </c>
      <c r="I70" s="274" t="str">
        <f>=ROUND(SUM($I$62:$I$69),2)</f>
      </c>
      <c r="J70" s="285" t="str">
        <f>=ROUND(IFERROR(($G$70/$H$70)-1,0),4)</f>
      </c>
    </row>
    <row r="76" ht="22" customHeight="true">
      <c r="B76" s="194" t="s">
        <v>515</v>
      </c>
      <c r="C76" s="194"/>
      <c r="D76" s="194"/>
      <c r="E76" s="194"/>
      <c r="F76" s="194"/>
      <c r="G76" s="194"/>
      <c r="H76" s="194"/>
      <c r="I76" s="194"/>
      <c r="J76" s="194"/>
      <c r="L76" s="202" t="str">
        <f>=IF(E81=0,"Aktueller Finanzbericht (keiner gewählt)","Aktueller Finanzbericht – Periode "&amp;E81)</f>
      </c>
      <c r="M76" s="203"/>
      <c r="N76" s="203"/>
      <c r="O76" s="203"/>
      <c r="P76" s="204"/>
    </row>
    <row r="77">
      <c r="B77" s="195" t="s">
        <v>516</v>
      </c>
      <c r="C77" s="195"/>
      <c r="D77" s="195"/>
      <c r="E77" s="195"/>
      <c r="F77" s="195"/>
      <c r="G77" s="195"/>
      <c r="H77" s="195"/>
      <c r="I77" s="195"/>
      <c r="J77" s="195"/>
      <c r="L77" s="315" t="s">
        <v>415</v>
      </c>
      <c r="M77" s="326" t="str">
        <f>=IFERROR(CHOOSE(E81,'III. Finanzberichte'!$C$4,'III. Finanzberichte'!$J$4,'III. Finanzberichte'!$Q$4,'III. Finanzberichte'!$X$4,'III. Finanzberichte'!$AE$4,'III. Finanzberichte'!$AL$4,'III. Finanzberichte'!$AS$4,'III. Finanzberichte'!$AZ$4,'III. Finanzberichte'!$BG$4,'III. Finanzberichte'!$BN$4,'III. Finanzberichte'!$BU$4,'III. Finanzberichte'!$CB$4,'III. Finanzberichte'!$CI$4,'III. Finanzberichte'!$CP$4,'III. Finanzberichte'!$CW$4,'III. Finanzberichte'!$DD$4,'III. Finanzberichte'!$DK$4,'III. Finanzberichte'!$DR$4),"")</f>
      </c>
      <c r="N77" s="326"/>
      <c r="O77" s="326"/>
      <c r="P77" s="337"/>
    </row>
    <row r="78">
      <c r="L78" s="315" t="s">
        <v>416</v>
      </c>
      <c r="M78" s="327" t="str">
        <f>=IFERROR(CHOOSE(E81,'III. Finanzberichte'!$C$5,'III. Finanzberichte'!$J$5,'III. Finanzberichte'!$Q$5,'III. Finanzberichte'!$X$5,'III. Finanzberichte'!$AE$5,'III. Finanzberichte'!$AL$5,'III. Finanzberichte'!$AS$5,'III. Finanzberichte'!$AZ$5,'III. Finanzberichte'!$BG$5,'III. Finanzberichte'!$BN$5,'III. Finanzberichte'!$BU$5,'III. Finanzberichte'!$CB$5,'III. Finanzberichte'!$CI$5,'III. Finanzberichte'!$CP$5,'III. Finanzberichte'!$CW$5,'III. Finanzberichte'!$DD$5,'III. Finanzberichte'!$DK$5,'III. Finanzberichte'!$DR$5),"")</f>
      </c>
      <c r="N78" s="327"/>
      <c r="O78" s="327"/>
      <c r="P78" s="338"/>
    </row>
    <row r="79" ht="22" customHeight="true">
      <c r="C79" s="202" t="s">
        <v>517</v>
      </c>
      <c r="D79" s="203"/>
      <c r="E79" s="203"/>
      <c r="F79" s="203"/>
      <c r="G79" s="204"/>
      <c r="L79" s="315" t="s">
        <v>417</v>
      </c>
      <c r="M79" s="327" t="str">
        <f>=IFERROR(CHOOSE(E81,'III. Finanzberichte'!$C$6,'III. Finanzberichte'!$J$6,'III. Finanzberichte'!$Q$6,'III. Finanzberichte'!$X$6,'III. Finanzberichte'!$AE$6,'III. Finanzberichte'!$AL$6,'III. Finanzberichte'!$AS$6,'III. Finanzberichte'!$AZ$6,'III. Finanzberichte'!$BG$6,'III. Finanzberichte'!$BN$6,'III. Finanzberichte'!$BU$6,'III. Finanzberichte'!$CB$6,'III. Finanzberichte'!$CI$6,'III. Finanzberichte'!$CP$6,'III. Finanzberichte'!$CW$6,'III. Finanzberichte'!$DD$6,'III. Finanzberichte'!$DK$6,'III. Finanzberichte'!$DR$6),"")</f>
      </c>
      <c r="N79" s="327"/>
      <c r="O79" s="327"/>
      <c r="P79" s="338"/>
    </row>
    <row r="80">
      <c r="C80" s="205" t="s">
        <v>469</v>
      </c>
      <c r="D80" s="197"/>
      <c r="E80" s="63" t="s">
        <v>518</v>
      </c>
      <c r="F80" s="63"/>
      <c r="G80" s="206"/>
      <c r="L80" s="315" t="s">
        <v>418</v>
      </c>
      <c r="M80" s="328" t="str">
        <f>=IFERROR(CHOOSE(E81,'III. Finanzberichte'!$C$7,'III. Finanzberichte'!$J$7,'III. Finanzberichte'!$Q$7,'III. Finanzberichte'!$X$7,'III. Finanzberichte'!$AE$7,'III. Finanzberichte'!$AL$7,'III. Finanzberichte'!$AS$7,'III. Finanzberichte'!$AZ$7,'III. Finanzberichte'!$BG$7,'III. Finanzberichte'!$BN$7,'III. Finanzberichte'!$BU$7,'III. Finanzberichte'!$CB$7,'III. Finanzberichte'!$CI$7,'III. Finanzberichte'!$CP$7,'III. Finanzberichte'!$CW$7,'III. Finanzberichte'!$DD$7,'III. Finanzberichte'!$DK$7,'III. Finanzberichte'!$DR$7),"")</f>
      </c>
      <c r="N80" s="328"/>
      <c r="O80" s="328"/>
      <c r="P80" s="339"/>
    </row>
    <row r="81">
      <c r="C81" s="253" t="s">
        <v>471</v>
      </c>
      <c r="D81" s="286"/>
      <c r="E81" s="287" t="str">
        <f>=IF(E80="Neuester FB",IFERROR(SUMPRODUCT(MAX(('Daten'!$BK$1:$BK$18=1)*'Daten'!$BJ$1:$BJ$18)),0),IF(LEFT(E80,8)="Periode ",IFERROR(VALUE(TRIM(MID(E80,9,5))),0),0))</f>
      </c>
      <c r="F81" s="288"/>
      <c r="G81" s="289"/>
      <c r="L81" s="315" t="s">
        <v>419</v>
      </c>
      <c r="M81" s="329" t="str">
        <f>=IFERROR(CHOOSE(E81,'III. Finanzberichte'!$C$8,'III. Finanzberichte'!$J$8,'III. Finanzberichte'!$Q$8,'III. Finanzberichte'!$X$8,'III. Finanzberichte'!$AE$8,'III. Finanzberichte'!$AL$8,'III. Finanzberichte'!$AS$8,'III. Finanzberichte'!$AZ$8,'III. Finanzberichte'!$BG$8,'III. Finanzberichte'!$BN$8,'III. Finanzberichte'!$BU$8,'III. Finanzberichte'!$CB$8,'III. Finanzberichte'!$CI$8,'III. Finanzberichte'!$CP$8,'III. Finanzberichte'!$CW$8,'III. Finanzberichte'!$DD$8,'III. Finanzberichte'!$DK$8,'III. Finanzberichte'!$DR$8),"")</f>
      </c>
      <c r="N81" s="329"/>
      <c r="O81" s="329"/>
      <c r="P81" s="340"/>
    </row>
    <row r="82">
      <c r="L82" s="45"/>
      <c r="P82" s="46"/>
    </row>
    <row r="83" ht="22" customHeight="true">
      <c r="B83" s="18" t="s">
        <v>519</v>
      </c>
      <c r="C83" s="18"/>
      <c r="D83" s="18"/>
      <c r="E83" s="18"/>
      <c r="F83" s="18"/>
      <c r="G83" s="18"/>
      <c r="H83" s="18"/>
      <c r="I83" s="18"/>
      <c r="J83" s="18"/>
      <c r="L83" s="341" t="s">
        <v>420</v>
      </c>
      <c r="M83" s="330"/>
      <c r="N83" s="330"/>
      <c r="O83" s="330"/>
      <c r="P83" s="342"/>
    </row>
    <row r="84" ht="26" customHeight="true">
      <c r="L84" s="343" t="s">
        <v>421</v>
      </c>
      <c r="M84" s="331" t="s">
        <v>422</v>
      </c>
      <c r="N84" s="331" t="s">
        <v>423</v>
      </c>
      <c r="O84" s="331" t="s">
        <v>424</v>
      </c>
      <c r="P84" s="344" t="s">
        <v>425</v>
      </c>
    </row>
    <row r="85">
      <c r="B85" s="223" t="s">
        <v>475</v>
      </c>
      <c r="C85" s="224"/>
      <c r="D85" s="225" t="str">
        <f>=IFERROR(ROUND(KMW_Mittel_EUR,2),0)</f>
      </c>
      <c r="F85" s="230" t="s">
        <v>479</v>
      </c>
      <c r="G85" s="231"/>
      <c r="H85" s="231"/>
      <c r="I85" s="232"/>
      <c r="L85" s="143" t="str">
        <f>=IFERROR(CHOOSE(E81,'III. Finanzberichte'!$B$11,'III. Finanzberichte'!$I$11,'III. Finanzberichte'!$P$11,'III. Finanzberichte'!$W$11,'III. Finanzberichte'!$AD$11,'III. Finanzberichte'!$AK$11,'III. Finanzberichte'!$AR$11,'III. Finanzberichte'!$AY$11,'III. Finanzberichte'!$BF$11,'III. Finanzberichte'!$BM$11,'III. Finanzberichte'!$BT$11,'III. Finanzberichte'!$CA$11,'III. Finanzberichte'!$CH$11,'III. Finanzberichte'!$CO$11,'III. Finanzberichte'!$CV$11,'III. Finanzberichte'!$DC$11,'III. Finanzberichte'!$DJ$11,'III. Finanzberichte'!$DQ$11),"")</f>
      </c>
      <c r="M85" s="116" t="str">
        <f>=IFERROR(CHOOSE(E81,'III. Finanzberichte'!$C$11,'III. Finanzberichte'!$J$11,'III. Finanzberichte'!$Q$11,'III. Finanzberichte'!$X$11,'III. Finanzberichte'!$AE$11,'III. Finanzberichte'!$AL$11,'III. Finanzberichte'!$AS$11,'III. Finanzberichte'!$AZ$11,'III. Finanzberichte'!$BG$11,'III. Finanzberichte'!$BN$11,'III. Finanzberichte'!$BU$11,'III. Finanzberichte'!$CB$11,'III. Finanzberichte'!$CI$11,'III. Finanzberichte'!$CP$11,'III. Finanzberichte'!$CW$11,'III. Finanzberichte'!$DD$11,'III. Finanzberichte'!$DK$11,'III. Finanzberichte'!$DR$11),"")</f>
      </c>
      <c r="N85" s="117" t="str">
        <f>=IFERROR(CHOOSE(E81,'III. Finanzberichte'!$D$11,'III. Finanzberichte'!$K$11,'III. Finanzberichte'!$R$11,'III. Finanzberichte'!$Y$11,'III. Finanzberichte'!$AF$11,'III. Finanzberichte'!$AM$11,'III. Finanzberichte'!$AT$11,'III. Finanzberichte'!$BA$11,'III. Finanzberichte'!$BH$11,'III. Finanzberichte'!$BO$11,'III. Finanzberichte'!$BV$11,'III. Finanzberichte'!$CC$11,'III. Finanzberichte'!$CJ$11,'III. Finanzberichte'!$CQ$11,'III. Finanzberichte'!$CX$11,'III. Finanzberichte'!$DE$11,'III. Finanzberichte'!$DL$11,'III. Finanzberichte'!$DS$11),"")</f>
      </c>
      <c r="O85" s="116" t="str">
        <f>=IFERROR(CHOOSE(E81,'III. Finanzberichte'!$E$11,'III. Finanzberichte'!$L$11,'III. Finanzberichte'!$S$11,'III. Finanzberichte'!$Z$11,'III. Finanzberichte'!$AG$11,'III. Finanzberichte'!$AN$11,'III. Finanzberichte'!$AU$11,'III. Finanzberichte'!$BB$11,'III. Finanzberichte'!$BI$11,'III. Finanzberichte'!$BP$11,'III. Finanzberichte'!$BW$11,'III. Finanzberichte'!$CD$11,'III. Finanzberichte'!$CK$11,'III. Finanzberichte'!$CR$11,'III. Finanzberichte'!$CY$11,'III. Finanzberichte'!$DF$11,'III. Finanzberichte'!$DM$11,'III. Finanzberichte'!$DT$11),"")</f>
      </c>
      <c r="P85" s="144" t="str">
        <f>=IFERROR(CHOOSE(E81,'III. Finanzberichte'!$F$11,'III. Finanzberichte'!$M$11,'III. Finanzberichte'!$T$11,'III. Finanzberichte'!$AA$11,'III. Finanzberichte'!$AH$11,'III. Finanzberichte'!$AO$11,'III. Finanzberichte'!$AV$11,'III. Finanzberichte'!$BC$11,'III. Finanzberichte'!$BJ$11,'III. Finanzberichte'!$BQ$11,'III. Finanzberichte'!$BX$11,'III. Finanzberichte'!$CE$11,'III. Finanzberichte'!$CL$11,'III. Finanzberichte'!$CS$11,'III. Finanzberichte'!$CZ$11,'III. Finanzberichte'!$DG$11,'III. Finanzberichte'!$DN$11,'III. Finanzberichte'!$DU$11),"")</f>
      </c>
    </row>
    <row r="86">
      <c r="B86" s="205" t="s">
        <v>476</v>
      </c>
      <c r="C86" s="197"/>
      <c r="D86" s="226" t="str">
        <f>=IFERROR(ROUND(Kosten_Reserve_EUR,2),0)</f>
      </c>
      <c r="F86" s="233" t="s">
        <v>480</v>
      </c>
      <c r="G86" s="197" t="s">
        <v>481</v>
      </c>
      <c r="H86" s="197"/>
      <c r="I86" s="234" t="str">
        <f>=IFERROR(ROUND(Saldovortrag_EUR,2),0)</f>
      </c>
      <c r="L86" s="143" t="s">
        <v>196</v>
      </c>
      <c r="M86" s="116" t="str">
        <f>=IFERROR(CHOOSE(E81,'III. Finanzberichte'!$C$12,'III. Finanzberichte'!$J$12,'III. Finanzberichte'!$Q$12,'III. Finanzberichte'!$X$12,'III. Finanzberichte'!$AE$12,'III. Finanzberichte'!$AL$12,'III. Finanzberichte'!$AS$12,'III. Finanzberichte'!$AZ$12,'III. Finanzberichte'!$BG$12,'III. Finanzberichte'!$BN$12,'III. Finanzberichte'!$BU$12,'III. Finanzberichte'!$CB$12,'III. Finanzberichte'!$CI$12,'III. Finanzberichte'!$CP$12,'III. Finanzberichte'!$CW$12,'III. Finanzberichte'!$DD$12,'III. Finanzberichte'!$DK$12,'III. Finanzberichte'!$DR$12),"")</f>
      </c>
      <c r="N86" s="117" t="str">
        <f>=IFERROR(CHOOSE(E81,'III. Finanzberichte'!$D$12,'III. Finanzberichte'!$K$12,'III. Finanzberichte'!$R$12,'III. Finanzberichte'!$Y$12,'III. Finanzberichte'!$AF$12,'III. Finanzberichte'!$AM$12,'III. Finanzberichte'!$AT$12,'III. Finanzberichte'!$BA$12,'III. Finanzberichte'!$BH$12,'III. Finanzberichte'!$BO$12,'III. Finanzberichte'!$BV$12,'III. Finanzberichte'!$CC$12,'III. Finanzberichte'!$CJ$12,'III. Finanzberichte'!$CQ$12,'III. Finanzberichte'!$CX$12,'III. Finanzberichte'!$DE$12,'III. Finanzberichte'!$DL$12,'III. Finanzberichte'!$DS$12),"")</f>
      </c>
      <c r="O86" s="116" t="str">
        <f>=IFERROR(CHOOSE(E81,'III. Finanzberichte'!$E$12,'III. Finanzberichte'!$L$12,'III. Finanzberichte'!$S$12,'III. Finanzberichte'!$Z$12,'III. Finanzberichte'!$AG$12,'III. Finanzberichte'!$AN$12,'III. Finanzberichte'!$AU$12,'III. Finanzberichte'!$BB$12,'III. Finanzberichte'!$BI$12,'III. Finanzberichte'!$BP$12,'III. Finanzberichte'!$BW$12,'III. Finanzberichte'!$CD$12,'III. Finanzberichte'!$CK$12,'III. Finanzberichte'!$CR$12,'III. Finanzberichte'!$CY$12,'III. Finanzberichte'!$DF$12,'III. Finanzberichte'!$DM$12,'III. Finanzberichte'!$DT$12),"")</f>
      </c>
      <c r="P86" s="144" t="str">
        <f>=IFERROR(CHOOSE(E81,'III. Finanzberichte'!$F$12,'III. Finanzberichte'!$M$12,'III. Finanzberichte'!$T$12,'III. Finanzberichte'!$AA$12,'III. Finanzberichte'!$AH$12,'III. Finanzberichte'!$AO$12,'III. Finanzberichte'!$AV$12,'III. Finanzberichte'!$BC$12,'III. Finanzberichte'!$BJ$12,'III. Finanzberichte'!$BQ$12,'III. Finanzberichte'!$BX$12,'III. Finanzberichte'!$CE$12,'III. Finanzberichte'!$CL$12,'III. Finanzberichte'!$CS$12,'III. Finanzberichte'!$CZ$12,'III. Finanzberichte'!$DG$12,'III. Finanzberichte'!$DN$12,'III. Finanzberichte'!$DU$12),"")</f>
      </c>
    </row>
    <row r="87">
      <c r="B87" s="205" t="str">
        <f>=IF(Reserve_Freigabe="Ja","Operatives Budget (Reserve freigegeben)","Operatives Budget (abzgl. Reserve)")</f>
      </c>
      <c r="C87" s="197"/>
      <c r="D87" s="226" t="str">
        <f>=IF(Reserve_Freigabe="Ja",ROUND($D$85,2),ROUND($D$85-$D$86,2))</f>
      </c>
      <c r="F87" s="233" t="s">
        <v>480</v>
      </c>
      <c r="G87" s="197" t="s">
        <v>482</v>
      </c>
      <c r="H87" s="197"/>
      <c r="I87" s="234" t="str">
        <f>=IFERROR(ROUND(MAX(0,(SUM($G$96:$G$99)-$G$98)-(SUM($H$96:$H$99)-$H$98)),2),0)</f>
        <v>0</v>
      </c>
      <c r="L87" s="143" t="s">
        <v>427</v>
      </c>
      <c r="M87" s="116" t="str">
        <f>=IFERROR(CHOOSE(E81,'III. Finanzberichte'!$C$13,'III. Finanzberichte'!$J$13,'III. Finanzberichte'!$Q$13,'III. Finanzberichte'!$X$13,'III. Finanzberichte'!$AE$13,'III. Finanzberichte'!$AL$13,'III. Finanzberichte'!$AS$13,'III. Finanzberichte'!$AZ$13,'III. Finanzberichte'!$BG$13,'III. Finanzberichte'!$BN$13,'III. Finanzberichte'!$BU$13,'III. Finanzberichte'!$CB$13,'III. Finanzberichte'!$CI$13,'III. Finanzberichte'!$CP$13,'III. Finanzberichte'!$CW$13,'III. Finanzberichte'!$DD$13,'III. Finanzberichte'!$DK$13,'III. Finanzberichte'!$DR$13),"")</f>
      </c>
      <c r="N87" s="117" t="str">
        <f>=IFERROR(CHOOSE(E81,'III. Finanzberichte'!$D$13,'III. Finanzberichte'!$K$13,'III. Finanzberichte'!$R$13,'III. Finanzberichte'!$Y$13,'III. Finanzberichte'!$AF$13,'III. Finanzberichte'!$AM$13,'III. Finanzberichte'!$AT$13,'III. Finanzberichte'!$BA$13,'III. Finanzberichte'!$BH$13,'III. Finanzberichte'!$BO$13,'III. Finanzberichte'!$BV$13,'III. Finanzberichte'!$CC$13,'III. Finanzberichte'!$CJ$13,'III. Finanzberichte'!$CQ$13,'III. Finanzberichte'!$CX$13,'III. Finanzberichte'!$DE$13,'III. Finanzberichte'!$DL$13,'III. Finanzberichte'!$DS$13),"")</f>
      </c>
      <c r="O87" s="116" t="str">
        <f>=IFERROR(CHOOSE(E81,'III. Finanzberichte'!$E$13,'III. Finanzberichte'!$L$13,'III. Finanzberichte'!$S$13,'III. Finanzberichte'!$Z$13,'III. Finanzberichte'!$AG$13,'III. Finanzberichte'!$AN$13,'III. Finanzberichte'!$AU$13,'III. Finanzberichte'!$BB$13,'III. Finanzberichte'!$BI$13,'III. Finanzberichte'!$BP$13,'III. Finanzberichte'!$BW$13,'III. Finanzberichte'!$CD$13,'III. Finanzberichte'!$CK$13,'III. Finanzberichte'!$CR$13,'III. Finanzberichte'!$CY$13,'III. Finanzberichte'!$DF$13,'III. Finanzberichte'!$DM$13,'III. Finanzberichte'!$DT$13),"")</f>
      </c>
      <c r="P87" s="144" t="str">
        <f>=IFERROR(CHOOSE(E81,'III. Finanzberichte'!$F$13,'III. Finanzberichte'!$M$13,'III. Finanzberichte'!$T$13,'III. Finanzberichte'!$AA$13,'III. Finanzberichte'!$AH$13,'III. Finanzberichte'!$AO$13,'III. Finanzberichte'!$AV$13,'III. Finanzberichte'!$BC$13,'III. Finanzberichte'!$BJ$13,'III. Finanzberichte'!$BQ$13,'III. Finanzberichte'!$BX$13,'III. Finanzberichte'!$CE$13,'III. Finanzberichte'!$CL$13,'III. Finanzberichte'!$CS$13,'III. Finanzberichte'!$CZ$13,'III. Finanzberichte'!$DG$13,'III. Finanzberichte'!$DN$13,'III. Finanzberichte'!$DU$13),"")</f>
      </c>
    </row>
    <row r="88">
      <c r="B88" s="205" t="s">
        <v>477</v>
      </c>
      <c r="C88" s="197"/>
      <c r="D88" s="226" t="str">
        <f>=IFERROR(ROUND(SUBTOTAL(109,TblKMWMittel[Betrag]),2),0)</f>
      </c>
      <c r="F88" s="45"/>
      <c r="G88" s="218" t="s">
        <v>484</v>
      </c>
      <c r="H88" s="218"/>
      <c r="I88" s="235" t="str">
        <f>=ROUND(IF($F$86="Abzug",MAX(0,$I$86),0)+IF($F$87="Abzug",MAX(0,$I$87),0),2)</f>
      </c>
      <c r="L88" s="143" t="s">
        <v>201</v>
      </c>
      <c r="M88" s="116" t="str">
        <f>=IFERROR(CHOOSE(E81,'III. Finanzberichte'!$C$14,'III. Finanzberichte'!$J$14,'III. Finanzberichte'!$Q$14,'III. Finanzberichte'!$X$14,'III. Finanzberichte'!$AE$14,'III. Finanzberichte'!$AL$14,'III. Finanzberichte'!$AS$14,'III. Finanzberichte'!$AZ$14,'III. Finanzberichte'!$BG$14,'III. Finanzberichte'!$BN$14,'III. Finanzberichte'!$BU$14,'III. Finanzberichte'!$CB$14,'III. Finanzberichte'!$CI$14,'III. Finanzberichte'!$CP$14,'III. Finanzberichte'!$CW$14,'III. Finanzberichte'!$DD$14,'III. Finanzberichte'!$DK$14,'III. Finanzberichte'!$DR$14),"")</f>
      </c>
      <c r="N88" s="117" t="str">
        <f>=IFERROR(CHOOSE(E81,'III. Finanzberichte'!$D$14,'III. Finanzberichte'!$K$14,'III. Finanzberichte'!$R$14,'III. Finanzberichte'!$Y$14,'III. Finanzberichte'!$AF$14,'III. Finanzberichte'!$AM$14,'III. Finanzberichte'!$AT$14,'III. Finanzberichte'!$BA$14,'III. Finanzberichte'!$BH$14,'III. Finanzberichte'!$BO$14,'III. Finanzberichte'!$BV$14,'III. Finanzberichte'!$CC$14,'III. Finanzberichte'!$CJ$14,'III. Finanzberichte'!$CQ$14,'III. Finanzberichte'!$CX$14,'III. Finanzberichte'!$DE$14,'III. Finanzberichte'!$DL$14,'III. Finanzberichte'!$DS$14),"")</f>
      </c>
      <c r="O88" s="116" t="str">
        <f>=IFERROR(CHOOSE(E81,'III. Finanzberichte'!$E$14,'III. Finanzberichte'!$L$14,'III. Finanzberichte'!$S$14,'III. Finanzberichte'!$Z$14,'III. Finanzberichte'!$AG$14,'III. Finanzberichte'!$AN$14,'III. Finanzberichte'!$AU$14,'III. Finanzberichte'!$BB$14,'III. Finanzberichte'!$BI$14,'III. Finanzberichte'!$BP$14,'III. Finanzberichte'!$BW$14,'III. Finanzberichte'!$CD$14,'III. Finanzberichte'!$CK$14,'III. Finanzberichte'!$CR$14,'III. Finanzberichte'!$CY$14,'III. Finanzberichte'!$DF$14,'III. Finanzberichte'!$DM$14,'III. Finanzberichte'!$DT$14),"")</f>
      </c>
      <c r="P88" s="144" t="str">
        <f>=IFERROR(CHOOSE(E81,'III. Finanzberichte'!$F$14,'III. Finanzberichte'!$M$14,'III. Finanzberichte'!$T$14,'III. Finanzberichte'!$AA$14,'III. Finanzberichte'!$AH$14,'III. Finanzberichte'!$AO$14,'III. Finanzberichte'!$AV$14,'III. Finanzberichte'!$BC$14,'III. Finanzberichte'!$BJ$14,'III. Finanzberichte'!$BQ$14,'III. Finanzberichte'!$BX$14,'III. Finanzberichte'!$CE$14,'III. Finanzberichte'!$CL$14,'III. Finanzberichte'!$CS$14,'III. Finanzberichte'!$CZ$14,'III. Finanzberichte'!$DG$14,'III. Finanzberichte'!$DN$14,'III. Finanzberichte'!$DU$14),"")</f>
      </c>
    </row>
    <row r="89">
      <c r="B89" s="227" t="s">
        <v>478</v>
      </c>
      <c r="C89" s="228"/>
      <c r="D89" s="229" t="str">
        <f>=ROUND($D$87-$D$88,2)</f>
      </c>
      <c r="F89" s="236"/>
      <c r="G89" s="228" t="s">
        <v>485</v>
      </c>
      <c r="H89" s="228"/>
      <c r="I89" s="229" t="str">
        <f>=ROUND($D$89-$I$88,2)</f>
      </c>
      <c r="L89" s="143" t="s">
        <v>428</v>
      </c>
      <c r="M89" s="116" t="str">
        <f>=IFERROR(CHOOSE(E81,'III. Finanzberichte'!$C$15,'III. Finanzberichte'!$J$15,'III. Finanzberichte'!$Q$15,'III. Finanzberichte'!$X$15,'III. Finanzberichte'!$AE$15,'III. Finanzberichte'!$AL$15,'III. Finanzberichte'!$AS$15,'III. Finanzberichte'!$AZ$15,'III. Finanzberichte'!$BG$15,'III. Finanzberichte'!$BN$15,'III. Finanzberichte'!$BU$15,'III. Finanzberichte'!$CB$15,'III. Finanzberichte'!$CI$15,'III. Finanzberichte'!$CP$15,'III. Finanzberichte'!$CW$15,'III. Finanzberichte'!$DD$15,'III. Finanzberichte'!$DK$15,'III. Finanzberichte'!$DR$15),"")</f>
      </c>
      <c r="N89" s="117" t="str">
        <f>=IFERROR(CHOOSE(E81,'III. Finanzberichte'!$D$15,'III. Finanzberichte'!$K$15,'III. Finanzberichte'!$R$15,'III. Finanzberichte'!$Y$15,'III. Finanzberichte'!$AF$15,'III. Finanzberichte'!$AM$15,'III. Finanzberichte'!$AT$15,'III. Finanzberichte'!$BA$15,'III. Finanzberichte'!$BH$15,'III. Finanzberichte'!$BO$15,'III. Finanzberichte'!$BV$15,'III. Finanzberichte'!$CC$15,'III. Finanzberichte'!$CJ$15,'III. Finanzberichte'!$CQ$15,'III. Finanzberichte'!$CX$15,'III. Finanzberichte'!$DE$15,'III. Finanzberichte'!$DL$15,'III. Finanzberichte'!$DS$15),"")</f>
      </c>
      <c r="O89" s="116" t="str">
        <f>=IFERROR(CHOOSE(E81,'III. Finanzberichte'!$E$15,'III. Finanzberichte'!$L$15,'III. Finanzberichte'!$S$15,'III. Finanzberichte'!$Z$15,'III. Finanzberichte'!$AG$15,'III. Finanzberichte'!$AN$15,'III. Finanzberichte'!$AU$15,'III. Finanzberichte'!$BB$15,'III. Finanzberichte'!$BI$15,'III. Finanzberichte'!$BP$15,'III. Finanzberichte'!$BW$15,'III. Finanzberichte'!$CD$15,'III. Finanzberichte'!$CK$15,'III. Finanzberichte'!$CR$15,'III. Finanzberichte'!$CY$15,'III. Finanzberichte'!$DF$15,'III. Finanzberichte'!$DM$15,'III. Finanzberichte'!$DT$15),"")</f>
      </c>
      <c r="P89" s="144" t="str">
        <f>=IFERROR(CHOOSE(E81,'III. Finanzberichte'!$F$15,'III. Finanzberichte'!$M$15,'III. Finanzberichte'!$T$15,'III. Finanzberichte'!$AA$15,'III. Finanzberichte'!$AH$15,'III. Finanzberichte'!$AO$15,'III. Finanzberichte'!$AV$15,'III. Finanzberichte'!$BC$15,'III. Finanzberichte'!$BJ$15,'III. Finanzberichte'!$BQ$15,'III. Finanzberichte'!$BX$15,'III. Finanzberichte'!$CE$15,'III. Finanzberichte'!$CL$15,'III. Finanzberichte'!$CS$15,'III. Finanzberichte'!$CZ$15,'III. Finanzberichte'!$DG$15,'III. Finanzberichte'!$DN$15,'III. Finanzberichte'!$DU$15),"")</f>
      </c>
    </row>
    <row r="90">
      <c r="L90" s="345" t="s">
        <v>429</v>
      </c>
      <c r="M90" s="333" t="str">
        <f>=IFERROR(CHOOSE(E81,'III. Finanzberichte'!$C$16,'III. Finanzberichte'!$J$16,'III. Finanzberichte'!$Q$16,'III. Finanzberichte'!$X$16,'III. Finanzberichte'!$AE$16,'III. Finanzberichte'!$AL$16,'III. Finanzberichte'!$AS$16,'III. Finanzberichte'!$AZ$16,'III. Finanzberichte'!$BG$16,'III. Finanzberichte'!$BN$16,'III. Finanzberichte'!$BU$16,'III. Finanzberichte'!$CB$16,'III. Finanzberichte'!$CI$16,'III. Finanzberichte'!$CP$16,'III. Finanzberichte'!$CW$16,'III. Finanzberichte'!$DD$16,'III. Finanzberichte'!$DK$16,'III. Finanzberichte'!$DR$16),"")</f>
      </c>
      <c r="N90" s="334" t="str">
        <f>=IFERROR(CHOOSE(E81,'III. Finanzberichte'!$D$16,'III. Finanzberichte'!$K$16,'III. Finanzberichte'!$R$16,'III. Finanzberichte'!$Y$16,'III. Finanzberichte'!$AF$16,'III. Finanzberichte'!$AM$16,'III. Finanzberichte'!$AT$16,'III. Finanzberichte'!$BA$16,'III. Finanzberichte'!$BH$16,'III. Finanzberichte'!$BO$16,'III. Finanzberichte'!$BV$16,'III. Finanzberichte'!$CC$16,'III. Finanzberichte'!$CJ$16,'III. Finanzberichte'!$CQ$16,'III. Finanzberichte'!$CX$16,'III. Finanzberichte'!$DE$16,'III. Finanzberichte'!$DL$16,'III. Finanzberichte'!$DS$16),"")</f>
      </c>
      <c r="O90" s="333" t="str">
        <f>=IFERROR(CHOOSE(E81,'III. Finanzberichte'!$E$16,'III. Finanzberichte'!$L$16,'III. Finanzberichte'!$S$16,'III. Finanzberichte'!$Z$16,'III. Finanzberichte'!$AG$16,'III. Finanzberichte'!$AN$16,'III. Finanzberichte'!$AU$16,'III. Finanzberichte'!$BB$16,'III. Finanzberichte'!$BI$16,'III. Finanzberichte'!$BP$16,'III. Finanzberichte'!$BW$16,'III. Finanzberichte'!$CD$16,'III. Finanzberichte'!$CK$16,'III. Finanzberichte'!$CR$16,'III. Finanzberichte'!$CY$16,'III. Finanzberichte'!$DF$16,'III. Finanzberichte'!$DM$16,'III. Finanzberichte'!$DT$16),"")</f>
      </c>
      <c r="P90" s="346" t="str">
        <f>=IFERROR(CHOOSE(E81,'III. Finanzberichte'!$F$16,'III. Finanzberichte'!$M$16,'III. Finanzberichte'!$T$16,'III. Finanzberichte'!$AA$16,'III. Finanzberichte'!$AH$16,'III. Finanzberichte'!$AO$16,'III. Finanzberichte'!$AV$16,'III. Finanzberichte'!$BC$16,'III. Finanzberichte'!$BJ$16,'III. Finanzberichte'!$BQ$16,'III. Finanzberichte'!$BX$16,'III. Finanzberichte'!$CE$16,'III. Finanzberichte'!$CL$16,'III. Finanzberichte'!$CS$16,'III. Finanzberichte'!$CZ$16,'III. Finanzberichte'!$DG$16,'III. Finanzberichte'!$DN$16,'III. Finanzberichte'!$DU$16),"")</f>
      </c>
    </row>
    <row r="91">
      <c r="L91" s="341" t="s">
        <v>430</v>
      </c>
      <c r="M91" s="330"/>
      <c r="N91" s="330"/>
      <c r="O91" s="330"/>
      <c r="P91" s="342"/>
    </row>
    <row r="92" ht="26" customHeight="true">
      <c r="L92" s="343" t="s">
        <v>205</v>
      </c>
      <c r="M92" s="331" t="s">
        <v>431</v>
      </c>
      <c r="N92" s="331" t="s">
        <v>432</v>
      </c>
      <c r="O92" s="331" t="s">
        <v>433</v>
      </c>
      <c r="P92" s="344" t="s">
        <v>434</v>
      </c>
    </row>
    <row r="93" ht="22" customHeight="true">
      <c r="B93" s="18" t="s">
        <v>520</v>
      </c>
      <c r="C93" s="18"/>
      <c r="D93" s="18"/>
      <c r="E93" s="18"/>
      <c r="F93" s="18"/>
      <c r="G93" s="18"/>
      <c r="H93" s="18"/>
      <c r="I93" s="18"/>
      <c r="J93" s="18"/>
      <c r="L93" s="143" t="str">
        <f>=IFERROR(CHOOSE(E81,'III. Finanzberichte'!$B$19,'III. Finanzberichte'!$I$19,'III. Finanzberichte'!$P$19,'III. Finanzberichte'!$W$19,'III. Finanzberichte'!$AD$19,'III. Finanzberichte'!$AK$19,'III. Finanzberichte'!$AR$19,'III. Finanzberichte'!$AY$19,'III. Finanzberichte'!$BF$19,'III. Finanzberichte'!$BM$19,'III. Finanzberichte'!$BT$19,'III. Finanzberichte'!$CA$19,'III. Finanzberichte'!$CH$19,'III. Finanzberichte'!$CO$19,'III. Finanzberichte'!$CV$19,'III. Finanzberichte'!$DC$19,'III. Finanzberichte'!$DJ$19,'III. Finanzberichte'!$DQ$19),"")</f>
      </c>
      <c r="M93" s="116" t="str">
        <f>=IFERROR(CHOOSE(E81,'III. Finanzberichte'!$C$19,'III. Finanzberichte'!$J$19,'III. Finanzberichte'!$Q$19,'III. Finanzberichte'!$X$19,'III. Finanzberichte'!$AE$19,'III. Finanzberichte'!$AL$19,'III. Finanzberichte'!$AS$19,'III. Finanzberichte'!$AZ$19,'III. Finanzberichte'!$BG$19,'III. Finanzberichte'!$BN$19,'III. Finanzberichte'!$BU$19,'III. Finanzberichte'!$CB$19,'III. Finanzberichte'!$CI$19,'III. Finanzberichte'!$CP$19,'III. Finanzberichte'!$CW$19,'III. Finanzberichte'!$DD$19,'III. Finanzberichte'!$DK$19,'III. Finanzberichte'!$DR$19),"")</f>
      </c>
      <c r="N93" s="117" t="str">
        <f>=IFERROR(CHOOSE(E81,'III. Finanzberichte'!$D$19,'III. Finanzberichte'!$K$19,'III. Finanzberichte'!$R$19,'III. Finanzberichte'!$Y$19,'III. Finanzberichte'!$AF$19,'III. Finanzberichte'!$AM$19,'III. Finanzberichte'!$AT$19,'III. Finanzberichte'!$BA$19,'III. Finanzberichte'!$BH$19,'III. Finanzberichte'!$BO$19,'III. Finanzberichte'!$BV$19,'III. Finanzberichte'!$CC$19,'III. Finanzberichte'!$CJ$19,'III. Finanzberichte'!$CQ$19,'III. Finanzberichte'!$CX$19,'III. Finanzberichte'!$DE$19,'III. Finanzberichte'!$DL$19,'III. Finanzberichte'!$DS$19),"")</f>
      </c>
      <c r="O93" s="116" t="str">
        <f>=IFERROR(CHOOSE(E81,'III. Finanzberichte'!$E$19,'III. Finanzberichte'!$L$19,'III. Finanzberichte'!$S$19,'III. Finanzberichte'!$Z$19,'III. Finanzberichte'!$AG$19,'III. Finanzberichte'!$AN$19,'III. Finanzberichte'!$AU$19,'III. Finanzberichte'!$BB$19,'III. Finanzberichte'!$BI$19,'III. Finanzberichte'!$BP$19,'III. Finanzberichte'!$BW$19,'III. Finanzberichte'!$CD$19,'III. Finanzberichte'!$CK$19,'III. Finanzberichte'!$CR$19,'III. Finanzberichte'!$CY$19,'III. Finanzberichte'!$DF$19,'III. Finanzberichte'!$DM$19,'III. Finanzberichte'!$DT$19),"")</f>
      </c>
      <c r="P93" s="144" t="str">
        <f>=IFERROR(CHOOSE(E81,'III. Finanzberichte'!$F$19,'III. Finanzberichte'!$M$19,'III. Finanzberichte'!$T$19,'III. Finanzberichte'!$AA$19,'III. Finanzberichte'!$AH$19,'III. Finanzberichte'!$AO$19,'III. Finanzberichte'!$AV$19,'III. Finanzberichte'!$BC$19,'III. Finanzberichte'!$BJ$19,'III. Finanzberichte'!$BQ$19,'III. Finanzberichte'!$BX$19,'III. Finanzberichte'!$CE$19,'III. Finanzberichte'!$CL$19,'III. Finanzberichte'!$CS$19,'III. Finanzberichte'!$CZ$19,'III. Finanzberichte'!$DG$19,'III. Finanzberichte'!$DN$19,'III. Finanzberichte'!$DU$19),"")</f>
      </c>
    </row>
    <row r="94">
      <c r="L94" s="143" t="str">
        <f>=IFERROR(CHOOSE(E81,'III. Finanzberichte'!$B$20,'III. Finanzberichte'!$I$20,'III. Finanzberichte'!$P$20,'III. Finanzberichte'!$W$20,'III. Finanzberichte'!$AD$20,'III. Finanzberichte'!$AK$20,'III. Finanzberichte'!$AR$20,'III. Finanzberichte'!$AY$20,'III. Finanzberichte'!$BF$20,'III. Finanzberichte'!$BM$20,'III. Finanzberichte'!$BT$20,'III. Finanzberichte'!$CA$20,'III. Finanzberichte'!$CH$20,'III. Finanzberichte'!$CO$20,'III. Finanzberichte'!$CV$20,'III. Finanzberichte'!$DC$20,'III. Finanzberichte'!$DJ$20,'III. Finanzberichte'!$DQ$20),"")</f>
      </c>
      <c r="M94" s="116" t="str">
        <f>=IFERROR(CHOOSE(E81,'III. Finanzberichte'!$C$20,'III. Finanzberichte'!$J$20,'III. Finanzberichte'!$Q$20,'III. Finanzberichte'!$X$20,'III. Finanzberichte'!$AE$20,'III. Finanzberichte'!$AL$20,'III. Finanzberichte'!$AS$20,'III. Finanzberichte'!$AZ$20,'III. Finanzberichte'!$BG$20,'III. Finanzberichte'!$BN$20,'III. Finanzberichte'!$BU$20,'III. Finanzberichte'!$CB$20,'III. Finanzberichte'!$CI$20,'III. Finanzberichte'!$CP$20,'III. Finanzberichte'!$CW$20,'III. Finanzberichte'!$DD$20,'III. Finanzberichte'!$DK$20,'III. Finanzberichte'!$DR$20),"")</f>
      </c>
      <c r="N94" s="117" t="str">
        <f>=IFERROR(CHOOSE(E81,'III. Finanzberichte'!$D$20,'III. Finanzberichte'!$K$20,'III. Finanzberichte'!$R$20,'III. Finanzberichte'!$Y$20,'III. Finanzberichte'!$AF$20,'III. Finanzberichte'!$AM$20,'III. Finanzberichte'!$AT$20,'III. Finanzberichte'!$BA$20,'III. Finanzberichte'!$BH$20,'III. Finanzberichte'!$BO$20,'III. Finanzberichte'!$BV$20,'III. Finanzberichte'!$CC$20,'III. Finanzberichte'!$CJ$20,'III. Finanzberichte'!$CQ$20,'III. Finanzberichte'!$CX$20,'III. Finanzberichte'!$DE$20,'III. Finanzberichte'!$DL$20,'III. Finanzberichte'!$DS$20),"")</f>
      </c>
      <c r="O94" s="116" t="str">
        <f>=IFERROR(CHOOSE(E81,'III. Finanzberichte'!$E$20,'III. Finanzberichte'!$L$20,'III. Finanzberichte'!$S$20,'III. Finanzberichte'!$Z$20,'III. Finanzberichte'!$AG$20,'III. Finanzberichte'!$AN$20,'III. Finanzberichte'!$AU$20,'III. Finanzberichte'!$BB$20,'III. Finanzberichte'!$BI$20,'III. Finanzberichte'!$BP$20,'III. Finanzberichte'!$BW$20,'III. Finanzberichte'!$CD$20,'III. Finanzberichte'!$CK$20,'III. Finanzberichte'!$CR$20,'III. Finanzberichte'!$CY$20,'III. Finanzberichte'!$DF$20,'III. Finanzberichte'!$DM$20,'III. Finanzberichte'!$DT$20),"")</f>
      </c>
      <c r="P94" s="144" t="str">
        <f>=IFERROR(CHOOSE(E81,'III. Finanzberichte'!$F$20,'III. Finanzberichte'!$M$20,'III. Finanzberichte'!$T$20,'III. Finanzberichte'!$AA$20,'III. Finanzberichte'!$AH$20,'III. Finanzberichte'!$AO$20,'III. Finanzberichte'!$AV$20,'III. Finanzberichte'!$BC$20,'III. Finanzberichte'!$BJ$20,'III. Finanzberichte'!$BQ$20,'III. Finanzberichte'!$BX$20,'III. Finanzberichte'!$CE$20,'III. Finanzberichte'!$CL$20,'III. Finanzberichte'!$CS$20,'III. Finanzberichte'!$CZ$20,'III. Finanzberichte'!$DG$20,'III. Finanzberichte'!$DN$20,'III. Finanzberichte'!$DU$20),"")</f>
      </c>
    </row>
    <row r="95" ht="28" customHeight="true">
      <c r="B95" s="263" t="s">
        <v>505</v>
      </c>
      <c r="C95" s="264" t="s">
        <v>521</v>
      </c>
      <c r="D95" s="264" t="s">
        <v>507</v>
      </c>
      <c r="E95" s="264" t="s">
        <v>508</v>
      </c>
      <c r="F95" s="264" t="s">
        <v>509</v>
      </c>
      <c r="G95" s="264" t="s">
        <v>522</v>
      </c>
      <c r="H95" s="264" t="s">
        <v>511</v>
      </c>
      <c r="I95" s="264" t="s">
        <v>512</v>
      </c>
      <c r="J95" s="265" t="s">
        <v>513</v>
      </c>
      <c r="L95" s="143" t="str">
        <f>=IFERROR(CHOOSE(E81,'III. Finanzberichte'!$B$21,'III. Finanzberichte'!$I$21,'III. Finanzberichte'!$P$21,'III. Finanzberichte'!$W$21,'III. Finanzberichte'!$AD$21,'III. Finanzberichte'!$AK$21,'III. Finanzberichte'!$AR$21,'III. Finanzberichte'!$AY$21,'III. Finanzberichte'!$BF$21,'III. Finanzberichte'!$BM$21,'III. Finanzberichte'!$BT$21,'III. Finanzberichte'!$CA$21,'III. Finanzberichte'!$CH$21,'III. Finanzberichte'!$CO$21,'III. Finanzberichte'!$CV$21,'III. Finanzberichte'!$DC$21,'III. Finanzberichte'!$DJ$21,'III. Finanzberichte'!$DQ$21),"")</f>
      </c>
      <c r="M95" s="116" t="str">
        <f>=IFERROR(CHOOSE(E81,'III. Finanzberichte'!$C$21,'III. Finanzberichte'!$J$21,'III. Finanzberichte'!$Q$21,'III. Finanzberichte'!$X$21,'III. Finanzberichte'!$AE$21,'III. Finanzberichte'!$AL$21,'III. Finanzberichte'!$AS$21,'III. Finanzberichte'!$AZ$21,'III. Finanzberichte'!$BG$21,'III. Finanzberichte'!$BN$21,'III. Finanzberichte'!$BU$21,'III. Finanzberichte'!$CB$21,'III. Finanzberichte'!$CI$21,'III. Finanzberichte'!$CP$21,'III. Finanzberichte'!$CW$21,'III. Finanzberichte'!$DD$21,'III. Finanzberichte'!$DK$21,'III. Finanzberichte'!$DR$21),"")</f>
      </c>
      <c r="N95" s="117" t="str">
        <f>=IFERROR(CHOOSE(E81,'III. Finanzberichte'!$D$21,'III. Finanzberichte'!$K$21,'III. Finanzberichte'!$R$21,'III. Finanzberichte'!$Y$21,'III. Finanzberichte'!$AF$21,'III. Finanzberichte'!$AM$21,'III. Finanzberichte'!$AT$21,'III. Finanzberichte'!$BA$21,'III. Finanzberichte'!$BH$21,'III. Finanzberichte'!$BO$21,'III. Finanzberichte'!$BV$21,'III. Finanzberichte'!$CC$21,'III. Finanzberichte'!$CJ$21,'III. Finanzberichte'!$CQ$21,'III. Finanzberichte'!$CX$21,'III. Finanzberichte'!$DE$21,'III. Finanzberichte'!$DL$21,'III. Finanzberichte'!$DS$21),"")</f>
      </c>
      <c r="O95" s="116" t="str">
        <f>=IFERROR(CHOOSE(E81,'III. Finanzberichte'!$E$21,'III. Finanzberichte'!$L$21,'III. Finanzberichte'!$S$21,'III. Finanzberichte'!$Z$21,'III. Finanzberichte'!$AG$21,'III. Finanzberichte'!$AN$21,'III. Finanzberichte'!$AU$21,'III. Finanzberichte'!$BB$21,'III. Finanzberichte'!$BI$21,'III. Finanzberichte'!$BP$21,'III. Finanzberichte'!$BW$21,'III. Finanzberichte'!$CD$21,'III. Finanzberichte'!$CK$21,'III. Finanzberichte'!$CR$21,'III. Finanzberichte'!$CY$21,'III. Finanzberichte'!$DF$21,'III. Finanzberichte'!$DM$21,'III. Finanzberichte'!$DT$21),"")</f>
      </c>
      <c r="P95" s="144" t="str">
        <f>=IFERROR(CHOOSE(E81,'III. Finanzberichte'!$F$21,'III. Finanzberichte'!$M$21,'III. Finanzberichte'!$T$21,'III. Finanzberichte'!$AA$21,'III. Finanzberichte'!$AH$21,'III. Finanzberichte'!$AO$21,'III. Finanzberichte'!$AV$21,'III. Finanzberichte'!$BC$21,'III. Finanzberichte'!$BJ$21,'III. Finanzberichte'!$BQ$21,'III. Finanzberichte'!$BX$21,'III. Finanzberichte'!$CE$21,'III. Finanzberichte'!$CL$21,'III. Finanzberichte'!$CS$21,'III. Finanzberichte'!$CZ$21,'III. Finanzberichte'!$DG$21,'III. Finanzberichte'!$DN$21,'III. Finanzberichte'!$DU$21),"")</f>
      </c>
    </row>
    <row r="96">
      <c r="B96" s="266" t="s">
        <v>196</v>
      </c>
      <c r="C96" s="239" t="str">
        <f>=IFERROR(ROUND(CHOOSE(E81,'III. Finanzberichte'!$E$12,'III. Finanzberichte'!$L$12,'III. Finanzberichte'!$S$12,'III. Finanzberichte'!$Z$12,'III. Finanzberichte'!$AG$12,'III. Finanzberichte'!$AN$12,'III. Finanzberichte'!$AU$12,'III. Finanzberichte'!$BB$12,'III. Finanzberichte'!$BI$12,'III. Finanzberichte'!$BP$12,'III. Finanzberichte'!$BW$12,'III. Finanzberichte'!$CD$12,'III. Finanzberichte'!$CK$12,'III. Finanzberichte'!$CR$12,'III. Finanzberichte'!$CY$12,'III. Finanzberichte'!$DF$12,'III. Finanzberichte'!$DM$12,'III. Finanzberichte'!$DT$12),2),0)</f>
      </c>
      <c r="D96" s="239" t="str">
        <f>=IFERROR(ROUND(Eigenmittel_LW,2),0)</f>
      </c>
      <c r="E96" s="201" t="str">
        <f>=ROUND(IFERROR($C$96-$D$96,0),2)</f>
      </c>
      <c r="F96" s="258" t="str">
        <f>=ROUND(IFERROR(($C$96/$D$96)-1,0),4)</f>
      </c>
      <c r="G96" s="217" t="str">
        <f>=IFERROR(ROUND(CHOOSE(E81,'III. Finanzberichte'!$F$12,'III. Finanzberichte'!$M$12,'III. Finanzberichte'!$T$12,'III. Finanzberichte'!$AA$12,'III. Finanzberichte'!$AH$12,'III. Finanzberichte'!$AO$12,'III. Finanzberichte'!$AV$12,'III. Finanzberichte'!$BC$12,'III. Finanzberichte'!$BJ$12,'III. Finanzberichte'!$BQ$12,'III. Finanzberichte'!$BX$12,'III. Finanzberichte'!$CE$12,'III. Finanzberichte'!$CL$12,'III. Finanzberichte'!$CS$12,'III. Finanzberichte'!$CZ$12,'III. Finanzberichte'!$DG$12,'III. Finanzberichte'!$DN$12,'III. Finanzberichte'!$DU$12),2),0)</f>
      </c>
      <c r="H96" s="217" t="str">
        <f>=IFERROR(ROUND(Eigenmittel_EUR,2),0)</f>
      </c>
      <c r="I96" s="182" t="str">
        <f>=ROUND(IFERROR($G$96-$H$96,0),2)</f>
      </c>
      <c r="J96" s="290" t="str">
        <f>=ROUND(IFERROR(($G$96/$H$96)-1,0),4)</f>
      </c>
      <c r="L96" s="143" t="str">
        <f>=IFERROR(CHOOSE(E81,'III. Finanzberichte'!$B$22,'III. Finanzberichte'!$I$22,'III. Finanzberichte'!$P$22,'III. Finanzberichte'!$W$22,'III. Finanzberichte'!$AD$22,'III. Finanzberichte'!$AK$22,'III. Finanzberichte'!$AR$22,'III. Finanzberichte'!$AY$22,'III. Finanzberichte'!$BF$22,'III. Finanzberichte'!$BM$22,'III. Finanzberichte'!$BT$22,'III. Finanzberichte'!$CA$22,'III. Finanzberichte'!$CH$22,'III. Finanzberichte'!$CO$22,'III. Finanzberichte'!$CV$22,'III. Finanzberichte'!$DC$22,'III. Finanzberichte'!$DJ$22,'III. Finanzberichte'!$DQ$22),"")</f>
      </c>
      <c r="M96" s="116" t="str">
        <f>=IFERROR(CHOOSE(E81,'III. Finanzberichte'!$C$22,'III. Finanzberichte'!$J$22,'III. Finanzberichte'!$Q$22,'III. Finanzberichte'!$X$22,'III. Finanzberichte'!$AE$22,'III. Finanzberichte'!$AL$22,'III. Finanzberichte'!$AS$22,'III. Finanzberichte'!$AZ$22,'III. Finanzberichte'!$BG$22,'III. Finanzberichte'!$BN$22,'III. Finanzberichte'!$BU$22,'III. Finanzberichte'!$CB$22,'III. Finanzberichte'!$CI$22,'III. Finanzberichte'!$CP$22,'III. Finanzberichte'!$CW$22,'III. Finanzberichte'!$DD$22,'III. Finanzberichte'!$DK$22,'III. Finanzberichte'!$DR$22),"")</f>
      </c>
      <c r="N96" s="117" t="str">
        <f>=IFERROR(CHOOSE(E81,'III. Finanzberichte'!$D$22,'III. Finanzberichte'!$K$22,'III. Finanzberichte'!$R$22,'III. Finanzberichte'!$Y$22,'III. Finanzberichte'!$AF$22,'III. Finanzberichte'!$AM$22,'III. Finanzberichte'!$AT$22,'III. Finanzberichte'!$BA$22,'III. Finanzberichte'!$BH$22,'III. Finanzberichte'!$BO$22,'III. Finanzberichte'!$BV$22,'III. Finanzberichte'!$CC$22,'III. Finanzberichte'!$CJ$22,'III. Finanzberichte'!$CQ$22,'III. Finanzberichte'!$CX$22,'III. Finanzberichte'!$DE$22,'III. Finanzberichte'!$DL$22,'III. Finanzberichte'!$DS$22),"")</f>
      </c>
      <c r="O96" s="116" t="str">
        <f>=IFERROR(CHOOSE(E81,'III. Finanzberichte'!$E$22,'III. Finanzberichte'!$L$22,'III. Finanzberichte'!$S$22,'III. Finanzberichte'!$Z$22,'III. Finanzberichte'!$AG$22,'III. Finanzberichte'!$AN$22,'III. Finanzberichte'!$AU$22,'III. Finanzberichte'!$BB$22,'III. Finanzberichte'!$BI$22,'III. Finanzberichte'!$BP$22,'III. Finanzberichte'!$BW$22,'III. Finanzberichte'!$CD$22,'III. Finanzberichte'!$CK$22,'III. Finanzberichte'!$CR$22,'III. Finanzberichte'!$CY$22,'III. Finanzberichte'!$DF$22,'III. Finanzberichte'!$DM$22,'III. Finanzberichte'!$DT$22),"")</f>
      </c>
      <c r="P96" s="144" t="str">
        <f>=IFERROR(CHOOSE(E81,'III. Finanzberichte'!$F$22,'III. Finanzberichte'!$M$22,'III. Finanzberichte'!$T$22,'III. Finanzberichte'!$AA$22,'III. Finanzberichte'!$AH$22,'III. Finanzberichte'!$AO$22,'III. Finanzberichte'!$AV$22,'III. Finanzberichte'!$BC$22,'III. Finanzberichte'!$BJ$22,'III. Finanzberichte'!$BQ$22,'III. Finanzberichte'!$BX$22,'III. Finanzberichte'!$CE$22,'III. Finanzberichte'!$CL$22,'III. Finanzberichte'!$CS$22,'III. Finanzberichte'!$CZ$22,'III. Finanzberichte'!$DG$22,'III. Finanzberichte'!$DN$22,'III. Finanzberichte'!$DU$22),"")</f>
      </c>
    </row>
    <row r="97">
      <c r="B97" s="266" t="s">
        <v>427</v>
      </c>
      <c r="C97" s="239" t="str">
        <f>=IFERROR(ROUND(CHOOSE(E81,'III. Finanzberichte'!$E$13,'III. Finanzberichte'!$L$13,'III. Finanzberichte'!$S$13,'III. Finanzberichte'!$Z$13,'III. Finanzberichte'!$AG$13,'III. Finanzberichte'!$AN$13,'III. Finanzberichte'!$AU$13,'III. Finanzberichte'!$BB$13,'III. Finanzberichte'!$BI$13,'III. Finanzberichte'!$BP$13,'III. Finanzberichte'!$BW$13,'III. Finanzberichte'!$CD$13,'III. Finanzberichte'!$CK$13,'III. Finanzberichte'!$CR$13,'III. Finanzberichte'!$CY$13,'III. Finanzberichte'!$DF$13,'III. Finanzberichte'!$DM$13,'III. Finanzberichte'!$DT$13),2),0)</f>
      </c>
      <c r="D97" s="239" t="str">
        <f>=IFERROR(ROUND(Drittmittel_LW,2),0)</f>
      </c>
      <c r="E97" s="201" t="str">
        <f>=ROUND(IFERROR($C$97-$D$97,0),2)</f>
      </c>
      <c r="F97" s="258" t="str">
        <f>=ROUND(IFERROR(($C$97/$D$97)-1,0),4)</f>
      </c>
      <c r="G97" s="217" t="str">
        <f>=IFERROR(ROUND(CHOOSE(E81,'III. Finanzberichte'!$F$13,'III. Finanzberichte'!$M$13,'III. Finanzberichte'!$T$13,'III. Finanzberichte'!$AA$13,'III. Finanzberichte'!$AH$13,'III. Finanzberichte'!$AO$13,'III. Finanzberichte'!$AV$13,'III. Finanzberichte'!$BC$13,'III. Finanzberichte'!$BJ$13,'III. Finanzberichte'!$BQ$13,'III. Finanzberichte'!$BX$13,'III. Finanzberichte'!$CE$13,'III. Finanzberichte'!$CL$13,'III. Finanzberichte'!$CS$13,'III. Finanzberichte'!$CZ$13,'III. Finanzberichte'!$DG$13,'III. Finanzberichte'!$DN$13,'III. Finanzberichte'!$DU$13),2),0)</f>
      </c>
      <c r="H97" s="217" t="str">
        <f>=IFERROR(ROUND(Drittmittel_EUR,2),0)</f>
      </c>
      <c r="I97" s="182" t="str">
        <f>=ROUND(IFERROR($G$97-$H$97,0),2)</f>
      </c>
      <c r="J97" s="291" t="str">
        <f>=ROUND(IFERROR(($G$97/$H$97)-1,0),4)</f>
      </c>
      <c r="L97" s="143" t="str">
        <f>=IFERROR(CHOOSE(E81,'III. Finanzberichte'!$B$23,'III. Finanzberichte'!$I$23,'III. Finanzberichte'!$P$23,'III. Finanzberichte'!$W$23,'III. Finanzberichte'!$AD$23,'III. Finanzberichte'!$AK$23,'III. Finanzberichte'!$AR$23,'III. Finanzberichte'!$AY$23,'III. Finanzberichte'!$BF$23,'III. Finanzberichte'!$BM$23,'III. Finanzberichte'!$BT$23,'III. Finanzberichte'!$CA$23,'III. Finanzberichte'!$CH$23,'III. Finanzberichte'!$CO$23,'III. Finanzberichte'!$CV$23,'III. Finanzberichte'!$DC$23,'III. Finanzberichte'!$DJ$23,'III. Finanzberichte'!$DQ$23),"")</f>
      </c>
      <c r="M97" s="116" t="str">
        <f>=IFERROR(CHOOSE(E81,'III. Finanzberichte'!$C$23,'III. Finanzberichte'!$J$23,'III. Finanzberichte'!$Q$23,'III. Finanzberichte'!$X$23,'III. Finanzberichte'!$AE$23,'III. Finanzberichte'!$AL$23,'III. Finanzberichte'!$AS$23,'III. Finanzberichte'!$AZ$23,'III. Finanzberichte'!$BG$23,'III. Finanzberichte'!$BN$23,'III. Finanzberichte'!$BU$23,'III. Finanzberichte'!$CB$23,'III. Finanzberichte'!$CI$23,'III. Finanzberichte'!$CP$23,'III. Finanzberichte'!$CW$23,'III. Finanzberichte'!$DD$23,'III. Finanzberichte'!$DK$23,'III. Finanzberichte'!$DR$23),"")</f>
      </c>
      <c r="N97" s="117" t="str">
        <f>=IFERROR(CHOOSE(E81,'III. Finanzberichte'!$D$23,'III. Finanzberichte'!$K$23,'III. Finanzberichte'!$R$23,'III. Finanzberichte'!$Y$23,'III. Finanzberichte'!$AF$23,'III. Finanzberichte'!$AM$23,'III. Finanzberichte'!$AT$23,'III. Finanzberichte'!$BA$23,'III. Finanzberichte'!$BH$23,'III. Finanzberichte'!$BO$23,'III. Finanzberichte'!$BV$23,'III. Finanzberichte'!$CC$23,'III. Finanzberichte'!$CJ$23,'III. Finanzberichte'!$CQ$23,'III. Finanzberichte'!$CX$23,'III. Finanzberichte'!$DE$23,'III. Finanzberichte'!$DL$23,'III. Finanzberichte'!$DS$23),"")</f>
      </c>
      <c r="O97" s="116" t="str">
        <f>=IFERROR(CHOOSE(E81,'III. Finanzberichte'!$E$23,'III. Finanzberichte'!$L$23,'III. Finanzberichte'!$S$23,'III. Finanzberichte'!$Z$23,'III. Finanzberichte'!$AG$23,'III. Finanzberichte'!$AN$23,'III. Finanzberichte'!$AU$23,'III. Finanzberichte'!$BB$23,'III. Finanzberichte'!$BI$23,'III. Finanzberichte'!$BP$23,'III. Finanzberichte'!$BW$23,'III. Finanzberichte'!$CD$23,'III. Finanzberichte'!$CK$23,'III. Finanzberichte'!$CR$23,'III. Finanzberichte'!$CY$23,'III. Finanzberichte'!$DF$23,'III. Finanzberichte'!$DM$23,'III. Finanzberichte'!$DT$23),"")</f>
      </c>
      <c r="P97" s="144" t="str">
        <f>=IFERROR(CHOOSE(E81,'III. Finanzberichte'!$F$23,'III. Finanzberichte'!$M$23,'III. Finanzberichte'!$T$23,'III. Finanzberichte'!$AA$23,'III. Finanzberichte'!$AH$23,'III. Finanzberichte'!$AO$23,'III. Finanzberichte'!$AV$23,'III. Finanzberichte'!$BC$23,'III. Finanzberichte'!$BJ$23,'III. Finanzberichte'!$BQ$23,'III. Finanzberichte'!$BX$23,'III. Finanzberichte'!$CE$23,'III. Finanzberichte'!$CL$23,'III. Finanzberichte'!$CS$23,'III. Finanzberichte'!$CZ$23,'III. Finanzberichte'!$DG$23,'III. Finanzberichte'!$DN$23,'III. Finanzberichte'!$DU$23),"")</f>
      </c>
    </row>
    <row r="98">
      <c r="B98" s="266" t="s">
        <v>201</v>
      </c>
      <c r="C98" s="239" t="str">
        <f>=IFERROR(ROUND(CHOOSE(E81,'III. Finanzberichte'!$E$14,'III. Finanzberichte'!$L$14,'III. Finanzberichte'!$S$14,'III. Finanzberichte'!$Z$14,'III. Finanzberichte'!$AG$14,'III. Finanzberichte'!$AN$14,'III. Finanzberichte'!$AU$14,'III. Finanzberichte'!$BB$14,'III. Finanzberichte'!$BI$14,'III. Finanzberichte'!$BP$14,'III. Finanzberichte'!$BW$14,'III. Finanzberichte'!$CD$14,'III. Finanzberichte'!$CK$14,'III. Finanzberichte'!$CR$14,'III. Finanzberichte'!$CY$14,'III. Finanzberichte'!$DF$14,'III. Finanzberichte'!$DM$14,'III. Finanzberichte'!$DT$14),2),0)</f>
      </c>
      <c r="D98" s="239" t="str">
        <f>=IFERROR(ROUND(KMW_Mittel_LW,2),0)</f>
      </c>
      <c r="E98" s="201" t="str">
        <f>=ROUND(IFERROR($C$98-$D$98,0),2)</f>
      </c>
      <c r="F98" s="258" t="str">
        <f>=ROUND(IFERROR(($C$98/$D$98)-1,0),4)</f>
      </c>
      <c r="G98" s="217" t="str">
        <f>=IFERROR(ROUND(CHOOSE(E81,'III. Finanzberichte'!$F$14,'III. Finanzberichte'!$M$14,'III. Finanzberichte'!$T$14,'III. Finanzberichte'!$AA$14,'III. Finanzberichte'!$AH$14,'III. Finanzberichte'!$AO$14,'III. Finanzberichte'!$AV$14,'III. Finanzberichte'!$BC$14,'III. Finanzberichte'!$BJ$14,'III. Finanzberichte'!$BQ$14,'III. Finanzberichte'!$BX$14,'III. Finanzberichte'!$CE$14,'III. Finanzberichte'!$CL$14,'III. Finanzberichte'!$CS$14,'III. Finanzberichte'!$CZ$14,'III. Finanzberichte'!$DG$14,'III. Finanzberichte'!$DN$14,'III. Finanzberichte'!$DU$14),2),0)</f>
      </c>
      <c r="H98" s="217" t="str">
        <f>=IFERROR(ROUND(KMW_Mittel_EUR,2),0)</f>
      </c>
      <c r="I98" s="182" t="str">
        <f>=ROUND(IFERROR($G$98-$H$98,0),2)</f>
      </c>
      <c r="J98" s="292" t="str">
        <f>=ROUND(IFERROR(($G$98/$H$98)-1,0),4)</f>
      </c>
      <c r="L98" s="143" t="str">
        <f>=IFERROR(CHOOSE(E81,'III. Finanzberichte'!$B$24,'III. Finanzberichte'!$I$24,'III. Finanzberichte'!$P$24,'III. Finanzberichte'!$W$24,'III. Finanzberichte'!$AD$24,'III. Finanzberichte'!$AK$24,'III. Finanzberichte'!$AR$24,'III. Finanzberichte'!$AY$24,'III. Finanzberichte'!$BF$24,'III. Finanzberichte'!$BM$24,'III. Finanzberichte'!$BT$24,'III. Finanzberichte'!$CA$24,'III. Finanzberichte'!$CH$24,'III. Finanzberichte'!$CO$24,'III. Finanzberichte'!$CV$24,'III. Finanzberichte'!$DC$24,'III. Finanzberichte'!$DJ$24,'III. Finanzberichte'!$DQ$24),"")</f>
      </c>
      <c r="M98" s="116" t="str">
        <f>=IFERROR(CHOOSE(E81,'III. Finanzberichte'!$C$24,'III. Finanzberichte'!$J$24,'III. Finanzberichte'!$Q$24,'III. Finanzberichte'!$X$24,'III. Finanzberichte'!$AE$24,'III. Finanzberichte'!$AL$24,'III. Finanzberichte'!$AS$24,'III. Finanzberichte'!$AZ$24,'III. Finanzberichte'!$BG$24,'III. Finanzberichte'!$BN$24,'III. Finanzberichte'!$BU$24,'III. Finanzberichte'!$CB$24,'III. Finanzberichte'!$CI$24,'III. Finanzberichte'!$CP$24,'III. Finanzberichte'!$CW$24,'III. Finanzberichte'!$DD$24,'III. Finanzberichte'!$DK$24,'III. Finanzberichte'!$DR$24),"")</f>
      </c>
      <c r="N98" s="117" t="str">
        <f>=IFERROR(CHOOSE(E81,'III. Finanzberichte'!$D$24,'III. Finanzberichte'!$K$24,'III. Finanzberichte'!$R$24,'III. Finanzberichte'!$Y$24,'III. Finanzberichte'!$AF$24,'III. Finanzberichte'!$AM$24,'III. Finanzberichte'!$AT$24,'III. Finanzberichte'!$BA$24,'III. Finanzberichte'!$BH$24,'III. Finanzberichte'!$BO$24,'III. Finanzberichte'!$BV$24,'III. Finanzberichte'!$CC$24,'III. Finanzberichte'!$CJ$24,'III. Finanzberichte'!$CQ$24,'III. Finanzberichte'!$CX$24,'III. Finanzberichte'!$DE$24,'III. Finanzberichte'!$DL$24,'III. Finanzberichte'!$DS$24),"")</f>
      </c>
      <c r="O98" s="116" t="str">
        <f>=IFERROR(CHOOSE(E81,'III. Finanzberichte'!$E$24,'III. Finanzberichte'!$L$24,'III. Finanzberichte'!$S$24,'III. Finanzberichte'!$Z$24,'III. Finanzberichte'!$AG$24,'III. Finanzberichte'!$AN$24,'III. Finanzberichte'!$AU$24,'III. Finanzberichte'!$BB$24,'III. Finanzberichte'!$BI$24,'III. Finanzberichte'!$BP$24,'III. Finanzberichte'!$BW$24,'III. Finanzberichte'!$CD$24,'III. Finanzberichte'!$CK$24,'III. Finanzberichte'!$CR$24,'III. Finanzberichte'!$CY$24,'III. Finanzberichte'!$DF$24,'III. Finanzberichte'!$DM$24,'III. Finanzberichte'!$DT$24),"")</f>
      </c>
      <c r="P98" s="144" t="str">
        <f>=IFERROR(CHOOSE(E81,'III. Finanzberichte'!$F$24,'III. Finanzberichte'!$M$24,'III. Finanzberichte'!$T$24,'III. Finanzberichte'!$AA$24,'III. Finanzberichte'!$AH$24,'III. Finanzberichte'!$AO$24,'III. Finanzberichte'!$AV$24,'III. Finanzberichte'!$BC$24,'III. Finanzberichte'!$BJ$24,'III. Finanzberichte'!$BQ$24,'III. Finanzberichte'!$BX$24,'III. Finanzberichte'!$CE$24,'III. Finanzberichte'!$CL$24,'III. Finanzberichte'!$CS$24,'III. Finanzberichte'!$CZ$24,'III. Finanzberichte'!$DG$24,'III. Finanzberichte'!$DN$24,'III. Finanzberichte'!$DU$24),"")</f>
      </c>
    </row>
    <row r="99">
      <c r="B99" s="266" t="s">
        <v>428</v>
      </c>
      <c r="C99" s="239" t="str">
        <f>=IFERROR(ROUND(CHOOSE(E81,'III. Finanzberichte'!$E$15,'III. Finanzberichte'!$L$15,'III. Finanzberichte'!$S$15,'III. Finanzberichte'!$Z$15,'III. Finanzberichte'!$AG$15,'III. Finanzberichte'!$AN$15,'III. Finanzberichte'!$AU$15,'III. Finanzberichte'!$BB$15,'III. Finanzberichte'!$BI$15,'III. Finanzberichte'!$BP$15,'III. Finanzberichte'!$BW$15,'III. Finanzberichte'!$CD$15,'III. Finanzberichte'!$CK$15,'III. Finanzberichte'!$CR$15,'III. Finanzberichte'!$CY$15,'III. Finanzberichte'!$DF$15,'III. Finanzberichte'!$DM$15,'III. Finanzberichte'!$DT$15),2),0)</f>
      </c>
      <c r="D99" s="239" t="str">
        <f>=IFERROR(ROUND(0,2),0)</f>
      </c>
      <c r="E99" s="201" t="str">
        <f>=ROUND(IFERROR($C$99-$D$99,0),2)</f>
      </c>
      <c r="F99" s="258" t="str">
        <f>=ROUND(IFERROR(($C$99/$D$99)-1,0),4)</f>
      </c>
      <c r="G99" s="217" t="str">
        <f>=IFERROR(ROUND(CHOOSE(E81,'III. Finanzberichte'!$F$15,'III. Finanzberichte'!$M$15,'III. Finanzberichte'!$T$15,'III. Finanzberichte'!$AA$15,'III. Finanzberichte'!$AH$15,'III. Finanzberichte'!$AO$15,'III. Finanzberichte'!$AV$15,'III. Finanzberichte'!$BC$15,'III. Finanzberichte'!$BJ$15,'III. Finanzberichte'!$BQ$15,'III. Finanzberichte'!$BX$15,'III. Finanzberichte'!$CE$15,'III. Finanzberichte'!$CL$15,'III. Finanzberichte'!$CS$15,'III. Finanzberichte'!$CZ$15,'III. Finanzberichte'!$DG$15,'III. Finanzberichte'!$DN$15,'III. Finanzberichte'!$DU$15),2),0)</f>
      </c>
      <c r="H99" s="217" t="str">
        <f>=IFERROR(ROUND(0,2),0)</f>
      </c>
      <c r="I99" s="182" t="str">
        <f>=ROUND(IFERROR($G$99-$H$99,0),2)</f>
      </c>
      <c r="J99" s="293" t="str">
        <f>=ROUND(IFERROR(($G$99/$H$99)-1,0),4)</f>
      </c>
      <c r="L99" s="143" t="str">
        <f>=IFERROR(CHOOSE(E81,'III. Finanzberichte'!$B$25,'III. Finanzberichte'!$I$25,'III. Finanzberichte'!$P$25,'III. Finanzberichte'!$W$25,'III. Finanzberichte'!$AD$25,'III. Finanzberichte'!$AK$25,'III. Finanzberichte'!$AR$25,'III. Finanzberichte'!$AY$25,'III. Finanzberichte'!$BF$25,'III. Finanzberichte'!$BM$25,'III. Finanzberichte'!$BT$25,'III. Finanzberichte'!$CA$25,'III. Finanzberichte'!$CH$25,'III. Finanzberichte'!$CO$25,'III. Finanzberichte'!$CV$25,'III. Finanzberichte'!$DC$25,'III. Finanzberichte'!$DJ$25,'III. Finanzberichte'!$DQ$25),"")</f>
      </c>
      <c r="M99" s="116" t="str">
        <f>=IFERROR(CHOOSE(E81,'III. Finanzberichte'!$C$25,'III. Finanzberichte'!$J$25,'III. Finanzberichte'!$Q$25,'III. Finanzberichte'!$X$25,'III. Finanzberichte'!$AE$25,'III. Finanzberichte'!$AL$25,'III. Finanzberichte'!$AS$25,'III. Finanzberichte'!$AZ$25,'III. Finanzberichte'!$BG$25,'III. Finanzberichte'!$BN$25,'III. Finanzberichte'!$BU$25,'III. Finanzberichte'!$CB$25,'III. Finanzberichte'!$CI$25,'III. Finanzberichte'!$CP$25,'III. Finanzberichte'!$CW$25,'III. Finanzberichte'!$DD$25,'III. Finanzberichte'!$DK$25,'III. Finanzberichte'!$DR$25),"")</f>
      </c>
      <c r="N99" s="117" t="str">
        <f>=IFERROR(CHOOSE(E81,'III. Finanzberichte'!$D$25,'III. Finanzberichte'!$K$25,'III. Finanzberichte'!$R$25,'III. Finanzberichte'!$Y$25,'III. Finanzberichte'!$AF$25,'III. Finanzberichte'!$AM$25,'III. Finanzberichte'!$AT$25,'III. Finanzberichte'!$BA$25,'III. Finanzberichte'!$BH$25,'III. Finanzberichte'!$BO$25,'III. Finanzberichte'!$BV$25,'III. Finanzberichte'!$CC$25,'III. Finanzberichte'!$CJ$25,'III. Finanzberichte'!$CQ$25,'III. Finanzberichte'!$CX$25,'III. Finanzberichte'!$DE$25,'III. Finanzberichte'!$DL$25,'III. Finanzberichte'!$DS$25),"")</f>
      </c>
      <c r="O99" s="116" t="str">
        <f>=IFERROR(CHOOSE(E81,'III. Finanzberichte'!$E$25,'III. Finanzberichte'!$L$25,'III. Finanzberichte'!$S$25,'III. Finanzberichte'!$Z$25,'III. Finanzberichte'!$AG$25,'III. Finanzberichte'!$AN$25,'III. Finanzberichte'!$AU$25,'III. Finanzberichte'!$BB$25,'III. Finanzberichte'!$BI$25,'III. Finanzberichte'!$BP$25,'III. Finanzberichte'!$BW$25,'III. Finanzberichte'!$CD$25,'III. Finanzberichte'!$CK$25,'III. Finanzberichte'!$CR$25,'III. Finanzberichte'!$CY$25,'III. Finanzberichte'!$DF$25,'III. Finanzberichte'!$DM$25,'III. Finanzberichte'!$DT$25),"")</f>
      </c>
      <c r="P99" s="144" t="str">
        <f>=IFERROR(CHOOSE(E81,'III. Finanzberichte'!$F$25,'III. Finanzberichte'!$M$25,'III. Finanzberichte'!$T$25,'III. Finanzberichte'!$AA$25,'III. Finanzberichte'!$AH$25,'III. Finanzberichte'!$AO$25,'III. Finanzberichte'!$AV$25,'III. Finanzberichte'!$BC$25,'III. Finanzberichte'!$BJ$25,'III. Finanzberichte'!$BQ$25,'III. Finanzberichte'!$BX$25,'III. Finanzberichte'!$CE$25,'III. Finanzberichte'!$CL$25,'III. Finanzberichte'!$CS$25,'III. Finanzberichte'!$CZ$25,'III. Finanzberichte'!$DG$25,'III. Finanzberichte'!$DN$25,'III. Finanzberichte'!$DU$25),"")</f>
      </c>
    </row>
    <row r="100" ht="20" customHeight="true">
      <c r="B100" s="271" t="s">
        <v>414</v>
      </c>
      <c r="C100" s="272" t="str">
        <f>=ROUND(SUM($C$96:$C$99),2)</f>
      </c>
      <c r="D100" s="272" t="str">
        <f>=ROUND(SUM($D$96:$D$99),2)</f>
      </c>
      <c r="E100" s="272" t="str">
        <f>=ROUND(SUM($E$96:$E$99),2)</f>
      </c>
      <c r="F100" s="294" t="str">
        <f>=ROUND(IFERROR(($C$100/$D$100)-1,0),4)</f>
      </c>
      <c r="G100" s="274" t="str">
        <f>=ROUND(SUM($G$96:$G$99),2)</f>
      </c>
      <c r="H100" s="274" t="str">
        <f>=ROUND(SUM($H$96:$H$99),2)</f>
      </c>
      <c r="I100" s="274" t="str">
        <f>=ROUND(SUM($I$96:$I$99),2)</f>
      </c>
      <c r="J100" s="295" t="str">
        <f>=ROUND(IFERROR(($G$100/$H$100)-1,0),4)</f>
      </c>
      <c r="L100" s="143" t="str">
        <f>=IFERROR(CHOOSE(E81,'III. Finanzberichte'!$B$26,'III. Finanzberichte'!$I$26,'III. Finanzberichte'!$P$26,'III. Finanzberichte'!$W$26,'III. Finanzberichte'!$AD$26,'III. Finanzberichte'!$AK$26,'III. Finanzberichte'!$AR$26,'III. Finanzberichte'!$AY$26,'III. Finanzberichte'!$BF$26,'III. Finanzberichte'!$BM$26,'III. Finanzberichte'!$BT$26,'III. Finanzberichte'!$CA$26,'III. Finanzberichte'!$CH$26,'III. Finanzberichte'!$CO$26,'III. Finanzberichte'!$CV$26,'III. Finanzberichte'!$DC$26,'III. Finanzberichte'!$DJ$26,'III. Finanzberichte'!$DQ$26),"")</f>
      </c>
      <c r="M100" s="116" t="str">
        <f>=IFERROR(CHOOSE(E81,'III. Finanzberichte'!$C$26,'III. Finanzberichte'!$J$26,'III. Finanzberichte'!$Q$26,'III. Finanzberichte'!$X$26,'III. Finanzberichte'!$AE$26,'III. Finanzberichte'!$AL$26,'III. Finanzberichte'!$AS$26,'III. Finanzberichte'!$AZ$26,'III. Finanzberichte'!$BG$26,'III. Finanzberichte'!$BN$26,'III. Finanzberichte'!$BU$26,'III. Finanzberichte'!$CB$26,'III. Finanzberichte'!$CI$26,'III. Finanzberichte'!$CP$26,'III. Finanzberichte'!$CW$26,'III. Finanzberichte'!$DD$26,'III. Finanzberichte'!$DK$26,'III. Finanzberichte'!$DR$26),"")</f>
      </c>
      <c r="N100" s="117" t="str">
        <f>=IFERROR(CHOOSE(E81,'III. Finanzberichte'!$D$26,'III. Finanzberichte'!$K$26,'III. Finanzberichte'!$R$26,'III. Finanzberichte'!$Y$26,'III. Finanzberichte'!$AF$26,'III. Finanzberichte'!$AM$26,'III. Finanzberichte'!$AT$26,'III. Finanzberichte'!$BA$26,'III. Finanzberichte'!$BH$26,'III. Finanzberichte'!$BO$26,'III. Finanzberichte'!$BV$26,'III. Finanzberichte'!$CC$26,'III. Finanzberichte'!$CJ$26,'III. Finanzberichte'!$CQ$26,'III. Finanzberichte'!$CX$26,'III. Finanzberichte'!$DE$26,'III. Finanzberichte'!$DL$26,'III. Finanzberichte'!$DS$26),"")</f>
      </c>
      <c r="O100" s="116" t="str">
        <f>=IFERROR(CHOOSE(E81,'III. Finanzberichte'!$E$26,'III. Finanzberichte'!$L$26,'III. Finanzberichte'!$S$26,'III. Finanzberichte'!$Z$26,'III. Finanzberichte'!$AG$26,'III. Finanzberichte'!$AN$26,'III. Finanzberichte'!$AU$26,'III. Finanzberichte'!$BB$26,'III. Finanzberichte'!$BI$26,'III. Finanzberichte'!$BP$26,'III. Finanzberichte'!$BW$26,'III. Finanzberichte'!$CD$26,'III. Finanzberichte'!$CK$26,'III. Finanzberichte'!$CR$26,'III. Finanzberichte'!$CY$26,'III. Finanzberichte'!$DF$26,'III. Finanzberichte'!$DM$26,'III. Finanzberichte'!$DT$26),"")</f>
      </c>
      <c r="P100" s="144" t="str">
        <f>=IFERROR(CHOOSE(E81,'III. Finanzberichte'!$F$26,'III. Finanzberichte'!$M$26,'III. Finanzberichte'!$T$26,'III. Finanzberichte'!$AA$26,'III. Finanzberichte'!$AH$26,'III. Finanzberichte'!$AO$26,'III. Finanzberichte'!$AV$26,'III. Finanzberichte'!$BC$26,'III. Finanzberichte'!$BJ$26,'III. Finanzberichte'!$BQ$26,'III. Finanzberichte'!$BX$26,'III. Finanzberichte'!$CE$26,'III. Finanzberichte'!$CL$26,'III. Finanzberichte'!$CS$26,'III. Finanzberichte'!$CZ$26,'III. Finanzberichte'!$DG$26,'III. Finanzberichte'!$DN$26,'III. Finanzberichte'!$DU$26),"")</f>
      </c>
    </row>
    <row r="101">
      <c r="L101" s="143" t="str">
        <f>=IFERROR(CHOOSE(E81,'III. Finanzberichte'!$B$27,'III. Finanzberichte'!$I$27,'III. Finanzberichte'!$P$27,'III. Finanzberichte'!$W$27,'III. Finanzberichte'!$AD$27,'III. Finanzberichte'!$AK$27,'III. Finanzberichte'!$AR$27,'III. Finanzberichte'!$AY$27,'III. Finanzberichte'!$BF$27,'III. Finanzberichte'!$BM$27,'III. Finanzberichte'!$BT$27,'III. Finanzberichte'!$CA$27,'III. Finanzberichte'!$CH$27,'III. Finanzberichte'!$CO$27,'III. Finanzberichte'!$CV$27,'III. Finanzberichte'!$DC$27,'III. Finanzberichte'!$DJ$27,'III. Finanzberichte'!$DQ$27),"")</f>
      </c>
      <c r="M101" s="116" t="str">
        <f>=IFERROR(CHOOSE(E81,'III. Finanzberichte'!$C$27,'III. Finanzberichte'!$J$27,'III. Finanzberichte'!$Q$27,'III. Finanzberichte'!$X$27,'III. Finanzberichte'!$AE$27,'III. Finanzberichte'!$AL$27,'III. Finanzberichte'!$AS$27,'III. Finanzberichte'!$AZ$27,'III. Finanzberichte'!$BG$27,'III. Finanzberichte'!$BN$27,'III. Finanzberichte'!$BU$27,'III. Finanzberichte'!$CB$27,'III. Finanzberichte'!$CI$27,'III. Finanzberichte'!$CP$27,'III. Finanzberichte'!$CW$27,'III. Finanzberichte'!$DD$27,'III. Finanzberichte'!$DK$27,'III. Finanzberichte'!$DR$27),"")</f>
      </c>
      <c r="N101" s="117" t="str">
        <f>=IFERROR(CHOOSE(E81,'III. Finanzberichte'!$D$27,'III. Finanzberichte'!$K$27,'III. Finanzberichte'!$R$27,'III. Finanzberichte'!$Y$27,'III. Finanzberichte'!$AF$27,'III. Finanzberichte'!$AM$27,'III. Finanzberichte'!$AT$27,'III. Finanzberichte'!$BA$27,'III. Finanzberichte'!$BH$27,'III. Finanzberichte'!$BO$27,'III. Finanzberichte'!$BV$27,'III. Finanzberichte'!$CC$27,'III. Finanzberichte'!$CJ$27,'III. Finanzberichte'!$CQ$27,'III. Finanzberichte'!$CX$27,'III. Finanzberichte'!$DE$27,'III. Finanzberichte'!$DL$27,'III. Finanzberichte'!$DS$27),"")</f>
      </c>
      <c r="O101" s="116" t="str">
        <f>=IFERROR(CHOOSE(E81,'III. Finanzberichte'!$E$27,'III. Finanzberichte'!$L$27,'III. Finanzberichte'!$S$27,'III. Finanzberichte'!$Z$27,'III. Finanzberichte'!$AG$27,'III. Finanzberichte'!$AN$27,'III. Finanzberichte'!$AU$27,'III. Finanzberichte'!$BB$27,'III. Finanzberichte'!$BI$27,'III. Finanzberichte'!$BP$27,'III. Finanzberichte'!$BW$27,'III. Finanzberichte'!$CD$27,'III. Finanzberichte'!$CK$27,'III. Finanzberichte'!$CR$27,'III. Finanzberichte'!$CY$27,'III. Finanzberichte'!$DF$27,'III. Finanzberichte'!$DM$27,'III. Finanzberichte'!$DT$27),"")</f>
      </c>
      <c r="P101" s="144" t="str">
        <f>=IFERROR(CHOOSE(E81,'III. Finanzberichte'!$F$27,'III. Finanzberichte'!$M$27,'III. Finanzberichte'!$T$27,'III. Finanzberichte'!$AA$27,'III. Finanzberichte'!$AH$27,'III. Finanzberichte'!$AO$27,'III. Finanzberichte'!$AV$27,'III. Finanzberichte'!$BC$27,'III. Finanzberichte'!$BJ$27,'III. Finanzberichte'!$BQ$27,'III. Finanzberichte'!$BX$27,'III. Finanzberichte'!$CE$27,'III. Finanzberichte'!$CL$27,'III. Finanzberichte'!$CS$27,'III. Finanzberichte'!$CZ$27,'III. Finanzberichte'!$DG$27,'III. Finanzberichte'!$DN$27,'III. Finanzberichte'!$DU$27),"")</f>
      </c>
    </row>
    <row r="102" ht="22" customHeight="true">
      <c r="B102" s="18" t="s">
        <v>523</v>
      </c>
      <c r="C102" s="18"/>
      <c r="D102" s="18"/>
      <c r="E102" s="18"/>
      <c r="F102" s="18"/>
      <c r="G102" s="18"/>
      <c r="H102" s="18"/>
      <c r="I102" s="18"/>
      <c r="J102" s="18"/>
      <c r="L102" s="143" t="str">
        <f>=IFERROR(CHOOSE(E81,'III. Finanzberichte'!$B$28,'III. Finanzberichte'!$I$28,'III. Finanzberichte'!$P$28,'III. Finanzberichte'!$W$28,'III. Finanzberichte'!$AD$28,'III. Finanzberichte'!$AK$28,'III. Finanzberichte'!$AR$28,'III. Finanzberichte'!$AY$28,'III. Finanzberichte'!$BF$28,'III. Finanzberichte'!$BM$28,'III. Finanzberichte'!$BT$28,'III. Finanzberichte'!$CA$28,'III. Finanzberichte'!$CH$28,'III. Finanzberichte'!$CO$28,'III. Finanzberichte'!$CV$28,'III. Finanzberichte'!$DC$28,'III. Finanzberichte'!$DJ$28,'III. Finanzberichte'!$DQ$28),"")</f>
      </c>
      <c r="M102" s="116" t="str">
        <f>=IFERROR(CHOOSE(E81,'III. Finanzberichte'!$C$28,'III. Finanzberichte'!$J$28,'III. Finanzberichte'!$Q$28,'III. Finanzberichte'!$X$28,'III. Finanzberichte'!$AE$28,'III. Finanzberichte'!$AL$28,'III. Finanzberichte'!$AS$28,'III. Finanzberichte'!$AZ$28,'III. Finanzberichte'!$BG$28,'III. Finanzberichte'!$BN$28,'III. Finanzberichte'!$BU$28,'III. Finanzberichte'!$CB$28,'III. Finanzberichte'!$CI$28,'III. Finanzberichte'!$CP$28,'III. Finanzberichte'!$CW$28,'III. Finanzberichte'!$DD$28,'III. Finanzberichte'!$DK$28,'III. Finanzberichte'!$DR$28),"")</f>
      </c>
      <c r="N102" s="117" t="str">
        <f>=IFERROR(CHOOSE(E81,'III. Finanzberichte'!$D$28,'III. Finanzberichte'!$K$28,'III. Finanzberichte'!$R$28,'III. Finanzberichte'!$Y$28,'III. Finanzberichte'!$AF$28,'III. Finanzberichte'!$AM$28,'III. Finanzberichte'!$AT$28,'III. Finanzberichte'!$BA$28,'III. Finanzberichte'!$BH$28,'III. Finanzberichte'!$BO$28,'III. Finanzberichte'!$BV$28,'III. Finanzberichte'!$CC$28,'III. Finanzberichte'!$CJ$28,'III. Finanzberichte'!$CQ$28,'III. Finanzberichte'!$CX$28,'III. Finanzberichte'!$DE$28,'III. Finanzberichte'!$DL$28,'III. Finanzberichte'!$DS$28),"")</f>
      </c>
      <c r="O102" s="116" t="str">
        <f>=IFERROR(CHOOSE(E81,'III. Finanzberichte'!$E$28,'III. Finanzberichte'!$L$28,'III. Finanzberichte'!$S$28,'III. Finanzberichte'!$Z$28,'III. Finanzberichte'!$AG$28,'III. Finanzberichte'!$AN$28,'III. Finanzberichte'!$AU$28,'III. Finanzberichte'!$BB$28,'III. Finanzberichte'!$BI$28,'III. Finanzberichte'!$BP$28,'III. Finanzberichte'!$BW$28,'III. Finanzberichte'!$CD$28,'III. Finanzberichte'!$CK$28,'III. Finanzberichte'!$CR$28,'III. Finanzberichte'!$CY$28,'III. Finanzberichte'!$DF$28,'III. Finanzberichte'!$DM$28,'III. Finanzberichte'!$DT$28),"")</f>
      </c>
      <c r="P102" s="144" t="str">
        <f>=IFERROR(CHOOSE(E81,'III. Finanzberichte'!$F$28,'III. Finanzberichte'!$M$28,'III. Finanzberichte'!$T$28,'III. Finanzberichte'!$AA$28,'III. Finanzberichte'!$AH$28,'III. Finanzberichte'!$AO$28,'III. Finanzberichte'!$AV$28,'III. Finanzberichte'!$BC$28,'III. Finanzberichte'!$BJ$28,'III. Finanzberichte'!$BQ$28,'III. Finanzberichte'!$BX$28,'III. Finanzberichte'!$CE$28,'III. Finanzberichte'!$CL$28,'III. Finanzberichte'!$CS$28,'III. Finanzberichte'!$CZ$28,'III. Finanzberichte'!$DG$28,'III. Finanzberichte'!$DN$28,'III. Finanzberichte'!$DU$28),"")</f>
      </c>
    </row>
    <row r="103">
      <c r="L103" s="143" t="str">
        <f>=IFERROR(CHOOSE(E81,'III. Finanzberichte'!$B$29,'III. Finanzberichte'!$I$29,'III. Finanzberichte'!$P$29,'III. Finanzberichte'!$W$29,'III. Finanzberichte'!$AD$29,'III. Finanzberichte'!$AK$29,'III. Finanzberichte'!$AR$29,'III. Finanzberichte'!$AY$29,'III. Finanzberichte'!$BF$29,'III. Finanzberichte'!$BM$29,'III. Finanzberichte'!$BT$29,'III. Finanzberichte'!$CA$29,'III. Finanzberichte'!$CH$29,'III. Finanzberichte'!$CO$29,'III. Finanzberichte'!$CV$29,'III. Finanzberichte'!$DC$29,'III. Finanzberichte'!$DJ$29,'III. Finanzberichte'!$DQ$29),"")</f>
      </c>
      <c r="M103" s="116" t="str">
        <f>=IFERROR(CHOOSE(E81,'III. Finanzberichte'!$C$29,'III. Finanzberichte'!$J$29,'III. Finanzberichte'!$Q$29,'III. Finanzberichte'!$X$29,'III. Finanzberichte'!$AE$29,'III. Finanzberichte'!$AL$29,'III. Finanzberichte'!$AS$29,'III. Finanzberichte'!$AZ$29,'III. Finanzberichte'!$BG$29,'III. Finanzberichte'!$BN$29,'III. Finanzberichte'!$BU$29,'III. Finanzberichte'!$CB$29,'III. Finanzberichte'!$CI$29,'III. Finanzberichte'!$CP$29,'III. Finanzberichte'!$CW$29,'III. Finanzberichte'!$DD$29,'III. Finanzberichte'!$DK$29,'III. Finanzberichte'!$DR$29),"")</f>
      </c>
      <c r="N103" s="117" t="str">
        <f>=IFERROR(CHOOSE(E81,'III. Finanzberichte'!$D$29,'III. Finanzberichte'!$K$29,'III. Finanzberichte'!$R$29,'III. Finanzberichte'!$Y$29,'III. Finanzberichte'!$AF$29,'III. Finanzberichte'!$AM$29,'III. Finanzberichte'!$AT$29,'III. Finanzberichte'!$BA$29,'III. Finanzberichte'!$BH$29,'III. Finanzberichte'!$BO$29,'III. Finanzberichte'!$BV$29,'III. Finanzberichte'!$CC$29,'III. Finanzberichte'!$CJ$29,'III. Finanzberichte'!$CQ$29,'III. Finanzberichte'!$CX$29,'III. Finanzberichte'!$DE$29,'III. Finanzberichte'!$DL$29,'III. Finanzberichte'!$DS$29),"")</f>
      </c>
      <c r="O103" s="116" t="str">
        <f>=IFERROR(CHOOSE(E81,'III. Finanzberichte'!$E$29,'III. Finanzberichte'!$L$29,'III. Finanzberichte'!$S$29,'III. Finanzberichte'!$Z$29,'III. Finanzberichte'!$AG$29,'III. Finanzberichte'!$AN$29,'III. Finanzberichte'!$AU$29,'III. Finanzberichte'!$BB$29,'III. Finanzberichte'!$BI$29,'III. Finanzberichte'!$BP$29,'III. Finanzberichte'!$BW$29,'III. Finanzberichte'!$CD$29,'III. Finanzberichte'!$CK$29,'III. Finanzberichte'!$CR$29,'III. Finanzberichte'!$CY$29,'III. Finanzberichte'!$DF$29,'III. Finanzberichte'!$DM$29,'III. Finanzberichte'!$DT$29),"")</f>
      </c>
      <c r="P103" s="144" t="str">
        <f>=IFERROR(CHOOSE(E81,'III. Finanzberichte'!$F$29,'III. Finanzberichte'!$M$29,'III. Finanzberichte'!$T$29,'III. Finanzberichte'!$AA$29,'III. Finanzberichte'!$AH$29,'III. Finanzberichte'!$AO$29,'III. Finanzberichte'!$AV$29,'III. Finanzberichte'!$BC$29,'III. Finanzberichte'!$BJ$29,'III. Finanzberichte'!$BQ$29,'III. Finanzberichte'!$BX$29,'III. Finanzberichte'!$CE$29,'III. Finanzberichte'!$CL$29,'III. Finanzberichte'!$CS$29,'III. Finanzberichte'!$CZ$29,'III. Finanzberichte'!$DG$29,'III. Finanzberichte'!$DN$29,'III. Finanzberichte'!$DU$29),"")</f>
      </c>
    </row>
    <row r="104" ht="28" customHeight="true">
      <c r="B104" s="263" t="s">
        <v>505</v>
      </c>
      <c r="C104" s="264" t="s">
        <v>521</v>
      </c>
      <c r="D104" s="264" t="s">
        <v>507</v>
      </c>
      <c r="E104" s="264" t="s">
        <v>508</v>
      </c>
      <c r="F104" s="264" t="s">
        <v>509</v>
      </c>
      <c r="G104" s="264" t="s">
        <v>522</v>
      </c>
      <c r="H104" s="264" t="s">
        <v>511</v>
      </c>
      <c r="I104" s="264" t="s">
        <v>512</v>
      </c>
      <c r="J104" s="265" t="s">
        <v>513</v>
      </c>
      <c r="L104" s="143" t="str">
        <f>=IFERROR(CHOOSE(E81,'III. Finanzberichte'!$B$30,'III. Finanzberichte'!$I$30,'III. Finanzberichte'!$P$30,'III. Finanzberichte'!$W$30,'III. Finanzberichte'!$AD$30,'III. Finanzberichte'!$AK$30,'III. Finanzberichte'!$AR$30,'III. Finanzberichte'!$AY$30,'III. Finanzberichte'!$BF$30,'III. Finanzberichte'!$BM$30,'III. Finanzberichte'!$BT$30,'III. Finanzberichte'!$CA$30,'III. Finanzberichte'!$CH$30,'III. Finanzberichte'!$CO$30,'III. Finanzberichte'!$CV$30,'III. Finanzberichte'!$DC$30,'III. Finanzberichte'!$DJ$30,'III. Finanzberichte'!$DQ$30),"")</f>
      </c>
      <c r="M104" s="116" t="str">
        <f>=IFERROR(CHOOSE(E81,'III. Finanzberichte'!$C$30,'III. Finanzberichte'!$J$30,'III. Finanzberichte'!$Q$30,'III. Finanzberichte'!$X$30,'III. Finanzberichte'!$AE$30,'III. Finanzberichte'!$AL$30,'III. Finanzberichte'!$AS$30,'III. Finanzberichte'!$AZ$30,'III. Finanzberichte'!$BG$30,'III. Finanzberichte'!$BN$30,'III. Finanzberichte'!$BU$30,'III. Finanzberichte'!$CB$30,'III. Finanzberichte'!$CI$30,'III. Finanzberichte'!$CP$30,'III. Finanzberichte'!$CW$30,'III. Finanzberichte'!$DD$30,'III. Finanzberichte'!$DK$30,'III. Finanzberichte'!$DR$30),"")</f>
      </c>
      <c r="N104" s="117" t="str">
        <f>=IFERROR(CHOOSE(E81,'III. Finanzberichte'!$D$30,'III. Finanzberichte'!$K$30,'III. Finanzberichte'!$R$30,'III. Finanzberichte'!$Y$30,'III. Finanzberichte'!$AF$30,'III. Finanzberichte'!$AM$30,'III. Finanzberichte'!$AT$30,'III. Finanzberichte'!$BA$30,'III. Finanzberichte'!$BH$30,'III. Finanzberichte'!$BO$30,'III. Finanzberichte'!$BV$30,'III. Finanzberichte'!$CC$30,'III. Finanzberichte'!$CJ$30,'III. Finanzberichte'!$CQ$30,'III. Finanzberichte'!$CX$30,'III. Finanzberichte'!$DE$30,'III. Finanzberichte'!$DL$30,'III. Finanzberichte'!$DS$30),"")</f>
      </c>
      <c r="O104" s="116" t="str">
        <f>=IFERROR(CHOOSE(E81,'III. Finanzberichte'!$E$30,'III. Finanzberichte'!$L$30,'III. Finanzberichte'!$S$30,'III. Finanzberichte'!$Z$30,'III. Finanzberichte'!$AG$30,'III. Finanzberichte'!$AN$30,'III. Finanzberichte'!$AU$30,'III. Finanzberichte'!$BB$30,'III. Finanzberichte'!$BI$30,'III. Finanzberichte'!$BP$30,'III. Finanzberichte'!$BW$30,'III. Finanzberichte'!$CD$30,'III. Finanzberichte'!$CK$30,'III. Finanzberichte'!$CR$30,'III. Finanzberichte'!$CY$30,'III. Finanzberichte'!$DF$30,'III. Finanzberichte'!$DM$30,'III. Finanzberichte'!$DT$30),"")</f>
      </c>
      <c r="P104" s="144" t="str">
        <f>=IFERROR(CHOOSE(E81,'III. Finanzberichte'!$F$30,'III. Finanzberichte'!$M$30,'III. Finanzberichte'!$T$30,'III. Finanzberichte'!$AA$30,'III. Finanzberichte'!$AH$30,'III. Finanzberichte'!$AO$30,'III. Finanzberichte'!$AV$30,'III. Finanzberichte'!$BC$30,'III. Finanzberichte'!$BJ$30,'III. Finanzberichte'!$BQ$30,'III. Finanzberichte'!$BX$30,'III. Finanzberichte'!$CE$30,'III. Finanzberichte'!$CL$30,'III. Finanzberichte'!$CS$30,'III. Finanzberichte'!$CZ$30,'III. Finanzberichte'!$DG$30,'III. Finanzberichte'!$DN$30,'III. Finanzberichte'!$DU$30),"")</f>
      </c>
    </row>
    <row r="105">
      <c r="B105" s="266" t="s">
        <v>207</v>
      </c>
      <c r="C105" s="239" t="str">
        <f>=IFERROR(ROUND(CHOOSE(E81,SUM('III. Finanzberichte'!$E$19:$E$38),SUM('III. Finanzberichte'!$L$19:$L$38),SUM('III. Finanzberichte'!$S$19:$S$38),SUM('III. Finanzberichte'!$Z$19:$Z$38),SUM('III. Finanzberichte'!$AG$19:$AG$38),SUM('III. Finanzberichte'!$AN$19:$AN$38),SUM('III. Finanzberichte'!$AU$19:$AU$38),SUM('III. Finanzberichte'!$BB$19:$BB$38),SUM('III. Finanzberichte'!$BI$19:$BI$38),SUM('III. Finanzberichte'!$BP$19:$BP$38),SUM('III. Finanzberichte'!$BW$19:$BW$38),SUM('III. Finanzberichte'!$CD$19:$CD$38),SUM('III. Finanzberichte'!$CK$19:$CK$38),SUM('III. Finanzberichte'!$CR$19:$CR$38),SUM('III. Finanzberichte'!$CY$19:$CY$38),SUM('III. Finanzberichte'!$DF$19:$DF$38),SUM('III. Finanzberichte'!$DM$19:$DM$38),SUM('III. Finanzberichte'!$DT$19:$DT$38)),2),0)</f>
      </c>
      <c r="D105" s="239" t="str">
        <f>=IFERROR(ROUND(Kosten_Bauausgaben_LW,2),0)</f>
      </c>
      <c r="E105" s="201" t="str">
        <f>=ROUND(IFERROR($C$105-$D$105,0),2)</f>
      </c>
      <c r="F105" s="258" t="str">
        <f>=ROUND(IFERROR(($C$105/$D$105)-1,0),4)</f>
      </c>
      <c r="G105" s="217" t="str">
        <f>=IFERROR(ROUND(CHOOSE(E81,SUM('III. Finanzberichte'!$F$19:$F$38),SUM('III. Finanzberichte'!$M$19:$M$38),SUM('III. Finanzberichte'!$T$19:$T$38),SUM('III. Finanzberichte'!$AA$19:$AA$38),SUM('III. Finanzberichte'!$AH$19:$AH$38),SUM('III. Finanzberichte'!$AO$19:$AO$38),SUM('III. Finanzberichte'!$AV$19:$AV$38),SUM('III. Finanzberichte'!$BC$19:$BC$38),SUM('III. Finanzberichte'!$BJ$19:$BJ$38),SUM('III. Finanzberichte'!$BQ$19:$BQ$38),SUM('III. Finanzberichte'!$BX$19:$BX$38),SUM('III. Finanzberichte'!$CE$19:$CE$38),SUM('III. Finanzberichte'!$CL$19:$CL$38),SUM('III. Finanzberichte'!$CS$19:$CS$38),SUM('III. Finanzberichte'!$CZ$19:$CZ$38),SUM('III. Finanzberichte'!$DG$19:$DG$38),SUM('III. Finanzberichte'!$DN$19:$DN$38),SUM('III. Finanzberichte'!$DU$19:$DU$38)),2),0)</f>
      </c>
      <c r="H105" s="217" t="str">
        <f>=IFERROR(ROUND(Kosten_Bauausgaben_EUR,2),0)</f>
      </c>
      <c r="I105" s="182" t="str">
        <f>=ROUND(IFERROR($G$105-$H$105,0),2)</f>
      </c>
      <c r="J105" s="296" t="str">
        <f>=ROUND(IFERROR(($G$105/$H$105)-1,0),4)</f>
      </c>
      <c r="L105" s="143" t="str">
        <f>=IFERROR(CHOOSE(E81,'III. Finanzberichte'!$B$31,'III. Finanzberichte'!$I$31,'III. Finanzberichte'!$P$31,'III. Finanzberichte'!$W$31,'III. Finanzberichte'!$AD$31,'III. Finanzberichte'!$AK$31,'III. Finanzberichte'!$AR$31,'III. Finanzberichte'!$AY$31,'III. Finanzberichte'!$BF$31,'III. Finanzberichte'!$BM$31,'III. Finanzberichte'!$BT$31,'III. Finanzberichte'!$CA$31,'III. Finanzberichte'!$CH$31,'III. Finanzberichte'!$CO$31,'III. Finanzberichte'!$CV$31,'III. Finanzberichte'!$DC$31,'III. Finanzberichte'!$DJ$31,'III. Finanzberichte'!$DQ$31),"")</f>
      </c>
      <c r="M105" s="116" t="str">
        <f>=IFERROR(CHOOSE(E81,'III. Finanzberichte'!$C$31,'III. Finanzberichte'!$J$31,'III. Finanzberichte'!$Q$31,'III. Finanzberichte'!$X$31,'III. Finanzberichte'!$AE$31,'III. Finanzberichte'!$AL$31,'III. Finanzberichte'!$AS$31,'III. Finanzberichte'!$AZ$31,'III. Finanzberichte'!$BG$31,'III. Finanzberichte'!$BN$31,'III. Finanzberichte'!$BU$31,'III. Finanzberichte'!$CB$31,'III. Finanzberichte'!$CI$31,'III. Finanzberichte'!$CP$31,'III. Finanzberichte'!$CW$31,'III. Finanzberichte'!$DD$31,'III. Finanzberichte'!$DK$31,'III. Finanzberichte'!$DR$31),"")</f>
      </c>
      <c r="N105" s="117" t="str">
        <f>=IFERROR(CHOOSE(E81,'III. Finanzberichte'!$D$31,'III. Finanzberichte'!$K$31,'III. Finanzberichte'!$R$31,'III. Finanzberichte'!$Y$31,'III. Finanzberichte'!$AF$31,'III. Finanzberichte'!$AM$31,'III. Finanzberichte'!$AT$31,'III. Finanzberichte'!$BA$31,'III. Finanzberichte'!$BH$31,'III. Finanzberichte'!$BO$31,'III. Finanzberichte'!$BV$31,'III. Finanzberichte'!$CC$31,'III. Finanzberichte'!$CJ$31,'III. Finanzberichte'!$CQ$31,'III. Finanzberichte'!$CX$31,'III. Finanzberichte'!$DE$31,'III. Finanzberichte'!$DL$31,'III. Finanzberichte'!$DS$31),"")</f>
      </c>
      <c r="O105" s="116" t="str">
        <f>=IFERROR(CHOOSE(E81,'III. Finanzberichte'!$E$31,'III. Finanzberichte'!$L$31,'III. Finanzberichte'!$S$31,'III. Finanzberichte'!$Z$31,'III. Finanzberichte'!$AG$31,'III. Finanzberichte'!$AN$31,'III. Finanzberichte'!$AU$31,'III. Finanzberichte'!$BB$31,'III. Finanzberichte'!$BI$31,'III. Finanzberichte'!$BP$31,'III. Finanzberichte'!$BW$31,'III. Finanzberichte'!$CD$31,'III. Finanzberichte'!$CK$31,'III. Finanzberichte'!$CR$31,'III. Finanzberichte'!$CY$31,'III. Finanzberichte'!$DF$31,'III. Finanzberichte'!$DM$31,'III. Finanzberichte'!$DT$31),"")</f>
      </c>
      <c r="P105" s="144" t="str">
        <f>=IFERROR(CHOOSE(E81,'III. Finanzberichte'!$F$31,'III. Finanzberichte'!$M$31,'III. Finanzberichte'!$T$31,'III. Finanzberichte'!$AA$31,'III. Finanzberichte'!$AH$31,'III. Finanzberichte'!$AO$31,'III. Finanzberichte'!$AV$31,'III. Finanzberichte'!$BC$31,'III. Finanzberichte'!$BJ$31,'III. Finanzberichte'!$BQ$31,'III. Finanzberichte'!$BX$31,'III. Finanzberichte'!$CE$31,'III. Finanzberichte'!$CL$31,'III. Finanzberichte'!$CS$31,'III. Finanzberichte'!$CZ$31,'III. Finanzberichte'!$DG$31,'III. Finanzberichte'!$DN$31,'III. Finanzberichte'!$DU$31),"")</f>
      </c>
    </row>
    <row r="106">
      <c r="B106" s="266" t="s">
        <v>248</v>
      </c>
      <c r="C106" s="239" t="str">
        <f>=IFERROR(ROUND(CHOOSE(E81,SUM('III. Finanzberichte'!$E$39:$E$58),SUM('III. Finanzberichte'!$L$39:$L$58),SUM('III. Finanzberichte'!$S$39:$S$58),SUM('III. Finanzberichte'!$Z$39:$Z$58),SUM('III. Finanzberichte'!$AG$39:$AG$58),SUM('III. Finanzberichte'!$AN$39:$AN$58),SUM('III. Finanzberichte'!$AU$39:$AU$58),SUM('III. Finanzberichte'!$BB$39:$BB$58),SUM('III. Finanzberichte'!$BI$39:$BI$58),SUM('III. Finanzberichte'!$BP$39:$BP$58),SUM('III. Finanzberichte'!$BW$39:$BW$58),SUM('III. Finanzberichte'!$CD$39:$CD$58),SUM('III. Finanzberichte'!$CK$39:$CK$58),SUM('III. Finanzberichte'!$CR$39:$CR$58),SUM('III. Finanzberichte'!$CY$39:$CY$58),SUM('III. Finanzberichte'!$DF$39:$DF$58),SUM('III. Finanzberichte'!$DM$39:$DM$58),SUM('III. Finanzberichte'!$DT$39:$DT$58)),2),0)</f>
      </c>
      <c r="D106" s="239" t="str">
        <f>=IFERROR(ROUND(Kosten_Investitionen_LW,2),0)</f>
      </c>
      <c r="E106" s="201" t="str">
        <f>=ROUND(IFERROR($C$106-$D$106,0),2)</f>
      </c>
      <c r="F106" s="258" t="str">
        <f>=ROUND(IFERROR(($C$106/$D$106)-1,0),4)</f>
      </c>
      <c r="G106" s="217" t="str">
        <f>=IFERROR(ROUND(CHOOSE(E81,SUM('III. Finanzberichte'!$F$39:$F$58),SUM('III. Finanzberichte'!$M$39:$M$58),SUM('III. Finanzberichte'!$T$39:$T$58),SUM('III. Finanzberichte'!$AA$39:$AA$58),SUM('III. Finanzberichte'!$AH$39:$AH$58),SUM('III. Finanzberichte'!$AO$39:$AO$58),SUM('III. Finanzberichte'!$AV$39:$AV$58),SUM('III. Finanzberichte'!$BC$39:$BC$58),SUM('III. Finanzberichte'!$BJ$39:$BJ$58),SUM('III. Finanzberichte'!$BQ$39:$BQ$58),SUM('III. Finanzberichte'!$BX$39:$BX$58),SUM('III. Finanzberichte'!$CE$39:$CE$58),SUM('III. Finanzberichte'!$CL$39:$CL$58),SUM('III. Finanzberichte'!$CS$39:$CS$58),SUM('III. Finanzberichte'!$CZ$39:$CZ$58),SUM('III. Finanzberichte'!$DG$39:$DG$58),SUM('III. Finanzberichte'!$DN$39:$DN$58),SUM('III. Finanzberichte'!$DU$39:$DU$58)),2),0)</f>
      </c>
      <c r="H106" s="217" t="str">
        <f>=IFERROR(ROUND(Kosten_Investitionen_EUR,2),0)</f>
      </c>
      <c r="I106" s="182" t="str">
        <f>=ROUND(IFERROR($G$106-$H$106,0),2)</f>
      </c>
      <c r="J106" s="297" t="str">
        <f>=ROUND(IFERROR(($G$106/$H$106)-1,0),4)</f>
      </c>
      <c r="L106" s="143" t="str">
        <f>=IFERROR(CHOOSE(E81,'III. Finanzberichte'!$B$32,'III. Finanzberichte'!$I$32,'III. Finanzberichte'!$P$32,'III. Finanzberichte'!$W$32,'III. Finanzberichte'!$AD$32,'III. Finanzberichte'!$AK$32,'III. Finanzberichte'!$AR$32,'III. Finanzberichte'!$AY$32,'III. Finanzberichte'!$BF$32,'III. Finanzberichte'!$BM$32,'III. Finanzberichte'!$BT$32,'III. Finanzberichte'!$CA$32,'III. Finanzberichte'!$CH$32,'III. Finanzberichte'!$CO$32,'III. Finanzberichte'!$CV$32,'III. Finanzberichte'!$DC$32,'III. Finanzberichte'!$DJ$32,'III. Finanzberichte'!$DQ$32),"")</f>
      </c>
      <c r="M106" s="116" t="str">
        <f>=IFERROR(CHOOSE(E81,'III. Finanzberichte'!$C$32,'III. Finanzberichte'!$J$32,'III. Finanzberichte'!$Q$32,'III. Finanzberichte'!$X$32,'III. Finanzberichte'!$AE$32,'III. Finanzberichte'!$AL$32,'III. Finanzberichte'!$AS$32,'III. Finanzberichte'!$AZ$32,'III. Finanzberichte'!$BG$32,'III. Finanzberichte'!$BN$32,'III. Finanzberichte'!$BU$32,'III. Finanzberichte'!$CB$32,'III. Finanzberichte'!$CI$32,'III. Finanzberichte'!$CP$32,'III. Finanzberichte'!$CW$32,'III. Finanzberichte'!$DD$32,'III. Finanzberichte'!$DK$32,'III. Finanzberichte'!$DR$32),"")</f>
      </c>
      <c r="N106" s="117" t="str">
        <f>=IFERROR(CHOOSE(E81,'III. Finanzberichte'!$D$32,'III. Finanzberichte'!$K$32,'III. Finanzberichte'!$R$32,'III. Finanzberichte'!$Y$32,'III. Finanzberichte'!$AF$32,'III. Finanzberichte'!$AM$32,'III. Finanzberichte'!$AT$32,'III. Finanzberichte'!$BA$32,'III. Finanzberichte'!$BH$32,'III. Finanzberichte'!$BO$32,'III. Finanzberichte'!$BV$32,'III. Finanzberichte'!$CC$32,'III. Finanzberichte'!$CJ$32,'III. Finanzberichte'!$CQ$32,'III. Finanzberichte'!$CX$32,'III. Finanzberichte'!$DE$32,'III. Finanzberichte'!$DL$32,'III. Finanzberichte'!$DS$32),"")</f>
      </c>
      <c r="O106" s="116" t="str">
        <f>=IFERROR(CHOOSE(E81,'III. Finanzberichte'!$E$32,'III. Finanzberichte'!$L$32,'III. Finanzberichte'!$S$32,'III. Finanzberichte'!$Z$32,'III. Finanzberichte'!$AG$32,'III. Finanzberichte'!$AN$32,'III. Finanzberichte'!$AU$32,'III. Finanzberichte'!$BB$32,'III. Finanzberichte'!$BI$32,'III. Finanzberichte'!$BP$32,'III. Finanzberichte'!$BW$32,'III. Finanzberichte'!$CD$32,'III. Finanzberichte'!$CK$32,'III. Finanzberichte'!$CR$32,'III. Finanzberichte'!$CY$32,'III. Finanzberichte'!$DF$32,'III. Finanzberichte'!$DM$32,'III. Finanzberichte'!$DT$32),"")</f>
      </c>
      <c r="P106" s="144" t="str">
        <f>=IFERROR(CHOOSE(E81,'III. Finanzberichte'!$F$32,'III. Finanzberichte'!$M$32,'III. Finanzberichte'!$T$32,'III. Finanzberichte'!$AA$32,'III. Finanzberichte'!$AH$32,'III. Finanzberichte'!$AO$32,'III. Finanzberichte'!$AV$32,'III. Finanzberichte'!$BC$32,'III. Finanzberichte'!$BJ$32,'III. Finanzberichte'!$BQ$32,'III. Finanzberichte'!$BX$32,'III. Finanzberichte'!$CE$32,'III. Finanzberichte'!$CL$32,'III. Finanzberichte'!$CS$32,'III. Finanzberichte'!$CZ$32,'III. Finanzberichte'!$DG$32,'III. Finanzberichte'!$DN$32,'III. Finanzberichte'!$DU$32),"")</f>
      </c>
    </row>
    <row r="107">
      <c r="B107" s="266" t="s">
        <v>269</v>
      </c>
      <c r="C107" s="239" t="str">
        <f>=IFERROR(ROUND(CHOOSE(E81,SUM('III. Finanzberichte'!$E$59:$E$88),SUM('III. Finanzberichte'!$L$59:$L$88),SUM('III. Finanzberichte'!$S$59:$S$88),SUM('III. Finanzberichte'!$Z$59:$Z$88),SUM('III. Finanzberichte'!$AG$59:$AG$88),SUM('III. Finanzberichte'!$AN$59:$AN$88),SUM('III. Finanzberichte'!$AU$59:$AU$88),SUM('III. Finanzberichte'!$BB$59:$BB$88),SUM('III. Finanzberichte'!$BI$59:$BI$88),SUM('III. Finanzberichte'!$BP$59:$BP$88),SUM('III. Finanzberichte'!$BW$59:$BW$88),SUM('III. Finanzberichte'!$CD$59:$CD$88),SUM('III. Finanzberichte'!$CK$59:$CK$88),SUM('III. Finanzberichte'!$CR$59:$CR$88),SUM('III. Finanzberichte'!$CY$59:$CY$88),SUM('III. Finanzberichte'!$DF$59:$DF$88),SUM('III. Finanzberichte'!$DM$59:$DM$88),SUM('III. Finanzberichte'!$DT$59:$DT$88)),2),0)</f>
      </c>
      <c r="D107" s="239" t="str">
        <f>=IFERROR(ROUND(Kosten_Personalkosten_LW,2),0)</f>
      </c>
      <c r="E107" s="201" t="str">
        <f>=ROUND(IFERROR($C$107-$D$107,0),2)</f>
      </c>
      <c r="F107" s="258" t="str">
        <f>=ROUND(IFERROR(($C$107/$D$107)-1,0),4)</f>
      </c>
      <c r="G107" s="217" t="str">
        <f>=IFERROR(ROUND(CHOOSE(E81,SUM('III. Finanzberichte'!$F$59:$F$88),SUM('III. Finanzberichte'!$M$59:$M$88),SUM('III. Finanzberichte'!$T$59:$T$88),SUM('III. Finanzberichte'!$AA$59:$AA$88),SUM('III. Finanzberichte'!$AH$59:$AH$88),SUM('III. Finanzberichte'!$AO$59:$AO$88),SUM('III. Finanzberichte'!$AV$59:$AV$88),SUM('III. Finanzberichte'!$BC$59:$BC$88),SUM('III. Finanzberichte'!$BJ$59:$BJ$88),SUM('III. Finanzberichte'!$BQ$59:$BQ$88),SUM('III. Finanzberichte'!$BX$59:$BX$88),SUM('III. Finanzberichte'!$CE$59:$CE$88),SUM('III. Finanzberichte'!$CL$59:$CL$88),SUM('III. Finanzberichte'!$CS$59:$CS$88),SUM('III. Finanzberichte'!$CZ$59:$CZ$88),SUM('III. Finanzberichte'!$DG$59:$DG$88),SUM('III. Finanzberichte'!$DN$59:$DN$88),SUM('III. Finanzberichte'!$DU$59:$DU$88)),2),0)</f>
      </c>
      <c r="H107" s="217" t="str">
        <f>=IFERROR(ROUND(Kosten_Personalkosten_EUR,2),0)</f>
      </c>
      <c r="I107" s="182" t="str">
        <f>=ROUND(IFERROR($G$107-$H$107,0),2)</f>
      </c>
      <c r="J107" s="298" t="str">
        <f>=ROUND(IFERROR(($G$107/$H$107)-1,0),4)</f>
      </c>
      <c r="L107" s="143" t="str">
        <f>=IFERROR(CHOOSE(E81,'III. Finanzberichte'!$B$33,'III. Finanzberichte'!$I$33,'III. Finanzberichte'!$P$33,'III. Finanzberichte'!$W$33,'III. Finanzberichte'!$AD$33,'III. Finanzberichte'!$AK$33,'III. Finanzberichte'!$AR$33,'III. Finanzberichte'!$AY$33,'III. Finanzberichte'!$BF$33,'III. Finanzberichte'!$BM$33,'III. Finanzberichte'!$BT$33,'III. Finanzberichte'!$CA$33,'III. Finanzberichte'!$CH$33,'III. Finanzberichte'!$CO$33,'III. Finanzberichte'!$CV$33,'III. Finanzberichte'!$DC$33,'III. Finanzberichte'!$DJ$33,'III. Finanzberichte'!$DQ$33),"")</f>
      </c>
      <c r="M107" s="116" t="str">
        <f>=IFERROR(CHOOSE(E81,'III. Finanzberichte'!$C$33,'III. Finanzberichte'!$J$33,'III. Finanzberichte'!$Q$33,'III. Finanzberichte'!$X$33,'III. Finanzberichte'!$AE$33,'III. Finanzberichte'!$AL$33,'III. Finanzberichte'!$AS$33,'III. Finanzberichte'!$AZ$33,'III. Finanzberichte'!$BG$33,'III. Finanzberichte'!$BN$33,'III. Finanzberichte'!$BU$33,'III. Finanzberichte'!$CB$33,'III. Finanzberichte'!$CI$33,'III. Finanzberichte'!$CP$33,'III. Finanzberichte'!$CW$33,'III. Finanzberichte'!$DD$33,'III. Finanzberichte'!$DK$33,'III. Finanzberichte'!$DR$33),"")</f>
      </c>
      <c r="N107" s="117" t="str">
        <f>=IFERROR(CHOOSE(E81,'III. Finanzberichte'!$D$33,'III. Finanzberichte'!$K$33,'III. Finanzberichte'!$R$33,'III. Finanzberichte'!$Y$33,'III. Finanzberichte'!$AF$33,'III. Finanzberichte'!$AM$33,'III. Finanzberichte'!$AT$33,'III. Finanzberichte'!$BA$33,'III. Finanzberichte'!$BH$33,'III. Finanzberichte'!$BO$33,'III. Finanzberichte'!$BV$33,'III. Finanzberichte'!$CC$33,'III. Finanzberichte'!$CJ$33,'III. Finanzberichte'!$CQ$33,'III. Finanzberichte'!$CX$33,'III. Finanzberichte'!$DE$33,'III. Finanzberichte'!$DL$33,'III. Finanzberichte'!$DS$33),"")</f>
      </c>
      <c r="O107" s="116" t="str">
        <f>=IFERROR(CHOOSE(E81,'III. Finanzberichte'!$E$33,'III. Finanzberichte'!$L$33,'III. Finanzberichte'!$S$33,'III. Finanzberichte'!$Z$33,'III. Finanzberichte'!$AG$33,'III. Finanzberichte'!$AN$33,'III. Finanzberichte'!$AU$33,'III. Finanzberichte'!$BB$33,'III. Finanzberichte'!$BI$33,'III. Finanzberichte'!$BP$33,'III. Finanzberichte'!$BW$33,'III. Finanzberichte'!$CD$33,'III. Finanzberichte'!$CK$33,'III. Finanzberichte'!$CR$33,'III. Finanzberichte'!$CY$33,'III. Finanzberichte'!$DF$33,'III. Finanzberichte'!$DM$33,'III. Finanzberichte'!$DT$33),"")</f>
      </c>
      <c r="P107" s="144" t="str">
        <f>=IFERROR(CHOOSE(E81,'III. Finanzberichte'!$F$33,'III. Finanzberichte'!$M$33,'III. Finanzberichte'!$T$33,'III. Finanzberichte'!$AA$33,'III. Finanzberichte'!$AH$33,'III. Finanzberichte'!$AO$33,'III. Finanzberichte'!$AV$33,'III. Finanzberichte'!$BC$33,'III. Finanzberichte'!$BJ$33,'III. Finanzberichte'!$BQ$33,'III. Finanzberichte'!$BX$33,'III. Finanzberichte'!$CE$33,'III. Finanzberichte'!$CL$33,'III. Finanzberichte'!$CS$33,'III. Finanzberichte'!$CZ$33,'III. Finanzberichte'!$DG$33,'III. Finanzberichte'!$DN$33,'III. Finanzberichte'!$DU$33),"")</f>
      </c>
    </row>
    <row r="108">
      <c r="B108" s="266" t="s">
        <v>300</v>
      </c>
      <c r="C108" s="239" t="str">
        <f>=IFERROR(ROUND(CHOOSE(E81,SUM('III. Finanzberichte'!$E$89:$E$118),SUM('III. Finanzberichte'!$L$89:$L$118),SUM('III. Finanzberichte'!$S$89:$S$118),SUM('III. Finanzberichte'!$Z$89:$Z$118),SUM('III. Finanzberichte'!$AG$89:$AG$118),SUM('III. Finanzberichte'!$AN$89:$AN$118),SUM('III. Finanzberichte'!$AU$89:$AU$118),SUM('III. Finanzberichte'!$BB$89:$BB$118),SUM('III. Finanzberichte'!$BI$89:$BI$118),SUM('III. Finanzberichte'!$BP$89:$BP$118),SUM('III. Finanzberichte'!$BW$89:$BW$118),SUM('III. Finanzberichte'!$CD$89:$CD$118),SUM('III. Finanzberichte'!$CK$89:$CK$118),SUM('III. Finanzberichte'!$CR$89:$CR$118),SUM('III. Finanzberichte'!$CY$89:$CY$118),SUM('III. Finanzberichte'!$DF$89:$DF$118),SUM('III. Finanzberichte'!$DM$89:$DM$118),SUM('III. Finanzberichte'!$DT$89:$DT$118)),2),0)</f>
      </c>
      <c r="D108" s="239" t="str">
        <f>=IFERROR(ROUND(Kosten_Projektaktivitaeten_LW,2),0)</f>
      </c>
      <c r="E108" s="201" t="str">
        <f>=ROUND(IFERROR($C$108-$D$108,0),2)</f>
      </c>
      <c r="F108" s="258" t="str">
        <f>=ROUND(IFERROR(($C$108/$D$108)-1,0),4)</f>
      </c>
      <c r="G108" s="217" t="str">
        <f>=IFERROR(ROUND(CHOOSE(E81,SUM('III. Finanzberichte'!$F$89:$F$118),SUM('III. Finanzberichte'!$M$89:$M$118),SUM('III. Finanzberichte'!$T$89:$T$118),SUM('III. Finanzberichte'!$AA$89:$AA$118),SUM('III. Finanzberichte'!$AH$89:$AH$118),SUM('III. Finanzberichte'!$AO$89:$AO$118),SUM('III. Finanzberichte'!$AV$89:$AV$118),SUM('III. Finanzberichte'!$BC$89:$BC$118),SUM('III. Finanzberichte'!$BJ$89:$BJ$118),SUM('III. Finanzberichte'!$BQ$89:$BQ$118),SUM('III. Finanzberichte'!$BX$89:$BX$118),SUM('III. Finanzberichte'!$CE$89:$CE$118),SUM('III. Finanzberichte'!$CL$89:$CL$118),SUM('III. Finanzberichte'!$CS$89:$CS$118),SUM('III. Finanzberichte'!$CZ$89:$CZ$118),SUM('III. Finanzberichte'!$DG$89:$DG$118),SUM('III. Finanzberichte'!$DN$89:$DN$118),SUM('III. Finanzberichte'!$DU$89:$DU$118)),2),0)</f>
      </c>
      <c r="H108" s="217" t="str">
        <f>=IFERROR(ROUND(Kosten_Projektaktivitaeten_EUR,2),0)</f>
      </c>
      <c r="I108" s="182" t="str">
        <f>=ROUND(IFERROR($G$108-$H$108,0),2)</f>
      </c>
      <c r="J108" s="299" t="str">
        <f>=ROUND(IFERROR(($G$108/$H$108)-1,0),4)</f>
      </c>
      <c r="L108" s="143" t="str">
        <f>=IFERROR(CHOOSE(E81,'III. Finanzberichte'!$B$34,'III. Finanzberichte'!$I$34,'III. Finanzberichte'!$P$34,'III. Finanzberichte'!$W$34,'III. Finanzberichte'!$AD$34,'III. Finanzberichte'!$AK$34,'III. Finanzberichte'!$AR$34,'III. Finanzberichte'!$AY$34,'III. Finanzberichte'!$BF$34,'III. Finanzberichte'!$BM$34,'III. Finanzberichte'!$BT$34,'III. Finanzberichte'!$CA$34,'III. Finanzberichte'!$CH$34,'III. Finanzberichte'!$CO$34,'III. Finanzberichte'!$CV$34,'III. Finanzberichte'!$DC$34,'III. Finanzberichte'!$DJ$34,'III. Finanzberichte'!$DQ$34),"")</f>
      </c>
      <c r="M108" s="116" t="str">
        <f>=IFERROR(CHOOSE(E81,'III. Finanzberichte'!$C$34,'III. Finanzberichte'!$J$34,'III. Finanzberichte'!$Q$34,'III. Finanzberichte'!$X$34,'III. Finanzberichte'!$AE$34,'III. Finanzberichte'!$AL$34,'III. Finanzberichte'!$AS$34,'III. Finanzberichte'!$AZ$34,'III. Finanzberichte'!$BG$34,'III. Finanzberichte'!$BN$34,'III. Finanzberichte'!$BU$34,'III. Finanzberichte'!$CB$34,'III. Finanzberichte'!$CI$34,'III. Finanzberichte'!$CP$34,'III. Finanzberichte'!$CW$34,'III. Finanzberichte'!$DD$34,'III. Finanzberichte'!$DK$34,'III. Finanzberichte'!$DR$34),"")</f>
      </c>
      <c r="N108" s="117" t="str">
        <f>=IFERROR(CHOOSE(E81,'III. Finanzberichte'!$D$34,'III. Finanzberichte'!$K$34,'III. Finanzberichte'!$R$34,'III. Finanzberichte'!$Y$34,'III. Finanzberichte'!$AF$34,'III. Finanzberichte'!$AM$34,'III. Finanzberichte'!$AT$34,'III. Finanzberichte'!$BA$34,'III. Finanzberichte'!$BH$34,'III. Finanzberichte'!$BO$34,'III. Finanzberichte'!$BV$34,'III. Finanzberichte'!$CC$34,'III. Finanzberichte'!$CJ$34,'III. Finanzberichte'!$CQ$34,'III. Finanzberichte'!$CX$34,'III. Finanzberichte'!$DE$34,'III. Finanzberichte'!$DL$34,'III. Finanzberichte'!$DS$34),"")</f>
      </c>
      <c r="O108" s="116" t="str">
        <f>=IFERROR(CHOOSE(E81,'III. Finanzberichte'!$E$34,'III. Finanzberichte'!$L$34,'III. Finanzberichte'!$S$34,'III. Finanzberichte'!$Z$34,'III. Finanzberichte'!$AG$34,'III. Finanzberichte'!$AN$34,'III. Finanzberichte'!$AU$34,'III. Finanzberichte'!$BB$34,'III. Finanzberichte'!$BI$34,'III. Finanzberichte'!$BP$34,'III. Finanzberichte'!$BW$34,'III. Finanzberichte'!$CD$34,'III. Finanzberichte'!$CK$34,'III. Finanzberichte'!$CR$34,'III. Finanzberichte'!$CY$34,'III. Finanzberichte'!$DF$34,'III. Finanzberichte'!$DM$34,'III. Finanzberichte'!$DT$34),"")</f>
      </c>
      <c r="P108" s="144" t="str">
        <f>=IFERROR(CHOOSE(E81,'III. Finanzberichte'!$F$34,'III. Finanzberichte'!$M$34,'III. Finanzberichte'!$T$34,'III. Finanzberichte'!$AA$34,'III. Finanzberichte'!$AH$34,'III. Finanzberichte'!$AO$34,'III. Finanzberichte'!$AV$34,'III. Finanzberichte'!$BC$34,'III. Finanzberichte'!$BJ$34,'III. Finanzberichte'!$BQ$34,'III. Finanzberichte'!$BX$34,'III. Finanzberichte'!$CE$34,'III. Finanzberichte'!$CL$34,'III. Finanzberichte'!$CS$34,'III. Finanzberichte'!$CZ$34,'III. Finanzberichte'!$DG$34,'III. Finanzberichte'!$DN$34,'III. Finanzberichte'!$DU$34),"")</f>
      </c>
    </row>
    <row r="109">
      <c r="B109" s="266" t="s">
        <v>331</v>
      </c>
      <c r="C109" s="239" t="str">
        <f>=IFERROR(ROUND(CHOOSE(E81,SUM('III. Finanzberichte'!$E$119:$E$138),SUM('III. Finanzberichte'!$L$119:$L$138),SUM('III. Finanzberichte'!$S$119:$S$138),SUM('III. Finanzberichte'!$Z$119:$Z$138),SUM('III. Finanzberichte'!$AG$119:$AG$138),SUM('III. Finanzberichte'!$AN$119:$AN$138),SUM('III. Finanzberichte'!$AU$119:$AU$138),SUM('III. Finanzberichte'!$BB$119:$BB$138),SUM('III. Finanzberichte'!$BI$119:$BI$138),SUM('III. Finanzberichte'!$BP$119:$BP$138),SUM('III. Finanzberichte'!$BW$119:$BW$138),SUM('III. Finanzberichte'!$CD$119:$CD$138),SUM('III. Finanzberichte'!$CK$119:$CK$138),SUM('III. Finanzberichte'!$CR$119:$CR$138),SUM('III. Finanzberichte'!$CY$119:$CY$138),SUM('III. Finanzberichte'!$DF$119:$DF$138),SUM('III. Finanzberichte'!$DM$119:$DM$138),SUM('III. Finanzberichte'!$DT$119:$DT$138)),2),0)</f>
      </c>
      <c r="D109" s="239" t="str">
        <f>=IFERROR(ROUND(Kosten_Projektverwaltung_LW,2),0)</f>
      </c>
      <c r="E109" s="201" t="str">
        <f>=ROUND(IFERROR($C$109-$D$109,0),2)</f>
      </c>
      <c r="F109" s="258" t="str">
        <f>=ROUND(IFERROR(($C$109/$D$109)-1,0),4)</f>
      </c>
      <c r="G109" s="217" t="str">
        <f>=IFERROR(ROUND(CHOOSE(E81,SUM('III. Finanzberichte'!$F$119:$F$138),SUM('III. Finanzberichte'!$M$119:$M$138),SUM('III. Finanzberichte'!$T$119:$T$138),SUM('III. Finanzberichte'!$AA$119:$AA$138),SUM('III. Finanzberichte'!$AH$119:$AH$138),SUM('III. Finanzberichte'!$AO$119:$AO$138),SUM('III. Finanzberichte'!$AV$119:$AV$138),SUM('III. Finanzberichte'!$BC$119:$BC$138),SUM('III. Finanzberichte'!$BJ$119:$BJ$138),SUM('III. Finanzberichte'!$BQ$119:$BQ$138),SUM('III. Finanzberichte'!$BX$119:$BX$138),SUM('III. Finanzberichte'!$CE$119:$CE$138),SUM('III. Finanzberichte'!$CL$119:$CL$138),SUM('III. Finanzberichte'!$CS$119:$CS$138),SUM('III. Finanzberichte'!$CZ$119:$CZ$138),SUM('III. Finanzberichte'!$DG$119:$DG$138),SUM('III. Finanzberichte'!$DN$119:$DN$138),SUM('III. Finanzberichte'!$DU$119:$DU$138)),2),0)</f>
      </c>
      <c r="H109" s="217" t="str">
        <f>=IFERROR(ROUND(Kosten_Projektverwaltung_EUR,2),0)</f>
      </c>
      <c r="I109" s="182" t="str">
        <f>=ROUND(IFERROR($G$109-$H$109,0),2)</f>
      </c>
      <c r="J109" s="300" t="str">
        <f>=ROUND(IFERROR(($G$109/$H$109)-1,0),4)</f>
      </c>
      <c r="L109" s="143" t="str">
        <f>=IFERROR(CHOOSE(E81,'III. Finanzberichte'!$B$35,'III. Finanzberichte'!$I$35,'III. Finanzberichte'!$P$35,'III. Finanzberichte'!$W$35,'III. Finanzberichte'!$AD$35,'III. Finanzberichte'!$AK$35,'III. Finanzberichte'!$AR$35,'III. Finanzberichte'!$AY$35,'III. Finanzberichte'!$BF$35,'III. Finanzberichte'!$BM$35,'III. Finanzberichte'!$BT$35,'III. Finanzberichte'!$CA$35,'III. Finanzberichte'!$CH$35,'III. Finanzberichte'!$CO$35,'III. Finanzberichte'!$CV$35,'III. Finanzberichte'!$DC$35,'III. Finanzberichte'!$DJ$35,'III. Finanzberichte'!$DQ$35),"")</f>
      </c>
      <c r="M109" s="116" t="str">
        <f>=IFERROR(CHOOSE(E81,'III. Finanzberichte'!$C$35,'III. Finanzberichte'!$J$35,'III. Finanzberichte'!$Q$35,'III. Finanzberichte'!$X$35,'III. Finanzberichte'!$AE$35,'III. Finanzberichte'!$AL$35,'III. Finanzberichte'!$AS$35,'III. Finanzberichte'!$AZ$35,'III. Finanzberichte'!$BG$35,'III. Finanzberichte'!$BN$35,'III. Finanzberichte'!$BU$35,'III. Finanzberichte'!$CB$35,'III. Finanzberichte'!$CI$35,'III. Finanzberichte'!$CP$35,'III. Finanzberichte'!$CW$35,'III. Finanzberichte'!$DD$35,'III. Finanzberichte'!$DK$35,'III. Finanzberichte'!$DR$35),"")</f>
      </c>
      <c r="N109" s="117" t="str">
        <f>=IFERROR(CHOOSE(E81,'III. Finanzberichte'!$D$35,'III. Finanzberichte'!$K$35,'III. Finanzberichte'!$R$35,'III. Finanzberichte'!$Y$35,'III. Finanzberichte'!$AF$35,'III. Finanzberichte'!$AM$35,'III. Finanzberichte'!$AT$35,'III. Finanzberichte'!$BA$35,'III. Finanzberichte'!$BH$35,'III. Finanzberichte'!$BO$35,'III. Finanzberichte'!$BV$35,'III. Finanzberichte'!$CC$35,'III. Finanzberichte'!$CJ$35,'III. Finanzberichte'!$CQ$35,'III. Finanzberichte'!$CX$35,'III. Finanzberichte'!$DE$35,'III. Finanzberichte'!$DL$35,'III. Finanzberichte'!$DS$35),"")</f>
      </c>
      <c r="O109" s="116" t="str">
        <f>=IFERROR(CHOOSE(E81,'III. Finanzberichte'!$E$35,'III. Finanzberichte'!$L$35,'III. Finanzberichte'!$S$35,'III. Finanzberichte'!$Z$35,'III. Finanzberichte'!$AG$35,'III. Finanzberichte'!$AN$35,'III. Finanzberichte'!$AU$35,'III. Finanzberichte'!$BB$35,'III. Finanzberichte'!$BI$35,'III. Finanzberichte'!$BP$35,'III. Finanzberichte'!$BW$35,'III. Finanzberichte'!$CD$35,'III. Finanzberichte'!$CK$35,'III. Finanzberichte'!$CR$35,'III. Finanzberichte'!$CY$35,'III. Finanzberichte'!$DF$35,'III. Finanzberichte'!$DM$35,'III. Finanzberichte'!$DT$35),"")</f>
      </c>
      <c r="P109" s="144" t="str">
        <f>=IFERROR(CHOOSE(E81,'III. Finanzberichte'!$F$35,'III. Finanzberichte'!$M$35,'III. Finanzberichte'!$T$35,'III. Finanzberichte'!$AA$35,'III. Finanzberichte'!$AH$35,'III. Finanzberichte'!$AO$35,'III. Finanzberichte'!$AV$35,'III. Finanzberichte'!$BC$35,'III. Finanzberichte'!$BJ$35,'III. Finanzberichte'!$BQ$35,'III. Finanzberichte'!$BX$35,'III. Finanzberichte'!$CE$35,'III. Finanzberichte'!$CL$35,'III. Finanzberichte'!$CS$35,'III. Finanzberichte'!$CZ$35,'III. Finanzberichte'!$DG$35,'III. Finanzberichte'!$DN$35,'III. Finanzberichte'!$DU$35),"")</f>
      </c>
    </row>
    <row r="110">
      <c r="B110" s="266" t="s">
        <v>352</v>
      </c>
      <c r="C110" s="239" t="str">
        <f>=IFERROR(ROUND(CHOOSE(E81,SUM('III. Finanzberichte'!$E$139),SUM('III. Finanzberichte'!$L$139),SUM('III. Finanzberichte'!$S$139),SUM('III. Finanzberichte'!$Z$139),SUM('III. Finanzberichte'!$AG$139),SUM('III. Finanzberichte'!$AN$139),SUM('III. Finanzberichte'!$AU$139),SUM('III. Finanzberichte'!$BB$139),SUM('III. Finanzberichte'!$BI$139),SUM('III. Finanzberichte'!$BP$139),SUM('III. Finanzberichte'!$BW$139),SUM('III. Finanzberichte'!$CD$139),SUM('III. Finanzberichte'!$CK$139),SUM('III. Finanzberichte'!$CR$139),SUM('III. Finanzberichte'!$CY$139),SUM('III. Finanzberichte'!$DF$139),SUM('III. Finanzberichte'!$DM$139),SUM('III. Finanzberichte'!$DT$139)),2),0)</f>
      </c>
      <c r="D110" s="239" t="str">
        <f>=IFERROR(ROUND(Kosten_Evaluierung_LW,2),0)</f>
      </c>
      <c r="E110" s="201" t="str">
        <f>=ROUND(IFERROR($C$110-$D$110,0),2)</f>
      </c>
      <c r="F110" s="258" t="str">
        <f>=ROUND(IFERROR(($C$110/$D$110)-1,0),4)</f>
      </c>
      <c r="G110" s="217" t="str">
        <f>=IFERROR(ROUND(CHOOSE(E81,SUM('III. Finanzberichte'!$F$139),SUM('III. Finanzberichte'!$M$139),SUM('III. Finanzberichte'!$T$139),SUM('III. Finanzberichte'!$AA$139),SUM('III. Finanzberichte'!$AH$139),SUM('III. Finanzberichte'!$AO$139),SUM('III. Finanzberichte'!$AV$139),SUM('III. Finanzberichte'!$BC$139),SUM('III. Finanzberichte'!$BJ$139),SUM('III. Finanzberichte'!$BQ$139),SUM('III. Finanzberichte'!$BX$139),SUM('III. Finanzberichte'!$CE$139),SUM('III. Finanzberichte'!$CL$139),SUM('III. Finanzberichte'!$CS$139),SUM('III. Finanzberichte'!$CZ$139),SUM('III. Finanzberichte'!$DG$139),SUM('III. Finanzberichte'!$DN$139),SUM('III. Finanzberichte'!$DU$139)),2),0)</f>
      </c>
      <c r="H110" s="217" t="str">
        <f>=IFERROR(ROUND(Kosten_Evaluierung_EUR,2),0)</f>
      </c>
      <c r="I110" s="182" t="str">
        <f>=ROUND(IFERROR($G$110-$H$110,0),2)</f>
      </c>
      <c r="J110" s="301" t="str">
        <f>=ROUND(IFERROR(($G$110/$H$110)-1,0),4)</f>
      </c>
      <c r="L110" s="143" t="str">
        <f>=IFERROR(CHOOSE(E81,'III. Finanzberichte'!$B$36,'III. Finanzberichte'!$I$36,'III. Finanzberichte'!$P$36,'III. Finanzberichte'!$W$36,'III. Finanzberichte'!$AD$36,'III. Finanzberichte'!$AK$36,'III. Finanzberichte'!$AR$36,'III. Finanzberichte'!$AY$36,'III. Finanzberichte'!$BF$36,'III. Finanzberichte'!$BM$36,'III. Finanzberichte'!$BT$36,'III. Finanzberichte'!$CA$36,'III. Finanzberichte'!$CH$36,'III. Finanzberichte'!$CO$36,'III. Finanzberichte'!$CV$36,'III. Finanzberichte'!$DC$36,'III. Finanzberichte'!$DJ$36,'III. Finanzberichte'!$DQ$36),"")</f>
      </c>
      <c r="M110" s="116" t="str">
        <f>=IFERROR(CHOOSE(E81,'III. Finanzberichte'!$C$36,'III. Finanzberichte'!$J$36,'III. Finanzberichte'!$Q$36,'III. Finanzberichte'!$X$36,'III. Finanzberichte'!$AE$36,'III. Finanzberichte'!$AL$36,'III. Finanzberichte'!$AS$36,'III. Finanzberichte'!$AZ$36,'III. Finanzberichte'!$BG$36,'III. Finanzberichte'!$BN$36,'III. Finanzberichte'!$BU$36,'III. Finanzberichte'!$CB$36,'III. Finanzberichte'!$CI$36,'III. Finanzberichte'!$CP$36,'III. Finanzberichte'!$CW$36,'III. Finanzberichte'!$DD$36,'III. Finanzberichte'!$DK$36,'III. Finanzberichte'!$DR$36),"")</f>
      </c>
      <c r="N110" s="117" t="str">
        <f>=IFERROR(CHOOSE(E81,'III. Finanzberichte'!$D$36,'III. Finanzberichte'!$K$36,'III. Finanzberichte'!$R$36,'III. Finanzberichte'!$Y$36,'III. Finanzberichte'!$AF$36,'III. Finanzberichte'!$AM$36,'III. Finanzberichte'!$AT$36,'III. Finanzberichte'!$BA$36,'III. Finanzberichte'!$BH$36,'III. Finanzberichte'!$BO$36,'III. Finanzberichte'!$BV$36,'III. Finanzberichte'!$CC$36,'III. Finanzberichte'!$CJ$36,'III. Finanzberichte'!$CQ$36,'III. Finanzberichte'!$CX$36,'III. Finanzberichte'!$DE$36,'III. Finanzberichte'!$DL$36,'III. Finanzberichte'!$DS$36),"")</f>
      </c>
      <c r="O110" s="116" t="str">
        <f>=IFERROR(CHOOSE(E81,'III. Finanzberichte'!$E$36,'III. Finanzberichte'!$L$36,'III. Finanzberichte'!$S$36,'III. Finanzberichte'!$Z$36,'III. Finanzberichte'!$AG$36,'III. Finanzberichte'!$AN$36,'III. Finanzberichte'!$AU$36,'III. Finanzberichte'!$BB$36,'III. Finanzberichte'!$BI$36,'III. Finanzberichte'!$BP$36,'III. Finanzberichte'!$BW$36,'III. Finanzberichte'!$CD$36,'III. Finanzberichte'!$CK$36,'III. Finanzberichte'!$CR$36,'III. Finanzberichte'!$CY$36,'III. Finanzberichte'!$DF$36,'III. Finanzberichte'!$DM$36,'III. Finanzberichte'!$DT$36),"")</f>
      </c>
      <c r="P110" s="144" t="str">
        <f>=IFERROR(CHOOSE(E81,'III. Finanzberichte'!$F$36,'III. Finanzberichte'!$M$36,'III. Finanzberichte'!$T$36,'III. Finanzberichte'!$AA$36,'III. Finanzberichte'!$AH$36,'III. Finanzberichte'!$AO$36,'III. Finanzberichte'!$AV$36,'III. Finanzberichte'!$BC$36,'III. Finanzberichte'!$BJ$36,'III. Finanzberichte'!$BQ$36,'III. Finanzberichte'!$BX$36,'III. Finanzberichte'!$CE$36,'III. Finanzberichte'!$CL$36,'III. Finanzberichte'!$CS$36,'III. Finanzberichte'!$CZ$36,'III. Finanzberichte'!$DG$36,'III. Finanzberichte'!$DN$36,'III. Finanzberichte'!$DU$36),"")</f>
      </c>
    </row>
    <row r="111">
      <c r="B111" s="266" t="s">
        <v>355</v>
      </c>
      <c r="C111" s="239" t="str">
        <f>=IFERROR(ROUND(CHOOSE(E81,SUM('III. Finanzberichte'!$E$140),SUM('III. Finanzberichte'!$L$140),SUM('III. Finanzberichte'!$S$140),SUM('III. Finanzberichte'!$Z$140),SUM('III. Finanzberichte'!$AG$140),SUM('III. Finanzberichte'!$AN$140),SUM('III. Finanzberichte'!$AU$140),SUM('III. Finanzberichte'!$BB$140),SUM('III. Finanzberichte'!$BI$140),SUM('III. Finanzberichte'!$BP$140),SUM('III. Finanzberichte'!$BW$140),SUM('III. Finanzberichte'!$CD$140),SUM('III. Finanzberichte'!$CK$140),SUM('III. Finanzberichte'!$CR$140),SUM('III. Finanzberichte'!$CY$140),SUM('III. Finanzberichte'!$DF$140),SUM('III. Finanzberichte'!$DM$140),SUM('III. Finanzberichte'!$DT$140)),2),0)</f>
      </c>
      <c r="D111" s="239" t="str">
        <f>=IFERROR(ROUND(Kosten_Audit_LW,2),0)</f>
      </c>
      <c r="E111" s="201" t="str">
        <f>=ROUND(IFERROR($C$111-$D$111,0),2)</f>
      </c>
      <c r="F111" s="258" t="str">
        <f>=ROUND(IFERROR(($C$111/$D$111)-1,0),4)</f>
      </c>
      <c r="G111" s="217" t="str">
        <f>=IFERROR(ROUND(CHOOSE(E81,SUM('III. Finanzberichte'!$F$140),SUM('III. Finanzberichte'!$M$140),SUM('III. Finanzberichte'!$T$140),SUM('III. Finanzberichte'!$AA$140),SUM('III. Finanzberichte'!$AH$140),SUM('III. Finanzberichte'!$AO$140),SUM('III. Finanzberichte'!$AV$140),SUM('III. Finanzberichte'!$BC$140),SUM('III. Finanzberichte'!$BJ$140),SUM('III. Finanzberichte'!$BQ$140),SUM('III. Finanzberichte'!$BX$140),SUM('III. Finanzberichte'!$CE$140),SUM('III. Finanzberichte'!$CL$140),SUM('III. Finanzberichte'!$CS$140),SUM('III. Finanzberichte'!$CZ$140),SUM('III. Finanzberichte'!$DG$140),SUM('III. Finanzberichte'!$DN$140),SUM('III. Finanzberichte'!$DU$140)),2),0)</f>
      </c>
      <c r="H111" s="217" t="str">
        <f>=IFERROR(ROUND(Kosten_Audit_EUR,2),0)</f>
      </c>
      <c r="I111" s="182" t="str">
        <f>=ROUND(IFERROR($G$111-$H$111,0),2)</f>
      </c>
      <c r="J111" s="302" t="str">
        <f>=ROUND(IFERROR(($G$111/$H$111)-1,0),4)</f>
      </c>
      <c r="L111" s="143" t="str">
        <f>=IFERROR(CHOOSE(E81,'III. Finanzberichte'!$B$37,'III. Finanzberichte'!$I$37,'III. Finanzberichte'!$P$37,'III. Finanzberichte'!$W$37,'III. Finanzberichte'!$AD$37,'III. Finanzberichte'!$AK$37,'III. Finanzberichte'!$AR$37,'III. Finanzberichte'!$AY$37,'III. Finanzberichte'!$BF$37,'III. Finanzberichte'!$BM$37,'III. Finanzberichte'!$BT$37,'III. Finanzberichte'!$CA$37,'III. Finanzberichte'!$CH$37,'III. Finanzberichte'!$CO$37,'III. Finanzberichte'!$CV$37,'III. Finanzberichte'!$DC$37,'III. Finanzberichte'!$DJ$37,'III. Finanzberichte'!$DQ$37),"")</f>
      </c>
      <c r="M111" s="116" t="str">
        <f>=IFERROR(CHOOSE(E81,'III. Finanzberichte'!$C$37,'III. Finanzberichte'!$J$37,'III. Finanzberichte'!$Q$37,'III. Finanzberichte'!$X$37,'III. Finanzberichte'!$AE$37,'III. Finanzberichte'!$AL$37,'III. Finanzberichte'!$AS$37,'III. Finanzberichte'!$AZ$37,'III. Finanzberichte'!$BG$37,'III. Finanzberichte'!$BN$37,'III. Finanzberichte'!$BU$37,'III. Finanzberichte'!$CB$37,'III. Finanzberichte'!$CI$37,'III. Finanzberichte'!$CP$37,'III. Finanzberichte'!$CW$37,'III. Finanzberichte'!$DD$37,'III. Finanzberichte'!$DK$37,'III. Finanzberichte'!$DR$37),"")</f>
      </c>
      <c r="N111" s="117" t="str">
        <f>=IFERROR(CHOOSE(E81,'III. Finanzberichte'!$D$37,'III. Finanzberichte'!$K$37,'III. Finanzberichte'!$R$37,'III. Finanzberichte'!$Y$37,'III. Finanzberichte'!$AF$37,'III. Finanzberichte'!$AM$37,'III. Finanzberichte'!$AT$37,'III. Finanzberichte'!$BA$37,'III. Finanzberichte'!$BH$37,'III. Finanzberichte'!$BO$37,'III. Finanzberichte'!$BV$37,'III. Finanzberichte'!$CC$37,'III. Finanzberichte'!$CJ$37,'III. Finanzberichte'!$CQ$37,'III. Finanzberichte'!$CX$37,'III. Finanzberichte'!$DE$37,'III. Finanzberichte'!$DL$37,'III. Finanzberichte'!$DS$37),"")</f>
      </c>
      <c r="O111" s="116" t="str">
        <f>=IFERROR(CHOOSE(E81,'III. Finanzberichte'!$E$37,'III. Finanzberichte'!$L$37,'III. Finanzberichte'!$S$37,'III. Finanzberichte'!$Z$37,'III. Finanzberichte'!$AG$37,'III. Finanzberichte'!$AN$37,'III. Finanzberichte'!$AU$37,'III. Finanzberichte'!$BB$37,'III. Finanzberichte'!$BI$37,'III. Finanzberichte'!$BP$37,'III. Finanzberichte'!$BW$37,'III. Finanzberichte'!$CD$37,'III. Finanzberichte'!$CK$37,'III. Finanzberichte'!$CR$37,'III. Finanzberichte'!$CY$37,'III. Finanzberichte'!$DF$37,'III. Finanzberichte'!$DM$37,'III. Finanzberichte'!$DT$37),"")</f>
      </c>
      <c r="P111" s="144" t="str">
        <f>=IFERROR(CHOOSE(E81,'III. Finanzberichte'!$F$37,'III. Finanzberichte'!$M$37,'III. Finanzberichte'!$T$37,'III. Finanzberichte'!$AA$37,'III. Finanzberichte'!$AH$37,'III. Finanzberichte'!$AO$37,'III. Finanzberichte'!$AV$37,'III. Finanzberichte'!$BC$37,'III. Finanzberichte'!$BJ$37,'III. Finanzberichte'!$BQ$37,'III. Finanzberichte'!$BX$37,'III. Finanzberichte'!$CE$37,'III. Finanzberichte'!$CL$37,'III. Finanzberichte'!$CS$37,'III. Finanzberichte'!$CZ$37,'III. Finanzberichte'!$DG$37,'III. Finanzberichte'!$DN$37,'III. Finanzberichte'!$DU$37),"")</f>
      </c>
    </row>
    <row r="112">
      <c r="B112" s="266" t="s">
        <v>357</v>
      </c>
      <c r="C112" s="239" t="str">
        <f>=IFERROR(ROUND(CHOOSE(E81,SUM('III. Finanzberichte'!$E$141),SUM('III. Finanzberichte'!$L$141),SUM('III. Finanzberichte'!$S$141),SUM('III. Finanzberichte'!$Z$141),SUM('III. Finanzberichte'!$AG$141),SUM('III. Finanzberichte'!$AN$141),SUM('III. Finanzberichte'!$AU$141),SUM('III. Finanzberichte'!$BB$141),SUM('III. Finanzberichte'!$BI$141),SUM('III. Finanzberichte'!$BP$141),SUM('III. Finanzberichte'!$BW$141),SUM('III. Finanzberichte'!$CD$141),SUM('III. Finanzberichte'!$CK$141),SUM('III. Finanzberichte'!$CR$141),SUM('III. Finanzberichte'!$CY$141),SUM('III. Finanzberichte'!$DF$141),SUM('III. Finanzberichte'!$DM$141),SUM('III. Finanzberichte'!$DT$141)),2),0)</f>
      </c>
      <c r="D112" s="239" t="str">
        <f>=IFERROR(ROUND(Kosten_Reserve_LW,2),0)</f>
      </c>
      <c r="E112" s="201" t="str">
        <f>=ROUND(IFERROR($C$112-$D$112,0),2)</f>
      </c>
      <c r="F112" s="258" t="str">
        <f>=ROUND(IFERROR(($C$112/$D$112)-1,0),4)</f>
      </c>
      <c r="G112" s="217" t="str">
        <f>=IFERROR(ROUND(CHOOSE(E81,SUM('III. Finanzberichte'!$F$141),SUM('III. Finanzberichte'!$M$141),SUM('III. Finanzberichte'!$T$141),SUM('III. Finanzberichte'!$AA$141),SUM('III. Finanzberichte'!$AH$141),SUM('III. Finanzberichte'!$AO$141),SUM('III. Finanzberichte'!$AV$141),SUM('III. Finanzberichte'!$BC$141),SUM('III. Finanzberichte'!$BJ$141),SUM('III. Finanzberichte'!$BQ$141),SUM('III. Finanzberichte'!$BX$141),SUM('III. Finanzberichte'!$CE$141),SUM('III. Finanzberichte'!$CL$141),SUM('III. Finanzberichte'!$CS$141),SUM('III. Finanzberichte'!$CZ$141),SUM('III. Finanzberichte'!$DG$141),SUM('III. Finanzberichte'!$DN$141),SUM('III. Finanzberichte'!$DU$141)),2),0)</f>
      </c>
      <c r="H112" s="217" t="str">
        <f>=IFERROR(ROUND(Kosten_Reserve_EUR,2),0)</f>
      </c>
      <c r="I112" s="182" t="str">
        <f>=ROUND(IFERROR($G$112-$H$112,0),2)</f>
      </c>
      <c r="J112" s="303" t="str">
        <f>=ROUND(IFERROR(($G$112/$H$112)-1,0),4)</f>
      </c>
      <c r="L112" s="143" t="str">
        <f>=IFERROR(CHOOSE(E81,'III. Finanzberichte'!$B$38,'III. Finanzberichte'!$I$38,'III. Finanzberichte'!$P$38,'III. Finanzberichte'!$W$38,'III. Finanzberichte'!$AD$38,'III. Finanzberichte'!$AK$38,'III. Finanzberichte'!$AR$38,'III. Finanzberichte'!$AY$38,'III. Finanzberichte'!$BF$38,'III. Finanzberichte'!$BM$38,'III. Finanzberichte'!$BT$38,'III. Finanzberichte'!$CA$38,'III. Finanzberichte'!$CH$38,'III. Finanzberichte'!$CO$38,'III. Finanzberichte'!$CV$38,'III. Finanzberichte'!$DC$38,'III. Finanzberichte'!$DJ$38,'III. Finanzberichte'!$DQ$38),"")</f>
      </c>
      <c r="M112" s="116" t="str">
        <f>=IFERROR(CHOOSE(E81,'III. Finanzberichte'!$C$38,'III. Finanzberichte'!$J$38,'III. Finanzberichte'!$Q$38,'III. Finanzberichte'!$X$38,'III. Finanzberichte'!$AE$38,'III. Finanzberichte'!$AL$38,'III. Finanzberichte'!$AS$38,'III. Finanzberichte'!$AZ$38,'III. Finanzberichte'!$BG$38,'III. Finanzberichte'!$BN$38,'III. Finanzberichte'!$BU$38,'III. Finanzberichte'!$CB$38,'III. Finanzberichte'!$CI$38,'III. Finanzberichte'!$CP$38,'III. Finanzberichte'!$CW$38,'III. Finanzberichte'!$DD$38,'III. Finanzberichte'!$DK$38,'III. Finanzberichte'!$DR$38),"")</f>
      </c>
      <c r="N112" s="117" t="str">
        <f>=IFERROR(CHOOSE(E81,'III. Finanzberichte'!$D$38,'III. Finanzberichte'!$K$38,'III. Finanzberichte'!$R$38,'III. Finanzberichte'!$Y$38,'III. Finanzberichte'!$AF$38,'III. Finanzberichte'!$AM$38,'III. Finanzberichte'!$AT$38,'III. Finanzberichte'!$BA$38,'III. Finanzberichte'!$BH$38,'III. Finanzberichte'!$BO$38,'III. Finanzberichte'!$BV$38,'III. Finanzberichte'!$CC$38,'III. Finanzberichte'!$CJ$38,'III. Finanzberichte'!$CQ$38,'III. Finanzberichte'!$CX$38,'III. Finanzberichte'!$DE$38,'III. Finanzberichte'!$DL$38,'III. Finanzberichte'!$DS$38),"")</f>
      </c>
      <c r="O112" s="116" t="str">
        <f>=IFERROR(CHOOSE(E81,'III. Finanzberichte'!$E$38,'III. Finanzberichte'!$L$38,'III. Finanzberichte'!$S$38,'III. Finanzberichte'!$Z$38,'III. Finanzberichte'!$AG$38,'III. Finanzberichte'!$AN$38,'III. Finanzberichte'!$AU$38,'III. Finanzberichte'!$BB$38,'III. Finanzberichte'!$BI$38,'III. Finanzberichte'!$BP$38,'III. Finanzberichte'!$BW$38,'III. Finanzberichte'!$CD$38,'III. Finanzberichte'!$CK$38,'III. Finanzberichte'!$CR$38,'III. Finanzberichte'!$CY$38,'III. Finanzberichte'!$DF$38,'III. Finanzberichte'!$DM$38,'III. Finanzberichte'!$DT$38),"")</f>
      </c>
      <c r="P112" s="144" t="str">
        <f>=IFERROR(CHOOSE(E81,'III. Finanzberichte'!$F$38,'III. Finanzberichte'!$M$38,'III. Finanzberichte'!$T$38,'III. Finanzberichte'!$AA$38,'III. Finanzberichte'!$AH$38,'III. Finanzberichte'!$AO$38,'III. Finanzberichte'!$AV$38,'III. Finanzberichte'!$BC$38,'III. Finanzberichte'!$BJ$38,'III. Finanzberichte'!$BQ$38,'III. Finanzberichte'!$BX$38,'III. Finanzberichte'!$CE$38,'III. Finanzberichte'!$CL$38,'III. Finanzberichte'!$CS$38,'III. Finanzberichte'!$CZ$38,'III. Finanzberichte'!$DG$38,'III. Finanzberichte'!$DN$38,'III. Finanzberichte'!$DU$38),"")</f>
      </c>
    </row>
    <row r="113" ht="20" customHeight="true">
      <c r="B113" s="271" t="s">
        <v>414</v>
      </c>
      <c r="C113" s="272" t="str">
        <f>=ROUND(SUM($C$105:$C$112),2)</f>
      </c>
      <c r="D113" s="272" t="str">
        <f>=ROUND(SUM($D$105:$D$112),2)</f>
      </c>
      <c r="E113" s="272" t="str">
        <f>=ROUND(SUM($E$105:$E$112),2)</f>
      </c>
      <c r="F113" s="304" t="str">
        <f>=ROUND(IFERROR(($C$113/$D$113)-1,0),4)</f>
      </c>
      <c r="G113" s="274" t="str">
        <f>=ROUND(SUM($G$105:$G$112),2)</f>
      </c>
      <c r="H113" s="274" t="str">
        <f>=ROUND(SUM($H$105:$H$112),2)</f>
      </c>
      <c r="I113" s="274" t="str">
        <f>=ROUND(SUM($I$105:$I$112),2)</f>
      </c>
      <c r="J113" s="305" t="str">
        <f>=ROUND(IFERROR(($G$113/$H$113)-1,0),4)</f>
      </c>
      <c r="L113" s="143" t="str">
        <f>=IFERROR(CHOOSE(E81,'III. Finanzberichte'!$B$39,'III. Finanzberichte'!$I$39,'III. Finanzberichte'!$P$39,'III. Finanzberichte'!$W$39,'III. Finanzberichte'!$AD$39,'III. Finanzberichte'!$AK$39,'III. Finanzberichte'!$AR$39,'III. Finanzberichte'!$AY$39,'III. Finanzberichte'!$BF$39,'III. Finanzberichte'!$BM$39,'III. Finanzberichte'!$BT$39,'III. Finanzberichte'!$CA$39,'III. Finanzberichte'!$CH$39,'III. Finanzberichte'!$CO$39,'III. Finanzberichte'!$CV$39,'III. Finanzberichte'!$DC$39,'III. Finanzberichte'!$DJ$39,'III. Finanzberichte'!$DQ$39),"")</f>
      </c>
      <c r="M113" s="116" t="str">
        <f>=IFERROR(CHOOSE(E81,'III. Finanzberichte'!$C$39,'III. Finanzberichte'!$J$39,'III. Finanzberichte'!$Q$39,'III. Finanzberichte'!$X$39,'III. Finanzberichte'!$AE$39,'III. Finanzberichte'!$AL$39,'III. Finanzberichte'!$AS$39,'III. Finanzberichte'!$AZ$39,'III. Finanzberichte'!$BG$39,'III. Finanzberichte'!$BN$39,'III. Finanzberichte'!$BU$39,'III. Finanzberichte'!$CB$39,'III. Finanzberichte'!$CI$39,'III. Finanzberichte'!$CP$39,'III. Finanzberichte'!$CW$39,'III. Finanzberichte'!$DD$39,'III. Finanzberichte'!$DK$39,'III. Finanzberichte'!$DR$39),"")</f>
      </c>
      <c r="N113" s="117" t="str">
        <f>=IFERROR(CHOOSE(E81,'III. Finanzberichte'!$D$39,'III. Finanzberichte'!$K$39,'III. Finanzberichte'!$R$39,'III. Finanzberichte'!$Y$39,'III. Finanzberichte'!$AF$39,'III. Finanzberichte'!$AM$39,'III. Finanzberichte'!$AT$39,'III. Finanzberichte'!$BA$39,'III. Finanzberichte'!$BH$39,'III. Finanzberichte'!$BO$39,'III. Finanzberichte'!$BV$39,'III. Finanzberichte'!$CC$39,'III. Finanzberichte'!$CJ$39,'III. Finanzberichte'!$CQ$39,'III. Finanzberichte'!$CX$39,'III. Finanzberichte'!$DE$39,'III. Finanzberichte'!$DL$39,'III. Finanzberichte'!$DS$39),"")</f>
      </c>
      <c r="O113" s="116" t="str">
        <f>=IFERROR(CHOOSE(E81,'III. Finanzberichte'!$E$39,'III. Finanzberichte'!$L$39,'III. Finanzberichte'!$S$39,'III. Finanzberichte'!$Z$39,'III. Finanzberichte'!$AG$39,'III. Finanzberichte'!$AN$39,'III. Finanzberichte'!$AU$39,'III. Finanzberichte'!$BB$39,'III. Finanzberichte'!$BI$39,'III. Finanzberichte'!$BP$39,'III. Finanzberichte'!$BW$39,'III. Finanzberichte'!$CD$39,'III. Finanzberichte'!$CK$39,'III. Finanzberichte'!$CR$39,'III. Finanzberichte'!$CY$39,'III. Finanzberichte'!$DF$39,'III. Finanzberichte'!$DM$39,'III. Finanzberichte'!$DT$39),"")</f>
      </c>
      <c r="P113" s="144" t="str">
        <f>=IFERROR(CHOOSE(E81,'III. Finanzberichte'!$F$39,'III. Finanzberichte'!$M$39,'III. Finanzberichte'!$T$39,'III. Finanzberichte'!$AA$39,'III. Finanzberichte'!$AH$39,'III. Finanzberichte'!$AO$39,'III. Finanzberichte'!$AV$39,'III. Finanzberichte'!$BC$39,'III. Finanzberichte'!$BJ$39,'III. Finanzberichte'!$BQ$39,'III. Finanzberichte'!$BX$39,'III. Finanzberichte'!$CE$39,'III. Finanzberichte'!$CL$39,'III. Finanzberichte'!$CS$39,'III. Finanzberichte'!$CZ$39,'III. Finanzberichte'!$DG$39,'III. Finanzberichte'!$DN$39,'III. Finanzberichte'!$DU$39),"")</f>
      </c>
    </row>
    <row r="114">
      <c r="L114" s="143" t="str">
        <f>=IFERROR(CHOOSE(E81,'III. Finanzberichte'!$B$40,'III. Finanzberichte'!$I$40,'III. Finanzberichte'!$P$40,'III. Finanzberichte'!$W$40,'III. Finanzberichte'!$AD$40,'III. Finanzberichte'!$AK$40,'III. Finanzberichte'!$AR$40,'III. Finanzberichte'!$AY$40,'III. Finanzberichte'!$BF$40,'III. Finanzberichte'!$BM$40,'III. Finanzberichte'!$BT$40,'III. Finanzberichte'!$CA$40,'III. Finanzberichte'!$CH$40,'III. Finanzberichte'!$CO$40,'III. Finanzberichte'!$CV$40,'III. Finanzberichte'!$DC$40,'III. Finanzberichte'!$DJ$40,'III. Finanzberichte'!$DQ$40),"")</f>
      </c>
      <c r="M114" s="116" t="str">
        <f>=IFERROR(CHOOSE(E81,'III. Finanzberichte'!$C$40,'III. Finanzberichte'!$J$40,'III. Finanzberichte'!$Q$40,'III. Finanzberichte'!$X$40,'III. Finanzberichte'!$AE$40,'III. Finanzberichte'!$AL$40,'III. Finanzberichte'!$AS$40,'III. Finanzberichte'!$AZ$40,'III. Finanzberichte'!$BG$40,'III. Finanzberichte'!$BN$40,'III. Finanzberichte'!$BU$40,'III. Finanzberichte'!$CB$40,'III. Finanzberichte'!$CI$40,'III. Finanzberichte'!$CP$40,'III. Finanzberichte'!$CW$40,'III. Finanzberichte'!$DD$40,'III. Finanzberichte'!$DK$40,'III. Finanzberichte'!$DR$40),"")</f>
      </c>
      <c r="N114" s="117" t="str">
        <f>=IFERROR(CHOOSE(E81,'III. Finanzberichte'!$D$40,'III. Finanzberichte'!$K$40,'III. Finanzberichte'!$R$40,'III. Finanzberichte'!$Y$40,'III. Finanzberichte'!$AF$40,'III. Finanzberichte'!$AM$40,'III. Finanzberichte'!$AT$40,'III. Finanzberichte'!$BA$40,'III. Finanzberichte'!$BH$40,'III. Finanzberichte'!$BO$40,'III. Finanzberichte'!$BV$40,'III. Finanzberichte'!$CC$40,'III. Finanzberichte'!$CJ$40,'III. Finanzberichte'!$CQ$40,'III. Finanzberichte'!$CX$40,'III. Finanzberichte'!$DE$40,'III. Finanzberichte'!$DL$40,'III. Finanzberichte'!$DS$40),"")</f>
      </c>
      <c r="O114" s="116" t="str">
        <f>=IFERROR(CHOOSE(E81,'III. Finanzberichte'!$E$40,'III. Finanzberichte'!$L$40,'III. Finanzberichte'!$S$40,'III. Finanzberichte'!$Z$40,'III. Finanzberichte'!$AG$40,'III. Finanzberichte'!$AN$40,'III. Finanzberichte'!$AU$40,'III. Finanzberichte'!$BB$40,'III. Finanzberichte'!$BI$40,'III. Finanzberichte'!$BP$40,'III. Finanzberichte'!$BW$40,'III. Finanzberichte'!$CD$40,'III. Finanzberichte'!$CK$40,'III. Finanzberichte'!$CR$40,'III. Finanzberichte'!$CY$40,'III. Finanzberichte'!$DF$40,'III. Finanzberichte'!$DM$40,'III. Finanzberichte'!$DT$40),"")</f>
      </c>
      <c r="P114" s="144" t="str">
        <f>=IFERROR(CHOOSE(E81,'III. Finanzberichte'!$F$40,'III. Finanzberichte'!$M$40,'III. Finanzberichte'!$T$40,'III. Finanzberichte'!$AA$40,'III. Finanzberichte'!$AH$40,'III. Finanzberichte'!$AO$40,'III. Finanzberichte'!$AV$40,'III. Finanzberichte'!$BC$40,'III. Finanzberichte'!$BJ$40,'III. Finanzberichte'!$BQ$40,'III. Finanzberichte'!$BX$40,'III. Finanzberichte'!$CE$40,'III. Finanzberichte'!$CL$40,'III. Finanzberichte'!$CS$40,'III. Finanzberichte'!$CZ$40,'III. Finanzberichte'!$DG$40,'III. Finanzberichte'!$DN$40,'III. Finanzberichte'!$DU$40),"")</f>
      </c>
    </row>
    <row r="115">
      <c r="L115" s="143" t="str">
        <f>=IFERROR(CHOOSE(E81,'III. Finanzberichte'!$B$41,'III. Finanzberichte'!$I$41,'III. Finanzberichte'!$P$41,'III. Finanzberichte'!$W$41,'III. Finanzberichte'!$AD$41,'III. Finanzberichte'!$AK$41,'III. Finanzberichte'!$AR$41,'III. Finanzberichte'!$AY$41,'III. Finanzberichte'!$BF$41,'III. Finanzberichte'!$BM$41,'III. Finanzberichte'!$BT$41,'III. Finanzberichte'!$CA$41,'III. Finanzberichte'!$CH$41,'III. Finanzberichte'!$CO$41,'III. Finanzberichte'!$CV$41,'III. Finanzberichte'!$DC$41,'III. Finanzberichte'!$DJ$41,'III. Finanzberichte'!$DQ$41),"")</f>
      </c>
      <c r="M115" s="116" t="str">
        <f>=IFERROR(CHOOSE(E81,'III. Finanzberichte'!$C$41,'III. Finanzberichte'!$J$41,'III. Finanzberichte'!$Q$41,'III. Finanzberichte'!$X$41,'III. Finanzberichte'!$AE$41,'III. Finanzberichte'!$AL$41,'III. Finanzberichte'!$AS$41,'III. Finanzberichte'!$AZ$41,'III. Finanzberichte'!$BG$41,'III. Finanzberichte'!$BN$41,'III. Finanzberichte'!$BU$41,'III. Finanzberichte'!$CB$41,'III. Finanzberichte'!$CI$41,'III. Finanzberichte'!$CP$41,'III. Finanzberichte'!$CW$41,'III. Finanzberichte'!$DD$41,'III. Finanzberichte'!$DK$41,'III. Finanzberichte'!$DR$41),"")</f>
      </c>
      <c r="N115" s="117" t="str">
        <f>=IFERROR(CHOOSE(E81,'III. Finanzberichte'!$D$41,'III. Finanzberichte'!$K$41,'III. Finanzberichte'!$R$41,'III. Finanzberichte'!$Y$41,'III. Finanzberichte'!$AF$41,'III. Finanzberichte'!$AM$41,'III. Finanzberichte'!$AT$41,'III. Finanzberichte'!$BA$41,'III. Finanzberichte'!$BH$41,'III. Finanzberichte'!$BO$41,'III. Finanzberichte'!$BV$41,'III. Finanzberichte'!$CC$41,'III. Finanzberichte'!$CJ$41,'III. Finanzberichte'!$CQ$41,'III. Finanzberichte'!$CX$41,'III. Finanzberichte'!$DE$41,'III. Finanzberichte'!$DL$41,'III. Finanzberichte'!$DS$41),"")</f>
      </c>
      <c r="O115" s="116" t="str">
        <f>=IFERROR(CHOOSE(E81,'III. Finanzberichte'!$E$41,'III. Finanzberichte'!$L$41,'III. Finanzberichte'!$S$41,'III. Finanzberichte'!$Z$41,'III. Finanzberichte'!$AG$41,'III. Finanzberichte'!$AN$41,'III. Finanzberichte'!$AU$41,'III. Finanzberichte'!$BB$41,'III. Finanzberichte'!$BI$41,'III. Finanzberichte'!$BP$41,'III. Finanzberichte'!$BW$41,'III. Finanzberichte'!$CD$41,'III. Finanzberichte'!$CK$41,'III. Finanzberichte'!$CR$41,'III. Finanzberichte'!$CY$41,'III. Finanzberichte'!$DF$41,'III. Finanzberichte'!$DM$41,'III. Finanzberichte'!$DT$41),"")</f>
      </c>
      <c r="P115" s="144" t="str">
        <f>=IFERROR(CHOOSE(E81,'III. Finanzberichte'!$F$41,'III. Finanzberichte'!$M$41,'III. Finanzberichte'!$T$41,'III. Finanzberichte'!$AA$41,'III. Finanzberichte'!$AH$41,'III. Finanzberichte'!$AO$41,'III. Finanzberichte'!$AV$41,'III. Finanzberichte'!$BC$41,'III. Finanzberichte'!$BJ$41,'III. Finanzberichte'!$BQ$41,'III. Finanzberichte'!$BX$41,'III. Finanzberichte'!$CE$41,'III. Finanzberichte'!$CL$41,'III. Finanzberichte'!$CS$41,'III. Finanzberichte'!$CZ$41,'III. Finanzberichte'!$DG$41,'III. Finanzberichte'!$DN$41,'III. Finanzberichte'!$DU$41),"")</f>
      </c>
    </row>
    <row r="116">
      <c r="L116" s="143" t="str">
        <f>=IFERROR(CHOOSE(E81,'III. Finanzberichte'!$B$42,'III. Finanzberichte'!$I$42,'III. Finanzberichte'!$P$42,'III. Finanzberichte'!$W$42,'III. Finanzberichte'!$AD$42,'III. Finanzberichte'!$AK$42,'III. Finanzberichte'!$AR$42,'III. Finanzberichte'!$AY$42,'III. Finanzberichte'!$BF$42,'III. Finanzberichte'!$BM$42,'III. Finanzberichte'!$BT$42,'III. Finanzberichte'!$CA$42,'III. Finanzberichte'!$CH$42,'III. Finanzberichte'!$CO$42,'III. Finanzberichte'!$CV$42,'III. Finanzberichte'!$DC$42,'III. Finanzberichte'!$DJ$42,'III. Finanzberichte'!$DQ$42),"")</f>
      </c>
      <c r="M116" s="116" t="str">
        <f>=IFERROR(CHOOSE(E81,'III. Finanzberichte'!$C$42,'III. Finanzberichte'!$J$42,'III. Finanzberichte'!$Q$42,'III. Finanzberichte'!$X$42,'III. Finanzberichte'!$AE$42,'III. Finanzberichte'!$AL$42,'III. Finanzberichte'!$AS$42,'III. Finanzberichte'!$AZ$42,'III. Finanzberichte'!$BG$42,'III. Finanzberichte'!$BN$42,'III. Finanzberichte'!$BU$42,'III. Finanzberichte'!$CB$42,'III. Finanzberichte'!$CI$42,'III. Finanzberichte'!$CP$42,'III. Finanzberichte'!$CW$42,'III. Finanzberichte'!$DD$42,'III. Finanzberichte'!$DK$42,'III. Finanzberichte'!$DR$42),"")</f>
      </c>
      <c r="N116" s="117" t="str">
        <f>=IFERROR(CHOOSE(E81,'III. Finanzberichte'!$D$42,'III. Finanzberichte'!$K$42,'III. Finanzberichte'!$R$42,'III. Finanzberichte'!$Y$42,'III. Finanzberichte'!$AF$42,'III. Finanzberichte'!$AM$42,'III. Finanzberichte'!$AT$42,'III. Finanzberichte'!$BA$42,'III. Finanzberichte'!$BH$42,'III. Finanzberichte'!$BO$42,'III. Finanzberichte'!$BV$42,'III. Finanzberichte'!$CC$42,'III. Finanzberichte'!$CJ$42,'III. Finanzberichte'!$CQ$42,'III. Finanzberichte'!$CX$42,'III. Finanzberichte'!$DE$42,'III. Finanzberichte'!$DL$42,'III. Finanzberichte'!$DS$42),"")</f>
      </c>
      <c r="O116" s="116" t="str">
        <f>=IFERROR(CHOOSE(E81,'III. Finanzberichte'!$E$42,'III. Finanzberichte'!$L$42,'III. Finanzberichte'!$S$42,'III. Finanzberichte'!$Z$42,'III. Finanzberichte'!$AG$42,'III. Finanzberichte'!$AN$42,'III. Finanzberichte'!$AU$42,'III. Finanzberichte'!$BB$42,'III. Finanzberichte'!$BI$42,'III. Finanzberichte'!$BP$42,'III. Finanzberichte'!$BW$42,'III. Finanzberichte'!$CD$42,'III. Finanzberichte'!$CK$42,'III. Finanzberichte'!$CR$42,'III. Finanzberichte'!$CY$42,'III. Finanzberichte'!$DF$42,'III. Finanzberichte'!$DM$42,'III. Finanzberichte'!$DT$42),"")</f>
      </c>
      <c r="P116" s="144" t="str">
        <f>=IFERROR(CHOOSE(E81,'III. Finanzberichte'!$F$42,'III. Finanzberichte'!$M$42,'III. Finanzberichte'!$T$42,'III. Finanzberichte'!$AA$42,'III. Finanzberichte'!$AH$42,'III. Finanzberichte'!$AO$42,'III. Finanzberichte'!$AV$42,'III. Finanzberichte'!$BC$42,'III. Finanzberichte'!$BJ$42,'III. Finanzberichte'!$BQ$42,'III. Finanzberichte'!$BX$42,'III. Finanzberichte'!$CE$42,'III. Finanzberichte'!$CL$42,'III. Finanzberichte'!$CS$42,'III. Finanzberichte'!$CZ$42,'III. Finanzberichte'!$DG$42,'III. Finanzberichte'!$DN$42,'III. Finanzberichte'!$DU$42),"")</f>
      </c>
    </row>
    <row r="117">
      <c r="L117" s="143" t="str">
        <f>=IFERROR(CHOOSE(E81,'III. Finanzberichte'!$B$43,'III. Finanzberichte'!$I$43,'III. Finanzberichte'!$P$43,'III. Finanzberichte'!$W$43,'III. Finanzberichte'!$AD$43,'III. Finanzberichte'!$AK$43,'III. Finanzberichte'!$AR$43,'III. Finanzberichte'!$AY$43,'III. Finanzberichte'!$BF$43,'III. Finanzberichte'!$BM$43,'III. Finanzberichte'!$BT$43,'III. Finanzberichte'!$CA$43,'III. Finanzberichte'!$CH$43,'III. Finanzberichte'!$CO$43,'III. Finanzberichte'!$CV$43,'III. Finanzberichte'!$DC$43,'III. Finanzberichte'!$DJ$43,'III. Finanzberichte'!$DQ$43),"")</f>
      </c>
      <c r="M117" s="116" t="str">
        <f>=IFERROR(CHOOSE(E81,'III. Finanzberichte'!$C$43,'III. Finanzberichte'!$J$43,'III. Finanzberichte'!$Q$43,'III. Finanzberichte'!$X$43,'III. Finanzberichte'!$AE$43,'III. Finanzberichte'!$AL$43,'III. Finanzberichte'!$AS$43,'III. Finanzberichte'!$AZ$43,'III. Finanzberichte'!$BG$43,'III. Finanzberichte'!$BN$43,'III. Finanzberichte'!$BU$43,'III. Finanzberichte'!$CB$43,'III. Finanzberichte'!$CI$43,'III. Finanzberichte'!$CP$43,'III. Finanzberichte'!$CW$43,'III. Finanzberichte'!$DD$43,'III. Finanzberichte'!$DK$43,'III. Finanzberichte'!$DR$43),"")</f>
      </c>
      <c r="N117" s="117" t="str">
        <f>=IFERROR(CHOOSE(E81,'III. Finanzberichte'!$D$43,'III. Finanzberichte'!$K$43,'III. Finanzberichte'!$R$43,'III. Finanzberichte'!$Y$43,'III. Finanzberichte'!$AF$43,'III. Finanzberichte'!$AM$43,'III. Finanzberichte'!$AT$43,'III. Finanzberichte'!$BA$43,'III. Finanzberichte'!$BH$43,'III. Finanzberichte'!$BO$43,'III. Finanzberichte'!$BV$43,'III. Finanzberichte'!$CC$43,'III. Finanzberichte'!$CJ$43,'III. Finanzberichte'!$CQ$43,'III. Finanzberichte'!$CX$43,'III. Finanzberichte'!$DE$43,'III. Finanzberichte'!$DL$43,'III. Finanzberichte'!$DS$43),"")</f>
      </c>
      <c r="O117" s="116" t="str">
        <f>=IFERROR(CHOOSE(E81,'III. Finanzberichte'!$E$43,'III. Finanzberichte'!$L$43,'III. Finanzberichte'!$S$43,'III. Finanzberichte'!$Z$43,'III. Finanzberichte'!$AG$43,'III. Finanzberichte'!$AN$43,'III. Finanzberichte'!$AU$43,'III. Finanzberichte'!$BB$43,'III. Finanzberichte'!$BI$43,'III. Finanzberichte'!$BP$43,'III. Finanzberichte'!$BW$43,'III. Finanzberichte'!$CD$43,'III. Finanzberichte'!$CK$43,'III. Finanzberichte'!$CR$43,'III. Finanzberichte'!$CY$43,'III. Finanzberichte'!$DF$43,'III. Finanzberichte'!$DM$43,'III. Finanzberichte'!$DT$43),"")</f>
      </c>
      <c r="P117" s="144" t="str">
        <f>=IFERROR(CHOOSE(E81,'III. Finanzberichte'!$F$43,'III. Finanzberichte'!$M$43,'III. Finanzberichte'!$T$43,'III. Finanzberichte'!$AA$43,'III. Finanzberichte'!$AH$43,'III. Finanzberichte'!$AO$43,'III. Finanzberichte'!$AV$43,'III. Finanzberichte'!$BC$43,'III. Finanzberichte'!$BJ$43,'III. Finanzberichte'!$BQ$43,'III. Finanzberichte'!$BX$43,'III. Finanzberichte'!$CE$43,'III. Finanzberichte'!$CL$43,'III. Finanzberichte'!$CS$43,'III. Finanzberichte'!$CZ$43,'III. Finanzberichte'!$DG$43,'III. Finanzberichte'!$DN$43,'III. Finanzberichte'!$DU$43),"")</f>
      </c>
    </row>
    <row r="118">
      <c r="L118" s="143" t="str">
        <f>=IFERROR(CHOOSE(E81,'III. Finanzberichte'!$B$44,'III. Finanzberichte'!$I$44,'III. Finanzberichte'!$P$44,'III. Finanzberichte'!$W$44,'III. Finanzberichte'!$AD$44,'III. Finanzberichte'!$AK$44,'III. Finanzberichte'!$AR$44,'III. Finanzberichte'!$AY$44,'III. Finanzberichte'!$BF$44,'III. Finanzberichte'!$BM$44,'III. Finanzberichte'!$BT$44,'III. Finanzberichte'!$CA$44,'III. Finanzberichte'!$CH$44,'III. Finanzberichte'!$CO$44,'III. Finanzberichte'!$CV$44,'III. Finanzberichte'!$DC$44,'III. Finanzberichte'!$DJ$44,'III. Finanzberichte'!$DQ$44),"")</f>
      </c>
      <c r="M118" s="116" t="str">
        <f>=IFERROR(CHOOSE(E81,'III. Finanzberichte'!$C$44,'III. Finanzberichte'!$J$44,'III. Finanzberichte'!$Q$44,'III. Finanzberichte'!$X$44,'III. Finanzberichte'!$AE$44,'III. Finanzberichte'!$AL$44,'III. Finanzberichte'!$AS$44,'III. Finanzberichte'!$AZ$44,'III. Finanzberichte'!$BG$44,'III. Finanzberichte'!$BN$44,'III. Finanzberichte'!$BU$44,'III. Finanzberichte'!$CB$44,'III. Finanzberichte'!$CI$44,'III. Finanzberichte'!$CP$44,'III. Finanzberichte'!$CW$44,'III. Finanzberichte'!$DD$44,'III. Finanzberichte'!$DK$44,'III. Finanzberichte'!$DR$44),"")</f>
      </c>
      <c r="N118" s="117" t="str">
        <f>=IFERROR(CHOOSE(E81,'III. Finanzberichte'!$D$44,'III. Finanzberichte'!$K$44,'III. Finanzberichte'!$R$44,'III. Finanzberichte'!$Y$44,'III. Finanzberichte'!$AF$44,'III. Finanzberichte'!$AM$44,'III. Finanzberichte'!$AT$44,'III. Finanzberichte'!$BA$44,'III. Finanzberichte'!$BH$44,'III. Finanzberichte'!$BO$44,'III. Finanzberichte'!$BV$44,'III. Finanzberichte'!$CC$44,'III. Finanzberichte'!$CJ$44,'III. Finanzberichte'!$CQ$44,'III. Finanzberichte'!$CX$44,'III. Finanzberichte'!$DE$44,'III. Finanzberichte'!$DL$44,'III. Finanzberichte'!$DS$44),"")</f>
      </c>
      <c r="O118" s="116" t="str">
        <f>=IFERROR(CHOOSE(E81,'III. Finanzberichte'!$E$44,'III. Finanzberichte'!$L$44,'III. Finanzberichte'!$S$44,'III. Finanzberichte'!$Z$44,'III. Finanzberichte'!$AG$44,'III. Finanzberichte'!$AN$44,'III. Finanzberichte'!$AU$44,'III. Finanzberichte'!$BB$44,'III. Finanzberichte'!$BI$44,'III. Finanzberichte'!$BP$44,'III. Finanzberichte'!$BW$44,'III. Finanzberichte'!$CD$44,'III. Finanzberichte'!$CK$44,'III. Finanzberichte'!$CR$44,'III. Finanzberichte'!$CY$44,'III. Finanzberichte'!$DF$44,'III. Finanzberichte'!$DM$44,'III. Finanzberichte'!$DT$44),"")</f>
      </c>
      <c r="P118" s="144" t="str">
        <f>=IFERROR(CHOOSE(E81,'III. Finanzberichte'!$F$44,'III. Finanzberichte'!$M$44,'III. Finanzberichte'!$T$44,'III. Finanzberichte'!$AA$44,'III. Finanzberichte'!$AH$44,'III. Finanzberichte'!$AO$44,'III. Finanzberichte'!$AV$44,'III. Finanzberichte'!$BC$44,'III. Finanzberichte'!$BJ$44,'III. Finanzberichte'!$BQ$44,'III. Finanzberichte'!$BX$44,'III. Finanzberichte'!$CE$44,'III. Finanzberichte'!$CL$44,'III. Finanzberichte'!$CS$44,'III. Finanzberichte'!$CZ$44,'III. Finanzberichte'!$DG$44,'III. Finanzberichte'!$DN$44,'III. Finanzberichte'!$DU$44),"")</f>
      </c>
    </row>
    <row r="119">
      <c r="L119" s="143" t="str">
        <f>=IFERROR(CHOOSE(E81,'III. Finanzberichte'!$B$45,'III. Finanzberichte'!$I$45,'III. Finanzberichte'!$P$45,'III. Finanzberichte'!$W$45,'III. Finanzberichte'!$AD$45,'III. Finanzberichte'!$AK$45,'III. Finanzberichte'!$AR$45,'III. Finanzberichte'!$AY$45,'III. Finanzberichte'!$BF$45,'III. Finanzberichte'!$BM$45,'III. Finanzberichte'!$BT$45,'III. Finanzberichte'!$CA$45,'III. Finanzberichte'!$CH$45,'III. Finanzberichte'!$CO$45,'III. Finanzberichte'!$CV$45,'III. Finanzberichte'!$DC$45,'III. Finanzberichte'!$DJ$45,'III. Finanzberichte'!$DQ$45),"")</f>
      </c>
      <c r="M119" s="116" t="str">
        <f>=IFERROR(CHOOSE(E81,'III. Finanzberichte'!$C$45,'III. Finanzberichte'!$J$45,'III. Finanzberichte'!$Q$45,'III. Finanzberichte'!$X$45,'III. Finanzberichte'!$AE$45,'III. Finanzberichte'!$AL$45,'III. Finanzberichte'!$AS$45,'III. Finanzberichte'!$AZ$45,'III. Finanzberichte'!$BG$45,'III. Finanzberichte'!$BN$45,'III. Finanzberichte'!$BU$45,'III. Finanzberichte'!$CB$45,'III. Finanzberichte'!$CI$45,'III. Finanzberichte'!$CP$45,'III. Finanzberichte'!$CW$45,'III. Finanzberichte'!$DD$45,'III. Finanzberichte'!$DK$45,'III. Finanzberichte'!$DR$45),"")</f>
      </c>
      <c r="N119" s="117" t="str">
        <f>=IFERROR(CHOOSE(E81,'III. Finanzberichte'!$D$45,'III. Finanzberichte'!$K$45,'III. Finanzberichte'!$R$45,'III. Finanzberichte'!$Y$45,'III. Finanzberichte'!$AF$45,'III. Finanzberichte'!$AM$45,'III. Finanzberichte'!$AT$45,'III. Finanzberichte'!$BA$45,'III. Finanzberichte'!$BH$45,'III. Finanzberichte'!$BO$45,'III. Finanzberichte'!$BV$45,'III. Finanzberichte'!$CC$45,'III. Finanzberichte'!$CJ$45,'III. Finanzberichte'!$CQ$45,'III. Finanzberichte'!$CX$45,'III. Finanzberichte'!$DE$45,'III. Finanzberichte'!$DL$45,'III. Finanzberichte'!$DS$45),"")</f>
      </c>
      <c r="O119" s="116" t="str">
        <f>=IFERROR(CHOOSE(E81,'III. Finanzberichte'!$E$45,'III. Finanzberichte'!$L$45,'III. Finanzberichte'!$S$45,'III. Finanzberichte'!$Z$45,'III. Finanzberichte'!$AG$45,'III. Finanzberichte'!$AN$45,'III. Finanzberichte'!$AU$45,'III. Finanzberichte'!$BB$45,'III. Finanzberichte'!$BI$45,'III. Finanzberichte'!$BP$45,'III. Finanzberichte'!$BW$45,'III. Finanzberichte'!$CD$45,'III. Finanzberichte'!$CK$45,'III. Finanzberichte'!$CR$45,'III. Finanzberichte'!$CY$45,'III. Finanzberichte'!$DF$45,'III. Finanzberichte'!$DM$45,'III. Finanzberichte'!$DT$45),"")</f>
      </c>
      <c r="P119" s="144" t="str">
        <f>=IFERROR(CHOOSE(E81,'III. Finanzberichte'!$F$45,'III. Finanzberichte'!$M$45,'III. Finanzberichte'!$T$45,'III. Finanzberichte'!$AA$45,'III. Finanzberichte'!$AH$45,'III. Finanzberichte'!$AO$45,'III. Finanzberichte'!$AV$45,'III. Finanzberichte'!$BC$45,'III. Finanzberichte'!$BJ$45,'III. Finanzberichte'!$BQ$45,'III. Finanzberichte'!$BX$45,'III. Finanzberichte'!$CE$45,'III. Finanzberichte'!$CL$45,'III. Finanzberichte'!$CS$45,'III. Finanzberichte'!$CZ$45,'III. Finanzberichte'!$DG$45,'III. Finanzberichte'!$DN$45,'III. Finanzberichte'!$DU$45),"")</f>
      </c>
    </row>
    <row r="120">
      <c r="L120" s="143" t="str">
        <f>=IFERROR(CHOOSE(E81,'III. Finanzberichte'!$B$46,'III. Finanzberichte'!$I$46,'III. Finanzberichte'!$P$46,'III. Finanzberichte'!$W$46,'III. Finanzberichte'!$AD$46,'III. Finanzberichte'!$AK$46,'III. Finanzberichte'!$AR$46,'III. Finanzberichte'!$AY$46,'III. Finanzberichte'!$BF$46,'III. Finanzberichte'!$BM$46,'III. Finanzberichte'!$BT$46,'III. Finanzberichte'!$CA$46,'III. Finanzberichte'!$CH$46,'III. Finanzberichte'!$CO$46,'III. Finanzberichte'!$CV$46,'III. Finanzberichte'!$DC$46,'III. Finanzberichte'!$DJ$46,'III. Finanzberichte'!$DQ$46),"")</f>
      </c>
      <c r="M120" s="116" t="str">
        <f>=IFERROR(CHOOSE(E81,'III. Finanzberichte'!$C$46,'III. Finanzberichte'!$J$46,'III. Finanzberichte'!$Q$46,'III. Finanzberichte'!$X$46,'III. Finanzberichte'!$AE$46,'III. Finanzberichte'!$AL$46,'III. Finanzberichte'!$AS$46,'III. Finanzberichte'!$AZ$46,'III. Finanzberichte'!$BG$46,'III. Finanzberichte'!$BN$46,'III. Finanzberichte'!$BU$46,'III. Finanzberichte'!$CB$46,'III. Finanzberichte'!$CI$46,'III. Finanzberichte'!$CP$46,'III. Finanzberichte'!$CW$46,'III. Finanzberichte'!$DD$46,'III. Finanzberichte'!$DK$46,'III. Finanzberichte'!$DR$46),"")</f>
      </c>
      <c r="N120" s="117" t="str">
        <f>=IFERROR(CHOOSE(E81,'III. Finanzberichte'!$D$46,'III. Finanzberichte'!$K$46,'III. Finanzberichte'!$R$46,'III. Finanzberichte'!$Y$46,'III. Finanzberichte'!$AF$46,'III. Finanzberichte'!$AM$46,'III. Finanzberichte'!$AT$46,'III. Finanzberichte'!$BA$46,'III. Finanzberichte'!$BH$46,'III. Finanzberichte'!$BO$46,'III. Finanzberichte'!$BV$46,'III. Finanzberichte'!$CC$46,'III. Finanzberichte'!$CJ$46,'III. Finanzberichte'!$CQ$46,'III. Finanzberichte'!$CX$46,'III. Finanzberichte'!$DE$46,'III. Finanzberichte'!$DL$46,'III. Finanzberichte'!$DS$46),"")</f>
      </c>
      <c r="O120" s="116" t="str">
        <f>=IFERROR(CHOOSE(E81,'III. Finanzberichte'!$E$46,'III. Finanzberichte'!$L$46,'III. Finanzberichte'!$S$46,'III. Finanzberichte'!$Z$46,'III. Finanzberichte'!$AG$46,'III. Finanzberichte'!$AN$46,'III. Finanzberichte'!$AU$46,'III. Finanzberichte'!$BB$46,'III. Finanzberichte'!$BI$46,'III. Finanzberichte'!$BP$46,'III. Finanzberichte'!$BW$46,'III. Finanzberichte'!$CD$46,'III. Finanzberichte'!$CK$46,'III. Finanzberichte'!$CR$46,'III. Finanzberichte'!$CY$46,'III. Finanzberichte'!$DF$46,'III. Finanzberichte'!$DM$46,'III. Finanzberichte'!$DT$46),"")</f>
      </c>
      <c r="P120" s="144" t="str">
        <f>=IFERROR(CHOOSE(E81,'III. Finanzberichte'!$F$46,'III. Finanzberichte'!$M$46,'III. Finanzberichte'!$T$46,'III. Finanzberichte'!$AA$46,'III. Finanzberichte'!$AH$46,'III. Finanzberichte'!$AO$46,'III. Finanzberichte'!$AV$46,'III. Finanzberichte'!$BC$46,'III. Finanzberichte'!$BJ$46,'III. Finanzberichte'!$BQ$46,'III. Finanzberichte'!$BX$46,'III. Finanzberichte'!$CE$46,'III. Finanzberichte'!$CL$46,'III. Finanzberichte'!$CS$46,'III. Finanzberichte'!$CZ$46,'III. Finanzberichte'!$DG$46,'III. Finanzberichte'!$DN$46,'III. Finanzberichte'!$DU$46),"")</f>
      </c>
    </row>
    <row r="121">
      <c r="L121" s="143" t="str">
        <f>=IFERROR(CHOOSE(E81,'III. Finanzberichte'!$B$47,'III. Finanzberichte'!$I$47,'III. Finanzberichte'!$P$47,'III. Finanzberichte'!$W$47,'III. Finanzberichte'!$AD$47,'III. Finanzberichte'!$AK$47,'III. Finanzberichte'!$AR$47,'III. Finanzberichte'!$AY$47,'III. Finanzberichte'!$BF$47,'III. Finanzberichte'!$BM$47,'III. Finanzberichte'!$BT$47,'III. Finanzberichte'!$CA$47,'III. Finanzberichte'!$CH$47,'III. Finanzberichte'!$CO$47,'III. Finanzberichte'!$CV$47,'III. Finanzberichte'!$DC$47,'III. Finanzberichte'!$DJ$47,'III. Finanzberichte'!$DQ$47),"")</f>
      </c>
      <c r="M121" s="116" t="str">
        <f>=IFERROR(CHOOSE(E81,'III. Finanzberichte'!$C$47,'III. Finanzberichte'!$J$47,'III. Finanzberichte'!$Q$47,'III. Finanzberichte'!$X$47,'III. Finanzberichte'!$AE$47,'III. Finanzberichte'!$AL$47,'III. Finanzberichte'!$AS$47,'III. Finanzberichte'!$AZ$47,'III. Finanzberichte'!$BG$47,'III. Finanzberichte'!$BN$47,'III. Finanzberichte'!$BU$47,'III. Finanzberichte'!$CB$47,'III. Finanzberichte'!$CI$47,'III. Finanzberichte'!$CP$47,'III. Finanzberichte'!$CW$47,'III. Finanzberichte'!$DD$47,'III. Finanzberichte'!$DK$47,'III. Finanzberichte'!$DR$47),"")</f>
      </c>
      <c r="N121" s="117" t="str">
        <f>=IFERROR(CHOOSE(E81,'III. Finanzberichte'!$D$47,'III. Finanzberichte'!$K$47,'III. Finanzberichte'!$R$47,'III. Finanzberichte'!$Y$47,'III. Finanzberichte'!$AF$47,'III. Finanzberichte'!$AM$47,'III. Finanzberichte'!$AT$47,'III. Finanzberichte'!$BA$47,'III. Finanzberichte'!$BH$47,'III. Finanzberichte'!$BO$47,'III. Finanzberichte'!$BV$47,'III. Finanzberichte'!$CC$47,'III. Finanzberichte'!$CJ$47,'III. Finanzberichte'!$CQ$47,'III. Finanzberichte'!$CX$47,'III. Finanzberichte'!$DE$47,'III. Finanzberichte'!$DL$47,'III. Finanzberichte'!$DS$47),"")</f>
      </c>
      <c r="O121" s="116" t="str">
        <f>=IFERROR(CHOOSE(E81,'III. Finanzberichte'!$E$47,'III. Finanzberichte'!$L$47,'III. Finanzberichte'!$S$47,'III. Finanzberichte'!$Z$47,'III. Finanzberichte'!$AG$47,'III. Finanzberichte'!$AN$47,'III. Finanzberichte'!$AU$47,'III. Finanzberichte'!$BB$47,'III. Finanzberichte'!$BI$47,'III. Finanzberichte'!$BP$47,'III. Finanzberichte'!$BW$47,'III. Finanzberichte'!$CD$47,'III. Finanzberichte'!$CK$47,'III. Finanzberichte'!$CR$47,'III. Finanzberichte'!$CY$47,'III. Finanzberichte'!$DF$47,'III. Finanzberichte'!$DM$47,'III. Finanzberichte'!$DT$47),"")</f>
      </c>
      <c r="P121" s="144" t="str">
        <f>=IFERROR(CHOOSE(E81,'III. Finanzberichte'!$F$47,'III. Finanzberichte'!$M$47,'III. Finanzberichte'!$T$47,'III. Finanzberichte'!$AA$47,'III. Finanzberichte'!$AH$47,'III. Finanzberichte'!$AO$47,'III. Finanzberichte'!$AV$47,'III. Finanzberichte'!$BC$47,'III. Finanzberichte'!$BJ$47,'III. Finanzberichte'!$BQ$47,'III. Finanzberichte'!$BX$47,'III. Finanzberichte'!$CE$47,'III. Finanzberichte'!$CL$47,'III. Finanzberichte'!$CS$47,'III. Finanzberichte'!$CZ$47,'III. Finanzberichte'!$DG$47,'III. Finanzberichte'!$DN$47,'III. Finanzberichte'!$DU$47),"")</f>
      </c>
    </row>
    <row r="122">
      <c r="L122" s="143" t="str">
        <f>=IFERROR(CHOOSE(E81,'III. Finanzberichte'!$B$48,'III. Finanzberichte'!$I$48,'III. Finanzberichte'!$P$48,'III. Finanzberichte'!$W$48,'III. Finanzberichte'!$AD$48,'III. Finanzberichte'!$AK$48,'III. Finanzberichte'!$AR$48,'III. Finanzberichte'!$AY$48,'III. Finanzberichte'!$BF$48,'III. Finanzberichte'!$BM$48,'III. Finanzberichte'!$BT$48,'III. Finanzberichte'!$CA$48,'III. Finanzberichte'!$CH$48,'III. Finanzberichte'!$CO$48,'III. Finanzberichte'!$CV$48,'III. Finanzberichte'!$DC$48,'III. Finanzberichte'!$DJ$48,'III. Finanzberichte'!$DQ$48),"")</f>
      </c>
      <c r="M122" s="116" t="str">
        <f>=IFERROR(CHOOSE(E81,'III. Finanzberichte'!$C$48,'III. Finanzberichte'!$J$48,'III. Finanzberichte'!$Q$48,'III. Finanzberichte'!$X$48,'III. Finanzberichte'!$AE$48,'III. Finanzberichte'!$AL$48,'III. Finanzberichte'!$AS$48,'III. Finanzberichte'!$AZ$48,'III. Finanzberichte'!$BG$48,'III. Finanzberichte'!$BN$48,'III. Finanzberichte'!$BU$48,'III. Finanzberichte'!$CB$48,'III. Finanzberichte'!$CI$48,'III. Finanzberichte'!$CP$48,'III. Finanzberichte'!$CW$48,'III. Finanzberichte'!$DD$48,'III. Finanzberichte'!$DK$48,'III. Finanzberichte'!$DR$48),"")</f>
      </c>
      <c r="N122" s="117" t="str">
        <f>=IFERROR(CHOOSE(E81,'III. Finanzberichte'!$D$48,'III. Finanzberichte'!$K$48,'III. Finanzberichte'!$R$48,'III. Finanzberichte'!$Y$48,'III. Finanzberichte'!$AF$48,'III. Finanzberichte'!$AM$48,'III. Finanzberichte'!$AT$48,'III. Finanzberichte'!$BA$48,'III. Finanzberichte'!$BH$48,'III. Finanzberichte'!$BO$48,'III. Finanzberichte'!$BV$48,'III. Finanzberichte'!$CC$48,'III. Finanzberichte'!$CJ$48,'III. Finanzberichte'!$CQ$48,'III. Finanzberichte'!$CX$48,'III. Finanzberichte'!$DE$48,'III. Finanzberichte'!$DL$48,'III. Finanzberichte'!$DS$48),"")</f>
      </c>
      <c r="O122" s="116" t="str">
        <f>=IFERROR(CHOOSE(E81,'III. Finanzberichte'!$E$48,'III. Finanzberichte'!$L$48,'III. Finanzberichte'!$S$48,'III. Finanzberichte'!$Z$48,'III. Finanzberichte'!$AG$48,'III. Finanzberichte'!$AN$48,'III. Finanzberichte'!$AU$48,'III. Finanzberichte'!$BB$48,'III. Finanzberichte'!$BI$48,'III. Finanzberichte'!$BP$48,'III. Finanzberichte'!$BW$48,'III. Finanzberichte'!$CD$48,'III. Finanzberichte'!$CK$48,'III. Finanzberichte'!$CR$48,'III. Finanzberichte'!$CY$48,'III. Finanzberichte'!$DF$48,'III. Finanzberichte'!$DM$48,'III. Finanzberichte'!$DT$48),"")</f>
      </c>
      <c r="P122" s="144" t="str">
        <f>=IFERROR(CHOOSE(E81,'III. Finanzberichte'!$F$48,'III. Finanzberichte'!$M$48,'III. Finanzberichte'!$T$48,'III. Finanzberichte'!$AA$48,'III. Finanzberichte'!$AH$48,'III. Finanzberichte'!$AO$48,'III. Finanzberichte'!$AV$48,'III. Finanzberichte'!$BC$48,'III. Finanzberichte'!$BJ$48,'III. Finanzberichte'!$BQ$48,'III. Finanzberichte'!$BX$48,'III. Finanzberichte'!$CE$48,'III. Finanzberichte'!$CL$48,'III. Finanzberichte'!$CS$48,'III. Finanzberichte'!$CZ$48,'III. Finanzberichte'!$DG$48,'III. Finanzberichte'!$DN$48,'III. Finanzberichte'!$DU$48),"")</f>
      </c>
    </row>
    <row r="123">
      <c r="L123" s="143" t="str">
        <f>=IFERROR(CHOOSE(E81,'III. Finanzberichte'!$B$49,'III. Finanzberichte'!$I$49,'III. Finanzberichte'!$P$49,'III. Finanzberichte'!$W$49,'III. Finanzberichte'!$AD$49,'III. Finanzberichte'!$AK$49,'III. Finanzberichte'!$AR$49,'III. Finanzberichte'!$AY$49,'III. Finanzberichte'!$BF$49,'III. Finanzberichte'!$BM$49,'III. Finanzberichte'!$BT$49,'III. Finanzberichte'!$CA$49,'III. Finanzberichte'!$CH$49,'III. Finanzberichte'!$CO$49,'III. Finanzberichte'!$CV$49,'III. Finanzberichte'!$DC$49,'III. Finanzberichte'!$DJ$49,'III. Finanzberichte'!$DQ$49),"")</f>
      </c>
      <c r="M123" s="116" t="str">
        <f>=IFERROR(CHOOSE(E81,'III. Finanzberichte'!$C$49,'III. Finanzberichte'!$J$49,'III. Finanzberichte'!$Q$49,'III. Finanzberichte'!$X$49,'III. Finanzberichte'!$AE$49,'III. Finanzberichte'!$AL$49,'III. Finanzberichte'!$AS$49,'III. Finanzberichte'!$AZ$49,'III. Finanzberichte'!$BG$49,'III. Finanzberichte'!$BN$49,'III. Finanzberichte'!$BU$49,'III. Finanzberichte'!$CB$49,'III. Finanzberichte'!$CI$49,'III. Finanzberichte'!$CP$49,'III. Finanzberichte'!$CW$49,'III. Finanzberichte'!$DD$49,'III. Finanzberichte'!$DK$49,'III. Finanzberichte'!$DR$49),"")</f>
      </c>
      <c r="N123" s="117" t="str">
        <f>=IFERROR(CHOOSE(E81,'III. Finanzberichte'!$D$49,'III. Finanzberichte'!$K$49,'III. Finanzberichte'!$R$49,'III. Finanzberichte'!$Y$49,'III. Finanzberichte'!$AF$49,'III. Finanzberichte'!$AM$49,'III. Finanzberichte'!$AT$49,'III. Finanzberichte'!$BA$49,'III. Finanzberichte'!$BH$49,'III. Finanzberichte'!$BO$49,'III. Finanzberichte'!$BV$49,'III. Finanzberichte'!$CC$49,'III. Finanzberichte'!$CJ$49,'III. Finanzberichte'!$CQ$49,'III. Finanzberichte'!$CX$49,'III. Finanzberichte'!$DE$49,'III. Finanzberichte'!$DL$49,'III. Finanzberichte'!$DS$49),"")</f>
      </c>
      <c r="O123" s="116" t="str">
        <f>=IFERROR(CHOOSE(E81,'III. Finanzberichte'!$E$49,'III. Finanzberichte'!$L$49,'III. Finanzberichte'!$S$49,'III. Finanzberichte'!$Z$49,'III. Finanzberichte'!$AG$49,'III. Finanzberichte'!$AN$49,'III. Finanzberichte'!$AU$49,'III. Finanzberichte'!$BB$49,'III. Finanzberichte'!$BI$49,'III. Finanzberichte'!$BP$49,'III. Finanzberichte'!$BW$49,'III. Finanzberichte'!$CD$49,'III. Finanzberichte'!$CK$49,'III. Finanzberichte'!$CR$49,'III. Finanzberichte'!$CY$49,'III. Finanzberichte'!$DF$49,'III. Finanzberichte'!$DM$49,'III. Finanzberichte'!$DT$49),"")</f>
      </c>
      <c r="P123" s="144" t="str">
        <f>=IFERROR(CHOOSE(E81,'III. Finanzberichte'!$F$49,'III. Finanzberichte'!$M$49,'III. Finanzberichte'!$T$49,'III. Finanzberichte'!$AA$49,'III. Finanzberichte'!$AH$49,'III. Finanzberichte'!$AO$49,'III. Finanzberichte'!$AV$49,'III. Finanzberichte'!$BC$49,'III. Finanzberichte'!$BJ$49,'III. Finanzberichte'!$BQ$49,'III. Finanzberichte'!$BX$49,'III. Finanzberichte'!$CE$49,'III. Finanzberichte'!$CL$49,'III. Finanzberichte'!$CS$49,'III. Finanzberichte'!$CZ$49,'III. Finanzberichte'!$DG$49,'III. Finanzberichte'!$DN$49,'III. Finanzberichte'!$DU$49),"")</f>
      </c>
    </row>
    <row r="124">
      <c r="L124" s="143" t="str">
        <f>=IFERROR(CHOOSE(E81,'III. Finanzberichte'!$B$50,'III. Finanzberichte'!$I$50,'III. Finanzberichte'!$P$50,'III. Finanzberichte'!$W$50,'III. Finanzberichte'!$AD$50,'III. Finanzberichte'!$AK$50,'III. Finanzberichte'!$AR$50,'III. Finanzberichte'!$AY$50,'III. Finanzberichte'!$BF$50,'III. Finanzberichte'!$BM$50,'III. Finanzberichte'!$BT$50,'III. Finanzberichte'!$CA$50,'III. Finanzberichte'!$CH$50,'III. Finanzberichte'!$CO$50,'III. Finanzberichte'!$CV$50,'III. Finanzberichte'!$DC$50,'III. Finanzberichte'!$DJ$50,'III. Finanzberichte'!$DQ$50),"")</f>
      </c>
      <c r="M124" s="116" t="str">
        <f>=IFERROR(CHOOSE(E81,'III. Finanzberichte'!$C$50,'III. Finanzberichte'!$J$50,'III. Finanzberichte'!$Q$50,'III. Finanzberichte'!$X$50,'III. Finanzberichte'!$AE$50,'III. Finanzberichte'!$AL$50,'III. Finanzberichte'!$AS$50,'III. Finanzberichte'!$AZ$50,'III. Finanzberichte'!$BG$50,'III. Finanzberichte'!$BN$50,'III. Finanzberichte'!$BU$50,'III. Finanzberichte'!$CB$50,'III. Finanzberichte'!$CI$50,'III. Finanzberichte'!$CP$50,'III. Finanzberichte'!$CW$50,'III. Finanzberichte'!$DD$50,'III. Finanzberichte'!$DK$50,'III. Finanzberichte'!$DR$50),"")</f>
      </c>
      <c r="N124" s="117" t="str">
        <f>=IFERROR(CHOOSE(E81,'III. Finanzberichte'!$D$50,'III. Finanzberichte'!$K$50,'III. Finanzberichte'!$R$50,'III. Finanzberichte'!$Y$50,'III. Finanzberichte'!$AF$50,'III. Finanzberichte'!$AM$50,'III. Finanzberichte'!$AT$50,'III. Finanzberichte'!$BA$50,'III. Finanzberichte'!$BH$50,'III. Finanzberichte'!$BO$50,'III. Finanzberichte'!$BV$50,'III. Finanzberichte'!$CC$50,'III. Finanzberichte'!$CJ$50,'III. Finanzberichte'!$CQ$50,'III. Finanzberichte'!$CX$50,'III. Finanzberichte'!$DE$50,'III. Finanzberichte'!$DL$50,'III. Finanzberichte'!$DS$50),"")</f>
      </c>
      <c r="O124" s="116" t="str">
        <f>=IFERROR(CHOOSE(E81,'III. Finanzberichte'!$E$50,'III. Finanzberichte'!$L$50,'III. Finanzberichte'!$S$50,'III. Finanzberichte'!$Z$50,'III. Finanzberichte'!$AG$50,'III. Finanzberichte'!$AN$50,'III. Finanzberichte'!$AU$50,'III. Finanzberichte'!$BB$50,'III. Finanzberichte'!$BI$50,'III. Finanzberichte'!$BP$50,'III. Finanzberichte'!$BW$50,'III. Finanzberichte'!$CD$50,'III. Finanzberichte'!$CK$50,'III. Finanzberichte'!$CR$50,'III. Finanzberichte'!$CY$50,'III. Finanzberichte'!$DF$50,'III. Finanzberichte'!$DM$50,'III. Finanzberichte'!$DT$50),"")</f>
      </c>
      <c r="P124" s="144" t="str">
        <f>=IFERROR(CHOOSE(E81,'III. Finanzberichte'!$F$50,'III. Finanzberichte'!$M$50,'III. Finanzberichte'!$T$50,'III. Finanzberichte'!$AA$50,'III. Finanzberichte'!$AH$50,'III. Finanzberichte'!$AO$50,'III. Finanzberichte'!$AV$50,'III. Finanzberichte'!$BC$50,'III. Finanzberichte'!$BJ$50,'III. Finanzberichte'!$BQ$50,'III. Finanzberichte'!$BX$50,'III. Finanzberichte'!$CE$50,'III. Finanzberichte'!$CL$50,'III. Finanzberichte'!$CS$50,'III. Finanzberichte'!$CZ$50,'III. Finanzberichte'!$DG$50,'III. Finanzberichte'!$DN$50,'III. Finanzberichte'!$DU$50),"")</f>
      </c>
    </row>
    <row r="125">
      <c r="L125" s="143" t="str">
        <f>=IFERROR(CHOOSE(E81,'III. Finanzberichte'!$B$51,'III. Finanzberichte'!$I$51,'III. Finanzberichte'!$P$51,'III. Finanzberichte'!$W$51,'III. Finanzberichte'!$AD$51,'III. Finanzberichte'!$AK$51,'III. Finanzberichte'!$AR$51,'III. Finanzberichte'!$AY$51,'III. Finanzberichte'!$BF$51,'III. Finanzberichte'!$BM$51,'III. Finanzberichte'!$BT$51,'III. Finanzberichte'!$CA$51,'III. Finanzberichte'!$CH$51,'III. Finanzberichte'!$CO$51,'III. Finanzberichte'!$CV$51,'III. Finanzberichte'!$DC$51,'III. Finanzberichte'!$DJ$51,'III. Finanzberichte'!$DQ$51),"")</f>
      </c>
      <c r="M125" s="116" t="str">
        <f>=IFERROR(CHOOSE(E81,'III. Finanzberichte'!$C$51,'III. Finanzberichte'!$J$51,'III. Finanzberichte'!$Q$51,'III. Finanzberichte'!$X$51,'III. Finanzberichte'!$AE$51,'III. Finanzberichte'!$AL$51,'III. Finanzberichte'!$AS$51,'III. Finanzberichte'!$AZ$51,'III. Finanzberichte'!$BG$51,'III. Finanzberichte'!$BN$51,'III. Finanzberichte'!$BU$51,'III. Finanzberichte'!$CB$51,'III. Finanzberichte'!$CI$51,'III. Finanzberichte'!$CP$51,'III. Finanzberichte'!$CW$51,'III. Finanzberichte'!$DD$51,'III. Finanzberichte'!$DK$51,'III. Finanzberichte'!$DR$51),"")</f>
      </c>
      <c r="N125" s="117" t="str">
        <f>=IFERROR(CHOOSE(E81,'III. Finanzberichte'!$D$51,'III. Finanzberichte'!$K$51,'III. Finanzberichte'!$R$51,'III. Finanzberichte'!$Y$51,'III. Finanzberichte'!$AF$51,'III. Finanzberichte'!$AM$51,'III. Finanzberichte'!$AT$51,'III. Finanzberichte'!$BA$51,'III. Finanzberichte'!$BH$51,'III. Finanzberichte'!$BO$51,'III. Finanzberichte'!$BV$51,'III. Finanzberichte'!$CC$51,'III. Finanzberichte'!$CJ$51,'III. Finanzberichte'!$CQ$51,'III. Finanzberichte'!$CX$51,'III. Finanzberichte'!$DE$51,'III. Finanzberichte'!$DL$51,'III. Finanzberichte'!$DS$51),"")</f>
      </c>
      <c r="O125" s="116" t="str">
        <f>=IFERROR(CHOOSE(E81,'III. Finanzberichte'!$E$51,'III. Finanzberichte'!$L$51,'III. Finanzberichte'!$S$51,'III. Finanzberichte'!$Z$51,'III. Finanzberichte'!$AG$51,'III. Finanzberichte'!$AN$51,'III. Finanzberichte'!$AU$51,'III. Finanzberichte'!$BB$51,'III. Finanzberichte'!$BI$51,'III. Finanzberichte'!$BP$51,'III. Finanzberichte'!$BW$51,'III. Finanzberichte'!$CD$51,'III. Finanzberichte'!$CK$51,'III. Finanzberichte'!$CR$51,'III. Finanzberichte'!$CY$51,'III. Finanzberichte'!$DF$51,'III. Finanzberichte'!$DM$51,'III. Finanzberichte'!$DT$51),"")</f>
      </c>
      <c r="P125" s="144" t="str">
        <f>=IFERROR(CHOOSE(E81,'III. Finanzberichte'!$F$51,'III. Finanzberichte'!$M$51,'III. Finanzberichte'!$T$51,'III. Finanzberichte'!$AA$51,'III. Finanzberichte'!$AH$51,'III. Finanzberichte'!$AO$51,'III. Finanzberichte'!$AV$51,'III. Finanzberichte'!$BC$51,'III. Finanzberichte'!$BJ$51,'III. Finanzberichte'!$BQ$51,'III. Finanzberichte'!$BX$51,'III. Finanzberichte'!$CE$51,'III. Finanzberichte'!$CL$51,'III. Finanzberichte'!$CS$51,'III. Finanzberichte'!$CZ$51,'III. Finanzberichte'!$DG$51,'III. Finanzberichte'!$DN$51,'III. Finanzberichte'!$DU$51),"")</f>
      </c>
    </row>
    <row r="126">
      <c r="L126" s="143" t="str">
        <f>=IFERROR(CHOOSE(E81,'III. Finanzberichte'!$B$52,'III. Finanzberichte'!$I$52,'III. Finanzberichte'!$P$52,'III. Finanzberichte'!$W$52,'III. Finanzberichte'!$AD$52,'III. Finanzberichte'!$AK$52,'III. Finanzberichte'!$AR$52,'III. Finanzberichte'!$AY$52,'III. Finanzberichte'!$BF$52,'III. Finanzberichte'!$BM$52,'III. Finanzberichte'!$BT$52,'III. Finanzberichte'!$CA$52,'III. Finanzberichte'!$CH$52,'III. Finanzberichte'!$CO$52,'III. Finanzberichte'!$CV$52,'III. Finanzberichte'!$DC$52,'III. Finanzberichte'!$DJ$52,'III. Finanzberichte'!$DQ$52),"")</f>
      </c>
      <c r="M126" s="116" t="str">
        <f>=IFERROR(CHOOSE(E81,'III. Finanzberichte'!$C$52,'III. Finanzberichte'!$J$52,'III. Finanzberichte'!$Q$52,'III. Finanzberichte'!$X$52,'III. Finanzberichte'!$AE$52,'III. Finanzberichte'!$AL$52,'III. Finanzberichte'!$AS$52,'III. Finanzberichte'!$AZ$52,'III. Finanzberichte'!$BG$52,'III. Finanzberichte'!$BN$52,'III. Finanzberichte'!$BU$52,'III. Finanzberichte'!$CB$52,'III. Finanzberichte'!$CI$52,'III. Finanzberichte'!$CP$52,'III. Finanzberichte'!$CW$52,'III. Finanzberichte'!$DD$52,'III. Finanzberichte'!$DK$52,'III. Finanzberichte'!$DR$52),"")</f>
      </c>
      <c r="N126" s="117" t="str">
        <f>=IFERROR(CHOOSE(E81,'III. Finanzberichte'!$D$52,'III. Finanzberichte'!$K$52,'III. Finanzberichte'!$R$52,'III. Finanzberichte'!$Y$52,'III. Finanzberichte'!$AF$52,'III. Finanzberichte'!$AM$52,'III. Finanzberichte'!$AT$52,'III. Finanzberichte'!$BA$52,'III. Finanzberichte'!$BH$52,'III. Finanzberichte'!$BO$52,'III. Finanzberichte'!$BV$52,'III. Finanzberichte'!$CC$52,'III. Finanzberichte'!$CJ$52,'III. Finanzberichte'!$CQ$52,'III. Finanzberichte'!$CX$52,'III. Finanzberichte'!$DE$52,'III. Finanzberichte'!$DL$52,'III. Finanzberichte'!$DS$52),"")</f>
      </c>
      <c r="O126" s="116" t="str">
        <f>=IFERROR(CHOOSE(E81,'III. Finanzberichte'!$E$52,'III. Finanzberichte'!$L$52,'III. Finanzberichte'!$S$52,'III. Finanzberichte'!$Z$52,'III. Finanzberichte'!$AG$52,'III. Finanzberichte'!$AN$52,'III. Finanzberichte'!$AU$52,'III. Finanzberichte'!$BB$52,'III. Finanzberichte'!$BI$52,'III. Finanzberichte'!$BP$52,'III. Finanzberichte'!$BW$52,'III. Finanzberichte'!$CD$52,'III. Finanzberichte'!$CK$52,'III. Finanzberichte'!$CR$52,'III. Finanzberichte'!$CY$52,'III. Finanzberichte'!$DF$52,'III. Finanzberichte'!$DM$52,'III. Finanzberichte'!$DT$52),"")</f>
      </c>
      <c r="P126" s="144" t="str">
        <f>=IFERROR(CHOOSE(E81,'III. Finanzberichte'!$F$52,'III. Finanzberichte'!$M$52,'III. Finanzberichte'!$T$52,'III. Finanzberichte'!$AA$52,'III. Finanzberichte'!$AH$52,'III. Finanzberichte'!$AO$52,'III. Finanzberichte'!$AV$52,'III. Finanzberichte'!$BC$52,'III. Finanzberichte'!$BJ$52,'III. Finanzberichte'!$BQ$52,'III. Finanzberichte'!$BX$52,'III. Finanzberichte'!$CE$52,'III. Finanzberichte'!$CL$52,'III. Finanzberichte'!$CS$52,'III. Finanzberichte'!$CZ$52,'III. Finanzberichte'!$DG$52,'III. Finanzberichte'!$DN$52,'III. Finanzberichte'!$DU$52),"")</f>
      </c>
    </row>
    <row r="127">
      <c r="L127" s="143" t="str">
        <f>=IFERROR(CHOOSE(E81,'III. Finanzberichte'!$B$53,'III. Finanzberichte'!$I$53,'III. Finanzberichte'!$P$53,'III. Finanzberichte'!$W$53,'III. Finanzberichte'!$AD$53,'III. Finanzberichte'!$AK$53,'III. Finanzberichte'!$AR$53,'III. Finanzberichte'!$AY$53,'III. Finanzberichte'!$BF$53,'III. Finanzberichte'!$BM$53,'III. Finanzberichte'!$BT$53,'III. Finanzberichte'!$CA$53,'III. Finanzberichte'!$CH$53,'III. Finanzberichte'!$CO$53,'III. Finanzberichte'!$CV$53,'III. Finanzberichte'!$DC$53,'III. Finanzberichte'!$DJ$53,'III. Finanzberichte'!$DQ$53),"")</f>
      </c>
      <c r="M127" s="116" t="str">
        <f>=IFERROR(CHOOSE(E81,'III. Finanzberichte'!$C$53,'III. Finanzberichte'!$J$53,'III. Finanzberichte'!$Q$53,'III. Finanzberichte'!$X$53,'III. Finanzberichte'!$AE$53,'III. Finanzberichte'!$AL$53,'III. Finanzberichte'!$AS$53,'III. Finanzberichte'!$AZ$53,'III. Finanzberichte'!$BG$53,'III. Finanzberichte'!$BN$53,'III. Finanzberichte'!$BU$53,'III. Finanzberichte'!$CB$53,'III. Finanzberichte'!$CI$53,'III. Finanzberichte'!$CP$53,'III. Finanzberichte'!$CW$53,'III. Finanzberichte'!$DD$53,'III. Finanzberichte'!$DK$53,'III. Finanzberichte'!$DR$53),"")</f>
      </c>
      <c r="N127" s="117" t="str">
        <f>=IFERROR(CHOOSE(E81,'III. Finanzberichte'!$D$53,'III. Finanzberichte'!$K$53,'III. Finanzberichte'!$R$53,'III. Finanzberichte'!$Y$53,'III. Finanzberichte'!$AF$53,'III. Finanzberichte'!$AM$53,'III. Finanzberichte'!$AT$53,'III. Finanzberichte'!$BA$53,'III. Finanzberichte'!$BH$53,'III. Finanzberichte'!$BO$53,'III. Finanzberichte'!$BV$53,'III. Finanzberichte'!$CC$53,'III. Finanzberichte'!$CJ$53,'III. Finanzberichte'!$CQ$53,'III. Finanzberichte'!$CX$53,'III. Finanzberichte'!$DE$53,'III. Finanzberichte'!$DL$53,'III. Finanzberichte'!$DS$53),"")</f>
      </c>
      <c r="O127" s="116" t="str">
        <f>=IFERROR(CHOOSE(E81,'III. Finanzberichte'!$E$53,'III. Finanzberichte'!$L$53,'III. Finanzberichte'!$S$53,'III. Finanzberichte'!$Z$53,'III. Finanzberichte'!$AG$53,'III. Finanzberichte'!$AN$53,'III. Finanzberichte'!$AU$53,'III. Finanzberichte'!$BB$53,'III. Finanzberichte'!$BI$53,'III. Finanzberichte'!$BP$53,'III. Finanzberichte'!$BW$53,'III. Finanzberichte'!$CD$53,'III. Finanzberichte'!$CK$53,'III. Finanzberichte'!$CR$53,'III. Finanzberichte'!$CY$53,'III. Finanzberichte'!$DF$53,'III. Finanzberichte'!$DM$53,'III. Finanzberichte'!$DT$53),"")</f>
      </c>
      <c r="P127" s="144" t="str">
        <f>=IFERROR(CHOOSE(E81,'III. Finanzberichte'!$F$53,'III. Finanzberichte'!$M$53,'III. Finanzberichte'!$T$53,'III. Finanzberichte'!$AA$53,'III. Finanzberichte'!$AH$53,'III. Finanzberichte'!$AO$53,'III. Finanzberichte'!$AV$53,'III. Finanzberichte'!$BC$53,'III. Finanzberichte'!$BJ$53,'III. Finanzberichte'!$BQ$53,'III. Finanzberichte'!$BX$53,'III. Finanzberichte'!$CE$53,'III. Finanzberichte'!$CL$53,'III. Finanzberichte'!$CS$53,'III. Finanzberichte'!$CZ$53,'III. Finanzberichte'!$DG$53,'III. Finanzberichte'!$DN$53,'III. Finanzberichte'!$DU$53),"")</f>
      </c>
    </row>
    <row r="128">
      <c r="L128" s="143" t="str">
        <f>=IFERROR(CHOOSE(E81,'III. Finanzberichte'!$B$54,'III. Finanzberichte'!$I$54,'III. Finanzberichte'!$P$54,'III. Finanzberichte'!$W$54,'III. Finanzberichte'!$AD$54,'III. Finanzberichte'!$AK$54,'III. Finanzberichte'!$AR$54,'III. Finanzberichte'!$AY$54,'III. Finanzberichte'!$BF$54,'III. Finanzberichte'!$BM$54,'III. Finanzberichte'!$BT$54,'III. Finanzberichte'!$CA$54,'III. Finanzberichte'!$CH$54,'III. Finanzberichte'!$CO$54,'III. Finanzberichte'!$CV$54,'III. Finanzberichte'!$DC$54,'III. Finanzberichte'!$DJ$54,'III. Finanzberichte'!$DQ$54),"")</f>
      </c>
      <c r="M128" s="116" t="str">
        <f>=IFERROR(CHOOSE(E81,'III. Finanzberichte'!$C$54,'III. Finanzberichte'!$J$54,'III. Finanzberichte'!$Q$54,'III. Finanzberichte'!$X$54,'III. Finanzberichte'!$AE$54,'III. Finanzberichte'!$AL$54,'III. Finanzberichte'!$AS$54,'III. Finanzberichte'!$AZ$54,'III. Finanzberichte'!$BG$54,'III. Finanzberichte'!$BN$54,'III. Finanzberichte'!$BU$54,'III. Finanzberichte'!$CB$54,'III. Finanzberichte'!$CI$54,'III. Finanzberichte'!$CP$54,'III. Finanzberichte'!$CW$54,'III. Finanzberichte'!$DD$54,'III. Finanzberichte'!$DK$54,'III. Finanzberichte'!$DR$54),"")</f>
      </c>
      <c r="N128" s="117" t="str">
        <f>=IFERROR(CHOOSE(E81,'III. Finanzberichte'!$D$54,'III. Finanzberichte'!$K$54,'III. Finanzberichte'!$R$54,'III. Finanzberichte'!$Y$54,'III. Finanzberichte'!$AF$54,'III. Finanzberichte'!$AM$54,'III. Finanzberichte'!$AT$54,'III. Finanzberichte'!$BA$54,'III. Finanzberichte'!$BH$54,'III. Finanzberichte'!$BO$54,'III. Finanzberichte'!$BV$54,'III. Finanzberichte'!$CC$54,'III. Finanzberichte'!$CJ$54,'III. Finanzberichte'!$CQ$54,'III. Finanzberichte'!$CX$54,'III. Finanzberichte'!$DE$54,'III. Finanzberichte'!$DL$54,'III. Finanzberichte'!$DS$54),"")</f>
      </c>
      <c r="O128" s="116" t="str">
        <f>=IFERROR(CHOOSE(E81,'III. Finanzberichte'!$E$54,'III. Finanzberichte'!$L$54,'III. Finanzberichte'!$S$54,'III. Finanzberichte'!$Z$54,'III. Finanzberichte'!$AG$54,'III. Finanzberichte'!$AN$54,'III. Finanzberichte'!$AU$54,'III. Finanzberichte'!$BB$54,'III. Finanzberichte'!$BI$54,'III. Finanzberichte'!$BP$54,'III. Finanzberichte'!$BW$54,'III. Finanzberichte'!$CD$54,'III. Finanzberichte'!$CK$54,'III. Finanzberichte'!$CR$54,'III. Finanzberichte'!$CY$54,'III. Finanzberichte'!$DF$54,'III. Finanzberichte'!$DM$54,'III. Finanzberichte'!$DT$54),"")</f>
      </c>
      <c r="P128" s="144" t="str">
        <f>=IFERROR(CHOOSE(E81,'III. Finanzberichte'!$F$54,'III. Finanzberichte'!$M$54,'III. Finanzberichte'!$T$54,'III. Finanzberichte'!$AA$54,'III. Finanzberichte'!$AH$54,'III. Finanzberichte'!$AO$54,'III. Finanzberichte'!$AV$54,'III. Finanzberichte'!$BC$54,'III. Finanzberichte'!$BJ$54,'III. Finanzberichte'!$BQ$54,'III. Finanzberichte'!$BX$54,'III. Finanzberichte'!$CE$54,'III. Finanzberichte'!$CL$54,'III. Finanzberichte'!$CS$54,'III. Finanzberichte'!$CZ$54,'III. Finanzberichte'!$DG$54,'III. Finanzberichte'!$DN$54,'III. Finanzberichte'!$DU$54),"")</f>
      </c>
    </row>
    <row r="129">
      <c r="L129" s="143" t="str">
        <f>=IFERROR(CHOOSE(E81,'III. Finanzberichte'!$B$55,'III. Finanzberichte'!$I$55,'III. Finanzberichte'!$P$55,'III. Finanzberichte'!$W$55,'III. Finanzberichte'!$AD$55,'III. Finanzberichte'!$AK$55,'III. Finanzberichte'!$AR$55,'III. Finanzberichte'!$AY$55,'III. Finanzberichte'!$BF$55,'III. Finanzberichte'!$BM$55,'III. Finanzberichte'!$BT$55,'III. Finanzberichte'!$CA$55,'III. Finanzberichte'!$CH$55,'III. Finanzberichte'!$CO$55,'III. Finanzberichte'!$CV$55,'III. Finanzberichte'!$DC$55,'III. Finanzberichte'!$DJ$55,'III. Finanzberichte'!$DQ$55),"")</f>
      </c>
      <c r="M129" s="116" t="str">
        <f>=IFERROR(CHOOSE(E81,'III. Finanzberichte'!$C$55,'III. Finanzberichte'!$J$55,'III. Finanzberichte'!$Q$55,'III. Finanzberichte'!$X$55,'III. Finanzberichte'!$AE$55,'III. Finanzberichte'!$AL$55,'III. Finanzberichte'!$AS$55,'III. Finanzberichte'!$AZ$55,'III. Finanzberichte'!$BG$55,'III. Finanzberichte'!$BN$55,'III. Finanzberichte'!$BU$55,'III. Finanzberichte'!$CB$55,'III. Finanzberichte'!$CI$55,'III. Finanzberichte'!$CP$55,'III. Finanzberichte'!$CW$55,'III. Finanzberichte'!$DD$55,'III. Finanzberichte'!$DK$55,'III. Finanzberichte'!$DR$55),"")</f>
      </c>
      <c r="N129" s="117" t="str">
        <f>=IFERROR(CHOOSE(E81,'III. Finanzberichte'!$D$55,'III. Finanzberichte'!$K$55,'III. Finanzberichte'!$R$55,'III. Finanzberichte'!$Y$55,'III. Finanzberichte'!$AF$55,'III. Finanzberichte'!$AM$55,'III. Finanzberichte'!$AT$55,'III. Finanzberichte'!$BA$55,'III. Finanzberichte'!$BH$55,'III. Finanzberichte'!$BO$55,'III. Finanzberichte'!$BV$55,'III. Finanzberichte'!$CC$55,'III. Finanzberichte'!$CJ$55,'III. Finanzberichte'!$CQ$55,'III. Finanzberichte'!$CX$55,'III. Finanzberichte'!$DE$55,'III. Finanzberichte'!$DL$55,'III. Finanzberichte'!$DS$55),"")</f>
      </c>
      <c r="O129" s="116" t="str">
        <f>=IFERROR(CHOOSE(E81,'III. Finanzberichte'!$E$55,'III. Finanzberichte'!$L$55,'III. Finanzberichte'!$S$55,'III. Finanzberichte'!$Z$55,'III. Finanzberichte'!$AG$55,'III. Finanzberichte'!$AN$55,'III. Finanzberichte'!$AU$55,'III. Finanzberichte'!$BB$55,'III. Finanzberichte'!$BI$55,'III. Finanzberichte'!$BP$55,'III. Finanzberichte'!$BW$55,'III. Finanzberichte'!$CD$55,'III. Finanzberichte'!$CK$55,'III. Finanzberichte'!$CR$55,'III. Finanzberichte'!$CY$55,'III. Finanzberichte'!$DF$55,'III. Finanzberichte'!$DM$55,'III. Finanzberichte'!$DT$55),"")</f>
      </c>
      <c r="P129" s="144" t="str">
        <f>=IFERROR(CHOOSE(E81,'III. Finanzberichte'!$F$55,'III. Finanzberichte'!$M$55,'III. Finanzberichte'!$T$55,'III. Finanzberichte'!$AA$55,'III. Finanzberichte'!$AH$55,'III. Finanzberichte'!$AO$55,'III. Finanzberichte'!$AV$55,'III. Finanzberichte'!$BC$55,'III. Finanzberichte'!$BJ$55,'III. Finanzberichte'!$BQ$55,'III. Finanzberichte'!$BX$55,'III. Finanzberichte'!$CE$55,'III. Finanzberichte'!$CL$55,'III. Finanzberichte'!$CS$55,'III. Finanzberichte'!$CZ$55,'III. Finanzberichte'!$DG$55,'III. Finanzberichte'!$DN$55,'III. Finanzberichte'!$DU$55),"")</f>
      </c>
    </row>
    <row r="130">
      <c r="L130" s="143" t="str">
        <f>=IFERROR(CHOOSE(E81,'III. Finanzberichte'!$B$56,'III. Finanzberichte'!$I$56,'III. Finanzberichte'!$P$56,'III. Finanzberichte'!$W$56,'III. Finanzberichte'!$AD$56,'III. Finanzberichte'!$AK$56,'III. Finanzberichte'!$AR$56,'III. Finanzberichte'!$AY$56,'III. Finanzberichte'!$BF$56,'III. Finanzberichte'!$BM$56,'III. Finanzberichte'!$BT$56,'III. Finanzberichte'!$CA$56,'III. Finanzberichte'!$CH$56,'III. Finanzberichte'!$CO$56,'III. Finanzberichte'!$CV$56,'III. Finanzberichte'!$DC$56,'III. Finanzberichte'!$DJ$56,'III. Finanzberichte'!$DQ$56),"")</f>
      </c>
      <c r="M130" s="116" t="str">
        <f>=IFERROR(CHOOSE(E81,'III. Finanzberichte'!$C$56,'III. Finanzberichte'!$J$56,'III. Finanzberichte'!$Q$56,'III. Finanzberichte'!$X$56,'III. Finanzberichte'!$AE$56,'III. Finanzberichte'!$AL$56,'III. Finanzberichte'!$AS$56,'III. Finanzberichte'!$AZ$56,'III. Finanzberichte'!$BG$56,'III. Finanzberichte'!$BN$56,'III. Finanzberichte'!$BU$56,'III. Finanzberichte'!$CB$56,'III. Finanzberichte'!$CI$56,'III. Finanzberichte'!$CP$56,'III. Finanzberichte'!$CW$56,'III. Finanzberichte'!$DD$56,'III. Finanzberichte'!$DK$56,'III. Finanzberichte'!$DR$56),"")</f>
      </c>
      <c r="N130" s="117" t="str">
        <f>=IFERROR(CHOOSE(E81,'III. Finanzberichte'!$D$56,'III. Finanzberichte'!$K$56,'III. Finanzberichte'!$R$56,'III. Finanzberichte'!$Y$56,'III. Finanzberichte'!$AF$56,'III. Finanzberichte'!$AM$56,'III. Finanzberichte'!$AT$56,'III. Finanzberichte'!$BA$56,'III. Finanzberichte'!$BH$56,'III. Finanzberichte'!$BO$56,'III. Finanzberichte'!$BV$56,'III. Finanzberichte'!$CC$56,'III. Finanzberichte'!$CJ$56,'III. Finanzberichte'!$CQ$56,'III. Finanzberichte'!$CX$56,'III. Finanzberichte'!$DE$56,'III. Finanzberichte'!$DL$56,'III. Finanzberichte'!$DS$56),"")</f>
      </c>
      <c r="O130" s="116" t="str">
        <f>=IFERROR(CHOOSE(E81,'III. Finanzberichte'!$E$56,'III. Finanzberichte'!$L$56,'III. Finanzberichte'!$S$56,'III. Finanzberichte'!$Z$56,'III. Finanzberichte'!$AG$56,'III. Finanzberichte'!$AN$56,'III. Finanzberichte'!$AU$56,'III. Finanzberichte'!$BB$56,'III. Finanzberichte'!$BI$56,'III. Finanzberichte'!$BP$56,'III. Finanzberichte'!$BW$56,'III. Finanzberichte'!$CD$56,'III. Finanzberichte'!$CK$56,'III. Finanzberichte'!$CR$56,'III. Finanzberichte'!$CY$56,'III. Finanzberichte'!$DF$56,'III. Finanzberichte'!$DM$56,'III. Finanzberichte'!$DT$56),"")</f>
      </c>
      <c r="P130" s="144" t="str">
        <f>=IFERROR(CHOOSE(E81,'III. Finanzberichte'!$F$56,'III. Finanzberichte'!$M$56,'III. Finanzberichte'!$T$56,'III. Finanzberichte'!$AA$56,'III. Finanzberichte'!$AH$56,'III. Finanzberichte'!$AO$56,'III. Finanzberichte'!$AV$56,'III. Finanzberichte'!$BC$56,'III. Finanzberichte'!$BJ$56,'III. Finanzberichte'!$BQ$56,'III. Finanzberichte'!$BX$56,'III. Finanzberichte'!$CE$56,'III. Finanzberichte'!$CL$56,'III. Finanzberichte'!$CS$56,'III. Finanzberichte'!$CZ$56,'III. Finanzberichte'!$DG$56,'III. Finanzberichte'!$DN$56,'III. Finanzberichte'!$DU$56),"")</f>
      </c>
    </row>
    <row r="131">
      <c r="L131" s="143" t="str">
        <f>=IFERROR(CHOOSE(E81,'III. Finanzberichte'!$B$57,'III. Finanzberichte'!$I$57,'III. Finanzberichte'!$P$57,'III. Finanzberichte'!$W$57,'III. Finanzberichte'!$AD$57,'III. Finanzberichte'!$AK$57,'III. Finanzberichte'!$AR$57,'III. Finanzberichte'!$AY$57,'III. Finanzberichte'!$BF$57,'III. Finanzberichte'!$BM$57,'III. Finanzberichte'!$BT$57,'III. Finanzberichte'!$CA$57,'III. Finanzberichte'!$CH$57,'III. Finanzberichte'!$CO$57,'III. Finanzberichte'!$CV$57,'III. Finanzberichte'!$DC$57,'III. Finanzberichte'!$DJ$57,'III. Finanzberichte'!$DQ$57),"")</f>
      </c>
      <c r="M131" s="116" t="str">
        <f>=IFERROR(CHOOSE(E81,'III. Finanzberichte'!$C$57,'III. Finanzberichte'!$J$57,'III. Finanzberichte'!$Q$57,'III. Finanzberichte'!$X$57,'III. Finanzberichte'!$AE$57,'III. Finanzberichte'!$AL$57,'III. Finanzberichte'!$AS$57,'III. Finanzberichte'!$AZ$57,'III. Finanzberichte'!$BG$57,'III. Finanzberichte'!$BN$57,'III. Finanzberichte'!$BU$57,'III. Finanzberichte'!$CB$57,'III. Finanzberichte'!$CI$57,'III. Finanzberichte'!$CP$57,'III. Finanzberichte'!$CW$57,'III. Finanzberichte'!$DD$57,'III. Finanzberichte'!$DK$57,'III. Finanzberichte'!$DR$57),"")</f>
      </c>
      <c r="N131" s="117" t="str">
        <f>=IFERROR(CHOOSE(E81,'III. Finanzberichte'!$D$57,'III. Finanzberichte'!$K$57,'III. Finanzberichte'!$R$57,'III. Finanzberichte'!$Y$57,'III. Finanzberichte'!$AF$57,'III. Finanzberichte'!$AM$57,'III. Finanzberichte'!$AT$57,'III. Finanzberichte'!$BA$57,'III. Finanzberichte'!$BH$57,'III. Finanzberichte'!$BO$57,'III. Finanzberichte'!$BV$57,'III. Finanzberichte'!$CC$57,'III. Finanzberichte'!$CJ$57,'III. Finanzberichte'!$CQ$57,'III. Finanzberichte'!$CX$57,'III. Finanzberichte'!$DE$57,'III. Finanzberichte'!$DL$57,'III. Finanzberichte'!$DS$57),"")</f>
      </c>
      <c r="O131" s="116" t="str">
        <f>=IFERROR(CHOOSE(E81,'III. Finanzberichte'!$E$57,'III. Finanzberichte'!$L$57,'III. Finanzberichte'!$S$57,'III. Finanzberichte'!$Z$57,'III. Finanzberichte'!$AG$57,'III. Finanzberichte'!$AN$57,'III. Finanzberichte'!$AU$57,'III. Finanzberichte'!$BB$57,'III. Finanzberichte'!$BI$57,'III. Finanzberichte'!$BP$57,'III. Finanzberichte'!$BW$57,'III. Finanzberichte'!$CD$57,'III. Finanzberichte'!$CK$57,'III. Finanzberichte'!$CR$57,'III. Finanzberichte'!$CY$57,'III. Finanzberichte'!$DF$57,'III. Finanzberichte'!$DM$57,'III. Finanzberichte'!$DT$57),"")</f>
      </c>
      <c r="P131" s="144" t="str">
        <f>=IFERROR(CHOOSE(E81,'III. Finanzberichte'!$F$57,'III. Finanzberichte'!$M$57,'III. Finanzberichte'!$T$57,'III. Finanzberichte'!$AA$57,'III. Finanzberichte'!$AH$57,'III. Finanzberichte'!$AO$57,'III. Finanzberichte'!$AV$57,'III. Finanzberichte'!$BC$57,'III. Finanzberichte'!$BJ$57,'III. Finanzberichte'!$BQ$57,'III. Finanzberichte'!$BX$57,'III. Finanzberichte'!$CE$57,'III. Finanzberichte'!$CL$57,'III. Finanzberichte'!$CS$57,'III. Finanzberichte'!$CZ$57,'III. Finanzberichte'!$DG$57,'III. Finanzberichte'!$DN$57,'III. Finanzberichte'!$DU$57),"")</f>
      </c>
    </row>
    <row r="132">
      <c r="L132" s="143" t="str">
        <f>=IFERROR(CHOOSE(E81,'III. Finanzberichte'!$B$58,'III. Finanzberichte'!$I$58,'III. Finanzberichte'!$P$58,'III. Finanzberichte'!$W$58,'III. Finanzberichte'!$AD$58,'III. Finanzberichte'!$AK$58,'III. Finanzberichte'!$AR$58,'III. Finanzberichte'!$AY$58,'III. Finanzberichte'!$BF$58,'III. Finanzberichte'!$BM$58,'III. Finanzberichte'!$BT$58,'III. Finanzberichte'!$CA$58,'III. Finanzberichte'!$CH$58,'III. Finanzberichte'!$CO$58,'III. Finanzberichte'!$CV$58,'III. Finanzberichte'!$DC$58,'III. Finanzberichte'!$DJ$58,'III. Finanzberichte'!$DQ$58),"")</f>
      </c>
      <c r="M132" s="116" t="str">
        <f>=IFERROR(CHOOSE(E81,'III. Finanzberichte'!$C$58,'III. Finanzberichte'!$J$58,'III. Finanzberichte'!$Q$58,'III. Finanzberichte'!$X$58,'III. Finanzberichte'!$AE$58,'III. Finanzberichte'!$AL$58,'III. Finanzberichte'!$AS$58,'III. Finanzberichte'!$AZ$58,'III. Finanzberichte'!$BG$58,'III. Finanzberichte'!$BN$58,'III. Finanzberichte'!$BU$58,'III. Finanzberichte'!$CB$58,'III. Finanzberichte'!$CI$58,'III. Finanzberichte'!$CP$58,'III. Finanzberichte'!$CW$58,'III. Finanzberichte'!$DD$58,'III. Finanzberichte'!$DK$58,'III. Finanzberichte'!$DR$58),"")</f>
      </c>
      <c r="N132" s="117" t="str">
        <f>=IFERROR(CHOOSE(E81,'III. Finanzberichte'!$D$58,'III. Finanzberichte'!$K$58,'III. Finanzberichte'!$R$58,'III. Finanzberichte'!$Y$58,'III. Finanzberichte'!$AF$58,'III. Finanzberichte'!$AM$58,'III. Finanzberichte'!$AT$58,'III. Finanzberichte'!$BA$58,'III. Finanzberichte'!$BH$58,'III. Finanzberichte'!$BO$58,'III. Finanzberichte'!$BV$58,'III. Finanzberichte'!$CC$58,'III. Finanzberichte'!$CJ$58,'III. Finanzberichte'!$CQ$58,'III. Finanzberichte'!$CX$58,'III. Finanzberichte'!$DE$58,'III. Finanzberichte'!$DL$58,'III. Finanzberichte'!$DS$58),"")</f>
      </c>
      <c r="O132" s="116" t="str">
        <f>=IFERROR(CHOOSE(E81,'III. Finanzberichte'!$E$58,'III. Finanzberichte'!$L$58,'III. Finanzberichte'!$S$58,'III. Finanzberichte'!$Z$58,'III. Finanzberichte'!$AG$58,'III. Finanzberichte'!$AN$58,'III. Finanzberichte'!$AU$58,'III. Finanzberichte'!$BB$58,'III. Finanzberichte'!$BI$58,'III. Finanzberichte'!$BP$58,'III. Finanzberichte'!$BW$58,'III. Finanzberichte'!$CD$58,'III. Finanzberichte'!$CK$58,'III. Finanzberichte'!$CR$58,'III. Finanzberichte'!$CY$58,'III. Finanzberichte'!$DF$58,'III. Finanzberichte'!$DM$58,'III. Finanzberichte'!$DT$58),"")</f>
      </c>
      <c r="P132" s="144" t="str">
        <f>=IFERROR(CHOOSE(E81,'III. Finanzberichte'!$F$58,'III. Finanzberichte'!$M$58,'III. Finanzberichte'!$T$58,'III. Finanzberichte'!$AA$58,'III. Finanzberichte'!$AH$58,'III. Finanzberichte'!$AO$58,'III. Finanzberichte'!$AV$58,'III. Finanzberichte'!$BC$58,'III. Finanzberichte'!$BJ$58,'III. Finanzberichte'!$BQ$58,'III. Finanzberichte'!$BX$58,'III. Finanzberichte'!$CE$58,'III. Finanzberichte'!$CL$58,'III. Finanzberichte'!$CS$58,'III. Finanzberichte'!$CZ$58,'III. Finanzberichte'!$DG$58,'III. Finanzberichte'!$DN$58,'III. Finanzberichte'!$DU$58),"")</f>
      </c>
    </row>
    <row r="133">
      <c r="L133" s="143" t="str">
        <f>=IFERROR(CHOOSE(E81,'III. Finanzberichte'!$B$59,'III. Finanzberichte'!$I$59,'III. Finanzberichte'!$P$59,'III. Finanzberichte'!$W$59,'III. Finanzberichte'!$AD$59,'III. Finanzberichte'!$AK$59,'III. Finanzberichte'!$AR$59,'III. Finanzberichte'!$AY$59,'III. Finanzberichte'!$BF$59,'III. Finanzberichte'!$BM$59,'III. Finanzberichte'!$BT$59,'III. Finanzberichte'!$CA$59,'III. Finanzberichte'!$CH$59,'III. Finanzberichte'!$CO$59,'III. Finanzberichte'!$CV$59,'III. Finanzberichte'!$DC$59,'III. Finanzberichte'!$DJ$59,'III. Finanzberichte'!$DQ$59),"")</f>
      </c>
      <c r="M133" s="116" t="str">
        <f>=IFERROR(CHOOSE(E81,'III. Finanzberichte'!$C$59,'III. Finanzberichte'!$J$59,'III. Finanzberichte'!$Q$59,'III. Finanzberichte'!$X$59,'III. Finanzberichte'!$AE$59,'III. Finanzberichte'!$AL$59,'III. Finanzberichte'!$AS$59,'III. Finanzberichte'!$AZ$59,'III. Finanzberichte'!$BG$59,'III. Finanzberichte'!$BN$59,'III. Finanzberichte'!$BU$59,'III. Finanzberichte'!$CB$59,'III. Finanzberichte'!$CI$59,'III. Finanzberichte'!$CP$59,'III. Finanzberichte'!$CW$59,'III. Finanzberichte'!$DD$59,'III. Finanzberichte'!$DK$59,'III. Finanzberichte'!$DR$59),"")</f>
      </c>
      <c r="N133" s="117" t="str">
        <f>=IFERROR(CHOOSE(E81,'III. Finanzberichte'!$D$59,'III. Finanzberichte'!$K$59,'III. Finanzberichte'!$R$59,'III. Finanzberichte'!$Y$59,'III. Finanzberichte'!$AF$59,'III. Finanzberichte'!$AM$59,'III. Finanzberichte'!$AT$59,'III. Finanzberichte'!$BA$59,'III. Finanzberichte'!$BH$59,'III. Finanzberichte'!$BO$59,'III. Finanzberichte'!$BV$59,'III. Finanzberichte'!$CC$59,'III. Finanzberichte'!$CJ$59,'III. Finanzberichte'!$CQ$59,'III. Finanzberichte'!$CX$59,'III. Finanzberichte'!$DE$59,'III. Finanzberichte'!$DL$59,'III. Finanzberichte'!$DS$59),"")</f>
      </c>
      <c r="O133" s="116" t="str">
        <f>=IFERROR(CHOOSE(E81,'III. Finanzberichte'!$E$59,'III. Finanzberichte'!$L$59,'III. Finanzberichte'!$S$59,'III. Finanzberichte'!$Z$59,'III. Finanzberichte'!$AG$59,'III. Finanzberichte'!$AN$59,'III. Finanzberichte'!$AU$59,'III. Finanzberichte'!$BB$59,'III. Finanzberichte'!$BI$59,'III. Finanzberichte'!$BP$59,'III. Finanzberichte'!$BW$59,'III. Finanzberichte'!$CD$59,'III. Finanzberichte'!$CK$59,'III. Finanzberichte'!$CR$59,'III. Finanzberichte'!$CY$59,'III. Finanzberichte'!$DF$59,'III. Finanzberichte'!$DM$59,'III. Finanzberichte'!$DT$59),"")</f>
      </c>
      <c r="P133" s="144" t="str">
        <f>=IFERROR(CHOOSE(E81,'III. Finanzberichte'!$F$59,'III. Finanzberichte'!$M$59,'III. Finanzberichte'!$T$59,'III. Finanzberichte'!$AA$59,'III. Finanzberichte'!$AH$59,'III. Finanzberichte'!$AO$59,'III. Finanzberichte'!$AV$59,'III. Finanzberichte'!$BC$59,'III. Finanzberichte'!$BJ$59,'III. Finanzberichte'!$BQ$59,'III. Finanzberichte'!$BX$59,'III. Finanzberichte'!$CE$59,'III. Finanzberichte'!$CL$59,'III. Finanzberichte'!$CS$59,'III. Finanzberichte'!$CZ$59,'III. Finanzberichte'!$DG$59,'III. Finanzberichte'!$DN$59,'III. Finanzberichte'!$DU$59),"")</f>
      </c>
    </row>
    <row r="134">
      <c r="L134" s="143" t="str">
        <f>=IFERROR(CHOOSE(E81,'III. Finanzberichte'!$B$60,'III. Finanzberichte'!$I$60,'III. Finanzberichte'!$P$60,'III. Finanzberichte'!$W$60,'III. Finanzberichte'!$AD$60,'III. Finanzberichte'!$AK$60,'III. Finanzberichte'!$AR$60,'III. Finanzberichte'!$AY$60,'III. Finanzberichte'!$BF$60,'III. Finanzberichte'!$BM$60,'III. Finanzberichte'!$BT$60,'III. Finanzberichte'!$CA$60,'III. Finanzberichte'!$CH$60,'III. Finanzberichte'!$CO$60,'III. Finanzberichte'!$CV$60,'III. Finanzberichte'!$DC$60,'III. Finanzberichte'!$DJ$60,'III. Finanzberichte'!$DQ$60),"")</f>
      </c>
      <c r="M134" s="116" t="str">
        <f>=IFERROR(CHOOSE(E81,'III. Finanzberichte'!$C$60,'III. Finanzberichte'!$J$60,'III. Finanzberichte'!$Q$60,'III. Finanzberichte'!$X$60,'III. Finanzberichte'!$AE$60,'III. Finanzberichte'!$AL$60,'III. Finanzberichte'!$AS$60,'III. Finanzberichte'!$AZ$60,'III. Finanzberichte'!$BG$60,'III. Finanzberichte'!$BN$60,'III. Finanzberichte'!$BU$60,'III. Finanzberichte'!$CB$60,'III. Finanzberichte'!$CI$60,'III. Finanzberichte'!$CP$60,'III. Finanzberichte'!$CW$60,'III. Finanzberichte'!$DD$60,'III. Finanzberichte'!$DK$60,'III. Finanzberichte'!$DR$60),"")</f>
      </c>
      <c r="N134" s="117" t="str">
        <f>=IFERROR(CHOOSE(E81,'III. Finanzberichte'!$D$60,'III. Finanzberichte'!$K$60,'III. Finanzberichte'!$R$60,'III. Finanzberichte'!$Y$60,'III. Finanzberichte'!$AF$60,'III. Finanzberichte'!$AM$60,'III. Finanzberichte'!$AT$60,'III. Finanzberichte'!$BA$60,'III. Finanzberichte'!$BH$60,'III. Finanzberichte'!$BO$60,'III. Finanzberichte'!$BV$60,'III. Finanzberichte'!$CC$60,'III. Finanzberichte'!$CJ$60,'III. Finanzberichte'!$CQ$60,'III. Finanzberichte'!$CX$60,'III. Finanzberichte'!$DE$60,'III. Finanzberichte'!$DL$60,'III. Finanzberichte'!$DS$60),"")</f>
      </c>
      <c r="O134" s="116" t="str">
        <f>=IFERROR(CHOOSE(E81,'III. Finanzberichte'!$E$60,'III. Finanzberichte'!$L$60,'III. Finanzberichte'!$S$60,'III. Finanzberichte'!$Z$60,'III. Finanzberichte'!$AG$60,'III. Finanzberichte'!$AN$60,'III. Finanzberichte'!$AU$60,'III. Finanzberichte'!$BB$60,'III. Finanzberichte'!$BI$60,'III. Finanzberichte'!$BP$60,'III. Finanzberichte'!$BW$60,'III. Finanzberichte'!$CD$60,'III. Finanzberichte'!$CK$60,'III. Finanzberichte'!$CR$60,'III. Finanzberichte'!$CY$60,'III. Finanzberichte'!$DF$60,'III. Finanzberichte'!$DM$60,'III. Finanzberichte'!$DT$60),"")</f>
      </c>
      <c r="P134" s="144" t="str">
        <f>=IFERROR(CHOOSE(E81,'III. Finanzberichte'!$F$60,'III. Finanzberichte'!$M$60,'III. Finanzberichte'!$T$60,'III. Finanzberichte'!$AA$60,'III. Finanzberichte'!$AH$60,'III. Finanzberichte'!$AO$60,'III. Finanzberichte'!$AV$60,'III. Finanzberichte'!$BC$60,'III. Finanzberichte'!$BJ$60,'III. Finanzberichte'!$BQ$60,'III. Finanzberichte'!$BX$60,'III. Finanzberichte'!$CE$60,'III. Finanzberichte'!$CL$60,'III. Finanzberichte'!$CS$60,'III. Finanzberichte'!$CZ$60,'III. Finanzberichte'!$DG$60,'III. Finanzberichte'!$DN$60,'III. Finanzberichte'!$DU$60),"")</f>
      </c>
    </row>
    <row r="135">
      <c r="L135" s="143" t="str">
        <f>=IFERROR(CHOOSE(E81,'III. Finanzberichte'!$B$61,'III. Finanzberichte'!$I$61,'III. Finanzberichte'!$P$61,'III. Finanzberichte'!$W$61,'III. Finanzberichte'!$AD$61,'III. Finanzberichte'!$AK$61,'III. Finanzberichte'!$AR$61,'III. Finanzberichte'!$AY$61,'III. Finanzberichte'!$BF$61,'III. Finanzberichte'!$BM$61,'III. Finanzberichte'!$BT$61,'III. Finanzberichte'!$CA$61,'III. Finanzberichte'!$CH$61,'III. Finanzberichte'!$CO$61,'III. Finanzberichte'!$CV$61,'III. Finanzberichte'!$DC$61,'III. Finanzberichte'!$DJ$61,'III. Finanzberichte'!$DQ$61),"")</f>
      </c>
      <c r="M135" s="116" t="str">
        <f>=IFERROR(CHOOSE(E81,'III. Finanzberichte'!$C$61,'III. Finanzberichte'!$J$61,'III. Finanzberichte'!$Q$61,'III. Finanzberichte'!$X$61,'III. Finanzberichte'!$AE$61,'III. Finanzberichte'!$AL$61,'III. Finanzberichte'!$AS$61,'III. Finanzberichte'!$AZ$61,'III. Finanzberichte'!$BG$61,'III. Finanzberichte'!$BN$61,'III. Finanzberichte'!$BU$61,'III. Finanzberichte'!$CB$61,'III. Finanzberichte'!$CI$61,'III. Finanzberichte'!$CP$61,'III. Finanzberichte'!$CW$61,'III. Finanzberichte'!$DD$61,'III. Finanzberichte'!$DK$61,'III. Finanzberichte'!$DR$61),"")</f>
      </c>
      <c r="N135" s="117" t="str">
        <f>=IFERROR(CHOOSE(E81,'III. Finanzberichte'!$D$61,'III. Finanzberichte'!$K$61,'III. Finanzberichte'!$R$61,'III. Finanzberichte'!$Y$61,'III. Finanzberichte'!$AF$61,'III. Finanzberichte'!$AM$61,'III. Finanzberichte'!$AT$61,'III. Finanzberichte'!$BA$61,'III. Finanzberichte'!$BH$61,'III. Finanzberichte'!$BO$61,'III. Finanzberichte'!$BV$61,'III. Finanzberichte'!$CC$61,'III. Finanzberichte'!$CJ$61,'III. Finanzberichte'!$CQ$61,'III. Finanzberichte'!$CX$61,'III. Finanzberichte'!$DE$61,'III. Finanzberichte'!$DL$61,'III. Finanzberichte'!$DS$61),"")</f>
      </c>
      <c r="O135" s="116" t="str">
        <f>=IFERROR(CHOOSE(E81,'III. Finanzberichte'!$E$61,'III. Finanzberichte'!$L$61,'III. Finanzberichte'!$S$61,'III. Finanzberichte'!$Z$61,'III. Finanzberichte'!$AG$61,'III. Finanzberichte'!$AN$61,'III. Finanzberichte'!$AU$61,'III. Finanzberichte'!$BB$61,'III. Finanzberichte'!$BI$61,'III. Finanzberichte'!$BP$61,'III. Finanzberichte'!$BW$61,'III. Finanzberichte'!$CD$61,'III. Finanzberichte'!$CK$61,'III. Finanzberichte'!$CR$61,'III. Finanzberichte'!$CY$61,'III. Finanzberichte'!$DF$61,'III. Finanzberichte'!$DM$61,'III. Finanzberichte'!$DT$61),"")</f>
      </c>
      <c r="P135" s="144" t="str">
        <f>=IFERROR(CHOOSE(E81,'III. Finanzberichte'!$F$61,'III. Finanzberichte'!$M$61,'III. Finanzberichte'!$T$61,'III. Finanzberichte'!$AA$61,'III. Finanzberichte'!$AH$61,'III. Finanzberichte'!$AO$61,'III. Finanzberichte'!$AV$61,'III. Finanzberichte'!$BC$61,'III. Finanzberichte'!$BJ$61,'III. Finanzberichte'!$BQ$61,'III. Finanzberichte'!$BX$61,'III. Finanzberichte'!$CE$61,'III. Finanzberichte'!$CL$61,'III. Finanzberichte'!$CS$61,'III. Finanzberichte'!$CZ$61,'III. Finanzberichte'!$DG$61,'III. Finanzberichte'!$DN$61,'III. Finanzberichte'!$DU$61),"")</f>
      </c>
    </row>
    <row r="136">
      <c r="L136" s="143" t="str">
        <f>=IFERROR(CHOOSE(E81,'III. Finanzberichte'!$B$62,'III. Finanzberichte'!$I$62,'III. Finanzberichte'!$P$62,'III. Finanzberichte'!$W$62,'III. Finanzberichte'!$AD$62,'III. Finanzberichte'!$AK$62,'III. Finanzberichte'!$AR$62,'III. Finanzberichte'!$AY$62,'III. Finanzberichte'!$BF$62,'III. Finanzberichte'!$BM$62,'III. Finanzberichte'!$BT$62,'III. Finanzberichte'!$CA$62,'III. Finanzberichte'!$CH$62,'III. Finanzberichte'!$CO$62,'III. Finanzberichte'!$CV$62,'III. Finanzberichte'!$DC$62,'III. Finanzberichte'!$DJ$62,'III. Finanzberichte'!$DQ$62),"")</f>
      </c>
      <c r="M136" s="116" t="str">
        <f>=IFERROR(CHOOSE(E81,'III. Finanzberichte'!$C$62,'III. Finanzberichte'!$J$62,'III. Finanzberichte'!$Q$62,'III. Finanzberichte'!$X$62,'III. Finanzberichte'!$AE$62,'III. Finanzberichte'!$AL$62,'III. Finanzberichte'!$AS$62,'III. Finanzberichte'!$AZ$62,'III. Finanzberichte'!$BG$62,'III. Finanzberichte'!$BN$62,'III. Finanzberichte'!$BU$62,'III. Finanzberichte'!$CB$62,'III. Finanzberichte'!$CI$62,'III. Finanzberichte'!$CP$62,'III. Finanzberichte'!$CW$62,'III. Finanzberichte'!$DD$62,'III. Finanzberichte'!$DK$62,'III. Finanzberichte'!$DR$62),"")</f>
      </c>
      <c r="N136" s="117" t="str">
        <f>=IFERROR(CHOOSE(E81,'III. Finanzberichte'!$D$62,'III. Finanzberichte'!$K$62,'III. Finanzberichte'!$R$62,'III. Finanzberichte'!$Y$62,'III. Finanzberichte'!$AF$62,'III. Finanzberichte'!$AM$62,'III. Finanzberichte'!$AT$62,'III. Finanzberichte'!$BA$62,'III. Finanzberichte'!$BH$62,'III. Finanzberichte'!$BO$62,'III. Finanzberichte'!$BV$62,'III. Finanzberichte'!$CC$62,'III. Finanzberichte'!$CJ$62,'III. Finanzberichte'!$CQ$62,'III. Finanzberichte'!$CX$62,'III. Finanzberichte'!$DE$62,'III. Finanzberichte'!$DL$62,'III. Finanzberichte'!$DS$62),"")</f>
      </c>
      <c r="O136" s="116" t="str">
        <f>=IFERROR(CHOOSE(E81,'III. Finanzberichte'!$E$62,'III. Finanzberichte'!$L$62,'III. Finanzberichte'!$S$62,'III. Finanzberichte'!$Z$62,'III. Finanzberichte'!$AG$62,'III. Finanzberichte'!$AN$62,'III. Finanzberichte'!$AU$62,'III. Finanzberichte'!$BB$62,'III. Finanzberichte'!$BI$62,'III. Finanzberichte'!$BP$62,'III. Finanzberichte'!$BW$62,'III. Finanzberichte'!$CD$62,'III. Finanzberichte'!$CK$62,'III. Finanzberichte'!$CR$62,'III. Finanzberichte'!$CY$62,'III. Finanzberichte'!$DF$62,'III. Finanzberichte'!$DM$62,'III. Finanzberichte'!$DT$62),"")</f>
      </c>
      <c r="P136" s="144" t="str">
        <f>=IFERROR(CHOOSE(E81,'III. Finanzberichte'!$F$62,'III. Finanzberichte'!$M$62,'III. Finanzberichte'!$T$62,'III. Finanzberichte'!$AA$62,'III. Finanzberichte'!$AH$62,'III. Finanzberichte'!$AO$62,'III. Finanzberichte'!$AV$62,'III. Finanzberichte'!$BC$62,'III. Finanzberichte'!$BJ$62,'III. Finanzberichte'!$BQ$62,'III. Finanzberichte'!$BX$62,'III. Finanzberichte'!$CE$62,'III. Finanzberichte'!$CL$62,'III. Finanzberichte'!$CS$62,'III. Finanzberichte'!$CZ$62,'III. Finanzberichte'!$DG$62,'III. Finanzberichte'!$DN$62,'III. Finanzberichte'!$DU$62),"")</f>
      </c>
    </row>
    <row r="137">
      <c r="L137" s="143" t="str">
        <f>=IFERROR(CHOOSE(E81,'III. Finanzberichte'!$B$63,'III. Finanzberichte'!$I$63,'III. Finanzberichte'!$P$63,'III. Finanzberichte'!$W$63,'III. Finanzberichte'!$AD$63,'III. Finanzberichte'!$AK$63,'III. Finanzberichte'!$AR$63,'III. Finanzberichte'!$AY$63,'III. Finanzberichte'!$BF$63,'III. Finanzberichte'!$BM$63,'III. Finanzberichte'!$BT$63,'III. Finanzberichte'!$CA$63,'III. Finanzberichte'!$CH$63,'III. Finanzberichte'!$CO$63,'III. Finanzberichte'!$CV$63,'III. Finanzberichte'!$DC$63,'III. Finanzberichte'!$DJ$63,'III. Finanzberichte'!$DQ$63),"")</f>
      </c>
      <c r="M137" s="116" t="str">
        <f>=IFERROR(CHOOSE(E81,'III. Finanzberichte'!$C$63,'III. Finanzberichte'!$J$63,'III. Finanzberichte'!$Q$63,'III. Finanzberichte'!$X$63,'III. Finanzberichte'!$AE$63,'III. Finanzberichte'!$AL$63,'III. Finanzberichte'!$AS$63,'III. Finanzberichte'!$AZ$63,'III. Finanzberichte'!$BG$63,'III. Finanzberichte'!$BN$63,'III. Finanzberichte'!$BU$63,'III. Finanzberichte'!$CB$63,'III. Finanzberichte'!$CI$63,'III. Finanzberichte'!$CP$63,'III. Finanzberichte'!$CW$63,'III. Finanzberichte'!$DD$63,'III. Finanzberichte'!$DK$63,'III. Finanzberichte'!$DR$63),"")</f>
      </c>
      <c r="N137" s="117" t="str">
        <f>=IFERROR(CHOOSE(E81,'III. Finanzberichte'!$D$63,'III. Finanzberichte'!$K$63,'III. Finanzberichte'!$R$63,'III. Finanzberichte'!$Y$63,'III. Finanzberichte'!$AF$63,'III. Finanzberichte'!$AM$63,'III. Finanzberichte'!$AT$63,'III. Finanzberichte'!$BA$63,'III. Finanzberichte'!$BH$63,'III. Finanzberichte'!$BO$63,'III. Finanzberichte'!$BV$63,'III. Finanzberichte'!$CC$63,'III. Finanzberichte'!$CJ$63,'III. Finanzberichte'!$CQ$63,'III. Finanzberichte'!$CX$63,'III. Finanzberichte'!$DE$63,'III. Finanzberichte'!$DL$63,'III. Finanzberichte'!$DS$63),"")</f>
      </c>
      <c r="O137" s="116" t="str">
        <f>=IFERROR(CHOOSE(E81,'III. Finanzberichte'!$E$63,'III. Finanzberichte'!$L$63,'III. Finanzberichte'!$S$63,'III. Finanzberichte'!$Z$63,'III. Finanzberichte'!$AG$63,'III. Finanzberichte'!$AN$63,'III. Finanzberichte'!$AU$63,'III. Finanzberichte'!$BB$63,'III. Finanzberichte'!$BI$63,'III. Finanzberichte'!$BP$63,'III. Finanzberichte'!$BW$63,'III. Finanzberichte'!$CD$63,'III. Finanzberichte'!$CK$63,'III. Finanzberichte'!$CR$63,'III. Finanzberichte'!$CY$63,'III. Finanzberichte'!$DF$63,'III. Finanzberichte'!$DM$63,'III. Finanzberichte'!$DT$63),"")</f>
      </c>
      <c r="P137" s="144" t="str">
        <f>=IFERROR(CHOOSE(E81,'III. Finanzberichte'!$F$63,'III. Finanzberichte'!$M$63,'III. Finanzberichte'!$T$63,'III. Finanzberichte'!$AA$63,'III. Finanzberichte'!$AH$63,'III. Finanzberichte'!$AO$63,'III. Finanzberichte'!$AV$63,'III. Finanzberichte'!$BC$63,'III. Finanzberichte'!$BJ$63,'III. Finanzberichte'!$BQ$63,'III. Finanzberichte'!$BX$63,'III. Finanzberichte'!$CE$63,'III. Finanzberichte'!$CL$63,'III. Finanzberichte'!$CS$63,'III. Finanzberichte'!$CZ$63,'III. Finanzberichte'!$DG$63,'III. Finanzberichte'!$DN$63,'III. Finanzberichte'!$DU$63),"")</f>
      </c>
    </row>
    <row r="138">
      <c r="L138" s="143" t="str">
        <f>=IFERROR(CHOOSE(E81,'III. Finanzberichte'!$B$64,'III. Finanzberichte'!$I$64,'III. Finanzberichte'!$P$64,'III. Finanzberichte'!$W$64,'III. Finanzberichte'!$AD$64,'III. Finanzberichte'!$AK$64,'III. Finanzberichte'!$AR$64,'III. Finanzberichte'!$AY$64,'III. Finanzberichte'!$BF$64,'III. Finanzberichte'!$BM$64,'III. Finanzberichte'!$BT$64,'III. Finanzberichte'!$CA$64,'III. Finanzberichte'!$CH$64,'III. Finanzberichte'!$CO$64,'III. Finanzberichte'!$CV$64,'III. Finanzberichte'!$DC$64,'III. Finanzberichte'!$DJ$64,'III. Finanzberichte'!$DQ$64),"")</f>
      </c>
      <c r="M138" s="116" t="str">
        <f>=IFERROR(CHOOSE(E81,'III. Finanzberichte'!$C$64,'III. Finanzberichte'!$J$64,'III. Finanzberichte'!$Q$64,'III. Finanzberichte'!$X$64,'III. Finanzberichte'!$AE$64,'III. Finanzberichte'!$AL$64,'III. Finanzberichte'!$AS$64,'III. Finanzberichte'!$AZ$64,'III. Finanzberichte'!$BG$64,'III. Finanzberichte'!$BN$64,'III. Finanzberichte'!$BU$64,'III. Finanzberichte'!$CB$64,'III. Finanzberichte'!$CI$64,'III. Finanzberichte'!$CP$64,'III. Finanzberichte'!$CW$64,'III. Finanzberichte'!$DD$64,'III. Finanzberichte'!$DK$64,'III. Finanzberichte'!$DR$64),"")</f>
      </c>
      <c r="N138" s="117" t="str">
        <f>=IFERROR(CHOOSE(E81,'III. Finanzberichte'!$D$64,'III. Finanzberichte'!$K$64,'III. Finanzberichte'!$R$64,'III. Finanzberichte'!$Y$64,'III. Finanzberichte'!$AF$64,'III. Finanzberichte'!$AM$64,'III. Finanzberichte'!$AT$64,'III. Finanzberichte'!$BA$64,'III. Finanzberichte'!$BH$64,'III. Finanzberichte'!$BO$64,'III. Finanzberichte'!$BV$64,'III. Finanzberichte'!$CC$64,'III. Finanzberichte'!$CJ$64,'III. Finanzberichte'!$CQ$64,'III. Finanzberichte'!$CX$64,'III. Finanzberichte'!$DE$64,'III. Finanzberichte'!$DL$64,'III. Finanzberichte'!$DS$64),"")</f>
      </c>
      <c r="O138" s="116" t="str">
        <f>=IFERROR(CHOOSE(E81,'III. Finanzberichte'!$E$64,'III. Finanzberichte'!$L$64,'III. Finanzberichte'!$S$64,'III. Finanzberichte'!$Z$64,'III. Finanzberichte'!$AG$64,'III. Finanzberichte'!$AN$64,'III. Finanzberichte'!$AU$64,'III. Finanzberichte'!$BB$64,'III. Finanzberichte'!$BI$64,'III. Finanzberichte'!$BP$64,'III. Finanzberichte'!$BW$64,'III. Finanzberichte'!$CD$64,'III. Finanzberichte'!$CK$64,'III. Finanzberichte'!$CR$64,'III. Finanzberichte'!$CY$64,'III. Finanzberichte'!$DF$64,'III. Finanzberichte'!$DM$64,'III. Finanzberichte'!$DT$64),"")</f>
      </c>
      <c r="P138" s="144" t="str">
        <f>=IFERROR(CHOOSE(E81,'III. Finanzberichte'!$F$64,'III. Finanzberichte'!$M$64,'III. Finanzberichte'!$T$64,'III. Finanzberichte'!$AA$64,'III. Finanzberichte'!$AH$64,'III. Finanzberichte'!$AO$64,'III. Finanzberichte'!$AV$64,'III. Finanzberichte'!$BC$64,'III. Finanzberichte'!$BJ$64,'III. Finanzberichte'!$BQ$64,'III. Finanzberichte'!$BX$64,'III. Finanzberichte'!$CE$64,'III. Finanzberichte'!$CL$64,'III. Finanzberichte'!$CS$64,'III. Finanzberichte'!$CZ$64,'III. Finanzberichte'!$DG$64,'III. Finanzberichte'!$DN$64,'III. Finanzberichte'!$DU$64),"")</f>
      </c>
    </row>
    <row r="139">
      <c r="L139" s="143" t="str">
        <f>=IFERROR(CHOOSE(E81,'III. Finanzberichte'!$B$65,'III. Finanzberichte'!$I$65,'III. Finanzberichte'!$P$65,'III. Finanzberichte'!$W$65,'III. Finanzberichte'!$AD$65,'III. Finanzberichte'!$AK$65,'III. Finanzberichte'!$AR$65,'III. Finanzberichte'!$AY$65,'III. Finanzberichte'!$BF$65,'III. Finanzberichte'!$BM$65,'III. Finanzberichte'!$BT$65,'III. Finanzberichte'!$CA$65,'III. Finanzberichte'!$CH$65,'III. Finanzberichte'!$CO$65,'III. Finanzberichte'!$CV$65,'III. Finanzberichte'!$DC$65,'III. Finanzberichte'!$DJ$65,'III. Finanzberichte'!$DQ$65),"")</f>
      </c>
      <c r="M139" s="116" t="str">
        <f>=IFERROR(CHOOSE(E81,'III. Finanzberichte'!$C$65,'III. Finanzberichte'!$J$65,'III. Finanzberichte'!$Q$65,'III. Finanzberichte'!$X$65,'III. Finanzberichte'!$AE$65,'III. Finanzberichte'!$AL$65,'III. Finanzberichte'!$AS$65,'III. Finanzberichte'!$AZ$65,'III. Finanzberichte'!$BG$65,'III. Finanzberichte'!$BN$65,'III. Finanzberichte'!$BU$65,'III. Finanzberichte'!$CB$65,'III. Finanzberichte'!$CI$65,'III. Finanzberichte'!$CP$65,'III. Finanzberichte'!$CW$65,'III. Finanzberichte'!$DD$65,'III. Finanzberichte'!$DK$65,'III. Finanzberichte'!$DR$65),"")</f>
      </c>
      <c r="N139" s="117" t="str">
        <f>=IFERROR(CHOOSE(E81,'III. Finanzberichte'!$D$65,'III. Finanzberichte'!$K$65,'III. Finanzberichte'!$R$65,'III. Finanzberichte'!$Y$65,'III. Finanzberichte'!$AF$65,'III. Finanzberichte'!$AM$65,'III. Finanzberichte'!$AT$65,'III. Finanzberichte'!$BA$65,'III. Finanzberichte'!$BH$65,'III. Finanzberichte'!$BO$65,'III. Finanzberichte'!$BV$65,'III. Finanzberichte'!$CC$65,'III. Finanzberichte'!$CJ$65,'III. Finanzberichte'!$CQ$65,'III. Finanzberichte'!$CX$65,'III. Finanzberichte'!$DE$65,'III. Finanzberichte'!$DL$65,'III. Finanzberichte'!$DS$65),"")</f>
      </c>
      <c r="O139" s="116" t="str">
        <f>=IFERROR(CHOOSE(E81,'III. Finanzberichte'!$E$65,'III. Finanzberichte'!$L$65,'III. Finanzberichte'!$S$65,'III. Finanzberichte'!$Z$65,'III. Finanzberichte'!$AG$65,'III. Finanzberichte'!$AN$65,'III. Finanzberichte'!$AU$65,'III. Finanzberichte'!$BB$65,'III. Finanzberichte'!$BI$65,'III. Finanzberichte'!$BP$65,'III. Finanzberichte'!$BW$65,'III. Finanzberichte'!$CD$65,'III. Finanzberichte'!$CK$65,'III. Finanzberichte'!$CR$65,'III. Finanzberichte'!$CY$65,'III. Finanzberichte'!$DF$65,'III. Finanzberichte'!$DM$65,'III. Finanzberichte'!$DT$65),"")</f>
      </c>
      <c r="P139" s="144" t="str">
        <f>=IFERROR(CHOOSE(E81,'III. Finanzberichte'!$F$65,'III. Finanzberichte'!$M$65,'III. Finanzberichte'!$T$65,'III. Finanzberichte'!$AA$65,'III. Finanzberichte'!$AH$65,'III. Finanzberichte'!$AO$65,'III. Finanzberichte'!$AV$65,'III. Finanzberichte'!$BC$65,'III. Finanzberichte'!$BJ$65,'III. Finanzberichte'!$BQ$65,'III. Finanzberichte'!$BX$65,'III. Finanzberichte'!$CE$65,'III. Finanzberichte'!$CL$65,'III. Finanzberichte'!$CS$65,'III. Finanzberichte'!$CZ$65,'III. Finanzberichte'!$DG$65,'III. Finanzberichte'!$DN$65,'III. Finanzberichte'!$DU$65),"")</f>
      </c>
    </row>
    <row r="140">
      <c r="L140" s="143" t="str">
        <f>=IFERROR(CHOOSE(E81,'III. Finanzberichte'!$B$66,'III. Finanzberichte'!$I$66,'III. Finanzberichte'!$P$66,'III. Finanzberichte'!$W$66,'III. Finanzberichte'!$AD$66,'III. Finanzberichte'!$AK$66,'III. Finanzberichte'!$AR$66,'III. Finanzberichte'!$AY$66,'III. Finanzberichte'!$BF$66,'III. Finanzberichte'!$BM$66,'III. Finanzberichte'!$BT$66,'III. Finanzberichte'!$CA$66,'III. Finanzberichte'!$CH$66,'III. Finanzberichte'!$CO$66,'III. Finanzberichte'!$CV$66,'III. Finanzberichte'!$DC$66,'III. Finanzberichte'!$DJ$66,'III. Finanzberichte'!$DQ$66),"")</f>
      </c>
      <c r="M140" s="116" t="str">
        <f>=IFERROR(CHOOSE(E81,'III. Finanzberichte'!$C$66,'III. Finanzberichte'!$J$66,'III. Finanzberichte'!$Q$66,'III. Finanzberichte'!$X$66,'III. Finanzberichte'!$AE$66,'III. Finanzberichte'!$AL$66,'III. Finanzberichte'!$AS$66,'III. Finanzberichte'!$AZ$66,'III. Finanzberichte'!$BG$66,'III. Finanzberichte'!$BN$66,'III. Finanzberichte'!$BU$66,'III. Finanzberichte'!$CB$66,'III. Finanzberichte'!$CI$66,'III. Finanzberichte'!$CP$66,'III. Finanzberichte'!$CW$66,'III. Finanzberichte'!$DD$66,'III. Finanzberichte'!$DK$66,'III. Finanzberichte'!$DR$66),"")</f>
      </c>
      <c r="N140" s="117" t="str">
        <f>=IFERROR(CHOOSE(E81,'III. Finanzberichte'!$D$66,'III. Finanzberichte'!$K$66,'III. Finanzberichte'!$R$66,'III. Finanzberichte'!$Y$66,'III. Finanzberichte'!$AF$66,'III. Finanzberichte'!$AM$66,'III. Finanzberichte'!$AT$66,'III. Finanzberichte'!$BA$66,'III. Finanzberichte'!$BH$66,'III. Finanzberichte'!$BO$66,'III. Finanzberichte'!$BV$66,'III. Finanzberichte'!$CC$66,'III. Finanzberichte'!$CJ$66,'III. Finanzberichte'!$CQ$66,'III. Finanzberichte'!$CX$66,'III. Finanzberichte'!$DE$66,'III. Finanzberichte'!$DL$66,'III. Finanzberichte'!$DS$66),"")</f>
      </c>
      <c r="O140" s="116" t="str">
        <f>=IFERROR(CHOOSE(E81,'III. Finanzberichte'!$E$66,'III. Finanzberichte'!$L$66,'III. Finanzberichte'!$S$66,'III. Finanzberichte'!$Z$66,'III. Finanzberichte'!$AG$66,'III. Finanzberichte'!$AN$66,'III. Finanzberichte'!$AU$66,'III. Finanzberichte'!$BB$66,'III. Finanzberichte'!$BI$66,'III. Finanzberichte'!$BP$66,'III. Finanzberichte'!$BW$66,'III. Finanzberichte'!$CD$66,'III. Finanzberichte'!$CK$66,'III. Finanzberichte'!$CR$66,'III. Finanzberichte'!$CY$66,'III. Finanzberichte'!$DF$66,'III. Finanzberichte'!$DM$66,'III. Finanzberichte'!$DT$66),"")</f>
      </c>
      <c r="P140" s="144" t="str">
        <f>=IFERROR(CHOOSE(E81,'III. Finanzberichte'!$F$66,'III. Finanzberichte'!$M$66,'III. Finanzberichte'!$T$66,'III. Finanzberichte'!$AA$66,'III. Finanzberichte'!$AH$66,'III. Finanzberichte'!$AO$66,'III. Finanzberichte'!$AV$66,'III. Finanzberichte'!$BC$66,'III. Finanzberichte'!$BJ$66,'III. Finanzberichte'!$BQ$66,'III. Finanzberichte'!$BX$66,'III. Finanzberichte'!$CE$66,'III. Finanzberichte'!$CL$66,'III. Finanzberichte'!$CS$66,'III. Finanzberichte'!$CZ$66,'III. Finanzberichte'!$DG$66,'III. Finanzberichte'!$DN$66,'III. Finanzberichte'!$DU$66),"")</f>
      </c>
    </row>
    <row r="141">
      <c r="L141" s="143" t="str">
        <f>=IFERROR(CHOOSE(E81,'III. Finanzberichte'!$B$67,'III. Finanzberichte'!$I$67,'III. Finanzberichte'!$P$67,'III. Finanzberichte'!$W$67,'III. Finanzberichte'!$AD$67,'III. Finanzberichte'!$AK$67,'III. Finanzberichte'!$AR$67,'III. Finanzberichte'!$AY$67,'III. Finanzberichte'!$BF$67,'III. Finanzberichte'!$BM$67,'III. Finanzberichte'!$BT$67,'III. Finanzberichte'!$CA$67,'III. Finanzberichte'!$CH$67,'III. Finanzberichte'!$CO$67,'III. Finanzberichte'!$CV$67,'III. Finanzberichte'!$DC$67,'III. Finanzberichte'!$DJ$67,'III. Finanzberichte'!$DQ$67),"")</f>
      </c>
      <c r="M141" s="116" t="str">
        <f>=IFERROR(CHOOSE(E81,'III. Finanzberichte'!$C$67,'III. Finanzberichte'!$J$67,'III. Finanzberichte'!$Q$67,'III. Finanzberichte'!$X$67,'III. Finanzberichte'!$AE$67,'III. Finanzberichte'!$AL$67,'III. Finanzberichte'!$AS$67,'III. Finanzberichte'!$AZ$67,'III. Finanzberichte'!$BG$67,'III. Finanzberichte'!$BN$67,'III. Finanzberichte'!$BU$67,'III. Finanzberichte'!$CB$67,'III. Finanzberichte'!$CI$67,'III. Finanzberichte'!$CP$67,'III. Finanzberichte'!$CW$67,'III. Finanzberichte'!$DD$67,'III. Finanzberichte'!$DK$67,'III. Finanzberichte'!$DR$67),"")</f>
      </c>
      <c r="N141" s="117" t="str">
        <f>=IFERROR(CHOOSE(E81,'III. Finanzberichte'!$D$67,'III. Finanzberichte'!$K$67,'III. Finanzberichte'!$R$67,'III. Finanzberichte'!$Y$67,'III. Finanzberichte'!$AF$67,'III. Finanzberichte'!$AM$67,'III. Finanzberichte'!$AT$67,'III. Finanzberichte'!$BA$67,'III. Finanzberichte'!$BH$67,'III. Finanzberichte'!$BO$67,'III. Finanzberichte'!$BV$67,'III. Finanzberichte'!$CC$67,'III. Finanzberichte'!$CJ$67,'III. Finanzberichte'!$CQ$67,'III. Finanzberichte'!$CX$67,'III. Finanzberichte'!$DE$67,'III. Finanzberichte'!$DL$67,'III. Finanzberichte'!$DS$67),"")</f>
      </c>
      <c r="O141" s="116" t="str">
        <f>=IFERROR(CHOOSE(E81,'III. Finanzberichte'!$E$67,'III. Finanzberichte'!$L$67,'III. Finanzberichte'!$S$67,'III. Finanzberichte'!$Z$67,'III. Finanzberichte'!$AG$67,'III. Finanzberichte'!$AN$67,'III. Finanzberichte'!$AU$67,'III. Finanzberichte'!$BB$67,'III. Finanzberichte'!$BI$67,'III. Finanzberichte'!$BP$67,'III. Finanzberichte'!$BW$67,'III. Finanzberichte'!$CD$67,'III. Finanzberichte'!$CK$67,'III. Finanzberichte'!$CR$67,'III. Finanzberichte'!$CY$67,'III. Finanzberichte'!$DF$67,'III. Finanzberichte'!$DM$67,'III. Finanzberichte'!$DT$67),"")</f>
      </c>
      <c r="P141" s="144" t="str">
        <f>=IFERROR(CHOOSE(E81,'III. Finanzberichte'!$F$67,'III. Finanzberichte'!$M$67,'III. Finanzberichte'!$T$67,'III. Finanzberichte'!$AA$67,'III. Finanzberichte'!$AH$67,'III. Finanzberichte'!$AO$67,'III. Finanzberichte'!$AV$67,'III. Finanzberichte'!$BC$67,'III. Finanzberichte'!$BJ$67,'III. Finanzberichte'!$BQ$67,'III. Finanzberichte'!$BX$67,'III. Finanzberichte'!$CE$67,'III. Finanzberichte'!$CL$67,'III. Finanzberichte'!$CS$67,'III. Finanzberichte'!$CZ$67,'III. Finanzberichte'!$DG$67,'III. Finanzberichte'!$DN$67,'III. Finanzberichte'!$DU$67),"")</f>
      </c>
    </row>
    <row r="142">
      <c r="L142" s="143" t="str">
        <f>=IFERROR(CHOOSE(E81,'III. Finanzberichte'!$B$68,'III. Finanzberichte'!$I$68,'III. Finanzberichte'!$P$68,'III. Finanzberichte'!$W$68,'III. Finanzberichte'!$AD$68,'III. Finanzberichte'!$AK$68,'III. Finanzberichte'!$AR$68,'III. Finanzberichte'!$AY$68,'III. Finanzberichte'!$BF$68,'III. Finanzberichte'!$BM$68,'III. Finanzberichte'!$BT$68,'III. Finanzberichte'!$CA$68,'III. Finanzberichte'!$CH$68,'III. Finanzberichte'!$CO$68,'III. Finanzberichte'!$CV$68,'III. Finanzberichte'!$DC$68,'III. Finanzberichte'!$DJ$68,'III. Finanzberichte'!$DQ$68),"")</f>
      </c>
      <c r="M142" s="116" t="str">
        <f>=IFERROR(CHOOSE(E81,'III. Finanzberichte'!$C$68,'III. Finanzberichte'!$J$68,'III. Finanzberichte'!$Q$68,'III. Finanzberichte'!$X$68,'III. Finanzberichte'!$AE$68,'III. Finanzberichte'!$AL$68,'III. Finanzberichte'!$AS$68,'III. Finanzberichte'!$AZ$68,'III. Finanzberichte'!$BG$68,'III. Finanzberichte'!$BN$68,'III. Finanzberichte'!$BU$68,'III. Finanzberichte'!$CB$68,'III. Finanzberichte'!$CI$68,'III. Finanzberichte'!$CP$68,'III. Finanzberichte'!$CW$68,'III. Finanzberichte'!$DD$68,'III. Finanzberichte'!$DK$68,'III. Finanzberichte'!$DR$68),"")</f>
      </c>
      <c r="N142" s="117" t="str">
        <f>=IFERROR(CHOOSE(E81,'III. Finanzberichte'!$D$68,'III. Finanzberichte'!$K$68,'III. Finanzberichte'!$R$68,'III. Finanzberichte'!$Y$68,'III. Finanzberichte'!$AF$68,'III. Finanzberichte'!$AM$68,'III. Finanzberichte'!$AT$68,'III. Finanzberichte'!$BA$68,'III. Finanzberichte'!$BH$68,'III. Finanzberichte'!$BO$68,'III. Finanzberichte'!$BV$68,'III. Finanzberichte'!$CC$68,'III. Finanzberichte'!$CJ$68,'III. Finanzberichte'!$CQ$68,'III. Finanzberichte'!$CX$68,'III. Finanzberichte'!$DE$68,'III. Finanzberichte'!$DL$68,'III. Finanzberichte'!$DS$68),"")</f>
      </c>
      <c r="O142" s="116" t="str">
        <f>=IFERROR(CHOOSE(E81,'III. Finanzberichte'!$E$68,'III. Finanzberichte'!$L$68,'III. Finanzberichte'!$S$68,'III. Finanzberichte'!$Z$68,'III. Finanzberichte'!$AG$68,'III. Finanzberichte'!$AN$68,'III. Finanzberichte'!$AU$68,'III. Finanzberichte'!$BB$68,'III. Finanzberichte'!$BI$68,'III. Finanzberichte'!$BP$68,'III. Finanzberichte'!$BW$68,'III. Finanzberichte'!$CD$68,'III. Finanzberichte'!$CK$68,'III. Finanzberichte'!$CR$68,'III. Finanzberichte'!$CY$68,'III. Finanzberichte'!$DF$68,'III. Finanzberichte'!$DM$68,'III. Finanzberichte'!$DT$68),"")</f>
      </c>
      <c r="P142" s="144" t="str">
        <f>=IFERROR(CHOOSE(E81,'III. Finanzberichte'!$F$68,'III. Finanzberichte'!$M$68,'III. Finanzberichte'!$T$68,'III. Finanzberichte'!$AA$68,'III. Finanzberichte'!$AH$68,'III. Finanzberichte'!$AO$68,'III. Finanzberichte'!$AV$68,'III. Finanzberichte'!$BC$68,'III. Finanzberichte'!$BJ$68,'III. Finanzberichte'!$BQ$68,'III. Finanzberichte'!$BX$68,'III. Finanzberichte'!$CE$68,'III. Finanzberichte'!$CL$68,'III. Finanzberichte'!$CS$68,'III. Finanzberichte'!$CZ$68,'III. Finanzberichte'!$DG$68,'III. Finanzberichte'!$DN$68,'III. Finanzberichte'!$DU$68),"")</f>
      </c>
    </row>
    <row r="143">
      <c r="L143" s="143" t="str">
        <f>=IFERROR(CHOOSE(E81,'III. Finanzberichte'!$B$69,'III. Finanzberichte'!$I$69,'III. Finanzberichte'!$P$69,'III. Finanzberichte'!$W$69,'III. Finanzberichte'!$AD$69,'III. Finanzberichte'!$AK$69,'III. Finanzberichte'!$AR$69,'III. Finanzberichte'!$AY$69,'III. Finanzberichte'!$BF$69,'III. Finanzberichte'!$BM$69,'III. Finanzberichte'!$BT$69,'III. Finanzberichte'!$CA$69,'III. Finanzberichte'!$CH$69,'III. Finanzberichte'!$CO$69,'III. Finanzberichte'!$CV$69,'III. Finanzberichte'!$DC$69,'III. Finanzberichte'!$DJ$69,'III. Finanzberichte'!$DQ$69),"")</f>
      </c>
      <c r="M143" s="116" t="str">
        <f>=IFERROR(CHOOSE(E81,'III. Finanzberichte'!$C$69,'III. Finanzberichte'!$J$69,'III. Finanzberichte'!$Q$69,'III. Finanzberichte'!$X$69,'III. Finanzberichte'!$AE$69,'III. Finanzberichte'!$AL$69,'III. Finanzberichte'!$AS$69,'III. Finanzberichte'!$AZ$69,'III. Finanzberichte'!$BG$69,'III. Finanzberichte'!$BN$69,'III. Finanzberichte'!$BU$69,'III. Finanzberichte'!$CB$69,'III. Finanzberichte'!$CI$69,'III. Finanzberichte'!$CP$69,'III. Finanzberichte'!$CW$69,'III. Finanzberichte'!$DD$69,'III. Finanzberichte'!$DK$69,'III. Finanzberichte'!$DR$69),"")</f>
      </c>
      <c r="N143" s="117" t="str">
        <f>=IFERROR(CHOOSE(E81,'III. Finanzberichte'!$D$69,'III. Finanzberichte'!$K$69,'III. Finanzberichte'!$R$69,'III. Finanzberichte'!$Y$69,'III. Finanzberichte'!$AF$69,'III. Finanzberichte'!$AM$69,'III. Finanzberichte'!$AT$69,'III. Finanzberichte'!$BA$69,'III. Finanzberichte'!$BH$69,'III. Finanzberichte'!$BO$69,'III. Finanzberichte'!$BV$69,'III. Finanzberichte'!$CC$69,'III. Finanzberichte'!$CJ$69,'III. Finanzberichte'!$CQ$69,'III. Finanzberichte'!$CX$69,'III. Finanzberichte'!$DE$69,'III. Finanzberichte'!$DL$69,'III. Finanzberichte'!$DS$69),"")</f>
      </c>
      <c r="O143" s="116" t="str">
        <f>=IFERROR(CHOOSE(E81,'III. Finanzberichte'!$E$69,'III. Finanzberichte'!$L$69,'III. Finanzberichte'!$S$69,'III. Finanzberichte'!$Z$69,'III. Finanzberichte'!$AG$69,'III. Finanzberichte'!$AN$69,'III. Finanzberichte'!$AU$69,'III. Finanzberichte'!$BB$69,'III. Finanzberichte'!$BI$69,'III. Finanzberichte'!$BP$69,'III. Finanzberichte'!$BW$69,'III. Finanzberichte'!$CD$69,'III. Finanzberichte'!$CK$69,'III. Finanzberichte'!$CR$69,'III. Finanzberichte'!$CY$69,'III. Finanzberichte'!$DF$69,'III. Finanzberichte'!$DM$69,'III. Finanzberichte'!$DT$69),"")</f>
      </c>
      <c r="P143" s="144" t="str">
        <f>=IFERROR(CHOOSE(E81,'III. Finanzberichte'!$F$69,'III. Finanzberichte'!$M$69,'III. Finanzberichte'!$T$69,'III. Finanzberichte'!$AA$69,'III. Finanzberichte'!$AH$69,'III. Finanzberichte'!$AO$69,'III. Finanzberichte'!$AV$69,'III. Finanzberichte'!$BC$69,'III. Finanzberichte'!$BJ$69,'III. Finanzberichte'!$BQ$69,'III. Finanzberichte'!$BX$69,'III. Finanzberichte'!$CE$69,'III. Finanzberichte'!$CL$69,'III. Finanzberichte'!$CS$69,'III. Finanzberichte'!$CZ$69,'III. Finanzberichte'!$DG$69,'III. Finanzberichte'!$DN$69,'III. Finanzberichte'!$DU$69),"")</f>
      </c>
    </row>
    <row r="144">
      <c r="L144" s="143" t="str">
        <f>=IFERROR(CHOOSE(E81,'III. Finanzberichte'!$B$70,'III. Finanzberichte'!$I$70,'III. Finanzberichte'!$P$70,'III. Finanzberichte'!$W$70,'III. Finanzberichte'!$AD$70,'III. Finanzberichte'!$AK$70,'III. Finanzberichte'!$AR$70,'III. Finanzberichte'!$AY$70,'III. Finanzberichte'!$BF$70,'III. Finanzberichte'!$BM$70,'III. Finanzberichte'!$BT$70,'III. Finanzberichte'!$CA$70,'III. Finanzberichte'!$CH$70,'III. Finanzberichte'!$CO$70,'III. Finanzberichte'!$CV$70,'III. Finanzberichte'!$DC$70,'III. Finanzberichte'!$DJ$70,'III. Finanzberichte'!$DQ$70),"")</f>
      </c>
      <c r="M144" s="116" t="str">
        <f>=IFERROR(CHOOSE(E81,'III. Finanzberichte'!$C$70,'III. Finanzberichte'!$J$70,'III. Finanzberichte'!$Q$70,'III. Finanzberichte'!$X$70,'III. Finanzberichte'!$AE$70,'III. Finanzberichte'!$AL$70,'III. Finanzberichte'!$AS$70,'III. Finanzberichte'!$AZ$70,'III. Finanzberichte'!$BG$70,'III. Finanzberichte'!$BN$70,'III. Finanzberichte'!$BU$70,'III. Finanzberichte'!$CB$70,'III. Finanzberichte'!$CI$70,'III. Finanzberichte'!$CP$70,'III. Finanzberichte'!$CW$70,'III. Finanzberichte'!$DD$70,'III. Finanzberichte'!$DK$70,'III. Finanzberichte'!$DR$70),"")</f>
      </c>
      <c r="N144" s="117" t="str">
        <f>=IFERROR(CHOOSE(E81,'III. Finanzberichte'!$D$70,'III. Finanzberichte'!$K$70,'III. Finanzberichte'!$R$70,'III. Finanzberichte'!$Y$70,'III. Finanzberichte'!$AF$70,'III. Finanzberichte'!$AM$70,'III. Finanzberichte'!$AT$70,'III. Finanzberichte'!$BA$70,'III. Finanzberichte'!$BH$70,'III. Finanzberichte'!$BO$70,'III. Finanzberichte'!$BV$70,'III. Finanzberichte'!$CC$70,'III. Finanzberichte'!$CJ$70,'III. Finanzberichte'!$CQ$70,'III. Finanzberichte'!$CX$70,'III. Finanzberichte'!$DE$70,'III. Finanzberichte'!$DL$70,'III. Finanzberichte'!$DS$70),"")</f>
      </c>
      <c r="O144" s="116" t="str">
        <f>=IFERROR(CHOOSE(E81,'III. Finanzberichte'!$E$70,'III. Finanzberichte'!$L$70,'III. Finanzberichte'!$S$70,'III. Finanzberichte'!$Z$70,'III. Finanzberichte'!$AG$70,'III. Finanzberichte'!$AN$70,'III. Finanzberichte'!$AU$70,'III. Finanzberichte'!$BB$70,'III. Finanzberichte'!$BI$70,'III. Finanzberichte'!$BP$70,'III. Finanzberichte'!$BW$70,'III. Finanzberichte'!$CD$70,'III. Finanzberichte'!$CK$70,'III. Finanzberichte'!$CR$70,'III. Finanzberichte'!$CY$70,'III. Finanzberichte'!$DF$70,'III. Finanzberichte'!$DM$70,'III. Finanzberichte'!$DT$70),"")</f>
      </c>
      <c r="P144" s="144" t="str">
        <f>=IFERROR(CHOOSE(E81,'III. Finanzberichte'!$F$70,'III. Finanzberichte'!$M$70,'III. Finanzberichte'!$T$70,'III. Finanzberichte'!$AA$70,'III. Finanzberichte'!$AH$70,'III. Finanzberichte'!$AO$70,'III. Finanzberichte'!$AV$70,'III. Finanzberichte'!$BC$70,'III. Finanzberichte'!$BJ$70,'III. Finanzberichte'!$BQ$70,'III. Finanzberichte'!$BX$70,'III. Finanzberichte'!$CE$70,'III. Finanzberichte'!$CL$70,'III. Finanzberichte'!$CS$70,'III. Finanzberichte'!$CZ$70,'III. Finanzberichte'!$DG$70,'III. Finanzberichte'!$DN$70,'III. Finanzberichte'!$DU$70),"")</f>
      </c>
    </row>
    <row r="145">
      <c r="L145" s="143" t="str">
        <f>=IFERROR(CHOOSE(E81,'III. Finanzberichte'!$B$71,'III. Finanzberichte'!$I$71,'III. Finanzberichte'!$P$71,'III. Finanzberichte'!$W$71,'III. Finanzberichte'!$AD$71,'III. Finanzberichte'!$AK$71,'III. Finanzberichte'!$AR$71,'III. Finanzberichte'!$AY$71,'III. Finanzberichte'!$BF$71,'III. Finanzberichte'!$BM$71,'III. Finanzberichte'!$BT$71,'III. Finanzberichte'!$CA$71,'III. Finanzberichte'!$CH$71,'III. Finanzberichte'!$CO$71,'III. Finanzberichte'!$CV$71,'III. Finanzberichte'!$DC$71,'III. Finanzberichte'!$DJ$71,'III. Finanzberichte'!$DQ$71),"")</f>
      </c>
      <c r="M145" s="116" t="str">
        <f>=IFERROR(CHOOSE(E81,'III. Finanzberichte'!$C$71,'III. Finanzberichte'!$J$71,'III. Finanzberichte'!$Q$71,'III. Finanzberichte'!$X$71,'III. Finanzberichte'!$AE$71,'III. Finanzberichte'!$AL$71,'III. Finanzberichte'!$AS$71,'III. Finanzberichte'!$AZ$71,'III. Finanzberichte'!$BG$71,'III. Finanzberichte'!$BN$71,'III. Finanzberichte'!$BU$71,'III. Finanzberichte'!$CB$71,'III. Finanzberichte'!$CI$71,'III. Finanzberichte'!$CP$71,'III. Finanzberichte'!$CW$71,'III. Finanzberichte'!$DD$71,'III. Finanzberichte'!$DK$71,'III. Finanzberichte'!$DR$71),"")</f>
      </c>
      <c r="N145" s="117" t="str">
        <f>=IFERROR(CHOOSE(E81,'III. Finanzberichte'!$D$71,'III. Finanzberichte'!$K$71,'III. Finanzberichte'!$R$71,'III. Finanzberichte'!$Y$71,'III. Finanzberichte'!$AF$71,'III. Finanzberichte'!$AM$71,'III. Finanzberichte'!$AT$71,'III. Finanzberichte'!$BA$71,'III. Finanzberichte'!$BH$71,'III. Finanzberichte'!$BO$71,'III. Finanzberichte'!$BV$71,'III. Finanzberichte'!$CC$71,'III. Finanzberichte'!$CJ$71,'III. Finanzberichte'!$CQ$71,'III. Finanzberichte'!$CX$71,'III. Finanzberichte'!$DE$71,'III. Finanzberichte'!$DL$71,'III. Finanzberichte'!$DS$71),"")</f>
      </c>
      <c r="O145" s="116" t="str">
        <f>=IFERROR(CHOOSE(E81,'III. Finanzberichte'!$E$71,'III. Finanzberichte'!$L$71,'III. Finanzberichte'!$S$71,'III. Finanzberichte'!$Z$71,'III. Finanzberichte'!$AG$71,'III. Finanzberichte'!$AN$71,'III. Finanzberichte'!$AU$71,'III. Finanzberichte'!$BB$71,'III. Finanzberichte'!$BI$71,'III. Finanzberichte'!$BP$71,'III. Finanzberichte'!$BW$71,'III. Finanzberichte'!$CD$71,'III. Finanzberichte'!$CK$71,'III. Finanzberichte'!$CR$71,'III. Finanzberichte'!$CY$71,'III. Finanzberichte'!$DF$71,'III. Finanzberichte'!$DM$71,'III. Finanzberichte'!$DT$71),"")</f>
      </c>
      <c r="P145" s="144" t="str">
        <f>=IFERROR(CHOOSE(E81,'III. Finanzberichte'!$F$71,'III. Finanzberichte'!$M$71,'III. Finanzberichte'!$T$71,'III. Finanzberichte'!$AA$71,'III. Finanzberichte'!$AH$71,'III. Finanzberichte'!$AO$71,'III. Finanzberichte'!$AV$71,'III. Finanzberichte'!$BC$71,'III. Finanzberichte'!$BJ$71,'III. Finanzberichte'!$BQ$71,'III. Finanzberichte'!$BX$71,'III. Finanzberichte'!$CE$71,'III. Finanzberichte'!$CL$71,'III. Finanzberichte'!$CS$71,'III. Finanzberichte'!$CZ$71,'III. Finanzberichte'!$DG$71,'III. Finanzberichte'!$DN$71,'III. Finanzberichte'!$DU$71),"")</f>
      </c>
    </row>
    <row r="146">
      <c r="L146" s="143" t="str">
        <f>=IFERROR(CHOOSE(E81,'III. Finanzberichte'!$B$72,'III. Finanzberichte'!$I$72,'III. Finanzberichte'!$P$72,'III. Finanzberichte'!$W$72,'III. Finanzberichte'!$AD$72,'III. Finanzberichte'!$AK$72,'III. Finanzberichte'!$AR$72,'III. Finanzberichte'!$AY$72,'III. Finanzberichte'!$BF$72,'III. Finanzberichte'!$BM$72,'III. Finanzberichte'!$BT$72,'III. Finanzberichte'!$CA$72,'III. Finanzberichte'!$CH$72,'III. Finanzberichte'!$CO$72,'III. Finanzberichte'!$CV$72,'III. Finanzberichte'!$DC$72,'III. Finanzberichte'!$DJ$72,'III. Finanzberichte'!$DQ$72),"")</f>
      </c>
      <c r="M146" s="116" t="str">
        <f>=IFERROR(CHOOSE(E81,'III. Finanzberichte'!$C$72,'III. Finanzberichte'!$J$72,'III. Finanzberichte'!$Q$72,'III. Finanzberichte'!$X$72,'III. Finanzberichte'!$AE$72,'III. Finanzberichte'!$AL$72,'III. Finanzberichte'!$AS$72,'III. Finanzberichte'!$AZ$72,'III. Finanzberichte'!$BG$72,'III. Finanzberichte'!$BN$72,'III. Finanzberichte'!$BU$72,'III. Finanzberichte'!$CB$72,'III. Finanzberichte'!$CI$72,'III. Finanzberichte'!$CP$72,'III. Finanzberichte'!$CW$72,'III. Finanzberichte'!$DD$72,'III. Finanzberichte'!$DK$72,'III. Finanzberichte'!$DR$72),"")</f>
      </c>
      <c r="N146" s="117" t="str">
        <f>=IFERROR(CHOOSE(E81,'III. Finanzberichte'!$D$72,'III. Finanzberichte'!$K$72,'III. Finanzberichte'!$R$72,'III. Finanzberichte'!$Y$72,'III. Finanzberichte'!$AF$72,'III. Finanzberichte'!$AM$72,'III. Finanzberichte'!$AT$72,'III. Finanzberichte'!$BA$72,'III. Finanzberichte'!$BH$72,'III. Finanzberichte'!$BO$72,'III. Finanzberichte'!$BV$72,'III. Finanzberichte'!$CC$72,'III. Finanzberichte'!$CJ$72,'III. Finanzberichte'!$CQ$72,'III. Finanzberichte'!$CX$72,'III. Finanzberichte'!$DE$72,'III. Finanzberichte'!$DL$72,'III. Finanzberichte'!$DS$72),"")</f>
      </c>
      <c r="O146" s="116" t="str">
        <f>=IFERROR(CHOOSE(E81,'III. Finanzberichte'!$E$72,'III. Finanzberichte'!$L$72,'III. Finanzberichte'!$S$72,'III. Finanzberichte'!$Z$72,'III. Finanzberichte'!$AG$72,'III. Finanzberichte'!$AN$72,'III. Finanzberichte'!$AU$72,'III. Finanzberichte'!$BB$72,'III. Finanzberichte'!$BI$72,'III. Finanzberichte'!$BP$72,'III. Finanzberichte'!$BW$72,'III. Finanzberichte'!$CD$72,'III. Finanzberichte'!$CK$72,'III. Finanzberichte'!$CR$72,'III. Finanzberichte'!$CY$72,'III. Finanzberichte'!$DF$72,'III. Finanzberichte'!$DM$72,'III. Finanzberichte'!$DT$72),"")</f>
      </c>
      <c r="P146" s="144" t="str">
        <f>=IFERROR(CHOOSE(E81,'III. Finanzberichte'!$F$72,'III. Finanzberichte'!$M$72,'III. Finanzberichte'!$T$72,'III. Finanzberichte'!$AA$72,'III. Finanzberichte'!$AH$72,'III. Finanzberichte'!$AO$72,'III. Finanzberichte'!$AV$72,'III. Finanzberichte'!$BC$72,'III. Finanzberichte'!$BJ$72,'III. Finanzberichte'!$BQ$72,'III. Finanzberichte'!$BX$72,'III. Finanzberichte'!$CE$72,'III. Finanzberichte'!$CL$72,'III. Finanzberichte'!$CS$72,'III. Finanzberichte'!$CZ$72,'III. Finanzberichte'!$DG$72,'III. Finanzberichte'!$DN$72,'III. Finanzberichte'!$DU$72),"")</f>
      </c>
    </row>
    <row r="147">
      <c r="L147" s="143" t="str">
        <f>=IFERROR(CHOOSE(E81,'III. Finanzberichte'!$B$73,'III. Finanzberichte'!$I$73,'III. Finanzberichte'!$P$73,'III. Finanzberichte'!$W$73,'III. Finanzberichte'!$AD$73,'III. Finanzberichte'!$AK$73,'III. Finanzberichte'!$AR$73,'III. Finanzberichte'!$AY$73,'III. Finanzberichte'!$BF$73,'III. Finanzberichte'!$BM$73,'III. Finanzberichte'!$BT$73,'III. Finanzberichte'!$CA$73,'III. Finanzberichte'!$CH$73,'III. Finanzberichte'!$CO$73,'III. Finanzberichte'!$CV$73,'III. Finanzberichte'!$DC$73,'III. Finanzberichte'!$DJ$73,'III. Finanzberichte'!$DQ$73),"")</f>
      </c>
      <c r="M147" s="116" t="str">
        <f>=IFERROR(CHOOSE(E81,'III. Finanzberichte'!$C$73,'III. Finanzberichte'!$J$73,'III. Finanzberichte'!$Q$73,'III. Finanzberichte'!$X$73,'III. Finanzberichte'!$AE$73,'III. Finanzberichte'!$AL$73,'III. Finanzberichte'!$AS$73,'III. Finanzberichte'!$AZ$73,'III. Finanzberichte'!$BG$73,'III. Finanzberichte'!$BN$73,'III. Finanzberichte'!$BU$73,'III. Finanzberichte'!$CB$73,'III. Finanzberichte'!$CI$73,'III. Finanzberichte'!$CP$73,'III. Finanzberichte'!$CW$73,'III. Finanzberichte'!$DD$73,'III. Finanzberichte'!$DK$73,'III. Finanzberichte'!$DR$73),"")</f>
      </c>
      <c r="N147" s="117" t="str">
        <f>=IFERROR(CHOOSE(E81,'III. Finanzberichte'!$D$73,'III. Finanzberichte'!$K$73,'III. Finanzberichte'!$R$73,'III. Finanzberichte'!$Y$73,'III. Finanzberichte'!$AF$73,'III. Finanzberichte'!$AM$73,'III. Finanzberichte'!$AT$73,'III. Finanzberichte'!$BA$73,'III. Finanzberichte'!$BH$73,'III. Finanzberichte'!$BO$73,'III. Finanzberichte'!$BV$73,'III. Finanzberichte'!$CC$73,'III. Finanzberichte'!$CJ$73,'III. Finanzberichte'!$CQ$73,'III. Finanzberichte'!$CX$73,'III. Finanzberichte'!$DE$73,'III. Finanzberichte'!$DL$73,'III. Finanzberichte'!$DS$73),"")</f>
      </c>
      <c r="O147" s="116" t="str">
        <f>=IFERROR(CHOOSE(E81,'III. Finanzberichte'!$E$73,'III. Finanzberichte'!$L$73,'III. Finanzberichte'!$S$73,'III. Finanzberichte'!$Z$73,'III. Finanzberichte'!$AG$73,'III. Finanzberichte'!$AN$73,'III. Finanzberichte'!$AU$73,'III. Finanzberichte'!$BB$73,'III. Finanzberichte'!$BI$73,'III. Finanzberichte'!$BP$73,'III. Finanzberichte'!$BW$73,'III. Finanzberichte'!$CD$73,'III. Finanzberichte'!$CK$73,'III. Finanzberichte'!$CR$73,'III. Finanzberichte'!$CY$73,'III. Finanzberichte'!$DF$73,'III. Finanzberichte'!$DM$73,'III. Finanzberichte'!$DT$73),"")</f>
      </c>
      <c r="P147" s="144" t="str">
        <f>=IFERROR(CHOOSE(E81,'III. Finanzberichte'!$F$73,'III. Finanzberichte'!$M$73,'III. Finanzberichte'!$T$73,'III. Finanzberichte'!$AA$73,'III. Finanzberichte'!$AH$73,'III. Finanzberichte'!$AO$73,'III. Finanzberichte'!$AV$73,'III. Finanzberichte'!$BC$73,'III. Finanzberichte'!$BJ$73,'III. Finanzberichte'!$BQ$73,'III. Finanzberichte'!$BX$73,'III. Finanzberichte'!$CE$73,'III. Finanzberichte'!$CL$73,'III. Finanzberichte'!$CS$73,'III. Finanzberichte'!$CZ$73,'III. Finanzberichte'!$DG$73,'III. Finanzberichte'!$DN$73,'III. Finanzberichte'!$DU$73),"")</f>
      </c>
    </row>
    <row r="148">
      <c r="L148" s="143" t="str">
        <f>=IFERROR(CHOOSE(E81,'III. Finanzberichte'!$B$74,'III. Finanzberichte'!$I$74,'III. Finanzberichte'!$P$74,'III. Finanzberichte'!$W$74,'III. Finanzberichte'!$AD$74,'III. Finanzberichte'!$AK$74,'III. Finanzberichte'!$AR$74,'III. Finanzberichte'!$AY$74,'III. Finanzberichte'!$BF$74,'III. Finanzberichte'!$BM$74,'III. Finanzberichte'!$BT$74,'III. Finanzberichte'!$CA$74,'III. Finanzberichte'!$CH$74,'III. Finanzberichte'!$CO$74,'III. Finanzberichte'!$CV$74,'III. Finanzberichte'!$DC$74,'III. Finanzberichte'!$DJ$74,'III. Finanzberichte'!$DQ$74),"")</f>
      </c>
      <c r="M148" s="116" t="str">
        <f>=IFERROR(CHOOSE(E81,'III. Finanzberichte'!$C$74,'III. Finanzberichte'!$J$74,'III. Finanzberichte'!$Q$74,'III. Finanzberichte'!$X$74,'III. Finanzberichte'!$AE$74,'III. Finanzberichte'!$AL$74,'III. Finanzberichte'!$AS$74,'III. Finanzberichte'!$AZ$74,'III. Finanzberichte'!$BG$74,'III. Finanzberichte'!$BN$74,'III. Finanzberichte'!$BU$74,'III. Finanzberichte'!$CB$74,'III. Finanzberichte'!$CI$74,'III. Finanzberichte'!$CP$74,'III. Finanzberichte'!$CW$74,'III. Finanzberichte'!$DD$74,'III. Finanzberichte'!$DK$74,'III. Finanzberichte'!$DR$74),"")</f>
      </c>
      <c r="N148" s="117" t="str">
        <f>=IFERROR(CHOOSE(E81,'III. Finanzberichte'!$D$74,'III. Finanzberichte'!$K$74,'III. Finanzberichte'!$R$74,'III. Finanzberichte'!$Y$74,'III. Finanzberichte'!$AF$74,'III. Finanzberichte'!$AM$74,'III. Finanzberichte'!$AT$74,'III. Finanzberichte'!$BA$74,'III. Finanzberichte'!$BH$74,'III. Finanzberichte'!$BO$74,'III. Finanzberichte'!$BV$74,'III. Finanzberichte'!$CC$74,'III. Finanzberichte'!$CJ$74,'III. Finanzberichte'!$CQ$74,'III. Finanzberichte'!$CX$74,'III. Finanzberichte'!$DE$74,'III. Finanzberichte'!$DL$74,'III. Finanzberichte'!$DS$74),"")</f>
      </c>
      <c r="O148" s="116" t="str">
        <f>=IFERROR(CHOOSE(E81,'III. Finanzberichte'!$E$74,'III. Finanzberichte'!$L$74,'III. Finanzberichte'!$S$74,'III. Finanzberichte'!$Z$74,'III. Finanzberichte'!$AG$74,'III. Finanzberichte'!$AN$74,'III. Finanzberichte'!$AU$74,'III. Finanzberichte'!$BB$74,'III. Finanzberichte'!$BI$74,'III. Finanzberichte'!$BP$74,'III. Finanzberichte'!$BW$74,'III. Finanzberichte'!$CD$74,'III. Finanzberichte'!$CK$74,'III. Finanzberichte'!$CR$74,'III. Finanzberichte'!$CY$74,'III. Finanzberichte'!$DF$74,'III. Finanzberichte'!$DM$74,'III. Finanzberichte'!$DT$74),"")</f>
      </c>
      <c r="P148" s="144" t="str">
        <f>=IFERROR(CHOOSE(E81,'III. Finanzberichte'!$F$74,'III. Finanzberichte'!$M$74,'III. Finanzberichte'!$T$74,'III. Finanzberichte'!$AA$74,'III. Finanzberichte'!$AH$74,'III. Finanzberichte'!$AO$74,'III. Finanzberichte'!$AV$74,'III. Finanzberichte'!$BC$74,'III. Finanzberichte'!$BJ$74,'III. Finanzberichte'!$BQ$74,'III. Finanzberichte'!$BX$74,'III. Finanzberichte'!$CE$74,'III. Finanzberichte'!$CL$74,'III. Finanzberichte'!$CS$74,'III. Finanzberichte'!$CZ$74,'III. Finanzberichte'!$DG$74,'III. Finanzberichte'!$DN$74,'III. Finanzberichte'!$DU$74),"")</f>
      </c>
    </row>
    <row r="149">
      <c r="L149" s="143" t="str">
        <f>=IFERROR(CHOOSE(E81,'III. Finanzberichte'!$B$75,'III. Finanzberichte'!$I$75,'III. Finanzberichte'!$P$75,'III. Finanzberichte'!$W$75,'III. Finanzberichte'!$AD$75,'III. Finanzberichte'!$AK$75,'III. Finanzberichte'!$AR$75,'III. Finanzberichte'!$AY$75,'III. Finanzberichte'!$BF$75,'III. Finanzberichte'!$BM$75,'III. Finanzberichte'!$BT$75,'III. Finanzberichte'!$CA$75,'III. Finanzberichte'!$CH$75,'III. Finanzberichte'!$CO$75,'III. Finanzberichte'!$CV$75,'III. Finanzberichte'!$DC$75,'III. Finanzberichte'!$DJ$75,'III. Finanzberichte'!$DQ$75),"")</f>
      </c>
      <c r="M149" s="116" t="str">
        <f>=IFERROR(CHOOSE(E81,'III. Finanzberichte'!$C$75,'III. Finanzberichte'!$J$75,'III. Finanzberichte'!$Q$75,'III. Finanzberichte'!$X$75,'III. Finanzberichte'!$AE$75,'III. Finanzberichte'!$AL$75,'III. Finanzberichte'!$AS$75,'III. Finanzberichte'!$AZ$75,'III. Finanzberichte'!$BG$75,'III. Finanzberichte'!$BN$75,'III. Finanzberichte'!$BU$75,'III. Finanzberichte'!$CB$75,'III. Finanzberichte'!$CI$75,'III. Finanzberichte'!$CP$75,'III. Finanzberichte'!$CW$75,'III. Finanzberichte'!$DD$75,'III. Finanzberichte'!$DK$75,'III. Finanzberichte'!$DR$75),"")</f>
      </c>
      <c r="N149" s="117" t="str">
        <f>=IFERROR(CHOOSE(E81,'III. Finanzberichte'!$D$75,'III. Finanzberichte'!$K$75,'III. Finanzberichte'!$R$75,'III. Finanzberichte'!$Y$75,'III. Finanzberichte'!$AF$75,'III. Finanzberichte'!$AM$75,'III. Finanzberichte'!$AT$75,'III. Finanzberichte'!$BA$75,'III. Finanzberichte'!$BH$75,'III. Finanzberichte'!$BO$75,'III. Finanzberichte'!$BV$75,'III. Finanzberichte'!$CC$75,'III. Finanzberichte'!$CJ$75,'III. Finanzberichte'!$CQ$75,'III. Finanzberichte'!$CX$75,'III. Finanzberichte'!$DE$75,'III. Finanzberichte'!$DL$75,'III. Finanzberichte'!$DS$75),"")</f>
      </c>
      <c r="O149" s="116" t="str">
        <f>=IFERROR(CHOOSE(E81,'III. Finanzberichte'!$E$75,'III. Finanzberichte'!$L$75,'III. Finanzberichte'!$S$75,'III. Finanzberichte'!$Z$75,'III. Finanzberichte'!$AG$75,'III. Finanzberichte'!$AN$75,'III. Finanzberichte'!$AU$75,'III. Finanzberichte'!$BB$75,'III. Finanzberichte'!$BI$75,'III. Finanzberichte'!$BP$75,'III. Finanzberichte'!$BW$75,'III. Finanzberichte'!$CD$75,'III. Finanzberichte'!$CK$75,'III. Finanzberichte'!$CR$75,'III. Finanzberichte'!$CY$75,'III. Finanzberichte'!$DF$75,'III. Finanzberichte'!$DM$75,'III. Finanzberichte'!$DT$75),"")</f>
      </c>
      <c r="P149" s="144" t="str">
        <f>=IFERROR(CHOOSE(E81,'III. Finanzberichte'!$F$75,'III. Finanzberichte'!$M$75,'III. Finanzberichte'!$T$75,'III. Finanzberichte'!$AA$75,'III. Finanzberichte'!$AH$75,'III. Finanzberichte'!$AO$75,'III. Finanzberichte'!$AV$75,'III. Finanzberichte'!$BC$75,'III. Finanzberichte'!$BJ$75,'III. Finanzberichte'!$BQ$75,'III. Finanzberichte'!$BX$75,'III. Finanzberichte'!$CE$75,'III. Finanzberichte'!$CL$75,'III. Finanzberichte'!$CS$75,'III. Finanzberichte'!$CZ$75,'III. Finanzberichte'!$DG$75,'III. Finanzberichte'!$DN$75,'III. Finanzberichte'!$DU$75),"")</f>
      </c>
    </row>
    <row r="150">
      <c r="L150" s="143" t="str">
        <f>=IFERROR(CHOOSE(E81,'III. Finanzberichte'!$B$76,'III. Finanzberichte'!$I$76,'III. Finanzberichte'!$P$76,'III. Finanzberichte'!$W$76,'III. Finanzberichte'!$AD$76,'III. Finanzberichte'!$AK$76,'III. Finanzberichte'!$AR$76,'III. Finanzberichte'!$AY$76,'III. Finanzberichte'!$BF$76,'III. Finanzberichte'!$BM$76,'III. Finanzberichte'!$BT$76,'III. Finanzberichte'!$CA$76,'III. Finanzberichte'!$CH$76,'III. Finanzberichte'!$CO$76,'III. Finanzberichte'!$CV$76,'III. Finanzberichte'!$DC$76,'III. Finanzberichte'!$DJ$76,'III. Finanzberichte'!$DQ$76),"")</f>
      </c>
      <c r="M150" s="116" t="str">
        <f>=IFERROR(CHOOSE(E81,'III. Finanzberichte'!$C$76,'III. Finanzberichte'!$J$76,'III. Finanzberichte'!$Q$76,'III. Finanzberichte'!$X$76,'III. Finanzberichte'!$AE$76,'III. Finanzberichte'!$AL$76,'III. Finanzberichte'!$AS$76,'III. Finanzberichte'!$AZ$76,'III. Finanzberichte'!$BG$76,'III. Finanzberichte'!$BN$76,'III. Finanzberichte'!$BU$76,'III. Finanzberichte'!$CB$76,'III. Finanzberichte'!$CI$76,'III. Finanzberichte'!$CP$76,'III. Finanzberichte'!$CW$76,'III. Finanzberichte'!$DD$76,'III. Finanzberichte'!$DK$76,'III. Finanzberichte'!$DR$76),"")</f>
      </c>
      <c r="N150" s="117" t="str">
        <f>=IFERROR(CHOOSE(E81,'III. Finanzberichte'!$D$76,'III. Finanzberichte'!$K$76,'III. Finanzberichte'!$R$76,'III. Finanzberichte'!$Y$76,'III. Finanzberichte'!$AF$76,'III. Finanzberichte'!$AM$76,'III. Finanzberichte'!$AT$76,'III. Finanzberichte'!$BA$76,'III. Finanzberichte'!$BH$76,'III. Finanzberichte'!$BO$76,'III. Finanzberichte'!$BV$76,'III. Finanzberichte'!$CC$76,'III. Finanzberichte'!$CJ$76,'III. Finanzberichte'!$CQ$76,'III. Finanzberichte'!$CX$76,'III. Finanzberichte'!$DE$76,'III. Finanzberichte'!$DL$76,'III. Finanzberichte'!$DS$76),"")</f>
      </c>
      <c r="O150" s="116" t="str">
        <f>=IFERROR(CHOOSE(E81,'III. Finanzberichte'!$E$76,'III. Finanzberichte'!$L$76,'III. Finanzberichte'!$S$76,'III. Finanzberichte'!$Z$76,'III. Finanzberichte'!$AG$76,'III. Finanzberichte'!$AN$76,'III. Finanzberichte'!$AU$76,'III. Finanzberichte'!$BB$76,'III. Finanzberichte'!$BI$76,'III. Finanzberichte'!$BP$76,'III. Finanzberichte'!$BW$76,'III. Finanzberichte'!$CD$76,'III. Finanzberichte'!$CK$76,'III. Finanzberichte'!$CR$76,'III. Finanzberichte'!$CY$76,'III. Finanzberichte'!$DF$76,'III. Finanzberichte'!$DM$76,'III. Finanzberichte'!$DT$76),"")</f>
      </c>
      <c r="P150" s="144" t="str">
        <f>=IFERROR(CHOOSE(E81,'III. Finanzberichte'!$F$76,'III. Finanzberichte'!$M$76,'III. Finanzberichte'!$T$76,'III. Finanzberichte'!$AA$76,'III. Finanzberichte'!$AH$76,'III. Finanzberichte'!$AO$76,'III. Finanzberichte'!$AV$76,'III. Finanzberichte'!$BC$76,'III. Finanzberichte'!$BJ$76,'III. Finanzberichte'!$BQ$76,'III. Finanzberichte'!$BX$76,'III. Finanzberichte'!$CE$76,'III. Finanzberichte'!$CL$76,'III. Finanzberichte'!$CS$76,'III. Finanzberichte'!$CZ$76,'III. Finanzberichte'!$DG$76,'III. Finanzberichte'!$DN$76,'III. Finanzberichte'!$DU$76),"")</f>
      </c>
    </row>
    <row r="151">
      <c r="L151" s="143" t="str">
        <f>=IFERROR(CHOOSE(E81,'III. Finanzberichte'!$B$77,'III. Finanzberichte'!$I$77,'III. Finanzberichte'!$P$77,'III. Finanzberichte'!$W$77,'III. Finanzberichte'!$AD$77,'III. Finanzberichte'!$AK$77,'III. Finanzberichte'!$AR$77,'III. Finanzberichte'!$AY$77,'III. Finanzberichte'!$BF$77,'III. Finanzberichte'!$BM$77,'III. Finanzberichte'!$BT$77,'III. Finanzberichte'!$CA$77,'III. Finanzberichte'!$CH$77,'III. Finanzberichte'!$CO$77,'III. Finanzberichte'!$CV$77,'III. Finanzberichte'!$DC$77,'III. Finanzberichte'!$DJ$77,'III. Finanzberichte'!$DQ$77),"")</f>
      </c>
      <c r="M151" s="116" t="str">
        <f>=IFERROR(CHOOSE(E81,'III. Finanzberichte'!$C$77,'III. Finanzberichte'!$J$77,'III. Finanzberichte'!$Q$77,'III. Finanzberichte'!$X$77,'III. Finanzberichte'!$AE$77,'III. Finanzberichte'!$AL$77,'III. Finanzberichte'!$AS$77,'III. Finanzberichte'!$AZ$77,'III. Finanzberichte'!$BG$77,'III. Finanzberichte'!$BN$77,'III. Finanzberichte'!$BU$77,'III. Finanzberichte'!$CB$77,'III. Finanzberichte'!$CI$77,'III. Finanzberichte'!$CP$77,'III. Finanzberichte'!$CW$77,'III. Finanzberichte'!$DD$77,'III. Finanzberichte'!$DK$77,'III. Finanzberichte'!$DR$77),"")</f>
      </c>
      <c r="N151" s="117" t="str">
        <f>=IFERROR(CHOOSE(E81,'III. Finanzberichte'!$D$77,'III. Finanzberichte'!$K$77,'III. Finanzberichte'!$R$77,'III. Finanzberichte'!$Y$77,'III. Finanzberichte'!$AF$77,'III. Finanzberichte'!$AM$77,'III. Finanzberichte'!$AT$77,'III. Finanzberichte'!$BA$77,'III. Finanzberichte'!$BH$77,'III. Finanzberichte'!$BO$77,'III. Finanzberichte'!$BV$77,'III. Finanzberichte'!$CC$77,'III. Finanzberichte'!$CJ$77,'III. Finanzberichte'!$CQ$77,'III. Finanzberichte'!$CX$77,'III. Finanzberichte'!$DE$77,'III. Finanzberichte'!$DL$77,'III. Finanzberichte'!$DS$77),"")</f>
      </c>
      <c r="O151" s="116" t="str">
        <f>=IFERROR(CHOOSE(E81,'III. Finanzberichte'!$E$77,'III. Finanzberichte'!$L$77,'III. Finanzberichte'!$S$77,'III. Finanzberichte'!$Z$77,'III. Finanzberichte'!$AG$77,'III. Finanzberichte'!$AN$77,'III. Finanzberichte'!$AU$77,'III. Finanzberichte'!$BB$77,'III. Finanzberichte'!$BI$77,'III. Finanzberichte'!$BP$77,'III. Finanzberichte'!$BW$77,'III. Finanzberichte'!$CD$77,'III. Finanzberichte'!$CK$77,'III. Finanzberichte'!$CR$77,'III. Finanzberichte'!$CY$77,'III. Finanzberichte'!$DF$77,'III. Finanzberichte'!$DM$77,'III. Finanzberichte'!$DT$77),"")</f>
      </c>
      <c r="P151" s="144" t="str">
        <f>=IFERROR(CHOOSE(E81,'III. Finanzberichte'!$F$77,'III. Finanzberichte'!$M$77,'III. Finanzberichte'!$T$77,'III. Finanzberichte'!$AA$77,'III. Finanzberichte'!$AH$77,'III. Finanzberichte'!$AO$77,'III. Finanzberichte'!$AV$77,'III. Finanzberichte'!$BC$77,'III. Finanzberichte'!$BJ$77,'III. Finanzberichte'!$BQ$77,'III. Finanzberichte'!$BX$77,'III. Finanzberichte'!$CE$77,'III. Finanzberichte'!$CL$77,'III. Finanzberichte'!$CS$77,'III. Finanzberichte'!$CZ$77,'III. Finanzberichte'!$DG$77,'III. Finanzberichte'!$DN$77,'III. Finanzberichte'!$DU$77),"")</f>
      </c>
    </row>
    <row r="152">
      <c r="L152" s="143" t="str">
        <f>=IFERROR(CHOOSE(E81,'III. Finanzberichte'!$B$78,'III. Finanzberichte'!$I$78,'III. Finanzberichte'!$P$78,'III. Finanzberichte'!$W$78,'III. Finanzberichte'!$AD$78,'III. Finanzberichte'!$AK$78,'III. Finanzberichte'!$AR$78,'III. Finanzberichte'!$AY$78,'III. Finanzberichte'!$BF$78,'III. Finanzberichte'!$BM$78,'III. Finanzberichte'!$BT$78,'III. Finanzberichte'!$CA$78,'III. Finanzberichte'!$CH$78,'III. Finanzberichte'!$CO$78,'III. Finanzberichte'!$CV$78,'III. Finanzberichte'!$DC$78,'III. Finanzberichte'!$DJ$78,'III. Finanzberichte'!$DQ$78),"")</f>
      </c>
      <c r="M152" s="116" t="str">
        <f>=IFERROR(CHOOSE(E81,'III. Finanzberichte'!$C$78,'III. Finanzberichte'!$J$78,'III. Finanzberichte'!$Q$78,'III. Finanzberichte'!$X$78,'III. Finanzberichte'!$AE$78,'III. Finanzberichte'!$AL$78,'III. Finanzberichte'!$AS$78,'III. Finanzberichte'!$AZ$78,'III. Finanzberichte'!$BG$78,'III. Finanzberichte'!$BN$78,'III. Finanzberichte'!$BU$78,'III. Finanzberichte'!$CB$78,'III. Finanzberichte'!$CI$78,'III. Finanzberichte'!$CP$78,'III. Finanzberichte'!$CW$78,'III. Finanzberichte'!$DD$78,'III. Finanzberichte'!$DK$78,'III. Finanzberichte'!$DR$78),"")</f>
      </c>
      <c r="N152" s="117" t="str">
        <f>=IFERROR(CHOOSE(E81,'III. Finanzberichte'!$D$78,'III. Finanzberichte'!$K$78,'III. Finanzberichte'!$R$78,'III. Finanzberichte'!$Y$78,'III. Finanzberichte'!$AF$78,'III. Finanzberichte'!$AM$78,'III. Finanzberichte'!$AT$78,'III. Finanzberichte'!$BA$78,'III. Finanzberichte'!$BH$78,'III. Finanzberichte'!$BO$78,'III. Finanzberichte'!$BV$78,'III. Finanzberichte'!$CC$78,'III. Finanzberichte'!$CJ$78,'III. Finanzberichte'!$CQ$78,'III. Finanzberichte'!$CX$78,'III. Finanzberichte'!$DE$78,'III. Finanzberichte'!$DL$78,'III. Finanzberichte'!$DS$78),"")</f>
      </c>
      <c r="O152" s="116" t="str">
        <f>=IFERROR(CHOOSE(E81,'III. Finanzberichte'!$E$78,'III. Finanzberichte'!$L$78,'III. Finanzberichte'!$S$78,'III. Finanzberichte'!$Z$78,'III. Finanzberichte'!$AG$78,'III. Finanzberichte'!$AN$78,'III. Finanzberichte'!$AU$78,'III. Finanzberichte'!$BB$78,'III. Finanzberichte'!$BI$78,'III. Finanzberichte'!$BP$78,'III. Finanzberichte'!$BW$78,'III. Finanzberichte'!$CD$78,'III. Finanzberichte'!$CK$78,'III. Finanzberichte'!$CR$78,'III. Finanzberichte'!$CY$78,'III. Finanzberichte'!$DF$78,'III. Finanzberichte'!$DM$78,'III. Finanzberichte'!$DT$78),"")</f>
      </c>
      <c r="P152" s="144" t="str">
        <f>=IFERROR(CHOOSE(E81,'III. Finanzberichte'!$F$78,'III. Finanzberichte'!$M$78,'III. Finanzberichte'!$T$78,'III. Finanzberichte'!$AA$78,'III. Finanzberichte'!$AH$78,'III. Finanzberichte'!$AO$78,'III. Finanzberichte'!$AV$78,'III. Finanzberichte'!$BC$78,'III. Finanzberichte'!$BJ$78,'III. Finanzberichte'!$BQ$78,'III. Finanzberichte'!$BX$78,'III. Finanzberichte'!$CE$78,'III. Finanzberichte'!$CL$78,'III. Finanzberichte'!$CS$78,'III. Finanzberichte'!$CZ$78,'III. Finanzberichte'!$DG$78,'III. Finanzberichte'!$DN$78,'III. Finanzberichte'!$DU$78),"")</f>
      </c>
    </row>
    <row r="153">
      <c r="L153" s="143" t="str">
        <f>=IFERROR(CHOOSE(E81,'III. Finanzberichte'!$B$79,'III. Finanzberichte'!$I$79,'III. Finanzberichte'!$P$79,'III. Finanzberichte'!$W$79,'III. Finanzberichte'!$AD$79,'III. Finanzberichte'!$AK$79,'III. Finanzberichte'!$AR$79,'III. Finanzberichte'!$AY$79,'III. Finanzberichte'!$BF$79,'III. Finanzberichte'!$BM$79,'III. Finanzberichte'!$BT$79,'III. Finanzberichte'!$CA$79,'III. Finanzberichte'!$CH$79,'III. Finanzberichte'!$CO$79,'III. Finanzberichte'!$CV$79,'III. Finanzberichte'!$DC$79,'III. Finanzberichte'!$DJ$79,'III. Finanzberichte'!$DQ$79),"")</f>
      </c>
      <c r="M153" s="116" t="str">
        <f>=IFERROR(CHOOSE(E81,'III. Finanzberichte'!$C$79,'III. Finanzberichte'!$J$79,'III. Finanzberichte'!$Q$79,'III. Finanzberichte'!$X$79,'III. Finanzberichte'!$AE$79,'III. Finanzberichte'!$AL$79,'III. Finanzberichte'!$AS$79,'III. Finanzberichte'!$AZ$79,'III. Finanzberichte'!$BG$79,'III. Finanzberichte'!$BN$79,'III. Finanzberichte'!$BU$79,'III. Finanzberichte'!$CB$79,'III. Finanzberichte'!$CI$79,'III. Finanzberichte'!$CP$79,'III. Finanzberichte'!$CW$79,'III. Finanzberichte'!$DD$79,'III. Finanzberichte'!$DK$79,'III. Finanzberichte'!$DR$79),"")</f>
      </c>
      <c r="N153" s="117" t="str">
        <f>=IFERROR(CHOOSE(E81,'III. Finanzberichte'!$D$79,'III. Finanzberichte'!$K$79,'III. Finanzberichte'!$R$79,'III. Finanzberichte'!$Y$79,'III. Finanzberichte'!$AF$79,'III. Finanzberichte'!$AM$79,'III. Finanzberichte'!$AT$79,'III. Finanzberichte'!$BA$79,'III. Finanzberichte'!$BH$79,'III. Finanzberichte'!$BO$79,'III. Finanzberichte'!$BV$79,'III. Finanzberichte'!$CC$79,'III. Finanzberichte'!$CJ$79,'III. Finanzberichte'!$CQ$79,'III. Finanzberichte'!$CX$79,'III. Finanzberichte'!$DE$79,'III. Finanzberichte'!$DL$79,'III. Finanzberichte'!$DS$79),"")</f>
      </c>
      <c r="O153" s="116" t="str">
        <f>=IFERROR(CHOOSE(E81,'III. Finanzberichte'!$E$79,'III. Finanzberichte'!$L$79,'III. Finanzberichte'!$S$79,'III. Finanzberichte'!$Z$79,'III. Finanzberichte'!$AG$79,'III. Finanzberichte'!$AN$79,'III. Finanzberichte'!$AU$79,'III. Finanzberichte'!$BB$79,'III. Finanzberichte'!$BI$79,'III. Finanzberichte'!$BP$79,'III. Finanzberichte'!$BW$79,'III. Finanzberichte'!$CD$79,'III. Finanzberichte'!$CK$79,'III. Finanzberichte'!$CR$79,'III. Finanzberichte'!$CY$79,'III. Finanzberichte'!$DF$79,'III. Finanzberichte'!$DM$79,'III. Finanzberichte'!$DT$79),"")</f>
      </c>
      <c r="P153" s="144" t="str">
        <f>=IFERROR(CHOOSE(E81,'III. Finanzberichte'!$F$79,'III. Finanzberichte'!$M$79,'III. Finanzberichte'!$T$79,'III. Finanzberichte'!$AA$79,'III. Finanzberichte'!$AH$79,'III. Finanzberichte'!$AO$79,'III. Finanzberichte'!$AV$79,'III. Finanzberichte'!$BC$79,'III. Finanzberichte'!$BJ$79,'III. Finanzberichte'!$BQ$79,'III. Finanzberichte'!$BX$79,'III. Finanzberichte'!$CE$79,'III. Finanzberichte'!$CL$79,'III. Finanzberichte'!$CS$79,'III. Finanzberichte'!$CZ$79,'III. Finanzberichte'!$DG$79,'III. Finanzberichte'!$DN$79,'III. Finanzberichte'!$DU$79),"")</f>
      </c>
    </row>
    <row r="154">
      <c r="L154" s="143" t="str">
        <f>=IFERROR(CHOOSE(E81,'III. Finanzberichte'!$B$80,'III. Finanzberichte'!$I$80,'III. Finanzberichte'!$P$80,'III. Finanzberichte'!$W$80,'III. Finanzberichte'!$AD$80,'III. Finanzberichte'!$AK$80,'III. Finanzberichte'!$AR$80,'III. Finanzberichte'!$AY$80,'III. Finanzberichte'!$BF$80,'III. Finanzberichte'!$BM$80,'III. Finanzberichte'!$BT$80,'III. Finanzberichte'!$CA$80,'III. Finanzberichte'!$CH$80,'III. Finanzberichte'!$CO$80,'III. Finanzberichte'!$CV$80,'III. Finanzberichte'!$DC$80,'III. Finanzberichte'!$DJ$80,'III. Finanzberichte'!$DQ$80),"")</f>
      </c>
      <c r="M154" s="116" t="str">
        <f>=IFERROR(CHOOSE(E81,'III. Finanzberichte'!$C$80,'III. Finanzberichte'!$J$80,'III. Finanzberichte'!$Q$80,'III. Finanzberichte'!$X$80,'III. Finanzberichte'!$AE$80,'III. Finanzberichte'!$AL$80,'III. Finanzberichte'!$AS$80,'III. Finanzberichte'!$AZ$80,'III. Finanzberichte'!$BG$80,'III. Finanzberichte'!$BN$80,'III. Finanzberichte'!$BU$80,'III. Finanzberichte'!$CB$80,'III. Finanzberichte'!$CI$80,'III. Finanzberichte'!$CP$80,'III. Finanzberichte'!$CW$80,'III. Finanzberichte'!$DD$80,'III. Finanzberichte'!$DK$80,'III. Finanzberichte'!$DR$80),"")</f>
      </c>
      <c r="N154" s="117" t="str">
        <f>=IFERROR(CHOOSE(E81,'III. Finanzberichte'!$D$80,'III. Finanzberichte'!$K$80,'III. Finanzberichte'!$R$80,'III. Finanzberichte'!$Y$80,'III. Finanzberichte'!$AF$80,'III. Finanzberichte'!$AM$80,'III. Finanzberichte'!$AT$80,'III. Finanzberichte'!$BA$80,'III. Finanzberichte'!$BH$80,'III. Finanzberichte'!$BO$80,'III. Finanzberichte'!$BV$80,'III. Finanzberichte'!$CC$80,'III. Finanzberichte'!$CJ$80,'III. Finanzberichte'!$CQ$80,'III. Finanzberichte'!$CX$80,'III. Finanzberichte'!$DE$80,'III. Finanzberichte'!$DL$80,'III. Finanzberichte'!$DS$80),"")</f>
      </c>
      <c r="O154" s="116" t="str">
        <f>=IFERROR(CHOOSE(E81,'III. Finanzberichte'!$E$80,'III. Finanzberichte'!$L$80,'III. Finanzberichte'!$S$80,'III. Finanzberichte'!$Z$80,'III. Finanzberichte'!$AG$80,'III. Finanzberichte'!$AN$80,'III. Finanzberichte'!$AU$80,'III. Finanzberichte'!$BB$80,'III. Finanzberichte'!$BI$80,'III. Finanzberichte'!$BP$80,'III. Finanzberichte'!$BW$80,'III. Finanzberichte'!$CD$80,'III. Finanzberichte'!$CK$80,'III. Finanzberichte'!$CR$80,'III. Finanzberichte'!$CY$80,'III. Finanzberichte'!$DF$80,'III. Finanzberichte'!$DM$80,'III. Finanzberichte'!$DT$80),"")</f>
      </c>
      <c r="P154" s="144" t="str">
        <f>=IFERROR(CHOOSE(E81,'III. Finanzberichte'!$F$80,'III. Finanzberichte'!$M$80,'III. Finanzberichte'!$T$80,'III. Finanzberichte'!$AA$80,'III. Finanzberichte'!$AH$80,'III. Finanzberichte'!$AO$80,'III. Finanzberichte'!$AV$80,'III. Finanzberichte'!$BC$80,'III. Finanzberichte'!$BJ$80,'III. Finanzberichte'!$BQ$80,'III. Finanzberichte'!$BX$80,'III. Finanzberichte'!$CE$80,'III. Finanzberichte'!$CL$80,'III. Finanzberichte'!$CS$80,'III. Finanzberichte'!$CZ$80,'III. Finanzberichte'!$DG$80,'III. Finanzberichte'!$DN$80,'III. Finanzberichte'!$DU$80),"")</f>
      </c>
    </row>
    <row r="155">
      <c r="L155" s="143" t="str">
        <f>=IFERROR(CHOOSE(E81,'III. Finanzberichte'!$B$81,'III. Finanzberichte'!$I$81,'III. Finanzberichte'!$P$81,'III. Finanzberichte'!$W$81,'III. Finanzberichte'!$AD$81,'III. Finanzberichte'!$AK$81,'III. Finanzberichte'!$AR$81,'III. Finanzberichte'!$AY$81,'III. Finanzberichte'!$BF$81,'III. Finanzberichte'!$BM$81,'III. Finanzberichte'!$BT$81,'III. Finanzberichte'!$CA$81,'III. Finanzberichte'!$CH$81,'III. Finanzberichte'!$CO$81,'III. Finanzberichte'!$CV$81,'III. Finanzberichte'!$DC$81,'III. Finanzberichte'!$DJ$81,'III. Finanzberichte'!$DQ$81),"")</f>
      </c>
      <c r="M155" s="116" t="str">
        <f>=IFERROR(CHOOSE(E81,'III. Finanzberichte'!$C$81,'III. Finanzberichte'!$J$81,'III. Finanzberichte'!$Q$81,'III. Finanzberichte'!$X$81,'III. Finanzberichte'!$AE$81,'III. Finanzberichte'!$AL$81,'III. Finanzberichte'!$AS$81,'III. Finanzberichte'!$AZ$81,'III. Finanzberichte'!$BG$81,'III. Finanzberichte'!$BN$81,'III. Finanzberichte'!$BU$81,'III. Finanzberichte'!$CB$81,'III. Finanzberichte'!$CI$81,'III. Finanzberichte'!$CP$81,'III. Finanzberichte'!$CW$81,'III. Finanzberichte'!$DD$81,'III. Finanzberichte'!$DK$81,'III. Finanzberichte'!$DR$81),"")</f>
      </c>
      <c r="N155" s="117" t="str">
        <f>=IFERROR(CHOOSE(E81,'III. Finanzberichte'!$D$81,'III. Finanzberichte'!$K$81,'III. Finanzberichte'!$R$81,'III. Finanzberichte'!$Y$81,'III. Finanzberichte'!$AF$81,'III. Finanzberichte'!$AM$81,'III. Finanzberichte'!$AT$81,'III. Finanzberichte'!$BA$81,'III. Finanzberichte'!$BH$81,'III. Finanzberichte'!$BO$81,'III. Finanzberichte'!$BV$81,'III. Finanzberichte'!$CC$81,'III. Finanzberichte'!$CJ$81,'III. Finanzberichte'!$CQ$81,'III. Finanzberichte'!$CX$81,'III. Finanzberichte'!$DE$81,'III. Finanzberichte'!$DL$81,'III. Finanzberichte'!$DS$81),"")</f>
      </c>
      <c r="O155" s="116" t="str">
        <f>=IFERROR(CHOOSE(E81,'III. Finanzberichte'!$E$81,'III. Finanzberichte'!$L$81,'III. Finanzberichte'!$S$81,'III. Finanzberichte'!$Z$81,'III. Finanzberichte'!$AG$81,'III. Finanzberichte'!$AN$81,'III. Finanzberichte'!$AU$81,'III. Finanzberichte'!$BB$81,'III. Finanzberichte'!$BI$81,'III. Finanzberichte'!$BP$81,'III. Finanzberichte'!$BW$81,'III. Finanzberichte'!$CD$81,'III. Finanzberichte'!$CK$81,'III. Finanzberichte'!$CR$81,'III. Finanzberichte'!$CY$81,'III. Finanzberichte'!$DF$81,'III. Finanzberichte'!$DM$81,'III. Finanzberichte'!$DT$81),"")</f>
      </c>
      <c r="P155" s="144" t="str">
        <f>=IFERROR(CHOOSE(E81,'III. Finanzberichte'!$F$81,'III. Finanzberichte'!$M$81,'III. Finanzberichte'!$T$81,'III. Finanzberichte'!$AA$81,'III. Finanzberichte'!$AH$81,'III. Finanzberichte'!$AO$81,'III. Finanzberichte'!$AV$81,'III. Finanzberichte'!$BC$81,'III. Finanzberichte'!$BJ$81,'III. Finanzberichte'!$BQ$81,'III. Finanzberichte'!$BX$81,'III. Finanzberichte'!$CE$81,'III. Finanzberichte'!$CL$81,'III. Finanzberichte'!$CS$81,'III. Finanzberichte'!$CZ$81,'III. Finanzberichte'!$DG$81,'III. Finanzberichte'!$DN$81,'III. Finanzberichte'!$DU$81),"")</f>
      </c>
    </row>
    <row r="156">
      <c r="L156" s="143" t="str">
        <f>=IFERROR(CHOOSE(E81,'III. Finanzberichte'!$B$82,'III. Finanzberichte'!$I$82,'III. Finanzberichte'!$P$82,'III. Finanzberichte'!$W$82,'III. Finanzberichte'!$AD$82,'III. Finanzberichte'!$AK$82,'III. Finanzberichte'!$AR$82,'III. Finanzberichte'!$AY$82,'III. Finanzberichte'!$BF$82,'III. Finanzberichte'!$BM$82,'III. Finanzberichte'!$BT$82,'III. Finanzberichte'!$CA$82,'III. Finanzberichte'!$CH$82,'III. Finanzberichte'!$CO$82,'III. Finanzberichte'!$CV$82,'III. Finanzberichte'!$DC$82,'III. Finanzberichte'!$DJ$82,'III. Finanzberichte'!$DQ$82),"")</f>
      </c>
      <c r="M156" s="116" t="str">
        <f>=IFERROR(CHOOSE(E81,'III. Finanzberichte'!$C$82,'III. Finanzberichte'!$J$82,'III. Finanzberichte'!$Q$82,'III. Finanzberichte'!$X$82,'III. Finanzberichte'!$AE$82,'III. Finanzberichte'!$AL$82,'III. Finanzberichte'!$AS$82,'III. Finanzberichte'!$AZ$82,'III. Finanzberichte'!$BG$82,'III. Finanzberichte'!$BN$82,'III. Finanzberichte'!$BU$82,'III. Finanzberichte'!$CB$82,'III. Finanzberichte'!$CI$82,'III. Finanzberichte'!$CP$82,'III. Finanzberichte'!$CW$82,'III. Finanzberichte'!$DD$82,'III. Finanzberichte'!$DK$82,'III. Finanzberichte'!$DR$82),"")</f>
      </c>
      <c r="N156" s="117" t="str">
        <f>=IFERROR(CHOOSE(E81,'III. Finanzberichte'!$D$82,'III. Finanzberichte'!$K$82,'III. Finanzberichte'!$R$82,'III. Finanzberichte'!$Y$82,'III. Finanzberichte'!$AF$82,'III. Finanzberichte'!$AM$82,'III. Finanzberichte'!$AT$82,'III. Finanzberichte'!$BA$82,'III. Finanzberichte'!$BH$82,'III. Finanzberichte'!$BO$82,'III. Finanzberichte'!$BV$82,'III. Finanzberichte'!$CC$82,'III. Finanzberichte'!$CJ$82,'III. Finanzberichte'!$CQ$82,'III. Finanzberichte'!$CX$82,'III. Finanzberichte'!$DE$82,'III. Finanzberichte'!$DL$82,'III. Finanzberichte'!$DS$82),"")</f>
      </c>
      <c r="O156" s="116" t="str">
        <f>=IFERROR(CHOOSE(E81,'III. Finanzberichte'!$E$82,'III. Finanzberichte'!$L$82,'III. Finanzberichte'!$S$82,'III. Finanzberichte'!$Z$82,'III. Finanzberichte'!$AG$82,'III. Finanzberichte'!$AN$82,'III. Finanzberichte'!$AU$82,'III. Finanzberichte'!$BB$82,'III. Finanzberichte'!$BI$82,'III. Finanzberichte'!$BP$82,'III. Finanzberichte'!$BW$82,'III. Finanzberichte'!$CD$82,'III. Finanzberichte'!$CK$82,'III. Finanzberichte'!$CR$82,'III. Finanzberichte'!$CY$82,'III. Finanzberichte'!$DF$82,'III. Finanzberichte'!$DM$82,'III. Finanzberichte'!$DT$82),"")</f>
      </c>
      <c r="P156" s="144" t="str">
        <f>=IFERROR(CHOOSE(E81,'III. Finanzberichte'!$F$82,'III. Finanzberichte'!$M$82,'III. Finanzberichte'!$T$82,'III. Finanzberichte'!$AA$82,'III. Finanzberichte'!$AH$82,'III. Finanzberichte'!$AO$82,'III. Finanzberichte'!$AV$82,'III. Finanzberichte'!$BC$82,'III. Finanzberichte'!$BJ$82,'III. Finanzberichte'!$BQ$82,'III. Finanzberichte'!$BX$82,'III. Finanzberichte'!$CE$82,'III. Finanzberichte'!$CL$82,'III. Finanzberichte'!$CS$82,'III. Finanzberichte'!$CZ$82,'III. Finanzberichte'!$DG$82,'III. Finanzberichte'!$DN$82,'III. Finanzberichte'!$DU$82),"")</f>
      </c>
    </row>
    <row r="157">
      <c r="L157" s="143" t="str">
        <f>=IFERROR(CHOOSE(E81,'III. Finanzberichte'!$B$83,'III. Finanzberichte'!$I$83,'III. Finanzberichte'!$P$83,'III. Finanzberichte'!$W$83,'III. Finanzberichte'!$AD$83,'III. Finanzberichte'!$AK$83,'III. Finanzberichte'!$AR$83,'III. Finanzberichte'!$AY$83,'III. Finanzberichte'!$BF$83,'III. Finanzberichte'!$BM$83,'III. Finanzberichte'!$BT$83,'III. Finanzberichte'!$CA$83,'III. Finanzberichte'!$CH$83,'III. Finanzberichte'!$CO$83,'III. Finanzberichte'!$CV$83,'III. Finanzberichte'!$DC$83,'III. Finanzberichte'!$DJ$83,'III. Finanzberichte'!$DQ$83),"")</f>
      </c>
      <c r="M157" s="116" t="str">
        <f>=IFERROR(CHOOSE(E81,'III. Finanzberichte'!$C$83,'III. Finanzberichte'!$J$83,'III. Finanzberichte'!$Q$83,'III. Finanzberichte'!$X$83,'III. Finanzberichte'!$AE$83,'III. Finanzberichte'!$AL$83,'III. Finanzberichte'!$AS$83,'III. Finanzberichte'!$AZ$83,'III. Finanzberichte'!$BG$83,'III. Finanzberichte'!$BN$83,'III. Finanzberichte'!$BU$83,'III. Finanzberichte'!$CB$83,'III. Finanzberichte'!$CI$83,'III. Finanzberichte'!$CP$83,'III. Finanzberichte'!$CW$83,'III. Finanzberichte'!$DD$83,'III. Finanzberichte'!$DK$83,'III. Finanzberichte'!$DR$83),"")</f>
      </c>
      <c r="N157" s="117" t="str">
        <f>=IFERROR(CHOOSE(E81,'III. Finanzberichte'!$D$83,'III. Finanzberichte'!$K$83,'III. Finanzberichte'!$R$83,'III. Finanzberichte'!$Y$83,'III. Finanzberichte'!$AF$83,'III. Finanzberichte'!$AM$83,'III. Finanzberichte'!$AT$83,'III. Finanzberichte'!$BA$83,'III. Finanzberichte'!$BH$83,'III. Finanzberichte'!$BO$83,'III. Finanzberichte'!$BV$83,'III. Finanzberichte'!$CC$83,'III. Finanzberichte'!$CJ$83,'III. Finanzberichte'!$CQ$83,'III. Finanzberichte'!$CX$83,'III. Finanzberichte'!$DE$83,'III. Finanzberichte'!$DL$83,'III. Finanzberichte'!$DS$83),"")</f>
      </c>
      <c r="O157" s="116" t="str">
        <f>=IFERROR(CHOOSE(E81,'III. Finanzberichte'!$E$83,'III. Finanzberichte'!$L$83,'III. Finanzberichte'!$S$83,'III. Finanzberichte'!$Z$83,'III. Finanzberichte'!$AG$83,'III. Finanzberichte'!$AN$83,'III. Finanzberichte'!$AU$83,'III. Finanzberichte'!$BB$83,'III. Finanzberichte'!$BI$83,'III. Finanzberichte'!$BP$83,'III. Finanzberichte'!$BW$83,'III. Finanzberichte'!$CD$83,'III. Finanzberichte'!$CK$83,'III. Finanzberichte'!$CR$83,'III. Finanzberichte'!$CY$83,'III. Finanzberichte'!$DF$83,'III. Finanzberichte'!$DM$83,'III. Finanzberichte'!$DT$83),"")</f>
      </c>
      <c r="P157" s="144" t="str">
        <f>=IFERROR(CHOOSE(E81,'III. Finanzberichte'!$F$83,'III. Finanzberichte'!$M$83,'III. Finanzberichte'!$T$83,'III. Finanzberichte'!$AA$83,'III. Finanzberichte'!$AH$83,'III. Finanzberichte'!$AO$83,'III. Finanzberichte'!$AV$83,'III. Finanzberichte'!$BC$83,'III. Finanzberichte'!$BJ$83,'III. Finanzberichte'!$BQ$83,'III. Finanzberichte'!$BX$83,'III. Finanzberichte'!$CE$83,'III. Finanzberichte'!$CL$83,'III. Finanzberichte'!$CS$83,'III. Finanzberichte'!$CZ$83,'III. Finanzberichte'!$DG$83,'III. Finanzberichte'!$DN$83,'III. Finanzberichte'!$DU$83),"")</f>
      </c>
    </row>
    <row r="158">
      <c r="L158" s="143" t="str">
        <f>=IFERROR(CHOOSE(E81,'III. Finanzberichte'!$B$84,'III. Finanzberichte'!$I$84,'III. Finanzberichte'!$P$84,'III. Finanzberichte'!$W$84,'III. Finanzberichte'!$AD$84,'III. Finanzberichte'!$AK$84,'III. Finanzberichte'!$AR$84,'III. Finanzberichte'!$AY$84,'III. Finanzberichte'!$BF$84,'III. Finanzberichte'!$BM$84,'III. Finanzberichte'!$BT$84,'III. Finanzberichte'!$CA$84,'III. Finanzberichte'!$CH$84,'III. Finanzberichte'!$CO$84,'III. Finanzberichte'!$CV$84,'III. Finanzberichte'!$DC$84,'III. Finanzberichte'!$DJ$84,'III. Finanzberichte'!$DQ$84),"")</f>
      </c>
      <c r="M158" s="116" t="str">
        <f>=IFERROR(CHOOSE(E81,'III. Finanzberichte'!$C$84,'III. Finanzberichte'!$J$84,'III. Finanzberichte'!$Q$84,'III. Finanzberichte'!$X$84,'III. Finanzberichte'!$AE$84,'III. Finanzberichte'!$AL$84,'III. Finanzberichte'!$AS$84,'III. Finanzberichte'!$AZ$84,'III. Finanzberichte'!$BG$84,'III. Finanzberichte'!$BN$84,'III. Finanzberichte'!$BU$84,'III. Finanzberichte'!$CB$84,'III. Finanzberichte'!$CI$84,'III. Finanzberichte'!$CP$84,'III. Finanzberichte'!$CW$84,'III. Finanzberichte'!$DD$84,'III. Finanzberichte'!$DK$84,'III. Finanzberichte'!$DR$84),"")</f>
      </c>
      <c r="N158" s="117" t="str">
        <f>=IFERROR(CHOOSE(E81,'III. Finanzberichte'!$D$84,'III. Finanzberichte'!$K$84,'III. Finanzberichte'!$R$84,'III. Finanzberichte'!$Y$84,'III. Finanzberichte'!$AF$84,'III. Finanzberichte'!$AM$84,'III. Finanzberichte'!$AT$84,'III. Finanzberichte'!$BA$84,'III. Finanzberichte'!$BH$84,'III. Finanzberichte'!$BO$84,'III. Finanzberichte'!$BV$84,'III. Finanzberichte'!$CC$84,'III. Finanzberichte'!$CJ$84,'III. Finanzberichte'!$CQ$84,'III. Finanzberichte'!$CX$84,'III. Finanzberichte'!$DE$84,'III. Finanzberichte'!$DL$84,'III. Finanzberichte'!$DS$84),"")</f>
      </c>
      <c r="O158" s="116" t="str">
        <f>=IFERROR(CHOOSE(E81,'III. Finanzberichte'!$E$84,'III. Finanzberichte'!$L$84,'III. Finanzberichte'!$S$84,'III. Finanzberichte'!$Z$84,'III. Finanzberichte'!$AG$84,'III. Finanzberichte'!$AN$84,'III. Finanzberichte'!$AU$84,'III. Finanzberichte'!$BB$84,'III. Finanzberichte'!$BI$84,'III. Finanzberichte'!$BP$84,'III. Finanzberichte'!$BW$84,'III. Finanzberichte'!$CD$84,'III. Finanzberichte'!$CK$84,'III. Finanzberichte'!$CR$84,'III. Finanzberichte'!$CY$84,'III. Finanzberichte'!$DF$84,'III. Finanzberichte'!$DM$84,'III. Finanzberichte'!$DT$84),"")</f>
      </c>
      <c r="P158" s="144" t="str">
        <f>=IFERROR(CHOOSE(E81,'III. Finanzberichte'!$F$84,'III. Finanzberichte'!$M$84,'III. Finanzberichte'!$T$84,'III. Finanzberichte'!$AA$84,'III. Finanzberichte'!$AH$84,'III. Finanzberichte'!$AO$84,'III. Finanzberichte'!$AV$84,'III. Finanzberichte'!$BC$84,'III. Finanzberichte'!$BJ$84,'III. Finanzberichte'!$BQ$84,'III. Finanzberichte'!$BX$84,'III. Finanzberichte'!$CE$84,'III. Finanzberichte'!$CL$84,'III. Finanzberichte'!$CS$84,'III. Finanzberichte'!$CZ$84,'III. Finanzberichte'!$DG$84,'III. Finanzberichte'!$DN$84,'III. Finanzberichte'!$DU$84),"")</f>
      </c>
    </row>
    <row r="159">
      <c r="L159" s="143" t="str">
        <f>=IFERROR(CHOOSE(E81,'III. Finanzberichte'!$B$85,'III. Finanzberichte'!$I$85,'III. Finanzberichte'!$P$85,'III. Finanzberichte'!$W$85,'III. Finanzberichte'!$AD$85,'III. Finanzberichte'!$AK$85,'III. Finanzberichte'!$AR$85,'III. Finanzberichte'!$AY$85,'III. Finanzberichte'!$BF$85,'III. Finanzberichte'!$BM$85,'III. Finanzberichte'!$BT$85,'III. Finanzberichte'!$CA$85,'III. Finanzberichte'!$CH$85,'III. Finanzberichte'!$CO$85,'III. Finanzberichte'!$CV$85,'III. Finanzberichte'!$DC$85,'III. Finanzberichte'!$DJ$85,'III. Finanzberichte'!$DQ$85),"")</f>
      </c>
      <c r="M159" s="116" t="str">
        <f>=IFERROR(CHOOSE(E81,'III. Finanzberichte'!$C$85,'III. Finanzberichte'!$J$85,'III. Finanzberichte'!$Q$85,'III. Finanzberichte'!$X$85,'III. Finanzberichte'!$AE$85,'III. Finanzberichte'!$AL$85,'III. Finanzberichte'!$AS$85,'III. Finanzberichte'!$AZ$85,'III. Finanzberichte'!$BG$85,'III. Finanzberichte'!$BN$85,'III. Finanzberichte'!$BU$85,'III. Finanzberichte'!$CB$85,'III. Finanzberichte'!$CI$85,'III. Finanzberichte'!$CP$85,'III. Finanzberichte'!$CW$85,'III. Finanzberichte'!$DD$85,'III. Finanzberichte'!$DK$85,'III. Finanzberichte'!$DR$85),"")</f>
      </c>
      <c r="N159" s="117" t="str">
        <f>=IFERROR(CHOOSE(E81,'III. Finanzberichte'!$D$85,'III. Finanzberichte'!$K$85,'III. Finanzberichte'!$R$85,'III. Finanzberichte'!$Y$85,'III. Finanzberichte'!$AF$85,'III. Finanzberichte'!$AM$85,'III. Finanzberichte'!$AT$85,'III. Finanzberichte'!$BA$85,'III. Finanzberichte'!$BH$85,'III. Finanzberichte'!$BO$85,'III. Finanzberichte'!$BV$85,'III. Finanzberichte'!$CC$85,'III. Finanzberichte'!$CJ$85,'III. Finanzberichte'!$CQ$85,'III. Finanzberichte'!$CX$85,'III. Finanzberichte'!$DE$85,'III. Finanzberichte'!$DL$85,'III. Finanzberichte'!$DS$85),"")</f>
      </c>
      <c r="O159" s="116" t="str">
        <f>=IFERROR(CHOOSE(E81,'III. Finanzberichte'!$E$85,'III. Finanzberichte'!$L$85,'III. Finanzberichte'!$S$85,'III. Finanzberichte'!$Z$85,'III. Finanzberichte'!$AG$85,'III. Finanzberichte'!$AN$85,'III. Finanzberichte'!$AU$85,'III. Finanzberichte'!$BB$85,'III. Finanzberichte'!$BI$85,'III. Finanzberichte'!$BP$85,'III. Finanzberichte'!$BW$85,'III. Finanzberichte'!$CD$85,'III. Finanzberichte'!$CK$85,'III. Finanzberichte'!$CR$85,'III. Finanzberichte'!$CY$85,'III. Finanzberichte'!$DF$85,'III. Finanzberichte'!$DM$85,'III. Finanzberichte'!$DT$85),"")</f>
      </c>
      <c r="P159" s="144" t="str">
        <f>=IFERROR(CHOOSE(E81,'III. Finanzberichte'!$F$85,'III. Finanzberichte'!$M$85,'III. Finanzberichte'!$T$85,'III. Finanzberichte'!$AA$85,'III. Finanzberichte'!$AH$85,'III. Finanzberichte'!$AO$85,'III. Finanzberichte'!$AV$85,'III. Finanzberichte'!$BC$85,'III. Finanzberichte'!$BJ$85,'III. Finanzberichte'!$BQ$85,'III. Finanzberichte'!$BX$85,'III. Finanzberichte'!$CE$85,'III. Finanzberichte'!$CL$85,'III. Finanzberichte'!$CS$85,'III. Finanzberichte'!$CZ$85,'III. Finanzberichte'!$DG$85,'III. Finanzberichte'!$DN$85,'III. Finanzberichte'!$DU$85),"")</f>
      </c>
    </row>
    <row r="160">
      <c r="L160" s="143" t="str">
        <f>=IFERROR(CHOOSE(E81,'III. Finanzberichte'!$B$86,'III. Finanzberichte'!$I$86,'III. Finanzberichte'!$P$86,'III. Finanzberichte'!$W$86,'III. Finanzberichte'!$AD$86,'III. Finanzberichte'!$AK$86,'III. Finanzberichte'!$AR$86,'III. Finanzberichte'!$AY$86,'III. Finanzberichte'!$BF$86,'III. Finanzberichte'!$BM$86,'III. Finanzberichte'!$BT$86,'III. Finanzberichte'!$CA$86,'III. Finanzberichte'!$CH$86,'III. Finanzberichte'!$CO$86,'III. Finanzberichte'!$CV$86,'III. Finanzberichte'!$DC$86,'III. Finanzberichte'!$DJ$86,'III. Finanzberichte'!$DQ$86),"")</f>
      </c>
      <c r="M160" s="116" t="str">
        <f>=IFERROR(CHOOSE(E81,'III. Finanzberichte'!$C$86,'III. Finanzberichte'!$J$86,'III. Finanzberichte'!$Q$86,'III. Finanzberichte'!$X$86,'III. Finanzberichte'!$AE$86,'III. Finanzberichte'!$AL$86,'III. Finanzberichte'!$AS$86,'III. Finanzberichte'!$AZ$86,'III. Finanzberichte'!$BG$86,'III. Finanzberichte'!$BN$86,'III. Finanzberichte'!$BU$86,'III. Finanzberichte'!$CB$86,'III. Finanzberichte'!$CI$86,'III. Finanzberichte'!$CP$86,'III. Finanzberichte'!$CW$86,'III. Finanzberichte'!$DD$86,'III. Finanzberichte'!$DK$86,'III. Finanzberichte'!$DR$86),"")</f>
      </c>
      <c r="N160" s="117" t="str">
        <f>=IFERROR(CHOOSE(E81,'III. Finanzberichte'!$D$86,'III. Finanzberichte'!$K$86,'III. Finanzberichte'!$R$86,'III. Finanzberichte'!$Y$86,'III. Finanzberichte'!$AF$86,'III. Finanzberichte'!$AM$86,'III. Finanzberichte'!$AT$86,'III. Finanzberichte'!$BA$86,'III. Finanzberichte'!$BH$86,'III. Finanzberichte'!$BO$86,'III. Finanzberichte'!$BV$86,'III. Finanzberichte'!$CC$86,'III. Finanzberichte'!$CJ$86,'III. Finanzberichte'!$CQ$86,'III. Finanzberichte'!$CX$86,'III. Finanzberichte'!$DE$86,'III. Finanzberichte'!$DL$86,'III. Finanzberichte'!$DS$86),"")</f>
      </c>
      <c r="O160" s="116" t="str">
        <f>=IFERROR(CHOOSE(E81,'III. Finanzberichte'!$E$86,'III. Finanzberichte'!$L$86,'III. Finanzberichte'!$S$86,'III. Finanzberichte'!$Z$86,'III. Finanzberichte'!$AG$86,'III. Finanzberichte'!$AN$86,'III. Finanzberichte'!$AU$86,'III. Finanzberichte'!$BB$86,'III. Finanzberichte'!$BI$86,'III. Finanzberichte'!$BP$86,'III. Finanzberichte'!$BW$86,'III. Finanzberichte'!$CD$86,'III. Finanzberichte'!$CK$86,'III. Finanzberichte'!$CR$86,'III. Finanzberichte'!$CY$86,'III. Finanzberichte'!$DF$86,'III. Finanzberichte'!$DM$86,'III. Finanzberichte'!$DT$86),"")</f>
      </c>
      <c r="P160" s="144" t="str">
        <f>=IFERROR(CHOOSE(E81,'III. Finanzberichte'!$F$86,'III. Finanzberichte'!$M$86,'III. Finanzberichte'!$T$86,'III. Finanzberichte'!$AA$86,'III. Finanzberichte'!$AH$86,'III. Finanzberichte'!$AO$86,'III. Finanzberichte'!$AV$86,'III. Finanzberichte'!$BC$86,'III. Finanzberichte'!$BJ$86,'III. Finanzberichte'!$BQ$86,'III. Finanzberichte'!$BX$86,'III. Finanzberichte'!$CE$86,'III. Finanzberichte'!$CL$86,'III. Finanzberichte'!$CS$86,'III. Finanzberichte'!$CZ$86,'III. Finanzberichte'!$DG$86,'III. Finanzberichte'!$DN$86,'III. Finanzberichte'!$DU$86),"")</f>
      </c>
    </row>
    <row r="161">
      <c r="L161" s="143" t="str">
        <f>=IFERROR(CHOOSE(E81,'III. Finanzberichte'!$B$87,'III. Finanzberichte'!$I$87,'III. Finanzberichte'!$P$87,'III. Finanzberichte'!$W$87,'III. Finanzberichte'!$AD$87,'III. Finanzberichte'!$AK$87,'III. Finanzberichte'!$AR$87,'III. Finanzberichte'!$AY$87,'III. Finanzberichte'!$BF$87,'III. Finanzberichte'!$BM$87,'III. Finanzberichte'!$BT$87,'III. Finanzberichte'!$CA$87,'III. Finanzberichte'!$CH$87,'III. Finanzberichte'!$CO$87,'III. Finanzberichte'!$CV$87,'III. Finanzberichte'!$DC$87,'III. Finanzberichte'!$DJ$87,'III. Finanzberichte'!$DQ$87),"")</f>
      </c>
      <c r="M161" s="116" t="str">
        <f>=IFERROR(CHOOSE(E81,'III. Finanzberichte'!$C$87,'III. Finanzberichte'!$J$87,'III. Finanzberichte'!$Q$87,'III. Finanzberichte'!$X$87,'III. Finanzberichte'!$AE$87,'III. Finanzberichte'!$AL$87,'III. Finanzberichte'!$AS$87,'III. Finanzberichte'!$AZ$87,'III. Finanzberichte'!$BG$87,'III. Finanzberichte'!$BN$87,'III. Finanzberichte'!$BU$87,'III. Finanzberichte'!$CB$87,'III. Finanzberichte'!$CI$87,'III. Finanzberichte'!$CP$87,'III. Finanzberichte'!$CW$87,'III. Finanzberichte'!$DD$87,'III. Finanzberichte'!$DK$87,'III. Finanzberichte'!$DR$87),"")</f>
      </c>
      <c r="N161" s="117" t="str">
        <f>=IFERROR(CHOOSE(E81,'III. Finanzberichte'!$D$87,'III. Finanzberichte'!$K$87,'III. Finanzberichte'!$R$87,'III. Finanzberichte'!$Y$87,'III. Finanzberichte'!$AF$87,'III. Finanzberichte'!$AM$87,'III. Finanzberichte'!$AT$87,'III. Finanzberichte'!$BA$87,'III. Finanzberichte'!$BH$87,'III. Finanzberichte'!$BO$87,'III. Finanzberichte'!$BV$87,'III. Finanzberichte'!$CC$87,'III. Finanzberichte'!$CJ$87,'III. Finanzberichte'!$CQ$87,'III. Finanzberichte'!$CX$87,'III. Finanzberichte'!$DE$87,'III. Finanzberichte'!$DL$87,'III. Finanzberichte'!$DS$87),"")</f>
      </c>
      <c r="O161" s="116" t="str">
        <f>=IFERROR(CHOOSE(E81,'III. Finanzberichte'!$E$87,'III. Finanzberichte'!$L$87,'III. Finanzberichte'!$S$87,'III. Finanzberichte'!$Z$87,'III. Finanzberichte'!$AG$87,'III. Finanzberichte'!$AN$87,'III. Finanzberichte'!$AU$87,'III. Finanzberichte'!$BB$87,'III. Finanzberichte'!$BI$87,'III. Finanzberichte'!$BP$87,'III. Finanzberichte'!$BW$87,'III. Finanzberichte'!$CD$87,'III. Finanzberichte'!$CK$87,'III. Finanzberichte'!$CR$87,'III. Finanzberichte'!$CY$87,'III. Finanzberichte'!$DF$87,'III. Finanzberichte'!$DM$87,'III. Finanzberichte'!$DT$87),"")</f>
      </c>
      <c r="P161" s="144" t="str">
        <f>=IFERROR(CHOOSE(E81,'III. Finanzberichte'!$F$87,'III. Finanzberichte'!$M$87,'III. Finanzberichte'!$T$87,'III. Finanzberichte'!$AA$87,'III. Finanzberichte'!$AH$87,'III. Finanzberichte'!$AO$87,'III. Finanzberichte'!$AV$87,'III. Finanzberichte'!$BC$87,'III. Finanzberichte'!$BJ$87,'III. Finanzberichte'!$BQ$87,'III. Finanzberichte'!$BX$87,'III. Finanzberichte'!$CE$87,'III. Finanzberichte'!$CL$87,'III. Finanzberichte'!$CS$87,'III. Finanzberichte'!$CZ$87,'III. Finanzberichte'!$DG$87,'III. Finanzberichte'!$DN$87,'III. Finanzberichte'!$DU$87),"")</f>
      </c>
    </row>
    <row r="162">
      <c r="L162" s="143" t="str">
        <f>=IFERROR(CHOOSE(E81,'III. Finanzberichte'!$B$88,'III. Finanzberichte'!$I$88,'III. Finanzberichte'!$P$88,'III. Finanzberichte'!$W$88,'III. Finanzberichte'!$AD$88,'III. Finanzberichte'!$AK$88,'III. Finanzberichte'!$AR$88,'III. Finanzberichte'!$AY$88,'III. Finanzberichte'!$BF$88,'III. Finanzberichte'!$BM$88,'III. Finanzberichte'!$BT$88,'III. Finanzberichte'!$CA$88,'III. Finanzberichte'!$CH$88,'III. Finanzberichte'!$CO$88,'III. Finanzberichte'!$CV$88,'III. Finanzberichte'!$DC$88,'III. Finanzberichte'!$DJ$88,'III. Finanzberichte'!$DQ$88),"")</f>
      </c>
      <c r="M162" s="116" t="str">
        <f>=IFERROR(CHOOSE(E81,'III. Finanzberichte'!$C$88,'III. Finanzberichte'!$J$88,'III. Finanzberichte'!$Q$88,'III. Finanzberichte'!$X$88,'III. Finanzberichte'!$AE$88,'III. Finanzberichte'!$AL$88,'III. Finanzberichte'!$AS$88,'III. Finanzberichte'!$AZ$88,'III. Finanzberichte'!$BG$88,'III. Finanzberichte'!$BN$88,'III. Finanzberichte'!$BU$88,'III. Finanzberichte'!$CB$88,'III. Finanzberichte'!$CI$88,'III. Finanzberichte'!$CP$88,'III. Finanzberichte'!$CW$88,'III. Finanzberichte'!$DD$88,'III. Finanzberichte'!$DK$88,'III. Finanzberichte'!$DR$88),"")</f>
      </c>
      <c r="N162" s="117" t="str">
        <f>=IFERROR(CHOOSE(E81,'III. Finanzberichte'!$D$88,'III. Finanzberichte'!$K$88,'III. Finanzberichte'!$R$88,'III. Finanzberichte'!$Y$88,'III. Finanzberichte'!$AF$88,'III. Finanzberichte'!$AM$88,'III. Finanzberichte'!$AT$88,'III. Finanzberichte'!$BA$88,'III. Finanzberichte'!$BH$88,'III. Finanzberichte'!$BO$88,'III. Finanzberichte'!$BV$88,'III. Finanzberichte'!$CC$88,'III. Finanzberichte'!$CJ$88,'III. Finanzberichte'!$CQ$88,'III. Finanzberichte'!$CX$88,'III. Finanzberichte'!$DE$88,'III. Finanzberichte'!$DL$88,'III. Finanzberichte'!$DS$88),"")</f>
      </c>
      <c r="O162" s="116" t="str">
        <f>=IFERROR(CHOOSE(E81,'III. Finanzberichte'!$E$88,'III. Finanzberichte'!$L$88,'III. Finanzberichte'!$S$88,'III. Finanzberichte'!$Z$88,'III. Finanzberichte'!$AG$88,'III. Finanzberichte'!$AN$88,'III. Finanzberichte'!$AU$88,'III. Finanzberichte'!$BB$88,'III. Finanzberichte'!$BI$88,'III. Finanzberichte'!$BP$88,'III. Finanzberichte'!$BW$88,'III. Finanzberichte'!$CD$88,'III. Finanzberichte'!$CK$88,'III. Finanzberichte'!$CR$88,'III. Finanzberichte'!$CY$88,'III. Finanzberichte'!$DF$88,'III. Finanzberichte'!$DM$88,'III. Finanzberichte'!$DT$88),"")</f>
      </c>
      <c r="P162" s="144" t="str">
        <f>=IFERROR(CHOOSE(E81,'III. Finanzberichte'!$F$88,'III. Finanzberichte'!$M$88,'III. Finanzberichte'!$T$88,'III. Finanzberichte'!$AA$88,'III. Finanzberichte'!$AH$88,'III. Finanzberichte'!$AO$88,'III. Finanzberichte'!$AV$88,'III. Finanzberichte'!$BC$88,'III. Finanzberichte'!$BJ$88,'III. Finanzberichte'!$BQ$88,'III. Finanzberichte'!$BX$88,'III. Finanzberichte'!$CE$88,'III. Finanzberichte'!$CL$88,'III. Finanzberichte'!$CS$88,'III. Finanzberichte'!$CZ$88,'III. Finanzberichte'!$DG$88,'III. Finanzberichte'!$DN$88,'III. Finanzberichte'!$DU$88),"")</f>
      </c>
    </row>
    <row r="163">
      <c r="L163" s="143" t="str">
        <f>=IFERROR(CHOOSE(E81,'III. Finanzberichte'!$B$89,'III. Finanzberichte'!$I$89,'III. Finanzberichte'!$P$89,'III. Finanzberichte'!$W$89,'III. Finanzberichte'!$AD$89,'III. Finanzberichte'!$AK$89,'III. Finanzberichte'!$AR$89,'III. Finanzberichte'!$AY$89,'III. Finanzberichte'!$BF$89,'III. Finanzberichte'!$BM$89,'III. Finanzberichte'!$BT$89,'III. Finanzberichte'!$CA$89,'III. Finanzberichte'!$CH$89,'III. Finanzberichte'!$CO$89,'III. Finanzberichte'!$CV$89,'III. Finanzberichte'!$DC$89,'III. Finanzberichte'!$DJ$89,'III. Finanzberichte'!$DQ$89),"")</f>
      </c>
      <c r="M163" s="116" t="str">
        <f>=IFERROR(CHOOSE(E81,'III. Finanzberichte'!$C$89,'III. Finanzberichte'!$J$89,'III. Finanzberichte'!$Q$89,'III. Finanzberichte'!$X$89,'III. Finanzberichte'!$AE$89,'III. Finanzberichte'!$AL$89,'III. Finanzberichte'!$AS$89,'III. Finanzberichte'!$AZ$89,'III. Finanzberichte'!$BG$89,'III. Finanzberichte'!$BN$89,'III. Finanzberichte'!$BU$89,'III. Finanzberichte'!$CB$89,'III. Finanzberichte'!$CI$89,'III. Finanzberichte'!$CP$89,'III. Finanzberichte'!$CW$89,'III. Finanzberichte'!$DD$89,'III. Finanzberichte'!$DK$89,'III. Finanzberichte'!$DR$89),"")</f>
      </c>
      <c r="N163" s="117" t="str">
        <f>=IFERROR(CHOOSE(E81,'III. Finanzberichte'!$D$89,'III. Finanzberichte'!$K$89,'III. Finanzberichte'!$R$89,'III. Finanzberichte'!$Y$89,'III. Finanzberichte'!$AF$89,'III. Finanzberichte'!$AM$89,'III. Finanzberichte'!$AT$89,'III. Finanzberichte'!$BA$89,'III. Finanzberichte'!$BH$89,'III. Finanzberichte'!$BO$89,'III. Finanzberichte'!$BV$89,'III. Finanzberichte'!$CC$89,'III. Finanzberichte'!$CJ$89,'III. Finanzberichte'!$CQ$89,'III. Finanzberichte'!$CX$89,'III. Finanzberichte'!$DE$89,'III. Finanzberichte'!$DL$89,'III. Finanzberichte'!$DS$89),"")</f>
      </c>
      <c r="O163" s="116" t="str">
        <f>=IFERROR(CHOOSE(E81,'III. Finanzberichte'!$E$89,'III. Finanzberichte'!$L$89,'III. Finanzberichte'!$S$89,'III. Finanzberichte'!$Z$89,'III. Finanzberichte'!$AG$89,'III. Finanzberichte'!$AN$89,'III. Finanzberichte'!$AU$89,'III. Finanzberichte'!$BB$89,'III. Finanzberichte'!$BI$89,'III. Finanzberichte'!$BP$89,'III. Finanzberichte'!$BW$89,'III. Finanzberichte'!$CD$89,'III. Finanzberichte'!$CK$89,'III. Finanzberichte'!$CR$89,'III. Finanzberichte'!$CY$89,'III. Finanzberichte'!$DF$89,'III. Finanzberichte'!$DM$89,'III. Finanzberichte'!$DT$89),"")</f>
      </c>
      <c r="P163" s="144" t="str">
        <f>=IFERROR(CHOOSE(E81,'III. Finanzberichte'!$F$89,'III. Finanzberichte'!$M$89,'III. Finanzberichte'!$T$89,'III. Finanzberichte'!$AA$89,'III. Finanzberichte'!$AH$89,'III. Finanzberichte'!$AO$89,'III. Finanzberichte'!$AV$89,'III. Finanzberichte'!$BC$89,'III. Finanzberichte'!$BJ$89,'III. Finanzberichte'!$BQ$89,'III. Finanzberichte'!$BX$89,'III. Finanzberichte'!$CE$89,'III. Finanzberichte'!$CL$89,'III. Finanzberichte'!$CS$89,'III. Finanzberichte'!$CZ$89,'III. Finanzberichte'!$DG$89,'III. Finanzberichte'!$DN$89,'III. Finanzberichte'!$DU$89),"")</f>
      </c>
    </row>
    <row r="164">
      <c r="L164" s="143" t="str">
        <f>=IFERROR(CHOOSE(E81,'III. Finanzberichte'!$B$90,'III. Finanzberichte'!$I$90,'III. Finanzberichte'!$P$90,'III. Finanzberichte'!$W$90,'III. Finanzberichte'!$AD$90,'III. Finanzberichte'!$AK$90,'III. Finanzberichte'!$AR$90,'III. Finanzberichte'!$AY$90,'III. Finanzberichte'!$BF$90,'III. Finanzberichte'!$BM$90,'III. Finanzberichte'!$BT$90,'III. Finanzberichte'!$CA$90,'III. Finanzberichte'!$CH$90,'III. Finanzberichte'!$CO$90,'III. Finanzberichte'!$CV$90,'III. Finanzberichte'!$DC$90,'III. Finanzberichte'!$DJ$90,'III. Finanzberichte'!$DQ$90),"")</f>
      </c>
      <c r="M164" s="116" t="str">
        <f>=IFERROR(CHOOSE(E81,'III. Finanzberichte'!$C$90,'III. Finanzberichte'!$J$90,'III. Finanzberichte'!$Q$90,'III. Finanzberichte'!$X$90,'III. Finanzberichte'!$AE$90,'III. Finanzberichte'!$AL$90,'III. Finanzberichte'!$AS$90,'III. Finanzberichte'!$AZ$90,'III. Finanzberichte'!$BG$90,'III. Finanzberichte'!$BN$90,'III. Finanzberichte'!$BU$90,'III. Finanzberichte'!$CB$90,'III. Finanzberichte'!$CI$90,'III. Finanzberichte'!$CP$90,'III. Finanzberichte'!$CW$90,'III. Finanzberichte'!$DD$90,'III. Finanzberichte'!$DK$90,'III. Finanzberichte'!$DR$90),"")</f>
      </c>
      <c r="N164" s="117" t="str">
        <f>=IFERROR(CHOOSE(E81,'III. Finanzberichte'!$D$90,'III. Finanzberichte'!$K$90,'III. Finanzberichte'!$R$90,'III. Finanzberichte'!$Y$90,'III. Finanzberichte'!$AF$90,'III. Finanzberichte'!$AM$90,'III. Finanzberichte'!$AT$90,'III. Finanzberichte'!$BA$90,'III. Finanzberichte'!$BH$90,'III. Finanzberichte'!$BO$90,'III. Finanzberichte'!$BV$90,'III. Finanzberichte'!$CC$90,'III. Finanzberichte'!$CJ$90,'III. Finanzberichte'!$CQ$90,'III. Finanzberichte'!$CX$90,'III. Finanzberichte'!$DE$90,'III. Finanzberichte'!$DL$90,'III. Finanzberichte'!$DS$90),"")</f>
      </c>
      <c r="O164" s="116" t="str">
        <f>=IFERROR(CHOOSE(E81,'III. Finanzberichte'!$E$90,'III. Finanzberichte'!$L$90,'III. Finanzberichte'!$S$90,'III. Finanzberichte'!$Z$90,'III. Finanzberichte'!$AG$90,'III. Finanzberichte'!$AN$90,'III. Finanzberichte'!$AU$90,'III. Finanzberichte'!$BB$90,'III. Finanzberichte'!$BI$90,'III. Finanzberichte'!$BP$90,'III. Finanzberichte'!$BW$90,'III. Finanzberichte'!$CD$90,'III. Finanzberichte'!$CK$90,'III. Finanzberichte'!$CR$90,'III. Finanzberichte'!$CY$90,'III. Finanzberichte'!$DF$90,'III. Finanzberichte'!$DM$90,'III. Finanzberichte'!$DT$90),"")</f>
      </c>
      <c r="P164" s="144" t="str">
        <f>=IFERROR(CHOOSE(E81,'III. Finanzberichte'!$F$90,'III. Finanzberichte'!$M$90,'III. Finanzberichte'!$T$90,'III. Finanzberichte'!$AA$90,'III. Finanzberichte'!$AH$90,'III. Finanzberichte'!$AO$90,'III. Finanzberichte'!$AV$90,'III. Finanzberichte'!$BC$90,'III. Finanzberichte'!$BJ$90,'III. Finanzberichte'!$BQ$90,'III. Finanzberichte'!$BX$90,'III. Finanzberichte'!$CE$90,'III. Finanzberichte'!$CL$90,'III. Finanzberichte'!$CS$90,'III. Finanzberichte'!$CZ$90,'III. Finanzberichte'!$DG$90,'III. Finanzberichte'!$DN$90,'III. Finanzberichte'!$DU$90),"")</f>
      </c>
    </row>
    <row r="165">
      <c r="L165" s="143" t="str">
        <f>=IFERROR(CHOOSE(E81,'III. Finanzberichte'!$B$91,'III. Finanzberichte'!$I$91,'III. Finanzberichte'!$P$91,'III. Finanzberichte'!$W$91,'III. Finanzberichte'!$AD$91,'III. Finanzberichte'!$AK$91,'III. Finanzberichte'!$AR$91,'III. Finanzberichte'!$AY$91,'III. Finanzberichte'!$BF$91,'III. Finanzberichte'!$BM$91,'III. Finanzberichte'!$BT$91,'III. Finanzberichte'!$CA$91,'III. Finanzberichte'!$CH$91,'III. Finanzberichte'!$CO$91,'III. Finanzberichte'!$CV$91,'III. Finanzberichte'!$DC$91,'III. Finanzberichte'!$DJ$91,'III. Finanzberichte'!$DQ$91),"")</f>
      </c>
      <c r="M165" s="116" t="str">
        <f>=IFERROR(CHOOSE(E81,'III. Finanzberichte'!$C$91,'III. Finanzberichte'!$J$91,'III. Finanzberichte'!$Q$91,'III. Finanzberichte'!$X$91,'III. Finanzberichte'!$AE$91,'III. Finanzberichte'!$AL$91,'III. Finanzberichte'!$AS$91,'III. Finanzberichte'!$AZ$91,'III. Finanzberichte'!$BG$91,'III. Finanzberichte'!$BN$91,'III. Finanzberichte'!$BU$91,'III. Finanzberichte'!$CB$91,'III. Finanzberichte'!$CI$91,'III. Finanzberichte'!$CP$91,'III. Finanzberichte'!$CW$91,'III. Finanzberichte'!$DD$91,'III. Finanzberichte'!$DK$91,'III. Finanzberichte'!$DR$91),"")</f>
      </c>
      <c r="N165" s="117" t="str">
        <f>=IFERROR(CHOOSE(E81,'III. Finanzberichte'!$D$91,'III. Finanzberichte'!$K$91,'III. Finanzberichte'!$R$91,'III. Finanzberichte'!$Y$91,'III. Finanzberichte'!$AF$91,'III. Finanzberichte'!$AM$91,'III. Finanzberichte'!$AT$91,'III. Finanzberichte'!$BA$91,'III. Finanzberichte'!$BH$91,'III. Finanzberichte'!$BO$91,'III. Finanzberichte'!$BV$91,'III. Finanzberichte'!$CC$91,'III. Finanzberichte'!$CJ$91,'III. Finanzberichte'!$CQ$91,'III. Finanzberichte'!$CX$91,'III. Finanzberichte'!$DE$91,'III. Finanzberichte'!$DL$91,'III. Finanzberichte'!$DS$91),"")</f>
      </c>
      <c r="O165" s="116" t="str">
        <f>=IFERROR(CHOOSE(E81,'III. Finanzberichte'!$E$91,'III. Finanzberichte'!$L$91,'III. Finanzberichte'!$S$91,'III. Finanzberichte'!$Z$91,'III. Finanzberichte'!$AG$91,'III. Finanzberichte'!$AN$91,'III. Finanzberichte'!$AU$91,'III. Finanzberichte'!$BB$91,'III. Finanzberichte'!$BI$91,'III. Finanzberichte'!$BP$91,'III. Finanzberichte'!$BW$91,'III. Finanzberichte'!$CD$91,'III. Finanzberichte'!$CK$91,'III. Finanzberichte'!$CR$91,'III. Finanzberichte'!$CY$91,'III. Finanzberichte'!$DF$91,'III. Finanzberichte'!$DM$91,'III. Finanzberichte'!$DT$91),"")</f>
      </c>
      <c r="P165" s="144" t="str">
        <f>=IFERROR(CHOOSE(E81,'III. Finanzberichte'!$F$91,'III. Finanzberichte'!$M$91,'III. Finanzberichte'!$T$91,'III. Finanzberichte'!$AA$91,'III. Finanzberichte'!$AH$91,'III. Finanzberichte'!$AO$91,'III. Finanzberichte'!$AV$91,'III. Finanzberichte'!$BC$91,'III. Finanzberichte'!$BJ$91,'III. Finanzberichte'!$BQ$91,'III. Finanzberichte'!$BX$91,'III. Finanzberichte'!$CE$91,'III. Finanzberichte'!$CL$91,'III. Finanzberichte'!$CS$91,'III. Finanzberichte'!$CZ$91,'III. Finanzberichte'!$DG$91,'III. Finanzberichte'!$DN$91,'III. Finanzberichte'!$DU$91),"")</f>
      </c>
    </row>
    <row r="166">
      <c r="L166" s="143" t="str">
        <f>=IFERROR(CHOOSE(E81,'III. Finanzberichte'!$B$92,'III. Finanzberichte'!$I$92,'III. Finanzberichte'!$P$92,'III. Finanzberichte'!$W$92,'III. Finanzberichte'!$AD$92,'III. Finanzberichte'!$AK$92,'III. Finanzberichte'!$AR$92,'III. Finanzberichte'!$AY$92,'III. Finanzberichte'!$BF$92,'III. Finanzberichte'!$BM$92,'III. Finanzberichte'!$BT$92,'III. Finanzberichte'!$CA$92,'III. Finanzberichte'!$CH$92,'III. Finanzberichte'!$CO$92,'III. Finanzberichte'!$CV$92,'III. Finanzberichte'!$DC$92,'III. Finanzberichte'!$DJ$92,'III. Finanzberichte'!$DQ$92),"")</f>
      </c>
      <c r="M166" s="116" t="str">
        <f>=IFERROR(CHOOSE(E81,'III. Finanzberichte'!$C$92,'III. Finanzberichte'!$J$92,'III. Finanzberichte'!$Q$92,'III. Finanzberichte'!$X$92,'III. Finanzberichte'!$AE$92,'III. Finanzberichte'!$AL$92,'III. Finanzberichte'!$AS$92,'III. Finanzberichte'!$AZ$92,'III. Finanzberichte'!$BG$92,'III. Finanzberichte'!$BN$92,'III. Finanzberichte'!$BU$92,'III. Finanzberichte'!$CB$92,'III. Finanzberichte'!$CI$92,'III. Finanzberichte'!$CP$92,'III. Finanzberichte'!$CW$92,'III. Finanzberichte'!$DD$92,'III. Finanzberichte'!$DK$92,'III. Finanzberichte'!$DR$92),"")</f>
      </c>
      <c r="N166" s="117" t="str">
        <f>=IFERROR(CHOOSE(E81,'III. Finanzberichte'!$D$92,'III. Finanzberichte'!$K$92,'III. Finanzberichte'!$R$92,'III. Finanzberichte'!$Y$92,'III. Finanzberichte'!$AF$92,'III. Finanzberichte'!$AM$92,'III. Finanzberichte'!$AT$92,'III. Finanzberichte'!$BA$92,'III. Finanzberichte'!$BH$92,'III. Finanzberichte'!$BO$92,'III. Finanzberichte'!$BV$92,'III. Finanzberichte'!$CC$92,'III. Finanzberichte'!$CJ$92,'III. Finanzberichte'!$CQ$92,'III. Finanzberichte'!$CX$92,'III. Finanzberichte'!$DE$92,'III. Finanzberichte'!$DL$92,'III. Finanzberichte'!$DS$92),"")</f>
      </c>
      <c r="O166" s="116" t="str">
        <f>=IFERROR(CHOOSE(E81,'III. Finanzberichte'!$E$92,'III. Finanzberichte'!$L$92,'III. Finanzberichte'!$S$92,'III. Finanzberichte'!$Z$92,'III. Finanzberichte'!$AG$92,'III. Finanzberichte'!$AN$92,'III. Finanzberichte'!$AU$92,'III. Finanzberichte'!$BB$92,'III. Finanzberichte'!$BI$92,'III. Finanzberichte'!$BP$92,'III. Finanzberichte'!$BW$92,'III. Finanzberichte'!$CD$92,'III. Finanzberichte'!$CK$92,'III. Finanzberichte'!$CR$92,'III. Finanzberichte'!$CY$92,'III. Finanzberichte'!$DF$92,'III. Finanzberichte'!$DM$92,'III. Finanzberichte'!$DT$92),"")</f>
      </c>
      <c r="P166" s="144" t="str">
        <f>=IFERROR(CHOOSE(E81,'III. Finanzberichte'!$F$92,'III. Finanzberichte'!$M$92,'III. Finanzberichte'!$T$92,'III. Finanzberichte'!$AA$92,'III. Finanzberichte'!$AH$92,'III. Finanzberichte'!$AO$92,'III. Finanzberichte'!$AV$92,'III. Finanzberichte'!$BC$92,'III. Finanzberichte'!$BJ$92,'III. Finanzberichte'!$BQ$92,'III. Finanzberichte'!$BX$92,'III. Finanzberichte'!$CE$92,'III. Finanzberichte'!$CL$92,'III. Finanzberichte'!$CS$92,'III. Finanzberichte'!$CZ$92,'III. Finanzberichte'!$DG$92,'III. Finanzberichte'!$DN$92,'III. Finanzberichte'!$DU$92),"")</f>
      </c>
    </row>
    <row r="167">
      <c r="L167" s="143" t="str">
        <f>=IFERROR(CHOOSE(E81,'III. Finanzberichte'!$B$93,'III. Finanzberichte'!$I$93,'III. Finanzberichte'!$P$93,'III. Finanzberichte'!$W$93,'III. Finanzberichte'!$AD$93,'III. Finanzberichte'!$AK$93,'III. Finanzberichte'!$AR$93,'III. Finanzberichte'!$AY$93,'III. Finanzberichte'!$BF$93,'III. Finanzberichte'!$BM$93,'III. Finanzberichte'!$BT$93,'III. Finanzberichte'!$CA$93,'III. Finanzberichte'!$CH$93,'III. Finanzberichte'!$CO$93,'III. Finanzberichte'!$CV$93,'III. Finanzberichte'!$DC$93,'III. Finanzberichte'!$DJ$93,'III. Finanzberichte'!$DQ$93),"")</f>
      </c>
      <c r="M167" s="116" t="str">
        <f>=IFERROR(CHOOSE(E81,'III. Finanzberichte'!$C$93,'III. Finanzberichte'!$J$93,'III. Finanzberichte'!$Q$93,'III. Finanzberichte'!$X$93,'III. Finanzberichte'!$AE$93,'III. Finanzberichte'!$AL$93,'III. Finanzberichte'!$AS$93,'III. Finanzberichte'!$AZ$93,'III. Finanzberichte'!$BG$93,'III. Finanzberichte'!$BN$93,'III. Finanzberichte'!$BU$93,'III. Finanzberichte'!$CB$93,'III. Finanzberichte'!$CI$93,'III. Finanzberichte'!$CP$93,'III. Finanzberichte'!$CW$93,'III. Finanzberichte'!$DD$93,'III. Finanzberichte'!$DK$93,'III. Finanzberichte'!$DR$93),"")</f>
      </c>
      <c r="N167" s="117" t="str">
        <f>=IFERROR(CHOOSE(E81,'III. Finanzberichte'!$D$93,'III. Finanzberichte'!$K$93,'III. Finanzberichte'!$R$93,'III. Finanzberichte'!$Y$93,'III. Finanzberichte'!$AF$93,'III. Finanzberichte'!$AM$93,'III. Finanzberichte'!$AT$93,'III. Finanzberichte'!$BA$93,'III. Finanzberichte'!$BH$93,'III. Finanzberichte'!$BO$93,'III. Finanzberichte'!$BV$93,'III. Finanzberichte'!$CC$93,'III. Finanzberichte'!$CJ$93,'III. Finanzberichte'!$CQ$93,'III. Finanzberichte'!$CX$93,'III. Finanzberichte'!$DE$93,'III. Finanzberichte'!$DL$93,'III. Finanzberichte'!$DS$93),"")</f>
      </c>
      <c r="O167" s="116" t="str">
        <f>=IFERROR(CHOOSE(E81,'III. Finanzberichte'!$E$93,'III. Finanzberichte'!$L$93,'III. Finanzberichte'!$S$93,'III. Finanzberichte'!$Z$93,'III. Finanzberichte'!$AG$93,'III. Finanzberichte'!$AN$93,'III. Finanzberichte'!$AU$93,'III. Finanzberichte'!$BB$93,'III. Finanzberichte'!$BI$93,'III. Finanzberichte'!$BP$93,'III. Finanzberichte'!$BW$93,'III. Finanzberichte'!$CD$93,'III. Finanzberichte'!$CK$93,'III. Finanzberichte'!$CR$93,'III. Finanzberichte'!$CY$93,'III. Finanzberichte'!$DF$93,'III. Finanzberichte'!$DM$93,'III. Finanzberichte'!$DT$93),"")</f>
      </c>
      <c r="P167" s="144" t="str">
        <f>=IFERROR(CHOOSE(E81,'III. Finanzberichte'!$F$93,'III. Finanzberichte'!$M$93,'III. Finanzberichte'!$T$93,'III. Finanzberichte'!$AA$93,'III. Finanzberichte'!$AH$93,'III. Finanzberichte'!$AO$93,'III. Finanzberichte'!$AV$93,'III. Finanzberichte'!$BC$93,'III. Finanzberichte'!$BJ$93,'III. Finanzberichte'!$BQ$93,'III. Finanzberichte'!$BX$93,'III. Finanzberichte'!$CE$93,'III. Finanzberichte'!$CL$93,'III. Finanzberichte'!$CS$93,'III. Finanzberichte'!$CZ$93,'III. Finanzberichte'!$DG$93,'III. Finanzberichte'!$DN$93,'III. Finanzberichte'!$DU$93),"")</f>
      </c>
    </row>
    <row r="168">
      <c r="L168" s="143" t="str">
        <f>=IFERROR(CHOOSE(E81,'III. Finanzberichte'!$B$94,'III. Finanzberichte'!$I$94,'III. Finanzberichte'!$P$94,'III. Finanzberichte'!$W$94,'III. Finanzberichte'!$AD$94,'III. Finanzberichte'!$AK$94,'III. Finanzberichte'!$AR$94,'III. Finanzberichte'!$AY$94,'III. Finanzberichte'!$BF$94,'III. Finanzberichte'!$BM$94,'III. Finanzberichte'!$BT$94,'III. Finanzberichte'!$CA$94,'III. Finanzberichte'!$CH$94,'III. Finanzberichte'!$CO$94,'III. Finanzberichte'!$CV$94,'III. Finanzberichte'!$DC$94,'III. Finanzberichte'!$DJ$94,'III. Finanzberichte'!$DQ$94),"")</f>
      </c>
      <c r="M168" s="116" t="str">
        <f>=IFERROR(CHOOSE(E81,'III. Finanzberichte'!$C$94,'III. Finanzberichte'!$J$94,'III. Finanzberichte'!$Q$94,'III. Finanzberichte'!$X$94,'III. Finanzberichte'!$AE$94,'III. Finanzberichte'!$AL$94,'III. Finanzberichte'!$AS$94,'III. Finanzberichte'!$AZ$94,'III. Finanzberichte'!$BG$94,'III. Finanzberichte'!$BN$94,'III. Finanzberichte'!$BU$94,'III. Finanzberichte'!$CB$94,'III. Finanzberichte'!$CI$94,'III. Finanzberichte'!$CP$94,'III. Finanzberichte'!$CW$94,'III. Finanzberichte'!$DD$94,'III. Finanzberichte'!$DK$94,'III. Finanzberichte'!$DR$94),"")</f>
      </c>
      <c r="N168" s="117" t="str">
        <f>=IFERROR(CHOOSE(E81,'III. Finanzberichte'!$D$94,'III. Finanzberichte'!$K$94,'III. Finanzberichte'!$R$94,'III. Finanzberichte'!$Y$94,'III. Finanzberichte'!$AF$94,'III. Finanzberichte'!$AM$94,'III. Finanzberichte'!$AT$94,'III. Finanzberichte'!$BA$94,'III. Finanzberichte'!$BH$94,'III. Finanzberichte'!$BO$94,'III. Finanzberichte'!$BV$94,'III. Finanzberichte'!$CC$94,'III. Finanzberichte'!$CJ$94,'III. Finanzberichte'!$CQ$94,'III. Finanzberichte'!$CX$94,'III. Finanzberichte'!$DE$94,'III. Finanzberichte'!$DL$94,'III. Finanzberichte'!$DS$94),"")</f>
      </c>
      <c r="O168" s="116" t="str">
        <f>=IFERROR(CHOOSE(E81,'III. Finanzberichte'!$E$94,'III. Finanzberichte'!$L$94,'III. Finanzberichte'!$S$94,'III. Finanzberichte'!$Z$94,'III. Finanzberichte'!$AG$94,'III. Finanzberichte'!$AN$94,'III. Finanzberichte'!$AU$94,'III. Finanzberichte'!$BB$94,'III. Finanzberichte'!$BI$94,'III. Finanzberichte'!$BP$94,'III. Finanzberichte'!$BW$94,'III. Finanzberichte'!$CD$94,'III. Finanzberichte'!$CK$94,'III. Finanzberichte'!$CR$94,'III. Finanzberichte'!$CY$94,'III. Finanzberichte'!$DF$94,'III. Finanzberichte'!$DM$94,'III. Finanzberichte'!$DT$94),"")</f>
      </c>
      <c r="P168" s="144" t="str">
        <f>=IFERROR(CHOOSE(E81,'III. Finanzberichte'!$F$94,'III. Finanzberichte'!$M$94,'III. Finanzberichte'!$T$94,'III. Finanzberichte'!$AA$94,'III. Finanzberichte'!$AH$94,'III. Finanzberichte'!$AO$94,'III. Finanzberichte'!$AV$94,'III. Finanzberichte'!$BC$94,'III. Finanzberichte'!$BJ$94,'III. Finanzberichte'!$BQ$94,'III. Finanzberichte'!$BX$94,'III. Finanzberichte'!$CE$94,'III. Finanzberichte'!$CL$94,'III. Finanzberichte'!$CS$94,'III. Finanzberichte'!$CZ$94,'III. Finanzberichte'!$DG$94,'III. Finanzberichte'!$DN$94,'III. Finanzberichte'!$DU$94),"")</f>
      </c>
    </row>
    <row r="169">
      <c r="L169" s="143" t="str">
        <f>=IFERROR(CHOOSE(E81,'III. Finanzberichte'!$B$95,'III. Finanzberichte'!$I$95,'III. Finanzberichte'!$P$95,'III. Finanzberichte'!$W$95,'III. Finanzberichte'!$AD$95,'III. Finanzberichte'!$AK$95,'III. Finanzberichte'!$AR$95,'III. Finanzberichte'!$AY$95,'III. Finanzberichte'!$BF$95,'III. Finanzberichte'!$BM$95,'III. Finanzberichte'!$BT$95,'III. Finanzberichte'!$CA$95,'III. Finanzberichte'!$CH$95,'III. Finanzberichte'!$CO$95,'III. Finanzberichte'!$CV$95,'III. Finanzberichte'!$DC$95,'III. Finanzberichte'!$DJ$95,'III. Finanzberichte'!$DQ$95),"")</f>
      </c>
      <c r="M169" s="116" t="str">
        <f>=IFERROR(CHOOSE(E81,'III. Finanzberichte'!$C$95,'III. Finanzberichte'!$J$95,'III. Finanzberichte'!$Q$95,'III. Finanzberichte'!$X$95,'III. Finanzberichte'!$AE$95,'III. Finanzberichte'!$AL$95,'III. Finanzberichte'!$AS$95,'III. Finanzberichte'!$AZ$95,'III. Finanzberichte'!$BG$95,'III. Finanzberichte'!$BN$95,'III. Finanzberichte'!$BU$95,'III. Finanzberichte'!$CB$95,'III. Finanzberichte'!$CI$95,'III. Finanzberichte'!$CP$95,'III. Finanzberichte'!$CW$95,'III. Finanzberichte'!$DD$95,'III. Finanzberichte'!$DK$95,'III. Finanzberichte'!$DR$95),"")</f>
      </c>
      <c r="N169" s="117" t="str">
        <f>=IFERROR(CHOOSE(E81,'III. Finanzberichte'!$D$95,'III. Finanzberichte'!$K$95,'III. Finanzberichte'!$R$95,'III. Finanzberichte'!$Y$95,'III. Finanzberichte'!$AF$95,'III. Finanzberichte'!$AM$95,'III. Finanzberichte'!$AT$95,'III. Finanzberichte'!$BA$95,'III. Finanzberichte'!$BH$95,'III. Finanzberichte'!$BO$95,'III. Finanzberichte'!$BV$95,'III. Finanzberichte'!$CC$95,'III. Finanzberichte'!$CJ$95,'III. Finanzberichte'!$CQ$95,'III. Finanzberichte'!$CX$95,'III. Finanzberichte'!$DE$95,'III. Finanzberichte'!$DL$95,'III. Finanzberichte'!$DS$95),"")</f>
      </c>
      <c r="O169" s="116" t="str">
        <f>=IFERROR(CHOOSE(E81,'III. Finanzberichte'!$E$95,'III. Finanzberichte'!$L$95,'III. Finanzberichte'!$S$95,'III. Finanzberichte'!$Z$95,'III. Finanzberichte'!$AG$95,'III. Finanzberichte'!$AN$95,'III. Finanzberichte'!$AU$95,'III. Finanzberichte'!$BB$95,'III. Finanzberichte'!$BI$95,'III. Finanzberichte'!$BP$95,'III. Finanzberichte'!$BW$95,'III. Finanzberichte'!$CD$95,'III. Finanzberichte'!$CK$95,'III. Finanzberichte'!$CR$95,'III. Finanzberichte'!$CY$95,'III. Finanzberichte'!$DF$95,'III. Finanzberichte'!$DM$95,'III. Finanzberichte'!$DT$95),"")</f>
      </c>
      <c r="P169" s="144" t="str">
        <f>=IFERROR(CHOOSE(E81,'III. Finanzberichte'!$F$95,'III. Finanzberichte'!$M$95,'III. Finanzberichte'!$T$95,'III. Finanzberichte'!$AA$95,'III. Finanzberichte'!$AH$95,'III. Finanzberichte'!$AO$95,'III. Finanzberichte'!$AV$95,'III. Finanzberichte'!$BC$95,'III. Finanzberichte'!$BJ$95,'III. Finanzberichte'!$BQ$95,'III. Finanzberichte'!$BX$95,'III. Finanzberichte'!$CE$95,'III. Finanzberichte'!$CL$95,'III. Finanzberichte'!$CS$95,'III. Finanzberichte'!$CZ$95,'III. Finanzberichte'!$DG$95,'III. Finanzberichte'!$DN$95,'III. Finanzberichte'!$DU$95),"")</f>
      </c>
    </row>
    <row r="170">
      <c r="L170" s="143" t="str">
        <f>=IFERROR(CHOOSE(E81,'III. Finanzberichte'!$B$96,'III. Finanzberichte'!$I$96,'III. Finanzberichte'!$P$96,'III. Finanzberichte'!$W$96,'III. Finanzberichte'!$AD$96,'III. Finanzberichte'!$AK$96,'III. Finanzberichte'!$AR$96,'III. Finanzberichte'!$AY$96,'III. Finanzberichte'!$BF$96,'III. Finanzberichte'!$BM$96,'III. Finanzberichte'!$BT$96,'III. Finanzberichte'!$CA$96,'III. Finanzberichte'!$CH$96,'III. Finanzberichte'!$CO$96,'III. Finanzberichte'!$CV$96,'III. Finanzberichte'!$DC$96,'III. Finanzberichte'!$DJ$96,'III. Finanzberichte'!$DQ$96),"")</f>
      </c>
      <c r="M170" s="116" t="str">
        <f>=IFERROR(CHOOSE(E81,'III. Finanzberichte'!$C$96,'III. Finanzberichte'!$J$96,'III. Finanzberichte'!$Q$96,'III. Finanzberichte'!$X$96,'III. Finanzberichte'!$AE$96,'III. Finanzberichte'!$AL$96,'III. Finanzberichte'!$AS$96,'III. Finanzberichte'!$AZ$96,'III. Finanzberichte'!$BG$96,'III. Finanzberichte'!$BN$96,'III. Finanzberichte'!$BU$96,'III. Finanzberichte'!$CB$96,'III. Finanzberichte'!$CI$96,'III. Finanzberichte'!$CP$96,'III. Finanzberichte'!$CW$96,'III. Finanzberichte'!$DD$96,'III. Finanzberichte'!$DK$96,'III. Finanzberichte'!$DR$96),"")</f>
      </c>
      <c r="N170" s="117" t="str">
        <f>=IFERROR(CHOOSE(E81,'III. Finanzberichte'!$D$96,'III. Finanzberichte'!$K$96,'III. Finanzberichte'!$R$96,'III. Finanzberichte'!$Y$96,'III. Finanzberichte'!$AF$96,'III. Finanzberichte'!$AM$96,'III. Finanzberichte'!$AT$96,'III. Finanzberichte'!$BA$96,'III. Finanzberichte'!$BH$96,'III. Finanzberichte'!$BO$96,'III. Finanzberichte'!$BV$96,'III. Finanzberichte'!$CC$96,'III. Finanzberichte'!$CJ$96,'III. Finanzberichte'!$CQ$96,'III. Finanzberichte'!$CX$96,'III. Finanzberichte'!$DE$96,'III. Finanzberichte'!$DL$96,'III. Finanzberichte'!$DS$96),"")</f>
      </c>
      <c r="O170" s="116" t="str">
        <f>=IFERROR(CHOOSE(E81,'III. Finanzberichte'!$E$96,'III. Finanzberichte'!$L$96,'III. Finanzberichte'!$S$96,'III. Finanzberichte'!$Z$96,'III. Finanzberichte'!$AG$96,'III. Finanzberichte'!$AN$96,'III. Finanzberichte'!$AU$96,'III. Finanzberichte'!$BB$96,'III. Finanzberichte'!$BI$96,'III. Finanzberichte'!$BP$96,'III. Finanzberichte'!$BW$96,'III. Finanzberichte'!$CD$96,'III. Finanzberichte'!$CK$96,'III. Finanzberichte'!$CR$96,'III. Finanzberichte'!$CY$96,'III. Finanzberichte'!$DF$96,'III. Finanzberichte'!$DM$96,'III. Finanzberichte'!$DT$96),"")</f>
      </c>
      <c r="P170" s="144" t="str">
        <f>=IFERROR(CHOOSE(E81,'III. Finanzberichte'!$F$96,'III. Finanzberichte'!$M$96,'III. Finanzberichte'!$T$96,'III. Finanzberichte'!$AA$96,'III. Finanzberichte'!$AH$96,'III. Finanzberichte'!$AO$96,'III. Finanzberichte'!$AV$96,'III. Finanzberichte'!$BC$96,'III. Finanzberichte'!$BJ$96,'III. Finanzberichte'!$BQ$96,'III. Finanzberichte'!$BX$96,'III. Finanzberichte'!$CE$96,'III. Finanzberichte'!$CL$96,'III. Finanzberichte'!$CS$96,'III. Finanzberichte'!$CZ$96,'III. Finanzberichte'!$DG$96,'III. Finanzberichte'!$DN$96,'III. Finanzberichte'!$DU$96),"")</f>
      </c>
    </row>
    <row r="171">
      <c r="L171" s="143" t="str">
        <f>=IFERROR(CHOOSE(E81,'III. Finanzberichte'!$B$97,'III. Finanzberichte'!$I$97,'III. Finanzberichte'!$P$97,'III. Finanzberichte'!$W$97,'III. Finanzberichte'!$AD$97,'III. Finanzberichte'!$AK$97,'III. Finanzberichte'!$AR$97,'III. Finanzberichte'!$AY$97,'III. Finanzberichte'!$BF$97,'III. Finanzberichte'!$BM$97,'III. Finanzberichte'!$BT$97,'III. Finanzberichte'!$CA$97,'III. Finanzberichte'!$CH$97,'III. Finanzberichte'!$CO$97,'III. Finanzberichte'!$CV$97,'III. Finanzberichte'!$DC$97,'III. Finanzberichte'!$DJ$97,'III. Finanzberichte'!$DQ$97),"")</f>
      </c>
      <c r="M171" s="116" t="str">
        <f>=IFERROR(CHOOSE(E81,'III. Finanzberichte'!$C$97,'III. Finanzberichte'!$J$97,'III. Finanzberichte'!$Q$97,'III. Finanzberichte'!$X$97,'III. Finanzberichte'!$AE$97,'III. Finanzberichte'!$AL$97,'III. Finanzberichte'!$AS$97,'III. Finanzberichte'!$AZ$97,'III. Finanzberichte'!$BG$97,'III. Finanzberichte'!$BN$97,'III. Finanzberichte'!$BU$97,'III. Finanzberichte'!$CB$97,'III. Finanzberichte'!$CI$97,'III. Finanzberichte'!$CP$97,'III. Finanzberichte'!$CW$97,'III. Finanzberichte'!$DD$97,'III. Finanzberichte'!$DK$97,'III. Finanzberichte'!$DR$97),"")</f>
      </c>
      <c r="N171" s="117" t="str">
        <f>=IFERROR(CHOOSE(E81,'III. Finanzberichte'!$D$97,'III. Finanzberichte'!$K$97,'III. Finanzberichte'!$R$97,'III. Finanzberichte'!$Y$97,'III. Finanzberichte'!$AF$97,'III. Finanzberichte'!$AM$97,'III. Finanzberichte'!$AT$97,'III. Finanzberichte'!$BA$97,'III. Finanzberichte'!$BH$97,'III. Finanzberichte'!$BO$97,'III. Finanzberichte'!$BV$97,'III. Finanzberichte'!$CC$97,'III. Finanzberichte'!$CJ$97,'III. Finanzberichte'!$CQ$97,'III. Finanzberichte'!$CX$97,'III. Finanzberichte'!$DE$97,'III. Finanzberichte'!$DL$97,'III. Finanzberichte'!$DS$97),"")</f>
      </c>
      <c r="O171" s="116" t="str">
        <f>=IFERROR(CHOOSE(E81,'III. Finanzberichte'!$E$97,'III. Finanzberichte'!$L$97,'III. Finanzberichte'!$S$97,'III. Finanzberichte'!$Z$97,'III. Finanzberichte'!$AG$97,'III. Finanzberichte'!$AN$97,'III. Finanzberichte'!$AU$97,'III. Finanzberichte'!$BB$97,'III. Finanzberichte'!$BI$97,'III. Finanzberichte'!$BP$97,'III. Finanzberichte'!$BW$97,'III. Finanzberichte'!$CD$97,'III. Finanzberichte'!$CK$97,'III. Finanzberichte'!$CR$97,'III. Finanzberichte'!$CY$97,'III. Finanzberichte'!$DF$97,'III. Finanzberichte'!$DM$97,'III. Finanzberichte'!$DT$97),"")</f>
      </c>
      <c r="P171" s="144" t="str">
        <f>=IFERROR(CHOOSE(E81,'III. Finanzberichte'!$F$97,'III. Finanzberichte'!$M$97,'III. Finanzberichte'!$T$97,'III. Finanzberichte'!$AA$97,'III. Finanzberichte'!$AH$97,'III. Finanzberichte'!$AO$97,'III. Finanzberichte'!$AV$97,'III. Finanzberichte'!$BC$97,'III. Finanzberichte'!$BJ$97,'III. Finanzberichte'!$BQ$97,'III. Finanzberichte'!$BX$97,'III. Finanzberichte'!$CE$97,'III. Finanzberichte'!$CL$97,'III. Finanzberichte'!$CS$97,'III. Finanzberichte'!$CZ$97,'III. Finanzberichte'!$DG$97,'III. Finanzberichte'!$DN$97,'III. Finanzberichte'!$DU$97),"")</f>
      </c>
    </row>
    <row r="172">
      <c r="L172" s="143" t="str">
        <f>=IFERROR(CHOOSE(E81,'III. Finanzberichte'!$B$98,'III. Finanzberichte'!$I$98,'III. Finanzberichte'!$P$98,'III. Finanzberichte'!$W$98,'III. Finanzberichte'!$AD$98,'III. Finanzberichte'!$AK$98,'III. Finanzberichte'!$AR$98,'III. Finanzberichte'!$AY$98,'III. Finanzberichte'!$BF$98,'III. Finanzberichte'!$BM$98,'III. Finanzberichte'!$BT$98,'III. Finanzberichte'!$CA$98,'III. Finanzberichte'!$CH$98,'III. Finanzberichte'!$CO$98,'III. Finanzberichte'!$CV$98,'III. Finanzberichte'!$DC$98,'III. Finanzberichte'!$DJ$98,'III. Finanzberichte'!$DQ$98),"")</f>
      </c>
      <c r="M172" s="116" t="str">
        <f>=IFERROR(CHOOSE(E81,'III. Finanzberichte'!$C$98,'III. Finanzberichte'!$J$98,'III. Finanzberichte'!$Q$98,'III. Finanzberichte'!$X$98,'III. Finanzberichte'!$AE$98,'III. Finanzberichte'!$AL$98,'III. Finanzberichte'!$AS$98,'III. Finanzberichte'!$AZ$98,'III. Finanzberichte'!$BG$98,'III. Finanzberichte'!$BN$98,'III. Finanzberichte'!$BU$98,'III. Finanzberichte'!$CB$98,'III. Finanzberichte'!$CI$98,'III. Finanzberichte'!$CP$98,'III. Finanzberichte'!$CW$98,'III. Finanzberichte'!$DD$98,'III. Finanzberichte'!$DK$98,'III. Finanzberichte'!$DR$98),"")</f>
      </c>
      <c r="N172" s="117" t="str">
        <f>=IFERROR(CHOOSE(E81,'III. Finanzberichte'!$D$98,'III. Finanzberichte'!$K$98,'III. Finanzberichte'!$R$98,'III. Finanzberichte'!$Y$98,'III. Finanzberichte'!$AF$98,'III. Finanzberichte'!$AM$98,'III. Finanzberichte'!$AT$98,'III. Finanzberichte'!$BA$98,'III. Finanzberichte'!$BH$98,'III. Finanzberichte'!$BO$98,'III. Finanzberichte'!$BV$98,'III. Finanzberichte'!$CC$98,'III. Finanzberichte'!$CJ$98,'III. Finanzberichte'!$CQ$98,'III. Finanzberichte'!$CX$98,'III. Finanzberichte'!$DE$98,'III. Finanzberichte'!$DL$98,'III. Finanzberichte'!$DS$98),"")</f>
      </c>
      <c r="O172" s="116" t="str">
        <f>=IFERROR(CHOOSE(E81,'III. Finanzberichte'!$E$98,'III. Finanzberichte'!$L$98,'III. Finanzberichte'!$S$98,'III. Finanzberichte'!$Z$98,'III. Finanzberichte'!$AG$98,'III. Finanzberichte'!$AN$98,'III. Finanzberichte'!$AU$98,'III. Finanzberichte'!$BB$98,'III. Finanzberichte'!$BI$98,'III. Finanzberichte'!$BP$98,'III. Finanzberichte'!$BW$98,'III. Finanzberichte'!$CD$98,'III. Finanzberichte'!$CK$98,'III. Finanzberichte'!$CR$98,'III. Finanzberichte'!$CY$98,'III. Finanzberichte'!$DF$98,'III. Finanzberichte'!$DM$98,'III. Finanzberichte'!$DT$98),"")</f>
      </c>
      <c r="P172" s="144" t="str">
        <f>=IFERROR(CHOOSE(E81,'III. Finanzberichte'!$F$98,'III. Finanzberichte'!$M$98,'III. Finanzberichte'!$T$98,'III. Finanzberichte'!$AA$98,'III. Finanzberichte'!$AH$98,'III. Finanzberichte'!$AO$98,'III. Finanzberichte'!$AV$98,'III. Finanzberichte'!$BC$98,'III. Finanzberichte'!$BJ$98,'III. Finanzberichte'!$BQ$98,'III. Finanzberichte'!$BX$98,'III. Finanzberichte'!$CE$98,'III. Finanzberichte'!$CL$98,'III. Finanzberichte'!$CS$98,'III. Finanzberichte'!$CZ$98,'III. Finanzberichte'!$DG$98,'III. Finanzberichte'!$DN$98,'III. Finanzberichte'!$DU$98),"")</f>
      </c>
    </row>
    <row r="173">
      <c r="L173" s="143" t="str">
        <f>=IFERROR(CHOOSE(E81,'III. Finanzberichte'!$B$99,'III. Finanzberichte'!$I$99,'III. Finanzberichte'!$P$99,'III. Finanzberichte'!$W$99,'III. Finanzberichte'!$AD$99,'III. Finanzberichte'!$AK$99,'III. Finanzberichte'!$AR$99,'III. Finanzberichte'!$AY$99,'III. Finanzberichte'!$BF$99,'III. Finanzberichte'!$BM$99,'III. Finanzberichte'!$BT$99,'III. Finanzberichte'!$CA$99,'III. Finanzberichte'!$CH$99,'III. Finanzberichte'!$CO$99,'III. Finanzberichte'!$CV$99,'III. Finanzberichte'!$DC$99,'III. Finanzberichte'!$DJ$99,'III. Finanzberichte'!$DQ$99),"")</f>
      </c>
      <c r="M173" s="116" t="str">
        <f>=IFERROR(CHOOSE(E81,'III. Finanzberichte'!$C$99,'III. Finanzberichte'!$J$99,'III. Finanzberichte'!$Q$99,'III. Finanzberichte'!$X$99,'III. Finanzberichte'!$AE$99,'III. Finanzberichte'!$AL$99,'III. Finanzberichte'!$AS$99,'III. Finanzberichte'!$AZ$99,'III. Finanzberichte'!$BG$99,'III. Finanzberichte'!$BN$99,'III. Finanzberichte'!$BU$99,'III. Finanzberichte'!$CB$99,'III. Finanzberichte'!$CI$99,'III. Finanzberichte'!$CP$99,'III. Finanzberichte'!$CW$99,'III. Finanzberichte'!$DD$99,'III. Finanzberichte'!$DK$99,'III. Finanzberichte'!$DR$99),"")</f>
      </c>
      <c r="N173" s="117" t="str">
        <f>=IFERROR(CHOOSE(E81,'III. Finanzberichte'!$D$99,'III. Finanzberichte'!$K$99,'III. Finanzberichte'!$R$99,'III. Finanzberichte'!$Y$99,'III. Finanzberichte'!$AF$99,'III. Finanzberichte'!$AM$99,'III. Finanzberichte'!$AT$99,'III. Finanzberichte'!$BA$99,'III. Finanzberichte'!$BH$99,'III. Finanzberichte'!$BO$99,'III. Finanzberichte'!$BV$99,'III. Finanzberichte'!$CC$99,'III. Finanzberichte'!$CJ$99,'III. Finanzberichte'!$CQ$99,'III. Finanzberichte'!$CX$99,'III. Finanzberichte'!$DE$99,'III. Finanzberichte'!$DL$99,'III. Finanzberichte'!$DS$99),"")</f>
      </c>
      <c r="O173" s="116" t="str">
        <f>=IFERROR(CHOOSE(E81,'III. Finanzberichte'!$E$99,'III. Finanzberichte'!$L$99,'III. Finanzberichte'!$S$99,'III. Finanzberichte'!$Z$99,'III. Finanzberichte'!$AG$99,'III. Finanzberichte'!$AN$99,'III. Finanzberichte'!$AU$99,'III. Finanzberichte'!$BB$99,'III. Finanzberichte'!$BI$99,'III. Finanzberichte'!$BP$99,'III. Finanzberichte'!$BW$99,'III. Finanzberichte'!$CD$99,'III. Finanzberichte'!$CK$99,'III. Finanzberichte'!$CR$99,'III. Finanzberichte'!$CY$99,'III. Finanzberichte'!$DF$99,'III. Finanzberichte'!$DM$99,'III. Finanzberichte'!$DT$99),"")</f>
      </c>
      <c r="P173" s="144" t="str">
        <f>=IFERROR(CHOOSE(E81,'III. Finanzberichte'!$F$99,'III. Finanzberichte'!$M$99,'III. Finanzberichte'!$T$99,'III. Finanzberichte'!$AA$99,'III. Finanzberichte'!$AH$99,'III. Finanzberichte'!$AO$99,'III. Finanzberichte'!$AV$99,'III. Finanzberichte'!$BC$99,'III. Finanzberichte'!$BJ$99,'III. Finanzberichte'!$BQ$99,'III. Finanzberichte'!$BX$99,'III. Finanzberichte'!$CE$99,'III. Finanzberichte'!$CL$99,'III. Finanzberichte'!$CS$99,'III. Finanzberichte'!$CZ$99,'III. Finanzberichte'!$DG$99,'III. Finanzberichte'!$DN$99,'III. Finanzberichte'!$DU$99),"")</f>
      </c>
    </row>
    <row r="174">
      <c r="L174" s="143" t="str">
        <f>=IFERROR(CHOOSE(E81,'III. Finanzberichte'!$B$100,'III. Finanzberichte'!$I$100,'III. Finanzberichte'!$P$100,'III. Finanzberichte'!$W$100,'III. Finanzberichte'!$AD$100,'III. Finanzberichte'!$AK$100,'III. Finanzberichte'!$AR$100,'III. Finanzberichte'!$AY$100,'III. Finanzberichte'!$BF$100,'III. Finanzberichte'!$BM$100,'III. Finanzberichte'!$BT$100,'III. Finanzberichte'!$CA$100,'III. Finanzberichte'!$CH$100,'III. Finanzberichte'!$CO$100,'III. Finanzberichte'!$CV$100,'III. Finanzberichte'!$DC$100,'III. Finanzberichte'!$DJ$100,'III. Finanzberichte'!$DQ$100),"")</f>
      </c>
      <c r="M174" s="116" t="str">
        <f>=IFERROR(CHOOSE(E81,'III. Finanzberichte'!$C$100,'III. Finanzberichte'!$J$100,'III. Finanzberichte'!$Q$100,'III. Finanzberichte'!$X$100,'III. Finanzberichte'!$AE$100,'III. Finanzberichte'!$AL$100,'III. Finanzberichte'!$AS$100,'III. Finanzberichte'!$AZ$100,'III. Finanzberichte'!$BG$100,'III. Finanzberichte'!$BN$100,'III. Finanzberichte'!$BU$100,'III. Finanzberichte'!$CB$100,'III. Finanzberichte'!$CI$100,'III. Finanzberichte'!$CP$100,'III. Finanzberichte'!$CW$100,'III. Finanzberichte'!$DD$100,'III. Finanzberichte'!$DK$100,'III. Finanzberichte'!$DR$100),"")</f>
      </c>
      <c r="N174" s="117" t="str">
        <f>=IFERROR(CHOOSE(E81,'III. Finanzberichte'!$D$100,'III. Finanzberichte'!$K$100,'III. Finanzberichte'!$R$100,'III. Finanzberichte'!$Y$100,'III. Finanzberichte'!$AF$100,'III. Finanzberichte'!$AM$100,'III. Finanzberichte'!$AT$100,'III. Finanzberichte'!$BA$100,'III. Finanzberichte'!$BH$100,'III. Finanzberichte'!$BO$100,'III. Finanzberichte'!$BV$100,'III. Finanzberichte'!$CC$100,'III. Finanzberichte'!$CJ$100,'III. Finanzberichte'!$CQ$100,'III. Finanzberichte'!$CX$100,'III. Finanzberichte'!$DE$100,'III. Finanzberichte'!$DL$100,'III. Finanzberichte'!$DS$100),"")</f>
      </c>
      <c r="O174" s="116" t="str">
        <f>=IFERROR(CHOOSE(E81,'III. Finanzberichte'!$E$100,'III. Finanzberichte'!$L$100,'III. Finanzberichte'!$S$100,'III. Finanzberichte'!$Z$100,'III. Finanzberichte'!$AG$100,'III. Finanzberichte'!$AN$100,'III. Finanzberichte'!$AU$100,'III. Finanzberichte'!$BB$100,'III. Finanzberichte'!$BI$100,'III. Finanzberichte'!$BP$100,'III. Finanzberichte'!$BW$100,'III. Finanzberichte'!$CD$100,'III. Finanzberichte'!$CK$100,'III. Finanzberichte'!$CR$100,'III. Finanzberichte'!$CY$100,'III. Finanzberichte'!$DF$100,'III. Finanzberichte'!$DM$100,'III. Finanzberichte'!$DT$100),"")</f>
      </c>
      <c r="P174" s="144" t="str">
        <f>=IFERROR(CHOOSE(E81,'III. Finanzberichte'!$F$100,'III. Finanzberichte'!$M$100,'III. Finanzberichte'!$T$100,'III. Finanzberichte'!$AA$100,'III. Finanzberichte'!$AH$100,'III. Finanzberichte'!$AO$100,'III. Finanzberichte'!$AV$100,'III. Finanzberichte'!$BC$100,'III. Finanzberichte'!$BJ$100,'III. Finanzberichte'!$BQ$100,'III. Finanzberichte'!$BX$100,'III. Finanzberichte'!$CE$100,'III. Finanzberichte'!$CL$100,'III. Finanzberichte'!$CS$100,'III. Finanzberichte'!$CZ$100,'III. Finanzberichte'!$DG$100,'III. Finanzberichte'!$DN$100,'III. Finanzberichte'!$DU$100),"")</f>
      </c>
    </row>
    <row r="175">
      <c r="L175" s="143" t="str">
        <f>=IFERROR(CHOOSE(E81,'III. Finanzberichte'!$B$101,'III. Finanzberichte'!$I$101,'III. Finanzberichte'!$P$101,'III. Finanzberichte'!$W$101,'III. Finanzberichte'!$AD$101,'III. Finanzberichte'!$AK$101,'III. Finanzberichte'!$AR$101,'III. Finanzberichte'!$AY$101,'III. Finanzberichte'!$BF$101,'III. Finanzberichte'!$BM$101,'III. Finanzberichte'!$BT$101,'III. Finanzberichte'!$CA$101,'III. Finanzberichte'!$CH$101,'III. Finanzberichte'!$CO$101,'III. Finanzberichte'!$CV$101,'III. Finanzberichte'!$DC$101,'III. Finanzberichte'!$DJ$101,'III. Finanzberichte'!$DQ$101),"")</f>
      </c>
      <c r="M175" s="116" t="str">
        <f>=IFERROR(CHOOSE(E81,'III. Finanzberichte'!$C$101,'III. Finanzberichte'!$J$101,'III. Finanzberichte'!$Q$101,'III. Finanzberichte'!$X$101,'III. Finanzberichte'!$AE$101,'III. Finanzberichte'!$AL$101,'III. Finanzberichte'!$AS$101,'III. Finanzberichte'!$AZ$101,'III. Finanzberichte'!$BG$101,'III. Finanzberichte'!$BN$101,'III. Finanzberichte'!$BU$101,'III. Finanzberichte'!$CB$101,'III. Finanzberichte'!$CI$101,'III. Finanzberichte'!$CP$101,'III. Finanzberichte'!$CW$101,'III. Finanzberichte'!$DD$101,'III. Finanzberichte'!$DK$101,'III. Finanzberichte'!$DR$101),"")</f>
      </c>
      <c r="N175" s="117" t="str">
        <f>=IFERROR(CHOOSE(E81,'III. Finanzberichte'!$D$101,'III. Finanzberichte'!$K$101,'III. Finanzberichte'!$R$101,'III. Finanzberichte'!$Y$101,'III. Finanzberichte'!$AF$101,'III. Finanzberichte'!$AM$101,'III. Finanzberichte'!$AT$101,'III. Finanzberichte'!$BA$101,'III. Finanzberichte'!$BH$101,'III. Finanzberichte'!$BO$101,'III. Finanzberichte'!$BV$101,'III. Finanzberichte'!$CC$101,'III. Finanzberichte'!$CJ$101,'III. Finanzberichte'!$CQ$101,'III. Finanzberichte'!$CX$101,'III. Finanzberichte'!$DE$101,'III. Finanzberichte'!$DL$101,'III. Finanzberichte'!$DS$101),"")</f>
      </c>
      <c r="O175" s="116" t="str">
        <f>=IFERROR(CHOOSE(E81,'III. Finanzberichte'!$E$101,'III. Finanzberichte'!$L$101,'III. Finanzberichte'!$S$101,'III. Finanzberichte'!$Z$101,'III. Finanzberichte'!$AG$101,'III. Finanzberichte'!$AN$101,'III. Finanzberichte'!$AU$101,'III. Finanzberichte'!$BB$101,'III. Finanzberichte'!$BI$101,'III. Finanzberichte'!$BP$101,'III. Finanzberichte'!$BW$101,'III. Finanzberichte'!$CD$101,'III. Finanzberichte'!$CK$101,'III. Finanzberichte'!$CR$101,'III. Finanzberichte'!$CY$101,'III. Finanzberichte'!$DF$101,'III. Finanzberichte'!$DM$101,'III. Finanzberichte'!$DT$101),"")</f>
      </c>
      <c r="P175" s="144" t="str">
        <f>=IFERROR(CHOOSE(E81,'III. Finanzberichte'!$F$101,'III. Finanzberichte'!$M$101,'III. Finanzberichte'!$T$101,'III. Finanzberichte'!$AA$101,'III. Finanzberichte'!$AH$101,'III. Finanzberichte'!$AO$101,'III. Finanzberichte'!$AV$101,'III. Finanzberichte'!$BC$101,'III. Finanzberichte'!$BJ$101,'III. Finanzberichte'!$BQ$101,'III. Finanzberichte'!$BX$101,'III. Finanzberichte'!$CE$101,'III. Finanzberichte'!$CL$101,'III. Finanzberichte'!$CS$101,'III. Finanzberichte'!$CZ$101,'III. Finanzberichte'!$DG$101,'III. Finanzberichte'!$DN$101,'III. Finanzberichte'!$DU$101),"")</f>
      </c>
    </row>
    <row r="176">
      <c r="L176" s="143" t="str">
        <f>=IFERROR(CHOOSE(E81,'III. Finanzberichte'!$B$102,'III. Finanzberichte'!$I$102,'III. Finanzberichte'!$P$102,'III. Finanzberichte'!$W$102,'III. Finanzberichte'!$AD$102,'III. Finanzberichte'!$AK$102,'III. Finanzberichte'!$AR$102,'III. Finanzberichte'!$AY$102,'III. Finanzberichte'!$BF$102,'III. Finanzberichte'!$BM$102,'III. Finanzberichte'!$BT$102,'III. Finanzberichte'!$CA$102,'III. Finanzberichte'!$CH$102,'III. Finanzberichte'!$CO$102,'III. Finanzberichte'!$CV$102,'III. Finanzberichte'!$DC$102,'III. Finanzberichte'!$DJ$102,'III. Finanzberichte'!$DQ$102),"")</f>
      </c>
      <c r="M176" s="116" t="str">
        <f>=IFERROR(CHOOSE(E81,'III. Finanzberichte'!$C$102,'III. Finanzberichte'!$J$102,'III. Finanzberichte'!$Q$102,'III. Finanzberichte'!$X$102,'III. Finanzberichte'!$AE$102,'III. Finanzberichte'!$AL$102,'III. Finanzberichte'!$AS$102,'III. Finanzberichte'!$AZ$102,'III. Finanzberichte'!$BG$102,'III. Finanzberichte'!$BN$102,'III. Finanzberichte'!$BU$102,'III. Finanzberichte'!$CB$102,'III. Finanzberichte'!$CI$102,'III. Finanzberichte'!$CP$102,'III. Finanzberichte'!$CW$102,'III. Finanzberichte'!$DD$102,'III. Finanzberichte'!$DK$102,'III. Finanzberichte'!$DR$102),"")</f>
      </c>
      <c r="N176" s="117" t="str">
        <f>=IFERROR(CHOOSE(E81,'III. Finanzberichte'!$D$102,'III. Finanzberichte'!$K$102,'III. Finanzberichte'!$R$102,'III. Finanzberichte'!$Y$102,'III. Finanzberichte'!$AF$102,'III. Finanzberichte'!$AM$102,'III. Finanzberichte'!$AT$102,'III. Finanzberichte'!$BA$102,'III. Finanzberichte'!$BH$102,'III. Finanzberichte'!$BO$102,'III. Finanzberichte'!$BV$102,'III. Finanzberichte'!$CC$102,'III. Finanzberichte'!$CJ$102,'III. Finanzberichte'!$CQ$102,'III. Finanzberichte'!$CX$102,'III. Finanzberichte'!$DE$102,'III. Finanzberichte'!$DL$102,'III. Finanzberichte'!$DS$102),"")</f>
      </c>
      <c r="O176" s="116" t="str">
        <f>=IFERROR(CHOOSE(E81,'III. Finanzberichte'!$E$102,'III. Finanzberichte'!$L$102,'III. Finanzberichte'!$S$102,'III. Finanzberichte'!$Z$102,'III. Finanzberichte'!$AG$102,'III. Finanzberichte'!$AN$102,'III. Finanzberichte'!$AU$102,'III. Finanzberichte'!$BB$102,'III. Finanzberichte'!$BI$102,'III. Finanzberichte'!$BP$102,'III. Finanzberichte'!$BW$102,'III. Finanzberichte'!$CD$102,'III. Finanzberichte'!$CK$102,'III. Finanzberichte'!$CR$102,'III. Finanzberichte'!$CY$102,'III. Finanzberichte'!$DF$102,'III. Finanzberichte'!$DM$102,'III. Finanzberichte'!$DT$102),"")</f>
      </c>
      <c r="P176" s="144" t="str">
        <f>=IFERROR(CHOOSE(E81,'III. Finanzberichte'!$F$102,'III. Finanzberichte'!$M$102,'III. Finanzberichte'!$T$102,'III. Finanzberichte'!$AA$102,'III. Finanzberichte'!$AH$102,'III. Finanzberichte'!$AO$102,'III. Finanzberichte'!$AV$102,'III. Finanzberichte'!$BC$102,'III. Finanzberichte'!$BJ$102,'III. Finanzberichte'!$BQ$102,'III. Finanzberichte'!$BX$102,'III. Finanzberichte'!$CE$102,'III. Finanzberichte'!$CL$102,'III. Finanzberichte'!$CS$102,'III. Finanzberichte'!$CZ$102,'III. Finanzberichte'!$DG$102,'III. Finanzberichte'!$DN$102,'III. Finanzberichte'!$DU$102),"")</f>
      </c>
    </row>
    <row r="177">
      <c r="L177" s="143" t="str">
        <f>=IFERROR(CHOOSE(E81,'III. Finanzberichte'!$B$103,'III. Finanzberichte'!$I$103,'III. Finanzberichte'!$P$103,'III. Finanzberichte'!$W$103,'III. Finanzberichte'!$AD$103,'III. Finanzberichte'!$AK$103,'III. Finanzberichte'!$AR$103,'III. Finanzberichte'!$AY$103,'III. Finanzberichte'!$BF$103,'III. Finanzberichte'!$BM$103,'III. Finanzberichte'!$BT$103,'III. Finanzberichte'!$CA$103,'III. Finanzberichte'!$CH$103,'III. Finanzberichte'!$CO$103,'III. Finanzberichte'!$CV$103,'III. Finanzberichte'!$DC$103,'III. Finanzberichte'!$DJ$103,'III. Finanzberichte'!$DQ$103),"")</f>
      </c>
      <c r="M177" s="116" t="str">
        <f>=IFERROR(CHOOSE(E81,'III. Finanzberichte'!$C$103,'III. Finanzberichte'!$J$103,'III. Finanzberichte'!$Q$103,'III. Finanzberichte'!$X$103,'III. Finanzberichte'!$AE$103,'III. Finanzberichte'!$AL$103,'III. Finanzberichte'!$AS$103,'III. Finanzberichte'!$AZ$103,'III. Finanzberichte'!$BG$103,'III. Finanzberichte'!$BN$103,'III. Finanzberichte'!$BU$103,'III. Finanzberichte'!$CB$103,'III. Finanzberichte'!$CI$103,'III. Finanzberichte'!$CP$103,'III. Finanzberichte'!$CW$103,'III. Finanzberichte'!$DD$103,'III. Finanzberichte'!$DK$103,'III. Finanzberichte'!$DR$103),"")</f>
      </c>
      <c r="N177" s="117" t="str">
        <f>=IFERROR(CHOOSE(E81,'III. Finanzberichte'!$D$103,'III. Finanzberichte'!$K$103,'III. Finanzberichte'!$R$103,'III. Finanzberichte'!$Y$103,'III. Finanzberichte'!$AF$103,'III. Finanzberichte'!$AM$103,'III. Finanzberichte'!$AT$103,'III. Finanzberichte'!$BA$103,'III. Finanzberichte'!$BH$103,'III. Finanzberichte'!$BO$103,'III. Finanzberichte'!$BV$103,'III. Finanzberichte'!$CC$103,'III. Finanzberichte'!$CJ$103,'III. Finanzberichte'!$CQ$103,'III. Finanzberichte'!$CX$103,'III. Finanzberichte'!$DE$103,'III. Finanzberichte'!$DL$103,'III. Finanzberichte'!$DS$103),"")</f>
      </c>
      <c r="O177" s="116" t="str">
        <f>=IFERROR(CHOOSE(E81,'III. Finanzberichte'!$E$103,'III. Finanzberichte'!$L$103,'III. Finanzberichte'!$S$103,'III. Finanzberichte'!$Z$103,'III. Finanzberichte'!$AG$103,'III. Finanzberichte'!$AN$103,'III. Finanzberichte'!$AU$103,'III. Finanzberichte'!$BB$103,'III. Finanzberichte'!$BI$103,'III. Finanzberichte'!$BP$103,'III. Finanzberichte'!$BW$103,'III. Finanzberichte'!$CD$103,'III. Finanzberichte'!$CK$103,'III. Finanzberichte'!$CR$103,'III. Finanzberichte'!$CY$103,'III. Finanzberichte'!$DF$103,'III. Finanzberichte'!$DM$103,'III. Finanzberichte'!$DT$103),"")</f>
      </c>
      <c r="P177" s="144" t="str">
        <f>=IFERROR(CHOOSE(E81,'III. Finanzberichte'!$F$103,'III. Finanzberichte'!$M$103,'III. Finanzberichte'!$T$103,'III. Finanzberichte'!$AA$103,'III. Finanzberichte'!$AH$103,'III. Finanzberichte'!$AO$103,'III. Finanzberichte'!$AV$103,'III. Finanzberichte'!$BC$103,'III. Finanzberichte'!$BJ$103,'III. Finanzberichte'!$BQ$103,'III. Finanzberichte'!$BX$103,'III. Finanzberichte'!$CE$103,'III. Finanzberichte'!$CL$103,'III. Finanzberichte'!$CS$103,'III. Finanzberichte'!$CZ$103,'III. Finanzberichte'!$DG$103,'III. Finanzberichte'!$DN$103,'III. Finanzberichte'!$DU$103),"")</f>
      </c>
    </row>
    <row r="178">
      <c r="L178" s="143" t="str">
        <f>=IFERROR(CHOOSE(E81,'III. Finanzberichte'!$B$104,'III. Finanzberichte'!$I$104,'III. Finanzberichte'!$P$104,'III. Finanzberichte'!$W$104,'III. Finanzberichte'!$AD$104,'III. Finanzberichte'!$AK$104,'III. Finanzberichte'!$AR$104,'III. Finanzberichte'!$AY$104,'III. Finanzberichte'!$BF$104,'III. Finanzberichte'!$BM$104,'III. Finanzberichte'!$BT$104,'III. Finanzberichte'!$CA$104,'III. Finanzberichte'!$CH$104,'III. Finanzberichte'!$CO$104,'III. Finanzberichte'!$CV$104,'III. Finanzberichte'!$DC$104,'III. Finanzberichte'!$DJ$104,'III. Finanzberichte'!$DQ$104),"")</f>
      </c>
      <c r="M178" s="116" t="str">
        <f>=IFERROR(CHOOSE(E81,'III. Finanzberichte'!$C$104,'III. Finanzberichte'!$J$104,'III. Finanzberichte'!$Q$104,'III. Finanzberichte'!$X$104,'III. Finanzberichte'!$AE$104,'III. Finanzberichte'!$AL$104,'III. Finanzberichte'!$AS$104,'III. Finanzberichte'!$AZ$104,'III. Finanzberichte'!$BG$104,'III. Finanzberichte'!$BN$104,'III. Finanzberichte'!$BU$104,'III. Finanzberichte'!$CB$104,'III. Finanzberichte'!$CI$104,'III. Finanzberichte'!$CP$104,'III. Finanzberichte'!$CW$104,'III. Finanzberichte'!$DD$104,'III. Finanzberichte'!$DK$104,'III. Finanzberichte'!$DR$104),"")</f>
      </c>
      <c r="N178" s="117" t="str">
        <f>=IFERROR(CHOOSE(E81,'III. Finanzberichte'!$D$104,'III. Finanzberichte'!$K$104,'III. Finanzberichte'!$R$104,'III. Finanzberichte'!$Y$104,'III. Finanzberichte'!$AF$104,'III. Finanzberichte'!$AM$104,'III. Finanzberichte'!$AT$104,'III. Finanzberichte'!$BA$104,'III. Finanzberichte'!$BH$104,'III. Finanzberichte'!$BO$104,'III. Finanzberichte'!$BV$104,'III. Finanzberichte'!$CC$104,'III. Finanzberichte'!$CJ$104,'III. Finanzberichte'!$CQ$104,'III. Finanzberichte'!$CX$104,'III. Finanzberichte'!$DE$104,'III. Finanzberichte'!$DL$104,'III. Finanzberichte'!$DS$104),"")</f>
      </c>
      <c r="O178" s="116" t="str">
        <f>=IFERROR(CHOOSE(E81,'III. Finanzberichte'!$E$104,'III. Finanzberichte'!$L$104,'III. Finanzberichte'!$S$104,'III. Finanzberichte'!$Z$104,'III. Finanzberichte'!$AG$104,'III. Finanzberichte'!$AN$104,'III. Finanzberichte'!$AU$104,'III. Finanzberichte'!$BB$104,'III. Finanzberichte'!$BI$104,'III. Finanzberichte'!$BP$104,'III. Finanzberichte'!$BW$104,'III. Finanzberichte'!$CD$104,'III. Finanzberichte'!$CK$104,'III. Finanzberichte'!$CR$104,'III. Finanzberichte'!$CY$104,'III. Finanzberichte'!$DF$104,'III. Finanzberichte'!$DM$104,'III. Finanzberichte'!$DT$104),"")</f>
      </c>
      <c r="P178" s="144" t="str">
        <f>=IFERROR(CHOOSE(E81,'III. Finanzberichte'!$F$104,'III. Finanzberichte'!$M$104,'III. Finanzberichte'!$T$104,'III. Finanzberichte'!$AA$104,'III. Finanzberichte'!$AH$104,'III. Finanzberichte'!$AO$104,'III. Finanzberichte'!$AV$104,'III. Finanzberichte'!$BC$104,'III. Finanzberichte'!$BJ$104,'III. Finanzberichte'!$BQ$104,'III. Finanzberichte'!$BX$104,'III. Finanzberichte'!$CE$104,'III. Finanzberichte'!$CL$104,'III. Finanzberichte'!$CS$104,'III. Finanzberichte'!$CZ$104,'III. Finanzberichte'!$DG$104,'III. Finanzberichte'!$DN$104,'III. Finanzberichte'!$DU$104),"")</f>
      </c>
    </row>
    <row r="179">
      <c r="L179" s="143" t="str">
        <f>=IFERROR(CHOOSE(E81,'III. Finanzberichte'!$B$105,'III. Finanzberichte'!$I$105,'III. Finanzberichte'!$P$105,'III. Finanzberichte'!$W$105,'III. Finanzberichte'!$AD$105,'III. Finanzberichte'!$AK$105,'III. Finanzberichte'!$AR$105,'III. Finanzberichte'!$AY$105,'III. Finanzberichte'!$BF$105,'III. Finanzberichte'!$BM$105,'III. Finanzberichte'!$BT$105,'III. Finanzberichte'!$CA$105,'III. Finanzberichte'!$CH$105,'III. Finanzberichte'!$CO$105,'III. Finanzberichte'!$CV$105,'III. Finanzberichte'!$DC$105,'III. Finanzberichte'!$DJ$105,'III. Finanzberichte'!$DQ$105),"")</f>
      </c>
      <c r="M179" s="116" t="str">
        <f>=IFERROR(CHOOSE(E81,'III. Finanzberichte'!$C$105,'III. Finanzberichte'!$J$105,'III. Finanzberichte'!$Q$105,'III. Finanzberichte'!$X$105,'III. Finanzberichte'!$AE$105,'III. Finanzberichte'!$AL$105,'III. Finanzberichte'!$AS$105,'III. Finanzberichte'!$AZ$105,'III. Finanzberichte'!$BG$105,'III. Finanzberichte'!$BN$105,'III. Finanzberichte'!$BU$105,'III. Finanzberichte'!$CB$105,'III. Finanzberichte'!$CI$105,'III. Finanzberichte'!$CP$105,'III. Finanzberichte'!$CW$105,'III. Finanzberichte'!$DD$105,'III. Finanzberichte'!$DK$105,'III. Finanzberichte'!$DR$105),"")</f>
      </c>
      <c r="N179" s="117" t="str">
        <f>=IFERROR(CHOOSE(E81,'III. Finanzberichte'!$D$105,'III. Finanzberichte'!$K$105,'III. Finanzberichte'!$R$105,'III. Finanzberichte'!$Y$105,'III. Finanzberichte'!$AF$105,'III. Finanzberichte'!$AM$105,'III. Finanzberichte'!$AT$105,'III. Finanzberichte'!$BA$105,'III. Finanzberichte'!$BH$105,'III. Finanzberichte'!$BO$105,'III. Finanzberichte'!$BV$105,'III. Finanzberichte'!$CC$105,'III. Finanzberichte'!$CJ$105,'III. Finanzberichte'!$CQ$105,'III. Finanzberichte'!$CX$105,'III. Finanzberichte'!$DE$105,'III. Finanzberichte'!$DL$105,'III. Finanzberichte'!$DS$105),"")</f>
      </c>
      <c r="O179" s="116" t="str">
        <f>=IFERROR(CHOOSE(E81,'III. Finanzberichte'!$E$105,'III. Finanzberichte'!$L$105,'III. Finanzberichte'!$S$105,'III. Finanzberichte'!$Z$105,'III. Finanzberichte'!$AG$105,'III. Finanzberichte'!$AN$105,'III. Finanzberichte'!$AU$105,'III. Finanzberichte'!$BB$105,'III. Finanzberichte'!$BI$105,'III. Finanzberichte'!$BP$105,'III. Finanzberichte'!$BW$105,'III. Finanzberichte'!$CD$105,'III. Finanzberichte'!$CK$105,'III. Finanzberichte'!$CR$105,'III. Finanzberichte'!$CY$105,'III. Finanzberichte'!$DF$105,'III. Finanzberichte'!$DM$105,'III. Finanzberichte'!$DT$105),"")</f>
      </c>
      <c r="P179" s="144" t="str">
        <f>=IFERROR(CHOOSE(E81,'III. Finanzberichte'!$F$105,'III. Finanzberichte'!$M$105,'III. Finanzberichte'!$T$105,'III. Finanzberichte'!$AA$105,'III. Finanzberichte'!$AH$105,'III. Finanzberichte'!$AO$105,'III. Finanzberichte'!$AV$105,'III. Finanzberichte'!$BC$105,'III. Finanzberichte'!$BJ$105,'III. Finanzberichte'!$BQ$105,'III. Finanzberichte'!$BX$105,'III. Finanzberichte'!$CE$105,'III. Finanzberichte'!$CL$105,'III. Finanzberichte'!$CS$105,'III. Finanzberichte'!$CZ$105,'III. Finanzberichte'!$DG$105,'III. Finanzberichte'!$DN$105,'III. Finanzberichte'!$DU$105),"")</f>
      </c>
    </row>
    <row r="180">
      <c r="L180" s="143" t="str">
        <f>=IFERROR(CHOOSE(E81,'III. Finanzberichte'!$B$106,'III. Finanzberichte'!$I$106,'III. Finanzberichte'!$P$106,'III. Finanzberichte'!$W$106,'III. Finanzberichte'!$AD$106,'III. Finanzberichte'!$AK$106,'III. Finanzberichte'!$AR$106,'III. Finanzberichte'!$AY$106,'III. Finanzberichte'!$BF$106,'III. Finanzberichte'!$BM$106,'III. Finanzberichte'!$BT$106,'III. Finanzberichte'!$CA$106,'III. Finanzberichte'!$CH$106,'III. Finanzberichte'!$CO$106,'III. Finanzberichte'!$CV$106,'III. Finanzberichte'!$DC$106,'III. Finanzberichte'!$DJ$106,'III. Finanzberichte'!$DQ$106),"")</f>
      </c>
      <c r="M180" s="116" t="str">
        <f>=IFERROR(CHOOSE(E81,'III. Finanzberichte'!$C$106,'III. Finanzberichte'!$J$106,'III. Finanzberichte'!$Q$106,'III. Finanzberichte'!$X$106,'III. Finanzberichte'!$AE$106,'III. Finanzberichte'!$AL$106,'III. Finanzberichte'!$AS$106,'III. Finanzberichte'!$AZ$106,'III. Finanzberichte'!$BG$106,'III. Finanzberichte'!$BN$106,'III. Finanzberichte'!$BU$106,'III. Finanzberichte'!$CB$106,'III. Finanzberichte'!$CI$106,'III. Finanzberichte'!$CP$106,'III. Finanzberichte'!$CW$106,'III. Finanzberichte'!$DD$106,'III. Finanzberichte'!$DK$106,'III. Finanzberichte'!$DR$106),"")</f>
      </c>
      <c r="N180" s="117" t="str">
        <f>=IFERROR(CHOOSE(E81,'III. Finanzberichte'!$D$106,'III. Finanzberichte'!$K$106,'III. Finanzberichte'!$R$106,'III. Finanzberichte'!$Y$106,'III. Finanzberichte'!$AF$106,'III. Finanzberichte'!$AM$106,'III. Finanzberichte'!$AT$106,'III. Finanzberichte'!$BA$106,'III. Finanzberichte'!$BH$106,'III. Finanzberichte'!$BO$106,'III. Finanzberichte'!$BV$106,'III. Finanzberichte'!$CC$106,'III. Finanzberichte'!$CJ$106,'III. Finanzberichte'!$CQ$106,'III. Finanzberichte'!$CX$106,'III. Finanzberichte'!$DE$106,'III. Finanzberichte'!$DL$106,'III. Finanzberichte'!$DS$106),"")</f>
      </c>
      <c r="O180" s="116" t="str">
        <f>=IFERROR(CHOOSE(E81,'III. Finanzberichte'!$E$106,'III. Finanzberichte'!$L$106,'III. Finanzberichte'!$S$106,'III. Finanzberichte'!$Z$106,'III. Finanzberichte'!$AG$106,'III. Finanzberichte'!$AN$106,'III. Finanzberichte'!$AU$106,'III. Finanzberichte'!$BB$106,'III. Finanzberichte'!$BI$106,'III. Finanzberichte'!$BP$106,'III. Finanzberichte'!$BW$106,'III. Finanzberichte'!$CD$106,'III. Finanzberichte'!$CK$106,'III. Finanzberichte'!$CR$106,'III. Finanzberichte'!$CY$106,'III. Finanzberichte'!$DF$106,'III. Finanzberichte'!$DM$106,'III. Finanzberichte'!$DT$106),"")</f>
      </c>
      <c r="P180" s="144" t="str">
        <f>=IFERROR(CHOOSE(E81,'III. Finanzberichte'!$F$106,'III. Finanzberichte'!$M$106,'III. Finanzberichte'!$T$106,'III. Finanzberichte'!$AA$106,'III. Finanzberichte'!$AH$106,'III. Finanzberichte'!$AO$106,'III. Finanzberichte'!$AV$106,'III. Finanzberichte'!$BC$106,'III. Finanzberichte'!$BJ$106,'III. Finanzberichte'!$BQ$106,'III. Finanzberichte'!$BX$106,'III. Finanzberichte'!$CE$106,'III. Finanzberichte'!$CL$106,'III. Finanzberichte'!$CS$106,'III. Finanzberichte'!$CZ$106,'III. Finanzberichte'!$DG$106,'III. Finanzberichte'!$DN$106,'III. Finanzberichte'!$DU$106),"")</f>
      </c>
    </row>
    <row r="181">
      <c r="L181" s="143" t="str">
        <f>=IFERROR(CHOOSE(E81,'III. Finanzberichte'!$B$107,'III. Finanzberichte'!$I$107,'III. Finanzberichte'!$P$107,'III. Finanzberichte'!$W$107,'III. Finanzberichte'!$AD$107,'III. Finanzberichte'!$AK$107,'III. Finanzberichte'!$AR$107,'III. Finanzberichte'!$AY$107,'III. Finanzberichte'!$BF$107,'III. Finanzberichte'!$BM$107,'III. Finanzberichte'!$BT$107,'III. Finanzberichte'!$CA$107,'III. Finanzberichte'!$CH$107,'III. Finanzberichte'!$CO$107,'III. Finanzberichte'!$CV$107,'III. Finanzberichte'!$DC$107,'III. Finanzberichte'!$DJ$107,'III. Finanzberichte'!$DQ$107),"")</f>
      </c>
      <c r="M181" s="116" t="str">
        <f>=IFERROR(CHOOSE(E81,'III. Finanzberichte'!$C$107,'III. Finanzberichte'!$J$107,'III. Finanzberichte'!$Q$107,'III. Finanzberichte'!$X$107,'III. Finanzberichte'!$AE$107,'III. Finanzberichte'!$AL$107,'III. Finanzberichte'!$AS$107,'III. Finanzberichte'!$AZ$107,'III. Finanzberichte'!$BG$107,'III. Finanzberichte'!$BN$107,'III. Finanzberichte'!$BU$107,'III. Finanzberichte'!$CB$107,'III. Finanzberichte'!$CI$107,'III. Finanzberichte'!$CP$107,'III. Finanzberichte'!$CW$107,'III. Finanzberichte'!$DD$107,'III. Finanzberichte'!$DK$107,'III. Finanzberichte'!$DR$107),"")</f>
      </c>
      <c r="N181" s="117" t="str">
        <f>=IFERROR(CHOOSE(E81,'III. Finanzberichte'!$D$107,'III. Finanzberichte'!$K$107,'III. Finanzberichte'!$R$107,'III. Finanzberichte'!$Y$107,'III. Finanzberichte'!$AF$107,'III. Finanzberichte'!$AM$107,'III. Finanzberichte'!$AT$107,'III. Finanzberichte'!$BA$107,'III. Finanzberichte'!$BH$107,'III. Finanzberichte'!$BO$107,'III. Finanzberichte'!$BV$107,'III. Finanzberichte'!$CC$107,'III. Finanzberichte'!$CJ$107,'III. Finanzberichte'!$CQ$107,'III. Finanzberichte'!$CX$107,'III. Finanzberichte'!$DE$107,'III. Finanzberichte'!$DL$107,'III. Finanzberichte'!$DS$107),"")</f>
      </c>
      <c r="O181" s="116" t="str">
        <f>=IFERROR(CHOOSE(E81,'III. Finanzberichte'!$E$107,'III. Finanzberichte'!$L$107,'III. Finanzberichte'!$S$107,'III. Finanzberichte'!$Z$107,'III. Finanzberichte'!$AG$107,'III. Finanzberichte'!$AN$107,'III. Finanzberichte'!$AU$107,'III. Finanzberichte'!$BB$107,'III. Finanzberichte'!$BI$107,'III. Finanzberichte'!$BP$107,'III. Finanzberichte'!$BW$107,'III. Finanzberichte'!$CD$107,'III. Finanzberichte'!$CK$107,'III. Finanzberichte'!$CR$107,'III. Finanzberichte'!$CY$107,'III. Finanzberichte'!$DF$107,'III. Finanzberichte'!$DM$107,'III. Finanzberichte'!$DT$107),"")</f>
      </c>
      <c r="P181" s="144" t="str">
        <f>=IFERROR(CHOOSE(E81,'III. Finanzberichte'!$F$107,'III. Finanzberichte'!$M$107,'III. Finanzberichte'!$T$107,'III. Finanzberichte'!$AA$107,'III. Finanzberichte'!$AH$107,'III. Finanzberichte'!$AO$107,'III. Finanzberichte'!$AV$107,'III. Finanzberichte'!$BC$107,'III. Finanzberichte'!$BJ$107,'III. Finanzberichte'!$BQ$107,'III. Finanzberichte'!$BX$107,'III. Finanzberichte'!$CE$107,'III. Finanzberichte'!$CL$107,'III. Finanzberichte'!$CS$107,'III. Finanzberichte'!$CZ$107,'III. Finanzberichte'!$DG$107,'III. Finanzberichte'!$DN$107,'III. Finanzberichte'!$DU$107),"")</f>
      </c>
    </row>
    <row r="182">
      <c r="L182" s="143" t="str">
        <f>=IFERROR(CHOOSE(E81,'III. Finanzberichte'!$B$108,'III. Finanzberichte'!$I$108,'III. Finanzberichte'!$P$108,'III. Finanzberichte'!$W$108,'III. Finanzberichte'!$AD$108,'III. Finanzberichte'!$AK$108,'III. Finanzberichte'!$AR$108,'III. Finanzberichte'!$AY$108,'III. Finanzberichte'!$BF$108,'III. Finanzberichte'!$BM$108,'III. Finanzberichte'!$BT$108,'III. Finanzberichte'!$CA$108,'III. Finanzberichte'!$CH$108,'III. Finanzberichte'!$CO$108,'III. Finanzberichte'!$CV$108,'III. Finanzberichte'!$DC$108,'III. Finanzberichte'!$DJ$108,'III. Finanzberichte'!$DQ$108),"")</f>
      </c>
      <c r="M182" s="116" t="str">
        <f>=IFERROR(CHOOSE(E81,'III. Finanzberichte'!$C$108,'III. Finanzberichte'!$J$108,'III. Finanzberichte'!$Q$108,'III. Finanzberichte'!$X$108,'III. Finanzberichte'!$AE$108,'III. Finanzberichte'!$AL$108,'III. Finanzberichte'!$AS$108,'III. Finanzberichte'!$AZ$108,'III. Finanzberichte'!$BG$108,'III. Finanzberichte'!$BN$108,'III. Finanzberichte'!$BU$108,'III. Finanzberichte'!$CB$108,'III. Finanzberichte'!$CI$108,'III. Finanzberichte'!$CP$108,'III. Finanzberichte'!$CW$108,'III. Finanzberichte'!$DD$108,'III. Finanzberichte'!$DK$108,'III. Finanzberichte'!$DR$108),"")</f>
      </c>
      <c r="N182" s="117" t="str">
        <f>=IFERROR(CHOOSE(E81,'III. Finanzberichte'!$D$108,'III. Finanzberichte'!$K$108,'III. Finanzberichte'!$R$108,'III. Finanzberichte'!$Y$108,'III. Finanzberichte'!$AF$108,'III. Finanzberichte'!$AM$108,'III. Finanzberichte'!$AT$108,'III. Finanzberichte'!$BA$108,'III. Finanzberichte'!$BH$108,'III. Finanzberichte'!$BO$108,'III. Finanzberichte'!$BV$108,'III. Finanzberichte'!$CC$108,'III. Finanzberichte'!$CJ$108,'III. Finanzberichte'!$CQ$108,'III. Finanzberichte'!$CX$108,'III. Finanzberichte'!$DE$108,'III. Finanzberichte'!$DL$108,'III. Finanzberichte'!$DS$108),"")</f>
      </c>
      <c r="O182" s="116" t="str">
        <f>=IFERROR(CHOOSE(E81,'III. Finanzberichte'!$E$108,'III. Finanzberichte'!$L$108,'III. Finanzberichte'!$S$108,'III. Finanzberichte'!$Z$108,'III. Finanzberichte'!$AG$108,'III. Finanzberichte'!$AN$108,'III. Finanzberichte'!$AU$108,'III. Finanzberichte'!$BB$108,'III. Finanzberichte'!$BI$108,'III. Finanzberichte'!$BP$108,'III. Finanzberichte'!$BW$108,'III. Finanzberichte'!$CD$108,'III. Finanzberichte'!$CK$108,'III. Finanzberichte'!$CR$108,'III. Finanzberichte'!$CY$108,'III. Finanzberichte'!$DF$108,'III. Finanzberichte'!$DM$108,'III. Finanzberichte'!$DT$108),"")</f>
      </c>
      <c r="P182" s="144" t="str">
        <f>=IFERROR(CHOOSE(E81,'III. Finanzberichte'!$F$108,'III. Finanzberichte'!$M$108,'III. Finanzberichte'!$T$108,'III. Finanzberichte'!$AA$108,'III. Finanzberichte'!$AH$108,'III. Finanzberichte'!$AO$108,'III. Finanzberichte'!$AV$108,'III. Finanzberichte'!$BC$108,'III. Finanzberichte'!$BJ$108,'III. Finanzberichte'!$BQ$108,'III. Finanzberichte'!$BX$108,'III. Finanzberichte'!$CE$108,'III. Finanzberichte'!$CL$108,'III. Finanzberichte'!$CS$108,'III. Finanzberichte'!$CZ$108,'III. Finanzberichte'!$DG$108,'III. Finanzberichte'!$DN$108,'III. Finanzberichte'!$DU$108),"")</f>
      </c>
    </row>
    <row r="183">
      <c r="L183" s="143" t="str">
        <f>=IFERROR(CHOOSE(E81,'III. Finanzberichte'!$B$109,'III. Finanzberichte'!$I$109,'III. Finanzberichte'!$P$109,'III. Finanzberichte'!$W$109,'III. Finanzberichte'!$AD$109,'III. Finanzberichte'!$AK$109,'III. Finanzberichte'!$AR$109,'III. Finanzberichte'!$AY$109,'III. Finanzberichte'!$BF$109,'III. Finanzberichte'!$BM$109,'III. Finanzberichte'!$BT$109,'III. Finanzberichte'!$CA$109,'III. Finanzberichte'!$CH$109,'III. Finanzberichte'!$CO$109,'III. Finanzberichte'!$CV$109,'III. Finanzberichte'!$DC$109,'III. Finanzberichte'!$DJ$109,'III. Finanzberichte'!$DQ$109),"")</f>
      </c>
      <c r="M183" s="116" t="str">
        <f>=IFERROR(CHOOSE(E81,'III. Finanzberichte'!$C$109,'III. Finanzberichte'!$J$109,'III. Finanzberichte'!$Q$109,'III. Finanzberichte'!$X$109,'III. Finanzberichte'!$AE$109,'III. Finanzberichte'!$AL$109,'III. Finanzberichte'!$AS$109,'III. Finanzberichte'!$AZ$109,'III. Finanzberichte'!$BG$109,'III. Finanzberichte'!$BN$109,'III. Finanzberichte'!$BU$109,'III. Finanzberichte'!$CB$109,'III. Finanzberichte'!$CI$109,'III. Finanzberichte'!$CP$109,'III. Finanzberichte'!$CW$109,'III. Finanzberichte'!$DD$109,'III. Finanzberichte'!$DK$109,'III. Finanzberichte'!$DR$109),"")</f>
      </c>
      <c r="N183" s="117" t="str">
        <f>=IFERROR(CHOOSE(E81,'III. Finanzberichte'!$D$109,'III. Finanzberichte'!$K$109,'III. Finanzberichte'!$R$109,'III. Finanzberichte'!$Y$109,'III. Finanzberichte'!$AF$109,'III. Finanzberichte'!$AM$109,'III. Finanzberichte'!$AT$109,'III. Finanzberichte'!$BA$109,'III. Finanzberichte'!$BH$109,'III. Finanzberichte'!$BO$109,'III. Finanzberichte'!$BV$109,'III. Finanzberichte'!$CC$109,'III. Finanzberichte'!$CJ$109,'III. Finanzberichte'!$CQ$109,'III. Finanzberichte'!$CX$109,'III. Finanzberichte'!$DE$109,'III. Finanzberichte'!$DL$109,'III. Finanzberichte'!$DS$109),"")</f>
      </c>
      <c r="O183" s="116" t="str">
        <f>=IFERROR(CHOOSE(E81,'III. Finanzberichte'!$E$109,'III. Finanzberichte'!$L$109,'III. Finanzberichte'!$S$109,'III. Finanzberichte'!$Z$109,'III. Finanzberichte'!$AG$109,'III. Finanzberichte'!$AN$109,'III. Finanzberichte'!$AU$109,'III. Finanzberichte'!$BB$109,'III. Finanzberichte'!$BI$109,'III. Finanzberichte'!$BP$109,'III. Finanzberichte'!$BW$109,'III. Finanzberichte'!$CD$109,'III. Finanzberichte'!$CK$109,'III. Finanzberichte'!$CR$109,'III. Finanzberichte'!$CY$109,'III. Finanzberichte'!$DF$109,'III. Finanzberichte'!$DM$109,'III. Finanzberichte'!$DT$109),"")</f>
      </c>
      <c r="P183" s="144" t="str">
        <f>=IFERROR(CHOOSE(E81,'III. Finanzberichte'!$F$109,'III. Finanzberichte'!$M$109,'III. Finanzberichte'!$T$109,'III. Finanzberichte'!$AA$109,'III. Finanzberichte'!$AH$109,'III. Finanzberichte'!$AO$109,'III. Finanzberichte'!$AV$109,'III. Finanzberichte'!$BC$109,'III. Finanzberichte'!$BJ$109,'III. Finanzberichte'!$BQ$109,'III. Finanzberichte'!$BX$109,'III. Finanzberichte'!$CE$109,'III. Finanzberichte'!$CL$109,'III. Finanzberichte'!$CS$109,'III. Finanzberichte'!$CZ$109,'III. Finanzberichte'!$DG$109,'III. Finanzberichte'!$DN$109,'III. Finanzberichte'!$DU$109),"")</f>
      </c>
    </row>
    <row r="184">
      <c r="L184" s="143" t="str">
        <f>=IFERROR(CHOOSE(E81,'III. Finanzberichte'!$B$110,'III. Finanzberichte'!$I$110,'III. Finanzberichte'!$P$110,'III. Finanzberichte'!$W$110,'III. Finanzberichte'!$AD$110,'III. Finanzberichte'!$AK$110,'III. Finanzberichte'!$AR$110,'III. Finanzberichte'!$AY$110,'III. Finanzberichte'!$BF$110,'III. Finanzberichte'!$BM$110,'III. Finanzberichte'!$BT$110,'III. Finanzberichte'!$CA$110,'III. Finanzberichte'!$CH$110,'III. Finanzberichte'!$CO$110,'III. Finanzberichte'!$CV$110,'III. Finanzberichte'!$DC$110,'III. Finanzberichte'!$DJ$110,'III. Finanzberichte'!$DQ$110),"")</f>
      </c>
      <c r="M184" s="116" t="str">
        <f>=IFERROR(CHOOSE(E81,'III. Finanzberichte'!$C$110,'III. Finanzberichte'!$J$110,'III. Finanzberichte'!$Q$110,'III. Finanzberichte'!$X$110,'III. Finanzberichte'!$AE$110,'III. Finanzberichte'!$AL$110,'III. Finanzberichte'!$AS$110,'III. Finanzberichte'!$AZ$110,'III. Finanzberichte'!$BG$110,'III. Finanzberichte'!$BN$110,'III. Finanzberichte'!$BU$110,'III. Finanzberichte'!$CB$110,'III. Finanzberichte'!$CI$110,'III. Finanzberichte'!$CP$110,'III. Finanzberichte'!$CW$110,'III. Finanzberichte'!$DD$110,'III. Finanzberichte'!$DK$110,'III. Finanzberichte'!$DR$110),"")</f>
      </c>
      <c r="N184" s="117" t="str">
        <f>=IFERROR(CHOOSE(E81,'III. Finanzberichte'!$D$110,'III. Finanzberichte'!$K$110,'III. Finanzberichte'!$R$110,'III. Finanzberichte'!$Y$110,'III. Finanzberichte'!$AF$110,'III. Finanzberichte'!$AM$110,'III. Finanzberichte'!$AT$110,'III. Finanzberichte'!$BA$110,'III. Finanzberichte'!$BH$110,'III. Finanzberichte'!$BO$110,'III. Finanzberichte'!$BV$110,'III. Finanzberichte'!$CC$110,'III. Finanzberichte'!$CJ$110,'III. Finanzberichte'!$CQ$110,'III. Finanzberichte'!$CX$110,'III. Finanzberichte'!$DE$110,'III. Finanzberichte'!$DL$110,'III. Finanzberichte'!$DS$110),"")</f>
      </c>
      <c r="O184" s="116" t="str">
        <f>=IFERROR(CHOOSE(E81,'III. Finanzberichte'!$E$110,'III. Finanzberichte'!$L$110,'III. Finanzberichte'!$S$110,'III. Finanzberichte'!$Z$110,'III. Finanzberichte'!$AG$110,'III. Finanzberichte'!$AN$110,'III. Finanzberichte'!$AU$110,'III. Finanzberichte'!$BB$110,'III. Finanzberichte'!$BI$110,'III. Finanzberichte'!$BP$110,'III. Finanzberichte'!$BW$110,'III. Finanzberichte'!$CD$110,'III. Finanzberichte'!$CK$110,'III. Finanzberichte'!$CR$110,'III. Finanzberichte'!$CY$110,'III. Finanzberichte'!$DF$110,'III. Finanzberichte'!$DM$110,'III. Finanzberichte'!$DT$110),"")</f>
      </c>
      <c r="P184" s="144" t="str">
        <f>=IFERROR(CHOOSE(E81,'III. Finanzberichte'!$F$110,'III. Finanzberichte'!$M$110,'III. Finanzberichte'!$T$110,'III. Finanzberichte'!$AA$110,'III. Finanzberichte'!$AH$110,'III. Finanzberichte'!$AO$110,'III. Finanzberichte'!$AV$110,'III. Finanzberichte'!$BC$110,'III. Finanzberichte'!$BJ$110,'III. Finanzberichte'!$BQ$110,'III. Finanzberichte'!$BX$110,'III. Finanzberichte'!$CE$110,'III. Finanzberichte'!$CL$110,'III. Finanzberichte'!$CS$110,'III. Finanzberichte'!$CZ$110,'III. Finanzberichte'!$DG$110,'III. Finanzberichte'!$DN$110,'III. Finanzberichte'!$DU$110),"")</f>
      </c>
    </row>
    <row r="185">
      <c r="L185" s="143" t="str">
        <f>=IFERROR(CHOOSE(E81,'III. Finanzberichte'!$B$111,'III. Finanzberichte'!$I$111,'III. Finanzberichte'!$P$111,'III. Finanzberichte'!$W$111,'III. Finanzberichte'!$AD$111,'III. Finanzberichte'!$AK$111,'III. Finanzberichte'!$AR$111,'III. Finanzberichte'!$AY$111,'III. Finanzberichte'!$BF$111,'III. Finanzberichte'!$BM$111,'III. Finanzberichte'!$BT$111,'III. Finanzberichte'!$CA$111,'III. Finanzberichte'!$CH$111,'III. Finanzberichte'!$CO$111,'III. Finanzberichte'!$CV$111,'III. Finanzberichte'!$DC$111,'III. Finanzberichte'!$DJ$111,'III. Finanzberichte'!$DQ$111),"")</f>
      </c>
      <c r="M185" s="116" t="str">
        <f>=IFERROR(CHOOSE(E81,'III. Finanzberichte'!$C$111,'III. Finanzberichte'!$J$111,'III. Finanzberichte'!$Q$111,'III. Finanzberichte'!$X$111,'III. Finanzberichte'!$AE$111,'III. Finanzberichte'!$AL$111,'III. Finanzberichte'!$AS$111,'III. Finanzberichte'!$AZ$111,'III. Finanzberichte'!$BG$111,'III. Finanzberichte'!$BN$111,'III. Finanzberichte'!$BU$111,'III. Finanzberichte'!$CB$111,'III. Finanzberichte'!$CI$111,'III. Finanzberichte'!$CP$111,'III. Finanzberichte'!$CW$111,'III. Finanzberichte'!$DD$111,'III. Finanzberichte'!$DK$111,'III. Finanzberichte'!$DR$111),"")</f>
      </c>
      <c r="N185" s="117" t="str">
        <f>=IFERROR(CHOOSE(E81,'III. Finanzberichte'!$D$111,'III. Finanzberichte'!$K$111,'III. Finanzberichte'!$R$111,'III. Finanzberichte'!$Y$111,'III. Finanzberichte'!$AF$111,'III. Finanzberichte'!$AM$111,'III. Finanzberichte'!$AT$111,'III. Finanzberichte'!$BA$111,'III. Finanzberichte'!$BH$111,'III. Finanzberichte'!$BO$111,'III. Finanzberichte'!$BV$111,'III. Finanzberichte'!$CC$111,'III. Finanzberichte'!$CJ$111,'III. Finanzberichte'!$CQ$111,'III. Finanzberichte'!$CX$111,'III. Finanzberichte'!$DE$111,'III. Finanzberichte'!$DL$111,'III. Finanzberichte'!$DS$111),"")</f>
      </c>
      <c r="O185" s="116" t="str">
        <f>=IFERROR(CHOOSE(E81,'III. Finanzberichte'!$E$111,'III. Finanzberichte'!$L$111,'III. Finanzberichte'!$S$111,'III. Finanzberichte'!$Z$111,'III. Finanzberichte'!$AG$111,'III. Finanzberichte'!$AN$111,'III. Finanzberichte'!$AU$111,'III. Finanzberichte'!$BB$111,'III. Finanzberichte'!$BI$111,'III. Finanzberichte'!$BP$111,'III. Finanzberichte'!$BW$111,'III. Finanzberichte'!$CD$111,'III. Finanzberichte'!$CK$111,'III. Finanzberichte'!$CR$111,'III. Finanzberichte'!$CY$111,'III. Finanzberichte'!$DF$111,'III. Finanzberichte'!$DM$111,'III. Finanzberichte'!$DT$111),"")</f>
      </c>
      <c r="P185" s="144" t="str">
        <f>=IFERROR(CHOOSE(E81,'III. Finanzberichte'!$F$111,'III. Finanzberichte'!$M$111,'III. Finanzberichte'!$T$111,'III. Finanzberichte'!$AA$111,'III. Finanzberichte'!$AH$111,'III. Finanzberichte'!$AO$111,'III. Finanzberichte'!$AV$111,'III. Finanzberichte'!$BC$111,'III. Finanzberichte'!$BJ$111,'III. Finanzberichte'!$BQ$111,'III. Finanzberichte'!$BX$111,'III. Finanzberichte'!$CE$111,'III. Finanzberichte'!$CL$111,'III. Finanzberichte'!$CS$111,'III. Finanzberichte'!$CZ$111,'III. Finanzberichte'!$DG$111,'III. Finanzberichte'!$DN$111,'III. Finanzberichte'!$DU$111),"")</f>
      </c>
    </row>
    <row r="186">
      <c r="L186" s="143" t="str">
        <f>=IFERROR(CHOOSE(E81,'III. Finanzberichte'!$B$112,'III. Finanzberichte'!$I$112,'III. Finanzberichte'!$P$112,'III. Finanzberichte'!$W$112,'III. Finanzberichte'!$AD$112,'III. Finanzberichte'!$AK$112,'III. Finanzberichte'!$AR$112,'III. Finanzberichte'!$AY$112,'III. Finanzberichte'!$BF$112,'III. Finanzberichte'!$BM$112,'III. Finanzberichte'!$BT$112,'III. Finanzberichte'!$CA$112,'III. Finanzberichte'!$CH$112,'III. Finanzberichte'!$CO$112,'III. Finanzberichte'!$CV$112,'III. Finanzberichte'!$DC$112,'III. Finanzberichte'!$DJ$112,'III. Finanzberichte'!$DQ$112),"")</f>
      </c>
      <c r="M186" s="116" t="str">
        <f>=IFERROR(CHOOSE(E81,'III. Finanzberichte'!$C$112,'III. Finanzberichte'!$J$112,'III. Finanzberichte'!$Q$112,'III. Finanzberichte'!$X$112,'III. Finanzberichte'!$AE$112,'III. Finanzberichte'!$AL$112,'III. Finanzberichte'!$AS$112,'III. Finanzberichte'!$AZ$112,'III. Finanzberichte'!$BG$112,'III. Finanzberichte'!$BN$112,'III. Finanzberichte'!$BU$112,'III. Finanzberichte'!$CB$112,'III. Finanzberichte'!$CI$112,'III. Finanzberichte'!$CP$112,'III. Finanzberichte'!$CW$112,'III. Finanzberichte'!$DD$112,'III. Finanzberichte'!$DK$112,'III. Finanzberichte'!$DR$112),"")</f>
      </c>
      <c r="N186" s="117" t="str">
        <f>=IFERROR(CHOOSE(E81,'III. Finanzberichte'!$D$112,'III. Finanzberichte'!$K$112,'III. Finanzberichte'!$R$112,'III. Finanzberichte'!$Y$112,'III. Finanzberichte'!$AF$112,'III. Finanzberichte'!$AM$112,'III. Finanzberichte'!$AT$112,'III. Finanzberichte'!$BA$112,'III. Finanzberichte'!$BH$112,'III. Finanzberichte'!$BO$112,'III. Finanzberichte'!$BV$112,'III. Finanzberichte'!$CC$112,'III. Finanzberichte'!$CJ$112,'III. Finanzberichte'!$CQ$112,'III. Finanzberichte'!$CX$112,'III. Finanzberichte'!$DE$112,'III. Finanzberichte'!$DL$112,'III. Finanzberichte'!$DS$112),"")</f>
      </c>
      <c r="O186" s="116" t="str">
        <f>=IFERROR(CHOOSE(E81,'III. Finanzberichte'!$E$112,'III. Finanzberichte'!$L$112,'III. Finanzberichte'!$S$112,'III. Finanzberichte'!$Z$112,'III. Finanzberichte'!$AG$112,'III. Finanzberichte'!$AN$112,'III. Finanzberichte'!$AU$112,'III. Finanzberichte'!$BB$112,'III. Finanzberichte'!$BI$112,'III. Finanzberichte'!$BP$112,'III. Finanzberichte'!$BW$112,'III. Finanzberichte'!$CD$112,'III. Finanzberichte'!$CK$112,'III. Finanzberichte'!$CR$112,'III. Finanzberichte'!$CY$112,'III. Finanzberichte'!$DF$112,'III. Finanzberichte'!$DM$112,'III. Finanzberichte'!$DT$112),"")</f>
      </c>
      <c r="P186" s="144" t="str">
        <f>=IFERROR(CHOOSE(E81,'III. Finanzberichte'!$F$112,'III. Finanzberichte'!$M$112,'III. Finanzberichte'!$T$112,'III. Finanzberichte'!$AA$112,'III. Finanzberichte'!$AH$112,'III. Finanzberichte'!$AO$112,'III. Finanzberichte'!$AV$112,'III. Finanzberichte'!$BC$112,'III. Finanzberichte'!$BJ$112,'III. Finanzberichte'!$BQ$112,'III. Finanzberichte'!$BX$112,'III. Finanzberichte'!$CE$112,'III. Finanzberichte'!$CL$112,'III. Finanzberichte'!$CS$112,'III. Finanzberichte'!$CZ$112,'III. Finanzberichte'!$DG$112,'III. Finanzberichte'!$DN$112,'III. Finanzberichte'!$DU$112),"")</f>
      </c>
    </row>
    <row r="187">
      <c r="L187" s="143" t="str">
        <f>=IFERROR(CHOOSE(E81,'III. Finanzberichte'!$B$113,'III. Finanzberichte'!$I$113,'III. Finanzberichte'!$P$113,'III. Finanzberichte'!$W$113,'III. Finanzberichte'!$AD$113,'III. Finanzberichte'!$AK$113,'III. Finanzberichte'!$AR$113,'III. Finanzberichte'!$AY$113,'III. Finanzberichte'!$BF$113,'III. Finanzberichte'!$BM$113,'III. Finanzberichte'!$BT$113,'III. Finanzberichte'!$CA$113,'III. Finanzberichte'!$CH$113,'III. Finanzberichte'!$CO$113,'III. Finanzberichte'!$CV$113,'III. Finanzberichte'!$DC$113,'III. Finanzberichte'!$DJ$113,'III. Finanzberichte'!$DQ$113),"")</f>
      </c>
      <c r="M187" s="116" t="str">
        <f>=IFERROR(CHOOSE(E81,'III. Finanzberichte'!$C$113,'III. Finanzberichte'!$J$113,'III. Finanzberichte'!$Q$113,'III. Finanzberichte'!$X$113,'III. Finanzberichte'!$AE$113,'III. Finanzberichte'!$AL$113,'III. Finanzberichte'!$AS$113,'III. Finanzberichte'!$AZ$113,'III. Finanzberichte'!$BG$113,'III. Finanzberichte'!$BN$113,'III. Finanzberichte'!$BU$113,'III. Finanzberichte'!$CB$113,'III. Finanzberichte'!$CI$113,'III. Finanzberichte'!$CP$113,'III. Finanzberichte'!$CW$113,'III. Finanzberichte'!$DD$113,'III. Finanzberichte'!$DK$113,'III. Finanzberichte'!$DR$113),"")</f>
      </c>
      <c r="N187" s="117" t="str">
        <f>=IFERROR(CHOOSE(E81,'III. Finanzberichte'!$D$113,'III. Finanzberichte'!$K$113,'III. Finanzberichte'!$R$113,'III. Finanzberichte'!$Y$113,'III. Finanzberichte'!$AF$113,'III. Finanzberichte'!$AM$113,'III. Finanzberichte'!$AT$113,'III. Finanzberichte'!$BA$113,'III. Finanzberichte'!$BH$113,'III. Finanzberichte'!$BO$113,'III. Finanzberichte'!$BV$113,'III. Finanzberichte'!$CC$113,'III. Finanzberichte'!$CJ$113,'III. Finanzberichte'!$CQ$113,'III. Finanzberichte'!$CX$113,'III. Finanzberichte'!$DE$113,'III. Finanzberichte'!$DL$113,'III. Finanzberichte'!$DS$113),"")</f>
      </c>
      <c r="O187" s="116" t="str">
        <f>=IFERROR(CHOOSE(E81,'III. Finanzberichte'!$E$113,'III. Finanzberichte'!$L$113,'III. Finanzberichte'!$S$113,'III. Finanzberichte'!$Z$113,'III. Finanzberichte'!$AG$113,'III. Finanzberichte'!$AN$113,'III. Finanzberichte'!$AU$113,'III. Finanzberichte'!$BB$113,'III. Finanzberichte'!$BI$113,'III. Finanzberichte'!$BP$113,'III. Finanzberichte'!$BW$113,'III. Finanzberichte'!$CD$113,'III. Finanzberichte'!$CK$113,'III. Finanzberichte'!$CR$113,'III. Finanzberichte'!$CY$113,'III. Finanzberichte'!$DF$113,'III. Finanzberichte'!$DM$113,'III. Finanzberichte'!$DT$113),"")</f>
      </c>
      <c r="P187" s="144" t="str">
        <f>=IFERROR(CHOOSE(E81,'III. Finanzberichte'!$F$113,'III. Finanzberichte'!$M$113,'III. Finanzberichte'!$T$113,'III. Finanzberichte'!$AA$113,'III. Finanzberichte'!$AH$113,'III. Finanzberichte'!$AO$113,'III. Finanzberichte'!$AV$113,'III. Finanzberichte'!$BC$113,'III. Finanzberichte'!$BJ$113,'III. Finanzberichte'!$BQ$113,'III. Finanzberichte'!$BX$113,'III. Finanzberichte'!$CE$113,'III. Finanzberichte'!$CL$113,'III. Finanzberichte'!$CS$113,'III. Finanzberichte'!$CZ$113,'III. Finanzberichte'!$DG$113,'III. Finanzberichte'!$DN$113,'III. Finanzberichte'!$DU$113),"")</f>
      </c>
    </row>
    <row r="188">
      <c r="L188" s="143" t="str">
        <f>=IFERROR(CHOOSE(E81,'III. Finanzberichte'!$B$114,'III. Finanzberichte'!$I$114,'III. Finanzberichte'!$P$114,'III. Finanzberichte'!$W$114,'III. Finanzberichte'!$AD$114,'III. Finanzberichte'!$AK$114,'III. Finanzberichte'!$AR$114,'III. Finanzberichte'!$AY$114,'III. Finanzberichte'!$BF$114,'III. Finanzberichte'!$BM$114,'III. Finanzberichte'!$BT$114,'III. Finanzberichte'!$CA$114,'III. Finanzberichte'!$CH$114,'III. Finanzberichte'!$CO$114,'III. Finanzberichte'!$CV$114,'III. Finanzberichte'!$DC$114,'III. Finanzberichte'!$DJ$114,'III. Finanzberichte'!$DQ$114),"")</f>
      </c>
      <c r="M188" s="116" t="str">
        <f>=IFERROR(CHOOSE(E81,'III. Finanzberichte'!$C$114,'III. Finanzberichte'!$J$114,'III. Finanzberichte'!$Q$114,'III. Finanzberichte'!$X$114,'III. Finanzberichte'!$AE$114,'III. Finanzberichte'!$AL$114,'III. Finanzberichte'!$AS$114,'III. Finanzberichte'!$AZ$114,'III. Finanzberichte'!$BG$114,'III. Finanzberichte'!$BN$114,'III. Finanzberichte'!$BU$114,'III. Finanzberichte'!$CB$114,'III. Finanzberichte'!$CI$114,'III. Finanzberichte'!$CP$114,'III. Finanzberichte'!$CW$114,'III. Finanzberichte'!$DD$114,'III. Finanzberichte'!$DK$114,'III. Finanzberichte'!$DR$114),"")</f>
      </c>
      <c r="N188" s="117" t="str">
        <f>=IFERROR(CHOOSE(E81,'III. Finanzberichte'!$D$114,'III. Finanzberichte'!$K$114,'III. Finanzberichte'!$R$114,'III. Finanzberichte'!$Y$114,'III. Finanzberichte'!$AF$114,'III. Finanzberichte'!$AM$114,'III. Finanzberichte'!$AT$114,'III. Finanzberichte'!$BA$114,'III. Finanzberichte'!$BH$114,'III. Finanzberichte'!$BO$114,'III. Finanzberichte'!$BV$114,'III. Finanzberichte'!$CC$114,'III. Finanzberichte'!$CJ$114,'III. Finanzberichte'!$CQ$114,'III. Finanzberichte'!$CX$114,'III. Finanzberichte'!$DE$114,'III. Finanzberichte'!$DL$114,'III. Finanzberichte'!$DS$114),"")</f>
      </c>
      <c r="O188" s="116" t="str">
        <f>=IFERROR(CHOOSE(E81,'III. Finanzberichte'!$E$114,'III. Finanzberichte'!$L$114,'III. Finanzberichte'!$S$114,'III. Finanzberichte'!$Z$114,'III. Finanzberichte'!$AG$114,'III. Finanzberichte'!$AN$114,'III. Finanzberichte'!$AU$114,'III. Finanzberichte'!$BB$114,'III. Finanzberichte'!$BI$114,'III. Finanzberichte'!$BP$114,'III. Finanzberichte'!$BW$114,'III. Finanzberichte'!$CD$114,'III. Finanzberichte'!$CK$114,'III. Finanzberichte'!$CR$114,'III. Finanzberichte'!$CY$114,'III. Finanzberichte'!$DF$114,'III. Finanzberichte'!$DM$114,'III. Finanzberichte'!$DT$114),"")</f>
      </c>
      <c r="P188" s="144" t="str">
        <f>=IFERROR(CHOOSE(E81,'III. Finanzberichte'!$F$114,'III. Finanzberichte'!$M$114,'III. Finanzberichte'!$T$114,'III. Finanzberichte'!$AA$114,'III. Finanzberichte'!$AH$114,'III. Finanzberichte'!$AO$114,'III. Finanzberichte'!$AV$114,'III. Finanzberichte'!$BC$114,'III. Finanzberichte'!$BJ$114,'III. Finanzberichte'!$BQ$114,'III. Finanzberichte'!$BX$114,'III. Finanzberichte'!$CE$114,'III. Finanzberichte'!$CL$114,'III. Finanzberichte'!$CS$114,'III. Finanzberichte'!$CZ$114,'III. Finanzberichte'!$DG$114,'III. Finanzberichte'!$DN$114,'III. Finanzberichte'!$DU$114),"")</f>
      </c>
    </row>
    <row r="189">
      <c r="L189" s="143" t="str">
        <f>=IFERROR(CHOOSE(E81,'III. Finanzberichte'!$B$115,'III. Finanzberichte'!$I$115,'III. Finanzberichte'!$P$115,'III. Finanzberichte'!$W$115,'III. Finanzberichte'!$AD$115,'III. Finanzberichte'!$AK$115,'III. Finanzberichte'!$AR$115,'III. Finanzberichte'!$AY$115,'III. Finanzberichte'!$BF$115,'III. Finanzberichte'!$BM$115,'III. Finanzberichte'!$BT$115,'III. Finanzberichte'!$CA$115,'III. Finanzberichte'!$CH$115,'III. Finanzberichte'!$CO$115,'III. Finanzberichte'!$CV$115,'III. Finanzberichte'!$DC$115,'III. Finanzberichte'!$DJ$115,'III. Finanzberichte'!$DQ$115),"")</f>
      </c>
      <c r="M189" s="116" t="str">
        <f>=IFERROR(CHOOSE(E81,'III. Finanzberichte'!$C$115,'III. Finanzberichte'!$J$115,'III. Finanzberichte'!$Q$115,'III. Finanzberichte'!$X$115,'III. Finanzberichte'!$AE$115,'III. Finanzberichte'!$AL$115,'III. Finanzberichte'!$AS$115,'III. Finanzberichte'!$AZ$115,'III. Finanzberichte'!$BG$115,'III. Finanzberichte'!$BN$115,'III. Finanzberichte'!$BU$115,'III. Finanzberichte'!$CB$115,'III. Finanzberichte'!$CI$115,'III. Finanzberichte'!$CP$115,'III. Finanzberichte'!$CW$115,'III. Finanzberichte'!$DD$115,'III. Finanzberichte'!$DK$115,'III. Finanzberichte'!$DR$115),"")</f>
      </c>
      <c r="N189" s="117" t="str">
        <f>=IFERROR(CHOOSE(E81,'III. Finanzberichte'!$D$115,'III. Finanzberichte'!$K$115,'III. Finanzberichte'!$R$115,'III. Finanzberichte'!$Y$115,'III. Finanzberichte'!$AF$115,'III. Finanzberichte'!$AM$115,'III. Finanzberichte'!$AT$115,'III. Finanzberichte'!$BA$115,'III. Finanzberichte'!$BH$115,'III. Finanzberichte'!$BO$115,'III. Finanzberichte'!$BV$115,'III. Finanzberichte'!$CC$115,'III. Finanzberichte'!$CJ$115,'III. Finanzberichte'!$CQ$115,'III. Finanzberichte'!$CX$115,'III. Finanzberichte'!$DE$115,'III. Finanzberichte'!$DL$115,'III. Finanzberichte'!$DS$115),"")</f>
      </c>
      <c r="O189" s="116" t="str">
        <f>=IFERROR(CHOOSE(E81,'III. Finanzberichte'!$E$115,'III. Finanzberichte'!$L$115,'III. Finanzberichte'!$S$115,'III. Finanzberichte'!$Z$115,'III. Finanzberichte'!$AG$115,'III. Finanzberichte'!$AN$115,'III. Finanzberichte'!$AU$115,'III. Finanzberichte'!$BB$115,'III. Finanzberichte'!$BI$115,'III. Finanzberichte'!$BP$115,'III. Finanzberichte'!$BW$115,'III. Finanzberichte'!$CD$115,'III. Finanzberichte'!$CK$115,'III. Finanzberichte'!$CR$115,'III. Finanzberichte'!$CY$115,'III. Finanzberichte'!$DF$115,'III. Finanzberichte'!$DM$115,'III. Finanzberichte'!$DT$115),"")</f>
      </c>
      <c r="P189" s="144" t="str">
        <f>=IFERROR(CHOOSE(E81,'III. Finanzberichte'!$F$115,'III. Finanzberichte'!$M$115,'III. Finanzberichte'!$T$115,'III. Finanzberichte'!$AA$115,'III. Finanzberichte'!$AH$115,'III. Finanzberichte'!$AO$115,'III. Finanzberichte'!$AV$115,'III. Finanzberichte'!$BC$115,'III. Finanzberichte'!$BJ$115,'III. Finanzberichte'!$BQ$115,'III. Finanzberichte'!$BX$115,'III. Finanzberichte'!$CE$115,'III. Finanzberichte'!$CL$115,'III. Finanzberichte'!$CS$115,'III. Finanzberichte'!$CZ$115,'III. Finanzberichte'!$DG$115,'III. Finanzberichte'!$DN$115,'III. Finanzberichte'!$DU$115),"")</f>
      </c>
    </row>
    <row r="190">
      <c r="L190" s="143" t="str">
        <f>=IFERROR(CHOOSE(E81,'III. Finanzberichte'!$B$116,'III. Finanzberichte'!$I$116,'III. Finanzberichte'!$P$116,'III. Finanzberichte'!$W$116,'III. Finanzberichte'!$AD$116,'III. Finanzberichte'!$AK$116,'III. Finanzberichte'!$AR$116,'III. Finanzberichte'!$AY$116,'III. Finanzberichte'!$BF$116,'III. Finanzberichte'!$BM$116,'III. Finanzberichte'!$BT$116,'III. Finanzberichte'!$CA$116,'III. Finanzberichte'!$CH$116,'III. Finanzberichte'!$CO$116,'III. Finanzberichte'!$CV$116,'III. Finanzberichte'!$DC$116,'III. Finanzberichte'!$DJ$116,'III. Finanzberichte'!$DQ$116),"")</f>
      </c>
      <c r="M190" s="116" t="str">
        <f>=IFERROR(CHOOSE(E81,'III. Finanzberichte'!$C$116,'III. Finanzberichte'!$J$116,'III. Finanzberichte'!$Q$116,'III. Finanzberichte'!$X$116,'III. Finanzberichte'!$AE$116,'III. Finanzberichte'!$AL$116,'III. Finanzberichte'!$AS$116,'III. Finanzberichte'!$AZ$116,'III. Finanzberichte'!$BG$116,'III. Finanzberichte'!$BN$116,'III. Finanzberichte'!$BU$116,'III. Finanzberichte'!$CB$116,'III. Finanzberichte'!$CI$116,'III. Finanzberichte'!$CP$116,'III. Finanzberichte'!$CW$116,'III. Finanzberichte'!$DD$116,'III. Finanzberichte'!$DK$116,'III. Finanzberichte'!$DR$116),"")</f>
      </c>
      <c r="N190" s="117" t="str">
        <f>=IFERROR(CHOOSE(E81,'III. Finanzberichte'!$D$116,'III. Finanzberichte'!$K$116,'III. Finanzberichte'!$R$116,'III. Finanzberichte'!$Y$116,'III. Finanzberichte'!$AF$116,'III. Finanzberichte'!$AM$116,'III. Finanzberichte'!$AT$116,'III. Finanzberichte'!$BA$116,'III. Finanzberichte'!$BH$116,'III. Finanzberichte'!$BO$116,'III. Finanzberichte'!$BV$116,'III. Finanzberichte'!$CC$116,'III. Finanzberichte'!$CJ$116,'III. Finanzberichte'!$CQ$116,'III. Finanzberichte'!$CX$116,'III. Finanzberichte'!$DE$116,'III. Finanzberichte'!$DL$116,'III. Finanzberichte'!$DS$116),"")</f>
      </c>
      <c r="O190" s="116" t="str">
        <f>=IFERROR(CHOOSE(E81,'III. Finanzberichte'!$E$116,'III. Finanzberichte'!$L$116,'III. Finanzberichte'!$S$116,'III. Finanzberichte'!$Z$116,'III. Finanzberichte'!$AG$116,'III. Finanzberichte'!$AN$116,'III. Finanzberichte'!$AU$116,'III. Finanzberichte'!$BB$116,'III. Finanzberichte'!$BI$116,'III. Finanzberichte'!$BP$116,'III. Finanzberichte'!$BW$116,'III. Finanzberichte'!$CD$116,'III. Finanzberichte'!$CK$116,'III. Finanzberichte'!$CR$116,'III. Finanzberichte'!$CY$116,'III. Finanzberichte'!$DF$116,'III. Finanzberichte'!$DM$116,'III. Finanzberichte'!$DT$116),"")</f>
      </c>
      <c r="P190" s="144" t="str">
        <f>=IFERROR(CHOOSE(E81,'III. Finanzberichte'!$F$116,'III. Finanzberichte'!$M$116,'III. Finanzberichte'!$T$116,'III. Finanzberichte'!$AA$116,'III. Finanzberichte'!$AH$116,'III. Finanzberichte'!$AO$116,'III. Finanzberichte'!$AV$116,'III. Finanzberichte'!$BC$116,'III. Finanzberichte'!$BJ$116,'III. Finanzberichte'!$BQ$116,'III. Finanzberichte'!$BX$116,'III. Finanzberichte'!$CE$116,'III. Finanzberichte'!$CL$116,'III. Finanzberichte'!$CS$116,'III. Finanzberichte'!$CZ$116,'III. Finanzberichte'!$DG$116,'III. Finanzberichte'!$DN$116,'III. Finanzberichte'!$DU$116),"")</f>
      </c>
    </row>
    <row r="191">
      <c r="L191" s="143" t="str">
        <f>=IFERROR(CHOOSE(E81,'III. Finanzberichte'!$B$117,'III. Finanzberichte'!$I$117,'III. Finanzberichte'!$P$117,'III. Finanzberichte'!$W$117,'III. Finanzberichte'!$AD$117,'III. Finanzberichte'!$AK$117,'III. Finanzberichte'!$AR$117,'III. Finanzberichte'!$AY$117,'III. Finanzberichte'!$BF$117,'III. Finanzberichte'!$BM$117,'III. Finanzberichte'!$BT$117,'III. Finanzberichte'!$CA$117,'III. Finanzberichte'!$CH$117,'III. Finanzberichte'!$CO$117,'III. Finanzberichte'!$CV$117,'III. Finanzberichte'!$DC$117,'III. Finanzberichte'!$DJ$117,'III. Finanzberichte'!$DQ$117),"")</f>
      </c>
      <c r="M191" s="116" t="str">
        <f>=IFERROR(CHOOSE(E81,'III. Finanzberichte'!$C$117,'III. Finanzberichte'!$J$117,'III. Finanzberichte'!$Q$117,'III. Finanzberichte'!$X$117,'III. Finanzberichte'!$AE$117,'III. Finanzberichte'!$AL$117,'III. Finanzberichte'!$AS$117,'III. Finanzberichte'!$AZ$117,'III. Finanzberichte'!$BG$117,'III. Finanzberichte'!$BN$117,'III. Finanzberichte'!$BU$117,'III. Finanzberichte'!$CB$117,'III. Finanzberichte'!$CI$117,'III. Finanzberichte'!$CP$117,'III. Finanzberichte'!$CW$117,'III. Finanzberichte'!$DD$117,'III. Finanzberichte'!$DK$117,'III. Finanzberichte'!$DR$117),"")</f>
      </c>
      <c r="N191" s="117" t="str">
        <f>=IFERROR(CHOOSE(E81,'III. Finanzberichte'!$D$117,'III. Finanzberichte'!$K$117,'III. Finanzberichte'!$R$117,'III. Finanzberichte'!$Y$117,'III. Finanzberichte'!$AF$117,'III. Finanzberichte'!$AM$117,'III. Finanzberichte'!$AT$117,'III. Finanzberichte'!$BA$117,'III. Finanzberichte'!$BH$117,'III. Finanzberichte'!$BO$117,'III. Finanzberichte'!$BV$117,'III. Finanzberichte'!$CC$117,'III. Finanzberichte'!$CJ$117,'III. Finanzberichte'!$CQ$117,'III. Finanzberichte'!$CX$117,'III. Finanzberichte'!$DE$117,'III. Finanzberichte'!$DL$117,'III. Finanzberichte'!$DS$117),"")</f>
      </c>
      <c r="O191" s="116" t="str">
        <f>=IFERROR(CHOOSE(E81,'III. Finanzberichte'!$E$117,'III. Finanzberichte'!$L$117,'III. Finanzberichte'!$S$117,'III. Finanzberichte'!$Z$117,'III. Finanzberichte'!$AG$117,'III. Finanzberichte'!$AN$117,'III. Finanzberichte'!$AU$117,'III. Finanzberichte'!$BB$117,'III. Finanzberichte'!$BI$117,'III. Finanzberichte'!$BP$117,'III. Finanzberichte'!$BW$117,'III. Finanzberichte'!$CD$117,'III. Finanzberichte'!$CK$117,'III. Finanzberichte'!$CR$117,'III. Finanzberichte'!$CY$117,'III. Finanzberichte'!$DF$117,'III. Finanzberichte'!$DM$117,'III. Finanzberichte'!$DT$117),"")</f>
      </c>
      <c r="P191" s="144" t="str">
        <f>=IFERROR(CHOOSE(E81,'III. Finanzberichte'!$F$117,'III. Finanzberichte'!$M$117,'III. Finanzberichte'!$T$117,'III. Finanzberichte'!$AA$117,'III. Finanzberichte'!$AH$117,'III. Finanzberichte'!$AO$117,'III. Finanzberichte'!$AV$117,'III. Finanzberichte'!$BC$117,'III. Finanzberichte'!$BJ$117,'III. Finanzberichte'!$BQ$117,'III. Finanzberichte'!$BX$117,'III. Finanzberichte'!$CE$117,'III. Finanzberichte'!$CL$117,'III. Finanzberichte'!$CS$117,'III. Finanzberichte'!$CZ$117,'III. Finanzberichte'!$DG$117,'III. Finanzberichte'!$DN$117,'III. Finanzberichte'!$DU$117),"")</f>
      </c>
    </row>
    <row r="192">
      <c r="L192" s="143" t="str">
        <f>=IFERROR(CHOOSE(E81,'III. Finanzberichte'!$B$118,'III. Finanzberichte'!$I$118,'III. Finanzberichte'!$P$118,'III. Finanzberichte'!$W$118,'III. Finanzberichte'!$AD$118,'III. Finanzberichte'!$AK$118,'III. Finanzberichte'!$AR$118,'III. Finanzberichte'!$AY$118,'III. Finanzberichte'!$BF$118,'III. Finanzberichte'!$BM$118,'III. Finanzberichte'!$BT$118,'III. Finanzberichte'!$CA$118,'III. Finanzberichte'!$CH$118,'III. Finanzberichte'!$CO$118,'III. Finanzberichte'!$CV$118,'III. Finanzberichte'!$DC$118,'III. Finanzberichte'!$DJ$118,'III. Finanzberichte'!$DQ$118),"")</f>
      </c>
      <c r="M192" s="116" t="str">
        <f>=IFERROR(CHOOSE(E81,'III. Finanzberichte'!$C$118,'III. Finanzberichte'!$J$118,'III. Finanzberichte'!$Q$118,'III. Finanzberichte'!$X$118,'III. Finanzberichte'!$AE$118,'III. Finanzberichte'!$AL$118,'III. Finanzberichte'!$AS$118,'III. Finanzberichte'!$AZ$118,'III. Finanzberichte'!$BG$118,'III. Finanzberichte'!$BN$118,'III. Finanzberichte'!$BU$118,'III. Finanzberichte'!$CB$118,'III. Finanzberichte'!$CI$118,'III. Finanzberichte'!$CP$118,'III. Finanzberichte'!$CW$118,'III. Finanzberichte'!$DD$118,'III. Finanzberichte'!$DK$118,'III. Finanzberichte'!$DR$118),"")</f>
      </c>
      <c r="N192" s="117" t="str">
        <f>=IFERROR(CHOOSE(E81,'III. Finanzberichte'!$D$118,'III. Finanzberichte'!$K$118,'III. Finanzberichte'!$R$118,'III. Finanzberichte'!$Y$118,'III. Finanzberichte'!$AF$118,'III. Finanzberichte'!$AM$118,'III. Finanzberichte'!$AT$118,'III. Finanzberichte'!$BA$118,'III. Finanzberichte'!$BH$118,'III. Finanzberichte'!$BO$118,'III. Finanzberichte'!$BV$118,'III. Finanzberichte'!$CC$118,'III. Finanzberichte'!$CJ$118,'III. Finanzberichte'!$CQ$118,'III. Finanzberichte'!$CX$118,'III. Finanzberichte'!$DE$118,'III. Finanzberichte'!$DL$118,'III. Finanzberichte'!$DS$118),"")</f>
      </c>
      <c r="O192" s="116" t="str">
        <f>=IFERROR(CHOOSE(E81,'III. Finanzberichte'!$E$118,'III. Finanzberichte'!$L$118,'III. Finanzberichte'!$S$118,'III. Finanzberichte'!$Z$118,'III. Finanzberichte'!$AG$118,'III. Finanzberichte'!$AN$118,'III. Finanzberichte'!$AU$118,'III. Finanzberichte'!$BB$118,'III. Finanzberichte'!$BI$118,'III. Finanzberichte'!$BP$118,'III. Finanzberichte'!$BW$118,'III. Finanzberichte'!$CD$118,'III. Finanzberichte'!$CK$118,'III. Finanzberichte'!$CR$118,'III. Finanzberichte'!$CY$118,'III. Finanzberichte'!$DF$118,'III. Finanzberichte'!$DM$118,'III. Finanzberichte'!$DT$118),"")</f>
      </c>
      <c r="P192" s="144" t="str">
        <f>=IFERROR(CHOOSE(E81,'III. Finanzberichte'!$F$118,'III. Finanzberichte'!$M$118,'III. Finanzberichte'!$T$118,'III. Finanzberichte'!$AA$118,'III. Finanzberichte'!$AH$118,'III. Finanzberichte'!$AO$118,'III. Finanzberichte'!$AV$118,'III. Finanzberichte'!$BC$118,'III. Finanzberichte'!$BJ$118,'III. Finanzberichte'!$BQ$118,'III. Finanzberichte'!$BX$118,'III. Finanzberichte'!$CE$118,'III. Finanzberichte'!$CL$118,'III. Finanzberichte'!$CS$118,'III. Finanzberichte'!$CZ$118,'III. Finanzberichte'!$DG$118,'III. Finanzberichte'!$DN$118,'III. Finanzberichte'!$DU$118),"")</f>
      </c>
    </row>
    <row r="193">
      <c r="L193" s="143" t="str">
        <f>=IFERROR(CHOOSE(E81,'III. Finanzberichte'!$B$119,'III. Finanzberichte'!$I$119,'III. Finanzberichte'!$P$119,'III. Finanzberichte'!$W$119,'III. Finanzberichte'!$AD$119,'III. Finanzberichte'!$AK$119,'III. Finanzberichte'!$AR$119,'III. Finanzberichte'!$AY$119,'III. Finanzberichte'!$BF$119,'III. Finanzberichte'!$BM$119,'III. Finanzberichte'!$BT$119,'III. Finanzberichte'!$CA$119,'III. Finanzberichte'!$CH$119,'III. Finanzberichte'!$CO$119,'III. Finanzberichte'!$CV$119,'III. Finanzberichte'!$DC$119,'III. Finanzberichte'!$DJ$119,'III. Finanzberichte'!$DQ$119),"")</f>
      </c>
      <c r="M193" s="116" t="str">
        <f>=IFERROR(CHOOSE(E81,'III. Finanzberichte'!$C$119,'III. Finanzberichte'!$J$119,'III. Finanzberichte'!$Q$119,'III. Finanzberichte'!$X$119,'III. Finanzberichte'!$AE$119,'III. Finanzberichte'!$AL$119,'III. Finanzberichte'!$AS$119,'III. Finanzberichte'!$AZ$119,'III. Finanzberichte'!$BG$119,'III. Finanzberichte'!$BN$119,'III. Finanzberichte'!$BU$119,'III. Finanzberichte'!$CB$119,'III. Finanzberichte'!$CI$119,'III. Finanzberichte'!$CP$119,'III. Finanzberichte'!$CW$119,'III. Finanzberichte'!$DD$119,'III. Finanzberichte'!$DK$119,'III. Finanzberichte'!$DR$119),"")</f>
      </c>
      <c r="N193" s="117" t="str">
        <f>=IFERROR(CHOOSE(E81,'III. Finanzberichte'!$D$119,'III. Finanzberichte'!$K$119,'III. Finanzberichte'!$R$119,'III. Finanzberichte'!$Y$119,'III. Finanzberichte'!$AF$119,'III. Finanzberichte'!$AM$119,'III. Finanzberichte'!$AT$119,'III. Finanzberichte'!$BA$119,'III. Finanzberichte'!$BH$119,'III. Finanzberichte'!$BO$119,'III. Finanzberichte'!$BV$119,'III. Finanzberichte'!$CC$119,'III. Finanzberichte'!$CJ$119,'III. Finanzberichte'!$CQ$119,'III. Finanzberichte'!$CX$119,'III. Finanzberichte'!$DE$119,'III. Finanzberichte'!$DL$119,'III. Finanzberichte'!$DS$119),"")</f>
      </c>
      <c r="O193" s="116" t="str">
        <f>=IFERROR(CHOOSE(E81,'III. Finanzberichte'!$E$119,'III. Finanzberichte'!$L$119,'III. Finanzberichte'!$S$119,'III. Finanzberichte'!$Z$119,'III. Finanzberichte'!$AG$119,'III. Finanzberichte'!$AN$119,'III. Finanzberichte'!$AU$119,'III. Finanzberichte'!$BB$119,'III. Finanzberichte'!$BI$119,'III. Finanzberichte'!$BP$119,'III. Finanzberichte'!$BW$119,'III. Finanzberichte'!$CD$119,'III. Finanzberichte'!$CK$119,'III. Finanzberichte'!$CR$119,'III. Finanzberichte'!$CY$119,'III. Finanzberichte'!$DF$119,'III. Finanzberichte'!$DM$119,'III. Finanzberichte'!$DT$119),"")</f>
      </c>
      <c r="P193" s="144" t="str">
        <f>=IFERROR(CHOOSE(E81,'III. Finanzberichte'!$F$119,'III. Finanzberichte'!$M$119,'III. Finanzberichte'!$T$119,'III. Finanzberichte'!$AA$119,'III. Finanzberichte'!$AH$119,'III. Finanzberichte'!$AO$119,'III. Finanzberichte'!$AV$119,'III. Finanzberichte'!$BC$119,'III. Finanzberichte'!$BJ$119,'III. Finanzberichte'!$BQ$119,'III. Finanzberichte'!$BX$119,'III. Finanzberichte'!$CE$119,'III. Finanzberichte'!$CL$119,'III. Finanzberichte'!$CS$119,'III. Finanzberichte'!$CZ$119,'III. Finanzberichte'!$DG$119,'III. Finanzberichte'!$DN$119,'III. Finanzberichte'!$DU$119),"")</f>
      </c>
    </row>
    <row r="194">
      <c r="L194" s="143" t="str">
        <f>=IFERROR(CHOOSE(E81,'III. Finanzberichte'!$B$120,'III. Finanzberichte'!$I$120,'III. Finanzberichte'!$P$120,'III. Finanzberichte'!$W$120,'III. Finanzberichte'!$AD$120,'III. Finanzberichte'!$AK$120,'III. Finanzberichte'!$AR$120,'III. Finanzberichte'!$AY$120,'III. Finanzberichte'!$BF$120,'III. Finanzberichte'!$BM$120,'III. Finanzberichte'!$BT$120,'III. Finanzberichte'!$CA$120,'III. Finanzberichte'!$CH$120,'III. Finanzberichte'!$CO$120,'III. Finanzberichte'!$CV$120,'III. Finanzberichte'!$DC$120,'III. Finanzberichte'!$DJ$120,'III. Finanzberichte'!$DQ$120),"")</f>
      </c>
      <c r="M194" s="116" t="str">
        <f>=IFERROR(CHOOSE(E81,'III. Finanzberichte'!$C$120,'III. Finanzberichte'!$J$120,'III. Finanzberichte'!$Q$120,'III. Finanzberichte'!$X$120,'III. Finanzberichte'!$AE$120,'III. Finanzberichte'!$AL$120,'III. Finanzberichte'!$AS$120,'III. Finanzberichte'!$AZ$120,'III. Finanzberichte'!$BG$120,'III. Finanzberichte'!$BN$120,'III. Finanzberichte'!$BU$120,'III. Finanzberichte'!$CB$120,'III. Finanzberichte'!$CI$120,'III. Finanzberichte'!$CP$120,'III. Finanzberichte'!$CW$120,'III. Finanzberichte'!$DD$120,'III. Finanzberichte'!$DK$120,'III. Finanzberichte'!$DR$120),"")</f>
      </c>
      <c r="N194" s="117" t="str">
        <f>=IFERROR(CHOOSE(E81,'III. Finanzberichte'!$D$120,'III. Finanzberichte'!$K$120,'III. Finanzberichte'!$R$120,'III. Finanzberichte'!$Y$120,'III. Finanzberichte'!$AF$120,'III. Finanzberichte'!$AM$120,'III. Finanzberichte'!$AT$120,'III. Finanzberichte'!$BA$120,'III. Finanzberichte'!$BH$120,'III. Finanzberichte'!$BO$120,'III. Finanzberichte'!$BV$120,'III. Finanzberichte'!$CC$120,'III. Finanzberichte'!$CJ$120,'III. Finanzberichte'!$CQ$120,'III. Finanzberichte'!$CX$120,'III. Finanzberichte'!$DE$120,'III. Finanzberichte'!$DL$120,'III. Finanzberichte'!$DS$120),"")</f>
      </c>
      <c r="O194" s="116" t="str">
        <f>=IFERROR(CHOOSE(E81,'III. Finanzberichte'!$E$120,'III. Finanzberichte'!$L$120,'III. Finanzberichte'!$S$120,'III. Finanzberichte'!$Z$120,'III. Finanzberichte'!$AG$120,'III. Finanzberichte'!$AN$120,'III. Finanzberichte'!$AU$120,'III. Finanzberichte'!$BB$120,'III. Finanzberichte'!$BI$120,'III. Finanzberichte'!$BP$120,'III. Finanzberichte'!$BW$120,'III. Finanzberichte'!$CD$120,'III. Finanzberichte'!$CK$120,'III. Finanzberichte'!$CR$120,'III. Finanzberichte'!$CY$120,'III. Finanzberichte'!$DF$120,'III. Finanzberichte'!$DM$120,'III. Finanzberichte'!$DT$120),"")</f>
      </c>
      <c r="P194" s="144" t="str">
        <f>=IFERROR(CHOOSE(E81,'III. Finanzberichte'!$F$120,'III. Finanzberichte'!$M$120,'III. Finanzberichte'!$T$120,'III. Finanzberichte'!$AA$120,'III. Finanzberichte'!$AH$120,'III. Finanzberichte'!$AO$120,'III. Finanzberichte'!$AV$120,'III. Finanzberichte'!$BC$120,'III. Finanzberichte'!$BJ$120,'III. Finanzberichte'!$BQ$120,'III. Finanzberichte'!$BX$120,'III. Finanzberichte'!$CE$120,'III. Finanzberichte'!$CL$120,'III. Finanzberichte'!$CS$120,'III. Finanzberichte'!$CZ$120,'III. Finanzberichte'!$DG$120,'III. Finanzberichte'!$DN$120,'III. Finanzberichte'!$DU$120),"")</f>
      </c>
    </row>
    <row r="195">
      <c r="L195" s="143" t="str">
        <f>=IFERROR(CHOOSE(E81,'III. Finanzberichte'!$B$121,'III. Finanzberichte'!$I$121,'III. Finanzberichte'!$P$121,'III. Finanzberichte'!$W$121,'III. Finanzberichte'!$AD$121,'III. Finanzberichte'!$AK$121,'III. Finanzberichte'!$AR$121,'III. Finanzberichte'!$AY$121,'III. Finanzberichte'!$BF$121,'III. Finanzberichte'!$BM$121,'III. Finanzberichte'!$BT$121,'III. Finanzberichte'!$CA$121,'III. Finanzberichte'!$CH$121,'III. Finanzberichte'!$CO$121,'III. Finanzberichte'!$CV$121,'III. Finanzberichte'!$DC$121,'III. Finanzberichte'!$DJ$121,'III. Finanzberichte'!$DQ$121),"")</f>
      </c>
      <c r="M195" s="116" t="str">
        <f>=IFERROR(CHOOSE(E81,'III. Finanzberichte'!$C$121,'III. Finanzberichte'!$J$121,'III. Finanzberichte'!$Q$121,'III. Finanzberichte'!$X$121,'III. Finanzberichte'!$AE$121,'III. Finanzberichte'!$AL$121,'III. Finanzberichte'!$AS$121,'III. Finanzberichte'!$AZ$121,'III. Finanzberichte'!$BG$121,'III. Finanzberichte'!$BN$121,'III. Finanzberichte'!$BU$121,'III. Finanzberichte'!$CB$121,'III. Finanzberichte'!$CI$121,'III. Finanzberichte'!$CP$121,'III. Finanzberichte'!$CW$121,'III. Finanzberichte'!$DD$121,'III. Finanzberichte'!$DK$121,'III. Finanzberichte'!$DR$121),"")</f>
      </c>
      <c r="N195" s="117" t="str">
        <f>=IFERROR(CHOOSE(E81,'III. Finanzberichte'!$D$121,'III. Finanzberichte'!$K$121,'III. Finanzberichte'!$R$121,'III. Finanzberichte'!$Y$121,'III. Finanzberichte'!$AF$121,'III. Finanzberichte'!$AM$121,'III. Finanzberichte'!$AT$121,'III. Finanzberichte'!$BA$121,'III. Finanzberichte'!$BH$121,'III. Finanzberichte'!$BO$121,'III. Finanzberichte'!$BV$121,'III. Finanzberichte'!$CC$121,'III. Finanzberichte'!$CJ$121,'III. Finanzberichte'!$CQ$121,'III. Finanzberichte'!$CX$121,'III. Finanzberichte'!$DE$121,'III. Finanzberichte'!$DL$121,'III. Finanzberichte'!$DS$121),"")</f>
      </c>
      <c r="O195" s="116" t="str">
        <f>=IFERROR(CHOOSE(E81,'III. Finanzberichte'!$E$121,'III. Finanzberichte'!$L$121,'III. Finanzberichte'!$S$121,'III. Finanzberichte'!$Z$121,'III. Finanzberichte'!$AG$121,'III. Finanzberichte'!$AN$121,'III. Finanzberichte'!$AU$121,'III. Finanzberichte'!$BB$121,'III. Finanzberichte'!$BI$121,'III. Finanzberichte'!$BP$121,'III. Finanzberichte'!$BW$121,'III. Finanzberichte'!$CD$121,'III. Finanzberichte'!$CK$121,'III. Finanzberichte'!$CR$121,'III. Finanzberichte'!$CY$121,'III. Finanzberichte'!$DF$121,'III. Finanzberichte'!$DM$121,'III. Finanzberichte'!$DT$121),"")</f>
      </c>
      <c r="P195" s="144" t="str">
        <f>=IFERROR(CHOOSE(E81,'III. Finanzberichte'!$F$121,'III. Finanzberichte'!$M$121,'III. Finanzberichte'!$T$121,'III. Finanzberichte'!$AA$121,'III. Finanzberichte'!$AH$121,'III. Finanzberichte'!$AO$121,'III. Finanzberichte'!$AV$121,'III. Finanzberichte'!$BC$121,'III. Finanzberichte'!$BJ$121,'III. Finanzberichte'!$BQ$121,'III. Finanzberichte'!$BX$121,'III. Finanzberichte'!$CE$121,'III. Finanzberichte'!$CL$121,'III. Finanzberichte'!$CS$121,'III. Finanzberichte'!$CZ$121,'III. Finanzberichte'!$DG$121,'III. Finanzberichte'!$DN$121,'III. Finanzberichte'!$DU$121),"")</f>
      </c>
    </row>
    <row r="196">
      <c r="L196" s="143" t="str">
        <f>=IFERROR(CHOOSE(E81,'III. Finanzberichte'!$B$122,'III. Finanzberichte'!$I$122,'III. Finanzberichte'!$P$122,'III. Finanzberichte'!$W$122,'III. Finanzberichte'!$AD$122,'III. Finanzberichte'!$AK$122,'III. Finanzberichte'!$AR$122,'III. Finanzberichte'!$AY$122,'III. Finanzberichte'!$BF$122,'III. Finanzberichte'!$BM$122,'III. Finanzberichte'!$BT$122,'III. Finanzberichte'!$CA$122,'III. Finanzberichte'!$CH$122,'III. Finanzberichte'!$CO$122,'III. Finanzberichte'!$CV$122,'III. Finanzberichte'!$DC$122,'III. Finanzberichte'!$DJ$122,'III. Finanzberichte'!$DQ$122),"")</f>
      </c>
      <c r="M196" s="116" t="str">
        <f>=IFERROR(CHOOSE(E81,'III. Finanzberichte'!$C$122,'III. Finanzberichte'!$J$122,'III. Finanzberichte'!$Q$122,'III. Finanzberichte'!$X$122,'III. Finanzberichte'!$AE$122,'III. Finanzberichte'!$AL$122,'III. Finanzberichte'!$AS$122,'III. Finanzberichte'!$AZ$122,'III. Finanzberichte'!$BG$122,'III. Finanzberichte'!$BN$122,'III. Finanzberichte'!$BU$122,'III. Finanzberichte'!$CB$122,'III. Finanzberichte'!$CI$122,'III. Finanzberichte'!$CP$122,'III. Finanzberichte'!$CW$122,'III. Finanzberichte'!$DD$122,'III. Finanzberichte'!$DK$122,'III. Finanzberichte'!$DR$122),"")</f>
      </c>
      <c r="N196" s="117" t="str">
        <f>=IFERROR(CHOOSE(E81,'III. Finanzberichte'!$D$122,'III. Finanzberichte'!$K$122,'III. Finanzberichte'!$R$122,'III. Finanzberichte'!$Y$122,'III. Finanzberichte'!$AF$122,'III. Finanzberichte'!$AM$122,'III. Finanzberichte'!$AT$122,'III. Finanzberichte'!$BA$122,'III. Finanzberichte'!$BH$122,'III. Finanzberichte'!$BO$122,'III. Finanzberichte'!$BV$122,'III. Finanzberichte'!$CC$122,'III. Finanzberichte'!$CJ$122,'III. Finanzberichte'!$CQ$122,'III. Finanzberichte'!$CX$122,'III. Finanzberichte'!$DE$122,'III. Finanzberichte'!$DL$122,'III. Finanzberichte'!$DS$122),"")</f>
      </c>
      <c r="O196" s="116" t="str">
        <f>=IFERROR(CHOOSE(E81,'III. Finanzberichte'!$E$122,'III. Finanzberichte'!$L$122,'III. Finanzberichte'!$S$122,'III. Finanzberichte'!$Z$122,'III. Finanzberichte'!$AG$122,'III. Finanzberichte'!$AN$122,'III. Finanzberichte'!$AU$122,'III. Finanzberichte'!$BB$122,'III. Finanzberichte'!$BI$122,'III. Finanzberichte'!$BP$122,'III. Finanzberichte'!$BW$122,'III. Finanzberichte'!$CD$122,'III. Finanzberichte'!$CK$122,'III. Finanzberichte'!$CR$122,'III. Finanzberichte'!$CY$122,'III. Finanzberichte'!$DF$122,'III. Finanzberichte'!$DM$122,'III. Finanzberichte'!$DT$122),"")</f>
      </c>
      <c r="P196" s="144" t="str">
        <f>=IFERROR(CHOOSE(E81,'III. Finanzberichte'!$F$122,'III. Finanzberichte'!$M$122,'III. Finanzberichte'!$T$122,'III. Finanzberichte'!$AA$122,'III. Finanzberichte'!$AH$122,'III. Finanzberichte'!$AO$122,'III. Finanzberichte'!$AV$122,'III. Finanzberichte'!$BC$122,'III. Finanzberichte'!$BJ$122,'III. Finanzberichte'!$BQ$122,'III. Finanzberichte'!$BX$122,'III. Finanzberichte'!$CE$122,'III. Finanzberichte'!$CL$122,'III. Finanzberichte'!$CS$122,'III. Finanzberichte'!$CZ$122,'III. Finanzberichte'!$DG$122,'III. Finanzberichte'!$DN$122,'III. Finanzberichte'!$DU$122),"")</f>
      </c>
    </row>
    <row r="197">
      <c r="L197" s="143" t="str">
        <f>=IFERROR(CHOOSE(E81,'III. Finanzberichte'!$B$123,'III. Finanzberichte'!$I$123,'III. Finanzberichte'!$P$123,'III. Finanzberichte'!$W$123,'III. Finanzberichte'!$AD$123,'III. Finanzberichte'!$AK$123,'III. Finanzberichte'!$AR$123,'III. Finanzberichte'!$AY$123,'III. Finanzberichte'!$BF$123,'III. Finanzberichte'!$BM$123,'III. Finanzberichte'!$BT$123,'III. Finanzberichte'!$CA$123,'III. Finanzberichte'!$CH$123,'III. Finanzberichte'!$CO$123,'III. Finanzberichte'!$CV$123,'III. Finanzberichte'!$DC$123,'III. Finanzberichte'!$DJ$123,'III. Finanzberichte'!$DQ$123),"")</f>
      </c>
      <c r="M197" s="116" t="str">
        <f>=IFERROR(CHOOSE(E81,'III. Finanzberichte'!$C$123,'III. Finanzberichte'!$J$123,'III. Finanzberichte'!$Q$123,'III. Finanzberichte'!$X$123,'III. Finanzberichte'!$AE$123,'III. Finanzberichte'!$AL$123,'III. Finanzberichte'!$AS$123,'III. Finanzberichte'!$AZ$123,'III. Finanzberichte'!$BG$123,'III. Finanzberichte'!$BN$123,'III. Finanzberichte'!$BU$123,'III. Finanzberichte'!$CB$123,'III. Finanzberichte'!$CI$123,'III. Finanzberichte'!$CP$123,'III. Finanzberichte'!$CW$123,'III. Finanzberichte'!$DD$123,'III. Finanzberichte'!$DK$123,'III. Finanzberichte'!$DR$123),"")</f>
      </c>
      <c r="N197" s="117" t="str">
        <f>=IFERROR(CHOOSE(E81,'III. Finanzberichte'!$D$123,'III. Finanzberichte'!$K$123,'III. Finanzberichte'!$R$123,'III. Finanzberichte'!$Y$123,'III. Finanzberichte'!$AF$123,'III. Finanzberichte'!$AM$123,'III. Finanzberichte'!$AT$123,'III. Finanzberichte'!$BA$123,'III. Finanzberichte'!$BH$123,'III. Finanzberichte'!$BO$123,'III. Finanzberichte'!$BV$123,'III. Finanzberichte'!$CC$123,'III. Finanzberichte'!$CJ$123,'III. Finanzberichte'!$CQ$123,'III. Finanzberichte'!$CX$123,'III. Finanzberichte'!$DE$123,'III. Finanzberichte'!$DL$123,'III. Finanzberichte'!$DS$123),"")</f>
      </c>
      <c r="O197" s="116" t="str">
        <f>=IFERROR(CHOOSE(E81,'III. Finanzberichte'!$E$123,'III. Finanzberichte'!$L$123,'III. Finanzberichte'!$S$123,'III. Finanzberichte'!$Z$123,'III. Finanzberichte'!$AG$123,'III. Finanzberichte'!$AN$123,'III. Finanzberichte'!$AU$123,'III. Finanzberichte'!$BB$123,'III. Finanzberichte'!$BI$123,'III. Finanzberichte'!$BP$123,'III. Finanzberichte'!$BW$123,'III. Finanzberichte'!$CD$123,'III. Finanzberichte'!$CK$123,'III. Finanzberichte'!$CR$123,'III. Finanzberichte'!$CY$123,'III. Finanzberichte'!$DF$123,'III. Finanzberichte'!$DM$123,'III. Finanzberichte'!$DT$123),"")</f>
      </c>
      <c r="P197" s="144" t="str">
        <f>=IFERROR(CHOOSE(E81,'III. Finanzberichte'!$F$123,'III. Finanzberichte'!$M$123,'III. Finanzberichte'!$T$123,'III. Finanzberichte'!$AA$123,'III. Finanzberichte'!$AH$123,'III. Finanzberichte'!$AO$123,'III. Finanzberichte'!$AV$123,'III. Finanzberichte'!$BC$123,'III. Finanzberichte'!$BJ$123,'III. Finanzberichte'!$BQ$123,'III. Finanzberichte'!$BX$123,'III. Finanzberichte'!$CE$123,'III. Finanzberichte'!$CL$123,'III. Finanzberichte'!$CS$123,'III. Finanzberichte'!$CZ$123,'III. Finanzberichte'!$DG$123,'III. Finanzberichte'!$DN$123,'III. Finanzberichte'!$DU$123),"")</f>
      </c>
    </row>
    <row r="198">
      <c r="L198" s="143" t="str">
        <f>=IFERROR(CHOOSE(E81,'III. Finanzberichte'!$B$124,'III. Finanzberichte'!$I$124,'III. Finanzberichte'!$P$124,'III. Finanzberichte'!$W$124,'III. Finanzberichte'!$AD$124,'III. Finanzberichte'!$AK$124,'III. Finanzberichte'!$AR$124,'III. Finanzberichte'!$AY$124,'III. Finanzberichte'!$BF$124,'III. Finanzberichte'!$BM$124,'III. Finanzberichte'!$BT$124,'III. Finanzberichte'!$CA$124,'III. Finanzberichte'!$CH$124,'III. Finanzberichte'!$CO$124,'III. Finanzberichte'!$CV$124,'III. Finanzberichte'!$DC$124,'III. Finanzberichte'!$DJ$124,'III. Finanzberichte'!$DQ$124),"")</f>
      </c>
      <c r="M198" s="116" t="str">
        <f>=IFERROR(CHOOSE(E81,'III. Finanzberichte'!$C$124,'III. Finanzberichte'!$J$124,'III. Finanzberichte'!$Q$124,'III. Finanzberichte'!$X$124,'III. Finanzberichte'!$AE$124,'III. Finanzberichte'!$AL$124,'III. Finanzberichte'!$AS$124,'III. Finanzberichte'!$AZ$124,'III. Finanzberichte'!$BG$124,'III. Finanzberichte'!$BN$124,'III. Finanzberichte'!$BU$124,'III. Finanzberichte'!$CB$124,'III. Finanzberichte'!$CI$124,'III. Finanzberichte'!$CP$124,'III. Finanzberichte'!$CW$124,'III. Finanzberichte'!$DD$124,'III. Finanzberichte'!$DK$124,'III. Finanzberichte'!$DR$124),"")</f>
      </c>
      <c r="N198" s="117" t="str">
        <f>=IFERROR(CHOOSE(E81,'III. Finanzberichte'!$D$124,'III. Finanzberichte'!$K$124,'III. Finanzberichte'!$R$124,'III. Finanzberichte'!$Y$124,'III. Finanzberichte'!$AF$124,'III. Finanzberichte'!$AM$124,'III. Finanzberichte'!$AT$124,'III. Finanzberichte'!$BA$124,'III. Finanzberichte'!$BH$124,'III. Finanzberichte'!$BO$124,'III. Finanzberichte'!$BV$124,'III. Finanzberichte'!$CC$124,'III. Finanzberichte'!$CJ$124,'III. Finanzberichte'!$CQ$124,'III. Finanzberichte'!$CX$124,'III. Finanzberichte'!$DE$124,'III. Finanzberichte'!$DL$124,'III. Finanzberichte'!$DS$124),"")</f>
      </c>
      <c r="O198" s="116" t="str">
        <f>=IFERROR(CHOOSE(E81,'III. Finanzberichte'!$E$124,'III. Finanzberichte'!$L$124,'III. Finanzberichte'!$S$124,'III. Finanzberichte'!$Z$124,'III. Finanzberichte'!$AG$124,'III. Finanzberichte'!$AN$124,'III. Finanzberichte'!$AU$124,'III. Finanzberichte'!$BB$124,'III. Finanzberichte'!$BI$124,'III. Finanzberichte'!$BP$124,'III. Finanzberichte'!$BW$124,'III. Finanzberichte'!$CD$124,'III. Finanzberichte'!$CK$124,'III. Finanzberichte'!$CR$124,'III. Finanzberichte'!$CY$124,'III. Finanzberichte'!$DF$124,'III. Finanzberichte'!$DM$124,'III. Finanzberichte'!$DT$124),"")</f>
      </c>
      <c r="P198" s="144" t="str">
        <f>=IFERROR(CHOOSE(E81,'III. Finanzberichte'!$F$124,'III. Finanzberichte'!$M$124,'III. Finanzberichte'!$T$124,'III. Finanzberichte'!$AA$124,'III. Finanzberichte'!$AH$124,'III. Finanzberichte'!$AO$124,'III. Finanzberichte'!$AV$124,'III. Finanzberichte'!$BC$124,'III. Finanzberichte'!$BJ$124,'III. Finanzberichte'!$BQ$124,'III. Finanzberichte'!$BX$124,'III. Finanzberichte'!$CE$124,'III. Finanzberichte'!$CL$124,'III. Finanzberichte'!$CS$124,'III. Finanzberichte'!$CZ$124,'III. Finanzberichte'!$DG$124,'III. Finanzberichte'!$DN$124,'III. Finanzberichte'!$DU$124),"")</f>
      </c>
    </row>
    <row r="199">
      <c r="L199" s="143" t="str">
        <f>=IFERROR(CHOOSE(E81,'III. Finanzberichte'!$B$125,'III. Finanzberichte'!$I$125,'III. Finanzberichte'!$P$125,'III. Finanzberichte'!$W$125,'III. Finanzberichte'!$AD$125,'III. Finanzberichte'!$AK$125,'III. Finanzberichte'!$AR$125,'III. Finanzberichte'!$AY$125,'III. Finanzberichte'!$BF$125,'III. Finanzberichte'!$BM$125,'III. Finanzberichte'!$BT$125,'III. Finanzberichte'!$CA$125,'III. Finanzberichte'!$CH$125,'III. Finanzberichte'!$CO$125,'III. Finanzberichte'!$CV$125,'III. Finanzberichte'!$DC$125,'III. Finanzberichte'!$DJ$125,'III. Finanzberichte'!$DQ$125),"")</f>
      </c>
      <c r="M199" s="116" t="str">
        <f>=IFERROR(CHOOSE(E81,'III. Finanzberichte'!$C$125,'III. Finanzberichte'!$J$125,'III. Finanzberichte'!$Q$125,'III. Finanzberichte'!$X$125,'III. Finanzberichte'!$AE$125,'III. Finanzberichte'!$AL$125,'III. Finanzberichte'!$AS$125,'III. Finanzberichte'!$AZ$125,'III. Finanzberichte'!$BG$125,'III. Finanzberichte'!$BN$125,'III. Finanzberichte'!$BU$125,'III. Finanzberichte'!$CB$125,'III. Finanzberichte'!$CI$125,'III. Finanzberichte'!$CP$125,'III. Finanzberichte'!$CW$125,'III. Finanzberichte'!$DD$125,'III. Finanzberichte'!$DK$125,'III. Finanzberichte'!$DR$125),"")</f>
      </c>
      <c r="N199" s="117" t="str">
        <f>=IFERROR(CHOOSE(E81,'III. Finanzberichte'!$D$125,'III. Finanzberichte'!$K$125,'III. Finanzberichte'!$R$125,'III. Finanzberichte'!$Y$125,'III. Finanzberichte'!$AF$125,'III. Finanzberichte'!$AM$125,'III. Finanzberichte'!$AT$125,'III. Finanzberichte'!$BA$125,'III. Finanzberichte'!$BH$125,'III. Finanzberichte'!$BO$125,'III. Finanzberichte'!$BV$125,'III. Finanzberichte'!$CC$125,'III. Finanzberichte'!$CJ$125,'III. Finanzberichte'!$CQ$125,'III. Finanzberichte'!$CX$125,'III. Finanzberichte'!$DE$125,'III. Finanzberichte'!$DL$125,'III. Finanzberichte'!$DS$125),"")</f>
      </c>
      <c r="O199" s="116" t="str">
        <f>=IFERROR(CHOOSE(E81,'III. Finanzberichte'!$E$125,'III. Finanzberichte'!$L$125,'III. Finanzberichte'!$S$125,'III. Finanzberichte'!$Z$125,'III. Finanzberichte'!$AG$125,'III. Finanzberichte'!$AN$125,'III. Finanzberichte'!$AU$125,'III. Finanzberichte'!$BB$125,'III. Finanzberichte'!$BI$125,'III. Finanzberichte'!$BP$125,'III. Finanzberichte'!$BW$125,'III. Finanzberichte'!$CD$125,'III. Finanzberichte'!$CK$125,'III. Finanzberichte'!$CR$125,'III. Finanzberichte'!$CY$125,'III. Finanzberichte'!$DF$125,'III. Finanzberichte'!$DM$125,'III. Finanzberichte'!$DT$125),"")</f>
      </c>
      <c r="P199" s="144" t="str">
        <f>=IFERROR(CHOOSE(E81,'III. Finanzberichte'!$F$125,'III. Finanzberichte'!$M$125,'III. Finanzberichte'!$T$125,'III. Finanzberichte'!$AA$125,'III. Finanzberichte'!$AH$125,'III. Finanzberichte'!$AO$125,'III. Finanzberichte'!$AV$125,'III. Finanzberichte'!$BC$125,'III. Finanzberichte'!$BJ$125,'III. Finanzberichte'!$BQ$125,'III. Finanzberichte'!$BX$125,'III. Finanzberichte'!$CE$125,'III. Finanzberichte'!$CL$125,'III. Finanzberichte'!$CS$125,'III. Finanzberichte'!$CZ$125,'III. Finanzberichte'!$DG$125,'III. Finanzberichte'!$DN$125,'III. Finanzberichte'!$DU$125),"")</f>
      </c>
    </row>
    <row r="200">
      <c r="L200" s="143" t="str">
        <f>=IFERROR(CHOOSE(E81,'III. Finanzberichte'!$B$126,'III. Finanzberichte'!$I$126,'III. Finanzberichte'!$P$126,'III. Finanzberichte'!$W$126,'III. Finanzberichte'!$AD$126,'III. Finanzberichte'!$AK$126,'III. Finanzberichte'!$AR$126,'III. Finanzberichte'!$AY$126,'III. Finanzberichte'!$BF$126,'III. Finanzberichte'!$BM$126,'III. Finanzberichte'!$BT$126,'III. Finanzberichte'!$CA$126,'III. Finanzberichte'!$CH$126,'III. Finanzberichte'!$CO$126,'III. Finanzberichte'!$CV$126,'III. Finanzberichte'!$DC$126,'III. Finanzberichte'!$DJ$126,'III. Finanzberichte'!$DQ$126),"")</f>
      </c>
      <c r="M200" s="116" t="str">
        <f>=IFERROR(CHOOSE(E81,'III. Finanzberichte'!$C$126,'III. Finanzberichte'!$J$126,'III. Finanzberichte'!$Q$126,'III. Finanzberichte'!$X$126,'III. Finanzberichte'!$AE$126,'III. Finanzberichte'!$AL$126,'III. Finanzberichte'!$AS$126,'III. Finanzberichte'!$AZ$126,'III. Finanzberichte'!$BG$126,'III. Finanzberichte'!$BN$126,'III. Finanzberichte'!$BU$126,'III. Finanzberichte'!$CB$126,'III. Finanzberichte'!$CI$126,'III. Finanzberichte'!$CP$126,'III. Finanzberichte'!$CW$126,'III. Finanzberichte'!$DD$126,'III. Finanzberichte'!$DK$126,'III. Finanzberichte'!$DR$126),"")</f>
      </c>
      <c r="N200" s="117" t="str">
        <f>=IFERROR(CHOOSE(E81,'III. Finanzberichte'!$D$126,'III. Finanzberichte'!$K$126,'III. Finanzberichte'!$R$126,'III. Finanzberichte'!$Y$126,'III. Finanzberichte'!$AF$126,'III. Finanzberichte'!$AM$126,'III. Finanzberichte'!$AT$126,'III. Finanzberichte'!$BA$126,'III. Finanzberichte'!$BH$126,'III. Finanzberichte'!$BO$126,'III. Finanzberichte'!$BV$126,'III. Finanzberichte'!$CC$126,'III. Finanzberichte'!$CJ$126,'III. Finanzberichte'!$CQ$126,'III. Finanzberichte'!$CX$126,'III. Finanzberichte'!$DE$126,'III. Finanzberichte'!$DL$126,'III. Finanzberichte'!$DS$126),"")</f>
      </c>
      <c r="O200" s="116" t="str">
        <f>=IFERROR(CHOOSE(E81,'III. Finanzberichte'!$E$126,'III. Finanzberichte'!$L$126,'III. Finanzberichte'!$S$126,'III. Finanzberichte'!$Z$126,'III. Finanzberichte'!$AG$126,'III. Finanzberichte'!$AN$126,'III. Finanzberichte'!$AU$126,'III. Finanzberichte'!$BB$126,'III. Finanzberichte'!$BI$126,'III. Finanzberichte'!$BP$126,'III. Finanzberichte'!$BW$126,'III. Finanzberichte'!$CD$126,'III. Finanzberichte'!$CK$126,'III. Finanzberichte'!$CR$126,'III. Finanzberichte'!$CY$126,'III. Finanzberichte'!$DF$126,'III. Finanzberichte'!$DM$126,'III. Finanzberichte'!$DT$126),"")</f>
      </c>
      <c r="P200" s="144" t="str">
        <f>=IFERROR(CHOOSE(E81,'III. Finanzberichte'!$F$126,'III. Finanzberichte'!$M$126,'III. Finanzberichte'!$T$126,'III. Finanzberichte'!$AA$126,'III. Finanzberichte'!$AH$126,'III. Finanzberichte'!$AO$126,'III. Finanzberichte'!$AV$126,'III. Finanzberichte'!$BC$126,'III. Finanzberichte'!$BJ$126,'III. Finanzberichte'!$BQ$126,'III. Finanzberichte'!$BX$126,'III. Finanzberichte'!$CE$126,'III. Finanzberichte'!$CL$126,'III. Finanzberichte'!$CS$126,'III. Finanzberichte'!$CZ$126,'III. Finanzberichte'!$DG$126,'III. Finanzberichte'!$DN$126,'III. Finanzberichte'!$DU$126),"")</f>
      </c>
    </row>
    <row r="201">
      <c r="L201" s="143" t="str">
        <f>=IFERROR(CHOOSE(E81,'III. Finanzberichte'!$B$127,'III. Finanzberichte'!$I$127,'III. Finanzberichte'!$P$127,'III. Finanzberichte'!$W$127,'III. Finanzberichte'!$AD$127,'III. Finanzberichte'!$AK$127,'III. Finanzberichte'!$AR$127,'III. Finanzberichte'!$AY$127,'III. Finanzberichte'!$BF$127,'III. Finanzberichte'!$BM$127,'III. Finanzberichte'!$BT$127,'III. Finanzberichte'!$CA$127,'III. Finanzberichte'!$CH$127,'III. Finanzberichte'!$CO$127,'III. Finanzberichte'!$CV$127,'III. Finanzberichte'!$DC$127,'III. Finanzberichte'!$DJ$127,'III. Finanzberichte'!$DQ$127),"")</f>
      </c>
      <c r="M201" s="116" t="str">
        <f>=IFERROR(CHOOSE(E81,'III. Finanzberichte'!$C$127,'III. Finanzberichte'!$J$127,'III. Finanzberichte'!$Q$127,'III. Finanzberichte'!$X$127,'III. Finanzberichte'!$AE$127,'III. Finanzberichte'!$AL$127,'III. Finanzberichte'!$AS$127,'III. Finanzberichte'!$AZ$127,'III. Finanzberichte'!$BG$127,'III. Finanzberichte'!$BN$127,'III. Finanzberichte'!$BU$127,'III. Finanzberichte'!$CB$127,'III. Finanzberichte'!$CI$127,'III. Finanzberichte'!$CP$127,'III. Finanzberichte'!$CW$127,'III. Finanzberichte'!$DD$127,'III. Finanzberichte'!$DK$127,'III. Finanzberichte'!$DR$127),"")</f>
      </c>
      <c r="N201" s="117" t="str">
        <f>=IFERROR(CHOOSE(E81,'III. Finanzberichte'!$D$127,'III. Finanzberichte'!$K$127,'III. Finanzberichte'!$R$127,'III. Finanzberichte'!$Y$127,'III. Finanzberichte'!$AF$127,'III. Finanzberichte'!$AM$127,'III. Finanzberichte'!$AT$127,'III. Finanzberichte'!$BA$127,'III. Finanzberichte'!$BH$127,'III. Finanzberichte'!$BO$127,'III. Finanzberichte'!$BV$127,'III. Finanzberichte'!$CC$127,'III. Finanzberichte'!$CJ$127,'III. Finanzberichte'!$CQ$127,'III. Finanzberichte'!$CX$127,'III. Finanzberichte'!$DE$127,'III. Finanzberichte'!$DL$127,'III. Finanzberichte'!$DS$127),"")</f>
      </c>
      <c r="O201" s="116" t="str">
        <f>=IFERROR(CHOOSE(E81,'III. Finanzberichte'!$E$127,'III. Finanzberichte'!$L$127,'III. Finanzberichte'!$S$127,'III. Finanzberichte'!$Z$127,'III. Finanzberichte'!$AG$127,'III. Finanzberichte'!$AN$127,'III. Finanzberichte'!$AU$127,'III. Finanzberichte'!$BB$127,'III. Finanzberichte'!$BI$127,'III. Finanzberichte'!$BP$127,'III. Finanzberichte'!$BW$127,'III. Finanzberichte'!$CD$127,'III. Finanzberichte'!$CK$127,'III. Finanzberichte'!$CR$127,'III. Finanzberichte'!$CY$127,'III. Finanzberichte'!$DF$127,'III. Finanzberichte'!$DM$127,'III. Finanzberichte'!$DT$127),"")</f>
      </c>
      <c r="P201" s="144" t="str">
        <f>=IFERROR(CHOOSE(E81,'III. Finanzberichte'!$F$127,'III. Finanzberichte'!$M$127,'III. Finanzberichte'!$T$127,'III. Finanzberichte'!$AA$127,'III. Finanzberichte'!$AH$127,'III. Finanzberichte'!$AO$127,'III. Finanzberichte'!$AV$127,'III. Finanzberichte'!$BC$127,'III. Finanzberichte'!$BJ$127,'III. Finanzberichte'!$BQ$127,'III. Finanzberichte'!$BX$127,'III. Finanzberichte'!$CE$127,'III. Finanzberichte'!$CL$127,'III. Finanzberichte'!$CS$127,'III. Finanzberichte'!$CZ$127,'III. Finanzberichte'!$DG$127,'III. Finanzberichte'!$DN$127,'III. Finanzberichte'!$DU$127),"")</f>
      </c>
    </row>
    <row r="202">
      <c r="L202" s="143" t="str">
        <f>=IFERROR(CHOOSE(E81,'III. Finanzberichte'!$B$128,'III. Finanzberichte'!$I$128,'III. Finanzberichte'!$P$128,'III. Finanzberichte'!$W$128,'III. Finanzberichte'!$AD$128,'III. Finanzberichte'!$AK$128,'III. Finanzberichte'!$AR$128,'III. Finanzberichte'!$AY$128,'III. Finanzberichte'!$BF$128,'III. Finanzberichte'!$BM$128,'III. Finanzberichte'!$BT$128,'III. Finanzberichte'!$CA$128,'III. Finanzberichte'!$CH$128,'III. Finanzberichte'!$CO$128,'III. Finanzberichte'!$CV$128,'III. Finanzberichte'!$DC$128,'III. Finanzberichte'!$DJ$128,'III. Finanzberichte'!$DQ$128),"")</f>
      </c>
      <c r="M202" s="116" t="str">
        <f>=IFERROR(CHOOSE(E81,'III. Finanzberichte'!$C$128,'III. Finanzberichte'!$J$128,'III. Finanzberichte'!$Q$128,'III. Finanzberichte'!$X$128,'III. Finanzberichte'!$AE$128,'III. Finanzberichte'!$AL$128,'III. Finanzberichte'!$AS$128,'III. Finanzberichte'!$AZ$128,'III. Finanzberichte'!$BG$128,'III. Finanzberichte'!$BN$128,'III. Finanzberichte'!$BU$128,'III. Finanzberichte'!$CB$128,'III. Finanzberichte'!$CI$128,'III. Finanzberichte'!$CP$128,'III. Finanzberichte'!$CW$128,'III. Finanzberichte'!$DD$128,'III. Finanzberichte'!$DK$128,'III. Finanzberichte'!$DR$128),"")</f>
      </c>
      <c r="N202" s="117" t="str">
        <f>=IFERROR(CHOOSE(E81,'III. Finanzberichte'!$D$128,'III. Finanzberichte'!$K$128,'III. Finanzberichte'!$R$128,'III. Finanzberichte'!$Y$128,'III. Finanzberichte'!$AF$128,'III. Finanzberichte'!$AM$128,'III. Finanzberichte'!$AT$128,'III. Finanzberichte'!$BA$128,'III. Finanzberichte'!$BH$128,'III. Finanzberichte'!$BO$128,'III. Finanzberichte'!$BV$128,'III. Finanzberichte'!$CC$128,'III. Finanzberichte'!$CJ$128,'III. Finanzberichte'!$CQ$128,'III. Finanzberichte'!$CX$128,'III. Finanzberichte'!$DE$128,'III. Finanzberichte'!$DL$128,'III. Finanzberichte'!$DS$128),"")</f>
      </c>
      <c r="O202" s="116" t="str">
        <f>=IFERROR(CHOOSE(E81,'III. Finanzberichte'!$E$128,'III. Finanzberichte'!$L$128,'III. Finanzberichte'!$S$128,'III. Finanzberichte'!$Z$128,'III. Finanzberichte'!$AG$128,'III. Finanzberichte'!$AN$128,'III. Finanzberichte'!$AU$128,'III. Finanzberichte'!$BB$128,'III. Finanzberichte'!$BI$128,'III. Finanzberichte'!$BP$128,'III. Finanzberichte'!$BW$128,'III. Finanzberichte'!$CD$128,'III. Finanzberichte'!$CK$128,'III. Finanzberichte'!$CR$128,'III. Finanzberichte'!$CY$128,'III. Finanzberichte'!$DF$128,'III. Finanzberichte'!$DM$128,'III. Finanzberichte'!$DT$128),"")</f>
      </c>
      <c r="P202" s="144" t="str">
        <f>=IFERROR(CHOOSE(E81,'III. Finanzberichte'!$F$128,'III. Finanzberichte'!$M$128,'III. Finanzberichte'!$T$128,'III. Finanzberichte'!$AA$128,'III. Finanzberichte'!$AH$128,'III. Finanzberichte'!$AO$128,'III. Finanzberichte'!$AV$128,'III. Finanzberichte'!$BC$128,'III. Finanzberichte'!$BJ$128,'III. Finanzberichte'!$BQ$128,'III. Finanzberichte'!$BX$128,'III. Finanzberichte'!$CE$128,'III. Finanzberichte'!$CL$128,'III. Finanzberichte'!$CS$128,'III. Finanzberichte'!$CZ$128,'III. Finanzberichte'!$DG$128,'III. Finanzberichte'!$DN$128,'III. Finanzberichte'!$DU$128),"")</f>
      </c>
    </row>
    <row r="203">
      <c r="L203" s="143" t="str">
        <f>=IFERROR(CHOOSE(E81,'III. Finanzberichte'!$B$129,'III. Finanzberichte'!$I$129,'III. Finanzberichte'!$P$129,'III. Finanzberichte'!$W$129,'III. Finanzberichte'!$AD$129,'III. Finanzberichte'!$AK$129,'III. Finanzberichte'!$AR$129,'III. Finanzberichte'!$AY$129,'III. Finanzberichte'!$BF$129,'III. Finanzberichte'!$BM$129,'III. Finanzberichte'!$BT$129,'III. Finanzberichte'!$CA$129,'III. Finanzberichte'!$CH$129,'III. Finanzberichte'!$CO$129,'III. Finanzberichte'!$CV$129,'III. Finanzberichte'!$DC$129,'III. Finanzberichte'!$DJ$129,'III. Finanzberichte'!$DQ$129),"")</f>
      </c>
      <c r="M203" s="116" t="str">
        <f>=IFERROR(CHOOSE(E81,'III. Finanzberichte'!$C$129,'III. Finanzberichte'!$J$129,'III. Finanzberichte'!$Q$129,'III. Finanzberichte'!$X$129,'III. Finanzberichte'!$AE$129,'III. Finanzberichte'!$AL$129,'III. Finanzberichte'!$AS$129,'III. Finanzberichte'!$AZ$129,'III. Finanzberichte'!$BG$129,'III. Finanzberichte'!$BN$129,'III. Finanzberichte'!$BU$129,'III. Finanzberichte'!$CB$129,'III. Finanzberichte'!$CI$129,'III. Finanzberichte'!$CP$129,'III. Finanzberichte'!$CW$129,'III. Finanzberichte'!$DD$129,'III. Finanzberichte'!$DK$129,'III. Finanzberichte'!$DR$129),"")</f>
      </c>
      <c r="N203" s="117" t="str">
        <f>=IFERROR(CHOOSE(E81,'III. Finanzberichte'!$D$129,'III. Finanzberichte'!$K$129,'III. Finanzberichte'!$R$129,'III. Finanzberichte'!$Y$129,'III. Finanzberichte'!$AF$129,'III. Finanzberichte'!$AM$129,'III. Finanzberichte'!$AT$129,'III. Finanzberichte'!$BA$129,'III. Finanzberichte'!$BH$129,'III. Finanzberichte'!$BO$129,'III. Finanzberichte'!$BV$129,'III. Finanzberichte'!$CC$129,'III. Finanzberichte'!$CJ$129,'III. Finanzberichte'!$CQ$129,'III. Finanzberichte'!$CX$129,'III. Finanzberichte'!$DE$129,'III. Finanzberichte'!$DL$129,'III. Finanzberichte'!$DS$129),"")</f>
      </c>
      <c r="O203" s="116" t="str">
        <f>=IFERROR(CHOOSE(E81,'III. Finanzberichte'!$E$129,'III. Finanzberichte'!$L$129,'III. Finanzberichte'!$S$129,'III. Finanzberichte'!$Z$129,'III. Finanzberichte'!$AG$129,'III. Finanzberichte'!$AN$129,'III. Finanzberichte'!$AU$129,'III. Finanzberichte'!$BB$129,'III. Finanzberichte'!$BI$129,'III. Finanzberichte'!$BP$129,'III. Finanzberichte'!$BW$129,'III. Finanzberichte'!$CD$129,'III. Finanzberichte'!$CK$129,'III. Finanzberichte'!$CR$129,'III. Finanzberichte'!$CY$129,'III. Finanzberichte'!$DF$129,'III. Finanzberichte'!$DM$129,'III. Finanzberichte'!$DT$129),"")</f>
      </c>
      <c r="P203" s="144" t="str">
        <f>=IFERROR(CHOOSE(E81,'III. Finanzberichte'!$F$129,'III. Finanzberichte'!$M$129,'III. Finanzberichte'!$T$129,'III. Finanzberichte'!$AA$129,'III. Finanzberichte'!$AH$129,'III. Finanzberichte'!$AO$129,'III. Finanzberichte'!$AV$129,'III. Finanzberichte'!$BC$129,'III. Finanzberichte'!$BJ$129,'III. Finanzberichte'!$BQ$129,'III. Finanzberichte'!$BX$129,'III. Finanzberichte'!$CE$129,'III. Finanzberichte'!$CL$129,'III. Finanzberichte'!$CS$129,'III. Finanzberichte'!$CZ$129,'III. Finanzberichte'!$DG$129,'III. Finanzberichte'!$DN$129,'III. Finanzberichte'!$DU$129),"")</f>
      </c>
    </row>
    <row r="204">
      <c r="L204" s="143" t="str">
        <f>=IFERROR(CHOOSE(E81,'III. Finanzberichte'!$B$130,'III. Finanzberichte'!$I$130,'III. Finanzberichte'!$P$130,'III. Finanzberichte'!$W$130,'III. Finanzberichte'!$AD$130,'III. Finanzberichte'!$AK$130,'III. Finanzberichte'!$AR$130,'III. Finanzberichte'!$AY$130,'III. Finanzberichte'!$BF$130,'III. Finanzberichte'!$BM$130,'III. Finanzberichte'!$BT$130,'III. Finanzberichte'!$CA$130,'III. Finanzberichte'!$CH$130,'III. Finanzberichte'!$CO$130,'III. Finanzberichte'!$CV$130,'III. Finanzberichte'!$DC$130,'III. Finanzberichte'!$DJ$130,'III. Finanzberichte'!$DQ$130),"")</f>
      </c>
      <c r="M204" s="116" t="str">
        <f>=IFERROR(CHOOSE(E81,'III. Finanzberichte'!$C$130,'III. Finanzberichte'!$J$130,'III. Finanzberichte'!$Q$130,'III. Finanzberichte'!$X$130,'III. Finanzberichte'!$AE$130,'III. Finanzberichte'!$AL$130,'III. Finanzberichte'!$AS$130,'III. Finanzberichte'!$AZ$130,'III. Finanzberichte'!$BG$130,'III. Finanzberichte'!$BN$130,'III. Finanzberichte'!$BU$130,'III. Finanzberichte'!$CB$130,'III. Finanzberichte'!$CI$130,'III. Finanzberichte'!$CP$130,'III. Finanzberichte'!$CW$130,'III. Finanzberichte'!$DD$130,'III. Finanzberichte'!$DK$130,'III. Finanzberichte'!$DR$130),"")</f>
      </c>
      <c r="N204" s="117" t="str">
        <f>=IFERROR(CHOOSE(E81,'III. Finanzberichte'!$D$130,'III. Finanzberichte'!$K$130,'III. Finanzberichte'!$R$130,'III. Finanzberichte'!$Y$130,'III. Finanzberichte'!$AF$130,'III. Finanzberichte'!$AM$130,'III. Finanzberichte'!$AT$130,'III. Finanzberichte'!$BA$130,'III. Finanzberichte'!$BH$130,'III. Finanzberichte'!$BO$130,'III. Finanzberichte'!$BV$130,'III. Finanzberichte'!$CC$130,'III. Finanzberichte'!$CJ$130,'III. Finanzberichte'!$CQ$130,'III. Finanzberichte'!$CX$130,'III. Finanzberichte'!$DE$130,'III. Finanzberichte'!$DL$130,'III. Finanzberichte'!$DS$130),"")</f>
      </c>
      <c r="O204" s="116" t="str">
        <f>=IFERROR(CHOOSE(E81,'III. Finanzberichte'!$E$130,'III. Finanzberichte'!$L$130,'III. Finanzberichte'!$S$130,'III. Finanzberichte'!$Z$130,'III. Finanzberichte'!$AG$130,'III. Finanzberichte'!$AN$130,'III. Finanzberichte'!$AU$130,'III. Finanzberichte'!$BB$130,'III. Finanzberichte'!$BI$130,'III. Finanzberichte'!$BP$130,'III. Finanzberichte'!$BW$130,'III. Finanzberichte'!$CD$130,'III. Finanzberichte'!$CK$130,'III. Finanzberichte'!$CR$130,'III. Finanzberichte'!$CY$130,'III. Finanzberichte'!$DF$130,'III. Finanzberichte'!$DM$130,'III. Finanzberichte'!$DT$130),"")</f>
      </c>
      <c r="P204" s="144" t="str">
        <f>=IFERROR(CHOOSE(E81,'III. Finanzberichte'!$F$130,'III. Finanzberichte'!$M$130,'III. Finanzberichte'!$T$130,'III. Finanzberichte'!$AA$130,'III. Finanzberichte'!$AH$130,'III. Finanzberichte'!$AO$130,'III. Finanzberichte'!$AV$130,'III. Finanzberichte'!$BC$130,'III. Finanzberichte'!$BJ$130,'III. Finanzberichte'!$BQ$130,'III. Finanzberichte'!$BX$130,'III. Finanzberichte'!$CE$130,'III. Finanzberichte'!$CL$130,'III. Finanzberichte'!$CS$130,'III. Finanzberichte'!$CZ$130,'III. Finanzberichte'!$DG$130,'III. Finanzberichte'!$DN$130,'III. Finanzberichte'!$DU$130),"")</f>
      </c>
    </row>
    <row r="205">
      <c r="L205" s="143" t="str">
        <f>=IFERROR(CHOOSE(E81,'III. Finanzberichte'!$B$131,'III. Finanzberichte'!$I$131,'III. Finanzberichte'!$P$131,'III. Finanzberichte'!$W$131,'III. Finanzberichte'!$AD$131,'III. Finanzberichte'!$AK$131,'III. Finanzberichte'!$AR$131,'III. Finanzberichte'!$AY$131,'III. Finanzberichte'!$BF$131,'III. Finanzberichte'!$BM$131,'III. Finanzberichte'!$BT$131,'III. Finanzberichte'!$CA$131,'III. Finanzberichte'!$CH$131,'III. Finanzberichte'!$CO$131,'III. Finanzberichte'!$CV$131,'III. Finanzberichte'!$DC$131,'III. Finanzberichte'!$DJ$131,'III. Finanzberichte'!$DQ$131),"")</f>
      </c>
      <c r="M205" s="116" t="str">
        <f>=IFERROR(CHOOSE(E81,'III. Finanzberichte'!$C$131,'III. Finanzberichte'!$J$131,'III. Finanzberichte'!$Q$131,'III. Finanzberichte'!$X$131,'III. Finanzberichte'!$AE$131,'III. Finanzberichte'!$AL$131,'III. Finanzberichte'!$AS$131,'III. Finanzberichte'!$AZ$131,'III. Finanzberichte'!$BG$131,'III. Finanzberichte'!$BN$131,'III. Finanzberichte'!$BU$131,'III. Finanzberichte'!$CB$131,'III. Finanzberichte'!$CI$131,'III. Finanzberichte'!$CP$131,'III. Finanzberichte'!$CW$131,'III. Finanzberichte'!$DD$131,'III. Finanzberichte'!$DK$131,'III. Finanzberichte'!$DR$131),"")</f>
      </c>
      <c r="N205" s="117" t="str">
        <f>=IFERROR(CHOOSE(E81,'III. Finanzberichte'!$D$131,'III. Finanzberichte'!$K$131,'III. Finanzberichte'!$R$131,'III. Finanzberichte'!$Y$131,'III. Finanzberichte'!$AF$131,'III. Finanzberichte'!$AM$131,'III. Finanzberichte'!$AT$131,'III. Finanzberichte'!$BA$131,'III. Finanzberichte'!$BH$131,'III. Finanzberichte'!$BO$131,'III. Finanzberichte'!$BV$131,'III. Finanzberichte'!$CC$131,'III. Finanzberichte'!$CJ$131,'III. Finanzberichte'!$CQ$131,'III. Finanzberichte'!$CX$131,'III. Finanzberichte'!$DE$131,'III. Finanzberichte'!$DL$131,'III. Finanzberichte'!$DS$131),"")</f>
      </c>
      <c r="O205" s="116" t="str">
        <f>=IFERROR(CHOOSE(E81,'III. Finanzberichte'!$E$131,'III. Finanzberichte'!$L$131,'III. Finanzberichte'!$S$131,'III. Finanzberichte'!$Z$131,'III. Finanzberichte'!$AG$131,'III. Finanzberichte'!$AN$131,'III. Finanzberichte'!$AU$131,'III. Finanzberichte'!$BB$131,'III. Finanzberichte'!$BI$131,'III. Finanzberichte'!$BP$131,'III. Finanzberichte'!$BW$131,'III. Finanzberichte'!$CD$131,'III. Finanzberichte'!$CK$131,'III. Finanzberichte'!$CR$131,'III. Finanzberichte'!$CY$131,'III. Finanzberichte'!$DF$131,'III. Finanzberichte'!$DM$131,'III. Finanzberichte'!$DT$131),"")</f>
      </c>
      <c r="P205" s="144" t="str">
        <f>=IFERROR(CHOOSE(E81,'III. Finanzberichte'!$F$131,'III. Finanzberichte'!$M$131,'III. Finanzberichte'!$T$131,'III. Finanzberichte'!$AA$131,'III. Finanzberichte'!$AH$131,'III. Finanzberichte'!$AO$131,'III. Finanzberichte'!$AV$131,'III. Finanzberichte'!$BC$131,'III. Finanzberichte'!$BJ$131,'III. Finanzberichte'!$BQ$131,'III. Finanzberichte'!$BX$131,'III. Finanzberichte'!$CE$131,'III. Finanzberichte'!$CL$131,'III. Finanzberichte'!$CS$131,'III. Finanzberichte'!$CZ$131,'III. Finanzberichte'!$DG$131,'III. Finanzberichte'!$DN$131,'III. Finanzberichte'!$DU$131),"")</f>
      </c>
    </row>
    <row r="206">
      <c r="L206" s="143" t="str">
        <f>=IFERROR(CHOOSE(E81,'III. Finanzberichte'!$B$132,'III. Finanzberichte'!$I$132,'III. Finanzberichte'!$P$132,'III. Finanzberichte'!$W$132,'III. Finanzberichte'!$AD$132,'III. Finanzberichte'!$AK$132,'III. Finanzberichte'!$AR$132,'III. Finanzberichte'!$AY$132,'III. Finanzberichte'!$BF$132,'III. Finanzberichte'!$BM$132,'III. Finanzberichte'!$BT$132,'III. Finanzberichte'!$CA$132,'III. Finanzberichte'!$CH$132,'III. Finanzberichte'!$CO$132,'III. Finanzberichte'!$CV$132,'III. Finanzberichte'!$DC$132,'III. Finanzberichte'!$DJ$132,'III. Finanzberichte'!$DQ$132),"")</f>
      </c>
      <c r="M206" s="116" t="str">
        <f>=IFERROR(CHOOSE(E81,'III. Finanzberichte'!$C$132,'III. Finanzberichte'!$J$132,'III. Finanzberichte'!$Q$132,'III. Finanzberichte'!$X$132,'III. Finanzberichte'!$AE$132,'III. Finanzberichte'!$AL$132,'III. Finanzberichte'!$AS$132,'III. Finanzberichte'!$AZ$132,'III. Finanzberichte'!$BG$132,'III. Finanzberichte'!$BN$132,'III. Finanzberichte'!$BU$132,'III. Finanzberichte'!$CB$132,'III. Finanzberichte'!$CI$132,'III. Finanzberichte'!$CP$132,'III. Finanzberichte'!$CW$132,'III. Finanzberichte'!$DD$132,'III. Finanzberichte'!$DK$132,'III. Finanzberichte'!$DR$132),"")</f>
      </c>
      <c r="N206" s="117" t="str">
        <f>=IFERROR(CHOOSE(E81,'III. Finanzberichte'!$D$132,'III. Finanzberichte'!$K$132,'III. Finanzberichte'!$R$132,'III. Finanzberichte'!$Y$132,'III. Finanzberichte'!$AF$132,'III. Finanzberichte'!$AM$132,'III. Finanzberichte'!$AT$132,'III. Finanzberichte'!$BA$132,'III. Finanzberichte'!$BH$132,'III. Finanzberichte'!$BO$132,'III. Finanzberichte'!$BV$132,'III. Finanzberichte'!$CC$132,'III. Finanzberichte'!$CJ$132,'III. Finanzberichte'!$CQ$132,'III. Finanzberichte'!$CX$132,'III. Finanzberichte'!$DE$132,'III. Finanzberichte'!$DL$132,'III. Finanzberichte'!$DS$132),"")</f>
      </c>
      <c r="O206" s="116" t="str">
        <f>=IFERROR(CHOOSE(E81,'III. Finanzberichte'!$E$132,'III. Finanzberichte'!$L$132,'III. Finanzberichte'!$S$132,'III. Finanzberichte'!$Z$132,'III. Finanzberichte'!$AG$132,'III. Finanzberichte'!$AN$132,'III. Finanzberichte'!$AU$132,'III. Finanzberichte'!$BB$132,'III. Finanzberichte'!$BI$132,'III. Finanzberichte'!$BP$132,'III. Finanzberichte'!$BW$132,'III. Finanzberichte'!$CD$132,'III. Finanzberichte'!$CK$132,'III. Finanzberichte'!$CR$132,'III. Finanzberichte'!$CY$132,'III. Finanzberichte'!$DF$132,'III. Finanzberichte'!$DM$132,'III. Finanzberichte'!$DT$132),"")</f>
      </c>
      <c r="P206" s="144" t="str">
        <f>=IFERROR(CHOOSE(E81,'III. Finanzberichte'!$F$132,'III. Finanzberichte'!$M$132,'III. Finanzberichte'!$T$132,'III. Finanzberichte'!$AA$132,'III. Finanzberichte'!$AH$132,'III. Finanzberichte'!$AO$132,'III. Finanzberichte'!$AV$132,'III. Finanzberichte'!$BC$132,'III. Finanzberichte'!$BJ$132,'III. Finanzberichte'!$BQ$132,'III. Finanzberichte'!$BX$132,'III. Finanzberichte'!$CE$132,'III. Finanzberichte'!$CL$132,'III. Finanzberichte'!$CS$132,'III. Finanzberichte'!$CZ$132,'III. Finanzberichte'!$DG$132,'III. Finanzberichte'!$DN$132,'III. Finanzberichte'!$DU$132),"")</f>
      </c>
    </row>
    <row r="207">
      <c r="L207" s="143" t="str">
        <f>=IFERROR(CHOOSE(E81,'III. Finanzberichte'!$B$133,'III. Finanzberichte'!$I$133,'III. Finanzberichte'!$P$133,'III. Finanzberichte'!$W$133,'III. Finanzberichte'!$AD$133,'III. Finanzberichte'!$AK$133,'III. Finanzberichte'!$AR$133,'III. Finanzberichte'!$AY$133,'III. Finanzberichte'!$BF$133,'III. Finanzberichte'!$BM$133,'III. Finanzberichte'!$BT$133,'III. Finanzberichte'!$CA$133,'III. Finanzberichte'!$CH$133,'III. Finanzberichte'!$CO$133,'III. Finanzberichte'!$CV$133,'III. Finanzberichte'!$DC$133,'III. Finanzberichte'!$DJ$133,'III. Finanzberichte'!$DQ$133),"")</f>
      </c>
      <c r="M207" s="116" t="str">
        <f>=IFERROR(CHOOSE(E81,'III. Finanzberichte'!$C$133,'III. Finanzberichte'!$J$133,'III. Finanzberichte'!$Q$133,'III. Finanzberichte'!$X$133,'III. Finanzberichte'!$AE$133,'III. Finanzberichte'!$AL$133,'III. Finanzberichte'!$AS$133,'III. Finanzberichte'!$AZ$133,'III. Finanzberichte'!$BG$133,'III. Finanzberichte'!$BN$133,'III. Finanzberichte'!$BU$133,'III. Finanzberichte'!$CB$133,'III. Finanzberichte'!$CI$133,'III. Finanzberichte'!$CP$133,'III. Finanzberichte'!$CW$133,'III. Finanzberichte'!$DD$133,'III. Finanzberichte'!$DK$133,'III. Finanzberichte'!$DR$133),"")</f>
      </c>
      <c r="N207" s="117" t="str">
        <f>=IFERROR(CHOOSE(E81,'III. Finanzberichte'!$D$133,'III. Finanzberichte'!$K$133,'III. Finanzberichte'!$R$133,'III. Finanzberichte'!$Y$133,'III. Finanzberichte'!$AF$133,'III. Finanzberichte'!$AM$133,'III. Finanzberichte'!$AT$133,'III. Finanzberichte'!$BA$133,'III. Finanzberichte'!$BH$133,'III. Finanzberichte'!$BO$133,'III. Finanzberichte'!$BV$133,'III. Finanzberichte'!$CC$133,'III. Finanzberichte'!$CJ$133,'III. Finanzberichte'!$CQ$133,'III. Finanzberichte'!$CX$133,'III. Finanzberichte'!$DE$133,'III. Finanzberichte'!$DL$133,'III. Finanzberichte'!$DS$133),"")</f>
      </c>
      <c r="O207" s="116" t="str">
        <f>=IFERROR(CHOOSE(E81,'III. Finanzberichte'!$E$133,'III. Finanzberichte'!$L$133,'III. Finanzberichte'!$S$133,'III. Finanzberichte'!$Z$133,'III. Finanzberichte'!$AG$133,'III. Finanzberichte'!$AN$133,'III. Finanzberichte'!$AU$133,'III. Finanzberichte'!$BB$133,'III. Finanzberichte'!$BI$133,'III. Finanzberichte'!$BP$133,'III. Finanzberichte'!$BW$133,'III. Finanzberichte'!$CD$133,'III. Finanzberichte'!$CK$133,'III. Finanzberichte'!$CR$133,'III. Finanzberichte'!$CY$133,'III. Finanzberichte'!$DF$133,'III. Finanzberichte'!$DM$133,'III. Finanzberichte'!$DT$133),"")</f>
      </c>
      <c r="P207" s="144" t="str">
        <f>=IFERROR(CHOOSE(E81,'III. Finanzberichte'!$F$133,'III. Finanzberichte'!$M$133,'III. Finanzberichte'!$T$133,'III. Finanzberichte'!$AA$133,'III. Finanzberichte'!$AH$133,'III. Finanzberichte'!$AO$133,'III. Finanzberichte'!$AV$133,'III. Finanzberichte'!$BC$133,'III. Finanzberichte'!$BJ$133,'III. Finanzberichte'!$BQ$133,'III. Finanzberichte'!$BX$133,'III. Finanzberichte'!$CE$133,'III. Finanzberichte'!$CL$133,'III. Finanzberichte'!$CS$133,'III. Finanzberichte'!$CZ$133,'III. Finanzberichte'!$DG$133,'III. Finanzberichte'!$DN$133,'III. Finanzberichte'!$DU$133),"")</f>
      </c>
    </row>
    <row r="208">
      <c r="L208" s="143" t="str">
        <f>=IFERROR(CHOOSE(E81,'III. Finanzberichte'!$B$134,'III. Finanzberichte'!$I$134,'III. Finanzberichte'!$P$134,'III. Finanzberichte'!$W$134,'III. Finanzberichte'!$AD$134,'III. Finanzberichte'!$AK$134,'III. Finanzberichte'!$AR$134,'III. Finanzberichte'!$AY$134,'III. Finanzberichte'!$BF$134,'III. Finanzberichte'!$BM$134,'III. Finanzberichte'!$BT$134,'III. Finanzberichte'!$CA$134,'III. Finanzberichte'!$CH$134,'III. Finanzberichte'!$CO$134,'III. Finanzberichte'!$CV$134,'III. Finanzberichte'!$DC$134,'III. Finanzberichte'!$DJ$134,'III. Finanzberichte'!$DQ$134),"")</f>
      </c>
      <c r="M208" s="116" t="str">
        <f>=IFERROR(CHOOSE(E81,'III. Finanzberichte'!$C$134,'III. Finanzberichte'!$J$134,'III. Finanzberichte'!$Q$134,'III. Finanzberichte'!$X$134,'III. Finanzberichte'!$AE$134,'III. Finanzberichte'!$AL$134,'III. Finanzberichte'!$AS$134,'III. Finanzberichte'!$AZ$134,'III. Finanzberichte'!$BG$134,'III. Finanzberichte'!$BN$134,'III. Finanzberichte'!$BU$134,'III. Finanzberichte'!$CB$134,'III. Finanzberichte'!$CI$134,'III. Finanzberichte'!$CP$134,'III. Finanzberichte'!$CW$134,'III. Finanzberichte'!$DD$134,'III. Finanzberichte'!$DK$134,'III. Finanzberichte'!$DR$134),"")</f>
      </c>
      <c r="N208" s="117" t="str">
        <f>=IFERROR(CHOOSE(E81,'III. Finanzberichte'!$D$134,'III. Finanzberichte'!$K$134,'III. Finanzberichte'!$R$134,'III. Finanzberichte'!$Y$134,'III. Finanzberichte'!$AF$134,'III. Finanzberichte'!$AM$134,'III. Finanzberichte'!$AT$134,'III. Finanzberichte'!$BA$134,'III. Finanzberichte'!$BH$134,'III. Finanzberichte'!$BO$134,'III. Finanzberichte'!$BV$134,'III. Finanzberichte'!$CC$134,'III. Finanzberichte'!$CJ$134,'III. Finanzberichte'!$CQ$134,'III. Finanzberichte'!$CX$134,'III. Finanzberichte'!$DE$134,'III. Finanzberichte'!$DL$134,'III. Finanzberichte'!$DS$134),"")</f>
      </c>
      <c r="O208" s="116" t="str">
        <f>=IFERROR(CHOOSE(E81,'III. Finanzberichte'!$E$134,'III. Finanzberichte'!$L$134,'III. Finanzberichte'!$S$134,'III. Finanzberichte'!$Z$134,'III. Finanzberichte'!$AG$134,'III. Finanzberichte'!$AN$134,'III. Finanzberichte'!$AU$134,'III. Finanzberichte'!$BB$134,'III. Finanzberichte'!$BI$134,'III. Finanzberichte'!$BP$134,'III. Finanzberichte'!$BW$134,'III. Finanzberichte'!$CD$134,'III. Finanzberichte'!$CK$134,'III. Finanzberichte'!$CR$134,'III. Finanzberichte'!$CY$134,'III. Finanzberichte'!$DF$134,'III. Finanzberichte'!$DM$134,'III. Finanzberichte'!$DT$134),"")</f>
      </c>
      <c r="P208" s="144" t="str">
        <f>=IFERROR(CHOOSE(E81,'III. Finanzberichte'!$F$134,'III. Finanzberichte'!$M$134,'III. Finanzberichte'!$T$134,'III. Finanzberichte'!$AA$134,'III. Finanzberichte'!$AH$134,'III. Finanzberichte'!$AO$134,'III. Finanzberichte'!$AV$134,'III. Finanzberichte'!$BC$134,'III. Finanzberichte'!$BJ$134,'III. Finanzberichte'!$BQ$134,'III. Finanzberichte'!$BX$134,'III. Finanzberichte'!$CE$134,'III. Finanzberichte'!$CL$134,'III. Finanzberichte'!$CS$134,'III. Finanzberichte'!$CZ$134,'III. Finanzberichte'!$DG$134,'III. Finanzberichte'!$DN$134,'III. Finanzberichte'!$DU$134),"")</f>
      </c>
    </row>
    <row r="209">
      <c r="L209" s="143" t="str">
        <f>=IFERROR(CHOOSE(E81,'III. Finanzberichte'!$B$135,'III. Finanzberichte'!$I$135,'III. Finanzberichte'!$P$135,'III. Finanzberichte'!$W$135,'III. Finanzberichte'!$AD$135,'III. Finanzberichte'!$AK$135,'III. Finanzberichte'!$AR$135,'III. Finanzberichte'!$AY$135,'III. Finanzberichte'!$BF$135,'III. Finanzberichte'!$BM$135,'III. Finanzberichte'!$BT$135,'III. Finanzberichte'!$CA$135,'III. Finanzberichte'!$CH$135,'III. Finanzberichte'!$CO$135,'III. Finanzberichte'!$CV$135,'III. Finanzberichte'!$DC$135,'III. Finanzberichte'!$DJ$135,'III. Finanzberichte'!$DQ$135),"")</f>
      </c>
      <c r="M209" s="116" t="str">
        <f>=IFERROR(CHOOSE(E81,'III. Finanzberichte'!$C$135,'III. Finanzberichte'!$J$135,'III. Finanzberichte'!$Q$135,'III. Finanzberichte'!$X$135,'III. Finanzberichte'!$AE$135,'III. Finanzberichte'!$AL$135,'III. Finanzberichte'!$AS$135,'III. Finanzberichte'!$AZ$135,'III. Finanzberichte'!$BG$135,'III. Finanzberichte'!$BN$135,'III. Finanzberichte'!$BU$135,'III. Finanzberichte'!$CB$135,'III. Finanzberichte'!$CI$135,'III. Finanzberichte'!$CP$135,'III. Finanzberichte'!$CW$135,'III. Finanzberichte'!$DD$135,'III. Finanzberichte'!$DK$135,'III. Finanzberichte'!$DR$135),"")</f>
      </c>
      <c r="N209" s="117" t="str">
        <f>=IFERROR(CHOOSE(E81,'III. Finanzberichte'!$D$135,'III. Finanzberichte'!$K$135,'III. Finanzberichte'!$R$135,'III. Finanzberichte'!$Y$135,'III. Finanzberichte'!$AF$135,'III. Finanzberichte'!$AM$135,'III. Finanzberichte'!$AT$135,'III. Finanzberichte'!$BA$135,'III. Finanzberichte'!$BH$135,'III. Finanzberichte'!$BO$135,'III. Finanzberichte'!$BV$135,'III. Finanzberichte'!$CC$135,'III. Finanzberichte'!$CJ$135,'III. Finanzberichte'!$CQ$135,'III. Finanzberichte'!$CX$135,'III. Finanzberichte'!$DE$135,'III. Finanzberichte'!$DL$135,'III. Finanzberichte'!$DS$135),"")</f>
      </c>
      <c r="O209" s="116" t="str">
        <f>=IFERROR(CHOOSE(E81,'III. Finanzberichte'!$E$135,'III. Finanzberichte'!$L$135,'III. Finanzberichte'!$S$135,'III. Finanzberichte'!$Z$135,'III. Finanzberichte'!$AG$135,'III. Finanzberichte'!$AN$135,'III. Finanzberichte'!$AU$135,'III. Finanzberichte'!$BB$135,'III. Finanzberichte'!$BI$135,'III. Finanzberichte'!$BP$135,'III. Finanzberichte'!$BW$135,'III. Finanzberichte'!$CD$135,'III. Finanzberichte'!$CK$135,'III. Finanzberichte'!$CR$135,'III. Finanzberichte'!$CY$135,'III. Finanzberichte'!$DF$135,'III. Finanzberichte'!$DM$135,'III. Finanzberichte'!$DT$135),"")</f>
      </c>
      <c r="P209" s="144" t="str">
        <f>=IFERROR(CHOOSE(E81,'III. Finanzberichte'!$F$135,'III. Finanzberichte'!$M$135,'III. Finanzberichte'!$T$135,'III. Finanzberichte'!$AA$135,'III. Finanzberichte'!$AH$135,'III. Finanzberichte'!$AO$135,'III. Finanzberichte'!$AV$135,'III. Finanzberichte'!$BC$135,'III. Finanzberichte'!$BJ$135,'III. Finanzberichte'!$BQ$135,'III. Finanzberichte'!$BX$135,'III. Finanzberichte'!$CE$135,'III. Finanzberichte'!$CL$135,'III. Finanzberichte'!$CS$135,'III. Finanzberichte'!$CZ$135,'III. Finanzberichte'!$DG$135,'III. Finanzberichte'!$DN$135,'III. Finanzberichte'!$DU$135),"")</f>
      </c>
    </row>
    <row r="210">
      <c r="L210" s="143" t="str">
        <f>=IFERROR(CHOOSE(E81,'III. Finanzberichte'!$B$136,'III. Finanzberichte'!$I$136,'III. Finanzberichte'!$P$136,'III. Finanzberichte'!$W$136,'III. Finanzberichte'!$AD$136,'III. Finanzberichte'!$AK$136,'III. Finanzberichte'!$AR$136,'III. Finanzberichte'!$AY$136,'III. Finanzberichte'!$BF$136,'III. Finanzberichte'!$BM$136,'III. Finanzberichte'!$BT$136,'III. Finanzberichte'!$CA$136,'III. Finanzberichte'!$CH$136,'III. Finanzberichte'!$CO$136,'III. Finanzberichte'!$CV$136,'III. Finanzberichte'!$DC$136,'III. Finanzberichte'!$DJ$136,'III. Finanzberichte'!$DQ$136),"")</f>
      </c>
      <c r="M210" s="116" t="str">
        <f>=IFERROR(CHOOSE(E81,'III. Finanzberichte'!$C$136,'III. Finanzberichte'!$J$136,'III. Finanzberichte'!$Q$136,'III. Finanzberichte'!$X$136,'III. Finanzberichte'!$AE$136,'III. Finanzberichte'!$AL$136,'III. Finanzberichte'!$AS$136,'III. Finanzberichte'!$AZ$136,'III. Finanzberichte'!$BG$136,'III. Finanzberichte'!$BN$136,'III. Finanzberichte'!$BU$136,'III. Finanzberichte'!$CB$136,'III. Finanzberichte'!$CI$136,'III. Finanzberichte'!$CP$136,'III. Finanzberichte'!$CW$136,'III. Finanzberichte'!$DD$136,'III. Finanzberichte'!$DK$136,'III. Finanzberichte'!$DR$136),"")</f>
      </c>
      <c r="N210" s="117" t="str">
        <f>=IFERROR(CHOOSE(E81,'III. Finanzberichte'!$D$136,'III. Finanzberichte'!$K$136,'III. Finanzberichte'!$R$136,'III. Finanzberichte'!$Y$136,'III. Finanzberichte'!$AF$136,'III. Finanzberichte'!$AM$136,'III. Finanzberichte'!$AT$136,'III. Finanzberichte'!$BA$136,'III. Finanzberichte'!$BH$136,'III. Finanzberichte'!$BO$136,'III. Finanzberichte'!$BV$136,'III. Finanzberichte'!$CC$136,'III. Finanzberichte'!$CJ$136,'III. Finanzberichte'!$CQ$136,'III. Finanzberichte'!$CX$136,'III. Finanzberichte'!$DE$136,'III. Finanzberichte'!$DL$136,'III. Finanzberichte'!$DS$136),"")</f>
      </c>
      <c r="O210" s="116" t="str">
        <f>=IFERROR(CHOOSE(E81,'III. Finanzberichte'!$E$136,'III. Finanzberichte'!$L$136,'III. Finanzberichte'!$S$136,'III. Finanzberichte'!$Z$136,'III. Finanzberichte'!$AG$136,'III. Finanzberichte'!$AN$136,'III. Finanzberichte'!$AU$136,'III. Finanzberichte'!$BB$136,'III. Finanzberichte'!$BI$136,'III. Finanzberichte'!$BP$136,'III. Finanzberichte'!$BW$136,'III. Finanzberichte'!$CD$136,'III. Finanzberichte'!$CK$136,'III. Finanzberichte'!$CR$136,'III. Finanzberichte'!$CY$136,'III. Finanzberichte'!$DF$136,'III. Finanzberichte'!$DM$136,'III. Finanzberichte'!$DT$136),"")</f>
      </c>
      <c r="P210" s="144" t="str">
        <f>=IFERROR(CHOOSE(E81,'III. Finanzberichte'!$F$136,'III. Finanzberichte'!$M$136,'III. Finanzberichte'!$T$136,'III. Finanzberichte'!$AA$136,'III. Finanzberichte'!$AH$136,'III. Finanzberichte'!$AO$136,'III. Finanzberichte'!$AV$136,'III. Finanzberichte'!$BC$136,'III. Finanzberichte'!$BJ$136,'III. Finanzberichte'!$BQ$136,'III. Finanzberichte'!$BX$136,'III. Finanzberichte'!$CE$136,'III. Finanzberichte'!$CL$136,'III. Finanzberichte'!$CS$136,'III. Finanzberichte'!$CZ$136,'III. Finanzberichte'!$DG$136,'III. Finanzberichte'!$DN$136,'III. Finanzberichte'!$DU$136),"")</f>
      </c>
    </row>
    <row r="211">
      <c r="L211" s="143" t="str">
        <f>=IFERROR(CHOOSE(E81,'III. Finanzberichte'!$B$137,'III. Finanzberichte'!$I$137,'III. Finanzberichte'!$P$137,'III. Finanzberichte'!$W$137,'III. Finanzberichte'!$AD$137,'III. Finanzberichte'!$AK$137,'III. Finanzberichte'!$AR$137,'III. Finanzberichte'!$AY$137,'III. Finanzberichte'!$BF$137,'III. Finanzberichte'!$BM$137,'III. Finanzberichte'!$BT$137,'III. Finanzberichte'!$CA$137,'III. Finanzberichte'!$CH$137,'III. Finanzberichte'!$CO$137,'III. Finanzberichte'!$CV$137,'III. Finanzberichte'!$DC$137,'III. Finanzberichte'!$DJ$137,'III. Finanzberichte'!$DQ$137),"")</f>
      </c>
      <c r="M211" s="116" t="str">
        <f>=IFERROR(CHOOSE(E81,'III. Finanzberichte'!$C$137,'III. Finanzberichte'!$J$137,'III. Finanzberichte'!$Q$137,'III. Finanzberichte'!$X$137,'III. Finanzberichte'!$AE$137,'III. Finanzberichte'!$AL$137,'III. Finanzberichte'!$AS$137,'III. Finanzberichte'!$AZ$137,'III. Finanzberichte'!$BG$137,'III. Finanzberichte'!$BN$137,'III. Finanzberichte'!$BU$137,'III. Finanzberichte'!$CB$137,'III. Finanzberichte'!$CI$137,'III. Finanzberichte'!$CP$137,'III. Finanzberichte'!$CW$137,'III. Finanzberichte'!$DD$137,'III. Finanzberichte'!$DK$137,'III. Finanzberichte'!$DR$137),"")</f>
      </c>
      <c r="N211" s="117" t="str">
        <f>=IFERROR(CHOOSE(E81,'III. Finanzberichte'!$D$137,'III. Finanzberichte'!$K$137,'III. Finanzberichte'!$R$137,'III. Finanzberichte'!$Y$137,'III. Finanzberichte'!$AF$137,'III. Finanzberichte'!$AM$137,'III. Finanzberichte'!$AT$137,'III. Finanzberichte'!$BA$137,'III. Finanzberichte'!$BH$137,'III. Finanzberichte'!$BO$137,'III. Finanzberichte'!$BV$137,'III. Finanzberichte'!$CC$137,'III. Finanzberichte'!$CJ$137,'III. Finanzberichte'!$CQ$137,'III. Finanzberichte'!$CX$137,'III. Finanzberichte'!$DE$137,'III. Finanzberichte'!$DL$137,'III. Finanzberichte'!$DS$137),"")</f>
      </c>
      <c r="O211" s="116" t="str">
        <f>=IFERROR(CHOOSE(E81,'III. Finanzberichte'!$E$137,'III. Finanzberichte'!$L$137,'III. Finanzberichte'!$S$137,'III. Finanzberichte'!$Z$137,'III. Finanzberichte'!$AG$137,'III. Finanzberichte'!$AN$137,'III. Finanzberichte'!$AU$137,'III. Finanzberichte'!$BB$137,'III. Finanzberichte'!$BI$137,'III. Finanzberichte'!$BP$137,'III. Finanzberichte'!$BW$137,'III. Finanzberichte'!$CD$137,'III. Finanzberichte'!$CK$137,'III. Finanzberichte'!$CR$137,'III. Finanzberichte'!$CY$137,'III. Finanzberichte'!$DF$137,'III. Finanzberichte'!$DM$137,'III. Finanzberichte'!$DT$137),"")</f>
      </c>
      <c r="P211" s="144" t="str">
        <f>=IFERROR(CHOOSE(E81,'III. Finanzberichte'!$F$137,'III. Finanzberichte'!$M$137,'III. Finanzberichte'!$T$137,'III. Finanzberichte'!$AA$137,'III. Finanzberichte'!$AH$137,'III. Finanzberichte'!$AO$137,'III. Finanzberichte'!$AV$137,'III. Finanzberichte'!$BC$137,'III. Finanzberichte'!$BJ$137,'III. Finanzberichte'!$BQ$137,'III. Finanzberichte'!$BX$137,'III. Finanzberichte'!$CE$137,'III. Finanzberichte'!$CL$137,'III. Finanzberichte'!$CS$137,'III. Finanzberichte'!$CZ$137,'III. Finanzberichte'!$DG$137,'III. Finanzberichte'!$DN$137,'III. Finanzberichte'!$DU$137),"")</f>
      </c>
    </row>
    <row r="212">
      <c r="L212" s="143" t="str">
        <f>=IFERROR(CHOOSE(E81,'III. Finanzberichte'!$B$138,'III. Finanzberichte'!$I$138,'III. Finanzberichte'!$P$138,'III. Finanzberichte'!$W$138,'III. Finanzberichte'!$AD$138,'III. Finanzberichte'!$AK$138,'III. Finanzberichte'!$AR$138,'III. Finanzberichte'!$AY$138,'III. Finanzberichte'!$BF$138,'III. Finanzberichte'!$BM$138,'III. Finanzberichte'!$BT$138,'III. Finanzberichte'!$CA$138,'III. Finanzberichte'!$CH$138,'III. Finanzberichte'!$CO$138,'III. Finanzberichte'!$CV$138,'III. Finanzberichte'!$DC$138,'III. Finanzberichte'!$DJ$138,'III. Finanzberichte'!$DQ$138),"")</f>
      </c>
      <c r="M212" s="116" t="str">
        <f>=IFERROR(CHOOSE(E81,'III. Finanzberichte'!$C$138,'III. Finanzberichte'!$J$138,'III. Finanzberichte'!$Q$138,'III. Finanzberichte'!$X$138,'III. Finanzberichte'!$AE$138,'III. Finanzberichte'!$AL$138,'III. Finanzberichte'!$AS$138,'III. Finanzberichte'!$AZ$138,'III. Finanzberichte'!$BG$138,'III. Finanzberichte'!$BN$138,'III. Finanzberichte'!$BU$138,'III. Finanzberichte'!$CB$138,'III. Finanzberichte'!$CI$138,'III. Finanzberichte'!$CP$138,'III. Finanzberichte'!$CW$138,'III. Finanzberichte'!$DD$138,'III. Finanzberichte'!$DK$138,'III. Finanzberichte'!$DR$138),"")</f>
      </c>
      <c r="N212" s="117" t="str">
        <f>=IFERROR(CHOOSE(E81,'III. Finanzberichte'!$D$138,'III. Finanzberichte'!$K$138,'III. Finanzberichte'!$R$138,'III. Finanzberichte'!$Y$138,'III. Finanzberichte'!$AF$138,'III. Finanzberichte'!$AM$138,'III. Finanzberichte'!$AT$138,'III. Finanzberichte'!$BA$138,'III. Finanzberichte'!$BH$138,'III. Finanzberichte'!$BO$138,'III. Finanzberichte'!$BV$138,'III. Finanzberichte'!$CC$138,'III. Finanzberichte'!$CJ$138,'III. Finanzberichte'!$CQ$138,'III. Finanzberichte'!$CX$138,'III. Finanzberichte'!$DE$138,'III. Finanzberichte'!$DL$138,'III. Finanzberichte'!$DS$138),"")</f>
      </c>
      <c r="O212" s="116" t="str">
        <f>=IFERROR(CHOOSE(E81,'III. Finanzberichte'!$E$138,'III. Finanzberichte'!$L$138,'III. Finanzberichte'!$S$138,'III. Finanzberichte'!$Z$138,'III. Finanzberichte'!$AG$138,'III. Finanzberichte'!$AN$138,'III. Finanzberichte'!$AU$138,'III. Finanzberichte'!$BB$138,'III. Finanzberichte'!$BI$138,'III. Finanzberichte'!$BP$138,'III. Finanzberichte'!$BW$138,'III. Finanzberichte'!$CD$138,'III. Finanzberichte'!$CK$138,'III. Finanzberichte'!$CR$138,'III. Finanzberichte'!$CY$138,'III. Finanzberichte'!$DF$138,'III. Finanzberichte'!$DM$138,'III. Finanzberichte'!$DT$138),"")</f>
      </c>
      <c r="P212" s="144" t="str">
        <f>=IFERROR(CHOOSE(E81,'III. Finanzberichte'!$F$138,'III. Finanzberichte'!$M$138,'III. Finanzberichte'!$T$138,'III. Finanzberichte'!$AA$138,'III. Finanzberichte'!$AH$138,'III. Finanzberichte'!$AO$138,'III. Finanzberichte'!$AV$138,'III. Finanzberichte'!$BC$138,'III. Finanzberichte'!$BJ$138,'III. Finanzberichte'!$BQ$138,'III. Finanzberichte'!$BX$138,'III. Finanzberichte'!$CE$138,'III. Finanzberichte'!$CL$138,'III. Finanzberichte'!$CS$138,'III. Finanzberichte'!$CZ$138,'III. Finanzberichte'!$DG$138,'III. Finanzberichte'!$DN$138,'III. Finanzberichte'!$DU$138),"")</f>
      </c>
    </row>
    <row r="213">
      <c r="L213" s="143" t="str">
        <f>=IFERROR(CHOOSE(E81,'III. Finanzberichte'!$B$139,'III. Finanzberichte'!$I$139,'III. Finanzberichte'!$P$139,'III. Finanzberichte'!$W$139,'III. Finanzberichte'!$AD$139,'III. Finanzberichte'!$AK$139,'III. Finanzberichte'!$AR$139,'III. Finanzberichte'!$AY$139,'III. Finanzberichte'!$BF$139,'III. Finanzberichte'!$BM$139,'III. Finanzberichte'!$BT$139,'III. Finanzberichte'!$CA$139,'III. Finanzberichte'!$CH$139,'III. Finanzberichte'!$CO$139,'III. Finanzberichte'!$CV$139,'III. Finanzberichte'!$DC$139,'III. Finanzberichte'!$DJ$139,'III. Finanzberichte'!$DQ$139),"")</f>
      </c>
      <c r="M213" s="116" t="str">
        <f>=IFERROR(CHOOSE(E81,'III. Finanzberichte'!$C$139,'III. Finanzberichte'!$J$139,'III. Finanzberichte'!$Q$139,'III. Finanzberichte'!$X$139,'III. Finanzberichte'!$AE$139,'III. Finanzberichte'!$AL$139,'III. Finanzberichte'!$AS$139,'III. Finanzberichte'!$AZ$139,'III. Finanzberichte'!$BG$139,'III. Finanzberichte'!$BN$139,'III. Finanzberichte'!$BU$139,'III. Finanzberichte'!$CB$139,'III. Finanzberichte'!$CI$139,'III. Finanzberichte'!$CP$139,'III. Finanzberichte'!$CW$139,'III. Finanzberichte'!$DD$139,'III. Finanzberichte'!$DK$139,'III. Finanzberichte'!$DR$139),"")</f>
      </c>
      <c r="N213" s="117" t="str">
        <f>=IFERROR(CHOOSE(E81,'III. Finanzberichte'!$D$139,'III. Finanzberichte'!$K$139,'III. Finanzberichte'!$R$139,'III. Finanzberichte'!$Y$139,'III. Finanzberichte'!$AF$139,'III. Finanzberichte'!$AM$139,'III. Finanzberichte'!$AT$139,'III. Finanzberichte'!$BA$139,'III. Finanzberichte'!$BH$139,'III. Finanzberichte'!$BO$139,'III. Finanzberichte'!$BV$139,'III. Finanzberichte'!$CC$139,'III. Finanzberichte'!$CJ$139,'III. Finanzberichte'!$CQ$139,'III. Finanzberichte'!$CX$139,'III. Finanzberichte'!$DE$139,'III. Finanzberichte'!$DL$139,'III. Finanzberichte'!$DS$139),"")</f>
      </c>
      <c r="O213" s="116" t="str">
        <f>=IFERROR(CHOOSE(E81,'III. Finanzberichte'!$E$139,'III. Finanzberichte'!$L$139,'III. Finanzberichte'!$S$139,'III. Finanzberichte'!$Z$139,'III. Finanzberichte'!$AG$139,'III. Finanzberichte'!$AN$139,'III. Finanzberichte'!$AU$139,'III. Finanzberichte'!$BB$139,'III. Finanzberichte'!$BI$139,'III. Finanzberichte'!$BP$139,'III. Finanzberichte'!$BW$139,'III. Finanzberichte'!$CD$139,'III. Finanzberichte'!$CK$139,'III. Finanzberichte'!$CR$139,'III. Finanzberichte'!$CY$139,'III. Finanzberichte'!$DF$139,'III. Finanzberichte'!$DM$139,'III. Finanzberichte'!$DT$139),"")</f>
      </c>
      <c r="P213" s="144" t="str">
        <f>=IFERROR(CHOOSE(E81,'III. Finanzberichte'!$F$139,'III. Finanzberichte'!$M$139,'III. Finanzberichte'!$T$139,'III. Finanzberichte'!$AA$139,'III. Finanzberichte'!$AH$139,'III. Finanzberichte'!$AO$139,'III. Finanzberichte'!$AV$139,'III. Finanzberichte'!$BC$139,'III. Finanzberichte'!$BJ$139,'III. Finanzberichte'!$BQ$139,'III. Finanzberichte'!$BX$139,'III. Finanzberichte'!$CE$139,'III. Finanzberichte'!$CL$139,'III. Finanzberichte'!$CS$139,'III. Finanzberichte'!$CZ$139,'III. Finanzberichte'!$DG$139,'III. Finanzberichte'!$DN$139,'III. Finanzberichte'!$DU$139),"")</f>
      </c>
    </row>
    <row r="214">
      <c r="L214" s="143" t="str">
        <f>=IFERROR(CHOOSE(E81,'III. Finanzberichte'!$B$140,'III. Finanzberichte'!$I$140,'III. Finanzberichte'!$P$140,'III. Finanzberichte'!$W$140,'III. Finanzberichte'!$AD$140,'III. Finanzberichte'!$AK$140,'III. Finanzberichte'!$AR$140,'III. Finanzberichte'!$AY$140,'III. Finanzberichte'!$BF$140,'III. Finanzberichte'!$BM$140,'III. Finanzberichte'!$BT$140,'III. Finanzberichte'!$CA$140,'III. Finanzberichte'!$CH$140,'III. Finanzberichte'!$CO$140,'III. Finanzberichte'!$CV$140,'III. Finanzberichte'!$DC$140,'III. Finanzberichte'!$DJ$140,'III. Finanzberichte'!$DQ$140),"")</f>
      </c>
      <c r="M214" s="116" t="str">
        <f>=IFERROR(CHOOSE(E81,'III. Finanzberichte'!$C$140,'III. Finanzberichte'!$J$140,'III. Finanzberichte'!$Q$140,'III. Finanzberichte'!$X$140,'III. Finanzberichte'!$AE$140,'III. Finanzberichte'!$AL$140,'III. Finanzberichte'!$AS$140,'III. Finanzberichte'!$AZ$140,'III. Finanzberichte'!$BG$140,'III. Finanzberichte'!$BN$140,'III. Finanzberichte'!$BU$140,'III. Finanzberichte'!$CB$140,'III. Finanzberichte'!$CI$140,'III. Finanzberichte'!$CP$140,'III. Finanzberichte'!$CW$140,'III. Finanzberichte'!$DD$140,'III. Finanzberichte'!$DK$140,'III. Finanzberichte'!$DR$140),"")</f>
      </c>
      <c r="N214" s="117" t="str">
        <f>=IFERROR(CHOOSE(E81,'III. Finanzberichte'!$D$140,'III. Finanzberichte'!$K$140,'III. Finanzberichte'!$R$140,'III. Finanzberichte'!$Y$140,'III. Finanzberichte'!$AF$140,'III. Finanzberichte'!$AM$140,'III. Finanzberichte'!$AT$140,'III. Finanzberichte'!$BA$140,'III. Finanzberichte'!$BH$140,'III. Finanzberichte'!$BO$140,'III. Finanzberichte'!$BV$140,'III. Finanzberichte'!$CC$140,'III. Finanzberichte'!$CJ$140,'III. Finanzberichte'!$CQ$140,'III. Finanzberichte'!$CX$140,'III. Finanzberichte'!$DE$140,'III. Finanzberichte'!$DL$140,'III. Finanzberichte'!$DS$140),"")</f>
      </c>
      <c r="O214" s="116" t="str">
        <f>=IFERROR(CHOOSE(E81,'III. Finanzberichte'!$E$140,'III. Finanzberichte'!$L$140,'III. Finanzberichte'!$S$140,'III. Finanzberichte'!$Z$140,'III. Finanzberichte'!$AG$140,'III. Finanzberichte'!$AN$140,'III. Finanzberichte'!$AU$140,'III. Finanzberichte'!$BB$140,'III. Finanzberichte'!$BI$140,'III. Finanzberichte'!$BP$140,'III. Finanzberichte'!$BW$140,'III. Finanzberichte'!$CD$140,'III. Finanzberichte'!$CK$140,'III. Finanzberichte'!$CR$140,'III. Finanzberichte'!$CY$140,'III. Finanzberichte'!$DF$140,'III. Finanzberichte'!$DM$140,'III. Finanzberichte'!$DT$140),"")</f>
      </c>
      <c r="P214" s="144" t="str">
        <f>=IFERROR(CHOOSE(E81,'III. Finanzberichte'!$F$140,'III. Finanzberichte'!$M$140,'III. Finanzberichte'!$T$140,'III. Finanzberichte'!$AA$140,'III. Finanzberichte'!$AH$140,'III. Finanzberichte'!$AO$140,'III. Finanzberichte'!$AV$140,'III. Finanzberichte'!$BC$140,'III. Finanzberichte'!$BJ$140,'III. Finanzberichte'!$BQ$140,'III. Finanzberichte'!$BX$140,'III. Finanzberichte'!$CE$140,'III. Finanzberichte'!$CL$140,'III. Finanzberichte'!$CS$140,'III. Finanzberichte'!$CZ$140,'III. Finanzberichte'!$DG$140,'III. Finanzberichte'!$DN$140,'III. Finanzberichte'!$DU$140),"")</f>
      </c>
    </row>
    <row r="215">
      <c r="L215" s="143" t="str">
        <f>=IFERROR(CHOOSE(E81,'III. Finanzberichte'!$B$141,'III. Finanzberichte'!$I$141,'III. Finanzberichte'!$P$141,'III. Finanzberichte'!$W$141,'III. Finanzberichte'!$AD$141,'III. Finanzberichte'!$AK$141,'III. Finanzberichte'!$AR$141,'III. Finanzberichte'!$AY$141,'III. Finanzberichte'!$BF$141,'III. Finanzberichte'!$BM$141,'III. Finanzberichte'!$BT$141,'III. Finanzberichte'!$CA$141,'III. Finanzberichte'!$CH$141,'III. Finanzberichte'!$CO$141,'III. Finanzberichte'!$CV$141,'III. Finanzberichte'!$DC$141,'III. Finanzberichte'!$DJ$141,'III. Finanzberichte'!$DQ$141),"")</f>
      </c>
      <c r="M215" s="116" t="str">
        <f>=IFERROR(CHOOSE(E81,'III. Finanzberichte'!$C$141,'III. Finanzberichte'!$J$141,'III. Finanzberichte'!$Q$141,'III. Finanzberichte'!$X$141,'III. Finanzberichte'!$AE$141,'III. Finanzberichte'!$AL$141,'III. Finanzberichte'!$AS$141,'III. Finanzberichte'!$AZ$141,'III. Finanzberichte'!$BG$141,'III. Finanzberichte'!$BN$141,'III. Finanzberichte'!$BU$141,'III. Finanzberichte'!$CB$141,'III. Finanzberichte'!$CI$141,'III. Finanzberichte'!$CP$141,'III. Finanzberichte'!$CW$141,'III. Finanzberichte'!$DD$141,'III. Finanzberichte'!$DK$141,'III. Finanzberichte'!$DR$141),"")</f>
      </c>
      <c r="N215" s="117" t="str">
        <f>=IFERROR(CHOOSE(E81,'III. Finanzberichte'!$D$141,'III. Finanzberichte'!$K$141,'III. Finanzberichte'!$R$141,'III. Finanzberichte'!$Y$141,'III. Finanzberichte'!$AF$141,'III. Finanzberichte'!$AM$141,'III. Finanzberichte'!$AT$141,'III. Finanzberichte'!$BA$141,'III. Finanzberichte'!$BH$141,'III. Finanzberichte'!$BO$141,'III. Finanzberichte'!$BV$141,'III. Finanzberichte'!$CC$141,'III. Finanzberichte'!$CJ$141,'III. Finanzberichte'!$CQ$141,'III. Finanzberichte'!$CX$141,'III. Finanzberichte'!$DE$141,'III. Finanzberichte'!$DL$141,'III. Finanzberichte'!$DS$141),"")</f>
      </c>
      <c r="O215" s="116" t="str">
        <f>=IFERROR(CHOOSE(E81,'III. Finanzberichte'!$E$141,'III. Finanzberichte'!$L$141,'III. Finanzberichte'!$S$141,'III. Finanzberichte'!$Z$141,'III. Finanzberichte'!$AG$141,'III. Finanzberichte'!$AN$141,'III. Finanzberichte'!$AU$141,'III. Finanzberichte'!$BB$141,'III. Finanzberichte'!$BI$141,'III. Finanzberichte'!$BP$141,'III. Finanzberichte'!$BW$141,'III. Finanzberichte'!$CD$141,'III. Finanzberichte'!$CK$141,'III. Finanzberichte'!$CR$141,'III. Finanzberichte'!$CY$141,'III. Finanzberichte'!$DF$141,'III. Finanzberichte'!$DM$141,'III. Finanzberichte'!$DT$141),"")</f>
      </c>
      <c r="P215" s="144" t="str">
        <f>=IFERROR(CHOOSE(E81,'III. Finanzberichte'!$F$141,'III. Finanzberichte'!$M$141,'III. Finanzberichte'!$T$141,'III. Finanzberichte'!$AA$141,'III. Finanzberichte'!$AH$141,'III. Finanzberichte'!$AO$141,'III. Finanzberichte'!$AV$141,'III. Finanzberichte'!$BC$141,'III. Finanzberichte'!$BJ$141,'III. Finanzberichte'!$BQ$141,'III. Finanzberichte'!$BX$141,'III. Finanzberichte'!$CE$141,'III. Finanzberichte'!$CL$141,'III. Finanzberichte'!$CS$141,'III. Finanzberichte'!$CZ$141,'III. Finanzberichte'!$DG$141,'III. Finanzberichte'!$DN$141,'III. Finanzberichte'!$DU$141),"")</f>
      </c>
    </row>
    <row r="216">
      <c r="L216" s="345" t="s">
        <v>435</v>
      </c>
      <c r="M216" s="333" t="str">
        <f>=IFERROR(CHOOSE(E81,'III. Finanzberichte'!$C$142,'III. Finanzberichte'!$J$142,'III. Finanzberichte'!$Q$142,'III. Finanzberichte'!$X$142,'III. Finanzberichte'!$AE$142,'III. Finanzberichte'!$AL$142,'III. Finanzberichte'!$AS$142,'III. Finanzberichte'!$AZ$142,'III. Finanzberichte'!$BG$142,'III. Finanzberichte'!$BN$142,'III. Finanzberichte'!$BU$142,'III. Finanzberichte'!$CB$142,'III. Finanzberichte'!$CI$142,'III. Finanzberichte'!$CP$142,'III. Finanzberichte'!$CW$142,'III. Finanzberichte'!$DD$142,'III. Finanzberichte'!$DK$142,'III. Finanzberichte'!$DR$142),"")</f>
      </c>
      <c r="N216" s="334" t="str">
        <f>=IFERROR(CHOOSE(E81,'III. Finanzberichte'!$D$142,'III. Finanzberichte'!$K$142,'III. Finanzberichte'!$R$142,'III. Finanzberichte'!$Y$142,'III. Finanzberichte'!$AF$142,'III. Finanzberichte'!$AM$142,'III. Finanzberichte'!$AT$142,'III. Finanzberichte'!$BA$142,'III. Finanzberichte'!$BH$142,'III. Finanzberichte'!$BO$142,'III. Finanzberichte'!$BV$142,'III. Finanzberichte'!$CC$142,'III. Finanzberichte'!$CJ$142,'III. Finanzberichte'!$CQ$142,'III. Finanzberichte'!$CX$142,'III. Finanzberichte'!$DE$142,'III. Finanzberichte'!$DL$142,'III. Finanzberichte'!$DS$142),"")</f>
      </c>
      <c r="O216" s="333" t="str">
        <f>=IFERROR(CHOOSE(E81,'III. Finanzberichte'!$E$142,'III. Finanzberichte'!$L$142,'III. Finanzberichte'!$S$142,'III. Finanzberichte'!$Z$142,'III. Finanzberichte'!$AG$142,'III. Finanzberichte'!$AN$142,'III. Finanzberichte'!$AU$142,'III. Finanzberichte'!$BB$142,'III. Finanzberichte'!$BI$142,'III. Finanzberichte'!$BP$142,'III. Finanzberichte'!$BW$142,'III. Finanzberichte'!$CD$142,'III. Finanzberichte'!$CK$142,'III. Finanzberichte'!$CR$142,'III. Finanzberichte'!$CY$142,'III. Finanzberichte'!$DF$142,'III. Finanzberichte'!$DM$142,'III. Finanzberichte'!$DT$142),"")</f>
      </c>
      <c r="P216" s="346" t="str">
        <f>=IFERROR(CHOOSE(E81,'III. Finanzberichte'!$F$142,'III. Finanzberichte'!$M$142,'III. Finanzberichte'!$T$142,'III. Finanzberichte'!$AA$142,'III. Finanzberichte'!$AH$142,'III. Finanzberichte'!$AO$142,'III. Finanzberichte'!$AV$142,'III. Finanzberichte'!$BC$142,'III. Finanzberichte'!$BJ$142,'III. Finanzberichte'!$BQ$142,'III. Finanzberichte'!$BX$142,'III. Finanzberichte'!$CE$142,'III. Finanzberichte'!$CL$142,'III. Finanzberichte'!$CS$142,'III. Finanzberichte'!$CZ$142,'III. Finanzberichte'!$DG$142,'III. Finanzberichte'!$DN$142,'III. Finanzberichte'!$DU$142),"")</f>
      </c>
    </row>
    <row r="217">
      <c r="L217" s="45"/>
      <c r="P217" s="46"/>
    </row>
    <row r="218">
      <c r="L218" s="347" t="s">
        <v>436</v>
      </c>
      <c r="M218" s="348" t="str">
        <f>=IFERROR(CHOOSE(E81,'III. Finanzberichte'!$C$144,'III. Finanzberichte'!$J$144,'III. Finanzberichte'!$Q$144,'III. Finanzberichte'!$X$144,'III. Finanzberichte'!$AE$144,'III. Finanzberichte'!$AL$144,'III. Finanzberichte'!$AS$144,'III. Finanzberichte'!$AZ$144,'III. Finanzberichte'!$BG$144,'III. Finanzberichte'!$BN$144,'III. Finanzberichte'!$BU$144,'III. Finanzberichte'!$CB$144,'III. Finanzberichte'!$CI$144,'III. Finanzberichte'!$CP$144,'III. Finanzberichte'!$CW$144,'III. Finanzberichte'!$DD$144,'III. Finanzberichte'!$DK$144,'III. Finanzberichte'!$DR$144),"")</f>
      </c>
      <c r="N218" s="349" t="str">
        <f>=IFERROR(CHOOSE(E81,'III. Finanzberichte'!$D$144,'III. Finanzberichte'!$K$144,'III. Finanzberichte'!$R$144,'III. Finanzberichte'!$Y$144,'III. Finanzberichte'!$AF$144,'III. Finanzberichte'!$AM$144,'III. Finanzberichte'!$AT$144,'III. Finanzberichte'!$BA$144,'III. Finanzberichte'!$BH$144,'III. Finanzberichte'!$BO$144,'III. Finanzberichte'!$BV$144,'III. Finanzberichte'!$CC$144,'III. Finanzberichte'!$CJ$144,'III. Finanzberichte'!$CQ$144,'III. Finanzberichte'!$CX$144,'III. Finanzberichte'!$DE$144,'III. Finanzberichte'!$DL$144,'III. Finanzberichte'!$DS$144),"")</f>
      </c>
      <c r="O218" s="348" t="str">
        <f>=IFERROR(CHOOSE(E81,'III. Finanzberichte'!$E$144,'III. Finanzberichte'!$L$144,'III. Finanzberichte'!$S$144,'III. Finanzberichte'!$Z$144,'III. Finanzberichte'!$AG$144,'III. Finanzberichte'!$AN$144,'III. Finanzberichte'!$AU$144,'III. Finanzberichte'!$BB$144,'III. Finanzberichte'!$BI$144,'III. Finanzberichte'!$BP$144,'III. Finanzberichte'!$BW$144,'III. Finanzberichte'!$CD$144,'III. Finanzberichte'!$CK$144,'III. Finanzberichte'!$CR$144,'III. Finanzberichte'!$CY$144,'III. Finanzberichte'!$DF$144,'III. Finanzberichte'!$DM$144,'III. Finanzberichte'!$DT$144),"")</f>
      </c>
      <c r="P218" s="350" t="str">
        <f>=IFERROR(CHOOSE(E81,'III. Finanzberichte'!$F$144,'III. Finanzberichte'!$M$144,'III. Finanzberichte'!$T$144,'III. Finanzberichte'!$AA$144,'III. Finanzberichte'!$AH$144,'III. Finanzberichte'!$AO$144,'III. Finanzberichte'!$AV$144,'III. Finanzberichte'!$BC$144,'III. Finanzberichte'!$BJ$144,'III. Finanzberichte'!$BQ$144,'III. Finanzberichte'!$BX$144,'III. Finanzberichte'!$CE$144,'III. Finanzberichte'!$CL$144,'III. Finanzberichte'!$CS$144,'III. Finanzberichte'!$CZ$144,'III. Finanzberichte'!$DG$144,'III. Finanzberichte'!$DN$144,'III. Finanzberichte'!$DU$144),"")</f>
      </c>
    </row>
  </sheetData>
  <mergeCells count="89">
    <mergeCell ref="B2:J2"/>
    <mergeCell ref="B3:J3"/>
    <mergeCell ref="B5:J5"/>
    <mergeCell ref="B6:J6"/>
    <mergeCell ref="C8:G8"/>
    <mergeCell ref="C9:D9"/>
    <mergeCell ref="E9:G9"/>
    <mergeCell ref="C10:D10"/>
    <mergeCell ref="E10:G10"/>
    <mergeCell ref="C11:D11"/>
    <mergeCell ref="E11:G11"/>
    <mergeCell ref="C12:G12"/>
    <mergeCell ref="C13:D13"/>
    <mergeCell ref="E13:F13"/>
    <mergeCell ref="G13:G13"/>
    <mergeCell ref="C14:D14"/>
    <mergeCell ref="E14:F14"/>
    <mergeCell ref="G14:G14"/>
    <mergeCell ref="C15:D15"/>
    <mergeCell ref="E15:F15"/>
    <mergeCell ref="G15:G15"/>
    <mergeCell ref="C16:D16"/>
    <mergeCell ref="E16:F16"/>
    <mergeCell ref="G16:G16"/>
    <mergeCell ref="C17:D17"/>
    <mergeCell ref="E17:F17"/>
    <mergeCell ref="G17:G17"/>
    <mergeCell ref="C18:D18"/>
    <mergeCell ref="E18:F18"/>
    <mergeCell ref="G18:G18"/>
    <mergeCell ref="B20:J20"/>
    <mergeCell ref="B22:C22"/>
    <mergeCell ref="B23:C23"/>
    <mergeCell ref="B24:C24"/>
    <mergeCell ref="B25:C25"/>
    <mergeCell ref="B26:C26"/>
    <mergeCell ref="F22:I22"/>
    <mergeCell ref="G23:H23"/>
    <mergeCell ref="G24:H24"/>
    <mergeCell ref="G25:H25"/>
    <mergeCell ref="G26:H26"/>
    <mergeCell ref="G27:H27"/>
    <mergeCell ref="B29:C29"/>
    <mergeCell ref="F29:H29"/>
    <mergeCell ref="B30:C30"/>
    <mergeCell ref="F30:H30"/>
    <mergeCell ref="B32:C32"/>
    <mergeCell ref="F32:H32"/>
    <mergeCell ref="B33:C33"/>
    <mergeCell ref="F33:H33"/>
    <mergeCell ref="B36:J36"/>
    <mergeCell ref="C43:E43"/>
    <mergeCell ref="C44:E44"/>
    <mergeCell ref="B50:J50"/>
    <mergeCell ref="B59:J59"/>
    <mergeCell ref="B76:J76"/>
    <mergeCell ref="B77:J77"/>
    <mergeCell ref="C79:G79"/>
    <mergeCell ref="C80:D80"/>
    <mergeCell ref="E80:G80"/>
    <mergeCell ref="C81:D81"/>
    <mergeCell ref="E81:G81"/>
    <mergeCell ref="B83:J83"/>
    <mergeCell ref="B85:C85"/>
    <mergeCell ref="B86:C86"/>
    <mergeCell ref="B87:C87"/>
    <mergeCell ref="B88:C88"/>
    <mergeCell ref="B89:C89"/>
    <mergeCell ref="F85:I85"/>
    <mergeCell ref="G86:H86"/>
    <mergeCell ref="G87:H87"/>
    <mergeCell ref="G88:H88"/>
    <mergeCell ref="G89:H89"/>
    <mergeCell ref="B93:J93"/>
    <mergeCell ref="B102:J102"/>
    <mergeCell ref="L5:N5"/>
    <mergeCell ref="M6:N6"/>
    <mergeCell ref="M7:N7"/>
    <mergeCell ref="M8:N8"/>
    <mergeCell ref="M9:N9"/>
    <mergeCell ref="M10:N10"/>
    <mergeCell ref="L76:P76"/>
    <mergeCell ref="M77:P77"/>
    <mergeCell ref="M78:P78"/>
    <mergeCell ref="M79:P79"/>
    <mergeCell ref="M80:P80"/>
    <mergeCell ref="M81:P81"/>
    <mergeCell ref="L83:P83"/>
    <mergeCell ref="L91:P91"/>
  </mergeCells>
  <conditionalFormatting sqref="C13:D13">
    <cfRule type="expression" dxfId="8" priority="1">
      <formula>$C$13&lt;&gt;""</formula>
    </cfRule>
  </conditionalFormatting>
  <conditionalFormatting sqref="E13:F13">
    <cfRule type="expression" dxfId="9" priority="2">
      <formula>$C$13&lt;&gt;""</formula>
    </cfRule>
  </conditionalFormatting>
  <conditionalFormatting sqref="G13:G13">
    <cfRule type="expression" dxfId="10" priority="3">
      <formula>$C$13&lt;&gt;""</formula>
    </cfRule>
  </conditionalFormatting>
  <conditionalFormatting sqref="C14:D14">
    <cfRule type="expression" dxfId="8" priority="4">
      <formula>$C$14&lt;&gt;""</formula>
    </cfRule>
  </conditionalFormatting>
  <conditionalFormatting sqref="E14:F14">
    <cfRule type="expression" dxfId="9" priority="5">
      <formula>$C$14&lt;&gt;""</formula>
    </cfRule>
  </conditionalFormatting>
  <conditionalFormatting sqref="G14:G14">
    <cfRule type="expression" dxfId="10" priority="6">
      <formula>$C$14&lt;&gt;""</formula>
    </cfRule>
  </conditionalFormatting>
  <conditionalFormatting sqref="C15:D15">
    <cfRule type="expression" dxfId="8" priority="7">
      <formula>$C$15&lt;&gt;""</formula>
    </cfRule>
  </conditionalFormatting>
  <conditionalFormatting sqref="E15:F15">
    <cfRule type="expression" dxfId="9" priority="8">
      <formula>$C$15&lt;&gt;""</formula>
    </cfRule>
  </conditionalFormatting>
  <conditionalFormatting sqref="G15:G15">
    <cfRule type="expression" dxfId="10" priority="9">
      <formula>$C$15&lt;&gt;""</formula>
    </cfRule>
  </conditionalFormatting>
  <conditionalFormatting sqref="C16:D16">
    <cfRule type="expression" dxfId="8" priority="10">
      <formula>$C$16&lt;&gt;""</formula>
    </cfRule>
  </conditionalFormatting>
  <conditionalFormatting sqref="E16:F16">
    <cfRule type="expression" dxfId="9" priority="11">
      <formula>$C$16&lt;&gt;""</formula>
    </cfRule>
  </conditionalFormatting>
  <conditionalFormatting sqref="G16:G16">
    <cfRule type="expression" dxfId="10" priority="12">
      <formula>$C$16&lt;&gt;""</formula>
    </cfRule>
  </conditionalFormatting>
  <conditionalFormatting sqref="C17:D17">
    <cfRule type="expression" dxfId="8" priority="13">
      <formula>$C$17&lt;&gt;""</formula>
    </cfRule>
  </conditionalFormatting>
  <conditionalFormatting sqref="E17:F17">
    <cfRule type="expression" dxfId="9" priority="14">
      <formula>$C$17&lt;&gt;""</formula>
    </cfRule>
  </conditionalFormatting>
  <conditionalFormatting sqref="G17:G17">
    <cfRule type="expression" dxfId="10" priority="15">
      <formula>$C$17&lt;&gt;""</formula>
    </cfRule>
  </conditionalFormatting>
  <conditionalFormatting sqref="C18:D18">
    <cfRule type="expression" dxfId="8" priority="16">
      <formula>$C$18&lt;&gt;""</formula>
    </cfRule>
  </conditionalFormatting>
  <conditionalFormatting sqref="E18:F18">
    <cfRule type="expression" dxfId="9" priority="17">
      <formula>$C$18&lt;&gt;""</formula>
    </cfRule>
  </conditionalFormatting>
  <conditionalFormatting sqref="G18:G18">
    <cfRule type="expression" dxfId="10" priority="18">
      <formula>$C$18&lt;&gt;""</formula>
    </cfRule>
  </conditionalFormatting>
  <conditionalFormatting sqref="I23">
    <cfRule type="expression" dxfId="11" priority="19">
      <formula>$F$23="Kein Abzug"</formula>
    </cfRule>
  </conditionalFormatting>
  <conditionalFormatting sqref="I23">
    <cfRule type="expression" dxfId="12" priority="20">
      <formula>$F$23="Kein Abzug"</formula>
    </cfRule>
  </conditionalFormatting>
  <conditionalFormatting sqref="I24">
    <cfRule type="expression" dxfId="11" priority="21">
      <formula>$F$24="Kein Abzug"</formula>
    </cfRule>
  </conditionalFormatting>
  <conditionalFormatting sqref="I24">
    <cfRule type="expression" dxfId="12" priority="22">
      <formula>$F$24="Kein Abzug"</formula>
    </cfRule>
  </conditionalFormatting>
  <conditionalFormatting sqref="I25">
    <cfRule type="expression" dxfId="11" priority="23">
      <formula>$F$25="Kein Abzug"</formula>
    </cfRule>
  </conditionalFormatting>
  <conditionalFormatting sqref="I25">
    <cfRule type="expression" dxfId="12" priority="24">
      <formula>$F$25="Kein Abzug"</formula>
    </cfRule>
  </conditionalFormatting>
  <conditionalFormatting sqref="C46">
    <cfRule type="expression" dxfId="13" priority="25">
      <formula>$C$46="OK"</formula>
    </cfRule>
  </conditionalFormatting>
  <conditionalFormatting sqref="C46">
    <cfRule type="expression" dxfId="14" priority="26">
      <formula>$C$46&lt;&gt;"OK"</formula>
    </cfRule>
  </conditionalFormatting>
  <conditionalFormatting sqref="E46">
    <cfRule type="expression" dxfId="13" priority="27">
      <formula>$E$46="OK"</formula>
    </cfRule>
  </conditionalFormatting>
  <conditionalFormatting sqref="E46">
    <cfRule type="expression" dxfId="14" priority="28">
      <formula>$E$46&lt;&gt;"OK"</formula>
    </cfRule>
  </conditionalFormatting>
  <conditionalFormatting sqref="C47">
    <cfRule type="expression" dxfId="15" priority="29">
      <formula>$C$47&gt;0</formula>
    </cfRule>
  </conditionalFormatting>
  <conditionalFormatting sqref="E47">
    <cfRule type="expression" dxfId="16" priority="30">
      <formula>$E$47&gt;0</formula>
    </cfRule>
  </conditionalFormatting>
  <conditionalFormatting sqref="F53:F56">
    <cfRule type="expression" dxfId="17" priority="31">
      <formula>F53&gt;=0.2</formula>
    </cfRule>
  </conditionalFormatting>
  <conditionalFormatting sqref="F53:F56">
    <cfRule type="expression" dxfId="18" priority="32">
      <formula>AND(F53&gt;=0.1,F53&lt;0.2)</formula>
    </cfRule>
  </conditionalFormatting>
  <conditionalFormatting sqref="J53:J56">
    <cfRule type="expression" dxfId="17" priority="33">
      <formula>J53&gt;=0.2</formula>
    </cfRule>
  </conditionalFormatting>
  <conditionalFormatting sqref="J53:J56">
    <cfRule type="expression" dxfId="18" priority="34">
      <formula>AND(J53&gt;=0.1,J53&lt;0.2)</formula>
    </cfRule>
  </conditionalFormatting>
  <conditionalFormatting sqref="F62:F69">
    <cfRule type="expression" dxfId="17" priority="35">
      <formula>F62&gt;=0.2</formula>
    </cfRule>
  </conditionalFormatting>
  <conditionalFormatting sqref="F62:F69">
    <cfRule type="expression" dxfId="18" priority="36">
      <formula>AND(F62&gt;=0.1,F62&lt;0.2)</formula>
    </cfRule>
  </conditionalFormatting>
  <conditionalFormatting sqref="J62:J69">
    <cfRule type="expression" dxfId="17" priority="37">
      <formula>J62&gt;=0.2</formula>
    </cfRule>
  </conditionalFormatting>
  <conditionalFormatting sqref="J62:J69">
    <cfRule type="expression" dxfId="18" priority="38">
      <formula>AND(J62&gt;=0.1,J62&lt;0.2)</formula>
    </cfRule>
  </conditionalFormatting>
  <conditionalFormatting sqref="I86">
    <cfRule type="expression" dxfId="11" priority="39">
      <formula>$F$86="Kein Abzug"</formula>
    </cfRule>
  </conditionalFormatting>
  <conditionalFormatting sqref="I86">
    <cfRule type="expression" dxfId="12" priority="40">
      <formula>$F$86="Kein Abzug"</formula>
    </cfRule>
  </conditionalFormatting>
  <conditionalFormatting sqref="I87">
    <cfRule type="expression" dxfId="11" priority="41">
      <formula>$F$87="Kein Abzug"</formula>
    </cfRule>
  </conditionalFormatting>
  <conditionalFormatting sqref="I87">
    <cfRule type="expression" dxfId="12" priority="42">
      <formula>$F$87="Kein Abzug"</formula>
    </cfRule>
  </conditionalFormatting>
  <conditionalFormatting sqref="F96:F99">
    <cfRule type="expression" dxfId="17" priority="43">
      <formula>F96&gt;=0.2</formula>
    </cfRule>
  </conditionalFormatting>
  <conditionalFormatting sqref="F96:F99">
    <cfRule type="expression" dxfId="18" priority="44">
      <formula>AND(F96&gt;=0.1,F96&lt;0.2)</formula>
    </cfRule>
  </conditionalFormatting>
  <conditionalFormatting sqref="J96:J99">
    <cfRule type="expression" dxfId="17" priority="45">
      <formula>J96&gt;=0.2</formula>
    </cfRule>
  </conditionalFormatting>
  <conditionalFormatting sqref="J96:J99">
    <cfRule type="expression" dxfId="18" priority="46">
      <formula>AND(J96&gt;=0.1,J96&lt;0.2)</formula>
    </cfRule>
  </conditionalFormatting>
  <conditionalFormatting sqref="F105:F112">
    <cfRule type="expression" dxfId="17" priority="47">
      <formula>F105&gt;=0.2</formula>
    </cfRule>
  </conditionalFormatting>
  <conditionalFormatting sqref="F105:F112">
    <cfRule type="expression" dxfId="18" priority="48">
      <formula>AND(F105&gt;=0.1,F105&lt;0.2)</formula>
    </cfRule>
  </conditionalFormatting>
  <conditionalFormatting sqref="J105:J112">
    <cfRule type="expression" dxfId="17" priority="49">
      <formula>J105&gt;=0.2</formula>
    </cfRule>
  </conditionalFormatting>
  <conditionalFormatting sqref="J105:J112">
    <cfRule type="expression" dxfId="18" priority="50">
      <formula>AND(J105&gt;=0.1,J105&lt;0.2)</formula>
    </cfRule>
  </conditionalFormatting>
  <dataValidations count="10">
    <dataValidation allowBlank="true" sqref="E9" type="list">
      <formula1>=MA_Auswahl_Liste</formula1>
    </dataValidation>
    <dataValidation allowBlank="true" sqref="F23" type="list">
      <formula1>"Abzug,Kein Abzug"</formula1>
    </dataValidation>
    <dataValidation allowBlank="true" sqref="F24" type="list">
      <formula1>"Abzug,Kein Abzug"</formula1>
    </dataValidation>
    <dataValidation allowBlank="true" sqref="F25" type="list">
      <formula1>"Abzug,Kein Abzug"</formula1>
    </dataValidation>
    <dataValidation allowBlank="true" operator="between" sqref="D40" type="whole">
      <formula1>0</formula1>
      <formula2>12</formula2>
    </dataValidation>
    <dataValidation allowBlank="true" operator="between" sqref="D41" type="whole">
      <formula1>0</formula1>
      <formula2>12</formula2>
    </dataValidation>
    <dataValidation allowBlank="true" operator="between" sqref="D42" type="whole">
      <formula1>0</formula1>
      <formula2>12</formula2>
    </dataValidation>
    <dataValidation allowBlank="true" sqref="E80" type="list">
      <formula1>=FB_Auswahl_Liste</formula1>
    </dataValidation>
    <dataValidation allowBlank="true" sqref="F86" type="list">
      <formula1>"Abzug,Kein Abzug"</formula1>
    </dataValidation>
    <dataValidation allowBlank="true" sqref="F87" type="list">
      <formula1>"Abzug,Kein Abzug"</formula1>
    </dataValidation>
  </dataValidations>
</worksheet>
</file>

<file path=xl/worksheets/sheet8.xml><?xml version="1.0" encoding="utf-8"?>
<worksheet xmlns="http://schemas.openxmlformats.org/spreadsheetml/2006/main">
  <dimension ref="A1"/>
  <sheetViews>
    <sheetView workbookViewId="0"/>
  </sheetViews>
  <cols>
    <col customWidth="true" hidden="true" max="74" min="53" width="9.140625"/>
  </cols>
  <sheetData>
    <row r="1">
      <c r="A1" t="s">
        <v>374</v>
      </c>
      <c r="C1" s="351" t="s">
        <v>526</v>
      </c>
      <c r="I1" s="351" t="s">
        <v>527</v>
      </c>
      <c r="O1" s="351" t="s">
        <v>528</v>
      </c>
      <c r="U1" s="351" t="s">
        <v>529</v>
      </c>
      <c r="BA1">
        <v>1</v>
      </c>
      <c r="BB1" t="str">
        <f>=IFERROR(VALUE(TRIM(MID('IV. MA'!C4,9,5))),0)</f>
      </c>
      <c r="BC1" t="str">
        <f>=IF(IFERROR(SUBTOTAL(109,MA_1[Angefordert (LC)]),0)&lt;&gt;0,1,0)</f>
      </c>
      <c r="BD1" t="str">
        <f>=IF(BC1=1,SUMPRODUCT(($BB$1:$BB1=BB1)*($BC$1:$BC1=1)),0)</f>
      </c>
      <c r="BE1" t="str">
        <f>=IF(AND(BC1=1,BB1&gt;0),"Periode "&amp;BB1&amp;" (#"&amp;BD1&amp;")","")</f>
      </c>
      <c r="BF1" t="str">
        <f>=IFERROR(ROUND(SUBTOTAL(109,MA_1[Angefordert (LC)]),2),0)</f>
      </c>
      <c r="BG1" t="str">
        <f>=IFERROR(ROUND(SUBTOTAL(109,MA_1[Angefordert (EUR)]),2),0)</f>
      </c>
      <c r="BH1" t="str">
        <f>=IFERROR(ROUND('IV. MA'!D21+'IV. MA'!D22,2),0)</f>
      </c>
      <c r="BJ1">
        <v>1</v>
      </c>
      <c r="BK1" t="str">
        <f>=IF((IFERROR(SUBTOTAL(109,Ausgaben_1[Ausgaben (LC)]),0)&lt;&gt;0)+(IFERROR(SUM('III. Finanzberichte'!C12:C15),0)&lt;&gt;0)&gt;0,1,0)</f>
      </c>
      <c r="BL1" t="str">
        <f>=IF(BK1=1,"Periode "&amp;BJ1,"")</f>
      </c>
      <c r="BN1" cm="1" s="3">
        <f t="array" ref="BN1">_xlfn.VSTACK(_xlfn._xlws.FILTER($BE$1:$BE$18,($BB$1:$BB$18='V. AUSWERTUNG'!E81+1)*($BC$1:$BC$18=1),""),"Neuste MA")</f>
        <v>0</v>
      </c>
      <c r="BP1" cm="1" s="3">
        <f t="array" ref="BP1">_xlfn.VSTACK("Kein Finanzbericht (Projektbeginn)",_xlfn._xlws.FILTER($BL$1:$BL$18,$BK$1:$BK$18=1,""),"Neuester FB")</f>
        <v>0</v>
      </c>
      <c r="BR1" t="str">
        <f>=$BB$1</f>
      </c>
      <c r="BS1" t="str">
        <f>=$BD$1</f>
      </c>
      <c r="BT1" t="s">
        <v>207</v>
      </c>
      <c r="BU1" t="str">
        <f>=IFERROR('IV. MA'!C10,0)</f>
      </c>
      <c r="BV1" t="str">
        <f>=IFERROR('IV. MA'!D10,0)</f>
      </c>
    </row>
    <row r="2">
      <c r="A2" t="s">
        <v>375</v>
      </c>
      <c r="C2" cm="1" s="3">
        <f t="array" ref="C2">_xlfn._xlws.FILTER(_xlfn.ANCHORARRAY(AA2), (_xlfn.CHOOSECOLS(_xlfn.ANCHORARRAY(AA2),3)&lt;&gt;0)+(_xlfn.CHOOSECOLS(_xlfn.ANCHORARRAY(AA2),4)&lt;&gt;0), "")</f>
        <v>0</v>
      </c>
      <c r="I2" cm="1" s="3">
        <f t="array" ref="I2">_xlfn._xlws.FILTER(_xlfn.ANCHORARRAY(AG2), (_xlfn.CHOOSECOLS(_xlfn.ANCHORARRAY(AG2),3)&lt;&gt;0)+(_xlfn.CHOOSECOLS(_xlfn.ANCHORARRAY(AG2),4)&lt;&gt;0), "")</f>
        <v>0</v>
      </c>
      <c r="O2" cm="1" s="3">
        <f t="array" ref="O2">_xlfn._xlws.FILTER(_xlfn.ANCHORARRAY(AM2), (_xlfn.CHOOSECOLS(_xlfn.ANCHORARRAY(AM2),2)&lt;&gt;0)+(_xlfn.CHOOSECOLS(_xlfn.ANCHORARRAY(AM2),3)&lt;&gt;0), "")</f>
        <v>0</v>
      </c>
      <c r="U2" cm="1" s="3">
        <f t="array" ref="U2">_xlfn._xlws.FILTER(_xlfn.ANCHORARRAY(AS2), (_xlfn.CHOOSECOLS(_xlfn.ANCHORARRAY(AS2),2)&lt;&gt;0)+(_xlfn.CHOOSECOLS(_xlfn.ANCHORARRAY(AS2),3)&lt;&gt;0), "")</f>
        <v>0</v>
      </c>
      <c r="AA2" cm="1" s="3">
        <f t="array" ref="AA2">_xlfn.VSTACK('III. Finanzberichte'!$B$156:$F$160,'III. Finanzberichte'!$I$156:$M$160,'III. Finanzberichte'!$P$156:$T$160,'III. Finanzberichte'!$W$156:$AA$160,'III. Finanzberichte'!$AD$156:$AH$160,'III. Finanzberichte'!$AK$156:$AO$160,'III. Finanzberichte'!$AR$156:$AV$160,'III. Finanzberichte'!$AY$156:$BC$160,'III. Finanzberichte'!$BF$156:$BJ$160,'III. Finanzberichte'!$BM$156:$BQ$160,'III. Finanzberichte'!$BT$156:$BX$160,'III. Finanzberichte'!$CA$156:$CE$160,'III. Finanzberichte'!$CH$156:$CL$160,'III. Finanzberichte'!$CO$156:$CS$160,'III. Finanzberichte'!$CV$156:$CZ$160,'III. Finanzberichte'!$DC$156:$DG$160,'III. Finanzberichte'!$DJ$156:$DN$160,'III. Finanzberichte'!$DQ$156:$DU$160)</f>
        <v>0</v>
      </c>
      <c r="AG2" cm="1" s="3">
        <f t="array" ref="AG2">_xlfn.VSTACK('III. Finanzberichte'!$B$165:$F$170,'III. Finanzberichte'!$I$165:$M$170,'III. Finanzberichte'!$P$165:$T$170,'III. Finanzberichte'!$W$165:$AA$170,'III. Finanzberichte'!$AD$165:$AH$170,'III. Finanzberichte'!$AK$165:$AO$170,'III. Finanzberichte'!$AR$165:$AV$170,'III. Finanzberichte'!$AY$165:$BC$170,'III. Finanzberichte'!$BF$165:$BJ$170,'III. Finanzberichte'!$BM$165:$BQ$170,'III. Finanzberichte'!$BT$165:$BX$170,'III. Finanzberichte'!$CA$165:$CE$170,'III. Finanzberichte'!$CH$165:$CL$170,'III. Finanzberichte'!$CO$165:$CS$170,'III. Finanzberichte'!$CV$165:$CZ$170,'III. Finanzberichte'!$DC$165:$DG$170,'III. Finanzberichte'!$DJ$165:$DN$170,'III. Finanzberichte'!$DQ$165:$DU$170)</f>
        <v>0</v>
      </c>
      <c r="AM2" cm="1" s="3">
        <f t="array" ref="AM2">_xlfn.VSTACK('III. Finanzberichte'!$B$19:$F$141,'III. Finanzberichte'!$I$19:$M$141,'III. Finanzberichte'!$P$19:$T$141,'III. Finanzberichte'!$W$19:$AA$141,'III. Finanzberichte'!$AD$19:$AH$141,'III. Finanzberichte'!$AK$19:$AO$141,'III. Finanzberichte'!$AR$19:$AV$141,'III. Finanzberichte'!$AY$19:$BC$141,'III. Finanzberichte'!$BF$19:$BJ$141,'III. Finanzberichte'!$BM$19:$BQ$141,'III. Finanzberichte'!$BT$19:$BX$141,'III. Finanzberichte'!$CA$19:$CE$141,'III. Finanzberichte'!$CH$19:$CL$141,'III. Finanzberichte'!$CO$19:$CS$141,'III. Finanzberichte'!$CV$19:$CZ$141,'III. Finanzberichte'!$DC$19:$DG$141,'III. Finanzberichte'!$DJ$19:$DN$141,'III. Finanzberichte'!$DQ$19:$DU$141)</f>
        <v>0</v>
      </c>
      <c r="AS2" cm="1" s="3">
        <f t="array" ref="AS2">_xlfn.VSTACK('IV. MA'!$B$10:$D$17,'IV. MA'!$F$10:$H$17,'IV. MA'!$J$10:$L$17,'IV. MA'!$N$10:$P$17,'IV. MA'!$R$10:$T$17,'IV. MA'!$V$10:$X$17,'IV. MA'!$Z$10:$AB$17,'IV. MA'!$AD$10:$AF$17,'IV. MA'!$AH$10:$AJ$17,'IV. MA'!$AL$10:$AN$17,'IV. MA'!$AP$10:$AR$17,'IV. MA'!$AT$10:$AV$17,'IV. MA'!$AX$10:$AZ$17,'IV. MA'!$BB$10:$BD$17,'IV. MA'!$BF$10:$BH$17,'IV. MA'!$BJ$10:$BL$17,'IV. MA'!$BN$10:$BP$17,'IV. MA'!$BR$10:$BT$17)</f>
        <v>0</v>
      </c>
      <c r="BA2">
        <v>2</v>
      </c>
      <c r="BB2" t="str">
        <f>=IFERROR(VALUE(TRIM(MID('IV. MA'!G4,9,5))),0)</f>
      </c>
      <c r="BC2" t="str">
        <f>=IF(IFERROR(SUBTOTAL(109,MA_2[Angefordert (LC)]),0)&lt;&gt;0,1,0)</f>
      </c>
      <c r="BD2" t="str">
        <f>=IF(BC2=1,SUMPRODUCT(($BB$1:$BB2=BB2)*($BC$1:$BC2=1)),0)</f>
      </c>
      <c r="BE2" t="str">
        <f>=IF(AND(BC2=1,BB2&gt;0),"Periode "&amp;BB2&amp;" (#"&amp;BD2&amp;")","")</f>
      </c>
      <c r="BF2" t="str">
        <f>=IFERROR(ROUND(SUBTOTAL(109,MA_2[Angefordert (LC)]),2),0)</f>
      </c>
      <c r="BG2" t="str">
        <f>=IFERROR(ROUND(SUBTOTAL(109,MA_2[Angefordert (EUR)]),2),0)</f>
      </c>
      <c r="BH2" t="str">
        <f>=IFERROR(ROUND('IV. MA'!H21+'IV. MA'!H22,2),0)</f>
      </c>
      <c r="BJ2">
        <v>2</v>
      </c>
      <c r="BK2" t="str">
        <f>=IF((IFERROR(SUBTOTAL(109,Ausgaben_2[Ausgaben (LC)]),0)&lt;&gt;0)+(IFERROR(SUM('III. Finanzberichte'!J12:J15),0)&lt;&gt;0)&gt;0,1,0)</f>
      </c>
      <c r="BL2" t="str">
        <f>=IF(BK2=1,"Periode "&amp;BJ2,"")</f>
      </c>
      <c r="BR2" t="str">
        <f>=$BB$1</f>
      </c>
      <c r="BS2" t="str">
        <f>=$BD$1</f>
      </c>
      <c r="BT2" t="s">
        <v>248</v>
      </c>
      <c r="BU2" t="str">
        <f>=IFERROR('IV. MA'!C11,0)</f>
      </c>
      <c r="BV2" t="str">
        <f>=IFERROR('IV. MA'!D11,0)</f>
      </c>
    </row>
    <row r="3">
      <c r="A3" t="s">
        <v>376</v>
      </c>
      <c r="BA3">
        <v>3</v>
      </c>
      <c r="BB3" t="str">
        <f>=IFERROR(VALUE(TRIM(MID('IV. MA'!K4,9,5))),0)</f>
      </c>
      <c r="BC3" t="str">
        <f>=IF(IFERROR(SUBTOTAL(109,MA_3[Angefordert (LC)]),0)&lt;&gt;0,1,0)</f>
      </c>
      <c r="BD3" t="str">
        <f>=IF(BC3=1,SUMPRODUCT(($BB$1:$BB3=BB3)*($BC$1:$BC3=1)),0)</f>
      </c>
      <c r="BE3" t="str">
        <f>=IF(AND(BC3=1,BB3&gt;0),"Periode "&amp;BB3&amp;" (#"&amp;BD3&amp;")","")</f>
      </c>
      <c r="BF3" t="str">
        <f>=IFERROR(ROUND(SUBTOTAL(109,MA_3[Angefordert (LC)]),2),0)</f>
      </c>
      <c r="BG3" t="str">
        <f>=IFERROR(ROUND(SUBTOTAL(109,MA_3[Angefordert (EUR)]),2),0)</f>
      </c>
      <c r="BH3" t="str">
        <f>=IFERROR(ROUND('IV. MA'!L21+'IV. MA'!L22,2),0)</f>
      </c>
      <c r="BJ3">
        <v>3</v>
      </c>
      <c r="BK3" t="str">
        <f>=IF((IFERROR(SUBTOTAL(109,Ausgaben_3[Ausgaben (LC)]),0)&lt;&gt;0)+(IFERROR(SUM('III. Finanzberichte'!Q12:Q15),0)&lt;&gt;0)&gt;0,1,0)</f>
      </c>
      <c r="BL3" t="str">
        <f>=IF(BK3=1,"Periode "&amp;BJ3,"")</f>
      </c>
      <c r="BR3" t="str">
        <f>=$BB$1</f>
      </c>
      <c r="BS3" t="str">
        <f>=$BD$1</f>
      </c>
      <c r="BT3" t="s">
        <v>269</v>
      </c>
      <c r="BU3" t="str">
        <f>=IFERROR('IV. MA'!C12,0)</f>
      </c>
      <c r="BV3" t="str">
        <f>=IFERROR('IV. MA'!D12,0)</f>
      </c>
    </row>
    <row r="4">
      <c r="A4" t="s">
        <v>377</v>
      </c>
      <c r="BA4">
        <v>4</v>
      </c>
      <c r="BB4" t="str">
        <f>=IFERROR(VALUE(TRIM(MID('IV. MA'!O4,9,5))),0)</f>
      </c>
      <c r="BC4" t="str">
        <f>=IF(IFERROR(SUBTOTAL(109,MA_4[Angefordert (LC)]),0)&lt;&gt;0,1,0)</f>
      </c>
      <c r="BD4" t="str">
        <f>=IF(BC4=1,SUMPRODUCT(($BB$1:$BB4=BB4)*($BC$1:$BC4=1)),0)</f>
      </c>
      <c r="BE4" t="str">
        <f>=IF(AND(BC4=1,BB4&gt;0),"Periode "&amp;BB4&amp;" (#"&amp;BD4&amp;")","")</f>
      </c>
      <c r="BF4" t="str">
        <f>=IFERROR(ROUND(SUBTOTAL(109,MA_4[Angefordert (LC)]),2),0)</f>
      </c>
      <c r="BG4" t="str">
        <f>=IFERROR(ROUND(SUBTOTAL(109,MA_4[Angefordert (EUR)]),2),0)</f>
      </c>
      <c r="BH4" t="str">
        <f>=IFERROR(ROUND('IV. MA'!P21+'IV. MA'!P22,2),0)</f>
      </c>
      <c r="BJ4">
        <v>4</v>
      </c>
      <c r="BK4" t="str">
        <f>=IF((IFERROR(SUBTOTAL(109,Ausgaben_4[Ausgaben (LC)]),0)&lt;&gt;0)+(IFERROR(SUM('III. Finanzberichte'!X12:X15),0)&lt;&gt;0)&gt;0,1,0)</f>
      </c>
      <c r="BL4" t="str">
        <f>=IF(BK4=1,"Periode "&amp;BJ4,"")</f>
      </c>
      <c r="BR4" t="str">
        <f>=$BB$1</f>
      </c>
      <c r="BS4" t="str">
        <f>=$BD$1</f>
      </c>
      <c r="BT4" t="s">
        <v>300</v>
      </c>
      <c r="BU4" t="str">
        <f>=IFERROR('IV. MA'!C13,0)</f>
      </c>
      <c r="BV4" t="str">
        <f>=IFERROR('IV. MA'!D13,0)</f>
      </c>
    </row>
    <row r="5">
      <c r="A5" t="s">
        <v>378</v>
      </c>
      <c r="BA5">
        <v>5</v>
      </c>
      <c r="BB5" t="str">
        <f>=IFERROR(VALUE(TRIM(MID('IV. MA'!S4,9,5))),0)</f>
      </c>
      <c r="BC5" t="str">
        <f>=IF(IFERROR(SUBTOTAL(109,MA_5[Angefordert (LC)]),0)&lt;&gt;0,1,0)</f>
      </c>
      <c r="BD5" t="str">
        <f>=IF(BC5=1,SUMPRODUCT(($BB$1:$BB5=BB5)*($BC$1:$BC5=1)),0)</f>
      </c>
      <c r="BE5" t="str">
        <f>=IF(AND(BC5=1,BB5&gt;0),"Periode "&amp;BB5&amp;" (#"&amp;BD5&amp;")","")</f>
      </c>
      <c r="BF5" t="str">
        <f>=IFERROR(ROUND(SUBTOTAL(109,MA_5[Angefordert (LC)]),2),0)</f>
      </c>
      <c r="BG5" t="str">
        <f>=IFERROR(ROUND(SUBTOTAL(109,MA_5[Angefordert (EUR)]),2),0)</f>
      </c>
      <c r="BH5" t="str">
        <f>=IFERROR(ROUND('IV. MA'!T21+'IV. MA'!T22,2),0)</f>
      </c>
      <c r="BJ5">
        <v>5</v>
      </c>
      <c r="BK5" t="str">
        <f>=IF((IFERROR(SUBTOTAL(109,Ausgaben_5[Ausgaben (LC)]),0)&lt;&gt;0)+(IFERROR(SUM('III. Finanzberichte'!AE12:AE15),0)&lt;&gt;0)&gt;0,1,0)</f>
      </c>
      <c r="BL5" t="str">
        <f>=IF(BK5=1,"Periode "&amp;BJ5,"")</f>
      </c>
      <c r="BR5" t="str">
        <f>=$BB$1</f>
      </c>
      <c r="BS5" t="str">
        <f>=$BD$1</f>
      </c>
      <c r="BT5" t="s">
        <v>331</v>
      </c>
      <c r="BU5" t="str">
        <f>=IFERROR('IV. MA'!C14,0)</f>
      </c>
      <c r="BV5" t="str">
        <f>=IFERROR('IV. MA'!D14,0)</f>
      </c>
    </row>
    <row r="6">
      <c r="A6" t="s">
        <v>379</v>
      </c>
      <c r="BA6">
        <v>6</v>
      </c>
      <c r="BB6" t="str">
        <f>=IFERROR(VALUE(TRIM(MID('IV. MA'!W4,9,5))),0)</f>
      </c>
      <c r="BC6" t="str">
        <f>=IF(IFERROR(SUBTOTAL(109,MA_6[Angefordert (LC)]),0)&lt;&gt;0,1,0)</f>
      </c>
      <c r="BD6" t="str">
        <f>=IF(BC6=1,SUMPRODUCT(($BB$1:$BB6=BB6)*($BC$1:$BC6=1)),0)</f>
      </c>
      <c r="BE6" t="str">
        <f>=IF(AND(BC6=1,BB6&gt;0),"Periode "&amp;BB6&amp;" (#"&amp;BD6&amp;")","")</f>
      </c>
      <c r="BF6" t="str">
        <f>=IFERROR(ROUND(SUBTOTAL(109,MA_6[Angefordert (LC)]),2),0)</f>
      </c>
      <c r="BG6" t="str">
        <f>=IFERROR(ROUND(SUBTOTAL(109,MA_6[Angefordert (EUR)]),2),0)</f>
      </c>
      <c r="BH6" t="str">
        <f>=IFERROR(ROUND('IV. MA'!X21+'IV. MA'!X22,2),0)</f>
      </c>
      <c r="BJ6">
        <v>6</v>
      </c>
      <c r="BK6" t="str">
        <f>=IF((IFERROR(SUBTOTAL(109,Ausgaben_6[Ausgaben (LC)]),0)&lt;&gt;0)+(IFERROR(SUM('III. Finanzberichte'!AL12:AL15),0)&lt;&gt;0)&gt;0,1,0)</f>
      </c>
      <c r="BL6" t="str">
        <f>=IF(BK6=1,"Periode "&amp;BJ6,"")</f>
      </c>
      <c r="BR6" t="str">
        <f>=$BB$1</f>
      </c>
      <c r="BS6" t="str">
        <f>=$BD$1</f>
      </c>
      <c r="BT6" t="s">
        <v>352</v>
      </c>
      <c r="BU6" t="str">
        <f>=IFERROR('IV. MA'!C15,0)</f>
      </c>
      <c r="BV6" t="str">
        <f>=IFERROR('IV. MA'!D15,0)</f>
      </c>
    </row>
    <row r="7">
      <c r="A7" t="s">
        <v>380</v>
      </c>
      <c r="BA7">
        <v>7</v>
      </c>
      <c r="BB7" t="str">
        <f>=IFERROR(VALUE(TRIM(MID('IV. MA'!AA4,9,5))),0)</f>
      </c>
      <c r="BC7" t="str">
        <f>=IF(IFERROR(SUBTOTAL(109,MA_7[Angefordert (LC)]),0)&lt;&gt;0,1,0)</f>
      </c>
      <c r="BD7" t="str">
        <f>=IF(BC7=1,SUMPRODUCT(($BB$1:$BB7=BB7)*($BC$1:$BC7=1)),0)</f>
      </c>
      <c r="BE7" t="str">
        <f>=IF(AND(BC7=1,BB7&gt;0),"Periode "&amp;BB7&amp;" (#"&amp;BD7&amp;")","")</f>
      </c>
      <c r="BF7" t="str">
        <f>=IFERROR(ROUND(SUBTOTAL(109,MA_7[Angefordert (LC)]),2),0)</f>
      </c>
      <c r="BG7" t="str">
        <f>=IFERROR(ROUND(SUBTOTAL(109,MA_7[Angefordert (EUR)]),2),0)</f>
      </c>
      <c r="BH7" t="str">
        <f>=IFERROR(ROUND('IV. MA'!AB21+'IV. MA'!AB22,2),0)</f>
      </c>
      <c r="BJ7">
        <v>7</v>
      </c>
      <c r="BK7" t="str">
        <f>=IF((IFERROR(SUBTOTAL(109,Ausgaben_7[Ausgaben (LC)]),0)&lt;&gt;0)+(IFERROR(SUM('III. Finanzberichte'!AS12:AS15),0)&lt;&gt;0)&gt;0,1,0)</f>
      </c>
      <c r="BL7" t="str">
        <f>=IF(BK7=1,"Periode "&amp;BJ7,"")</f>
      </c>
      <c r="BR7" t="str">
        <f>=$BB$1</f>
      </c>
      <c r="BS7" t="str">
        <f>=$BD$1</f>
      </c>
      <c r="BT7" t="s">
        <v>355</v>
      </c>
      <c r="BU7" t="str">
        <f>=IFERROR('IV. MA'!C16,0)</f>
      </c>
      <c r="BV7" t="str">
        <f>=IFERROR('IV. MA'!D16,0)</f>
      </c>
    </row>
    <row r="8">
      <c r="A8" t="s">
        <v>381</v>
      </c>
      <c r="BA8">
        <v>8</v>
      </c>
      <c r="BB8" t="str">
        <f>=IFERROR(VALUE(TRIM(MID('IV. MA'!AE4,9,5))),0)</f>
      </c>
      <c r="BC8" t="str">
        <f>=IF(IFERROR(SUBTOTAL(109,MA_8[Angefordert (LC)]),0)&lt;&gt;0,1,0)</f>
      </c>
      <c r="BD8" t="str">
        <f>=IF(BC8=1,SUMPRODUCT(($BB$1:$BB8=BB8)*($BC$1:$BC8=1)),0)</f>
      </c>
      <c r="BE8" t="str">
        <f>=IF(AND(BC8=1,BB8&gt;0),"Periode "&amp;BB8&amp;" (#"&amp;BD8&amp;")","")</f>
      </c>
      <c r="BF8" t="str">
        <f>=IFERROR(ROUND(SUBTOTAL(109,MA_8[Angefordert (LC)]),2),0)</f>
      </c>
      <c r="BG8" t="str">
        <f>=IFERROR(ROUND(SUBTOTAL(109,MA_8[Angefordert (EUR)]),2),0)</f>
      </c>
      <c r="BH8" t="str">
        <f>=IFERROR(ROUND('IV. MA'!AF21+'IV. MA'!AF22,2),0)</f>
      </c>
      <c r="BJ8">
        <v>8</v>
      </c>
      <c r="BK8" t="str">
        <f>=IF((IFERROR(SUBTOTAL(109,Ausgaben_8[Ausgaben (LC)]),0)&lt;&gt;0)+(IFERROR(SUM('III. Finanzberichte'!AZ12:AZ15),0)&lt;&gt;0)&gt;0,1,0)</f>
      </c>
      <c r="BL8" t="str">
        <f>=IF(BK8=1,"Periode "&amp;BJ8,"")</f>
      </c>
      <c r="BR8" t="str">
        <f>=$BB$1</f>
      </c>
      <c r="BS8" t="str">
        <f>=$BD$1</f>
      </c>
      <c r="BT8" t="s">
        <v>357</v>
      </c>
      <c r="BU8" t="str">
        <f>=IFERROR('IV. MA'!C17,0)</f>
      </c>
      <c r="BV8" t="str">
        <f>=IFERROR('IV. MA'!D17,0)</f>
      </c>
    </row>
    <row r="9">
      <c r="A9" t="s">
        <v>382</v>
      </c>
      <c r="BA9">
        <v>9</v>
      </c>
      <c r="BB9" t="str">
        <f>=IFERROR(VALUE(TRIM(MID('IV. MA'!AI4,9,5))),0)</f>
      </c>
      <c r="BC9" t="str">
        <f>=IF(IFERROR(SUBTOTAL(109,MA_9[Angefordert (LC)]),0)&lt;&gt;0,1,0)</f>
      </c>
      <c r="BD9" t="str">
        <f>=IF(BC9=1,SUMPRODUCT(($BB$1:$BB9=BB9)*($BC$1:$BC9=1)),0)</f>
      </c>
      <c r="BE9" t="str">
        <f>=IF(AND(BC9=1,BB9&gt;0),"Periode "&amp;BB9&amp;" (#"&amp;BD9&amp;")","")</f>
      </c>
      <c r="BF9" t="str">
        <f>=IFERROR(ROUND(SUBTOTAL(109,MA_9[Angefordert (LC)]),2),0)</f>
      </c>
      <c r="BG9" t="str">
        <f>=IFERROR(ROUND(SUBTOTAL(109,MA_9[Angefordert (EUR)]),2),0)</f>
      </c>
      <c r="BH9" t="str">
        <f>=IFERROR(ROUND('IV. MA'!AJ21+'IV. MA'!AJ22,2),0)</f>
      </c>
      <c r="BJ9">
        <v>9</v>
      </c>
      <c r="BK9" t="str">
        <f>=IF((IFERROR(SUBTOTAL(109,Ausgaben_9[Ausgaben (LC)]),0)&lt;&gt;0)+(IFERROR(SUM('III. Finanzberichte'!BG12:BG15),0)&lt;&gt;0)&gt;0,1,0)</f>
      </c>
      <c r="BL9" t="str">
        <f>=IF(BK9=1,"Periode "&amp;BJ9,"")</f>
      </c>
      <c r="BR9" t="str">
        <f>=$BB$1</f>
      </c>
      <c r="BS9" t="str">
        <f>=$BD$1</f>
      </c>
      <c r="BT9" t="s">
        <v>196</v>
      </c>
      <c r="BU9" t="str">
        <f>=IFERROR('IV. MA'!C21,0)</f>
      </c>
      <c r="BV9" t="str">
        <f>=IFERROR('IV. MA'!D21,0)</f>
      </c>
    </row>
    <row r="10">
      <c r="A10" t="s">
        <v>383</v>
      </c>
      <c r="BA10">
        <v>10</v>
      </c>
      <c r="BB10" t="str">
        <f>=IFERROR(VALUE(TRIM(MID('IV. MA'!AM4,9,5))),0)</f>
      </c>
      <c r="BC10" t="str">
        <f>=IF(IFERROR(SUBTOTAL(109,MA_10[Angefordert (LC)]),0)&lt;&gt;0,1,0)</f>
      </c>
      <c r="BD10" t="str">
        <f>=IF(BC10=1,SUMPRODUCT(($BB$1:$BB10=BB10)*($BC$1:$BC10=1)),0)</f>
      </c>
      <c r="BE10" t="str">
        <f>=IF(AND(BC10=1,BB10&gt;0),"Periode "&amp;BB10&amp;" (#"&amp;BD10&amp;")","")</f>
      </c>
      <c r="BF10" t="str">
        <f>=IFERROR(ROUND(SUBTOTAL(109,MA_10[Angefordert (LC)]),2),0)</f>
      </c>
      <c r="BG10" t="str">
        <f>=IFERROR(ROUND(SUBTOTAL(109,MA_10[Angefordert (EUR)]),2),0)</f>
      </c>
      <c r="BH10" t="str">
        <f>=IFERROR(ROUND('IV. MA'!AN21+'IV. MA'!AN22,2),0)</f>
      </c>
      <c r="BJ10">
        <v>10</v>
      </c>
      <c r="BK10" t="str">
        <f>=IF((IFERROR(SUBTOTAL(109,Ausgaben_10[Ausgaben (LC)]),0)&lt;&gt;0)+(IFERROR(SUM('III. Finanzberichte'!BN12:BN15),0)&lt;&gt;0)&gt;0,1,0)</f>
      </c>
      <c r="BL10" t="str">
        <f>=IF(BK10=1,"Periode "&amp;BJ10,"")</f>
      </c>
      <c r="BR10" t="str">
        <f>=$BB$1</f>
      </c>
      <c r="BS10" t="str">
        <f>=$BD$1</f>
      </c>
      <c r="BT10" t="s">
        <v>427</v>
      </c>
      <c r="BU10" t="str">
        <f>=IFERROR('IV. MA'!C22,0)</f>
      </c>
      <c r="BV10" t="str">
        <f>=IFERROR('IV. MA'!D22,0)</f>
      </c>
    </row>
    <row r="11">
      <c r="A11" t="s">
        <v>384</v>
      </c>
      <c r="BA11">
        <v>11</v>
      </c>
      <c r="BB11" t="str">
        <f>=IFERROR(VALUE(TRIM(MID('IV. MA'!AQ4,9,5))),0)</f>
      </c>
      <c r="BC11" t="str">
        <f>=IF(IFERROR(SUBTOTAL(109,MA_11[Angefordert (LC)]),0)&lt;&gt;0,1,0)</f>
      </c>
      <c r="BD11" t="str">
        <f>=IF(BC11=1,SUMPRODUCT(($BB$1:$BB11=BB11)*($BC$1:$BC11=1)),0)</f>
      </c>
      <c r="BE11" t="str">
        <f>=IF(AND(BC11=1,BB11&gt;0),"Periode "&amp;BB11&amp;" (#"&amp;BD11&amp;")","")</f>
      </c>
      <c r="BF11" t="str">
        <f>=IFERROR(ROUND(SUBTOTAL(109,MA_11[Angefordert (LC)]),2),0)</f>
      </c>
      <c r="BG11" t="str">
        <f>=IFERROR(ROUND(SUBTOTAL(109,MA_11[Angefordert (EUR)]),2),0)</f>
      </c>
      <c r="BH11" t="str">
        <f>=IFERROR(ROUND('IV. MA'!AR21+'IV. MA'!AR22,2),0)</f>
      </c>
      <c r="BJ11">
        <v>11</v>
      </c>
      <c r="BK11" t="str">
        <f>=IF((IFERROR(SUBTOTAL(109,Ausgaben_11[Ausgaben (LC)]),0)&lt;&gt;0)+(IFERROR(SUM('III. Finanzberichte'!BU12:BU15),0)&lt;&gt;0)&gt;0,1,0)</f>
      </c>
      <c r="BL11" t="str">
        <f>=IF(BK11=1,"Periode "&amp;BJ11,"")</f>
      </c>
      <c r="BR11" t="str">
        <f>=$BB$1</f>
      </c>
      <c r="BS11" t="str">
        <f>=$BD$1</f>
      </c>
      <c r="BT11" t="s">
        <v>201</v>
      </c>
      <c r="BU11" t="str">
        <f>=IFERROR('IV. MA'!C25,0)</f>
      </c>
      <c r="BV11" t="str">
        <f>=IFERROR('IV. MA'!D25,0)</f>
      </c>
    </row>
    <row r="12">
      <c r="A12" t="s">
        <v>385</v>
      </c>
      <c r="BA12">
        <v>12</v>
      </c>
      <c r="BB12" t="str">
        <f>=IFERROR(VALUE(TRIM(MID('IV. MA'!AU4,9,5))),0)</f>
      </c>
      <c r="BC12" t="str">
        <f>=IF(IFERROR(SUBTOTAL(109,MA_12[Angefordert (LC)]),0)&lt;&gt;0,1,0)</f>
      </c>
      <c r="BD12" t="str">
        <f>=IF(BC12=1,SUMPRODUCT(($BB$1:$BB12=BB12)*($BC$1:$BC12=1)),0)</f>
      </c>
      <c r="BE12" t="str">
        <f>=IF(AND(BC12=1,BB12&gt;0),"Periode "&amp;BB12&amp;" (#"&amp;BD12&amp;")","")</f>
      </c>
      <c r="BF12" t="str">
        <f>=IFERROR(ROUND(SUBTOTAL(109,MA_12[Angefordert (LC)]),2),0)</f>
      </c>
      <c r="BG12" t="str">
        <f>=IFERROR(ROUND(SUBTOTAL(109,MA_12[Angefordert (EUR)]),2),0)</f>
      </c>
      <c r="BH12" t="str">
        <f>=IFERROR(ROUND('IV. MA'!AV21+'IV. MA'!AV22,2),0)</f>
      </c>
      <c r="BJ12">
        <v>12</v>
      </c>
      <c r="BK12" t="str">
        <f>=IF((IFERROR(SUBTOTAL(109,Ausgaben_12[Ausgaben (LC)]),0)&lt;&gt;0)+(IFERROR(SUM('III. Finanzberichte'!CB12:CB15),0)&lt;&gt;0)&gt;0,1,0)</f>
      </c>
      <c r="BL12" t="str">
        <f>=IF(BK12=1,"Periode "&amp;BJ12,"")</f>
      </c>
      <c r="BR12" t="str">
        <f>=$BB$2</f>
      </c>
      <c r="BS12" t="str">
        <f>=$BD$2</f>
      </c>
      <c r="BT12" t="s">
        <v>207</v>
      </c>
      <c r="BU12" t="str">
        <f>=IFERROR('IV. MA'!G10,0)</f>
      </c>
      <c r="BV12" t="str">
        <f>=IFERROR('IV. MA'!H10,0)</f>
      </c>
    </row>
    <row r="13">
      <c r="A13" t="s">
        <v>386</v>
      </c>
      <c r="BA13">
        <v>13</v>
      </c>
      <c r="BB13" t="str">
        <f>=IFERROR(VALUE(TRIM(MID('IV. MA'!AY4,9,5))),0)</f>
      </c>
      <c r="BC13" t="str">
        <f>=IF(IFERROR(SUBTOTAL(109,MA_13[Angefordert (LC)]),0)&lt;&gt;0,1,0)</f>
      </c>
      <c r="BD13" t="str">
        <f>=IF(BC13=1,SUMPRODUCT(($BB$1:$BB13=BB13)*($BC$1:$BC13=1)),0)</f>
      </c>
      <c r="BE13" t="str">
        <f>=IF(AND(BC13=1,BB13&gt;0),"Periode "&amp;BB13&amp;" (#"&amp;BD13&amp;")","")</f>
      </c>
      <c r="BF13" t="str">
        <f>=IFERROR(ROUND(SUBTOTAL(109,MA_13[Angefordert (LC)]),2),0)</f>
      </c>
      <c r="BG13" t="str">
        <f>=IFERROR(ROUND(SUBTOTAL(109,MA_13[Angefordert (EUR)]),2),0)</f>
      </c>
      <c r="BH13" t="str">
        <f>=IFERROR(ROUND('IV. MA'!AZ21+'IV. MA'!AZ22,2),0)</f>
      </c>
      <c r="BJ13">
        <v>13</v>
      </c>
      <c r="BK13" t="str">
        <f>=IF((IFERROR(SUBTOTAL(109,Ausgaben_13[Ausgaben (LC)]),0)&lt;&gt;0)+(IFERROR(SUM('III. Finanzberichte'!CI12:CI15),0)&lt;&gt;0)&gt;0,1,0)</f>
      </c>
      <c r="BL13" t="str">
        <f>=IF(BK13=1,"Periode "&amp;BJ13,"")</f>
      </c>
      <c r="BR13" t="str">
        <f>=$BB$2</f>
      </c>
      <c r="BS13" t="str">
        <f>=$BD$2</f>
      </c>
      <c r="BT13" t="s">
        <v>248</v>
      </c>
      <c r="BU13" t="str">
        <f>=IFERROR('IV. MA'!G11,0)</f>
      </c>
      <c r="BV13" t="str">
        <f>=IFERROR('IV. MA'!H11,0)</f>
      </c>
    </row>
    <row r="14">
      <c r="A14" t="s">
        <v>387</v>
      </c>
      <c r="BA14">
        <v>14</v>
      </c>
      <c r="BB14" t="str">
        <f>=IFERROR(VALUE(TRIM(MID('IV. MA'!BC4,9,5))),0)</f>
      </c>
      <c r="BC14" t="str">
        <f>=IF(IFERROR(SUBTOTAL(109,MA_14[Angefordert (LC)]),0)&lt;&gt;0,1,0)</f>
      </c>
      <c r="BD14" t="str">
        <f>=IF(BC14=1,SUMPRODUCT(($BB$1:$BB14=BB14)*($BC$1:$BC14=1)),0)</f>
      </c>
      <c r="BE14" t="str">
        <f>=IF(AND(BC14=1,BB14&gt;0),"Periode "&amp;BB14&amp;" (#"&amp;BD14&amp;")","")</f>
      </c>
      <c r="BF14" t="str">
        <f>=IFERROR(ROUND(SUBTOTAL(109,MA_14[Angefordert (LC)]),2),0)</f>
      </c>
      <c r="BG14" t="str">
        <f>=IFERROR(ROUND(SUBTOTAL(109,MA_14[Angefordert (EUR)]),2),0)</f>
      </c>
      <c r="BH14" t="str">
        <f>=IFERROR(ROUND('IV. MA'!BD21+'IV. MA'!BD22,2),0)</f>
      </c>
      <c r="BJ14">
        <v>14</v>
      </c>
      <c r="BK14" t="str">
        <f>=IF((IFERROR(SUBTOTAL(109,Ausgaben_14[Ausgaben (LC)]),0)&lt;&gt;0)+(IFERROR(SUM('III. Finanzberichte'!CP12:CP15),0)&lt;&gt;0)&gt;0,1,0)</f>
      </c>
      <c r="BL14" t="str">
        <f>=IF(BK14=1,"Periode "&amp;BJ14,"")</f>
      </c>
      <c r="BR14" t="str">
        <f>=$BB$2</f>
      </c>
      <c r="BS14" t="str">
        <f>=$BD$2</f>
      </c>
      <c r="BT14" t="s">
        <v>269</v>
      </c>
      <c r="BU14" t="str">
        <f>=IFERROR('IV. MA'!G12,0)</f>
      </c>
      <c r="BV14" t="str">
        <f>=IFERROR('IV. MA'!H12,0)</f>
      </c>
    </row>
    <row r="15">
      <c r="A15" t="s">
        <v>388</v>
      </c>
      <c r="BA15">
        <v>15</v>
      </c>
      <c r="BB15" t="str">
        <f>=IFERROR(VALUE(TRIM(MID('IV. MA'!BG4,9,5))),0)</f>
      </c>
      <c r="BC15" t="str">
        <f>=IF(IFERROR(SUBTOTAL(109,MA_15[Angefordert (LC)]),0)&lt;&gt;0,1,0)</f>
      </c>
      <c r="BD15" t="str">
        <f>=IF(BC15=1,SUMPRODUCT(($BB$1:$BB15=BB15)*($BC$1:$BC15=1)),0)</f>
      </c>
      <c r="BE15" t="str">
        <f>=IF(AND(BC15=1,BB15&gt;0),"Periode "&amp;BB15&amp;" (#"&amp;BD15&amp;")","")</f>
      </c>
      <c r="BF15" t="str">
        <f>=IFERROR(ROUND(SUBTOTAL(109,MA_15[Angefordert (LC)]),2),0)</f>
      </c>
      <c r="BG15" t="str">
        <f>=IFERROR(ROUND(SUBTOTAL(109,MA_15[Angefordert (EUR)]),2),0)</f>
      </c>
      <c r="BH15" t="str">
        <f>=IFERROR(ROUND('IV. MA'!BH21+'IV. MA'!BH22,2),0)</f>
      </c>
      <c r="BJ15">
        <v>15</v>
      </c>
      <c r="BK15" t="str">
        <f>=IF((IFERROR(SUBTOTAL(109,Ausgaben_15[Ausgaben (LC)]),0)&lt;&gt;0)+(IFERROR(SUM('III. Finanzberichte'!CW12:CW15),0)&lt;&gt;0)&gt;0,1,0)</f>
      </c>
      <c r="BL15" t="str">
        <f>=IF(BK15=1,"Periode "&amp;BJ15,"")</f>
      </c>
      <c r="BR15" t="str">
        <f>=$BB$2</f>
      </c>
      <c r="BS15" t="str">
        <f>=$BD$2</f>
      </c>
      <c r="BT15" t="s">
        <v>300</v>
      </c>
      <c r="BU15" t="str">
        <f>=IFERROR('IV. MA'!G13,0)</f>
      </c>
      <c r="BV15" t="str">
        <f>=IFERROR('IV. MA'!H13,0)</f>
      </c>
    </row>
    <row r="16">
      <c r="A16" t="s">
        <v>389</v>
      </c>
      <c r="BA16">
        <v>16</v>
      </c>
      <c r="BB16" t="str">
        <f>=IFERROR(VALUE(TRIM(MID('IV. MA'!BK4,9,5))),0)</f>
      </c>
      <c r="BC16" t="str">
        <f>=IF(IFERROR(SUBTOTAL(109,MA_16[Angefordert (LC)]),0)&lt;&gt;0,1,0)</f>
      </c>
      <c r="BD16" t="str">
        <f>=IF(BC16=1,SUMPRODUCT(($BB$1:$BB16=BB16)*($BC$1:$BC16=1)),0)</f>
      </c>
      <c r="BE16" t="str">
        <f>=IF(AND(BC16=1,BB16&gt;0),"Periode "&amp;BB16&amp;" (#"&amp;BD16&amp;")","")</f>
      </c>
      <c r="BF16" t="str">
        <f>=IFERROR(ROUND(SUBTOTAL(109,MA_16[Angefordert (LC)]),2),0)</f>
      </c>
      <c r="BG16" t="str">
        <f>=IFERROR(ROUND(SUBTOTAL(109,MA_16[Angefordert (EUR)]),2),0)</f>
      </c>
      <c r="BH16" t="str">
        <f>=IFERROR(ROUND('IV. MA'!BL21+'IV. MA'!BL22,2),0)</f>
      </c>
      <c r="BJ16">
        <v>16</v>
      </c>
      <c r="BK16" t="str">
        <f>=IF((IFERROR(SUBTOTAL(109,Ausgaben_16[Ausgaben (LC)]),0)&lt;&gt;0)+(IFERROR(SUM('III. Finanzberichte'!DD12:DD15),0)&lt;&gt;0)&gt;0,1,0)</f>
      </c>
      <c r="BL16" t="str">
        <f>=IF(BK16=1,"Periode "&amp;BJ16,"")</f>
      </c>
      <c r="BR16" t="str">
        <f>=$BB$2</f>
      </c>
      <c r="BS16" t="str">
        <f>=$BD$2</f>
      </c>
      <c r="BT16" t="s">
        <v>331</v>
      </c>
      <c r="BU16" t="str">
        <f>=IFERROR('IV. MA'!G14,0)</f>
      </c>
      <c r="BV16" t="str">
        <f>=IFERROR('IV. MA'!H14,0)</f>
      </c>
    </row>
    <row r="17">
      <c r="A17" t="s">
        <v>390</v>
      </c>
      <c r="BA17">
        <v>17</v>
      </c>
      <c r="BB17" t="str">
        <f>=IFERROR(VALUE(TRIM(MID('IV. MA'!BO4,9,5))),0)</f>
      </c>
      <c r="BC17" t="str">
        <f>=IF(IFERROR(SUBTOTAL(109,MA_17[Angefordert (LC)]),0)&lt;&gt;0,1,0)</f>
      </c>
      <c r="BD17" t="str">
        <f>=IF(BC17=1,SUMPRODUCT(($BB$1:$BB17=BB17)*($BC$1:$BC17=1)),0)</f>
      </c>
      <c r="BE17" t="str">
        <f>=IF(AND(BC17=1,BB17&gt;0),"Periode "&amp;BB17&amp;" (#"&amp;BD17&amp;")","")</f>
      </c>
      <c r="BF17" t="str">
        <f>=IFERROR(ROUND(SUBTOTAL(109,MA_17[Angefordert (LC)]),2),0)</f>
      </c>
      <c r="BG17" t="str">
        <f>=IFERROR(ROUND(SUBTOTAL(109,MA_17[Angefordert (EUR)]),2),0)</f>
      </c>
      <c r="BH17" t="str">
        <f>=IFERROR(ROUND('IV. MA'!BP21+'IV. MA'!BP22,2),0)</f>
      </c>
      <c r="BJ17">
        <v>17</v>
      </c>
      <c r="BK17" t="str">
        <f>=IF((IFERROR(SUBTOTAL(109,Ausgaben_17[Ausgaben (LC)]),0)&lt;&gt;0)+(IFERROR(SUM('III. Finanzberichte'!DK12:DK15),0)&lt;&gt;0)&gt;0,1,0)</f>
      </c>
      <c r="BL17" t="str">
        <f>=IF(BK17=1,"Periode "&amp;BJ17,"")</f>
      </c>
      <c r="BR17" t="str">
        <f>=$BB$2</f>
      </c>
      <c r="BS17" t="str">
        <f>=$BD$2</f>
      </c>
      <c r="BT17" t="s">
        <v>352</v>
      </c>
      <c r="BU17" t="str">
        <f>=IFERROR('IV. MA'!G15,0)</f>
      </c>
      <c r="BV17" t="str">
        <f>=IFERROR('IV. MA'!H15,0)</f>
      </c>
    </row>
    <row r="18">
      <c r="A18" t="s">
        <v>391</v>
      </c>
      <c r="BA18">
        <v>18</v>
      </c>
      <c r="BB18" t="str">
        <f>=IFERROR(VALUE(TRIM(MID('IV. MA'!BS4,9,5))),0)</f>
      </c>
      <c r="BC18" t="str">
        <f>=IF(IFERROR(SUBTOTAL(109,MA_18[Angefordert (LC)]),0)&lt;&gt;0,1,0)</f>
      </c>
      <c r="BD18" t="str">
        <f>=IF(BC18=1,SUMPRODUCT(($BB$1:$BB18=BB18)*($BC$1:$BC18=1)),0)</f>
      </c>
      <c r="BE18" t="str">
        <f>=IF(AND(BC18=1,BB18&gt;0),"Periode "&amp;BB18&amp;" (#"&amp;BD18&amp;")","")</f>
      </c>
      <c r="BF18" t="str">
        <f>=IFERROR(ROUND(SUBTOTAL(109,MA_18[Angefordert (LC)]),2),0)</f>
      </c>
      <c r="BG18" t="str">
        <f>=IFERROR(ROUND(SUBTOTAL(109,MA_18[Angefordert (EUR)]),2),0)</f>
      </c>
      <c r="BH18" t="str">
        <f>=IFERROR(ROUND('IV. MA'!BT21+'IV. MA'!BT22,2),0)</f>
      </c>
      <c r="BJ18">
        <v>18</v>
      </c>
      <c r="BK18" t="str">
        <f>=IF((IFERROR(SUBTOTAL(109,Ausgaben_18[Ausgaben (LC)]),0)&lt;&gt;0)+(IFERROR(SUM('III. Finanzberichte'!DR12:DR15),0)&lt;&gt;0)&gt;0,1,0)</f>
      </c>
      <c r="BL18" t="str">
        <f>=IF(BK18=1,"Periode "&amp;BJ18,"")</f>
      </c>
      <c r="BR18" t="str">
        <f>=$BB$2</f>
      </c>
      <c r="BS18" t="str">
        <f>=$BD$2</f>
      </c>
      <c r="BT18" t="s">
        <v>355</v>
      </c>
      <c r="BU18" t="str">
        <f>=IFERROR('IV. MA'!G16,0)</f>
      </c>
      <c r="BV18" t="str">
        <f>=IFERROR('IV. MA'!H16,0)</f>
      </c>
    </row>
    <row r="19">
      <c r="BR19" t="str">
        <f>=$BB$2</f>
      </c>
      <c r="BS19" t="str">
        <f>=$BD$2</f>
      </c>
      <c r="BT19" t="s">
        <v>357</v>
      </c>
      <c r="BU19" t="str">
        <f>=IFERROR('IV. MA'!G17,0)</f>
      </c>
      <c r="BV19" t="str">
        <f>=IFERROR('IV. MA'!H17,0)</f>
      </c>
    </row>
    <row r="20">
      <c r="BR20" t="str">
        <f>=$BB$2</f>
      </c>
      <c r="BS20" t="str">
        <f>=$BD$2</f>
      </c>
      <c r="BT20" t="s">
        <v>196</v>
      </c>
      <c r="BU20" t="str">
        <f>=IFERROR('IV. MA'!G21,0)</f>
      </c>
      <c r="BV20" t="str">
        <f>=IFERROR('IV. MA'!H21,0)</f>
      </c>
    </row>
    <row r="21">
      <c r="BR21" t="str">
        <f>=$BB$2</f>
      </c>
      <c r="BS21" t="str">
        <f>=$BD$2</f>
      </c>
      <c r="BT21" t="s">
        <v>427</v>
      </c>
      <c r="BU21" t="str">
        <f>=IFERROR('IV. MA'!G22,0)</f>
      </c>
      <c r="BV21" t="str">
        <f>=IFERROR('IV. MA'!H22,0)</f>
      </c>
    </row>
    <row r="22">
      <c r="BR22" t="str">
        <f>=$BB$2</f>
      </c>
      <c r="BS22" t="str">
        <f>=$BD$2</f>
      </c>
      <c r="BT22" t="s">
        <v>201</v>
      </c>
      <c r="BU22" t="str">
        <f>=IFERROR('IV. MA'!G25,0)</f>
      </c>
      <c r="BV22" t="str">
        <f>=IFERROR('IV. MA'!H25,0)</f>
      </c>
    </row>
    <row r="23">
      <c r="BR23" t="str">
        <f>=$BB$3</f>
      </c>
      <c r="BS23" t="str">
        <f>=$BD$3</f>
      </c>
      <c r="BT23" t="s">
        <v>207</v>
      </c>
      <c r="BU23" t="str">
        <f>=IFERROR('IV. MA'!K10,0)</f>
      </c>
      <c r="BV23" t="str">
        <f>=IFERROR('IV. MA'!L10,0)</f>
      </c>
    </row>
    <row r="24">
      <c r="BR24" t="str">
        <f>=$BB$3</f>
      </c>
      <c r="BS24" t="str">
        <f>=$BD$3</f>
      </c>
      <c r="BT24" t="s">
        <v>248</v>
      </c>
      <c r="BU24" t="str">
        <f>=IFERROR('IV. MA'!K11,0)</f>
      </c>
      <c r="BV24" t="str">
        <f>=IFERROR('IV. MA'!L11,0)</f>
      </c>
    </row>
    <row r="25">
      <c r="BR25" t="str">
        <f>=$BB$3</f>
      </c>
      <c r="BS25" t="str">
        <f>=$BD$3</f>
      </c>
      <c r="BT25" t="s">
        <v>269</v>
      </c>
      <c r="BU25" t="str">
        <f>=IFERROR('IV. MA'!K12,0)</f>
      </c>
      <c r="BV25" t="str">
        <f>=IFERROR('IV. MA'!L12,0)</f>
      </c>
    </row>
    <row r="26">
      <c r="BR26" t="str">
        <f>=$BB$3</f>
      </c>
      <c r="BS26" t="str">
        <f>=$BD$3</f>
      </c>
      <c r="BT26" t="s">
        <v>300</v>
      </c>
      <c r="BU26" t="str">
        <f>=IFERROR('IV. MA'!K13,0)</f>
      </c>
      <c r="BV26" t="str">
        <f>=IFERROR('IV. MA'!L13,0)</f>
      </c>
    </row>
    <row r="27">
      <c r="BR27" t="str">
        <f>=$BB$3</f>
      </c>
      <c r="BS27" t="str">
        <f>=$BD$3</f>
      </c>
      <c r="BT27" t="s">
        <v>331</v>
      </c>
      <c r="BU27" t="str">
        <f>=IFERROR('IV. MA'!K14,0)</f>
      </c>
      <c r="BV27" t="str">
        <f>=IFERROR('IV. MA'!L14,0)</f>
      </c>
    </row>
    <row r="28">
      <c r="BR28" t="str">
        <f>=$BB$3</f>
      </c>
      <c r="BS28" t="str">
        <f>=$BD$3</f>
      </c>
      <c r="BT28" t="s">
        <v>352</v>
      </c>
      <c r="BU28" t="str">
        <f>=IFERROR('IV. MA'!K15,0)</f>
      </c>
      <c r="BV28" t="str">
        <f>=IFERROR('IV. MA'!L15,0)</f>
      </c>
    </row>
    <row r="29">
      <c r="BR29" t="str">
        <f>=$BB$3</f>
      </c>
      <c r="BS29" t="str">
        <f>=$BD$3</f>
      </c>
      <c r="BT29" t="s">
        <v>355</v>
      </c>
      <c r="BU29" t="str">
        <f>=IFERROR('IV. MA'!K16,0)</f>
      </c>
      <c r="BV29" t="str">
        <f>=IFERROR('IV. MA'!L16,0)</f>
      </c>
    </row>
    <row r="30">
      <c r="BR30" t="str">
        <f>=$BB$3</f>
      </c>
      <c r="BS30" t="str">
        <f>=$BD$3</f>
      </c>
      <c r="BT30" t="s">
        <v>357</v>
      </c>
      <c r="BU30" t="str">
        <f>=IFERROR('IV. MA'!K17,0)</f>
      </c>
      <c r="BV30" t="str">
        <f>=IFERROR('IV. MA'!L17,0)</f>
      </c>
    </row>
    <row r="31">
      <c r="BR31" t="str">
        <f>=$BB$3</f>
      </c>
      <c r="BS31" t="str">
        <f>=$BD$3</f>
      </c>
      <c r="BT31" t="s">
        <v>196</v>
      </c>
      <c r="BU31" t="str">
        <f>=IFERROR('IV. MA'!K21,0)</f>
      </c>
      <c r="BV31" t="str">
        <f>=IFERROR('IV. MA'!L21,0)</f>
      </c>
    </row>
    <row r="32">
      <c r="BR32" t="str">
        <f>=$BB$3</f>
      </c>
      <c r="BS32" t="str">
        <f>=$BD$3</f>
      </c>
      <c r="BT32" t="s">
        <v>427</v>
      </c>
      <c r="BU32" t="str">
        <f>=IFERROR('IV. MA'!K22,0)</f>
      </c>
      <c r="BV32" t="str">
        <f>=IFERROR('IV. MA'!L22,0)</f>
      </c>
    </row>
    <row r="33">
      <c r="BR33" t="str">
        <f>=$BB$3</f>
      </c>
      <c r="BS33" t="str">
        <f>=$BD$3</f>
      </c>
      <c r="BT33" t="s">
        <v>201</v>
      </c>
      <c r="BU33" t="str">
        <f>=IFERROR('IV. MA'!K25,0)</f>
      </c>
      <c r="BV33" t="str">
        <f>=IFERROR('IV. MA'!L25,0)</f>
      </c>
    </row>
    <row r="34">
      <c r="BR34" t="str">
        <f>=$BB$4</f>
      </c>
      <c r="BS34" t="str">
        <f>=$BD$4</f>
      </c>
      <c r="BT34" t="s">
        <v>207</v>
      </c>
      <c r="BU34" t="str">
        <f>=IFERROR('IV. MA'!O10,0)</f>
      </c>
      <c r="BV34" t="str">
        <f>=IFERROR('IV. MA'!P10,0)</f>
      </c>
    </row>
    <row r="35">
      <c r="BR35" t="str">
        <f>=$BB$4</f>
      </c>
      <c r="BS35" t="str">
        <f>=$BD$4</f>
      </c>
      <c r="BT35" t="s">
        <v>248</v>
      </c>
      <c r="BU35" t="str">
        <f>=IFERROR('IV. MA'!O11,0)</f>
      </c>
      <c r="BV35" t="str">
        <f>=IFERROR('IV. MA'!P11,0)</f>
      </c>
    </row>
    <row r="36">
      <c r="BR36" t="str">
        <f>=$BB$4</f>
      </c>
      <c r="BS36" t="str">
        <f>=$BD$4</f>
      </c>
      <c r="BT36" t="s">
        <v>269</v>
      </c>
      <c r="BU36" t="str">
        <f>=IFERROR('IV. MA'!O12,0)</f>
      </c>
      <c r="BV36" t="str">
        <f>=IFERROR('IV. MA'!P12,0)</f>
      </c>
    </row>
    <row r="37">
      <c r="BR37" t="str">
        <f>=$BB$4</f>
      </c>
      <c r="BS37" t="str">
        <f>=$BD$4</f>
      </c>
      <c r="BT37" t="s">
        <v>300</v>
      </c>
      <c r="BU37" t="str">
        <f>=IFERROR('IV. MA'!O13,0)</f>
      </c>
      <c r="BV37" t="str">
        <f>=IFERROR('IV. MA'!P13,0)</f>
      </c>
    </row>
    <row r="38">
      <c r="BR38" t="str">
        <f>=$BB$4</f>
      </c>
      <c r="BS38" t="str">
        <f>=$BD$4</f>
      </c>
      <c r="BT38" t="s">
        <v>331</v>
      </c>
      <c r="BU38" t="str">
        <f>=IFERROR('IV. MA'!O14,0)</f>
      </c>
      <c r="BV38" t="str">
        <f>=IFERROR('IV. MA'!P14,0)</f>
      </c>
    </row>
    <row r="39">
      <c r="BR39" t="str">
        <f>=$BB$4</f>
      </c>
      <c r="BS39" t="str">
        <f>=$BD$4</f>
      </c>
      <c r="BT39" t="s">
        <v>352</v>
      </c>
      <c r="BU39" t="str">
        <f>=IFERROR('IV. MA'!O15,0)</f>
      </c>
      <c r="BV39" t="str">
        <f>=IFERROR('IV. MA'!P15,0)</f>
      </c>
    </row>
    <row r="40">
      <c r="BR40" t="str">
        <f>=$BB$4</f>
      </c>
      <c r="BS40" t="str">
        <f>=$BD$4</f>
      </c>
      <c r="BT40" t="s">
        <v>355</v>
      </c>
      <c r="BU40" t="str">
        <f>=IFERROR('IV. MA'!O16,0)</f>
      </c>
      <c r="BV40" t="str">
        <f>=IFERROR('IV. MA'!P16,0)</f>
      </c>
    </row>
    <row r="41">
      <c r="BR41" t="str">
        <f>=$BB$4</f>
      </c>
      <c r="BS41" t="str">
        <f>=$BD$4</f>
      </c>
      <c r="BT41" t="s">
        <v>357</v>
      </c>
      <c r="BU41" t="str">
        <f>=IFERROR('IV. MA'!O17,0)</f>
      </c>
      <c r="BV41" t="str">
        <f>=IFERROR('IV. MA'!P17,0)</f>
      </c>
    </row>
    <row r="42">
      <c r="BR42" t="str">
        <f>=$BB$4</f>
      </c>
      <c r="BS42" t="str">
        <f>=$BD$4</f>
      </c>
      <c r="BT42" t="s">
        <v>196</v>
      </c>
      <c r="BU42" t="str">
        <f>=IFERROR('IV. MA'!O21,0)</f>
      </c>
      <c r="BV42" t="str">
        <f>=IFERROR('IV. MA'!P21,0)</f>
      </c>
    </row>
    <row r="43">
      <c r="BR43" t="str">
        <f>=$BB$4</f>
      </c>
      <c r="BS43" t="str">
        <f>=$BD$4</f>
      </c>
      <c r="BT43" t="s">
        <v>427</v>
      </c>
      <c r="BU43" t="str">
        <f>=IFERROR('IV. MA'!O22,0)</f>
      </c>
      <c r="BV43" t="str">
        <f>=IFERROR('IV. MA'!P22,0)</f>
      </c>
    </row>
    <row r="44">
      <c r="BR44" t="str">
        <f>=$BB$4</f>
      </c>
      <c r="BS44" t="str">
        <f>=$BD$4</f>
      </c>
      <c r="BT44" t="s">
        <v>201</v>
      </c>
      <c r="BU44" t="str">
        <f>=IFERROR('IV. MA'!O25,0)</f>
      </c>
      <c r="BV44" t="str">
        <f>=IFERROR('IV. MA'!P25,0)</f>
      </c>
    </row>
    <row r="45">
      <c r="BR45" t="str">
        <f>=$BB$5</f>
      </c>
      <c r="BS45" t="str">
        <f>=$BD$5</f>
      </c>
      <c r="BT45" t="s">
        <v>207</v>
      </c>
      <c r="BU45" t="str">
        <f>=IFERROR('IV. MA'!S10,0)</f>
      </c>
      <c r="BV45" t="str">
        <f>=IFERROR('IV. MA'!T10,0)</f>
      </c>
    </row>
    <row r="46">
      <c r="BR46" t="str">
        <f>=$BB$5</f>
      </c>
      <c r="BS46" t="str">
        <f>=$BD$5</f>
      </c>
      <c r="BT46" t="s">
        <v>248</v>
      </c>
      <c r="BU46" t="str">
        <f>=IFERROR('IV. MA'!S11,0)</f>
      </c>
      <c r="BV46" t="str">
        <f>=IFERROR('IV. MA'!T11,0)</f>
      </c>
    </row>
    <row r="47">
      <c r="BR47" t="str">
        <f>=$BB$5</f>
      </c>
      <c r="BS47" t="str">
        <f>=$BD$5</f>
      </c>
      <c r="BT47" t="s">
        <v>269</v>
      </c>
      <c r="BU47" t="str">
        <f>=IFERROR('IV. MA'!S12,0)</f>
      </c>
      <c r="BV47" t="str">
        <f>=IFERROR('IV. MA'!T12,0)</f>
      </c>
    </row>
    <row r="48">
      <c r="BR48" t="str">
        <f>=$BB$5</f>
      </c>
      <c r="BS48" t="str">
        <f>=$BD$5</f>
      </c>
      <c r="BT48" t="s">
        <v>300</v>
      </c>
      <c r="BU48" t="str">
        <f>=IFERROR('IV. MA'!S13,0)</f>
      </c>
      <c r="BV48" t="str">
        <f>=IFERROR('IV. MA'!T13,0)</f>
      </c>
    </row>
    <row r="49">
      <c r="BR49" t="str">
        <f>=$BB$5</f>
      </c>
      <c r="BS49" t="str">
        <f>=$BD$5</f>
      </c>
      <c r="BT49" t="s">
        <v>331</v>
      </c>
      <c r="BU49" t="str">
        <f>=IFERROR('IV. MA'!S14,0)</f>
      </c>
      <c r="BV49" t="str">
        <f>=IFERROR('IV. MA'!T14,0)</f>
      </c>
    </row>
    <row r="50">
      <c r="BR50" t="str">
        <f>=$BB$5</f>
      </c>
      <c r="BS50" t="str">
        <f>=$BD$5</f>
      </c>
      <c r="BT50" t="s">
        <v>352</v>
      </c>
      <c r="BU50" t="str">
        <f>=IFERROR('IV. MA'!S15,0)</f>
      </c>
      <c r="BV50" t="str">
        <f>=IFERROR('IV. MA'!T15,0)</f>
      </c>
    </row>
    <row r="51">
      <c r="BR51" t="str">
        <f>=$BB$5</f>
      </c>
      <c r="BS51" t="str">
        <f>=$BD$5</f>
      </c>
      <c r="BT51" t="s">
        <v>355</v>
      </c>
      <c r="BU51" t="str">
        <f>=IFERROR('IV. MA'!S16,0)</f>
      </c>
      <c r="BV51" t="str">
        <f>=IFERROR('IV. MA'!T16,0)</f>
      </c>
    </row>
    <row r="52">
      <c r="BR52" t="str">
        <f>=$BB$5</f>
      </c>
      <c r="BS52" t="str">
        <f>=$BD$5</f>
      </c>
      <c r="BT52" t="s">
        <v>357</v>
      </c>
      <c r="BU52" t="str">
        <f>=IFERROR('IV. MA'!S17,0)</f>
      </c>
      <c r="BV52" t="str">
        <f>=IFERROR('IV. MA'!T17,0)</f>
      </c>
    </row>
    <row r="53">
      <c r="BR53" t="str">
        <f>=$BB$5</f>
      </c>
      <c r="BS53" t="str">
        <f>=$BD$5</f>
      </c>
      <c r="BT53" t="s">
        <v>196</v>
      </c>
      <c r="BU53" t="str">
        <f>=IFERROR('IV. MA'!S21,0)</f>
      </c>
      <c r="BV53" t="str">
        <f>=IFERROR('IV. MA'!T21,0)</f>
      </c>
    </row>
    <row r="54">
      <c r="BR54" t="str">
        <f>=$BB$5</f>
      </c>
      <c r="BS54" t="str">
        <f>=$BD$5</f>
      </c>
      <c r="BT54" t="s">
        <v>427</v>
      </c>
      <c r="BU54" t="str">
        <f>=IFERROR('IV. MA'!S22,0)</f>
      </c>
      <c r="BV54" t="str">
        <f>=IFERROR('IV. MA'!T22,0)</f>
      </c>
    </row>
    <row r="55">
      <c r="BR55" t="str">
        <f>=$BB$5</f>
      </c>
      <c r="BS55" t="str">
        <f>=$BD$5</f>
      </c>
      <c r="BT55" t="s">
        <v>201</v>
      </c>
      <c r="BU55" t="str">
        <f>=IFERROR('IV. MA'!S25,0)</f>
      </c>
      <c r="BV55" t="str">
        <f>=IFERROR('IV. MA'!T25,0)</f>
      </c>
    </row>
    <row r="56">
      <c r="BR56" t="str">
        <f>=$BB$6</f>
      </c>
      <c r="BS56" t="str">
        <f>=$BD$6</f>
      </c>
      <c r="BT56" t="s">
        <v>207</v>
      </c>
      <c r="BU56" t="str">
        <f>=IFERROR('IV. MA'!W10,0)</f>
      </c>
      <c r="BV56" t="str">
        <f>=IFERROR('IV. MA'!X10,0)</f>
      </c>
    </row>
    <row r="57">
      <c r="BR57" t="str">
        <f>=$BB$6</f>
      </c>
      <c r="BS57" t="str">
        <f>=$BD$6</f>
      </c>
      <c r="BT57" t="s">
        <v>248</v>
      </c>
      <c r="BU57" t="str">
        <f>=IFERROR('IV. MA'!W11,0)</f>
      </c>
      <c r="BV57" t="str">
        <f>=IFERROR('IV. MA'!X11,0)</f>
      </c>
    </row>
    <row r="58">
      <c r="BR58" t="str">
        <f>=$BB$6</f>
      </c>
      <c r="BS58" t="str">
        <f>=$BD$6</f>
      </c>
      <c r="BT58" t="s">
        <v>269</v>
      </c>
      <c r="BU58" t="str">
        <f>=IFERROR('IV. MA'!W12,0)</f>
      </c>
      <c r="BV58" t="str">
        <f>=IFERROR('IV. MA'!X12,0)</f>
      </c>
    </row>
    <row r="59">
      <c r="BR59" t="str">
        <f>=$BB$6</f>
      </c>
      <c r="BS59" t="str">
        <f>=$BD$6</f>
      </c>
      <c r="BT59" t="s">
        <v>300</v>
      </c>
      <c r="BU59" t="str">
        <f>=IFERROR('IV. MA'!W13,0)</f>
      </c>
      <c r="BV59" t="str">
        <f>=IFERROR('IV. MA'!X13,0)</f>
      </c>
    </row>
    <row r="60">
      <c r="BR60" t="str">
        <f>=$BB$6</f>
      </c>
      <c r="BS60" t="str">
        <f>=$BD$6</f>
      </c>
      <c r="BT60" t="s">
        <v>331</v>
      </c>
      <c r="BU60" t="str">
        <f>=IFERROR('IV. MA'!W14,0)</f>
      </c>
      <c r="BV60" t="str">
        <f>=IFERROR('IV. MA'!X14,0)</f>
      </c>
    </row>
    <row r="61">
      <c r="BR61" t="str">
        <f>=$BB$6</f>
      </c>
      <c r="BS61" t="str">
        <f>=$BD$6</f>
      </c>
      <c r="BT61" t="s">
        <v>352</v>
      </c>
      <c r="BU61" t="str">
        <f>=IFERROR('IV. MA'!W15,0)</f>
      </c>
      <c r="BV61" t="str">
        <f>=IFERROR('IV. MA'!X15,0)</f>
      </c>
    </row>
    <row r="62">
      <c r="BR62" t="str">
        <f>=$BB$6</f>
      </c>
      <c r="BS62" t="str">
        <f>=$BD$6</f>
      </c>
      <c r="BT62" t="s">
        <v>355</v>
      </c>
      <c r="BU62" t="str">
        <f>=IFERROR('IV. MA'!W16,0)</f>
      </c>
      <c r="BV62" t="str">
        <f>=IFERROR('IV. MA'!X16,0)</f>
      </c>
    </row>
    <row r="63">
      <c r="BR63" t="str">
        <f>=$BB$6</f>
      </c>
      <c r="BS63" t="str">
        <f>=$BD$6</f>
      </c>
      <c r="BT63" t="s">
        <v>357</v>
      </c>
      <c r="BU63" t="str">
        <f>=IFERROR('IV. MA'!W17,0)</f>
      </c>
      <c r="BV63" t="str">
        <f>=IFERROR('IV. MA'!X17,0)</f>
      </c>
    </row>
    <row r="64">
      <c r="BR64" t="str">
        <f>=$BB$6</f>
      </c>
      <c r="BS64" t="str">
        <f>=$BD$6</f>
      </c>
      <c r="BT64" t="s">
        <v>196</v>
      </c>
      <c r="BU64" t="str">
        <f>=IFERROR('IV. MA'!W21,0)</f>
      </c>
      <c r="BV64" t="str">
        <f>=IFERROR('IV. MA'!X21,0)</f>
      </c>
    </row>
    <row r="65">
      <c r="BR65" t="str">
        <f>=$BB$6</f>
      </c>
      <c r="BS65" t="str">
        <f>=$BD$6</f>
      </c>
      <c r="BT65" t="s">
        <v>427</v>
      </c>
      <c r="BU65" t="str">
        <f>=IFERROR('IV. MA'!W22,0)</f>
      </c>
      <c r="BV65" t="str">
        <f>=IFERROR('IV. MA'!X22,0)</f>
      </c>
    </row>
    <row r="66">
      <c r="BR66" t="str">
        <f>=$BB$6</f>
      </c>
      <c r="BS66" t="str">
        <f>=$BD$6</f>
      </c>
      <c r="BT66" t="s">
        <v>201</v>
      </c>
      <c r="BU66" t="str">
        <f>=IFERROR('IV. MA'!W25,0)</f>
      </c>
      <c r="BV66" t="str">
        <f>=IFERROR('IV. MA'!X25,0)</f>
      </c>
    </row>
    <row r="67">
      <c r="BR67" t="str">
        <f>=$BB$7</f>
      </c>
      <c r="BS67" t="str">
        <f>=$BD$7</f>
      </c>
      <c r="BT67" t="s">
        <v>207</v>
      </c>
      <c r="BU67" t="str">
        <f>=IFERROR('IV. MA'!AA10,0)</f>
      </c>
      <c r="BV67" t="str">
        <f>=IFERROR('IV. MA'!AB10,0)</f>
      </c>
    </row>
    <row r="68">
      <c r="BR68" t="str">
        <f>=$BB$7</f>
      </c>
      <c r="BS68" t="str">
        <f>=$BD$7</f>
      </c>
      <c r="BT68" t="s">
        <v>248</v>
      </c>
      <c r="BU68" t="str">
        <f>=IFERROR('IV. MA'!AA11,0)</f>
      </c>
      <c r="BV68" t="str">
        <f>=IFERROR('IV. MA'!AB11,0)</f>
      </c>
    </row>
    <row r="69">
      <c r="BR69" t="str">
        <f>=$BB$7</f>
      </c>
      <c r="BS69" t="str">
        <f>=$BD$7</f>
      </c>
      <c r="BT69" t="s">
        <v>269</v>
      </c>
      <c r="BU69" t="str">
        <f>=IFERROR('IV. MA'!AA12,0)</f>
      </c>
      <c r="BV69" t="str">
        <f>=IFERROR('IV. MA'!AB12,0)</f>
      </c>
    </row>
    <row r="70">
      <c r="BR70" t="str">
        <f>=$BB$7</f>
      </c>
      <c r="BS70" t="str">
        <f>=$BD$7</f>
      </c>
      <c r="BT70" t="s">
        <v>300</v>
      </c>
      <c r="BU70" t="str">
        <f>=IFERROR('IV. MA'!AA13,0)</f>
      </c>
      <c r="BV70" t="str">
        <f>=IFERROR('IV. MA'!AB13,0)</f>
      </c>
    </row>
    <row r="71">
      <c r="BR71" t="str">
        <f>=$BB$7</f>
      </c>
      <c r="BS71" t="str">
        <f>=$BD$7</f>
      </c>
      <c r="BT71" t="s">
        <v>331</v>
      </c>
      <c r="BU71" t="str">
        <f>=IFERROR('IV. MA'!AA14,0)</f>
      </c>
      <c r="BV71" t="str">
        <f>=IFERROR('IV. MA'!AB14,0)</f>
      </c>
    </row>
    <row r="72">
      <c r="BR72" t="str">
        <f>=$BB$7</f>
      </c>
      <c r="BS72" t="str">
        <f>=$BD$7</f>
      </c>
      <c r="BT72" t="s">
        <v>352</v>
      </c>
      <c r="BU72" t="str">
        <f>=IFERROR('IV. MA'!AA15,0)</f>
      </c>
      <c r="BV72" t="str">
        <f>=IFERROR('IV. MA'!AB15,0)</f>
      </c>
    </row>
    <row r="73">
      <c r="BR73" t="str">
        <f>=$BB$7</f>
      </c>
      <c r="BS73" t="str">
        <f>=$BD$7</f>
      </c>
      <c r="BT73" t="s">
        <v>355</v>
      </c>
      <c r="BU73" t="str">
        <f>=IFERROR('IV. MA'!AA16,0)</f>
      </c>
      <c r="BV73" t="str">
        <f>=IFERROR('IV. MA'!AB16,0)</f>
      </c>
    </row>
    <row r="74">
      <c r="BR74" t="str">
        <f>=$BB$7</f>
      </c>
      <c r="BS74" t="str">
        <f>=$BD$7</f>
      </c>
      <c r="BT74" t="s">
        <v>357</v>
      </c>
      <c r="BU74" t="str">
        <f>=IFERROR('IV. MA'!AA17,0)</f>
      </c>
      <c r="BV74" t="str">
        <f>=IFERROR('IV. MA'!AB17,0)</f>
      </c>
    </row>
    <row r="75">
      <c r="BR75" t="str">
        <f>=$BB$7</f>
      </c>
      <c r="BS75" t="str">
        <f>=$BD$7</f>
      </c>
      <c r="BT75" t="s">
        <v>196</v>
      </c>
      <c r="BU75" t="str">
        <f>=IFERROR('IV. MA'!AA21,0)</f>
      </c>
      <c r="BV75" t="str">
        <f>=IFERROR('IV. MA'!AB21,0)</f>
      </c>
    </row>
    <row r="76">
      <c r="BR76" t="str">
        <f>=$BB$7</f>
      </c>
      <c r="BS76" t="str">
        <f>=$BD$7</f>
      </c>
      <c r="BT76" t="s">
        <v>427</v>
      </c>
      <c r="BU76" t="str">
        <f>=IFERROR('IV. MA'!AA22,0)</f>
      </c>
      <c r="BV76" t="str">
        <f>=IFERROR('IV. MA'!AB22,0)</f>
      </c>
    </row>
    <row r="77">
      <c r="BR77" t="str">
        <f>=$BB$7</f>
      </c>
      <c r="BS77" t="str">
        <f>=$BD$7</f>
      </c>
      <c r="BT77" t="s">
        <v>201</v>
      </c>
      <c r="BU77" t="str">
        <f>=IFERROR('IV. MA'!AA25,0)</f>
      </c>
      <c r="BV77" t="str">
        <f>=IFERROR('IV. MA'!AB25,0)</f>
      </c>
    </row>
    <row r="78">
      <c r="BR78" t="str">
        <f>=$BB$8</f>
      </c>
      <c r="BS78" t="str">
        <f>=$BD$8</f>
      </c>
      <c r="BT78" t="s">
        <v>207</v>
      </c>
      <c r="BU78" t="str">
        <f>=IFERROR('IV. MA'!AE10,0)</f>
      </c>
      <c r="BV78" t="str">
        <f>=IFERROR('IV. MA'!AF10,0)</f>
      </c>
    </row>
    <row r="79">
      <c r="BR79" t="str">
        <f>=$BB$8</f>
      </c>
      <c r="BS79" t="str">
        <f>=$BD$8</f>
      </c>
      <c r="BT79" t="s">
        <v>248</v>
      </c>
      <c r="BU79" t="str">
        <f>=IFERROR('IV. MA'!AE11,0)</f>
      </c>
      <c r="BV79" t="str">
        <f>=IFERROR('IV. MA'!AF11,0)</f>
      </c>
    </row>
    <row r="80">
      <c r="BR80" t="str">
        <f>=$BB$8</f>
      </c>
      <c r="BS80" t="str">
        <f>=$BD$8</f>
      </c>
      <c r="BT80" t="s">
        <v>269</v>
      </c>
      <c r="BU80" t="str">
        <f>=IFERROR('IV. MA'!AE12,0)</f>
      </c>
      <c r="BV80" t="str">
        <f>=IFERROR('IV. MA'!AF12,0)</f>
      </c>
    </row>
    <row r="81">
      <c r="BR81" t="str">
        <f>=$BB$8</f>
      </c>
      <c r="BS81" t="str">
        <f>=$BD$8</f>
      </c>
      <c r="BT81" t="s">
        <v>300</v>
      </c>
      <c r="BU81" t="str">
        <f>=IFERROR('IV. MA'!AE13,0)</f>
      </c>
      <c r="BV81" t="str">
        <f>=IFERROR('IV. MA'!AF13,0)</f>
      </c>
    </row>
    <row r="82">
      <c r="BR82" t="str">
        <f>=$BB$8</f>
      </c>
      <c r="BS82" t="str">
        <f>=$BD$8</f>
      </c>
      <c r="BT82" t="s">
        <v>331</v>
      </c>
      <c r="BU82" t="str">
        <f>=IFERROR('IV. MA'!AE14,0)</f>
      </c>
      <c r="BV82" t="str">
        <f>=IFERROR('IV. MA'!AF14,0)</f>
      </c>
    </row>
    <row r="83">
      <c r="BR83" t="str">
        <f>=$BB$8</f>
      </c>
      <c r="BS83" t="str">
        <f>=$BD$8</f>
      </c>
      <c r="BT83" t="s">
        <v>352</v>
      </c>
      <c r="BU83" t="str">
        <f>=IFERROR('IV. MA'!AE15,0)</f>
      </c>
      <c r="BV83" t="str">
        <f>=IFERROR('IV. MA'!AF15,0)</f>
      </c>
    </row>
    <row r="84">
      <c r="BR84" t="str">
        <f>=$BB$8</f>
      </c>
      <c r="BS84" t="str">
        <f>=$BD$8</f>
      </c>
      <c r="BT84" t="s">
        <v>355</v>
      </c>
      <c r="BU84" t="str">
        <f>=IFERROR('IV. MA'!AE16,0)</f>
      </c>
      <c r="BV84" t="str">
        <f>=IFERROR('IV. MA'!AF16,0)</f>
      </c>
    </row>
    <row r="85">
      <c r="BR85" t="str">
        <f>=$BB$8</f>
      </c>
      <c r="BS85" t="str">
        <f>=$BD$8</f>
      </c>
      <c r="BT85" t="s">
        <v>357</v>
      </c>
      <c r="BU85" t="str">
        <f>=IFERROR('IV. MA'!AE17,0)</f>
      </c>
      <c r="BV85" t="str">
        <f>=IFERROR('IV. MA'!AF17,0)</f>
      </c>
    </row>
    <row r="86">
      <c r="BR86" t="str">
        <f>=$BB$8</f>
      </c>
      <c r="BS86" t="str">
        <f>=$BD$8</f>
      </c>
      <c r="BT86" t="s">
        <v>196</v>
      </c>
      <c r="BU86" t="str">
        <f>=IFERROR('IV. MA'!AE21,0)</f>
      </c>
      <c r="BV86" t="str">
        <f>=IFERROR('IV. MA'!AF21,0)</f>
      </c>
    </row>
    <row r="87">
      <c r="BR87" t="str">
        <f>=$BB$8</f>
      </c>
      <c r="BS87" t="str">
        <f>=$BD$8</f>
      </c>
      <c r="BT87" t="s">
        <v>427</v>
      </c>
      <c r="BU87" t="str">
        <f>=IFERROR('IV. MA'!AE22,0)</f>
      </c>
      <c r="BV87" t="str">
        <f>=IFERROR('IV. MA'!AF22,0)</f>
      </c>
    </row>
    <row r="88">
      <c r="BR88" t="str">
        <f>=$BB$8</f>
      </c>
      <c r="BS88" t="str">
        <f>=$BD$8</f>
      </c>
      <c r="BT88" t="s">
        <v>201</v>
      </c>
      <c r="BU88" t="str">
        <f>=IFERROR('IV. MA'!AE25,0)</f>
      </c>
      <c r="BV88" t="str">
        <f>=IFERROR('IV. MA'!AF25,0)</f>
      </c>
    </row>
    <row r="89">
      <c r="BR89" t="str">
        <f>=$BB$9</f>
      </c>
      <c r="BS89" t="str">
        <f>=$BD$9</f>
      </c>
      <c r="BT89" t="s">
        <v>207</v>
      </c>
      <c r="BU89" t="str">
        <f>=IFERROR('IV. MA'!AI10,0)</f>
      </c>
      <c r="BV89" t="str">
        <f>=IFERROR('IV. MA'!AJ10,0)</f>
      </c>
    </row>
    <row r="90">
      <c r="BR90" t="str">
        <f>=$BB$9</f>
      </c>
      <c r="BS90" t="str">
        <f>=$BD$9</f>
      </c>
      <c r="BT90" t="s">
        <v>248</v>
      </c>
      <c r="BU90" t="str">
        <f>=IFERROR('IV. MA'!AI11,0)</f>
      </c>
      <c r="BV90" t="str">
        <f>=IFERROR('IV. MA'!AJ11,0)</f>
      </c>
    </row>
    <row r="91">
      <c r="BR91" t="str">
        <f>=$BB$9</f>
      </c>
      <c r="BS91" t="str">
        <f>=$BD$9</f>
      </c>
      <c r="BT91" t="s">
        <v>269</v>
      </c>
      <c r="BU91" t="str">
        <f>=IFERROR('IV. MA'!AI12,0)</f>
      </c>
      <c r="BV91" t="str">
        <f>=IFERROR('IV. MA'!AJ12,0)</f>
      </c>
    </row>
    <row r="92">
      <c r="BR92" t="str">
        <f>=$BB$9</f>
      </c>
      <c r="BS92" t="str">
        <f>=$BD$9</f>
      </c>
      <c r="BT92" t="s">
        <v>300</v>
      </c>
      <c r="BU92" t="str">
        <f>=IFERROR('IV. MA'!AI13,0)</f>
      </c>
      <c r="BV92" t="str">
        <f>=IFERROR('IV. MA'!AJ13,0)</f>
      </c>
    </row>
    <row r="93">
      <c r="BR93" t="str">
        <f>=$BB$9</f>
      </c>
      <c r="BS93" t="str">
        <f>=$BD$9</f>
      </c>
      <c r="BT93" t="s">
        <v>331</v>
      </c>
      <c r="BU93" t="str">
        <f>=IFERROR('IV. MA'!AI14,0)</f>
      </c>
      <c r="BV93" t="str">
        <f>=IFERROR('IV. MA'!AJ14,0)</f>
      </c>
    </row>
    <row r="94">
      <c r="BR94" t="str">
        <f>=$BB$9</f>
      </c>
      <c r="BS94" t="str">
        <f>=$BD$9</f>
      </c>
      <c r="BT94" t="s">
        <v>352</v>
      </c>
      <c r="BU94" t="str">
        <f>=IFERROR('IV. MA'!AI15,0)</f>
      </c>
      <c r="BV94" t="str">
        <f>=IFERROR('IV. MA'!AJ15,0)</f>
      </c>
    </row>
    <row r="95">
      <c r="BR95" t="str">
        <f>=$BB$9</f>
      </c>
      <c r="BS95" t="str">
        <f>=$BD$9</f>
      </c>
      <c r="BT95" t="s">
        <v>355</v>
      </c>
      <c r="BU95" t="str">
        <f>=IFERROR('IV. MA'!AI16,0)</f>
      </c>
      <c r="BV95" t="str">
        <f>=IFERROR('IV. MA'!AJ16,0)</f>
      </c>
    </row>
    <row r="96">
      <c r="BR96" t="str">
        <f>=$BB$9</f>
      </c>
      <c r="BS96" t="str">
        <f>=$BD$9</f>
      </c>
      <c r="BT96" t="s">
        <v>357</v>
      </c>
      <c r="BU96" t="str">
        <f>=IFERROR('IV. MA'!AI17,0)</f>
      </c>
      <c r="BV96" t="str">
        <f>=IFERROR('IV. MA'!AJ17,0)</f>
      </c>
    </row>
    <row r="97">
      <c r="BR97" t="str">
        <f>=$BB$9</f>
      </c>
      <c r="BS97" t="str">
        <f>=$BD$9</f>
      </c>
      <c r="BT97" t="s">
        <v>196</v>
      </c>
      <c r="BU97" t="str">
        <f>=IFERROR('IV. MA'!AI21,0)</f>
      </c>
      <c r="BV97" t="str">
        <f>=IFERROR('IV. MA'!AJ21,0)</f>
      </c>
    </row>
    <row r="98">
      <c r="BR98" t="str">
        <f>=$BB$9</f>
      </c>
      <c r="BS98" t="str">
        <f>=$BD$9</f>
      </c>
      <c r="BT98" t="s">
        <v>427</v>
      </c>
      <c r="BU98" t="str">
        <f>=IFERROR('IV. MA'!AI22,0)</f>
      </c>
      <c r="BV98" t="str">
        <f>=IFERROR('IV. MA'!AJ22,0)</f>
      </c>
    </row>
    <row r="99">
      <c r="BR99" t="str">
        <f>=$BB$9</f>
      </c>
      <c r="BS99" t="str">
        <f>=$BD$9</f>
      </c>
      <c r="BT99" t="s">
        <v>201</v>
      </c>
      <c r="BU99" t="str">
        <f>=IFERROR('IV. MA'!AI25,0)</f>
      </c>
      <c r="BV99" t="str">
        <f>=IFERROR('IV. MA'!AJ25,0)</f>
      </c>
    </row>
    <row r="100">
      <c r="BR100" t="str">
        <f>=$BB$10</f>
      </c>
      <c r="BS100" t="str">
        <f>=$BD$10</f>
      </c>
      <c r="BT100" t="s">
        <v>207</v>
      </c>
      <c r="BU100" t="str">
        <f>=IFERROR('IV. MA'!AM10,0)</f>
      </c>
      <c r="BV100" t="str">
        <f>=IFERROR('IV. MA'!AN10,0)</f>
      </c>
    </row>
    <row r="101">
      <c r="BR101" t="str">
        <f>=$BB$10</f>
      </c>
      <c r="BS101" t="str">
        <f>=$BD$10</f>
      </c>
      <c r="BT101" t="s">
        <v>248</v>
      </c>
      <c r="BU101" t="str">
        <f>=IFERROR('IV. MA'!AM11,0)</f>
      </c>
      <c r="BV101" t="str">
        <f>=IFERROR('IV. MA'!AN11,0)</f>
      </c>
    </row>
    <row r="102">
      <c r="BR102" t="str">
        <f>=$BB$10</f>
      </c>
      <c r="BS102" t="str">
        <f>=$BD$10</f>
      </c>
      <c r="BT102" t="s">
        <v>269</v>
      </c>
      <c r="BU102" t="str">
        <f>=IFERROR('IV. MA'!AM12,0)</f>
      </c>
      <c r="BV102" t="str">
        <f>=IFERROR('IV. MA'!AN12,0)</f>
      </c>
    </row>
    <row r="103">
      <c r="BR103" t="str">
        <f>=$BB$10</f>
      </c>
      <c r="BS103" t="str">
        <f>=$BD$10</f>
      </c>
      <c r="BT103" t="s">
        <v>300</v>
      </c>
      <c r="BU103" t="str">
        <f>=IFERROR('IV. MA'!AM13,0)</f>
      </c>
      <c r="BV103" t="str">
        <f>=IFERROR('IV. MA'!AN13,0)</f>
      </c>
    </row>
    <row r="104">
      <c r="BR104" t="str">
        <f>=$BB$10</f>
      </c>
      <c r="BS104" t="str">
        <f>=$BD$10</f>
      </c>
      <c r="BT104" t="s">
        <v>331</v>
      </c>
      <c r="BU104" t="str">
        <f>=IFERROR('IV. MA'!AM14,0)</f>
      </c>
      <c r="BV104" t="str">
        <f>=IFERROR('IV. MA'!AN14,0)</f>
      </c>
    </row>
    <row r="105">
      <c r="BR105" t="str">
        <f>=$BB$10</f>
      </c>
      <c r="BS105" t="str">
        <f>=$BD$10</f>
      </c>
      <c r="BT105" t="s">
        <v>352</v>
      </c>
      <c r="BU105" t="str">
        <f>=IFERROR('IV. MA'!AM15,0)</f>
      </c>
      <c r="BV105" t="str">
        <f>=IFERROR('IV. MA'!AN15,0)</f>
      </c>
    </row>
    <row r="106">
      <c r="BR106" t="str">
        <f>=$BB$10</f>
      </c>
      <c r="BS106" t="str">
        <f>=$BD$10</f>
      </c>
      <c r="BT106" t="s">
        <v>355</v>
      </c>
      <c r="BU106" t="str">
        <f>=IFERROR('IV. MA'!AM16,0)</f>
      </c>
      <c r="BV106" t="str">
        <f>=IFERROR('IV. MA'!AN16,0)</f>
      </c>
    </row>
    <row r="107">
      <c r="BR107" t="str">
        <f>=$BB$10</f>
      </c>
      <c r="BS107" t="str">
        <f>=$BD$10</f>
      </c>
      <c r="BT107" t="s">
        <v>357</v>
      </c>
      <c r="BU107" t="str">
        <f>=IFERROR('IV. MA'!AM17,0)</f>
      </c>
      <c r="BV107" t="str">
        <f>=IFERROR('IV. MA'!AN17,0)</f>
      </c>
    </row>
    <row r="108">
      <c r="BR108" t="str">
        <f>=$BB$10</f>
      </c>
      <c r="BS108" t="str">
        <f>=$BD$10</f>
      </c>
      <c r="BT108" t="s">
        <v>196</v>
      </c>
      <c r="BU108" t="str">
        <f>=IFERROR('IV. MA'!AM21,0)</f>
      </c>
      <c r="BV108" t="str">
        <f>=IFERROR('IV. MA'!AN21,0)</f>
      </c>
    </row>
    <row r="109">
      <c r="BR109" t="str">
        <f>=$BB$10</f>
      </c>
      <c r="BS109" t="str">
        <f>=$BD$10</f>
      </c>
      <c r="BT109" t="s">
        <v>427</v>
      </c>
      <c r="BU109" t="str">
        <f>=IFERROR('IV. MA'!AM22,0)</f>
      </c>
      <c r="BV109" t="str">
        <f>=IFERROR('IV. MA'!AN22,0)</f>
      </c>
    </row>
    <row r="110">
      <c r="BR110" t="str">
        <f>=$BB$10</f>
      </c>
      <c r="BS110" t="str">
        <f>=$BD$10</f>
      </c>
      <c r="BT110" t="s">
        <v>201</v>
      </c>
      <c r="BU110" t="str">
        <f>=IFERROR('IV. MA'!AM25,0)</f>
      </c>
      <c r="BV110" t="str">
        <f>=IFERROR('IV. MA'!AN25,0)</f>
      </c>
    </row>
    <row r="111">
      <c r="BR111" t="str">
        <f>=$BB$11</f>
      </c>
      <c r="BS111" t="str">
        <f>=$BD$11</f>
      </c>
      <c r="BT111" t="s">
        <v>207</v>
      </c>
      <c r="BU111" t="str">
        <f>=IFERROR('IV. MA'!AQ10,0)</f>
      </c>
      <c r="BV111" t="str">
        <f>=IFERROR('IV. MA'!AR10,0)</f>
      </c>
    </row>
    <row r="112">
      <c r="BR112" t="str">
        <f>=$BB$11</f>
      </c>
      <c r="BS112" t="str">
        <f>=$BD$11</f>
      </c>
      <c r="BT112" t="s">
        <v>248</v>
      </c>
      <c r="BU112" t="str">
        <f>=IFERROR('IV. MA'!AQ11,0)</f>
      </c>
      <c r="BV112" t="str">
        <f>=IFERROR('IV. MA'!AR11,0)</f>
      </c>
    </row>
    <row r="113">
      <c r="BR113" t="str">
        <f>=$BB$11</f>
      </c>
      <c r="BS113" t="str">
        <f>=$BD$11</f>
      </c>
      <c r="BT113" t="s">
        <v>269</v>
      </c>
      <c r="BU113" t="str">
        <f>=IFERROR('IV. MA'!AQ12,0)</f>
      </c>
      <c r="BV113" t="str">
        <f>=IFERROR('IV. MA'!AR12,0)</f>
      </c>
    </row>
    <row r="114">
      <c r="BR114" t="str">
        <f>=$BB$11</f>
      </c>
      <c r="BS114" t="str">
        <f>=$BD$11</f>
      </c>
      <c r="BT114" t="s">
        <v>300</v>
      </c>
      <c r="BU114" t="str">
        <f>=IFERROR('IV. MA'!AQ13,0)</f>
      </c>
      <c r="BV114" t="str">
        <f>=IFERROR('IV. MA'!AR13,0)</f>
      </c>
    </row>
    <row r="115">
      <c r="BR115" t="str">
        <f>=$BB$11</f>
      </c>
      <c r="BS115" t="str">
        <f>=$BD$11</f>
      </c>
      <c r="BT115" t="s">
        <v>331</v>
      </c>
      <c r="BU115" t="str">
        <f>=IFERROR('IV. MA'!AQ14,0)</f>
      </c>
      <c r="BV115" t="str">
        <f>=IFERROR('IV. MA'!AR14,0)</f>
      </c>
    </row>
    <row r="116">
      <c r="BR116" t="str">
        <f>=$BB$11</f>
      </c>
      <c r="BS116" t="str">
        <f>=$BD$11</f>
      </c>
      <c r="BT116" t="s">
        <v>352</v>
      </c>
      <c r="BU116" t="str">
        <f>=IFERROR('IV. MA'!AQ15,0)</f>
      </c>
      <c r="BV116" t="str">
        <f>=IFERROR('IV. MA'!AR15,0)</f>
      </c>
    </row>
    <row r="117">
      <c r="BR117" t="str">
        <f>=$BB$11</f>
      </c>
      <c r="BS117" t="str">
        <f>=$BD$11</f>
      </c>
      <c r="BT117" t="s">
        <v>355</v>
      </c>
      <c r="BU117" t="str">
        <f>=IFERROR('IV. MA'!AQ16,0)</f>
      </c>
      <c r="BV117" t="str">
        <f>=IFERROR('IV. MA'!AR16,0)</f>
      </c>
    </row>
    <row r="118">
      <c r="BR118" t="str">
        <f>=$BB$11</f>
      </c>
      <c r="BS118" t="str">
        <f>=$BD$11</f>
      </c>
      <c r="BT118" t="s">
        <v>357</v>
      </c>
      <c r="BU118" t="str">
        <f>=IFERROR('IV. MA'!AQ17,0)</f>
      </c>
      <c r="BV118" t="str">
        <f>=IFERROR('IV. MA'!AR17,0)</f>
      </c>
    </row>
    <row r="119">
      <c r="BR119" t="str">
        <f>=$BB$11</f>
      </c>
      <c r="BS119" t="str">
        <f>=$BD$11</f>
      </c>
      <c r="BT119" t="s">
        <v>196</v>
      </c>
      <c r="BU119" t="str">
        <f>=IFERROR('IV. MA'!AQ21,0)</f>
      </c>
      <c r="BV119" t="str">
        <f>=IFERROR('IV. MA'!AR21,0)</f>
      </c>
    </row>
    <row r="120">
      <c r="BR120" t="str">
        <f>=$BB$11</f>
      </c>
      <c r="BS120" t="str">
        <f>=$BD$11</f>
      </c>
      <c r="BT120" t="s">
        <v>427</v>
      </c>
      <c r="BU120" t="str">
        <f>=IFERROR('IV. MA'!AQ22,0)</f>
      </c>
      <c r="BV120" t="str">
        <f>=IFERROR('IV. MA'!AR22,0)</f>
      </c>
    </row>
    <row r="121">
      <c r="BR121" t="str">
        <f>=$BB$11</f>
      </c>
      <c r="BS121" t="str">
        <f>=$BD$11</f>
      </c>
      <c r="BT121" t="s">
        <v>201</v>
      </c>
      <c r="BU121" t="str">
        <f>=IFERROR('IV. MA'!AQ25,0)</f>
      </c>
      <c r="BV121" t="str">
        <f>=IFERROR('IV. MA'!AR25,0)</f>
      </c>
    </row>
    <row r="122">
      <c r="BR122" t="str">
        <f>=$BB$12</f>
      </c>
      <c r="BS122" t="str">
        <f>=$BD$12</f>
      </c>
      <c r="BT122" t="s">
        <v>207</v>
      </c>
      <c r="BU122" t="str">
        <f>=IFERROR('IV. MA'!AU10,0)</f>
      </c>
      <c r="BV122" t="str">
        <f>=IFERROR('IV. MA'!AV10,0)</f>
      </c>
    </row>
    <row r="123">
      <c r="BR123" t="str">
        <f>=$BB$12</f>
      </c>
      <c r="BS123" t="str">
        <f>=$BD$12</f>
      </c>
      <c r="BT123" t="s">
        <v>248</v>
      </c>
      <c r="BU123" t="str">
        <f>=IFERROR('IV. MA'!AU11,0)</f>
      </c>
      <c r="BV123" t="str">
        <f>=IFERROR('IV. MA'!AV11,0)</f>
      </c>
    </row>
    <row r="124">
      <c r="BR124" t="str">
        <f>=$BB$12</f>
      </c>
      <c r="BS124" t="str">
        <f>=$BD$12</f>
      </c>
      <c r="BT124" t="s">
        <v>269</v>
      </c>
      <c r="BU124" t="str">
        <f>=IFERROR('IV. MA'!AU12,0)</f>
      </c>
      <c r="BV124" t="str">
        <f>=IFERROR('IV. MA'!AV12,0)</f>
      </c>
    </row>
    <row r="125">
      <c r="BR125" t="str">
        <f>=$BB$12</f>
      </c>
      <c r="BS125" t="str">
        <f>=$BD$12</f>
      </c>
      <c r="BT125" t="s">
        <v>300</v>
      </c>
      <c r="BU125" t="str">
        <f>=IFERROR('IV. MA'!AU13,0)</f>
      </c>
      <c r="BV125" t="str">
        <f>=IFERROR('IV. MA'!AV13,0)</f>
      </c>
    </row>
    <row r="126">
      <c r="BR126" t="str">
        <f>=$BB$12</f>
      </c>
      <c r="BS126" t="str">
        <f>=$BD$12</f>
      </c>
      <c r="BT126" t="s">
        <v>331</v>
      </c>
      <c r="BU126" t="str">
        <f>=IFERROR('IV. MA'!AU14,0)</f>
      </c>
      <c r="BV126" t="str">
        <f>=IFERROR('IV. MA'!AV14,0)</f>
      </c>
    </row>
    <row r="127">
      <c r="BR127" t="str">
        <f>=$BB$12</f>
      </c>
      <c r="BS127" t="str">
        <f>=$BD$12</f>
      </c>
      <c r="BT127" t="s">
        <v>352</v>
      </c>
      <c r="BU127" t="str">
        <f>=IFERROR('IV. MA'!AU15,0)</f>
      </c>
      <c r="BV127" t="str">
        <f>=IFERROR('IV. MA'!AV15,0)</f>
      </c>
    </row>
    <row r="128">
      <c r="BR128" t="str">
        <f>=$BB$12</f>
      </c>
      <c r="BS128" t="str">
        <f>=$BD$12</f>
      </c>
      <c r="BT128" t="s">
        <v>355</v>
      </c>
      <c r="BU128" t="str">
        <f>=IFERROR('IV. MA'!AU16,0)</f>
      </c>
      <c r="BV128" t="str">
        <f>=IFERROR('IV. MA'!AV16,0)</f>
      </c>
    </row>
    <row r="129">
      <c r="BR129" t="str">
        <f>=$BB$12</f>
      </c>
      <c r="BS129" t="str">
        <f>=$BD$12</f>
      </c>
      <c r="BT129" t="s">
        <v>357</v>
      </c>
      <c r="BU129" t="str">
        <f>=IFERROR('IV. MA'!AU17,0)</f>
      </c>
      <c r="BV129" t="str">
        <f>=IFERROR('IV. MA'!AV17,0)</f>
      </c>
    </row>
    <row r="130">
      <c r="BR130" t="str">
        <f>=$BB$12</f>
      </c>
      <c r="BS130" t="str">
        <f>=$BD$12</f>
      </c>
      <c r="BT130" t="s">
        <v>196</v>
      </c>
      <c r="BU130" t="str">
        <f>=IFERROR('IV. MA'!AU21,0)</f>
      </c>
      <c r="BV130" t="str">
        <f>=IFERROR('IV. MA'!AV21,0)</f>
      </c>
    </row>
    <row r="131">
      <c r="BR131" t="str">
        <f>=$BB$12</f>
      </c>
      <c r="BS131" t="str">
        <f>=$BD$12</f>
      </c>
      <c r="BT131" t="s">
        <v>427</v>
      </c>
      <c r="BU131" t="str">
        <f>=IFERROR('IV. MA'!AU22,0)</f>
      </c>
      <c r="BV131" t="str">
        <f>=IFERROR('IV. MA'!AV22,0)</f>
      </c>
    </row>
    <row r="132">
      <c r="BR132" t="str">
        <f>=$BB$12</f>
      </c>
      <c r="BS132" t="str">
        <f>=$BD$12</f>
      </c>
      <c r="BT132" t="s">
        <v>201</v>
      </c>
      <c r="BU132" t="str">
        <f>=IFERROR('IV. MA'!AU25,0)</f>
      </c>
      <c r="BV132" t="str">
        <f>=IFERROR('IV. MA'!AV25,0)</f>
      </c>
    </row>
    <row r="133">
      <c r="BR133" t="str">
        <f>=$BB$13</f>
      </c>
      <c r="BS133" t="str">
        <f>=$BD$13</f>
      </c>
      <c r="BT133" t="s">
        <v>207</v>
      </c>
      <c r="BU133" t="str">
        <f>=IFERROR('IV. MA'!AY10,0)</f>
      </c>
      <c r="BV133" t="str">
        <f>=IFERROR('IV. MA'!AZ10,0)</f>
      </c>
    </row>
    <row r="134">
      <c r="BR134" t="str">
        <f>=$BB$13</f>
      </c>
      <c r="BS134" t="str">
        <f>=$BD$13</f>
      </c>
      <c r="BT134" t="s">
        <v>248</v>
      </c>
      <c r="BU134" t="str">
        <f>=IFERROR('IV. MA'!AY11,0)</f>
      </c>
      <c r="BV134" t="str">
        <f>=IFERROR('IV. MA'!AZ11,0)</f>
      </c>
    </row>
    <row r="135">
      <c r="BR135" t="str">
        <f>=$BB$13</f>
      </c>
      <c r="BS135" t="str">
        <f>=$BD$13</f>
      </c>
      <c r="BT135" t="s">
        <v>269</v>
      </c>
      <c r="BU135" t="str">
        <f>=IFERROR('IV. MA'!AY12,0)</f>
      </c>
      <c r="BV135" t="str">
        <f>=IFERROR('IV. MA'!AZ12,0)</f>
      </c>
    </row>
    <row r="136">
      <c r="BR136" t="str">
        <f>=$BB$13</f>
      </c>
      <c r="BS136" t="str">
        <f>=$BD$13</f>
      </c>
      <c r="BT136" t="s">
        <v>300</v>
      </c>
      <c r="BU136" t="str">
        <f>=IFERROR('IV. MA'!AY13,0)</f>
      </c>
      <c r="BV136" t="str">
        <f>=IFERROR('IV. MA'!AZ13,0)</f>
      </c>
    </row>
    <row r="137">
      <c r="BR137" t="str">
        <f>=$BB$13</f>
      </c>
      <c r="BS137" t="str">
        <f>=$BD$13</f>
      </c>
      <c r="BT137" t="s">
        <v>331</v>
      </c>
      <c r="BU137" t="str">
        <f>=IFERROR('IV. MA'!AY14,0)</f>
      </c>
      <c r="BV137" t="str">
        <f>=IFERROR('IV. MA'!AZ14,0)</f>
      </c>
    </row>
    <row r="138">
      <c r="BR138" t="str">
        <f>=$BB$13</f>
      </c>
      <c r="BS138" t="str">
        <f>=$BD$13</f>
      </c>
      <c r="BT138" t="s">
        <v>352</v>
      </c>
      <c r="BU138" t="str">
        <f>=IFERROR('IV. MA'!AY15,0)</f>
      </c>
      <c r="BV138" t="str">
        <f>=IFERROR('IV. MA'!AZ15,0)</f>
      </c>
    </row>
    <row r="139">
      <c r="BR139" t="str">
        <f>=$BB$13</f>
      </c>
      <c r="BS139" t="str">
        <f>=$BD$13</f>
      </c>
      <c r="BT139" t="s">
        <v>355</v>
      </c>
      <c r="BU139" t="str">
        <f>=IFERROR('IV. MA'!AY16,0)</f>
      </c>
      <c r="BV139" t="str">
        <f>=IFERROR('IV. MA'!AZ16,0)</f>
      </c>
    </row>
    <row r="140">
      <c r="BR140" t="str">
        <f>=$BB$13</f>
      </c>
      <c r="BS140" t="str">
        <f>=$BD$13</f>
      </c>
      <c r="BT140" t="s">
        <v>357</v>
      </c>
      <c r="BU140" t="str">
        <f>=IFERROR('IV. MA'!AY17,0)</f>
      </c>
      <c r="BV140" t="str">
        <f>=IFERROR('IV. MA'!AZ17,0)</f>
      </c>
    </row>
    <row r="141">
      <c r="BR141" t="str">
        <f>=$BB$13</f>
      </c>
      <c r="BS141" t="str">
        <f>=$BD$13</f>
      </c>
      <c r="BT141" t="s">
        <v>196</v>
      </c>
      <c r="BU141" t="str">
        <f>=IFERROR('IV. MA'!AY21,0)</f>
      </c>
      <c r="BV141" t="str">
        <f>=IFERROR('IV. MA'!AZ21,0)</f>
      </c>
    </row>
    <row r="142">
      <c r="BR142" t="str">
        <f>=$BB$13</f>
      </c>
      <c r="BS142" t="str">
        <f>=$BD$13</f>
      </c>
      <c r="BT142" t="s">
        <v>427</v>
      </c>
      <c r="BU142" t="str">
        <f>=IFERROR('IV. MA'!AY22,0)</f>
      </c>
      <c r="BV142" t="str">
        <f>=IFERROR('IV. MA'!AZ22,0)</f>
      </c>
    </row>
    <row r="143">
      <c r="BR143" t="str">
        <f>=$BB$13</f>
      </c>
      <c r="BS143" t="str">
        <f>=$BD$13</f>
      </c>
      <c r="BT143" t="s">
        <v>201</v>
      </c>
      <c r="BU143" t="str">
        <f>=IFERROR('IV. MA'!AY25,0)</f>
      </c>
      <c r="BV143" t="str">
        <f>=IFERROR('IV. MA'!AZ25,0)</f>
      </c>
    </row>
    <row r="144">
      <c r="BR144" t="str">
        <f>=$BB$14</f>
      </c>
      <c r="BS144" t="str">
        <f>=$BD$14</f>
      </c>
      <c r="BT144" t="s">
        <v>207</v>
      </c>
      <c r="BU144" t="str">
        <f>=IFERROR('IV. MA'!BC10,0)</f>
      </c>
      <c r="BV144" t="str">
        <f>=IFERROR('IV. MA'!BD10,0)</f>
      </c>
    </row>
    <row r="145">
      <c r="BR145" t="str">
        <f>=$BB$14</f>
      </c>
      <c r="BS145" t="str">
        <f>=$BD$14</f>
      </c>
      <c r="BT145" t="s">
        <v>248</v>
      </c>
      <c r="BU145" t="str">
        <f>=IFERROR('IV. MA'!BC11,0)</f>
      </c>
      <c r="BV145" t="str">
        <f>=IFERROR('IV. MA'!BD11,0)</f>
      </c>
    </row>
    <row r="146">
      <c r="BR146" t="str">
        <f>=$BB$14</f>
      </c>
      <c r="BS146" t="str">
        <f>=$BD$14</f>
      </c>
      <c r="BT146" t="s">
        <v>269</v>
      </c>
      <c r="BU146" t="str">
        <f>=IFERROR('IV. MA'!BC12,0)</f>
      </c>
      <c r="BV146" t="str">
        <f>=IFERROR('IV. MA'!BD12,0)</f>
      </c>
    </row>
    <row r="147">
      <c r="BR147" t="str">
        <f>=$BB$14</f>
      </c>
      <c r="BS147" t="str">
        <f>=$BD$14</f>
      </c>
      <c r="BT147" t="s">
        <v>300</v>
      </c>
      <c r="BU147" t="str">
        <f>=IFERROR('IV. MA'!BC13,0)</f>
      </c>
      <c r="BV147" t="str">
        <f>=IFERROR('IV. MA'!BD13,0)</f>
      </c>
    </row>
    <row r="148">
      <c r="BR148" t="str">
        <f>=$BB$14</f>
      </c>
      <c r="BS148" t="str">
        <f>=$BD$14</f>
      </c>
      <c r="BT148" t="s">
        <v>331</v>
      </c>
      <c r="BU148" t="str">
        <f>=IFERROR('IV. MA'!BC14,0)</f>
      </c>
      <c r="BV148" t="str">
        <f>=IFERROR('IV. MA'!BD14,0)</f>
      </c>
    </row>
    <row r="149">
      <c r="BR149" t="str">
        <f>=$BB$14</f>
      </c>
      <c r="BS149" t="str">
        <f>=$BD$14</f>
      </c>
      <c r="BT149" t="s">
        <v>352</v>
      </c>
      <c r="BU149" t="str">
        <f>=IFERROR('IV. MA'!BC15,0)</f>
      </c>
      <c r="BV149" t="str">
        <f>=IFERROR('IV. MA'!BD15,0)</f>
      </c>
    </row>
    <row r="150">
      <c r="BR150" t="str">
        <f>=$BB$14</f>
      </c>
      <c r="BS150" t="str">
        <f>=$BD$14</f>
      </c>
      <c r="BT150" t="s">
        <v>355</v>
      </c>
      <c r="BU150" t="str">
        <f>=IFERROR('IV. MA'!BC16,0)</f>
      </c>
      <c r="BV150" t="str">
        <f>=IFERROR('IV. MA'!BD16,0)</f>
      </c>
    </row>
    <row r="151">
      <c r="BR151" t="str">
        <f>=$BB$14</f>
      </c>
      <c r="BS151" t="str">
        <f>=$BD$14</f>
      </c>
      <c r="BT151" t="s">
        <v>357</v>
      </c>
      <c r="BU151" t="str">
        <f>=IFERROR('IV. MA'!BC17,0)</f>
      </c>
      <c r="BV151" t="str">
        <f>=IFERROR('IV. MA'!BD17,0)</f>
      </c>
    </row>
    <row r="152">
      <c r="BR152" t="str">
        <f>=$BB$14</f>
      </c>
      <c r="BS152" t="str">
        <f>=$BD$14</f>
      </c>
      <c r="BT152" t="s">
        <v>196</v>
      </c>
      <c r="BU152" t="str">
        <f>=IFERROR('IV. MA'!BC21,0)</f>
      </c>
      <c r="BV152" t="str">
        <f>=IFERROR('IV. MA'!BD21,0)</f>
      </c>
    </row>
    <row r="153">
      <c r="BR153" t="str">
        <f>=$BB$14</f>
      </c>
      <c r="BS153" t="str">
        <f>=$BD$14</f>
      </c>
      <c r="BT153" t="s">
        <v>427</v>
      </c>
      <c r="BU153" t="str">
        <f>=IFERROR('IV. MA'!BC22,0)</f>
      </c>
      <c r="BV153" t="str">
        <f>=IFERROR('IV. MA'!BD22,0)</f>
      </c>
    </row>
    <row r="154">
      <c r="BR154" t="str">
        <f>=$BB$14</f>
      </c>
      <c r="BS154" t="str">
        <f>=$BD$14</f>
      </c>
      <c r="BT154" t="s">
        <v>201</v>
      </c>
      <c r="BU154" t="str">
        <f>=IFERROR('IV. MA'!BC25,0)</f>
      </c>
      <c r="BV154" t="str">
        <f>=IFERROR('IV. MA'!BD25,0)</f>
      </c>
    </row>
    <row r="155">
      <c r="BR155" t="str">
        <f>=$BB$15</f>
      </c>
      <c r="BS155" t="str">
        <f>=$BD$15</f>
      </c>
      <c r="BT155" t="s">
        <v>207</v>
      </c>
      <c r="BU155" t="str">
        <f>=IFERROR('IV. MA'!BG10,0)</f>
      </c>
      <c r="BV155" t="str">
        <f>=IFERROR('IV. MA'!BH10,0)</f>
      </c>
    </row>
    <row r="156">
      <c r="BR156" t="str">
        <f>=$BB$15</f>
      </c>
      <c r="BS156" t="str">
        <f>=$BD$15</f>
      </c>
      <c r="BT156" t="s">
        <v>248</v>
      </c>
      <c r="BU156" t="str">
        <f>=IFERROR('IV. MA'!BG11,0)</f>
      </c>
      <c r="BV156" t="str">
        <f>=IFERROR('IV. MA'!BH11,0)</f>
      </c>
    </row>
    <row r="157">
      <c r="BR157" t="str">
        <f>=$BB$15</f>
      </c>
      <c r="BS157" t="str">
        <f>=$BD$15</f>
      </c>
      <c r="BT157" t="s">
        <v>269</v>
      </c>
      <c r="BU157" t="str">
        <f>=IFERROR('IV. MA'!BG12,0)</f>
      </c>
      <c r="BV157" t="str">
        <f>=IFERROR('IV. MA'!BH12,0)</f>
      </c>
    </row>
    <row r="158">
      <c r="BR158" t="str">
        <f>=$BB$15</f>
      </c>
      <c r="BS158" t="str">
        <f>=$BD$15</f>
      </c>
      <c r="BT158" t="s">
        <v>300</v>
      </c>
      <c r="BU158" t="str">
        <f>=IFERROR('IV. MA'!BG13,0)</f>
      </c>
      <c r="BV158" t="str">
        <f>=IFERROR('IV. MA'!BH13,0)</f>
      </c>
    </row>
    <row r="159">
      <c r="BR159" t="str">
        <f>=$BB$15</f>
      </c>
      <c r="BS159" t="str">
        <f>=$BD$15</f>
      </c>
      <c r="BT159" t="s">
        <v>331</v>
      </c>
      <c r="BU159" t="str">
        <f>=IFERROR('IV. MA'!BG14,0)</f>
      </c>
      <c r="BV159" t="str">
        <f>=IFERROR('IV. MA'!BH14,0)</f>
      </c>
    </row>
    <row r="160">
      <c r="BR160" t="str">
        <f>=$BB$15</f>
      </c>
      <c r="BS160" t="str">
        <f>=$BD$15</f>
      </c>
      <c r="BT160" t="s">
        <v>352</v>
      </c>
      <c r="BU160" t="str">
        <f>=IFERROR('IV. MA'!BG15,0)</f>
      </c>
      <c r="BV160" t="str">
        <f>=IFERROR('IV. MA'!BH15,0)</f>
      </c>
    </row>
    <row r="161">
      <c r="BR161" t="str">
        <f>=$BB$15</f>
      </c>
      <c r="BS161" t="str">
        <f>=$BD$15</f>
      </c>
      <c r="BT161" t="s">
        <v>355</v>
      </c>
      <c r="BU161" t="str">
        <f>=IFERROR('IV. MA'!BG16,0)</f>
      </c>
      <c r="BV161" t="str">
        <f>=IFERROR('IV. MA'!BH16,0)</f>
      </c>
    </row>
    <row r="162">
      <c r="BR162" t="str">
        <f>=$BB$15</f>
      </c>
      <c r="BS162" t="str">
        <f>=$BD$15</f>
      </c>
      <c r="BT162" t="s">
        <v>357</v>
      </c>
      <c r="BU162" t="str">
        <f>=IFERROR('IV. MA'!BG17,0)</f>
      </c>
      <c r="BV162" t="str">
        <f>=IFERROR('IV. MA'!BH17,0)</f>
      </c>
    </row>
    <row r="163">
      <c r="BR163" t="str">
        <f>=$BB$15</f>
      </c>
      <c r="BS163" t="str">
        <f>=$BD$15</f>
      </c>
      <c r="BT163" t="s">
        <v>196</v>
      </c>
      <c r="BU163" t="str">
        <f>=IFERROR('IV. MA'!BG21,0)</f>
      </c>
      <c r="BV163" t="str">
        <f>=IFERROR('IV. MA'!BH21,0)</f>
      </c>
    </row>
    <row r="164">
      <c r="BR164" t="str">
        <f>=$BB$15</f>
      </c>
      <c r="BS164" t="str">
        <f>=$BD$15</f>
      </c>
      <c r="BT164" t="s">
        <v>427</v>
      </c>
      <c r="BU164" t="str">
        <f>=IFERROR('IV. MA'!BG22,0)</f>
      </c>
      <c r="BV164" t="str">
        <f>=IFERROR('IV. MA'!BH22,0)</f>
      </c>
    </row>
    <row r="165">
      <c r="BR165" t="str">
        <f>=$BB$15</f>
      </c>
      <c r="BS165" t="str">
        <f>=$BD$15</f>
      </c>
      <c r="BT165" t="s">
        <v>201</v>
      </c>
      <c r="BU165" t="str">
        <f>=IFERROR('IV. MA'!BG25,0)</f>
      </c>
      <c r="BV165" t="str">
        <f>=IFERROR('IV. MA'!BH25,0)</f>
      </c>
    </row>
    <row r="166">
      <c r="BR166" t="str">
        <f>=$BB$16</f>
      </c>
      <c r="BS166" t="str">
        <f>=$BD$16</f>
      </c>
      <c r="BT166" t="s">
        <v>207</v>
      </c>
      <c r="BU166" t="str">
        <f>=IFERROR('IV. MA'!BK10,0)</f>
      </c>
      <c r="BV166" t="str">
        <f>=IFERROR('IV. MA'!BL10,0)</f>
      </c>
    </row>
    <row r="167">
      <c r="BR167" t="str">
        <f>=$BB$16</f>
      </c>
      <c r="BS167" t="str">
        <f>=$BD$16</f>
      </c>
      <c r="BT167" t="s">
        <v>248</v>
      </c>
      <c r="BU167" t="str">
        <f>=IFERROR('IV. MA'!BK11,0)</f>
      </c>
      <c r="BV167" t="str">
        <f>=IFERROR('IV. MA'!BL11,0)</f>
      </c>
    </row>
    <row r="168">
      <c r="BR168" t="str">
        <f>=$BB$16</f>
      </c>
      <c r="BS168" t="str">
        <f>=$BD$16</f>
      </c>
      <c r="BT168" t="s">
        <v>269</v>
      </c>
      <c r="BU168" t="str">
        <f>=IFERROR('IV. MA'!BK12,0)</f>
      </c>
      <c r="BV168" t="str">
        <f>=IFERROR('IV. MA'!BL12,0)</f>
      </c>
    </row>
    <row r="169">
      <c r="BR169" t="str">
        <f>=$BB$16</f>
      </c>
      <c r="BS169" t="str">
        <f>=$BD$16</f>
      </c>
      <c r="BT169" t="s">
        <v>300</v>
      </c>
      <c r="BU169" t="str">
        <f>=IFERROR('IV. MA'!BK13,0)</f>
      </c>
      <c r="BV169" t="str">
        <f>=IFERROR('IV. MA'!BL13,0)</f>
      </c>
    </row>
    <row r="170">
      <c r="BR170" t="str">
        <f>=$BB$16</f>
      </c>
      <c r="BS170" t="str">
        <f>=$BD$16</f>
      </c>
      <c r="BT170" t="s">
        <v>331</v>
      </c>
      <c r="BU170" t="str">
        <f>=IFERROR('IV. MA'!BK14,0)</f>
      </c>
      <c r="BV170" t="str">
        <f>=IFERROR('IV. MA'!BL14,0)</f>
      </c>
    </row>
    <row r="171">
      <c r="BR171" t="str">
        <f>=$BB$16</f>
      </c>
      <c r="BS171" t="str">
        <f>=$BD$16</f>
      </c>
      <c r="BT171" t="s">
        <v>352</v>
      </c>
      <c r="BU171" t="str">
        <f>=IFERROR('IV. MA'!BK15,0)</f>
      </c>
      <c r="BV171" t="str">
        <f>=IFERROR('IV. MA'!BL15,0)</f>
      </c>
    </row>
    <row r="172">
      <c r="BR172" t="str">
        <f>=$BB$16</f>
      </c>
      <c r="BS172" t="str">
        <f>=$BD$16</f>
      </c>
      <c r="BT172" t="s">
        <v>355</v>
      </c>
      <c r="BU172" t="str">
        <f>=IFERROR('IV. MA'!BK16,0)</f>
      </c>
      <c r="BV172" t="str">
        <f>=IFERROR('IV. MA'!BL16,0)</f>
      </c>
    </row>
    <row r="173">
      <c r="BR173" t="str">
        <f>=$BB$16</f>
      </c>
      <c r="BS173" t="str">
        <f>=$BD$16</f>
      </c>
      <c r="BT173" t="s">
        <v>357</v>
      </c>
      <c r="BU173" t="str">
        <f>=IFERROR('IV. MA'!BK17,0)</f>
      </c>
      <c r="BV173" t="str">
        <f>=IFERROR('IV. MA'!BL17,0)</f>
      </c>
    </row>
    <row r="174">
      <c r="BR174" t="str">
        <f>=$BB$16</f>
      </c>
      <c r="BS174" t="str">
        <f>=$BD$16</f>
      </c>
      <c r="BT174" t="s">
        <v>196</v>
      </c>
      <c r="BU174" t="str">
        <f>=IFERROR('IV. MA'!BK21,0)</f>
      </c>
      <c r="BV174" t="str">
        <f>=IFERROR('IV. MA'!BL21,0)</f>
      </c>
    </row>
    <row r="175">
      <c r="BR175" t="str">
        <f>=$BB$16</f>
      </c>
      <c r="BS175" t="str">
        <f>=$BD$16</f>
      </c>
      <c r="BT175" t="s">
        <v>427</v>
      </c>
      <c r="BU175" t="str">
        <f>=IFERROR('IV. MA'!BK22,0)</f>
      </c>
      <c r="BV175" t="str">
        <f>=IFERROR('IV. MA'!BL22,0)</f>
      </c>
    </row>
    <row r="176">
      <c r="BR176" t="str">
        <f>=$BB$16</f>
      </c>
      <c r="BS176" t="str">
        <f>=$BD$16</f>
      </c>
      <c r="BT176" t="s">
        <v>201</v>
      </c>
      <c r="BU176" t="str">
        <f>=IFERROR('IV. MA'!BK25,0)</f>
      </c>
      <c r="BV176" t="str">
        <f>=IFERROR('IV. MA'!BL25,0)</f>
      </c>
    </row>
    <row r="177">
      <c r="BR177" t="str">
        <f>=$BB$17</f>
      </c>
      <c r="BS177" t="str">
        <f>=$BD$17</f>
      </c>
      <c r="BT177" t="s">
        <v>207</v>
      </c>
      <c r="BU177" t="str">
        <f>=IFERROR('IV. MA'!BO10,0)</f>
      </c>
      <c r="BV177" t="str">
        <f>=IFERROR('IV. MA'!BP10,0)</f>
      </c>
    </row>
    <row r="178">
      <c r="BR178" t="str">
        <f>=$BB$17</f>
      </c>
      <c r="BS178" t="str">
        <f>=$BD$17</f>
      </c>
      <c r="BT178" t="s">
        <v>248</v>
      </c>
      <c r="BU178" t="str">
        <f>=IFERROR('IV. MA'!BO11,0)</f>
      </c>
      <c r="BV178" t="str">
        <f>=IFERROR('IV. MA'!BP11,0)</f>
      </c>
    </row>
    <row r="179">
      <c r="BR179" t="str">
        <f>=$BB$17</f>
      </c>
      <c r="BS179" t="str">
        <f>=$BD$17</f>
      </c>
      <c r="BT179" t="s">
        <v>269</v>
      </c>
      <c r="BU179" t="str">
        <f>=IFERROR('IV. MA'!BO12,0)</f>
      </c>
      <c r="BV179" t="str">
        <f>=IFERROR('IV. MA'!BP12,0)</f>
      </c>
    </row>
    <row r="180">
      <c r="BR180" t="str">
        <f>=$BB$17</f>
      </c>
      <c r="BS180" t="str">
        <f>=$BD$17</f>
      </c>
      <c r="BT180" t="s">
        <v>300</v>
      </c>
      <c r="BU180" t="str">
        <f>=IFERROR('IV. MA'!BO13,0)</f>
      </c>
      <c r="BV180" t="str">
        <f>=IFERROR('IV. MA'!BP13,0)</f>
      </c>
    </row>
    <row r="181">
      <c r="BR181" t="str">
        <f>=$BB$17</f>
      </c>
      <c r="BS181" t="str">
        <f>=$BD$17</f>
      </c>
      <c r="BT181" t="s">
        <v>331</v>
      </c>
      <c r="BU181" t="str">
        <f>=IFERROR('IV. MA'!BO14,0)</f>
      </c>
      <c r="BV181" t="str">
        <f>=IFERROR('IV. MA'!BP14,0)</f>
      </c>
    </row>
    <row r="182">
      <c r="BR182" t="str">
        <f>=$BB$17</f>
      </c>
      <c r="BS182" t="str">
        <f>=$BD$17</f>
      </c>
      <c r="BT182" t="s">
        <v>352</v>
      </c>
      <c r="BU182" t="str">
        <f>=IFERROR('IV. MA'!BO15,0)</f>
      </c>
      <c r="BV182" t="str">
        <f>=IFERROR('IV. MA'!BP15,0)</f>
      </c>
    </row>
    <row r="183">
      <c r="BR183" t="str">
        <f>=$BB$17</f>
      </c>
      <c r="BS183" t="str">
        <f>=$BD$17</f>
      </c>
      <c r="BT183" t="s">
        <v>355</v>
      </c>
      <c r="BU183" t="str">
        <f>=IFERROR('IV. MA'!BO16,0)</f>
      </c>
      <c r="BV183" t="str">
        <f>=IFERROR('IV. MA'!BP16,0)</f>
      </c>
    </row>
    <row r="184">
      <c r="BR184" t="str">
        <f>=$BB$17</f>
      </c>
      <c r="BS184" t="str">
        <f>=$BD$17</f>
      </c>
      <c r="BT184" t="s">
        <v>357</v>
      </c>
      <c r="BU184" t="str">
        <f>=IFERROR('IV. MA'!BO17,0)</f>
      </c>
      <c r="BV184" t="str">
        <f>=IFERROR('IV. MA'!BP17,0)</f>
      </c>
    </row>
    <row r="185">
      <c r="BR185" t="str">
        <f>=$BB$17</f>
      </c>
      <c r="BS185" t="str">
        <f>=$BD$17</f>
      </c>
      <c r="BT185" t="s">
        <v>196</v>
      </c>
      <c r="BU185" t="str">
        <f>=IFERROR('IV. MA'!BO21,0)</f>
      </c>
      <c r="BV185" t="str">
        <f>=IFERROR('IV. MA'!BP21,0)</f>
      </c>
    </row>
    <row r="186">
      <c r="BR186" t="str">
        <f>=$BB$17</f>
      </c>
      <c r="BS186" t="str">
        <f>=$BD$17</f>
      </c>
      <c r="BT186" t="s">
        <v>427</v>
      </c>
      <c r="BU186" t="str">
        <f>=IFERROR('IV. MA'!BO22,0)</f>
      </c>
      <c r="BV186" t="str">
        <f>=IFERROR('IV. MA'!BP22,0)</f>
      </c>
    </row>
    <row r="187">
      <c r="BR187" t="str">
        <f>=$BB$17</f>
      </c>
      <c r="BS187" t="str">
        <f>=$BD$17</f>
      </c>
      <c r="BT187" t="s">
        <v>201</v>
      </c>
      <c r="BU187" t="str">
        <f>=IFERROR('IV. MA'!BO25,0)</f>
      </c>
      <c r="BV187" t="str">
        <f>=IFERROR('IV. MA'!BP25,0)</f>
      </c>
    </row>
    <row r="188">
      <c r="BR188" t="str">
        <f>=$BB$18</f>
      </c>
      <c r="BS188" t="str">
        <f>=$BD$18</f>
      </c>
      <c r="BT188" t="s">
        <v>207</v>
      </c>
      <c r="BU188" t="str">
        <f>=IFERROR('IV. MA'!BS10,0)</f>
      </c>
      <c r="BV188" t="str">
        <f>=IFERROR('IV. MA'!BT10,0)</f>
      </c>
    </row>
    <row r="189">
      <c r="BR189" t="str">
        <f>=$BB$18</f>
      </c>
      <c r="BS189" t="str">
        <f>=$BD$18</f>
      </c>
      <c r="BT189" t="s">
        <v>248</v>
      </c>
      <c r="BU189" t="str">
        <f>=IFERROR('IV. MA'!BS11,0)</f>
      </c>
      <c r="BV189" t="str">
        <f>=IFERROR('IV. MA'!BT11,0)</f>
      </c>
    </row>
    <row r="190">
      <c r="BR190" t="str">
        <f>=$BB$18</f>
      </c>
      <c r="BS190" t="str">
        <f>=$BD$18</f>
      </c>
      <c r="BT190" t="s">
        <v>269</v>
      </c>
      <c r="BU190" t="str">
        <f>=IFERROR('IV. MA'!BS12,0)</f>
      </c>
      <c r="BV190" t="str">
        <f>=IFERROR('IV. MA'!BT12,0)</f>
      </c>
    </row>
    <row r="191">
      <c r="BR191" t="str">
        <f>=$BB$18</f>
      </c>
      <c r="BS191" t="str">
        <f>=$BD$18</f>
      </c>
      <c r="BT191" t="s">
        <v>300</v>
      </c>
      <c r="BU191" t="str">
        <f>=IFERROR('IV. MA'!BS13,0)</f>
      </c>
      <c r="BV191" t="str">
        <f>=IFERROR('IV. MA'!BT13,0)</f>
      </c>
    </row>
    <row r="192">
      <c r="BR192" t="str">
        <f>=$BB$18</f>
      </c>
      <c r="BS192" t="str">
        <f>=$BD$18</f>
      </c>
      <c r="BT192" t="s">
        <v>331</v>
      </c>
      <c r="BU192" t="str">
        <f>=IFERROR('IV. MA'!BS14,0)</f>
      </c>
      <c r="BV192" t="str">
        <f>=IFERROR('IV. MA'!BT14,0)</f>
      </c>
    </row>
    <row r="193">
      <c r="BR193" t="str">
        <f>=$BB$18</f>
      </c>
      <c r="BS193" t="str">
        <f>=$BD$18</f>
      </c>
      <c r="BT193" t="s">
        <v>352</v>
      </c>
      <c r="BU193" t="str">
        <f>=IFERROR('IV. MA'!BS15,0)</f>
      </c>
      <c r="BV193" t="str">
        <f>=IFERROR('IV. MA'!BT15,0)</f>
      </c>
    </row>
    <row r="194">
      <c r="BR194" t="str">
        <f>=$BB$18</f>
      </c>
      <c r="BS194" t="str">
        <f>=$BD$18</f>
      </c>
      <c r="BT194" t="s">
        <v>355</v>
      </c>
      <c r="BU194" t="str">
        <f>=IFERROR('IV. MA'!BS16,0)</f>
      </c>
      <c r="BV194" t="str">
        <f>=IFERROR('IV. MA'!BT16,0)</f>
      </c>
    </row>
    <row r="195">
      <c r="BR195" t="str">
        <f>=$BB$18</f>
      </c>
      <c r="BS195" t="str">
        <f>=$BD$18</f>
      </c>
      <c r="BT195" t="s">
        <v>357</v>
      </c>
      <c r="BU195" t="str">
        <f>=IFERROR('IV. MA'!BS17,0)</f>
      </c>
      <c r="BV195" t="str">
        <f>=IFERROR('IV. MA'!BT17,0)</f>
      </c>
    </row>
    <row r="196">
      <c r="BR196" t="str">
        <f>=$BB$18</f>
      </c>
      <c r="BS196" t="str">
        <f>=$BD$18</f>
      </c>
      <c r="BT196" t="s">
        <v>196</v>
      </c>
      <c r="BU196" t="str">
        <f>=IFERROR('IV. MA'!BS21,0)</f>
      </c>
      <c r="BV196" t="str">
        <f>=IFERROR('IV. MA'!BT21,0)</f>
      </c>
    </row>
    <row r="197">
      <c r="BR197" t="str">
        <f>=$BB$18</f>
      </c>
      <c r="BS197" t="str">
        <f>=$BD$18</f>
      </c>
      <c r="BT197" t="s">
        <v>427</v>
      </c>
      <c r="BU197" t="str">
        <f>=IFERROR('IV. MA'!BS22,0)</f>
      </c>
      <c r="BV197" t="str">
        <f>=IFERROR('IV. MA'!BT22,0)</f>
      </c>
    </row>
    <row r="198">
      <c r="BR198" t="str">
        <f>=$BB$18</f>
      </c>
      <c r="BS198" t="str">
        <f>=$BD$18</f>
      </c>
      <c r="BT198" t="s">
        <v>201</v>
      </c>
      <c r="BU198" t="str">
        <f>=IFERROR('IV. MA'!BS25,0)</f>
      </c>
      <c r="BV198" t="str">
        <f>=IFERROR('IV. MA'!BT25,0)</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