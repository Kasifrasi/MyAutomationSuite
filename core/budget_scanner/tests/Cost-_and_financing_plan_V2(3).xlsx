
<file path=[Content_Types].xml><?xml version="1.0" encoding="utf-8"?>
<Types xmlns="http://schemas.openxmlformats.org/package/2006/content-types">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6.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xl/drawings/drawing2.xml" ContentType="application/vnd.openxmlformats-officedocument.drawing+xml"/>
  <Override PartName="/docProps/app.xml" ContentType="application/vnd.openxmlformats-officedocument.extended-properties+xml"/>
  <Override PartName="/xl/theme/theme1.xml" ContentType="application/vnd.openxmlformats-officedocument.theme+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lockStructure="0"/>
  <bookViews>
    <workbookView xWindow="360" yWindow="15" windowWidth="20955" windowHeight="9720" activeTab="1"/>
  </bookViews>
  <sheets>
    <sheet name="README" sheetId="1" state="visible" r:id="rId4"/>
    <sheet name="Budget" sheetId="2" state="visible" r:id="rId5"/>
    <sheet name="Budget details" sheetId="3" state="visible" r:id="rId6"/>
    <sheet name="Payroll structure" sheetId="4" state="visible" r:id="rId7"/>
    <sheet name="Sprachversionen" sheetId="5" state="visible" r:id="rId8"/>
    <sheet name="Sprachversion FB" sheetId="6" state="hidden" r:id="rId9"/>
  </sheets>
  <definedNames>
    <definedName name="_xlnm.Print_Area" localSheetId="1">Budget!$A$1:$N$168</definedName>
  </definedNames>
  <calcPr/>
  <extLst>
    <ext xmlns:x15="http://schemas.microsoft.com/office/spreadsheetml/2010/11/main" uri="{D0CA8CA8-9F24-4464-BF8E-62219DCF47F9}"/>
  </extLst>
</workbook>
</file>

<file path=xl/sharedStrings.xml><?xml version="1.0" encoding="utf-8"?>
<sst xmlns="http://schemas.openxmlformats.org/spreadsheetml/2006/main" count="634" uniqueCount="634">
  <si>
    <t xml:space="preserve">Important notes on the use of this Excel file</t>
  </si>
  <si>
    <t xml:space="preserve">1. How to fill in the Excel Form</t>
  </si>
  <si>
    <t xml:space="preserve">• Visit the Service Portal:</t>
  </si>
  <si>
    <t>https://www.kindermissionswerk.org/en/partners/service</t>
  </si>
  <si>
    <t xml:space="preserve">2. Important note (Personnel Expenses):</t>
  </si>
  <si>
    <t xml:space="preserve">The entry of Personell Expenses (e.g. salaries, social contributions) is not made directly in the “Budget” sheet, but exclusively in the “Payroll structure” sheet.
Please click the “Payroll structure” tab at the bottom left and enter all relevant information regarding the project staff there.
The data entered there will then be automatically and in summarized form transferred to the “Personnel Expenses” section of the Budget sheet.
This area is deliberately locked and cannot be edited manually in the “Budget” sheet.</t>
  </si>
  <si>
    <t>_V2_en</t>
  </si>
  <si>
    <t xml:space="preserve">Hier kommt ein langer Titel rein</t>
  </si>
  <si>
    <t>2026_0001_001</t>
  </si>
  <si>
    <t>english</t>
  </si>
  <si>
    <t>Testträger</t>
  </si>
  <si>
    <t>USD</t>
  </si>
  <si>
    <t xml:space="preserve">Test 1</t>
  </si>
  <si>
    <t xml:space="preserve">Test 2</t>
  </si>
  <si>
    <t xml:space="preserve">Test 3</t>
  </si>
  <si>
    <t xml:space="preserve">Test 4</t>
  </si>
  <si>
    <t xml:space="preserve">Test 5</t>
  </si>
  <si>
    <t xml:space="preserve">Test 6</t>
  </si>
  <si>
    <t xml:space="preserve">Test 7</t>
  </si>
  <si>
    <t xml:space="preserve">Test 8</t>
  </si>
  <si>
    <t xml:space="preserve">Test 9</t>
  </si>
  <si>
    <t xml:space="preserve">Test 10</t>
  </si>
  <si>
    <t xml:space="preserve">Test 11</t>
  </si>
  <si>
    <t xml:space="preserve">Test 12</t>
  </si>
  <si>
    <t xml:space="preserve">Test 13</t>
  </si>
  <si>
    <t xml:space="preserve">Test 14</t>
  </si>
  <si>
    <t xml:space="preserve">Test 15</t>
  </si>
  <si>
    <t xml:space="preserve">Test 16</t>
  </si>
  <si>
    <t xml:space="preserve">Test 17</t>
  </si>
  <si>
    <t xml:space="preserve">Test 18</t>
  </si>
  <si>
    <t xml:space="preserve">Test 19</t>
  </si>
  <si>
    <t xml:space="preserve">Test 20</t>
  </si>
  <si>
    <t>6.</t>
  </si>
  <si>
    <t>7.</t>
  </si>
  <si>
    <t>8.</t>
  </si>
  <si>
    <t>AED</t>
  </si>
  <si>
    <t>deutsch</t>
  </si>
  <si>
    <t xml:space="preserve">K O S T E N -   U N D   F I N A N Z I E R U N G S P L A N</t>
  </si>
  <si>
    <t>Projekttitel</t>
  </si>
  <si>
    <t xml:space="preserve">Geplante Projektdauer (in Monaten)</t>
  </si>
  <si>
    <t xml:space="preserve">Geplanter Projektbeginn</t>
  </si>
  <si>
    <t xml:space="preserve">Letzter Stand</t>
  </si>
  <si>
    <t>Sprache</t>
  </si>
  <si>
    <t>Lokalwährung</t>
  </si>
  <si>
    <t>Wechselkurs</t>
  </si>
  <si>
    <t>Bauausgaben</t>
  </si>
  <si>
    <t xml:space="preserve">     Zwischensumme Bauausgaben</t>
  </si>
  <si>
    <t xml:space="preserve">Einmalige Ausgaben (Investitionen)</t>
  </si>
  <si>
    <t xml:space="preserve">     Zwischensumme Einmalige Ausgaben (Investitionen)</t>
  </si>
  <si>
    <t>Personalkosten</t>
  </si>
  <si>
    <t xml:space="preserve">     Zwischensumme Personalkosten</t>
  </si>
  <si>
    <t xml:space="preserve">Laufende Ausgaben für Projektaktivitäten</t>
  </si>
  <si>
    <t xml:space="preserve">     Zwischensumme Laufende Ausgaben für Projektaktivitäten</t>
  </si>
  <si>
    <t>Projektverwaltung</t>
  </si>
  <si>
    <t xml:space="preserve">     Zwischensumme Projektverwaltung</t>
  </si>
  <si>
    <t>Evaluierung</t>
  </si>
  <si>
    <t>Audit</t>
  </si>
  <si>
    <t xml:space="preserve">Reserve - nur nach Genehmigung</t>
  </si>
  <si>
    <t>Summe</t>
  </si>
  <si>
    <t>Kostenberechnung</t>
  </si>
  <si>
    <t xml:space="preserve">Kosten pro Jahr/ Phase</t>
  </si>
  <si>
    <t>Beschreibung</t>
  </si>
  <si>
    <t>Einheit</t>
  </si>
  <si>
    <t>Menge</t>
  </si>
  <si>
    <t>%</t>
  </si>
  <si>
    <t>Häufigkeit</t>
  </si>
  <si>
    <t xml:space="preserve">Kosten pro Einheit</t>
  </si>
  <si>
    <t>Gesamtkosten</t>
  </si>
  <si>
    <t xml:space="preserve">1. Jahr/ Phase</t>
  </si>
  <si>
    <t xml:space="preserve">2. Jahr/ Phase</t>
  </si>
  <si>
    <t xml:space="preserve">3. Jahr/ Phase</t>
  </si>
  <si>
    <t xml:space="preserve">nur Text</t>
  </si>
  <si>
    <t xml:space="preserve">in Lokalwährung</t>
  </si>
  <si>
    <t xml:space="preserve">Lokale Eigenleistung</t>
  </si>
  <si>
    <t>Drittmittel</t>
  </si>
  <si>
    <t xml:space="preserve">Beim KMW beantragt</t>
  </si>
  <si>
    <t xml:space="preserve">Erläuterungen: </t>
  </si>
  <si>
    <t xml:space="preserve">Der Kosten- und Finanzierungsplan sowie die Finanzberichte werden in Lokalwährung angefertigt. Bei zwei gängigen Lokalwährungen empfehlen wir, die am meisten genutzte oder die stabilste Währung (“functional currency”) dem Projekt als Lokalwährung zugrunde zu legen. 
Budgetiert werden können nur Kosten mit einhergehendem Geldfluss (keine kalkulierten Kosten) und direktem Projektbezug. Abgerechnet werden können nur Ausgaben mit gebuchten und gestempelten Belegen ("finanziert durch das KMW-Projekt Nr.").
Das KMW behält sich das Recht vor, stichprobenmäßig Beleglisten anzufordern und Belege zu prüfen.
XXX zur Finanzierung?</t>
  </si>
  <si>
    <t xml:space="preserve">Erklärungen der Kostenkategorien: </t>
  </si>
  <si>
    <t xml:space="preserve">- Planmäßige Baumaßnahmen wie Neubau – oder Umbauarbeiten, Renovierungen oder Sanierungen
- Kosten für Fachplanung wie Architekt, Statik, Bodengutachter, Brandschutz etc. – es muss mindestens ein Kostenvoranschlag des Architekten vorliegen
- Außerkostenplanmäßige Eigenleistung: Grundstück oder bereits vorhandenes Gebäude und Genehmigungskosten der Baumaßnahme - der (Eigentums-) Nachweis hierzu muss geliefert werden
- Jede größere Baumaßnahme unterliegt zwei externer Prüfungen:
1) Abnahme durch einen Bauprüfer: die externe Bauprüfung inkl. Bauüberwachung, Abrechnung und Berichtswesen erfolgt durch einen Architekten oder Bauingenieur - es ist mindestens ein Vergleichsangebot für die Baukosten und benötigten Fachplaner vorzulegen (liegt kein weiteres Vergleichsangebot vor, ist eine schriftliche Erklärung notwendig)
2) Audit durch einen Buchprüfer
- Instandhaltungskosten (z.B. kleine Reparaturen, Wartungen, Inspektionen, Malerarbeiten) werden in der Kostenkategorie Projektverwaltung budgetiert
- Kostenaufschlüsselung nach Gewerken in einer Massenaufstellung</t>
  </si>
  <si>
    <t xml:space="preserve">- Anschaffungen über 500€
- Fahrzeuge, die ausschließlich im Projekt gebraucht werden und innerhalb von 5 bzw. 10 Jahren beim Projektträger verbleiben
- Ausrüstungen und Maschinen
- Einrichtungen
- Sonstige Investitionen (z.B. Kauf von Lizenzen)
Es bedarf mindestens 3 Kostenvoranschläge mit Vergabevermerk, die als Teil der Belege archiviert werden müssen zur evtl. Prüfung durch einen externen Buchprüfer. 
Die im Projekt angeschafften Investitionen unterliegen der 
- Zweckbindung: 5 Jahre für Anschaffungen unter 50T€, darüber hinaus 10 Jahre
- Eigentumsübergang: Bei Nutzung innerhalb des Projekts geht die Anschaffung in das Eigentum des Projektpartners über</t>
  </si>
  <si>
    <t xml:space="preserve">1) Personal mit Festanstellung (nach Funktionen): 
- Gehälter inkl. Sozialabgaben pro Person (% Sozialabgaben &amp; Bruttolohn)
- Bei Teilzeitpersonal Angabe des prozentualen Arbeitszeitumfangs in der Spalte „%“) und des Bruttogehalts auf Vollzeitbasis
- Bei nicht in Vollzeit für das Projekt engagiertem Personal Angabe des prozentualen Beschäftigungsumfangs in der Spalte „%“
Detaillierte Aufschlüsselung dieser Personalkosten pro Person 
- Bruttogehalt: monatliches Grundgehalt
- Andere Elemente des Bruttogehalts: eventuelle vermögenswirksame Leistungen, Zuschläge und Zulagen, pauschal versteuerte Lohnbestandteile oder geldwerte Vorteile aus Sachbezügen (nur anerkennbar, wenn objektive Bewertungskriterien angewandt und im Projektkontext sinnvoll eingesetzt werden) – wird i.d.R. als % vom Bruttogehalt oder als Pauschale berechnet
- Gesetzliche Arbeitgebersozialabgaben: jeder festangestellte Mitarbeiter muss gesetzlich versichert sein (z.B. Kranken-, Renten-, Pflege- und Arbeitslosenversicherung) - wird i.d.R. als % vom Bruttogehalt oder als Pauschale berechnet
2) Honorarkräfte (Personal ohne Festanstellung, Honorare ohne Sozialabgaben)
- Ausgaben für Personalweiterbildung (Kosten pro Weiterbildungstag pro Person, separate Aufschlüsselung von evtl. Transport- und Verpflegungskosten)
- Honorarkräfte, die nur in vereinzelten Projektmaßnahmen tätig sind, werden in der Kostenkategorie „Laufende Kosten für Projektaktivitäten“ budgetiert</t>
  </si>
  <si>
    <t xml:space="preserve">- 1 Budgetlinie pro Projektmaßnahme (siehe Logframe) (bei institutioneller Förderung: XXX
- Kosten für Veranstaltungen können wie folgt budgetiert werden: 
1) Einheit: Kosten pro Teilnehmer (Begünstigte) pro Veranstaltung
2) Die detaillierte Aufschlüsselung von Kosten für Material, Verpflegung, Beherbergung, Transport, Honorarkräfte, externe Raummiete, Printmedien etc. geschieht im Reiter „Budgeterläuterungen“</t>
  </si>
  <si>
    <t xml:space="preserve">- Kontinuierliche Instandhaltung (z.B. kleine Reparaturen, Wartungen, Inspektionen, Malerarbeiten) – Instandhaltungskosten ohne direkten Projektzusammenhang müssen besonders begründet werden
- Team- und Monitoringtreffen (falls es sich um interne Auswertungen ohne Evaluierungs-ToRs und Evaluierungsbericht handelt)
- Büromaterial
- Miete, Strom, Gas und Wasser des Projektbüros
- Bankgebühren, die bei Erhalt der KMW-Auszahlung bei der Empfängerbank anfallen</t>
  </si>
  <si>
    <t xml:space="preserve"> - Interne oder externe Evaluierung mit verfügbaren ToRs und Evaluierungsbericht
- Es müssen folgende Informationen vorliegen:
1) Bei Antragstellung:
- Grobe Kostenplanung und Angabe einer Pauschale mit Hinweis der Berechnungsgrundlage
- Angabe, wozu die Evaluierung dienen soll und wann sie geplant ist
2) Ca. 6 Monate vor geplanter Evalulierung: 
- Das Evaluierungsbudget muss präzisiert werden
- Mit den konkreten Vorbereitungen beginnen: detaillierter Kostenplan, ToR, Evaluatorsuche und –auswahl etc.</t>
  </si>
  <si>
    <t xml:space="preserve">- Externe Buchprüfung (Jahresaudit bei großvolumigen und langjährigen Projekten – Gesamtaudit bei langjährigen Projekten im kleineren Segment – institutionelles Audit bei langjährigen Partnern mit mehreren Projekten)
- Aufschlüsselung von evtl. Transport- und Verpflegungskosten im Reiter „Budgeterläuterungen“
Hinweise für den Buchprüfer: 
- Durchführung der Buchprüfung nach dem KMW Standard Auditvertrag
- Die Buchprüfungsgesellschaft bzw. der Auditor müssen alle 5-6 Jahre gewechselt werden
- Es müssen mindestens 3 Kostenvoranschläge vorliegen und nach Projektbewilligung eine Begründung der Buchprüferauswahl eingereicht – das KMW behält sich das Recht vor, der Empfehlung je nach Bewertung im internen Auditorenpool zu widersprechen</t>
  </si>
  <si>
    <t xml:space="preserve">- Wird i.d.R durch das KMW finanziert
- Die Reserve kann unter bestimmten Bedingungen beim KMW beantragt werden (z.B. bei Währungsverlusten, nachgewiesenen Kostensteigerungen )</t>
  </si>
  <si>
    <t>Projektträger</t>
  </si>
  <si>
    <t xml:space="preserve">G E H A L T S S T R U K T U R</t>
  </si>
  <si>
    <t>Monate</t>
  </si>
  <si>
    <t>Budgeterläuterungen</t>
  </si>
  <si>
    <t xml:space="preserve">Name Drittmittelgeber</t>
  </si>
  <si>
    <t>Förderstatus</t>
  </si>
  <si>
    <t xml:space="preserve">Bewilligt/ Beantragt</t>
  </si>
  <si>
    <t xml:space="preserve">in €</t>
  </si>
  <si>
    <t>Förderzeitraum</t>
  </si>
  <si>
    <t>von</t>
  </si>
  <si>
    <t>bis</t>
  </si>
  <si>
    <t>Nr.</t>
  </si>
  <si>
    <t xml:space="preserve">Name, Vorname</t>
  </si>
  <si>
    <t>Position</t>
  </si>
  <si>
    <t xml:space="preserve">Detaillierte Beschreibung der Kosten (zur Nachvollziehbarkeit der Bestandteile des Arbeitgeberbruttos)</t>
  </si>
  <si>
    <t xml:space="preserve">Beschäftigungsumfang (% einer Vollzeitstelle)</t>
  </si>
  <si>
    <t>Einsatzort</t>
  </si>
  <si>
    <t xml:space="preserve">Anzahl Monatsgehälter/ Jahr</t>
  </si>
  <si>
    <t>Bruttobasisgehalt</t>
  </si>
  <si>
    <t xml:space="preserve">Freiwillige Elemente des Bruttogehalts</t>
  </si>
  <si>
    <t xml:space="preserve">Gesetzliche Arbeitgebersozialabgaben und andere gesetzlich festgeschriebene Gehaltselemente</t>
  </si>
  <si>
    <t xml:space="preserve">Jährliche Einmalzahlungen</t>
  </si>
  <si>
    <t xml:space="preserve">Jährliches Arbeitgeberbrutto</t>
  </si>
  <si>
    <t xml:space="preserve">% engagierte Arbeitszeit im Projekt</t>
  </si>
  <si>
    <t xml:space="preserve">Budget Jahr 1</t>
  </si>
  <si>
    <t xml:space="preserve">Budget Jahr 2</t>
  </si>
  <si>
    <t xml:space="preserve">Budget Jahr 3</t>
  </si>
  <si>
    <t xml:space="preserve">Informationen aus dem Arbeitsvertrag</t>
  </si>
  <si>
    <t xml:space="preserve">Monatslohn einer Vollzeitstelle (Jahresdurchschnitt)</t>
  </si>
  <si>
    <t xml:space="preserve">Jahresbudget der Organisation</t>
  </si>
  <si>
    <t>Projektbudget</t>
  </si>
  <si>
    <t xml:space="preserve">MA/ Monat</t>
  </si>
  <si>
    <t>Projektnummer</t>
  </si>
  <si>
    <t xml:space="preserve">Weitere Zeilen hinzufügen!</t>
  </si>
  <si>
    <t xml:space="preserve">Einsatzdauer (in Monaten)</t>
  </si>
  <si>
    <t>Bewilligt</t>
  </si>
  <si>
    <t>Beantragt</t>
  </si>
  <si>
    <t xml:space="preserve">Info: 
Wenn Sie mehr Zeilen (Kostenpositionen) benötigen,
kontaktieren Sie uns bitte.</t>
  </si>
  <si>
    <t>Tipp:</t>
  </si>
  <si>
    <t xml:space="preserve">Diese Kurzinfos ersetzen nicht die vollständige Anleitung – für Details siehe:
„Ausfüllhilfe zum Kosten- und Finanzierungsplan“ auf unserer Webseite.</t>
  </si>
  <si>
    <t xml:space="preserve">🚫 Personalkosten: Bitte hier nichts eintragen  </t>
  </si>
  <si>
    <t>Budget</t>
  </si>
  <si>
    <t>Gehaltsstruktur</t>
  </si>
  <si>
    <t xml:space="preserve">Ausfüllbare Felder sind in den Farben links</t>
  </si>
  <si>
    <t>AFN</t>
  </si>
  <si>
    <t xml:space="preserve">C O S T  A N D  F I N A N C I A L  P L A N</t>
  </si>
  <si>
    <t xml:space="preserve">Project Title</t>
  </si>
  <si>
    <t xml:space="preserve">Planned Project Duration (in Months)</t>
  </si>
  <si>
    <t xml:space="preserve">Planned Project Start</t>
  </si>
  <si>
    <t xml:space="preserve">Date Of Last update</t>
  </si>
  <si>
    <t>Language</t>
  </si>
  <si>
    <t xml:space="preserve">Local Currency</t>
  </si>
  <si>
    <t xml:space="preserve">Exchange Rate</t>
  </si>
  <si>
    <t xml:space="preserve">Building Expenses</t>
  </si>
  <si>
    <t xml:space="preserve">Subtotal Building Expenses</t>
  </si>
  <si>
    <t xml:space="preserve">Non-Recurring Expenses (Investments)</t>
  </si>
  <si>
    <t xml:space="preserve">Subtotal Non Recurring Expenses (Investments)</t>
  </si>
  <si>
    <t xml:space="preserve">Personnel Expenses</t>
  </si>
  <si>
    <t xml:space="preserve">Subtotal Personnel Expenses</t>
  </si>
  <si>
    <t xml:space="preserve">Ongoing Expenses for Project Activities</t>
  </si>
  <si>
    <t xml:space="preserve">Subtotal Ongoing Expenses for Project Activities</t>
  </si>
  <si>
    <t xml:space="preserve">Project Administration</t>
  </si>
  <si>
    <t xml:space="preserve">Subtotal Project Administration</t>
  </si>
  <si>
    <t>Evaluation</t>
  </si>
  <si>
    <t xml:space="preserve">Contingency reserve - after authorisation only</t>
  </si>
  <si>
    <t>Total</t>
  </si>
  <si>
    <t xml:space="preserve">Costs Calculation</t>
  </si>
  <si>
    <t xml:space="preserve">Costs Per Year/Phase</t>
  </si>
  <si>
    <t>Details</t>
  </si>
  <si>
    <t>Unit</t>
  </si>
  <si>
    <t>Quantity</t>
  </si>
  <si>
    <t>Frequency</t>
  </si>
  <si>
    <t xml:space="preserve">Cost Per Unit</t>
  </si>
  <si>
    <t xml:space="preserve">Total Costs</t>
  </si>
  <si>
    <t xml:space="preserve">1. Year/Phase</t>
  </si>
  <si>
    <t xml:space="preserve">2. Year/Phase</t>
  </si>
  <si>
    <t xml:space="preserve">3. Year/Phase</t>
  </si>
  <si>
    <t xml:space="preserve">Text only</t>
  </si>
  <si>
    <t xml:space="preserve">in Local Currency</t>
  </si>
  <si>
    <t xml:space="preserve">Local Contribution</t>
  </si>
  <si>
    <t xml:space="preserve">Third party contribution</t>
  </si>
  <si>
    <t xml:space="preserve">Requested from KMW</t>
  </si>
  <si>
    <t xml:space="preserve">Project Partner</t>
  </si>
  <si>
    <t xml:space="preserve">P A Y R O L L  S T R U C T U R E</t>
  </si>
  <si>
    <t>Months</t>
  </si>
  <si>
    <t xml:space="preserve">BUDGET DETAILS</t>
  </si>
  <si>
    <t xml:space="preserve">Name of the Third Party Donor</t>
  </si>
  <si>
    <t xml:space="preserve">Funding Status</t>
  </si>
  <si>
    <t>Approved/Requested</t>
  </si>
  <si>
    <t xml:space="preserve">Funding Period</t>
  </si>
  <si>
    <t>From</t>
  </si>
  <si>
    <t>To</t>
  </si>
  <si>
    <t>Number</t>
  </si>
  <si>
    <t xml:space="preserve">Surname, First/Given Name</t>
  </si>
  <si>
    <t xml:space="preserve">Detailed description of cost calculation (for traceability of the components of the gross amount paid by employer)</t>
  </si>
  <si>
    <t xml:space="preserve">Employment level (% of a full-time position)</t>
  </si>
  <si>
    <t xml:space="preserve">Deployment location</t>
  </si>
  <si>
    <t xml:space="preserve">Number of Monthly Salaries/year</t>
  </si>
  <si>
    <t xml:space="preserve">Gross Basic Salary</t>
  </si>
  <si>
    <t xml:space="preserve">Voluntary elements of the gross salary</t>
  </si>
  <si>
    <t xml:space="preserve">Statutory employer contributions to social security and other statutory salary components</t>
  </si>
  <si>
    <t xml:space="preserve">Fixed yearly payments</t>
  </si>
  <si>
    <t xml:space="preserve">Annual gross Salary (Employer)</t>
  </si>
  <si>
    <t xml:space="preserve">% Engagement to the Project</t>
  </si>
  <si>
    <t xml:space="preserve">Budget Year 1</t>
  </si>
  <si>
    <t xml:space="preserve">Budget Year 2</t>
  </si>
  <si>
    <t xml:space="preserve">Budget Year 3</t>
  </si>
  <si>
    <t xml:space="preserve">Information from the employment contract</t>
  </si>
  <si>
    <t xml:space="preserve">Monthly salary for a full-time position (annual average)</t>
  </si>
  <si>
    <t xml:space="preserve">Annual budget of the organisation</t>
  </si>
  <si>
    <t xml:space="preserve">Project Budget</t>
  </si>
  <si>
    <t xml:space="preserve">employee/ month</t>
  </si>
  <si>
    <t xml:space="preserve">Project number</t>
  </si>
  <si>
    <t xml:space="preserve">Add more lines!</t>
  </si>
  <si>
    <t xml:space="preserve">Duration of assignment (months)</t>
  </si>
  <si>
    <t>Approved</t>
  </si>
  <si>
    <t>Requested</t>
  </si>
  <si>
    <t xml:space="preserve">Info:
If you need more lines (cost items),
please contact us.</t>
  </si>
  <si>
    <t>Tip:</t>
  </si>
  <si>
    <t xml:space="preserve">These short notes do not replace the full instructions – for details, see:
"Completion aid to the cost and financing plan.pdf" on our website.
</t>
  </si>
  <si>
    <t xml:space="preserve">🚫 Personnel Expenses: Please do not enter anything here
</t>
  </si>
  <si>
    <t xml:space="preserve">Budget explanations</t>
  </si>
  <si>
    <t xml:space="preserve">Payroll structure</t>
  </si>
  <si>
    <t xml:space="preserve">Fillable fields are in the colours on the left</t>
  </si>
  <si>
    <t>ALL</t>
  </si>
  <si>
    <t>français</t>
  </si>
  <si>
    <t xml:space="preserve">B U D G E T   D U   P R O J E T    E T    P L A N   D E   F I N A N C E M E N T</t>
  </si>
  <si>
    <t xml:space="preserve">Titre du projet</t>
  </si>
  <si>
    <t xml:space="preserve">Durée prévue du projet (nombre de mois)</t>
  </si>
  <si>
    <t xml:space="preserve">Début prévu du projet</t>
  </si>
  <si>
    <t xml:space="preserve">Date dernière modification</t>
  </si>
  <si>
    <t>Langue</t>
  </si>
  <si>
    <t xml:space="preserve">Monnaie locale</t>
  </si>
  <si>
    <t xml:space="preserve">Taux d'échange</t>
  </si>
  <si>
    <t xml:space="preserve">Dépenses de construction</t>
  </si>
  <si>
    <t xml:space="preserve">     Sous-total dépenses de construction</t>
  </si>
  <si>
    <t xml:space="preserve">Dépenses uniques (investissements)</t>
  </si>
  <si>
    <t xml:space="preserve">     Sous-total dépenses uniques (investissements)</t>
  </si>
  <si>
    <t>Personnel</t>
  </si>
  <si>
    <t xml:space="preserve">Sous-total personnel</t>
  </si>
  <si>
    <t xml:space="preserve">Dépenses courantes pour activités de projet</t>
  </si>
  <si>
    <t xml:space="preserve">     Sous-total dépenses courantes pour activités de projet</t>
  </si>
  <si>
    <t xml:space="preserve">Gestion de projet</t>
  </si>
  <si>
    <t xml:space="preserve">     Sous-total gestion de projet</t>
  </si>
  <si>
    <t xml:space="preserve">Réserve - uniquement après accord</t>
  </si>
  <si>
    <t>TOTAL</t>
  </si>
  <si>
    <t xml:space="preserve">Calcul des coûts</t>
  </si>
  <si>
    <t xml:space="preserve">Coûts par année/phase (le cas échéant)</t>
  </si>
  <si>
    <t xml:space="preserve">Détail calcul des coûts</t>
  </si>
  <si>
    <t>Unité</t>
  </si>
  <si>
    <t>Quantité</t>
  </si>
  <si>
    <t xml:space="preserve">% </t>
  </si>
  <si>
    <t>Fréquence</t>
  </si>
  <si>
    <t xml:space="preserve">Coûts par unité</t>
  </si>
  <si>
    <t xml:space="preserve">Coût total</t>
  </si>
  <si>
    <t xml:space="preserve">1ère année/phase</t>
  </si>
  <si>
    <t xml:space="preserve">2e année/phase</t>
  </si>
  <si>
    <t xml:space="preserve">3e année/phase</t>
  </si>
  <si>
    <t xml:space="preserve">texte uniquement</t>
  </si>
  <si>
    <t xml:space="preserve">en monnaie locale</t>
  </si>
  <si>
    <t xml:space="preserve">Contribution locale</t>
  </si>
  <si>
    <t xml:space="preserve">Contributions de tiers</t>
  </si>
  <si>
    <t xml:space="preserve">Montant demandé à Kindermissionswerk</t>
  </si>
  <si>
    <t xml:space="preserve">Remarques : </t>
  </si>
  <si>
    <t xml:space="preserve">La subdivision indiquée est purement illustrative et peut être adaptée selon le cas.
Pour ajouter des éléments de coûts supplémentaires, veuillez compléter le tableau en insérant des lignes supplémentaires.
Pour les frais de personnel, veuillez indiquer séparément toutes les personnes rémunérées par des fonds de projet ainsi que le pourcentage de leur activité pour le projet. Les rémunérations et les charges sociales doivent être indiquées séparément.
Pour les collaborateurs à temps partiel, veuillez indiquer le pourcentage du temps de travail et du salaire brut par rapport à un poste à plein temps.
Pour le plan de financement, veuillez considérer que seules les contributions monétaires peuvent être prises en compte pour les prestations propres.</t>
  </si>
  <si>
    <t xml:space="preserve">Explications quant aux éléments de coûts : </t>
  </si>
  <si>
    <t xml:space="preserve">l’achat du terrain à bâtir (coût non assumé par KMW), aux coûts d’aménagement du terrain, coûts liés à la construction (gros œuvre, aménagement intérieur), à l’équipement, l’appareillage,  la technique opératoire, aux installations extérieures, aux frais accessoires (honoraires d’architecte, etc.)</t>
  </si>
  <si>
    <t xml:space="preserve">véhicules, équipements, machines et appareils, autres dispositifs (indépendamment des dépenses de construction), autres investissements (par ex. l’achat de licences, …)</t>
  </si>
  <si>
    <t xml:space="preserve">salariés permanents (selon leur fonction), rémunérations et charges sociales par personne, collaborateurs indépendants percevant des honoraires, coûts pour la formation continue du personnel</t>
  </si>
  <si>
    <t xml:space="preserve">la mise en place de groupes de base, la formation et le conseil sur place, les cours de formation dans des centres (par ex. x jours pour y participant(e)s), au matériel de cours, etc., à l’observation des effets (collecte de données de base, collecte de résultats intermédiaires à l’aide d’indicateurs, ateliers spécif. sur l’observation des effets, etc.)</t>
  </si>
  <si>
    <t xml:space="preserve">audit, frais de locaux (loyer, énergie, entretien du bâtiment), à la communication (téléphone, Internet, etc.), frais de déplacement pour le personnel, à la mobilité (entretien des véhicules,  coûts de fonctionnement des véhicules), produits consommables pour le fonctionnement, l’administration, la logistique, etc., à l’évaluation, etc.</t>
  </si>
  <si>
    <t xml:space="preserve">Porteur de projet</t>
  </si>
  <si>
    <t xml:space="preserve">S T R U C T U R E   S A L A R I A L E</t>
  </si>
  <si>
    <t>mois</t>
  </si>
  <si>
    <t xml:space="preserve">B U D G E T   D É T A I L L É</t>
  </si>
  <si>
    <t xml:space="preserve">Nom contribution de tiers</t>
  </si>
  <si>
    <t xml:space="preserve">Statut de la donation</t>
  </si>
  <si>
    <t xml:space="preserve">Accordé/ Demandé</t>
  </si>
  <si>
    <t xml:space="preserve">en €</t>
  </si>
  <si>
    <t xml:space="preserve">Période de financement</t>
  </si>
  <si>
    <t>de</t>
  </si>
  <si>
    <t>à</t>
  </si>
  <si>
    <t>N°</t>
  </si>
  <si>
    <t xml:space="preserve">Nom, prénom</t>
  </si>
  <si>
    <t xml:space="preserve">Description détaillée des coûts (afin de mieux comprendre les éléments du salaire brut chargé)</t>
  </si>
  <si>
    <t xml:space="preserve">Taux d'emploi (% du temps plein)</t>
  </si>
  <si>
    <t xml:space="preserve">Lieu d'affectation</t>
  </si>
  <si>
    <t xml:space="preserve">Nombre de salaires mensuels/ an</t>
  </si>
  <si>
    <t xml:space="preserve">Salaire de base</t>
  </si>
  <si>
    <t xml:space="preserve">Éléments volontaires du salaire brut</t>
  </si>
  <si>
    <t xml:space="preserve">Charges sociales employeur obligatoires ou d'autres éléments (obligatoires) du salaire brut </t>
  </si>
  <si>
    <t xml:space="preserve">Paiements forfaitaires annuels</t>
  </si>
  <si>
    <t xml:space="preserve">Coût annuel du salarié</t>
  </si>
  <si>
    <t xml:space="preserve">% du temps de travail engagé dans le projet</t>
  </si>
  <si>
    <t xml:space="preserve">Budget année 1</t>
  </si>
  <si>
    <t xml:space="preserve">Budget année 2</t>
  </si>
  <si>
    <t xml:space="preserve">Budget année 3</t>
  </si>
  <si>
    <t xml:space="preserve">Informations issues du contrat de travail</t>
  </si>
  <si>
    <t xml:space="preserve">Salaire mensuel temps plein (moyenne annuelle)</t>
  </si>
  <si>
    <t xml:space="preserve">Budget annuel de l'organisation</t>
  </si>
  <si>
    <t xml:space="preserve">Budget du projet</t>
  </si>
  <si>
    <t xml:space="preserve">employé/ mois</t>
  </si>
  <si>
    <t xml:space="preserve">Numéro de projet</t>
  </si>
  <si>
    <t xml:space="preserve">Ajouter d'autres lignes !</t>
  </si>
  <si>
    <t xml:space="preserve">Durée de l’affectation (mois)</t>
  </si>
  <si>
    <t>Accordé</t>
  </si>
  <si>
    <t>Demandé</t>
  </si>
  <si>
    <t xml:space="preserve">Info :
Si vous avez besoin de plus de lignes (postes de coûts),
veuillez nous contacter.</t>
  </si>
  <si>
    <t xml:space="preserve">Astuce :</t>
  </si>
  <si>
    <t xml:space="preserve">Ces brèves informations ne remplacent pas les instructions complètes – pour plus de détails, voir :
« Guide_pour_le_remplissage_du_plan_de_couts_et_financement.pdf » sur notre site internet.</t>
  </si>
  <si>
    <t xml:space="preserve">🚫 Personnel : Veuillez ne rien saisir ici</t>
  </si>
  <si>
    <t xml:space="preserve">Budget détaillé</t>
  </si>
  <si>
    <t xml:space="preserve">Structure salariale</t>
  </si>
  <si>
    <t xml:space="preserve">Les champs remplissables sont dans les couleurs à gauche</t>
  </si>
  <si>
    <t>AMD</t>
  </si>
  <si>
    <t>español</t>
  </si>
  <si>
    <t xml:space="preserve">P R E S U P U E S T O  Y  P L A N  D E  F I N A N C I A M I E N TO </t>
  </si>
  <si>
    <t xml:space="preserve">Título del proyecto</t>
  </si>
  <si>
    <t xml:space="preserve">Duración planeada</t>
  </si>
  <si>
    <t xml:space="preserve">Fecha planeada de início</t>
  </si>
  <si>
    <t xml:space="preserve">Documento actualizado el …</t>
  </si>
  <si>
    <t>Español</t>
  </si>
  <si>
    <t xml:space="preserve">Moneda local</t>
  </si>
  <si>
    <t xml:space="preserve">Tipo de cambio estimado / €</t>
  </si>
  <si>
    <t xml:space="preserve">Gastos de construcción</t>
  </si>
  <si>
    <t xml:space="preserve">Subtotal gastos de construcción</t>
  </si>
  <si>
    <t xml:space="preserve">Gastos extraordinarios (inversiones)</t>
  </si>
  <si>
    <t xml:space="preserve">Subtotal gastos extraorinarios (inversiones) </t>
  </si>
  <si>
    <t xml:space="preserve">Gastos de personal</t>
  </si>
  <si>
    <t xml:space="preserve">Subtotal gastos de personal</t>
  </si>
  <si>
    <t xml:space="preserve">Gastos corrientes para actividades del proyecto</t>
  </si>
  <si>
    <t xml:space="preserve">Subtotal gastos corrientes para actividades</t>
  </si>
  <si>
    <t xml:space="preserve">Gastos administrativos del proyecto / Gestión del proyecto </t>
  </si>
  <si>
    <t xml:space="preserve">Subtotal gastos administrativos del proyecto</t>
  </si>
  <si>
    <t>Evaluación</t>
  </si>
  <si>
    <t xml:space="preserve">Auditoría externa</t>
  </si>
  <si>
    <t xml:space="preserve">Reserva - solo previa autorización</t>
  </si>
  <si>
    <t xml:space="preserve">Cálculo de gastos</t>
  </si>
  <si>
    <t xml:space="preserve">Gastos por año / fase</t>
  </si>
  <si>
    <t xml:space="preserve">Partida de costos</t>
  </si>
  <si>
    <t>Unidad</t>
  </si>
  <si>
    <t>Cantidad</t>
  </si>
  <si>
    <t>Frecuencia</t>
  </si>
  <si>
    <t xml:space="preserve">Gastos por unidad</t>
  </si>
  <si>
    <t xml:space="preserve">Gastos total</t>
  </si>
  <si>
    <t xml:space="preserve">1er. Año/fase</t>
  </si>
  <si>
    <t xml:space="preserve">2do. Año/fase</t>
  </si>
  <si>
    <t xml:space="preserve">3er. Año/fase</t>
  </si>
  <si>
    <t>narrativo</t>
  </si>
  <si>
    <t xml:space="preserve">en moneda local</t>
  </si>
  <si>
    <t xml:space="preserve">Aporte propio</t>
  </si>
  <si>
    <t xml:space="preserve">Aportes de terceros</t>
  </si>
  <si>
    <t xml:space="preserve">Importe solicitado KMW</t>
  </si>
  <si>
    <t xml:space="preserve">Entidad responsable</t>
  </si>
  <si>
    <t xml:space="preserve">Composición salarial</t>
  </si>
  <si>
    <t xml:space="preserve">meses </t>
  </si>
  <si>
    <t xml:space="preserve">Aclaraciones al presupuesto </t>
  </si>
  <si>
    <t xml:space="preserve">Nombre de los terceros aportantes </t>
  </si>
  <si>
    <t xml:space="preserve">Status de la financiación </t>
  </si>
  <si>
    <t>Aprobado/Solicitado</t>
  </si>
  <si>
    <t xml:space="preserve">en euros</t>
  </si>
  <si>
    <t xml:space="preserve">período de financiación</t>
  </si>
  <si>
    <t>hasta</t>
  </si>
  <si>
    <t xml:space="preserve">Apellido, nombre</t>
  </si>
  <si>
    <t>posición/puesto</t>
  </si>
  <si>
    <t xml:space="preserve">Descripcion detallado de costos (que explicite los componentes del salário bruto)</t>
  </si>
  <si>
    <t xml:space="preserve">Tipo de contrato: a tiempo completo / parcial (en %)</t>
  </si>
  <si>
    <t xml:space="preserve">Lugar de trabajo</t>
  </si>
  <si>
    <t xml:space="preserve">Cantidad de salarios mensuales por año </t>
  </si>
  <si>
    <t xml:space="preserve">Sueldo base (bruto)</t>
  </si>
  <si>
    <t xml:space="preserve">Conceptos voluntarios del salário bruto</t>
  </si>
  <si>
    <t xml:space="preserve">Cargas sociales obligatorias del empleador y demás conceptos salariales obligatorios</t>
  </si>
  <si>
    <t xml:space="preserve">Pagos únicos anuales</t>
  </si>
  <si>
    <t xml:space="preserve">Salário bruto anual pagado por el empleador</t>
  </si>
  <si>
    <t xml:space="preserve">Dedicación al proyecto (en %)</t>
  </si>
  <si>
    <t xml:space="preserve">Presupuesto año 1</t>
  </si>
  <si>
    <t xml:space="preserve">Presupuesto año 2</t>
  </si>
  <si>
    <t xml:space="preserve">Presupuesto año 3</t>
  </si>
  <si>
    <t xml:space="preserve">Informaciones del contrato de trabajo</t>
  </si>
  <si>
    <t xml:space="preserve"> Salario mensual (a tiempo completo)</t>
  </si>
  <si>
    <t xml:space="preserve">Gastos anuales de la entidad</t>
  </si>
  <si>
    <t xml:space="preserve">Presupuesto del proyecto</t>
  </si>
  <si>
    <t xml:space="preserve">empleado / mes</t>
  </si>
  <si>
    <t xml:space="preserve">Número de proyecto</t>
  </si>
  <si>
    <t xml:space="preserve">¡Añade más líneas!</t>
  </si>
  <si>
    <t xml:space="preserve">Duración de la asignación (meses)</t>
  </si>
  <si>
    <t>Aprobado</t>
  </si>
  <si>
    <t>Solicitado</t>
  </si>
  <si>
    <t xml:space="preserve">Información:
Si necesita más líneas (partidas de gastos),
póngase en contacto con nosotros.</t>
  </si>
  <si>
    <t>Consejo:</t>
  </si>
  <si>
    <t xml:space="preserve">Estas notas breves no sustituyen las instrucciones completas; para más detalles, consulta:
« Ayuda_para_la_elaboracion_del_plan_de_costos_e_financiamiento.pdf » en nuestro sitio web.
</t>
  </si>
  <si>
    <t xml:space="preserve">🚫 Gastos de personal: Por favor, no introduzca nada aquí
</t>
  </si>
  <si>
    <t>Presupuesto</t>
  </si>
  <si>
    <t xml:space="preserve">Aclaraciones al presupuesto</t>
  </si>
  <si>
    <t xml:space="preserve">Los campos rellenables aparecen en los colores de la izquierda</t>
  </si>
  <si>
    <t>ANG</t>
  </si>
  <si>
    <t>português</t>
  </si>
  <si>
    <t xml:space="preserve">P L A N O  D E  C U S T O S  E  F I N A N C I A M E N T O </t>
  </si>
  <si>
    <t xml:space="preserve">Título do projeto</t>
  </si>
  <si>
    <t xml:space="preserve">Duração prevista (em meses)</t>
  </si>
  <si>
    <t xml:space="preserve">Previsão de início</t>
  </si>
  <si>
    <t xml:space="preserve">Documento atualizada em</t>
  </si>
  <si>
    <t>Português</t>
  </si>
  <si>
    <t xml:space="preserve">Moeda local</t>
  </si>
  <si>
    <t xml:space="preserve">Proposta de cambio / €</t>
  </si>
  <si>
    <t xml:space="preserve">Despesas de construção (civil)</t>
  </si>
  <si>
    <t xml:space="preserve">Subtotal despesas de construção (civil) </t>
  </si>
  <si>
    <t xml:space="preserve">Despesas únicas (investimentos)</t>
  </si>
  <si>
    <t xml:space="preserve">Subtotal Despesas únicas (investimentos)</t>
  </si>
  <si>
    <t xml:space="preserve">Despesas com pessoal / recursos humanos</t>
  </si>
  <si>
    <t xml:space="preserve">Subtotal Despesas com pessoal / recursos humanos</t>
  </si>
  <si>
    <t xml:space="preserve">Custos de atividades de projeto</t>
  </si>
  <si>
    <t xml:space="preserve">Subtotal Custos de atividades de projeto</t>
  </si>
  <si>
    <t xml:space="preserve">Administração do projeto</t>
  </si>
  <si>
    <t xml:space="preserve">Subtotal Administração do projeto</t>
  </si>
  <si>
    <t>Avaliação</t>
  </si>
  <si>
    <t xml:space="preserve">Auditoria externa</t>
  </si>
  <si>
    <t xml:space="preserve">Reserva - somente após autorização</t>
  </si>
  <si>
    <t xml:space="preserve">Cálculo de custos</t>
  </si>
  <si>
    <t xml:space="preserve">Custos por ano / fase</t>
  </si>
  <si>
    <t xml:space="preserve">Item de custos</t>
  </si>
  <si>
    <t>Unidade</t>
  </si>
  <si>
    <t>Quantidade</t>
  </si>
  <si>
    <t>Freqüencia</t>
  </si>
  <si>
    <t xml:space="preserve">Custo unitário</t>
  </si>
  <si>
    <t xml:space="preserve">Custos total</t>
  </si>
  <si>
    <t xml:space="preserve">1° ano/fase</t>
  </si>
  <si>
    <t xml:space="preserve">2° ano/fase</t>
  </si>
  <si>
    <t xml:space="preserve">3° ano/fase</t>
  </si>
  <si>
    <t xml:space="preserve">Somente texto</t>
  </si>
  <si>
    <t xml:space="preserve">em moeda local</t>
  </si>
  <si>
    <t xml:space="preserve">Contribuição própria </t>
  </si>
  <si>
    <t xml:space="preserve">Contribucões de terceiros</t>
  </si>
  <si>
    <t xml:space="preserve">Subsídio solicitado KMW</t>
  </si>
  <si>
    <t xml:space="preserve">Entidade responsável</t>
  </si>
  <si>
    <t xml:space="preserve">Composição salarial</t>
  </si>
  <si>
    <t>meses</t>
  </si>
  <si>
    <t xml:space="preserve">Esclarecimentos orçamentários</t>
  </si>
  <si>
    <t xml:space="preserve">Outras entidades financiadores (terceiros)</t>
  </si>
  <si>
    <t xml:space="preserve">status do financiamento</t>
  </si>
  <si>
    <t>Aprovado/Solicitado</t>
  </si>
  <si>
    <t xml:space="preserve">em euros</t>
  </si>
  <si>
    <t xml:space="preserve">período de financiamento</t>
  </si>
  <si>
    <t>até</t>
  </si>
  <si>
    <t xml:space="preserve">N° </t>
  </si>
  <si>
    <t xml:space="preserve">Sobrenome, nome</t>
  </si>
  <si>
    <t>Cargo</t>
  </si>
  <si>
    <t xml:space="preserve">Explicações detalhados de custos (que descrimine os componentes do salário bruto)</t>
  </si>
  <si>
    <t xml:space="preserve">Modelo de contrato: tempo integral / parcial (em %)</t>
  </si>
  <si>
    <t xml:space="preserve">Local de trabalho</t>
  </si>
  <si>
    <t xml:space="preserve">Quantidade de salários mensais por ano </t>
  </si>
  <si>
    <t xml:space="preserve">Salário base (bruto) </t>
  </si>
  <si>
    <t xml:space="preserve">Componentes voluntários do salário bruto</t>
  </si>
  <si>
    <t xml:space="preserve">Encargos sociais obrigatórios do empregador e outros elementos salariais obrigatórios</t>
  </si>
  <si>
    <t xml:space="preserve">Beneficios únicos anuais</t>
  </si>
  <si>
    <t xml:space="preserve">Salário bruto anual pago pelo empregador</t>
  </si>
  <si>
    <t xml:space="preserve">Vinculação ao projeto (em %)</t>
  </si>
  <si>
    <t xml:space="preserve">Orçamento ano 1</t>
  </si>
  <si>
    <t xml:space="preserve">Orçamento ano 2</t>
  </si>
  <si>
    <t xml:space="preserve">Orçamento ano 3</t>
  </si>
  <si>
    <t xml:space="preserve">Informações do contrato de trabalho </t>
  </si>
  <si>
    <t xml:space="preserve">Salário mensal (de tempo integral)</t>
  </si>
  <si>
    <t xml:space="preserve">Custos anuais da entidade</t>
  </si>
  <si>
    <t xml:space="preserve">Orçamento do projeto</t>
  </si>
  <si>
    <t xml:space="preserve">funcionário / mês</t>
  </si>
  <si>
    <t xml:space="preserve">Número do projeto</t>
  </si>
  <si>
    <t xml:space="preserve">Adicione mais linhas!</t>
  </si>
  <si>
    <t xml:space="preserve">Duração da atuação (meses)</t>
  </si>
  <si>
    <t>Aprovado</t>
  </si>
  <si>
    <t xml:space="preserve">Informações:
Se você precisar de mais linhas (itens de custo),
entre em contato conosco.</t>
  </si>
  <si>
    <t>Dica:</t>
  </si>
  <si>
    <t xml:space="preserve">Essas informações resumidas não substituem as instruções completas – para mais detalhes, veja:
"Guia_para_preenchimento_do_plano_de_custos_e_financiamento.pdf" em nosso site.</t>
  </si>
  <si>
    <t xml:space="preserve">🚫 Despesas com pessoal: Por favor, não preencha nada aqui</t>
  </si>
  <si>
    <t xml:space="preserve">Plano de custos e financiamento</t>
  </si>
  <si>
    <t xml:space="preserve">Os campos preenchíveis estão nas cores à esquerda</t>
  </si>
  <si>
    <t>AOA</t>
  </si>
  <si>
    <t>ARS</t>
  </si>
  <si>
    <t>AUD</t>
  </si>
  <si>
    <t xml:space="preserve"> </t>
  </si>
  <si>
    <t>AWG</t>
  </si>
  <si>
    <t>AZN</t>
  </si>
  <si>
    <t>BAM</t>
  </si>
  <si>
    <t>BBD</t>
  </si>
  <si>
    <t>BDT</t>
  </si>
  <si>
    <t>BGN</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</si>
  <si>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</si>
  <si>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</si>
  <si>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</si>
  <si>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</si>
  <si>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</si>
  <si>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</si>
  <si>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</si>
  <si>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</si>
  <si>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</si>
  <si>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</si>
  <si>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</si>
  <si>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</si>
  <si>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</si>
  <si>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</si>
  <si>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</si>
  <si>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</si>
  <si>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</si>
  <si>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</si>
  <si>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</si>
  <si>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</si>
  <si>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</si>
  <si>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</si>
  <si>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</si>
  <si>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</si>
  <si>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</si>
  <si>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</si>
  <si>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</si>
  <si>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</si>
  <si>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</si>
  <si>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</si>
  <si>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</si>
  <si>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</si>
  <si>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</si>
  <si>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</si>
  <si>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</si>
  <si>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</si>
  <si>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</si>
  <si>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</si>
  <si>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</si>
  <si>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</si>
  <si>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</si>
  <si>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</si>
  <si>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</si>
  <si>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</si>
  <si>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</si>
  <si>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</si>
  <si>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</si>
  <si>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</si>
  <si>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</si>
  <si>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</si>
  <si>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</si>
  <si>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</si>
  <si>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</si>
  <si>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</si>
  <si>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</si>
  <si>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</si>
  <si>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</si>
  <si>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</si>
  <si>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</si>
  <si>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</si>
  <si>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</si>
  <si>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</si>
  <si>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</si>
  <si>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</si>
  <si>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</si>
  <si>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</si>
  <si>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</si>
  <si>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</si>
  <si>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</si>
  <si>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</si>
  <si>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</si>
  <si>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</si>
  <si>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</si>
  <si>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</si>
  <si>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</si>
  <si>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</si>
  <si>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</si>
  <si>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</si>
  <si>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</si>
  <si>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</si>
  <si>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</si>
  <si>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</si>
  <si>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</si>
  <si>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</si>
  <si>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</si>
  <si>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</si>
  <si>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</si>
  <si>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</si>
  <si>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</si>
  <si>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</si>
  <si>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</si>
  <si>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</si>
  <si>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</si>
  <si>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</si>
  <si>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</si>
  <si>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</si>
  <si>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</si>
  <si>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</si>
  <si>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</si>
  <si>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</si>
  <si>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</si>
  <si>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</si>
  <si>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</si>
  <si>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</si>
  <si>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</si>
  <si>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</si>
  <si>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</si>
  <si>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</si>
  <si>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</si>
  <si>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</si>
  <si>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</si>
  <si>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SYP</t>
  </si>
  <si>
    <t>SZL</t>
  </si>
  <si>
    <t>THB</t>
  </si>
  <si>
    <t>TJS</t>
  </si>
  <si>
    <t>TMT</t>
  </si>
  <si>
    <t>TND</t>
  </si>
  <si>
    <t>TOP</t>
  </si>
  <si>
    <t>TRY</t>
  </si>
  <si>
    <t>TTD</t>
  </si>
  <si>
    <t>TWD</t>
  </si>
  <si>
    <t>TZS</t>
  </si>
  <si>
    <t>UAH</t>
  </si>
  <si>
    <t>UGX</t>
  </si>
  <si>
    <t>UYU</t>
  </si>
  <si>
    <t>UZS</t>
  </si>
  <si>
    <t>VES</t>
  </si>
  <si>
    <t>VND</t>
  </si>
  <si>
    <t>VUV</t>
  </si>
  <si>
    <t>WST</t>
  </si>
  <si>
    <t>XAF</t>
  </si>
  <si>
    <t>XCD</t>
  </si>
  <si>
    <t>XOF</t>
  </si>
  <si>
    <t>XPF</t>
  </si>
  <si>
    <t>YER</t>
  </si>
  <si>
    <t>ZAR</t>
  </si>
  <si>
    <t>ZMW</t>
  </si>
  <si>
    <t>ZWL</t>
  </si>
  <si>
    <t xml:space="preserve">F I N A N Z B E R I C H T</t>
  </si>
  <si>
    <t xml:space="preserve">ÜBERSICHT ÜBER EINNAHMEN UND AUSGABEN</t>
  </si>
  <si>
    <t>Projektlaufzeit</t>
  </si>
  <si>
    <t xml:space="preserve">Aktueller Berichtszeitraum</t>
  </si>
  <si>
    <t xml:space="preserve">von (TT MM JJJJ):</t>
  </si>
  <si>
    <t xml:space="preserve">bis (TT MM JJJJ):</t>
  </si>
  <si>
    <t>EINNAHMEN</t>
  </si>
  <si>
    <t xml:space="preserve">(in lokaler Währung)</t>
  </si>
  <si>
    <t xml:space="preserve">Bewilligtes Budget</t>
  </si>
  <si>
    <t xml:space="preserve">Einnahmen im Berichtszeitraum</t>
  </si>
  <si>
    <t xml:space="preserve">Kumulierte Gesamtabrechnung</t>
  </si>
  <si>
    <t>Abweichung</t>
  </si>
  <si>
    <t xml:space="preserve">Begründung Abweichung im Berichtszeitraum</t>
  </si>
  <si>
    <t xml:space="preserve">Saldovortrag (aus vorherigem Berichtszeitraum)</t>
  </si>
  <si>
    <t xml:space="preserve">Beiträge von dritter Seite</t>
  </si>
  <si>
    <t xml:space="preserve">KMW Mittel*</t>
  </si>
  <si>
    <t>Zinserträge</t>
  </si>
  <si>
    <t>GESAMT</t>
  </si>
  <si>
    <t>Datum</t>
  </si>
  <si>
    <t xml:space="preserve">Rate (Datum / Betrag der Gutschrift)</t>
  </si>
  <si>
    <t>AUSGABEN</t>
  </si>
  <si>
    <t xml:space="preserve">Ausgaben im Berichtszeitraum</t>
  </si>
  <si>
    <t/>
  </si>
  <si>
    <t xml:space="preserve">Please" chose your language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</si>
</sst>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00\ &quot;€&quot;"/>
    <numFmt numFmtId="165" formatCode="0.000"/>
  </numFmts>
  <fonts count="25">
    <font>
      <sz val="11.000000"/>
      <color theme="1"/>
      <name val="Aptos Narrow"/>
      <scheme val="minor"/>
    </font>
    <font>
      <u/>
      <sz val="11.000000"/>
      <color theme="10"/>
      <name val="Aptos Narrow"/>
      <scheme val="minor"/>
    </font>
    <font>
      <sz val="11.000000"/>
      <color theme="1"/>
      <name val="Arial"/>
    </font>
    <font>
      <b/>
      <sz val="24.000000"/>
      <color indexed="2"/>
      <name val="Arial"/>
    </font>
    <font>
      <b/>
      <sz val="20.000000"/>
      <color theme="1"/>
      <name val="Arial"/>
    </font>
    <font>
      <sz val="16.000000"/>
      <color theme="1"/>
      <name val="Arial"/>
    </font>
    <font>
      <u/>
      <sz val="16.000000"/>
      <color theme="10"/>
      <name val="Arial"/>
    </font>
    <font>
      <sz val="14.000000"/>
      <color theme="1"/>
      <name val="Arial"/>
    </font>
    <font>
      <sz val="10.000000"/>
      <name val="Arial"/>
    </font>
    <font>
      <sz val="10.000000"/>
      <color theme="0" tint="-0.14999847407452621"/>
      <name val="Arial"/>
    </font>
    <font>
      <b/>
      <sz val="10.000000"/>
      <name val="Arial"/>
    </font>
    <font>
      <b/>
      <sz val="10.000000"/>
      <color theme="0"/>
      <name val="Arial"/>
    </font>
    <font>
      <b/>
      <sz val="10.000000"/>
      <color indexed="2"/>
      <name val="Arial"/>
    </font>
    <font>
      <i/>
      <sz val="10.000000"/>
      <color theme="1"/>
      <name val="Arial"/>
    </font>
    <font>
      <sz val="10.000000"/>
      <color theme="1"/>
      <name val="Arial"/>
    </font>
    <font>
      <b/>
      <sz val="10.000000"/>
      <color theme="1"/>
      <name val="Arial"/>
    </font>
    <font>
      <b/>
      <sz val="10.000000"/>
      <color rgb="FFC00000"/>
      <name val="Arial"/>
    </font>
    <font>
      <sz val="10.000000"/>
      <color rgb="FFC00000"/>
      <name val="Arial"/>
    </font>
    <font>
      <b/>
      <sz val="10.000000"/>
      <color theme="0" tint="-0.34998626667073579"/>
      <name val="Arial"/>
    </font>
    <font>
      <sz val="10.000000"/>
      <color theme="0" tint="-0.34998626667073579"/>
      <name val="Arial"/>
    </font>
    <font>
      <b/>
      <sz val="10.000000"/>
      <color theme="0" tint="-0.14999847407452621"/>
      <name val="Arial"/>
    </font>
    <font>
      <b/>
      <i/>
      <sz val="10.000000"/>
      <color theme="1"/>
      <name val="Arial"/>
    </font>
    <font>
      <sz val="11.000000"/>
      <name val="Arial"/>
    </font>
    <font>
      <b/>
      <sz val="9.000000"/>
      <name val="Arial"/>
    </font>
    <font>
      <sz val="9.000000"/>
      <name val="Arial"/>
    </font>
  </fonts>
  <fills count="10">
    <fill>
      <patternFill patternType="none"/>
    </fill>
    <fill>
      <patternFill patternType="gray125"/>
    </fill>
    <fill>
      <patternFill patternType="solid">
        <fgColor theme="0"/>
      </patternFill>
    </fill>
    <fill>
      <patternFill patternType="solid">
        <fgColor rgb="FFFFFAE5"/>
      </patternFill>
    </fill>
    <fill>
      <patternFill patternType="solid">
        <fgColor theme="0" tint="-0.049989318521683403"/>
      </patternFill>
    </fill>
    <fill>
      <patternFill patternType="solid">
        <fgColor indexed="51"/>
      </patternFill>
    </fill>
    <fill>
      <patternFill patternType="solid">
        <fgColor rgb="FFFFC000"/>
      </patternFill>
    </fill>
    <fill>
      <patternFill patternType="solid">
        <fgColor theme="0" tint="-0.14999847407452621"/>
      </patternFill>
    </fill>
    <fill>
      <patternFill patternType="solid">
        <fgColor indexed="5"/>
      </patternFill>
    </fill>
    <fill>
      <patternFill patternType="solid">
        <fgColor rgb="FF92D050"/>
      </patternFill>
    </fill>
  </fills>
  <borders count="49">
    <border>
      <left style="none"/>
      <right style="none"/>
      <top style="none"/>
      <bottom style="none"/>
      <diagonal style="none"/>
    </border>
    <border>
      <left style="none"/>
      <right style="none"/>
      <top style="none"/>
      <bottom style="dashed">
        <color auto="1"/>
      </bottom>
      <diagonal style="none"/>
    </border>
    <border>
      <left style="medium">
        <color auto="1"/>
      </left>
      <right style="medium">
        <color auto="1"/>
      </right>
      <top style="medium">
        <color auto="1"/>
      </top>
      <bottom style="none"/>
      <diagonal style="none"/>
    </border>
    <border>
      <left style="none"/>
      <right style="none"/>
      <top style="none"/>
      <bottom style="thin">
        <color auto="1"/>
      </bottom>
      <diagonal style="none"/>
    </border>
    <border>
      <left style="none"/>
      <right style="none"/>
      <top style="dashed">
        <color auto="1"/>
      </top>
      <bottom style="dashed">
        <color auto="1"/>
      </bottom>
      <diagonal style="none"/>
    </border>
    <border>
      <left style="medium">
        <color auto="1"/>
      </left>
      <right style="medium">
        <color auto="1"/>
      </right>
      <top style="none"/>
      <bottom style="none"/>
      <diagonal style="none"/>
    </border>
    <border>
      <left style="none"/>
      <right style="none"/>
      <top style="thin">
        <color auto="1"/>
      </top>
      <bottom style="thin">
        <color auto="1"/>
      </bottom>
      <diagonal style="none"/>
    </border>
    <border>
      <left style="none"/>
      <right style="none"/>
      <top style="medium">
        <color auto="1"/>
      </top>
      <bottom style="none"/>
      <diagonal style="none"/>
    </border>
    <border>
      <left style="thin">
        <color auto="1"/>
      </left>
      <right style="none"/>
      <top style="thin">
        <color auto="1"/>
      </top>
      <bottom style="thin">
        <color auto="1"/>
      </bottom>
      <diagonal style="none"/>
    </border>
    <border>
      <left style="thin">
        <color auto="1"/>
      </left>
      <right style="thin">
        <color auto="1"/>
      </right>
      <top style="none"/>
      <bottom style="none"/>
      <diagonal style="none"/>
    </border>
    <border>
      <left style="thin">
        <color auto="1"/>
      </left>
      <right style="none"/>
      <top style="none"/>
      <bottom style="none"/>
      <diagonal style="none"/>
    </border>
    <border>
      <left style="none"/>
      <right style="thin">
        <color auto="1"/>
      </right>
      <top style="none"/>
      <bottom style="none"/>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none"/>
      <top style="thin">
        <color auto="1"/>
      </top>
      <bottom style="none"/>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medium">
        <color auto="1"/>
      </left>
      <right style="medium">
        <color auto="1"/>
      </right>
      <top style="none"/>
      <bottom style="thin">
        <color auto="1"/>
      </bottom>
      <diagonal style="none"/>
    </border>
    <border>
      <left style="medium">
        <color auto="1"/>
      </left>
      <right style="medium">
        <color auto="1"/>
      </right>
      <top style="thin">
        <color auto="1"/>
      </top>
      <bottom style="thin">
        <color auto="1"/>
      </bottom>
      <diagonal style="none"/>
    </border>
    <border>
      <left style="none"/>
      <right style="thin">
        <color auto="1"/>
      </right>
      <top style="thin">
        <color auto="1"/>
      </top>
      <bottom style="thin">
        <color auto="1"/>
      </bottom>
      <diagonal style="none"/>
    </border>
    <border>
      <left style="medium">
        <color auto="1"/>
      </left>
      <right style="medium">
        <color auto="1"/>
      </right>
      <top style="thin">
        <color auto="1"/>
      </top>
      <bottom style="medium">
        <color auto="1"/>
      </bottom>
      <diagonal style="none"/>
    </border>
    <border>
      <left style="none"/>
      <right style="none"/>
      <top style="medium">
        <color auto="1"/>
      </top>
      <bottom style="medium">
        <color auto="1"/>
      </bottom>
      <diagonal style="none"/>
    </border>
    <border>
      <left style="medium">
        <color auto="1"/>
      </left>
      <right style="medium">
        <color auto="1"/>
      </right>
      <top style="medium">
        <color auto="1"/>
      </top>
      <bottom style="thin">
        <color auto="1"/>
      </bottom>
      <diagonal style="none"/>
    </border>
    <border>
      <left style="thin">
        <color auto="1"/>
      </left>
      <right style="dashed">
        <color auto="1"/>
      </right>
      <top style="thin">
        <color auto="1"/>
      </top>
      <bottom style="thin">
        <color auto="1"/>
      </bottom>
      <diagonal style="none"/>
    </border>
    <border>
      <left style="dashed">
        <color auto="1"/>
      </left>
      <right style="dashed">
        <color auto="1"/>
      </right>
      <top style="thin">
        <color auto="1"/>
      </top>
      <bottom style="thin">
        <color auto="1"/>
      </bottom>
      <diagonal style="none"/>
    </border>
    <border>
      <left style="none"/>
      <right style="dotted">
        <color auto="1"/>
      </right>
      <top style="thin">
        <color auto="1"/>
      </top>
      <bottom style="thin">
        <color auto="1"/>
      </bottom>
      <diagonal style="none"/>
    </border>
    <border>
      <left style="dotted">
        <color auto="1"/>
      </left>
      <right style="thin">
        <color auto="1"/>
      </right>
      <top style="thin">
        <color auto="1"/>
      </top>
      <bottom style="thin">
        <color auto="1"/>
      </bottom>
      <diagonal style="none"/>
    </border>
    <border>
      <left style="dashed">
        <color auto="1"/>
      </left>
      <right style="thin">
        <color auto="1"/>
      </right>
      <top style="thin">
        <color auto="1"/>
      </top>
      <bottom style="thin">
        <color auto="1"/>
      </bottom>
      <diagonal style="none"/>
    </border>
    <border>
      <left style="medium">
        <color auto="1"/>
      </left>
      <right style="thin">
        <color auto="1"/>
      </right>
      <top style="medium">
        <color auto="1"/>
      </top>
      <bottom style="none"/>
      <diagonal style="none"/>
    </border>
    <border>
      <left style="thin">
        <color auto="1"/>
      </left>
      <right style="thin">
        <color auto="1"/>
      </right>
      <top style="medium">
        <color auto="1"/>
      </top>
      <bottom style="none"/>
      <diagonal style="none"/>
    </border>
    <border>
      <left style="thin">
        <color auto="1"/>
      </left>
      <right style="medium">
        <color auto="1"/>
      </right>
      <top style="medium">
        <color auto="1"/>
      </top>
      <bottom style="none"/>
      <diagonal style="none"/>
    </border>
    <border>
      <left style="medium">
        <color auto="1"/>
      </left>
      <right style="none"/>
      <top style="medium">
        <color auto="1"/>
      </top>
      <bottom style="none"/>
      <diagonal style="none"/>
    </border>
    <border>
      <left style="none"/>
      <right style="medium">
        <color auto="1"/>
      </right>
      <top style="medium">
        <color auto="1"/>
      </top>
      <bottom style="none"/>
      <diagonal style="none"/>
    </border>
    <border>
      <left style="medium">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none"/>
      <right style="none"/>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none"/>
      <top style="none"/>
      <bottom style="none"/>
      <diagonal style="none"/>
    </border>
    <border>
      <left style="none"/>
      <right style="none"/>
      <top style="thin">
        <color auto="1"/>
      </top>
      <bottom style="none"/>
      <diagonal style="none"/>
    </border>
    <border>
      <left style="thin">
        <color auto="1"/>
      </left>
      <right style="none"/>
      <top style="none"/>
      <bottom style="thin">
        <color auto="1"/>
      </bottom>
      <diagonal style="none"/>
    </border>
    <border>
      <left style="none"/>
      <right style="none"/>
      <top style="hair">
        <color auto="1"/>
      </top>
      <bottom style="hair">
        <color auto="1"/>
      </bottom>
      <diagonal style="none"/>
    </border>
    <border>
      <left style="medium">
        <color auto="1"/>
      </left>
      <right style="thin">
        <color auto="1"/>
      </right>
      <top style="thin">
        <color auto="1"/>
      </top>
      <bottom style="none"/>
      <diagonal style="none"/>
    </border>
    <border>
      <left style="medium">
        <color auto="1"/>
      </left>
      <right style="thin">
        <color auto="1"/>
      </right>
      <top style="none"/>
      <bottom style="none"/>
      <diagonal style="none"/>
    </border>
    <border>
      <left style="medium">
        <color auto="1"/>
      </left>
      <right style="thin">
        <color auto="1"/>
      </right>
      <top style="none"/>
      <bottom style="dotted">
        <color auto="1"/>
      </bottom>
      <diagonal style="none"/>
    </border>
  </borders>
  <cellStyleXfs count="5">
    <xf fontId="0" fillId="0" borderId="0" numFmtId="0" applyNumberFormat="1" applyFont="1" applyFill="1" applyBorder="1"/>
    <xf fontId="1" fillId="0" borderId="0" numFmtId="0" applyNumberFormat="0" applyFont="1" applyFill="0" applyBorder="0" applyProtection="0"/>
    <xf fontId="0" fillId="0" borderId="0" numFmtId="9" applyNumberFormat="1" applyFont="0" applyFill="0" applyBorder="0" applyProtection="0"/>
    <xf fontId="0" fillId="0" borderId="0" numFmtId="9" applyNumberFormat="1" applyFont="0" applyFill="0" applyBorder="0" applyProtection="0"/>
    <xf fontId="0" fillId="0" borderId="0" numFmtId="0" applyNumberFormat="1" applyFont="1" applyFill="1" applyBorder="1"/>
  </cellStyleXfs>
  <cellXfs count="311">
    <xf fontId="0" fillId="0" borderId="0" numFmtId="0" xfId="0"/>
    <xf fontId="2" fillId="0" borderId="0" numFmtId="0" xfId="0" applyFont="1"/>
    <xf fontId="3" fillId="2" borderId="0" numFmtId="0" xfId="0" applyFont="1" applyFill="1" applyAlignment="1" applyProtection="1">
      <alignment horizontal="left" vertical="center"/>
      <protection locked="0"/>
    </xf>
    <xf fontId="4" fillId="0" borderId="0" numFmtId="0" xfId="0" applyFont="1"/>
    <xf fontId="5" fillId="0" borderId="0" numFmtId="0" xfId="0" applyFont="1"/>
    <xf fontId="6" fillId="0" borderId="0" numFmtId="0" xfId="1" applyFont="1" applyAlignment="1">
      <alignment horizontal="left"/>
    </xf>
    <xf fontId="7" fillId="0" borderId="0" numFmtId="0" xfId="0" applyFont="1" applyAlignment="1">
      <alignment horizontal="left"/>
    </xf>
    <xf fontId="5" fillId="0" borderId="0" numFmtId="0" xfId="0" applyFont="1" applyAlignment="1">
      <alignment horizontal="left" vertical="top" wrapText="1"/>
    </xf>
    <xf fontId="8" fillId="0" borderId="0" numFmtId="0" xfId="0" applyFont="1" applyProtection="1">
      <protection locked="0"/>
    </xf>
    <xf fontId="8" fillId="0" borderId="0" numFmtId="0" xfId="0" applyFont="1" applyAlignment="1" applyProtection="1">
      <alignment horizontal="center" wrapText="1"/>
      <protection locked="0"/>
    </xf>
    <xf fontId="8" fillId="0" borderId="0" numFmtId="3" xfId="0" applyNumberFormat="1" applyFont="1" applyProtection="1">
      <protection locked="0"/>
    </xf>
    <xf fontId="9" fillId="0" borderId="0" numFmtId="0" xfId="0" applyFont="1" applyProtection="1">
      <protection locked="0"/>
    </xf>
    <xf fontId="8" fillId="0" borderId="0" numFmtId="164" xfId="0" applyNumberFormat="1" applyFont="1" applyProtection="1">
      <protection locked="0"/>
    </xf>
    <xf fontId="10" fillId="0" borderId="0" numFmtId="0" xfId="0" applyFont="1"/>
    <xf fontId="8" fillId="0" borderId="0" numFmtId="0" xfId="0" applyFont="1"/>
    <xf fontId="8" fillId="0" borderId="0" numFmtId="0" xfId="0" applyFont="1" applyAlignment="1">
      <alignment horizontal="center" wrapText="1"/>
    </xf>
    <xf fontId="8" fillId="0" borderId="0" numFmtId="3" xfId="0" applyNumberFormat="1" applyFont="1"/>
    <xf fontId="8" fillId="0" borderId="0" numFmtId="164" xfId="0" applyNumberFormat="1" applyFont="1"/>
    <xf fontId="11" fillId="0" borderId="0" numFmtId="0" xfId="0" applyFont="1"/>
    <xf fontId="8" fillId="3" borderId="0" numFmtId="0" xfId="0" applyFont="1" applyFill="1" applyAlignment="1" applyProtection="1">
      <alignment horizontal="left" wrapText="1"/>
      <protection locked="0"/>
    </xf>
    <xf fontId="10" fillId="0" borderId="0" numFmtId="3" xfId="0" applyNumberFormat="1" applyFont="1" applyAlignment="1">
      <alignment horizontal="left" vertical="center"/>
    </xf>
    <xf fontId="8" fillId="4" borderId="1" numFmtId="0" xfId="0" applyFont="1" applyFill="1" applyBorder="1" applyAlignment="1" applyProtection="1">
      <alignment vertical="center"/>
      <protection locked="0"/>
    </xf>
    <xf fontId="10" fillId="0" borderId="2" numFmtId="0" xfId="0" applyFont="1" applyBorder="1" applyAlignment="1" applyProtection="1">
      <alignment horizontal="left" vertical="top"/>
      <protection locked="0"/>
    </xf>
    <xf fontId="8" fillId="0" borderId="0" numFmtId="0" xfId="0" applyFont="1" applyAlignment="1" applyProtection="1">
      <alignment vertical="center"/>
      <protection locked="0"/>
    </xf>
    <xf fontId="10" fillId="0" borderId="0" numFmtId="0" xfId="0" applyFont="1" applyAlignment="1">
      <alignment vertical="center"/>
    </xf>
    <xf fontId="8" fillId="0" borderId="0" numFmtId="0" xfId="0" applyFont="1" applyAlignment="1">
      <alignment vertical="center"/>
    </xf>
    <xf fontId="8" fillId="3" borderId="3" numFmtId="0" xfId="0" applyFont="1" applyFill="1" applyBorder="1" applyAlignment="1" applyProtection="1">
      <alignment horizontal="left" wrapText="1"/>
      <protection locked="0"/>
    </xf>
    <xf fontId="8" fillId="0" borderId="0" numFmtId="3" xfId="0" applyNumberFormat="1" applyFont="1" applyAlignment="1">
      <alignment horizontal="center" vertical="center" wrapText="1"/>
    </xf>
    <xf fontId="8" fillId="0" borderId="0" numFmtId="3" xfId="0" applyNumberFormat="1" applyFont="1" applyAlignment="1">
      <alignment horizontal="left" vertical="center"/>
    </xf>
    <xf fontId="8" fillId="5" borderId="4" numFmtId="0" xfId="0" applyFont="1" applyFill="1" applyBorder="1" applyAlignment="1" applyProtection="1">
      <alignment horizontal="center" vertical="center"/>
      <protection locked="0"/>
    </xf>
    <xf fontId="9" fillId="0" borderId="0" numFmtId="0" xfId="0" applyFont="1" applyAlignment="1" applyProtection="1">
      <alignment vertical="center"/>
      <protection locked="0"/>
    </xf>
    <xf fontId="8" fillId="0" borderId="0" numFmtId="164" xfId="0" applyNumberFormat="1" applyFont="1" applyAlignment="1">
      <alignment vertical="center"/>
    </xf>
    <xf fontId="8" fillId="0" borderId="5" numFmtId="0" xfId="0" applyFont="1" applyBorder="1" applyAlignment="1" applyProtection="1">
      <alignment horizontal="left" vertical="top" wrapText="1"/>
      <protection locked="0"/>
    </xf>
    <xf fontId="8" fillId="3" borderId="6" numFmtId="3" xfId="0" applyNumberFormat="1" applyFont="1" applyFill="1" applyBorder="1" applyAlignment="1" applyProtection="1">
      <alignment horizontal="left" vertical="center" wrapText="1"/>
      <protection locked="0"/>
    </xf>
    <xf fontId="8" fillId="6" borderId="4" numFmtId="0" xfId="0" applyFont="1" applyFill="1" applyBorder="1" applyAlignment="1" applyProtection="1">
      <alignment horizontal="center" vertical="center"/>
      <protection locked="0"/>
    </xf>
    <xf fontId="10" fillId="0" borderId="0" numFmtId="0" xfId="0" applyFont="1" applyAlignment="1" applyProtection="1">
      <alignment vertical="top" wrapText="1"/>
      <protection locked="0"/>
    </xf>
    <xf fontId="8" fillId="3" borderId="1" numFmtId="0" xfId="0" applyFont="1" applyFill="1" applyBorder="1" applyAlignment="1" applyProtection="1">
      <alignment horizontal="left" vertical="center"/>
      <protection locked="0"/>
    </xf>
    <xf fontId="8" fillId="0" borderId="0" numFmtId="0" xfId="0" applyFont="1" applyAlignment="1" applyProtection="1">
      <alignment horizontal="center" vertical="center" wrapText="1"/>
      <protection locked="0"/>
    </xf>
    <xf fontId="8" fillId="0" borderId="0" numFmtId="3" xfId="0" applyNumberFormat="1" applyFont="1" applyAlignment="1" applyProtection="1">
      <alignment horizontal="center" vertical="center" wrapText="1"/>
      <protection locked="0"/>
    </xf>
    <xf fontId="8" fillId="3" borderId="4" numFmtId="4" xfId="0" applyNumberFormat="1" applyFont="1" applyFill="1" applyBorder="1" applyAlignment="1" applyProtection="1">
      <alignment horizontal="center" vertical="center"/>
      <protection locked="0"/>
    </xf>
    <xf fontId="8" fillId="3" borderId="4" numFmtId="14" xfId="0" applyNumberFormat="1" applyFont="1" applyFill="1" applyBorder="1" applyAlignment="1" applyProtection="1">
      <alignment horizontal="left" vertical="center"/>
      <protection locked="0"/>
    </xf>
    <xf fontId="8" fillId="3" borderId="4" numFmtId="14" xfId="0" applyNumberFormat="1" applyFont="1" applyFill="1" applyBorder="1" applyAlignment="1" applyProtection="1">
      <alignment horizontal="center" vertical="center"/>
      <protection locked="0"/>
    </xf>
    <xf fontId="8" fillId="0" borderId="7" numFmtId="0" xfId="0" applyFont="1" applyBorder="1" applyAlignment="1" applyProtection="1">
      <alignment vertical="top" wrapText="1"/>
      <protection locked="0"/>
    </xf>
    <xf fontId="8" fillId="0" borderId="3" numFmtId="3" xfId="0" applyNumberFormat="1" applyFont="1" applyBorder="1"/>
    <xf fontId="10" fillId="2" borderId="8" numFmtId="0" xfId="0" applyFont="1" applyFill="1" applyBorder="1" applyAlignment="1">
      <alignment horizontal="center" vertical="center"/>
    </xf>
    <xf fontId="8" fillId="0" borderId="9" numFmtId="3" xfId="0" applyNumberFormat="1" applyFont="1" applyBorder="1" applyAlignment="1">
      <alignment horizontal="center" vertical="center"/>
    </xf>
    <xf fontId="10" fillId="2" borderId="6" numFmtId="3" xfId="0" applyNumberFormat="1" applyFont="1" applyFill="1" applyBorder="1" applyAlignment="1">
      <alignment horizontal="center" vertical="center"/>
    </xf>
    <xf fontId="9" fillId="0" borderId="10" numFmtId="0" xfId="0" applyFont="1" applyBorder="1"/>
    <xf fontId="12" fillId="3" borderId="0" numFmtId="0" xfId="0" applyFont="1" applyFill="1" applyAlignment="1" applyProtection="1">
      <alignment vertical="top" wrapText="1"/>
      <protection locked="0"/>
    </xf>
    <xf fontId="13" fillId="0" borderId="11" numFmtId="0" xfId="0" applyFont="1" applyBorder="1" applyAlignment="1" applyProtection="1">
      <alignment horizontal="left" vertical="center" wrapText="1"/>
      <protection locked="0"/>
    </xf>
    <xf fontId="10" fillId="2" borderId="12" numFmtId="0" xfId="0" applyFont="1" applyFill="1" applyBorder="1" applyAlignment="1">
      <alignment horizontal="center" vertical="center"/>
    </xf>
    <xf fontId="10" fillId="2" borderId="13" numFmtId="0" xfId="0" applyFont="1" applyFill="1" applyBorder="1" applyAlignment="1">
      <alignment horizontal="center" vertical="center" wrapText="1"/>
    </xf>
    <xf fontId="10" fillId="2" borderId="14" numFmtId="0" xfId="0" applyFont="1" applyFill="1" applyBorder="1" applyAlignment="1">
      <alignment horizontal="center" vertical="center" wrapText="1"/>
    </xf>
    <xf fontId="10" fillId="2" borderId="2" numFmtId="3" xfId="0" applyNumberFormat="1" applyFont="1" applyFill="1" applyBorder="1" applyAlignment="1">
      <alignment horizontal="center" vertical="center"/>
    </xf>
    <xf fontId="10" fillId="2" borderId="12" numFmtId="3" xfId="0" applyNumberFormat="1" applyFont="1" applyFill="1" applyBorder="1" applyAlignment="1">
      <alignment horizontal="center" vertical="center" wrapText="1"/>
    </xf>
    <xf fontId="10" fillId="2" borderId="13" numFmtId="3" xfId="0" applyNumberFormat="1" applyFont="1" applyFill="1" applyBorder="1" applyAlignment="1">
      <alignment horizontal="center" vertical="center" wrapText="1"/>
    </xf>
    <xf fontId="10" fillId="2" borderId="2" numFmtId="164" xfId="0" applyNumberFormat="1" applyFont="1" applyFill="1" applyBorder="1" applyAlignment="1">
      <alignment horizontal="center"/>
    </xf>
    <xf fontId="12" fillId="5" borderId="3" numFmtId="0" xfId="0" applyFont="1" applyFill="1" applyBorder="1" applyAlignment="1" applyProtection="1">
      <alignment vertical="top" wrapText="1"/>
      <protection locked="0"/>
    </xf>
    <xf fontId="13" fillId="0" borderId="15" numFmtId="0" xfId="0" applyFont="1" applyBorder="1" applyAlignment="1" applyProtection="1">
      <alignment horizontal="left" vertical="center" wrapText="1"/>
      <protection locked="0"/>
    </xf>
    <xf fontId="8" fillId="2" borderId="15" numFmtId="0" xfId="0" applyFont="1" applyFill="1" applyBorder="1"/>
    <xf fontId="8" fillId="2" borderId="16" numFmtId="3" xfId="0" applyNumberFormat="1" applyFont="1" applyFill="1" applyBorder="1" applyAlignment="1">
      <alignment horizontal="center" vertical="center" wrapText="1"/>
    </xf>
    <xf fontId="10" fillId="2" borderId="17" numFmtId="0" xfId="0" applyFont="1" applyFill="1" applyBorder="1" applyAlignment="1">
      <alignment horizontal="center" vertical="center" wrapText="1"/>
    </xf>
    <xf fontId="10" fillId="2" borderId="8" numFmtId="0" xfId="0" applyFont="1" applyFill="1" applyBorder="1" applyAlignment="1">
      <alignment horizontal="center" vertical="center" wrapText="1"/>
    </xf>
    <xf fontId="8" fillId="2" borderId="18" numFmtId="3" xfId="0" applyNumberFormat="1" applyFont="1" applyFill="1" applyBorder="1" applyAlignment="1">
      <alignment horizontal="center" vertical="center"/>
    </xf>
    <xf fontId="8" fillId="2" borderId="15" numFmtId="3" xfId="0" applyNumberFormat="1" applyFont="1" applyFill="1" applyBorder="1" applyAlignment="1">
      <alignment horizontal="center" vertical="center" wrapText="1"/>
    </xf>
    <xf fontId="2" fillId="2" borderId="16" numFmtId="3" xfId="0" applyNumberFormat="1" applyFont="1" applyFill="1" applyBorder="1" applyAlignment="1">
      <alignment horizontal="center" vertical="center" wrapText="1"/>
    </xf>
    <xf fontId="2" fillId="2" borderId="18" numFmtId="164" xfId="0" applyNumberFormat="1" applyFont="1" applyFill="1" applyBorder="1" applyAlignment="1">
      <alignment horizontal="center"/>
    </xf>
    <xf fontId="8" fillId="0" borderId="0" numFmtId="0" xfId="0" applyFont="1" applyAlignment="1" applyProtection="1">
      <alignment vertical="top" wrapText="1"/>
      <protection locked="0"/>
    </xf>
    <xf fontId="10" fillId="2" borderId="16" numFmtId="0" xfId="0" applyFont="1" applyFill="1" applyBorder="1" applyAlignment="1">
      <alignment horizontal="left" vertical="center"/>
    </xf>
    <xf fontId="10" fillId="2" borderId="16" numFmtId="0" xfId="0" applyFont="1" applyFill="1" applyBorder="1" applyAlignment="1">
      <alignment horizontal="left" vertical="center" wrapText="1"/>
    </xf>
    <xf fontId="8" fillId="2" borderId="17" numFmtId="49" xfId="0" applyNumberFormat="1" applyFont="1" applyFill="1" applyBorder="1" applyAlignment="1">
      <alignment vertical="center" wrapText="1"/>
    </xf>
    <xf fontId="8" fillId="2" borderId="17" numFmtId="0" xfId="0" applyFont="1" applyFill="1" applyBorder="1" applyAlignment="1">
      <alignment horizontal="center" vertical="center" wrapText="1"/>
    </xf>
    <xf fontId="8" fillId="2" borderId="17" numFmtId="9" xfId="2" applyNumberFormat="1" applyFont="1" applyFill="1" applyBorder="1" applyAlignment="1" applyProtection="1">
      <alignment horizontal="center" vertical="center" wrapText="1"/>
    </xf>
    <xf fontId="8" fillId="2" borderId="8" numFmtId="3" xfId="0" applyNumberFormat="1" applyFont="1" applyFill="1" applyBorder="1" applyAlignment="1">
      <alignment horizontal="right" vertical="center" wrapText="1"/>
    </xf>
    <xf fontId="8" fillId="2" borderId="19" numFmtId="3" xfId="0" applyNumberFormat="1" applyFont="1" applyFill="1" applyBorder="1" applyAlignment="1">
      <alignment horizontal="right" vertical="center" wrapText="1"/>
    </xf>
    <xf fontId="8" fillId="2" borderId="20" numFmtId="3" xfId="0" applyNumberFormat="1" applyFont="1" applyFill="1" applyBorder="1" applyAlignment="1">
      <alignment horizontal="right" vertical="center" wrapText="1"/>
    </xf>
    <xf fontId="8" fillId="2" borderId="17" numFmtId="3" xfId="0" applyNumberFormat="1" applyFont="1" applyFill="1" applyBorder="1" applyAlignment="1">
      <alignment horizontal="right" vertical="center" wrapText="1"/>
    </xf>
    <xf fontId="2" fillId="2" borderId="17" numFmtId="3" xfId="0" applyNumberFormat="1" applyFont="1" applyFill="1" applyBorder="1" applyAlignment="1">
      <alignment horizontal="right" vertical="center" wrapText="1"/>
    </xf>
    <xf fontId="9" fillId="0" borderId="0" numFmtId="0" xfId="0" applyFont="1" applyAlignment="1" applyProtection="1">
      <alignment horizontal="center" vertical="center" wrapText="1"/>
      <protection locked="0"/>
    </xf>
    <xf fontId="14" fillId="2" borderId="19" numFmtId="164" xfId="0" applyNumberFormat="1" applyFont="1" applyFill="1" applyBorder="1" applyAlignment="1">
      <alignment horizontal="right" vertical="center"/>
    </xf>
    <xf fontId="10" fillId="0" borderId="0" numFmtId="0" xfId="0" applyFont="1" applyAlignment="1" applyProtection="1">
      <alignment vertical="center"/>
      <protection locked="0"/>
    </xf>
    <xf fontId="8" fillId="2" borderId="16" numFmtId="0" xfId="0" applyFont="1" applyFill="1" applyBorder="1" applyAlignment="1">
      <alignment horizontal="left" vertical="center"/>
    </xf>
    <xf fontId="8" fillId="3" borderId="17" numFmtId="49" xfId="0" applyNumberFormat="1" applyFont="1" applyFill="1" applyBorder="1" applyAlignment="1" applyProtection="1">
      <alignment horizontal="left" vertical="center" wrapText="1"/>
      <protection locked="0"/>
    </xf>
    <xf fontId="8" fillId="3" borderId="17" numFmtId="49" xfId="0" applyNumberFormat="1" applyFont="1" applyFill="1" applyBorder="1" applyAlignment="1" applyProtection="1">
      <alignment vertical="center" wrapText="1"/>
      <protection locked="0"/>
    </xf>
    <xf fontId="8" fillId="3" borderId="17" numFmtId="0" xfId="0" applyFont="1" applyFill="1" applyBorder="1" applyAlignment="1" applyProtection="1">
      <alignment horizontal="center" vertical="center" wrapText="1"/>
      <protection locked="0"/>
    </xf>
    <xf fontId="8" fillId="3" borderId="17" numFmtId="9" xfId="2" applyNumberFormat="1" applyFont="1" applyFill="1" applyBorder="1" applyAlignment="1" applyProtection="1">
      <alignment horizontal="center" vertical="center" wrapText="1"/>
      <protection locked="0"/>
    </xf>
    <xf fontId="8" fillId="3" borderId="8" numFmtId="3" xfId="0" applyNumberFormat="1" applyFont="1" applyFill="1" applyBorder="1" applyAlignment="1" applyProtection="1">
      <alignment horizontal="right" vertical="center" wrapText="1"/>
      <protection locked="0"/>
    </xf>
    <xf fontId="8" fillId="3" borderId="20" numFmtId="3" xfId="0" applyNumberFormat="1" applyFont="1" applyFill="1" applyBorder="1" applyAlignment="1" applyProtection="1">
      <alignment horizontal="right" vertical="center" wrapText="1"/>
      <protection locked="0"/>
    </xf>
    <xf fontId="8" fillId="0" borderId="0" numFmtId="0" xfId="0" applyFont="1" applyAlignment="1" applyProtection="1">
      <alignment vertical="top"/>
      <protection locked="0"/>
    </xf>
    <xf fontId="8" fillId="0" borderId="0" numFmtId="0" xfId="0" applyFont="1" applyAlignment="1" applyProtection="1">
      <alignment horizontal="left" vertical="top"/>
      <protection locked="0"/>
    </xf>
    <xf fontId="15" fillId="7" borderId="8" numFmtId="0" xfId="0" applyFont="1" applyFill="1" applyBorder="1" applyAlignment="1">
      <alignment horizontal="left" vertical="center"/>
    </xf>
    <xf fontId="14" fillId="7" borderId="20" numFmtId="49" xfId="0" applyNumberFormat="1" applyFont="1" applyFill="1" applyBorder="1" applyAlignment="1">
      <alignment horizontal="left" vertical="center" wrapText="1"/>
    </xf>
    <xf fontId="15" fillId="7" borderId="17" numFmtId="0" xfId="0" applyFont="1" applyFill="1" applyBorder="1" applyAlignment="1">
      <alignment horizontal="center" vertical="center" wrapText="1"/>
    </xf>
    <xf fontId="14" fillId="7" borderId="17" numFmtId="3" xfId="0" applyNumberFormat="1" applyFont="1" applyFill="1" applyBorder="1" applyAlignment="1">
      <alignment horizontal="center" vertical="center" wrapText="1"/>
    </xf>
    <xf fontId="14" fillId="7" borderId="17" numFmtId="9" xfId="0" applyNumberFormat="1" applyFont="1" applyFill="1" applyBorder="1" applyAlignment="1">
      <alignment horizontal="center" vertical="center" wrapText="1"/>
    </xf>
    <xf fontId="14" fillId="7" borderId="8" numFmtId="3" xfId="0" applyNumberFormat="1" applyFont="1" applyFill="1" applyBorder="1" applyAlignment="1">
      <alignment horizontal="right" vertical="center" wrapText="1"/>
    </xf>
    <xf fontId="14" fillId="7" borderId="19" numFmtId="3" xfId="0" applyNumberFormat="1" applyFont="1" applyFill="1" applyBorder="1" applyAlignment="1">
      <alignment horizontal="right" vertical="center" wrapText="1"/>
    </xf>
    <xf fontId="14" fillId="7" borderId="20" numFmtId="3" xfId="0" applyNumberFormat="1" applyFont="1" applyFill="1" applyBorder="1" applyAlignment="1">
      <alignment horizontal="right" vertical="center" wrapText="1"/>
    </xf>
    <xf fontId="14" fillId="7" borderId="17" numFmtId="3" xfId="0" applyNumberFormat="1" applyFont="1" applyFill="1" applyBorder="1" applyAlignment="1">
      <alignment horizontal="right" vertical="center" wrapText="1"/>
    </xf>
    <xf fontId="14" fillId="7" borderId="19" numFmtId="164" xfId="0" applyNumberFormat="1" applyFont="1" applyFill="1" applyBorder="1" applyAlignment="1">
      <alignment horizontal="right" vertical="center" wrapText="1"/>
    </xf>
    <xf fontId="10" fillId="2" borderId="17" numFmtId="0" xfId="0" applyFont="1" applyFill="1" applyBorder="1" applyAlignment="1">
      <alignment horizontal="left" vertical="center"/>
    </xf>
    <xf fontId="10" fillId="2" borderId="17" numFmtId="0" xfId="0" applyFont="1" applyFill="1" applyBorder="1" applyAlignment="1">
      <alignment horizontal="left" vertical="center" wrapText="1"/>
    </xf>
    <xf fontId="8" fillId="2" borderId="17" numFmtId="3" xfId="0" applyNumberFormat="1" applyFont="1" applyFill="1" applyBorder="1" applyAlignment="1">
      <alignment horizontal="center" vertical="center" wrapText="1"/>
    </xf>
    <xf fontId="8" fillId="2" borderId="19" numFmtId="164" xfId="0" applyNumberFormat="1" applyFont="1" applyFill="1" applyBorder="1" applyAlignment="1">
      <alignment horizontal="right" vertical="center"/>
    </xf>
    <xf fontId="8" fillId="2" borderId="17" numFmtId="0" xfId="0" applyFont="1" applyFill="1" applyBorder="1" applyAlignment="1">
      <alignment horizontal="left" vertical="center"/>
    </xf>
    <xf fontId="8" fillId="3" borderId="17" numFmtId="49" xfId="0" applyNumberFormat="1" applyFont="1" applyFill="1" applyBorder="1" applyAlignment="1" applyProtection="1">
      <alignment horizontal="left" vertical="center" wrapText="1"/>
      <protection locked="0"/>
    </xf>
    <xf fontId="8" fillId="3" borderId="0" numFmtId="49" xfId="0" applyNumberFormat="1" applyFont="1" applyFill="1" applyAlignment="1" applyProtection="1">
      <alignment vertical="center" wrapText="1"/>
      <protection locked="0"/>
    </xf>
    <xf fontId="8" fillId="3" borderId="0" numFmtId="0" xfId="0" applyFont="1" applyFill="1" applyAlignment="1" applyProtection="1">
      <alignment horizontal="center" vertical="center" wrapText="1"/>
      <protection locked="0"/>
    </xf>
    <xf fontId="8" fillId="3" borderId="17" numFmtId="3" xfId="0" applyNumberFormat="1" applyFont="1" applyFill="1" applyBorder="1" applyAlignment="1" applyProtection="1">
      <alignment horizontal="right" vertical="center" wrapText="1"/>
      <protection locked="0"/>
    </xf>
    <xf fontId="8" fillId="3" borderId="17" numFmtId="49" xfId="0" applyNumberFormat="1" applyFont="1" applyFill="1" applyBorder="1" applyAlignment="1" applyProtection="1">
      <alignment vertical="center" wrapText="1"/>
      <protection locked="0"/>
    </xf>
    <xf fontId="15" fillId="2" borderId="17" numFmtId="0" xfId="0" applyFont="1" applyFill="1" applyBorder="1" applyAlignment="1">
      <alignment horizontal="left" vertical="center" wrapText="1"/>
    </xf>
    <xf fontId="12" fillId="2" borderId="17" numFmtId="0" xfId="0" applyFont="1" applyFill="1" applyBorder="1" applyAlignment="1">
      <alignment horizontal="center" vertical="center" wrapText="1"/>
    </xf>
    <xf fontId="16" fillId="0" borderId="13" numFmtId="0" xfId="0" applyFont="1" applyBorder="1" applyAlignment="1" applyProtection="1">
      <alignment vertical="top"/>
      <protection locked="0"/>
    </xf>
    <xf fontId="14" fillId="2" borderId="17" numFmtId="0" xfId="0" applyFont="1" applyFill="1" applyBorder="1" applyAlignment="1">
      <alignment horizontal="left" vertical="center" wrapText="1"/>
    </xf>
    <xf fontId="17" fillId="2" borderId="17" numFmtId="0" xfId="0" applyFont="1" applyFill="1" applyBorder="1" applyAlignment="1">
      <alignment horizontal="left" vertical="center" wrapText="1"/>
    </xf>
    <xf fontId="8" fillId="0" borderId="9" numFmtId="0" xfId="0" applyFont="1" applyBorder="1" applyAlignment="1" applyProtection="1">
      <alignment horizontal="left" vertical="top" wrapText="1"/>
      <protection locked="0"/>
    </xf>
    <xf fontId="8" fillId="0" borderId="16" numFmtId="0" xfId="0" applyFont="1" applyBorder="1" applyAlignment="1" applyProtection="1">
      <alignment horizontal="left" vertical="top" wrapText="1"/>
      <protection locked="0"/>
    </xf>
    <xf fontId="8" fillId="0" borderId="0" numFmtId="0" xfId="0" applyFont="1" applyAlignment="1" applyProtection="1">
      <alignment vertical="center" wrapText="1"/>
      <protection locked="0"/>
    </xf>
    <xf fontId="8" fillId="0" borderId="0" numFmtId="165" xfId="0" applyNumberFormat="1" applyFont="1" applyAlignment="1" applyProtection="1">
      <alignment vertical="center"/>
      <protection locked="0"/>
    </xf>
    <xf fontId="8" fillId="3" borderId="17" numFmtId="0" xfId="0" applyFont="1" applyFill="1" applyBorder="1" applyAlignment="1" applyProtection="1">
      <alignment horizontal="left" vertical="center" wrapText="1"/>
      <protection locked="0"/>
    </xf>
    <xf fontId="8" fillId="3" borderId="17" numFmtId="3" xfId="0" applyNumberFormat="1" applyFont="1" applyFill="1" applyBorder="1" applyAlignment="1" applyProtection="1">
      <alignment horizontal="center" vertical="center" wrapText="1"/>
      <protection locked="0"/>
    </xf>
    <xf fontId="14" fillId="7" borderId="17" numFmtId="0" xfId="0" applyFont="1" applyFill="1" applyBorder="1" applyAlignment="1">
      <alignment horizontal="center" vertical="center" wrapText="1"/>
    </xf>
    <xf fontId="8" fillId="3" borderId="16" numFmtId="49" xfId="0" applyNumberFormat="1" applyFont="1" applyFill="1" applyBorder="1" applyAlignment="1" applyProtection="1">
      <alignment vertical="center" wrapText="1"/>
      <protection locked="0"/>
    </xf>
    <xf fontId="8" fillId="3" borderId="16" numFmtId="0" xfId="0" applyFont="1" applyFill="1" applyBorder="1" applyAlignment="1" applyProtection="1">
      <alignment horizontal="center" vertical="center" wrapText="1"/>
      <protection locked="0"/>
    </xf>
    <xf fontId="8" fillId="3" borderId="13" numFmtId="0" xfId="0" applyFont="1" applyFill="1" applyBorder="1" applyAlignment="1" applyProtection="1">
      <alignment horizontal="center" vertical="center" wrapText="1"/>
      <protection locked="0"/>
    </xf>
    <xf fontId="10" fillId="2" borderId="17" numFmtId="0" xfId="0" applyFont="1" applyFill="1" applyBorder="1" applyAlignment="1">
      <alignment vertical="center"/>
    </xf>
    <xf fontId="10" fillId="3" borderId="17" numFmtId="49" xfId="0" applyNumberFormat="1" applyFont="1" applyFill="1" applyBorder="1" applyAlignment="1" applyProtection="1">
      <alignment horizontal="left" vertical="center" wrapText="1"/>
      <protection locked="0"/>
    </xf>
    <xf fontId="8" fillId="3" borderId="0" numFmtId="3" xfId="0" applyNumberFormat="1" applyFont="1" applyFill="1" applyAlignment="1" applyProtection="1">
      <alignment horizontal="right" vertical="center" wrapText="1"/>
      <protection locked="0"/>
    </xf>
    <xf fontId="18" fillId="2" borderId="17" numFmtId="0" xfId="0" applyFont="1" applyFill="1" applyBorder="1" applyAlignment="1">
      <alignment horizontal="left" vertical="center"/>
    </xf>
    <xf fontId="18" fillId="2" borderId="17" numFmtId="0" xfId="0" applyFont="1" applyFill="1" applyBorder="1" applyAlignment="1">
      <alignment vertical="center"/>
    </xf>
    <xf fontId="18" fillId="3" borderId="17" numFmtId="49" xfId="0" applyNumberFormat="1" applyFont="1" applyFill="1" applyBorder="1" applyAlignment="1" applyProtection="1">
      <alignment horizontal="left" vertical="center" wrapText="1"/>
      <protection locked="0"/>
    </xf>
    <xf fontId="19" fillId="3" borderId="17" numFmtId="3" xfId="0" applyNumberFormat="1" applyFont="1" applyFill="1" applyBorder="1" applyAlignment="1" applyProtection="1">
      <alignment horizontal="center" vertical="center" wrapText="1"/>
      <protection locked="0"/>
    </xf>
    <xf fontId="19" fillId="3" borderId="17" numFmtId="9" xfId="2" applyNumberFormat="1" applyFont="1" applyFill="1" applyBorder="1" applyAlignment="1" applyProtection="1">
      <alignment horizontal="center" vertical="center" wrapText="1"/>
      <protection locked="0"/>
    </xf>
    <xf fontId="19" fillId="2" borderId="8" numFmtId="3" xfId="0" applyNumberFormat="1" applyFont="1" applyFill="1" applyBorder="1" applyAlignment="1">
      <alignment horizontal="right" vertical="center" wrapText="1"/>
    </xf>
    <xf fontId="19" fillId="3" borderId="20" numFmtId="3" xfId="0" applyNumberFormat="1" applyFont="1" applyFill="1" applyBorder="1" applyAlignment="1" applyProtection="1">
      <alignment horizontal="right" vertical="center" wrapText="1"/>
      <protection locked="0"/>
    </xf>
    <xf fontId="19" fillId="3" borderId="17" numFmtId="3" xfId="0" applyNumberFormat="1" applyFont="1" applyFill="1" applyBorder="1" applyAlignment="1" applyProtection="1">
      <alignment horizontal="right" vertical="center" wrapText="1"/>
      <protection locked="0"/>
    </xf>
    <xf fontId="19" fillId="2" borderId="19" numFmtId="164" xfId="0" applyNumberFormat="1" applyFont="1" applyFill="1" applyBorder="1" applyAlignment="1">
      <alignment horizontal="right" vertical="center"/>
    </xf>
    <xf fontId="10" fillId="7" borderId="8" numFmtId="0" xfId="0" applyFont="1" applyFill="1" applyBorder="1" applyAlignment="1">
      <alignment vertical="center"/>
    </xf>
    <xf fontId="8" fillId="7" borderId="20" numFmtId="0" xfId="0" applyFont="1" applyFill="1" applyBorder="1" applyAlignment="1">
      <alignment horizontal="left" vertical="center" wrapText="1"/>
    </xf>
    <xf fontId="8" fillId="7" borderId="17" numFmtId="0" xfId="0" applyFont="1" applyFill="1" applyBorder="1" applyAlignment="1">
      <alignment horizontal="center" vertical="center" wrapText="1"/>
    </xf>
    <xf fontId="8" fillId="7" borderId="17" numFmtId="3" xfId="0" applyNumberFormat="1" applyFont="1" applyFill="1" applyBorder="1" applyAlignment="1">
      <alignment horizontal="center" vertical="center" wrapText="1"/>
    </xf>
    <xf fontId="8" fillId="7" borderId="17" numFmtId="9" xfId="2" applyNumberFormat="1" applyFont="1" applyFill="1" applyBorder="1" applyAlignment="1" applyProtection="1">
      <alignment horizontal="center" vertical="center" wrapText="1"/>
    </xf>
    <xf fontId="8" fillId="7" borderId="8" numFmtId="3" xfId="0" applyNumberFormat="1" applyFont="1" applyFill="1" applyBorder="1" applyAlignment="1">
      <alignment horizontal="right" vertical="center" wrapText="1"/>
    </xf>
    <xf fontId="10" fillId="7" borderId="21" numFmtId="3" xfId="0" applyNumberFormat="1" applyFont="1" applyFill="1" applyBorder="1" applyAlignment="1">
      <alignment horizontal="right" vertical="center" wrapText="1"/>
    </xf>
    <xf fontId="10" fillId="7" borderId="20" numFmtId="3" xfId="0" applyNumberFormat="1" applyFont="1" applyFill="1" applyBorder="1" applyAlignment="1">
      <alignment horizontal="right" vertical="center" wrapText="1"/>
    </xf>
    <xf fontId="10" fillId="7" borderId="17" numFmtId="3" xfId="0" applyNumberFormat="1" applyFont="1" applyFill="1" applyBorder="1" applyAlignment="1">
      <alignment horizontal="right" vertical="center" wrapText="1"/>
    </xf>
    <xf fontId="20" fillId="0" borderId="0" numFmtId="0" xfId="0" applyFont="1" applyAlignment="1" applyProtection="1">
      <alignment horizontal="center" vertical="center" wrapText="1"/>
      <protection locked="0"/>
    </xf>
    <xf fontId="10" fillId="7" borderId="21" numFmtId="164" xfId="0" applyNumberFormat="1" applyFont="1" applyFill="1" applyBorder="1" applyAlignment="1">
      <alignment horizontal="right" vertical="center" wrapText="1"/>
    </xf>
    <xf fontId="8" fillId="0" borderId="0" numFmtId="0" xfId="0" applyFont="1" applyAlignment="1">
      <alignment horizontal="center" vertical="center"/>
    </xf>
    <xf fontId="8" fillId="0" borderId="0" numFmtId="0" xfId="0" applyFont="1" applyAlignment="1">
      <alignment horizontal="center" vertical="center" wrapText="1"/>
    </xf>
    <xf fontId="8" fillId="0" borderId="0" numFmtId="3" xfId="0" applyNumberFormat="1" applyFont="1" applyAlignment="1">
      <alignment vertical="center" wrapText="1"/>
    </xf>
    <xf fontId="8" fillId="0" borderId="22" numFmtId="164" xfId="0" applyNumberFormat="1" applyFont="1" applyBorder="1" applyAlignment="1">
      <alignment horizontal="right" vertical="center"/>
    </xf>
    <xf fontId="8" fillId="0" borderId="0" numFmtId="0" xfId="0" applyFont="1" applyAlignment="1" applyProtection="1">
      <alignment horizontal="center" vertical="center"/>
      <protection locked="0"/>
    </xf>
    <xf fontId="8" fillId="2" borderId="17" numFmtId="3" xfId="0" applyNumberFormat="1" applyFont="1" applyFill="1" applyBorder="1" applyAlignment="1">
      <alignment horizontal="left" vertical="center" wrapText="1"/>
    </xf>
    <xf fontId="8" fillId="2" borderId="8" numFmtId="9" xfId="2" applyNumberFormat="1" applyFont="1" applyFill="1" applyBorder="1" applyAlignment="1" applyProtection="1">
      <alignment vertical="center" wrapText="1"/>
    </xf>
    <xf fontId="8" fillId="2" borderId="23" numFmtId="3" xfId="0" applyNumberFormat="1" applyFont="1" applyFill="1" applyBorder="1" applyAlignment="1">
      <alignment vertical="center" wrapText="1"/>
    </xf>
    <xf fontId="8" fillId="0" borderId="23" numFmtId="164" xfId="0" applyNumberFormat="1" applyFont="1" applyBorder="1" applyAlignment="1">
      <alignment horizontal="right" vertical="center"/>
    </xf>
    <xf fontId="8" fillId="2" borderId="19" numFmtId="3" xfId="0" applyNumberFormat="1" applyFont="1" applyFill="1" applyBorder="1" applyAlignment="1">
      <alignment vertical="center" wrapText="1"/>
    </xf>
    <xf fontId="8" fillId="0" borderId="19" numFmtId="164" xfId="0" applyNumberFormat="1" applyFont="1" applyBorder="1" applyAlignment="1">
      <alignment horizontal="right" vertical="center"/>
    </xf>
    <xf fontId="10" fillId="0" borderId="0" numFmtId="0" xfId="0" applyFont="1" applyAlignment="1" applyProtection="1">
      <alignment vertical="center" wrapText="1"/>
      <protection locked="0"/>
    </xf>
    <xf fontId="8" fillId="0" borderId="19" numFmtId="164" xfId="0" applyNumberFormat="1" applyFont="1" applyBorder="1" applyAlignment="1">
      <alignment horizontal="right" vertical="center" wrapText="1"/>
    </xf>
    <xf fontId="8" fillId="7" borderId="8" numFmtId="9" xfId="2" applyNumberFormat="1" applyFont="1" applyFill="1" applyBorder="1" applyAlignment="1" applyProtection="1">
      <alignment vertical="center" wrapText="1"/>
    </xf>
    <xf fontId="8" fillId="7" borderId="21" numFmtId="3" xfId="0" applyNumberFormat="1" applyFont="1" applyFill="1" applyBorder="1" applyAlignment="1">
      <alignment vertical="center" wrapText="1"/>
    </xf>
    <xf fontId="8" fillId="7" borderId="20" numFmtId="3" xfId="0" applyNumberFormat="1" applyFont="1" applyFill="1" applyBorder="1" applyAlignment="1">
      <alignment horizontal="right" vertical="center" wrapText="1"/>
    </xf>
    <xf fontId="8" fillId="7" borderId="17" numFmtId="3" xfId="0" applyNumberFormat="1" applyFont="1" applyFill="1" applyBorder="1" applyAlignment="1">
      <alignment horizontal="right" vertical="center" wrapText="1"/>
    </xf>
    <xf fontId="8" fillId="7" borderId="21" numFmtId="164" xfId="0" applyNumberFormat="1" applyFont="1" applyFill="1" applyBorder="1" applyAlignment="1">
      <alignment horizontal="right" vertical="center" wrapText="1"/>
    </xf>
    <xf fontId="8" fillId="0" borderId="0" numFmtId="9" xfId="2" applyNumberFormat="1" applyFont="1" applyAlignment="1" applyProtection="1">
      <alignment horizontal="center" vertical="center"/>
    </xf>
    <xf fontId="8" fillId="0" borderId="0" numFmtId="3" xfId="0" applyNumberFormat="1" applyFont="1" applyAlignment="1">
      <alignment horizontal="center" vertical="center"/>
    </xf>
    <xf fontId="10" fillId="7" borderId="24" numFmtId="0" xfId="0" applyFont="1" applyFill="1" applyBorder="1" applyAlignment="1">
      <alignment horizontal="center" vertical="center" wrapText="1"/>
    </xf>
    <xf fontId="10" fillId="7" borderId="25" numFmtId="0" xfId="0" applyFont="1" applyFill="1" applyBorder="1" applyAlignment="1">
      <alignment horizontal="center" vertical="center" wrapText="1"/>
    </xf>
    <xf fontId="10" fillId="7" borderId="25" numFmtId="3" xfId="0" applyNumberFormat="1" applyFont="1" applyFill="1" applyBorder="1" applyAlignment="1">
      <alignment horizontal="center" vertical="center" wrapText="1"/>
    </xf>
    <xf fontId="10" fillId="7" borderId="26" numFmtId="3" xfId="0" applyNumberFormat="1" applyFont="1" applyFill="1" applyBorder="1" applyAlignment="1">
      <alignment horizontal="center" vertical="center" wrapText="1"/>
    </xf>
    <xf fontId="10" fillId="7" borderId="27" numFmtId="3" xfId="0" applyNumberFormat="1" applyFont="1" applyFill="1" applyBorder="1" applyAlignment="1">
      <alignment horizontal="center" vertical="center" wrapText="1"/>
    </xf>
    <xf fontId="9" fillId="0" borderId="0" numFmtId="0" xfId="0" applyFont="1" applyAlignment="1" applyProtection="1">
      <alignment vertical="center" wrapText="1"/>
      <protection locked="0"/>
    </xf>
    <xf fontId="8" fillId="0" borderId="0" numFmtId="164" xfId="0" applyNumberFormat="1" applyFont="1" applyAlignment="1" applyProtection="1">
      <alignment vertical="center" wrapText="1"/>
      <protection locked="0"/>
    </xf>
    <xf fontId="8" fillId="7" borderId="24" numFmtId="0" xfId="0" applyFont="1" applyFill="1" applyBorder="1" applyAlignment="1">
      <alignment horizontal="center" vertical="center" wrapText="1"/>
    </xf>
    <xf fontId="8" fillId="7" borderId="25" numFmtId="0" xfId="0" applyFont="1" applyFill="1" applyBorder="1" applyAlignment="1">
      <alignment horizontal="center" vertical="center" wrapText="1"/>
    </xf>
    <xf fontId="8" fillId="7" borderId="25" numFmtId="0" xfId="0" applyFont="1" applyFill="1" applyBorder="1" applyAlignment="1">
      <alignment horizontal="center" vertical="center"/>
    </xf>
    <xf fontId="8" fillId="7" borderId="25" numFmtId="3" xfId="0" applyNumberFormat="1" applyFont="1" applyFill="1" applyBorder="1" applyAlignment="1">
      <alignment horizontal="center" vertical="center"/>
    </xf>
    <xf fontId="8" fillId="7" borderId="25" numFmtId="14" xfId="0" applyNumberFormat="1" applyFont="1" applyFill="1" applyBorder="1" applyAlignment="1">
      <alignment horizontal="center" vertical="center"/>
    </xf>
    <xf fontId="8" fillId="7" borderId="28" numFmtId="14" xfId="0" applyNumberFormat="1" applyFont="1" applyFill="1" applyBorder="1" applyAlignment="1">
      <alignment horizontal="center" vertical="center"/>
    </xf>
    <xf fontId="8" fillId="0" borderId="0" numFmtId="164" xfId="0" applyNumberFormat="1" applyFont="1" applyAlignment="1" applyProtection="1">
      <alignment vertical="center"/>
      <protection locked="0"/>
    </xf>
    <xf fontId="8" fillId="3" borderId="24" numFmtId="0" xfId="0" applyFont="1" applyFill="1" applyBorder="1" applyAlignment="1" applyProtection="1">
      <alignment horizontal="center" vertical="center" wrapText="1"/>
      <protection locked="0"/>
    </xf>
    <xf fontId="8" fillId="3" borderId="25" numFmtId="0" xfId="0" applyFont="1" applyFill="1" applyBorder="1" applyAlignment="1" applyProtection="1">
      <alignment horizontal="center" vertical="center" wrapText="1"/>
      <protection locked="0"/>
    </xf>
    <xf fontId="8" fillId="3" borderId="25" numFmtId="0" xfId="0" applyFont="1" applyFill="1" applyBorder="1" applyAlignment="1" applyProtection="1">
      <alignment horizontal="center" vertical="center"/>
      <protection locked="0"/>
    </xf>
    <xf fontId="8" fillId="3" borderId="25" numFmtId="3" xfId="0" applyNumberFormat="1" applyFont="1" applyFill="1" applyBorder="1" applyAlignment="1" applyProtection="1">
      <alignment horizontal="center" vertical="center"/>
      <protection locked="0"/>
    </xf>
    <xf fontId="8" fillId="3" borderId="25" numFmtId="14" xfId="0" applyNumberFormat="1" applyFont="1" applyFill="1" applyBorder="1" applyAlignment="1" applyProtection="1">
      <alignment horizontal="center" vertical="center"/>
      <protection locked="0"/>
    </xf>
    <xf fontId="8" fillId="3" borderId="28" numFmtId="14" xfId="0" applyNumberFormat="1" applyFont="1" applyFill="1" applyBorder="1" applyAlignment="1" applyProtection="1">
      <alignment horizontal="center" vertical="center"/>
      <protection locked="0"/>
    </xf>
    <xf fontId="10" fillId="0" borderId="0" numFmtId="0" xfId="0" applyFont="1" applyProtection="1">
      <protection locked="0"/>
    </xf>
    <xf fontId="8" fillId="0" borderId="0" numFmtId="0" xfId="0" applyFont="1" applyAlignment="1" applyProtection="1">
      <alignment horizontal="center"/>
      <protection locked="0"/>
    </xf>
    <xf fontId="8" fillId="0" borderId="0" numFmtId="3" xfId="0" applyNumberFormat="1" applyFont="1" applyAlignment="1" applyProtection="1">
      <alignment horizontal="center" wrapText="1"/>
      <protection locked="0"/>
    </xf>
    <xf fontId="8" fillId="0" borderId="0" numFmtId="9" xfId="2" applyNumberFormat="1" applyFont="1" applyAlignment="1" applyProtection="1">
      <alignment horizontal="center"/>
      <protection locked="0"/>
    </xf>
    <xf fontId="8" fillId="0" borderId="0" numFmtId="3" xfId="0" applyNumberFormat="1" applyFont="1" applyAlignment="1" applyProtection="1">
      <alignment horizontal="center"/>
      <protection locked="0"/>
    </xf>
    <xf fontId="8" fillId="0" borderId="0" numFmtId="0" xfId="0" applyFont="1" applyAlignment="1" applyProtection="1">
      <alignment horizontal="center" vertical="top" wrapText="1"/>
      <protection locked="0"/>
    </xf>
    <xf fontId="2" fillId="0" borderId="0" numFmtId="0" xfId="0" applyFont="1" applyAlignment="1">
      <alignment vertical="center"/>
    </xf>
    <xf fontId="2" fillId="0" borderId="0" numFmtId="0" xfId="0" applyFont="1" applyAlignment="1" applyProtection="1">
      <alignment vertical="center"/>
      <protection locked="0"/>
    </xf>
    <xf fontId="2" fillId="0" borderId="0" numFmtId="0" xfId="0" applyFont="1" applyAlignment="1" applyProtection="1">
      <alignment vertical="top" wrapText="1"/>
      <protection locked="0"/>
    </xf>
    <xf fontId="14" fillId="0" borderId="0" numFmtId="0" xfId="4" applyFont="1" applyAlignment="1">
      <alignment vertical="center"/>
    </xf>
    <xf fontId="14" fillId="0" borderId="0" numFmtId="0" xfId="4" applyFont="1" applyProtection="1">
      <protection locked="0"/>
    </xf>
    <xf fontId="14" fillId="0" borderId="0" numFmtId="0" xfId="4" applyFont="1" applyAlignment="1" applyProtection="1">
      <alignment horizontal="center"/>
      <protection locked="0"/>
    </xf>
    <xf fontId="14" fillId="0" borderId="0" numFmtId="3" xfId="4" applyNumberFormat="1" applyFont="1" applyAlignment="1" applyProtection="1">
      <alignment horizontal="center"/>
      <protection locked="0"/>
    </xf>
    <xf fontId="9" fillId="0" borderId="0" numFmtId="0" xfId="4" applyFont="1" applyProtection="1">
      <protection locked="0"/>
    </xf>
    <xf fontId="14" fillId="0" borderId="0" numFmtId="0" xfId="4" applyFont="1"/>
    <xf fontId="14" fillId="0" borderId="0" numFmtId="0" xfId="4" applyFont="1" applyAlignment="1">
      <alignment horizontal="center"/>
    </xf>
    <xf fontId="14" fillId="0" borderId="0" numFmtId="3" xfId="4" applyNumberFormat="1" applyFont="1" applyAlignment="1">
      <alignment horizontal="center"/>
    </xf>
    <xf fontId="9" fillId="0" borderId="0" numFmtId="0" xfId="4" applyFont="1"/>
    <xf fontId="14" fillId="0" borderId="0" numFmtId="3" xfId="4" applyNumberFormat="1" applyFont="1"/>
    <xf fontId="15" fillId="0" borderId="0" numFmtId="0" xfId="4" applyFont="1" applyAlignment="1" applyProtection="1">
      <alignment horizontal="left" vertical="center"/>
      <protection locked="0"/>
    </xf>
    <xf fontId="15" fillId="0" borderId="0" numFmtId="0" xfId="4" applyFont="1" applyAlignment="1">
      <alignment horizontal="left" vertical="center"/>
    </xf>
    <xf fontId="21" fillId="0" borderId="29" numFmtId="0" xfId="4" applyFont="1" applyBorder="1" applyAlignment="1">
      <alignment horizontal="center" vertical="center" wrapText="1"/>
    </xf>
    <xf fontId="21" fillId="0" borderId="30" numFmtId="0" xfId="4" applyFont="1" applyBorder="1" applyAlignment="1">
      <alignment horizontal="center" vertical="center" wrapText="1"/>
    </xf>
    <xf fontId="21" fillId="0" borderId="31" numFmtId="0" xfId="4" applyFont="1" applyBorder="1" applyAlignment="1">
      <alignment horizontal="center" vertical="center" wrapText="1"/>
    </xf>
    <xf fontId="15" fillId="0" borderId="29" numFmtId="3" xfId="4" applyNumberFormat="1" applyFont="1" applyBorder="1" applyAlignment="1">
      <alignment horizontal="center" vertical="center" wrapText="1"/>
    </xf>
    <xf fontId="15" fillId="0" borderId="30" numFmtId="3" xfId="4" applyNumberFormat="1" applyFont="1" applyBorder="1" applyAlignment="1">
      <alignment horizontal="center" vertical="center" wrapText="1"/>
    </xf>
    <xf fontId="15" fillId="0" borderId="31" numFmtId="3" xfId="4" applyNumberFormat="1" applyFont="1" applyBorder="1" applyAlignment="1">
      <alignment horizontal="center" vertical="center" wrapText="1"/>
    </xf>
    <xf fontId="15" fillId="0" borderId="32" numFmtId="3" xfId="4" applyNumberFormat="1" applyFont="1" applyBorder="1" applyAlignment="1">
      <alignment horizontal="center" vertical="center" wrapText="1"/>
    </xf>
    <xf fontId="15" fillId="0" borderId="33" numFmtId="3" xfId="4" applyNumberFormat="1" applyFont="1" applyBorder="1" applyAlignment="1">
      <alignment horizontal="center" vertical="center" wrapText="1"/>
    </xf>
    <xf fontId="15" fillId="0" borderId="32" numFmtId="3" xfId="4" applyNumberFormat="1" applyFont="1" applyBorder="1" applyAlignment="1">
      <alignment horizontal="center" vertical="center"/>
    </xf>
    <xf fontId="15" fillId="0" borderId="7" numFmtId="3" xfId="4" applyNumberFormat="1" applyFont="1" applyBorder="1" applyAlignment="1">
      <alignment horizontal="center" vertical="center"/>
    </xf>
    <xf fontId="15" fillId="0" borderId="33" numFmtId="3" xfId="4" applyNumberFormat="1" applyFont="1" applyBorder="1" applyAlignment="1">
      <alignment horizontal="center" vertical="center"/>
    </xf>
    <xf fontId="20" fillId="0" borderId="0" numFmtId="3" xfId="4" applyNumberFormat="1" applyFont="1" applyAlignment="1">
      <alignment horizontal="center" vertical="center"/>
    </xf>
    <xf fontId="14" fillId="0" borderId="0" numFmtId="0" xfId="4" applyFont="1" applyAlignment="1" applyProtection="1">
      <alignment vertical="center"/>
      <protection locked="0"/>
    </xf>
    <xf fontId="14" fillId="0" borderId="19" numFmtId="0" xfId="4" applyFont="1" applyBorder="1" applyAlignment="1">
      <alignment horizontal="center" vertical="center" wrapText="1"/>
    </xf>
    <xf fontId="14" fillId="0" borderId="34" numFmtId="0" xfId="4" applyFont="1" applyBorder="1" applyAlignment="1">
      <alignment horizontal="center" vertical="center" wrapText="1"/>
    </xf>
    <xf fontId="14" fillId="0" borderId="17" numFmtId="0" xfId="4" applyFont="1" applyBorder="1" applyAlignment="1">
      <alignment horizontal="center" vertical="center" wrapText="1"/>
    </xf>
    <xf fontId="14" fillId="0" borderId="6" numFmtId="0" xfId="3" applyFont="1" applyBorder="1" applyAlignment="1" applyProtection="1">
      <alignment horizontal="center" vertical="center" wrapText="1"/>
    </xf>
    <xf fontId="14" fillId="0" borderId="17" numFmtId="9" xfId="3" applyNumberFormat="1" applyFont="1" applyBorder="1" applyAlignment="1" applyProtection="1">
      <alignment horizontal="center" vertical="center" wrapText="1"/>
    </xf>
    <xf fontId="14" fillId="0" borderId="35" numFmtId="0" xfId="4" applyFont="1" applyBorder="1" applyAlignment="1">
      <alignment horizontal="center" vertical="center" wrapText="1"/>
    </xf>
    <xf fontId="14" fillId="0" borderId="34" numFmtId="3" xfId="4" applyNumberFormat="1" applyFont="1" applyBorder="1" applyAlignment="1">
      <alignment horizontal="center" vertical="center" wrapText="1"/>
    </xf>
    <xf fontId="14" fillId="0" borderId="17" numFmtId="3" xfId="4" applyNumberFormat="1" applyFont="1" applyBorder="1" applyAlignment="1">
      <alignment horizontal="center" vertical="center" wrapText="1"/>
    </xf>
    <xf fontId="14" fillId="0" borderId="35" numFmtId="3" xfId="4" applyNumberFormat="1" applyFont="1" applyBorder="1" applyAlignment="1">
      <alignment horizontal="center" vertical="center" wrapText="1"/>
    </xf>
    <xf fontId="14" fillId="0" borderId="34" numFmtId="9" xfId="3" applyNumberFormat="1" applyFont="1" applyBorder="1" applyAlignment="1" applyProtection="1">
      <alignment horizontal="center" vertical="center" wrapText="1"/>
    </xf>
    <xf fontId="14" fillId="0" borderId="17" numFmtId="3" xfId="3" applyNumberFormat="1" applyFont="1" applyBorder="1" applyAlignment="1" applyProtection="1">
      <alignment horizontal="center" vertical="center" wrapText="1"/>
    </xf>
    <xf fontId="8" fillId="0" borderId="35" numFmtId="164" xfId="0" applyNumberFormat="1" applyFont="1" applyBorder="1" applyAlignment="1">
      <alignment horizontal="center" vertical="center"/>
    </xf>
    <xf fontId="9" fillId="0" borderId="0" numFmtId="164" xfId="0" applyNumberFormat="1" applyFont="1" applyAlignment="1">
      <alignment horizontal="center" vertical="center"/>
    </xf>
    <xf fontId="14" fillId="0" borderId="18" numFmtId="0" xfId="4" applyFont="1" applyBorder="1" applyAlignment="1">
      <alignment horizontal="center" vertical="center"/>
    </xf>
    <xf fontId="14" fillId="3" borderId="36" numFmtId="0" xfId="4" applyFont="1" applyFill="1" applyBorder="1" applyAlignment="1" applyProtection="1">
      <alignment horizontal="center" vertical="center"/>
      <protection locked="0"/>
    </xf>
    <xf fontId="14" fillId="3" borderId="16" numFmtId="0" xfId="4" applyFont="1" applyFill="1" applyBorder="1" applyAlignment="1" applyProtection="1">
      <alignment vertical="center"/>
      <protection locked="0"/>
    </xf>
    <xf fontId="14" fillId="3" borderId="3" numFmtId="0" xfId="3" applyFont="1" applyFill="1" applyBorder="1" applyAlignment="1" applyProtection="1">
      <alignment vertical="center"/>
      <protection locked="0"/>
    </xf>
    <xf fontId="14" fillId="3" borderId="16" numFmtId="9" xfId="3" applyNumberFormat="1" applyFont="1" applyFill="1" applyBorder="1" applyAlignment="1" applyProtection="1">
      <alignment horizontal="center" vertical="center"/>
      <protection locked="0"/>
    </xf>
    <xf fontId="14" fillId="3" borderId="16" numFmtId="0" xfId="3" applyFont="1" applyFill="1" applyBorder="1" applyAlignment="1" applyProtection="1">
      <alignment horizontal="center" vertical="center"/>
      <protection locked="0"/>
    </xf>
    <xf fontId="14" fillId="3" borderId="37" numFmtId="3" xfId="4" applyNumberFormat="1" applyFont="1" applyFill="1" applyBorder="1" applyAlignment="1" applyProtection="1">
      <alignment horizontal="center" vertical="center"/>
      <protection locked="0"/>
    </xf>
    <xf fontId="14" fillId="3" borderId="36" numFmtId="3" xfId="4" applyNumberFormat="1" applyFont="1" applyFill="1" applyBorder="1" applyAlignment="1" applyProtection="1">
      <alignment vertical="center"/>
      <protection locked="0"/>
    </xf>
    <xf fontId="14" fillId="3" borderId="16" numFmtId="3" xfId="4" applyNumberFormat="1" applyFont="1" applyFill="1" applyBorder="1" applyAlignment="1" applyProtection="1">
      <alignment vertical="center"/>
      <protection locked="0"/>
    </xf>
    <xf fontId="14" fillId="3" borderId="37" numFmtId="3" xfId="4" applyNumberFormat="1" applyFont="1" applyFill="1" applyBorder="1" applyAlignment="1" applyProtection="1">
      <alignment vertical="center"/>
      <protection locked="0"/>
    </xf>
    <xf fontId="14" fillId="0" borderId="37" numFmtId="3" xfId="4" applyNumberFormat="1" applyFont="1" applyBorder="1" applyAlignment="1">
      <alignment vertical="center"/>
    </xf>
    <xf fontId="14" fillId="3" borderId="36" numFmtId="9" xfId="3" applyNumberFormat="1" applyFont="1" applyFill="1" applyBorder="1" applyAlignment="1" applyProtection="1">
      <alignment horizontal="center" vertical="center"/>
      <protection locked="0"/>
    </xf>
    <xf fontId="14" fillId="3" borderId="16" numFmtId="3" xfId="3" applyNumberFormat="1" applyFont="1" applyFill="1" applyBorder="1" applyAlignment="1" applyProtection="1">
      <alignment horizontal="center" vertical="center"/>
      <protection locked="0"/>
    </xf>
    <xf fontId="14" fillId="0" borderId="16" numFmtId="3" xfId="4" applyNumberFormat="1" applyFont="1" applyBorder="1" applyAlignment="1">
      <alignment vertical="center"/>
    </xf>
    <xf fontId="8" fillId="0" borderId="37" numFmtId="164" xfId="0" applyNumberFormat="1" applyFont="1" applyBorder="1" applyAlignment="1">
      <alignment vertical="center"/>
    </xf>
    <xf fontId="9" fillId="2" borderId="0" numFmtId="0" xfId="0" applyFont="1" applyFill="1" applyAlignment="1">
      <alignment horizontal="center" vertical="center"/>
    </xf>
    <xf fontId="14" fillId="0" borderId="0" numFmtId="3" xfId="4" applyNumberFormat="1" applyFont="1" applyAlignment="1" applyProtection="1">
      <alignment vertical="center"/>
      <protection locked="0"/>
    </xf>
    <xf fontId="14" fillId="0" borderId="19" numFmtId="0" xfId="4" applyFont="1" applyBorder="1" applyAlignment="1">
      <alignment horizontal="center" vertical="center"/>
    </xf>
    <xf fontId="14" fillId="3" borderId="34" numFmtId="0" xfId="4" applyFont="1" applyFill="1" applyBorder="1" applyAlignment="1" applyProtection="1">
      <alignment horizontal="center" vertical="center"/>
      <protection locked="0"/>
    </xf>
    <xf fontId="14" fillId="3" borderId="17" numFmtId="0" xfId="4" applyFont="1" applyFill="1" applyBorder="1" applyAlignment="1" applyProtection="1">
      <alignment vertical="center"/>
      <protection locked="0"/>
    </xf>
    <xf fontId="14" fillId="3" borderId="6" numFmtId="0" xfId="3" applyFont="1" applyFill="1" applyBorder="1" applyAlignment="1" applyProtection="1">
      <alignment vertical="center"/>
      <protection locked="0"/>
    </xf>
    <xf fontId="14" fillId="3" borderId="17" numFmtId="9" xfId="3" applyNumberFormat="1" applyFont="1" applyFill="1" applyBorder="1" applyAlignment="1" applyProtection="1">
      <alignment horizontal="center" vertical="center"/>
      <protection locked="0"/>
    </xf>
    <xf fontId="14" fillId="3" borderId="17" numFmtId="0" xfId="3" applyFont="1" applyFill="1" applyBorder="1" applyAlignment="1" applyProtection="1">
      <alignment horizontal="center" vertical="center"/>
      <protection locked="0"/>
    </xf>
    <xf fontId="14" fillId="3" borderId="35" numFmtId="0" xfId="4" applyFont="1" applyFill="1" applyBorder="1" applyAlignment="1" applyProtection="1">
      <alignment horizontal="center" vertical="center"/>
      <protection locked="0"/>
    </xf>
    <xf fontId="14" fillId="3" borderId="34" numFmtId="3" xfId="4" applyNumberFormat="1" applyFont="1" applyFill="1" applyBorder="1" applyAlignment="1" applyProtection="1">
      <alignment vertical="center"/>
      <protection locked="0"/>
    </xf>
    <xf fontId="14" fillId="3" borderId="17" numFmtId="3" xfId="4" applyNumberFormat="1" applyFont="1" applyFill="1" applyBorder="1" applyAlignment="1" applyProtection="1">
      <alignment vertical="center"/>
      <protection locked="0"/>
    </xf>
    <xf fontId="14" fillId="3" borderId="35" numFmtId="3" xfId="4" applyNumberFormat="1" applyFont="1" applyFill="1" applyBorder="1" applyAlignment="1" applyProtection="1">
      <alignment vertical="center"/>
      <protection locked="0"/>
    </xf>
    <xf fontId="14" fillId="3" borderId="34" numFmtId="0" xfId="4" applyFont="1" applyFill="1" applyBorder="1" applyAlignment="1" applyProtection="1">
      <alignment vertical="center"/>
      <protection locked="0"/>
    </xf>
    <xf fontId="14" fillId="0" borderId="35" numFmtId="3" xfId="4" applyNumberFormat="1" applyFont="1" applyBorder="1" applyAlignment="1">
      <alignment vertical="center"/>
    </xf>
    <xf fontId="14" fillId="3" borderId="34" numFmtId="9" xfId="3" applyNumberFormat="1" applyFont="1" applyFill="1" applyBorder="1" applyAlignment="1" applyProtection="1">
      <alignment horizontal="center" vertical="center"/>
      <protection locked="0"/>
    </xf>
    <xf fontId="14" fillId="3" borderId="17" numFmtId="3" xfId="3" applyNumberFormat="1" applyFont="1" applyFill="1" applyBorder="1" applyAlignment="1" applyProtection="1">
      <alignment horizontal="center" vertical="center"/>
      <protection locked="0"/>
    </xf>
    <xf fontId="14" fillId="0" borderId="17" numFmtId="3" xfId="4" applyNumberFormat="1" applyFont="1" applyBorder="1" applyAlignment="1">
      <alignment vertical="center"/>
    </xf>
    <xf fontId="8" fillId="0" borderId="35" numFmtId="164" xfId="0" applyNumberFormat="1" applyFont="1" applyBorder="1" applyAlignment="1">
      <alignment vertical="center"/>
    </xf>
    <xf fontId="14" fillId="0" borderId="21" numFmtId="0" xfId="4" applyFont="1" applyBorder="1" applyAlignment="1">
      <alignment horizontal="center" vertical="center"/>
    </xf>
    <xf fontId="14" fillId="3" borderId="38" numFmtId="0" xfId="4" applyFont="1" applyFill="1" applyBorder="1" applyAlignment="1" applyProtection="1">
      <alignment horizontal="center" vertical="center"/>
      <protection locked="0"/>
    </xf>
    <xf fontId="14" fillId="3" borderId="39" numFmtId="0" xfId="4" applyFont="1" applyFill="1" applyBorder="1" applyAlignment="1" applyProtection="1">
      <alignment vertical="center"/>
      <protection locked="0"/>
    </xf>
    <xf fontId="14" fillId="3" borderId="40" numFmtId="0" xfId="3" applyFont="1" applyFill="1" applyBorder="1" applyAlignment="1" applyProtection="1">
      <alignment vertical="center"/>
      <protection locked="0"/>
    </xf>
    <xf fontId="14" fillId="3" borderId="39" numFmtId="9" xfId="3" applyNumberFormat="1" applyFont="1" applyFill="1" applyBorder="1" applyAlignment="1" applyProtection="1">
      <alignment horizontal="center" vertical="center"/>
      <protection locked="0"/>
    </xf>
    <xf fontId="14" fillId="3" borderId="39" numFmtId="0" xfId="3" applyFont="1" applyFill="1" applyBorder="1" applyAlignment="1" applyProtection="1">
      <alignment horizontal="center" vertical="center"/>
      <protection locked="0"/>
    </xf>
    <xf fontId="14" fillId="3" borderId="41" numFmtId="0" xfId="4" applyFont="1" applyFill="1" applyBorder="1" applyAlignment="1" applyProtection="1">
      <alignment horizontal="center" vertical="center"/>
      <protection locked="0"/>
    </xf>
    <xf fontId="14" fillId="3" borderId="38" numFmtId="3" xfId="4" applyNumberFormat="1" applyFont="1" applyFill="1" applyBorder="1" applyAlignment="1" applyProtection="1">
      <alignment vertical="center"/>
      <protection locked="0"/>
    </xf>
    <xf fontId="14" fillId="3" borderId="39" numFmtId="3" xfId="4" applyNumberFormat="1" applyFont="1" applyFill="1" applyBorder="1" applyAlignment="1" applyProtection="1">
      <alignment vertical="center"/>
      <protection locked="0"/>
    </xf>
    <xf fontId="14" fillId="3" borderId="41" numFmtId="3" xfId="4" applyNumberFormat="1" applyFont="1" applyFill="1" applyBorder="1" applyAlignment="1" applyProtection="1">
      <alignment vertical="center"/>
      <protection locked="0"/>
    </xf>
    <xf fontId="14" fillId="3" borderId="38" numFmtId="0" xfId="4" applyFont="1" applyFill="1" applyBorder="1" applyAlignment="1" applyProtection="1">
      <alignment vertical="center"/>
      <protection locked="0"/>
    </xf>
    <xf fontId="14" fillId="0" borderId="41" numFmtId="3" xfId="4" applyNumberFormat="1" applyFont="1" applyBorder="1" applyAlignment="1">
      <alignment vertical="center"/>
    </xf>
    <xf fontId="14" fillId="3" borderId="38" numFmtId="9" xfId="3" applyNumberFormat="1" applyFont="1" applyFill="1" applyBorder="1" applyAlignment="1" applyProtection="1">
      <alignment horizontal="center" vertical="center"/>
      <protection locked="0"/>
    </xf>
    <xf fontId="14" fillId="3" borderId="39" numFmtId="3" xfId="3" applyNumberFormat="1" applyFont="1" applyFill="1" applyBorder="1" applyAlignment="1" applyProtection="1">
      <alignment horizontal="center" vertical="center"/>
      <protection locked="0"/>
    </xf>
    <xf fontId="14" fillId="0" borderId="39" numFmtId="3" xfId="4" applyNumberFormat="1" applyFont="1" applyBorder="1" applyAlignment="1">
      <alignment vertical="center"/>
    </xf>
    <xf fontId="8" fillId="0" borderId="41" numFmtId="164" xfId="0" applyNumberFormat="1" applyFont="1" applyBorder="1" applyAlignment="1">
      <alignment vertical="center"/>
    </xf>
    <xf fontId="8" fillId="0" borderId="0" numFmtId="0" xfId="0" applyFont="1" applyAlignment="1">
      <alignment horizontal="left" vertical="top" wrapText="1"/>
    </xf>
    <xf fontId="8" fillId="0" borderId="0" numFmtId="0" xfId="0" applyFont="1" applyAlignment="1" quotePrefix="1">
      <alignment horizontal="left" vertical="top" wrapText="1"/>
    </xf>
    <xf fontId="8" fillId="0" borderId="42" numFmtId="0" xfId="0" applyFont="1" applyBorder="1" applyAlignment="1">
      <alignment horizontal="left" vertical="top" wrapText="1"/>
    </xf>
    <xf fontId="8" fillId="2" borderId="0" numFmtId="0" xfId="0" applyFont="1" applyFill="1" applyAlignment="1">
      <alignment horizontal="left" vertical="top" wrapText="1"/>
    </xf>
    <xf fontId="8" fillId="0" borderId="0" numFmtId="3" xfId="0" applyNumberFormat="1" applyFont="1" applyAlignment="1">
      <alignment horizontal="left" vertical="top" wrapText="1"/>
    </xf>
    <xf fontId="10" fillId="0" borderId="0" numFmtId="0" xfId="0" applyFont="1" applyAlignment="1">
      <alignment horizontal="left" vertical="top" wrapText="1"/>
    </xf>
    <xf fontId="10" fillId="0" borderId="0" numFmtId="3" xfId="0" applyNumberFormat="1" applyFont="1" applyAlignment="1">
      <alignment horizontal="left" vertical="top" wrapText="1"/>
    </xf>
    <xf fontId="8" fillId="8" borderId="0" numFmtId="0" xfId="0" applyFont="1" applyFill="1" applyAlignment="1">
      <alignment horizontal="left" vertical="top" wrapText="1"/>
    </xf>
    <xf fontId="8" fillId="9" borderId="42" numFmtId="0" xfId="0" applyFont="1" applyFill="1" applyBorder="1" applyAlignment="1">
      <alignment horizontal="left" vertical="top" wrapText="1"/>
    </xf>
    <xf fontId="8" fillId="9" borderId="0" numFmtId="0" xfId="0" applyFont="1" applyFill="1" applyAlignment="1">
      <alignment horizontal="left" vertical="top" wrapText="1"/>
    </xf>
    <xf fontId="8" fillId="0" borderId="8" numFmtId="0" xfId="0" applyFont="1" applyBorder="1" applyAlignment="1">
      <alignment horizontal="left" vertical="top" wrapText="1"/>
    </xf>
    <xf fontId="8" fillId="0" borderId="20" numFmtId="0" xfId="0" applyFont="1" applyBorder="1" applyAlignment="1">
      <alignment horizontal="left" vertical="top" wrapText="1"/>
    </xf>
    <xf fontId="8" fillId="0" borderId="14" numFmtId="0" xfId="0" applyFont="1" applyBorder="1" applyAlignment="1">
      <alignment horizontal="left" vertical="top" wrapText="1"/>
    </xf>
    <xf fontId="8" fillId="0" borderId="43" numFmtId="0" xfId="0" applyFont="1" applyBorder="1" applyAlignment="1">
      <alignment horizontal="left" vertical="top" wrapText="1"/>
    </xf>
    <xf fontId="8" fillId="0" borderId="12" numFmtId="0" xfId="0" applyFont="1" applyBorder="1" applyAlignment="1">
      <alignment horizontal="left" vertical="top" wrapText="1"/>
    </xf>
    <xf fontId="8" fillId="0" borderId="44" numFmtId="0" xfId="0" applyFont="1" applyBorder="1" applyAlignment="1">
      <alignment horizontal="left" vertical="top" wrapText="1"/>
    </xf>
    <xf fontId="8" fillId="0" borderId="3" numFmtId="0" xfId="0" applyFont="1" applyBorder="1" applyAlignment="1">
      <alignment horizontal="left" vertical="top" wrapText="1"/>
    </xf>
    <xf fontId="8" fillId="0" borderId="15" numFmtId="0" xfId="0" applyFont="1" applyBorder="1" applyAlignment="1">
      <alignment horizontal="left" vertical="top" wrapText="1"/>
    </xf>
    <xf fontId="22" fillId="0" borderId="0" numFmtId="0" xfId="0" applyFont="1" applyAlignment="1">
      <alignment vertical="top" wrapText="1"/>
    </xf>
    <xf fontId="10" fillId="2" borderId="0" numFmtId="0" xfId="0" applyFont="1" applyFill="1"/>
    <xf fontId="23" fillId="2" borderId="0" numFmtId="0" xfId="0" applyFont="1" applyFill="1"/>
    <xf fontId="24" fillId="2" borderId="45" numFmtId="0" xfId="0" applyFont="1" applyFill="1" applyBorder="1"/>
    <xf fontId="24" fillId="0" borderId="46" numFmtId="0" xfId="0" applyFont="1" applyBorder="1"/>
    <xf fontId="24" fillId="0" borderId="47" numFmtId="0" xfId="0" applyFont="1" applyBorder="1"/>
    <xf fontId="24" fillId="0" borderId="47" numFmtId="0" xfId="0" applyFont="1" applyBorder="1" applyAlignment="1">
      <alignment wrapText="1"/>
    </xf>
    <xf fontId="24" fillId="0" borderId="48" numFmtId="0" xfId="0" applyFont="1" applyBorder="1" applyAlignment="1">
      <alignment wrapText="1"/>
    </xf>
    <xf fontId="24" fillId="0" borderId="38" numFmtId="0" xfId="0" applyFont="1" applyBorder="1"/>
  </cellXfs>
  <cellStyles count="5">
    <cellStyle name="Link" xfId="1" builtinId="8"/>
    <cellStyle name="Prozent" xfId="2" builtinId="5"/>
    <cellStyle name="Prozent 2" xfId="3"/>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739072</xdr:colOff>
      <xdr:row>10</xdr:row>
      <xdr:rowOff>19050</xdr:rowOff>
    </xdr:from>
    <xdr:to>
      <xdr:col>11</xdr:col>
      <xdr:colOff>306991</xdr:colOff>
      <xdr:row>84</xdr:row>
      <xdr:rowOff>142875</xdr:rowOff>
    </xdr:to>
    <xdr:pic>
      <xdr:nvPicPr>
        <xdr:cNvPr id="2" name="Grafik 1"/>
        <xdr:cNvPicPr>
          <a:picLocks noChangeAspect="1"/>
        </xdr:cNvPicPr>
      </xdr:nvPicPr>
      <xdr:blipFill rotWithShape="1">
        <a:blip r:embed="rId1"/>
        <a:stretch/>
      </xdr:blipFill>
      <xdr:spPr bwMode="auto">
        <a:xfrm>
          <a:off x="739073" y="2333625"/>
          <a:ext cx="7949918" cy="13611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2</xdr:col>
      <xdr:colOff>1095375</xdr:colOff>
      <xdr:row>146</xdr:row>
      <xdr:rowOff>57150</xdr:rowOff>
    </xdr:from>
    <xdr:to>
      <xdr:col>2</xdr:col>
      <xdr:colOff>1333500</xdr:colOff>
      <xdr:row>150</xdr:row>
      <xdr:rowOff>133350</xdr:rowOff>
    </xdr:to>
    <xdr:sp>
      <xdr:nvSpPr>
        <xdr:cNvPr id="3" name="Pfeil: nach rechts gekrümmt 2"/>
        <xdr:cNvSpPr/>
      </xdr:nvSpPr>
      <xdr:spPr bwMode="auto">
        <a:xfrm>
          <a:off x="4676775" y="10801350"/>
          <a:ext cx="238125" cy="733424"/>
        </a:xfrm>
        <a:prstGeom prst="curvedRightArrow">
          <a:avLst>
            <a:gd name="adj1" fmla="val 25000"/>
            <a:gd name="adj2" fmla="val 50000"/>
            <a:gd name="adj3" fmla="val 25000"/>
          </a:avLst>
        </a:prstGeom>
        <a:solidFill>
          <a:srgbClr val="FFDF57"/>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GB" sz="1100">
            <a:solidFill>
              <a:schemeClr val="tx1"/>
            </a:solidFill>
          </a:endParaRPr>
        </a:p>
      </xdr:txBody>
    </xdr:sp>
    <xdr:clientData/>
  </xdr:twoCellAnchor>
  <xdr:twoCellAnchor editAs="oneCell">
    <xdr:from>
      <xdr:col>9</xdr:col>
      <xdr:colOff>504825</xdr:colOff>
      <xdr:row>1</xdr:row>
      <xdr:rowOff>28575</xdr:rowOff>
    </xdr:from>
    <xdr:to>
      <xdr:col>11</xdr:col>
      <xdr:colOff>1102000</xdr:colOff>
      <xdr:row>5</xdr:row>
      <xdr:rowOff>156799</xdr:rowOff>
    </xdr:to>
    <xdr:pic>
      <xdr:nvPicPr>
        <xdr:cNvPr id="2" name="Grafik 1"/>
        <xdr:cNvPicPr>
          <a:picLocks noChangeAspect="1"/>
        </xdr:cNvPicPr>
      </xdr:nvPicPr>
      <xdr:blipFill rotWithShape="1">
        <a:blip r:embed="rId1"/>
        <a:stretch/>
      </xdr:blipFill>
      <xdr:spPr bwMode="auto">
        <a:xfrm>
          <a:off x="11115675" y="200025"/>
          <a:ext cx="3092725" cy="803154"/>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kindermissionswerk.org/en/partners/service"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15" workbookViewId="0">
      <selection activeCell="A1" activeCellId="0" sqref="A1"/>
    </sheetView>
  </sheetViews>
  <sheetFormatPr defaultColWidth="11.42578125" defaultRowHeight="14.25"/>
  <cols>
    <col min="1" max="16384" style="1" width="11.42578125"/>
  </cols>
  <sheetData>
    <row r="3" ht="30">
      <c r="B3" s="2" t="s">
        <v>0</v>
      </c>
      <c r="C3" s="2"/>
      <c r="D3" s="2"/>
      <c r="E3" s="2"/>
      <c r="F3" s="2"/>
      <c r="G3" s="2"/>
      <c r="H3" s="2"/>
      <c r="I3" s="2"/>
      <c r="J3" s="2"/>
      <c r="K3" s="2"/>
      <c r="L3" s="2"/>
      <c r="M3" s="2"/>
      <c r="N3" s="2"/>
      <c r="O3" s="2"/>
      <c r="P3" s="2"/>
      <c r="Q3" s="2"/>
      <c r="R3" s="2"/>
      <c r="S3" s="2"/>
      <c r="T3" s="2"/>
      <c r="U3" s="2"/>
      <c r="V3" s="2"/>
      <c r="W3" s="2"/>
      <c r="X3" s="2"/>
      <c r="Y3" s="2"/>
    </row>
    <row r="6" ht="26.25">
      <c r="B6" s="3" t="s">
        <v>1</v>
      </c>
      <c r="C6" s="3"/>
      <c r="D6" s="3"/>
      <c r="E6" s="3"/>
      <c r="F6" s="3"/>
      <c r="G6" s="3"/>
      <c r="H6" s="3"/>
      <c r="I6" s="3"/>
      <c r="J6" s="3"/>
      <c r="K6" s="3"/>
      <c r="L6" s="3"/>
      <c r="M6" s="3"/>
      <c r="N6" s="3"/>
    </row>
    <row r="8" ht="20.25">
      <c r="B8" s="4" t="s">
        <v>2</v>
      </c>
      <c r="C8" s="4"/>
      <c r="D8" s="4"/>
      <c r="E8" s="4"/>
      <c r="F8" s="4"/>
      <c r="G8" s="4"/>
      <c r="H8" s="4"/>
      <c r="I8" s="4"/>
      <c r="J8" s="4"/>
      <c r="K8" s="4"/>
      <c r="L8" s="4"/>
      <c r="M8" s="4"/>
      <c r="N8" s="4"/>
    </row>
    <row r="9" ht="20.25">
      <c r="B9" s="5" t="s">
        <v>3</v>
      </c>
      <c r="C9" s="5"/>
      <c r="D9" s="5"/>
      <c r="E9" s="5"/>
      <c r="F9" s="5"/>
      <c r="G9" s="5"/>
      <c r="H9" s="5"/>
      <c r="I9" s="5"/>
      <c r="J9" s="4"/>
      <c r="K9" s="4"/>
      <c r="L9" s="4"/>
      <c r="M9" s="4"/>
      <c r="N9" s="4"/>
    </row>
    <row r="11" ht="18">
      <c r="B11" s="6"/>
      <c r="C11" s="6"/>
      <c r="D11" s="6"/>
      <c r="E11" s="6"/>
      <c r="F11" s="6"/>
      <c r="G11" s="6"/>
      <c r="H11" s="6"/>
      <c r="I11" s="6"/>
      <c r="J11" s="6"/>
      <c r="K11" s="6"/>
      <c r="L11" s="6"/>
    </row>
    <row r="43" ht="18">
      <c r="V43" s="6"/>
      <c r="W43" s="6"/>
      <c r="X43" s="6"/>
      <c r="Y43" s="6"/>
      <c r="Z43" s="6"/>
      <c r="AA43" s="6"/>
      <c r="AB43" s="6"/>
      <c r="AC43" s="6"/>
      <c r="AD43" s="6"/>
      <c r="AE43" s="6"/>
      <c r="AF43" s="6"/>
      <c r="AG43" s="6"/>
      <c r="AH43" s="6"/>
    </row>
    <row r="88" ht="26.25">
      <c r="B88" s="3" t="s">
        <v>4</v>
      </c>
    </row>
    <row r="90" ht="13.9" customHeight="1">
      <c r="B90" s="7" t="s">
        <v>5</v>
      </c>
      <c r="C90" s="7"/>
      <c r="D90" s="7"/>
      <c r="E90" s="7"/>
      <c r="F90" s="7"/>
      <c r="G90" s="7"/>
      <c r="H90" s="7"/>
      <c r="I90" s="7"/>
      <c r="J90" s="7"/>
      <c r="K90" s="7"/>
    </row>
    <row r="91" ht="13.9" customHeight="1">
      <c r="B91" s="7"/>
      <c r="C91" s="7"/>
      <c r="D91" s="7"/>
      <c r="E91" s="7"/>
      <c r="F91" s="7"/>
      <c r="G91" s="7"/>
      <c r="H91" s="7"/>
      <c r="I91" s="7"/>
      <c r="J91" s="7"/>
      <c r="K91" s="7"/>
    </row>
    <row r="92" ht="13.9" customHeight="1">
      <c r="B92" s="7"/>
      <c r="C92" s="7"/>
      <c r="D92" s="7"/>
      <c r="E92" s="7"/>
      <c r="F92" s="7"/>
      <c r="G92" s="7"/>
      <c r="H92" s="7"/>
      <c r="I92" s="7"/>
      <c r="J92" s="7"/>
      <c r="K92" s="7"/>
    </row>
    <row r="93" ht="13.9" customHeight="1">
      <c r="B93" s="7"/>
      <c r="C93" s="7"/>
      <c r="D93" s="7"/>
      <c r="E93" s="7"/>
      <c r="F93" s="7"/>
      <c r="G93" s="7"/>
      <c r="H93" s="7"/>
      <c r="I93" s="7"/>
      <c r="J93" s="7"/>
      <c r="K93" s="7"/>
    </row>
    <row r="94" ht="13.9" customHeight="1">
      <c r="B94" s="7"/>
      <c r="C94" s="7"/>
      <c r="D94" s="7"/>
      <c r="E94" s="7"/>
      <c r="F94" s="7"/>
      <c r="G94" s="7"/>
      <c r="H94" s="7"/>
      <c r="I94" s="7"/>
      <c r="J94" s="7"/>
      <c r="K94" s="7"/>
    </row>
    <row r="95" ht="13.9" customHeight="1">
      <c r="B95" s="7"/>
      <c r="C95" s="7"/>
      <c r="D95" s="7"/>
      <c r="E95" s="7"/>
      <c r="F95" s="7"/>
      <c r="G95" s="7"/>
      <c r="H95" s="7"/>
      <c r="I95" s="7"/>
      <c r="J95" s="7"/>
      <c r="K95" s="7"/>
    </row>
    <row r="96" ht="13.9" customHeight="1">
      <c r="B96" s="7"/>
      <c r="C96" s="7"/>
      <c r="D96" s="7"/>
      <c r="E96" s="7"/>
      <c r="F96" s="7"/>
      <c r="G96" s="7"/>
      <c r="H96" s="7"/>
      <c r="I96" s="7"/>
      <c r="J96" s="7"/>
      <c r="K96" s="7"/>
    </row>
    <row r="97" ht="13.9" customHeight="1">
      <c r="B97" s="7"/>
      <c r="C97" s="7"/>
      <c r="D97" s="7"/>
      <c r="E97" s="7"/>
      <c r="F97" s="7"/>
      <c r="G97" s="7"/>
      <c r="H97" s="7"/>
      <c r="I97" s="7"/>
      <c r="J97" s="7"/>
      <c r="K97" s="7"/>
    </row>
    <row r="98" ht="13.9" customHeight="1">
      <c r="B98" s="7"/>
      <c r="C98" s="7"/>
      <c r="D98" s="7"/>
      <c r="E98" s="7"/>
      <c r="F98" s="7"/>
      <c r="G98" s="7"/>
      <c r="H98" s="7"/>
      <c r="I98" s="7"/>
      <c r="J98" s="7"/>
      <c r="K98" s="7"/>
    </row>
    <row r="99" ht="13.9" customHeight="1">
      <c r="B99" s="7"/>
      <c r="C99" s="7"/>
      <c r="D99" s="7"/>
      <c r="E99" s="7"/>
      <c r="F99" s="7"/>
      <c r="G99" s="7"/>
      <c r="H99" s="7"/>
      <c r="I99" s="7"/>
      <c r="J99" s="7"/>
      <c r="K99" s="7"/>
    </row>
    <row r="100" ht="13.9" customHeight="1">
      <c r="B100" s="7"/>
      <c r="C100" s="7"/>
      <c r="D100" s="7"/>
      <c r="E100" s="7"/>
      <c r="F100" s="7"/>
      <c r="G100" s="7"/>
      <c r="H100" s="7"/>
      <c r="I100" s="7"/>
      <c r="J100" s="7"/>
      <c r="K100" s="7"/>
    </row>
    <row r="101" ht="13.9" customHeight="1">
      <c r="B101" s="7"/>
      <c r="C101" s="7"/>
      <c r="D101" s="7"/>
      <c r="E101" s="7"/>
      <c r="F101" s="7"/>
      <c r="G101" s="7"/>
      <c r="H101" s="7"/>
      <c r="I101" s="7"/>
      <c r="J101" s="7"/>
      <c r="K101" s="7"/>
    </row>
    <row r="102" ht="13.9" customHeight="1">
      <c r="B102" s="7"/>
      <c r="C102" s="7"/>
      <c r="D102" s="7"/>
      <c r="E102" s="7"/>
      <c r="F102" s="7"/>
      <c r="G102" s="7"/>
      <c r="H102" s="7"/>
      <c r="I102" s="7"/>
      <c r="J102" s="7"/>
      <c r="K102" s="7"/>
    </row>
    <row r="103" ht="13.9" customHeight="1">
      <c r="B103" s="7"/>
      <c r="C103" s="7"/>
      <c r="D103" s="7"/>
      <c r="E103" s="7"/>
      <c r="F103" s="7"/>
      <c r="G103" s="7"/>
      <c r="H103" s="7"/>
      <c r="I103" s="7"/>
      <c r="J103" s="7"/>
      <c r="K103" s="7"/>
    </row>
    <row r="104">
      <c r="B104" s="7"/>
      <c r="C104" s="7"/>
      <c r="D104" s="7"/>
      <c r="E104" s="7"/>
      <c r="F104" s="7"/>
      <c r="G104" s="7"/>
      <c r="H104" s="7"/>
      <c r="I104" s="7"/>
      <c r="J104" s="7"/>
      <c r="K104" s="7"/>
    </row>
    <row r="105">
      <c r="B105" s="7"/>
      <c r="C105" s="7"/>
      <c r="D105" s="7"/>
      <c r="E105" s="7"/>
      <c r="F105" s="7"/>
      <c r="G105" s="7"/>
      <c r="H105" s="7"/>
      <c r="I105" s="7"/>
      <c r="J105" s="7"/>
      <c r="K105" s="7"/>
    </row>
    <row r="106">
      <c r="B106" s="7"/>
      <c r="C106" s="7"/>
      <c r="D106" s="7"/>
      <c r="E106" s="7"/>
      <c r="F106" s="7"/>
      <c r="G106" s="7"/>
      <c r="H106" s="7"/>
      <c r="I106" s="7"/>
      <c r="J106" s="7"/>
      <c r="K106" s="7"/>
    </row>
    <row r="107">
      <c r="B107" s="7"/>
      <c r="C107" s="7"/>
      <c r="D107" s="7"/>
      <c r="E107" s="7"/>
      <c r="F107" s="7"/>
      <c r="G107" s="7"/>
      <c r="H107" s="7"/>
      <c r="I107" s="7"/>
      <c r="J107" s="7"/>
      <c r="K107" s="7"/>
    </row>
    <row r="108">
      <c r="B108" s="7"/>
      <c r="C108" s="7"/>
      <c r="D108" s="7"/>
      <c r="E108" s="7"/>
      <c r="F108" s="7"/>
      <c r="G108" s="7"/>
      <c r="H108" s="7"/>
      <c r="I108" s="7"/>
      <c r="J108" s="7"/>
      <c r="K108" s="7"/>
    </row>
    <row r="109">
      <c r="B109" s="7"/>
      <c r="C109" s="7"/>
      <c r="D109" s="7"/>
      <c r="E109" s="7"/>
      <c r="F109" s="7"/>
      <c r="G109" s="7"/>
      <c r="H109" s="7"/>
      <c r="I109" s="7"/>
      <c r="J109" s="7"/>
      <c r="K109" s="7"/>
    </row>
  </sheetData>
  <sheetProtection algorithmName="SHA-512" hashValue="4Fk8kPmlRqDjnQzVzK4aZEPgxCqhmUWgqa2mAlCOpMqdVqG1Fl9XTfknPIfU0utWhRdfhGsky3fZN4pev88kzQ==" saltValue="XzmLuPV+/4uuqFPwF1HuLg==" spinCount="100000" autoFilter="0" deleteColumns="0" deleteRows="0" formatCells="0" formatColumns="0" formatRows="0" insertColumns="1" insertHyperlinks="0" insertRows="1" objects="1" pivotTables="0" scenarios="0" selectLockedCells="0" selectUnlockedCells="0" sheet="1" sort="0"/>
  <mergeCells count="5">
    <mergeCell ref="B3:Y3"/>
    <mergeCell ref="B9:I9"/>
    <mergeCell ref="B11:L11"/>
    <mergeCell ref="V43:AH43"/>
    <mergeCell ref="B90:K109"/>
  </mergeCells>
  <hyperlinks>
    <hyperlink r:id="rId1" ref="B9"/>
  </hyperlinks>
  <printOptions headings="0" gridLines="0" horizontalCentered="1" verticalCentered="1"/>
  <pageMargins left="0" right="0" top="0" bottom="0" header="0" footer="0"/>
  <pageSetup paperSize="9" scale="50" fitToWidth="0" fitToHeight="1" pageOrder="downThenOver" orientation="portrait" usePrinterDefaults="1" blackAndWhite="0" draft="0" cellComments="none" useFirstPageNumber="0" errors="displayed" horizontalDpi="600" verticalDpi="600" copies="1"/>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topLeftCell="A1" zoomScale="100" workbookViewId="0">
      <pane ySplit="10" topLeftCell="A11" activePane="bottomLeft" state="frozen"/>
      <selection activeCell="I3" activeCellId="0" sqref="I3"/>
    </sheetView>
  </sheetViews>
  <sheetFormatPr defaultColWidth="10.85546875" defaultRowHeight="16.5" outlineLevelRow="1"/>
  <cols>
    <col customWidth="1" min="1" max="1" style="8" width="4.5703125"/>
    <col customWidth="1" min="2" max="2" style="8" width="49.140625"/>
    <col customWidth="1" min="3" max="3" style="8" width="20.5703125"/>
    <col bestFit="1" customWidth="1" min="4" max="4" style="9" width="15.28515625"/>
    <col customWidth="1" min="5" max="7" style="9" width="10"/>
    <col customWidth="1" min="8" max="8" style="10" width="17.7109375"/>
    <col customWidth="1" min="9" max="9" style="10" width="20.28515625"/>
    <col customWidth="1" min="10" max="12" style="10" width="18.7109375"/>
    <col customWidth="1" min="13" max="13" style="11" width="11"/>
    <col bestFit="1" customWidth="1" min="14" max="14" style="12" width="16.85546875"/>
    <col customWidth="1" min="15" max="15" style="8" width="10.85546875"/>
    <col customWidth="1" min="16" max="16" style="8" width="85.7109375"/>
    <col customWidth="1" min="17" max="17" style="8" width="11"/>
    <col min="18" max="16384" style="8" width="10.85546875"/>
  </cols>
  <sheetData>
    <row r="1" ht="13.5">
      <c r="A1" s="13" t="str">
        <f>IF($I$3="","",VLOOKUP($I$3,Sprachversionen!$B:$EA,2,FALSE))</f>
        <v xml:space="preserve">C O S T  A N D  F I N A N C I A L  P L A N</v>
      </c>
      <c r="B1" s="14"/>
      <c r="C1" s="14"/>
      <c r="D1" s="15"/>
      <c r="E1" s="15"/>
      <c r="F1" s="15"/>
      <c r="G1" s="15"/>
      <c r="H1" s="16"/>
      <c r="I1" s="16"/>
      <c r="J1" s="16"/>
      <c r="K1" s="16"/>
      <c r="L1" s="16"/>
      <c r="N1" s="17"/>
    </row>
    <row r="2" ht="13.5" customHeight="1">
      <c r="A2" s="18" t="s">
        <v>6</v>
      </c>
      <c r="B2" s="14"/>
      <c r="C2" s="19" t="s">
        <v>7</v>
      </c>
      <c r="D2" s="19"/>
      <c r="E2" s="19"/>
      <c r="F2" s="15"/>
      <c r="G2" s="20" t="str">
        <f>IF($I$3="","",VLOOKUP($I$3,Sprachversionen!$B:$EA,84,FALSE))</f>
        <v xml:space="preserve">Project number</v>
      </c>
      <c r="H2" s="20"/>
      <c r="I2" s="21" t="s">
        <v>8</v>
      </c>
      <c r="J2" s="16"/>
      <c r="K2" s="16"/>
      <c r="L2" s="16"/>
      <c r="N2" s="17"/>
      <c r="P2" s="22" t="str">
        <f>IF($I$3="","",VLOOKUP($I$3,Sprachversionen!$B:$EA,90,FALSE))</f>
        <v>Tip:</v>
      </c>
    </row>
    <row r="3" s="23" customFormat="1" ht="13.5" customHeight="1">
      <c r="A3" s="24" t="str">
        <f>IF($I$3="","",VLOOKUP($I$3,Sprachversionen!$B:$EA,3,FALSE))</f>
        <v xml:space="preserve">Project Title</v>
      </c>
      <c r="B3" s="25"/>
      <c r="C3" s="26"/>
      <c r="D3" s="26"/>
      <c r="E3" s="26"/>
      <c r="F3" s="27"/>
      <c r="G3" s="28" t="str">
        <f>IF($I$3="","Chose your language",VLOOKUP($I$3,Sprachversionen!$B:$EA,7,FALSE))</f>
        <v>Language</v>
      </c>
      <c r="H3" s="28"/>
      <c r="I3" s="29" t="s">
        <v>9</v>
      </c>
      <c r="J3" s="16"/>
      <c r="K3" s="16"/>
      <c r="L3" s="16"/>
      <c r="M3" s="30"/>
      <c r="N3" s="31"/>
      <c r="P3" s="32" t="str">
        <f>IF($I$3="","",VLOOKUP($I$3,Sprachversionen!$B:$EA,91,FALSE))</f>
        <v xml:space="preserve">These short notes do not replace the full instructions – for details, see:
"Completion aid to the cost and financing plan.pdf" on our website.
</v>
      </c>
    </row>
    <row r="4" s="23" customFormat="1" ht="13.5" customHeight="1">
      <c r="A4" s="24" t="str">
        <f>IF($I$3="","",VLOOKUP($I$3,Sprachversionen!$B:$EA,52,FALSE))</f>
        <v xml:space="preserve">Project Partner</v>
      </c>
      <c r="B4" s="25"/>
      <c r="C4" s="33" t="s">
        <v>10</v>
      </c>
      <c r="D4" s="33"/>
      <c r="E4" s="33"/>
      <c r="F4" s="27"/>
      <c r="G4" s="28" t="str">
        <f>IF($I$3="","Chose your currency",VLOOKUP($I$3,Sprachversionen!$B:$EA,8,FALSE))</f>
        <v xml:space="preserve">Local Currency</v>
      </c>
      <c r="H4" s="28"/>
      <c r="I4" s="34" t="s">
        <v>11</v>
      </c>
      <c r="J4" s="16"/>
      <c r="K4" s="16"/>
      <c r="L4" s="16"/>
      <c r="M4" s="30"/>
      <c r="N4" s="31"/>
      <c r="P4" s="32"/>
      <c r="Q4" s="35"/>
      <c r="R4" s="35"/>
      <c r="S4" s="35"/>
      <c r="T4" s="35"/>
      <c r="U4" s="35"/>
      <c r="V4" s="35"/>
    </row>
    <row r="5" s="23" customFormat="1" ht="13.5">
      <c r="A5" s="25" t="str">
        <f>IF($I$3="","",VLOOKUP($I$3,Sprachversionen!$B:$EA,4,FALSE))</f>
        <v xml:space="preserve">Planned Project Duration (in Months)</v>
      </c>
      <c r="B5" s="25"/>
      <c r="C5" s="36">
        <v>36</v>
      </c>
      <c r="D5" s="37"/>
      <c r="E5" s="38"/>
      <c r="F5" s="27"/>
      <c r="G5" s="28" t="str">
        <f>IF($I$3="","",VLOOKUP($I$3,Sprachversionen!$B:$EA,9,FALSE))&amp;IF($I$4="",""," € / "&amp;I4)</f>
        <v xml:space="preserve">Exchange Rate € / USD</v>
      </c>
      <c r="H5" s="28"/>
      <c r="I5" s="39">
        <v>2</v>
      </c>
      <c r="J5" s="16"/>
      <c r="K5" s="16"/>
      <c r="L5" s="16"/>
      <c r="M5" s="30"/>
      <c r="N5" s="31"/>
      <c r="P5" s="32"/>
      <c r="Q5" s="35"/>
      <c r="R5" s="35"/>
      <c r="S5" s="35"/>
      <c r="T5" s="35"/>
      <c r="U5" s="35"/>
      <c r="V5" s="35"/>
    </row>
    <row r="6" s="23" customFormat="1" ht="13.5" customHeight="1">
      <c r="A6" s="25" t="str">
        <f>IF($I$3="","",VLOOKUP($I$3,Sprachversionen!$B:$EA,5,FALSE))</f>
        <v xml:space="preserve">Planned Project Start</v>
      </c>
      <c r="B6" s="25"/>
      <c r="C6" s="40">
        <v>46023</v>
      </c>
      <c r="D6" s="37"/>
      <c r="E6" s="38"/>
      <c r="F6" s="27"/>
      <c r="G6" s="28" t="str">
        <f>IF($I$3="","",VLOOKUP($I$3,Sprachversionen!$B:$EA,6,FALSE))</f>
        <v xml:space="preserve">Date Of Last update</v>
      </c>
      <c r="H6" s="28"/>
      <c r="I6" s="41">
        <v>46023</v>
      </c>
      <c r="J6" s="16"/>
      <c r="K6" s="16"/>
      <c r="L6" s="16"/>
      <c r="N6" s="25"/>
      <c r="P6" s="42"/>
      <c r="Q6" s="35"/>
      <c r="R6" s="35"/>
      <c r="S6" s="35"/>
      <c r="T6" s="35"/>
      <c r="U6" s="35"/>
      <c r="V6" s="35"/>
    </row>
    <row r="7">
      <c r="A7" s="14"/>
      <c r="B7" s="14"/>
      <c r="C7" s="14"/>
      <c r="D7" s="15"/>
      <c r="E7" s="15"/>
      <c r="F7" s="15"/>
      <c r="G7" s="15"/>
      <c r="H7" s="16"/>
      <c r="I7" s="16"/>
      <c r="J7" s="43"/>
      <c r="K7" s="43"/>
      <c r="L7" s="43"/>
      <c r="N7" s="17"/>
      <c r="P7" s="35"/>
      <c r="Q7" s="35"/>
      <c r="R7" s="35"/>
      <c r="S7" s="35"/>
      <c r="T7" s="35"/>
      <c r="U7" s="35"/>
    </row>
    <row r="8" ht="13.5" customHeight="1">
      <c r="A8" s="24"/>
      <c r="B8" s="24"/>
      <c r="C8" s="14"/>
      <c r="D8" s="44" t="str">
        <f>IF($I$3="","",VLOOKUP($I$3,Sprachversionen!$B:$EA,24,FALSE))</f>
        <v xml:space="preserve">Costs Calculation</v>
      </c>
      <c r="E8" s="44"/>
      <c r="F8" s="44"/>
      <c r="G8" s="44"/>
      <c r="H8" s="44"/>
      <c r="I8" s="45"/>
      <c r="J8" s="46" t="str">
        <f>IF($I$3="","",VLOOKUP($I$3,Sprachversionen!$B:$EA,25,FALSE))</f>
        <v xml:space="preserve">Costs Per Year/Phase</v>
      </c>
      <c r="K8" s="46"/>
      <c r="L8" s="46"/>
      <c r="M8" s="47"/>
      <c r="N8" s="17"/>
    </row>
    <row r="9" ht="26.25" customHeight="1">
      <c r="A9" s="48"/>
      <c r="B9" s="49" t="str">
        <f>VLOOKUP($I$3, Sprachversionen!$B:$EA, 98, FALSE)</f>
        <v xml:space="preserve">Fillable fields are in the colours on the left</v>
      </c>
      <c r="C9" s="50" t="str">
        <f>IF($I$3="","",VLOOKUP($I$3,Sprachversionen!$B:$EA,26,FALSE))</f>
        <v>Details</v>
      </c>
      <c r="D9" s="51" t="str">
        <f>IF($I$3="","",VLOOKUP($I$3,Sprachversionen!$B:$EA,27,FALSE))</f>
        <v>Unit</v>
      </c>
      <c r="E9" s="51" t="str">
        <f>IF($I$3="","",VLOOKUP($I$3,Sprachversionen!$B:$EA,28,FALSE))</f>
        <v>Quantity</v>
      </c>
      <c r="F9" s="51" t="str">
        <f>IF($I$3="","",VLOOKUP($I$3,Sprachversionen!$B:$EA,29,FALSE))</f>
        <v>%</v>
      </c>
      <c r="G9" s="51" t="str">
        <f>IF($I$3="","",VLOOKUP($I$3,Sprachversionen!$B:$EA,30,FALSE))</f>
        <v>Frequency</v>
      </c>
      <c r="H9" s="52" t="str">
        <f>IF($I$3="","",VLOOKUP($I$3,Sprachversionen!$B:$EA,31,FALSE))</f>
        <v xml:space="preserve">Cost Per Unit</v>
      </c>
      <c r="I9" s="53" t="str">
        <f>IF($I$3="","",VLOOKUP($I$3,Sprachversionen!$B:$EA,32,FALSE))</f>
        <v xml:space="preserve">Total Costs</v>
      </c>
      <c r="J9" s="54" t="str">
        <f>IF($I$3="","",VLOOKUP($I$3,Sprachversionen!$B:$EA,33,FALSE))</f>
        <v xml:space="preserve">1. Year/Phase</v>
      </c>
      <c r="K9" s="55" t="str">
        <f>IF($I$3="","",VLOOKUP($I$3,Sprachversionen!$B:$EA,34,FALSE))</f>
        <v xml:space="preserve">2. Year/Phase</v>
      </c>
      <c r="L9" s="55" t="str">
        <f>IF($I$3="","",VLOOKUP($I$3,Sprachversionen!$B:$EA,35,FALSE))</f>
        <v xml:space="preserve">3. Year/Phase</v>
      </c>
      <c r="M9" s="47"/>
      <c r="N9" s="56" t="str">
        <f>IF($I$3="","",I9)</f>
        <v xml:space="preserve">Total Costs</v>
      </c>
    </row>
    <row r="10" ht="14.25">
      <c r="A10" s="57"/>
      <c r="B10" s="58"/>
      <c r="C10" s="59"/>
      <c r="D10" s="60" t="str">
        <f>IF($I$3="","",VLOOKUP($I$3,Sprachversionen!$B:$EA,36,FALSE))</f>
        <v xml:space="preserve">Text only</v>
      </c>
      <c r="E10" s="61"/>
      <c r="F10" s="61"/>
      <c r="G10" s="61"/>
      <c r="H10" s="62"/>
      <c r="I10" s="63" t="str">
        <f>IF($I$3="","",VLOOKUP($I$3,Sprachversionen!$B:$EA,37,FALSE))</f>
        <v xml:space="preserve">in Local Currency</v>
      </c>
      <c r="J10" s="64" t="str">
        <f>IF($I$3="","",VLOOKUP($I$3,Sprachversionen!$B:$EA,37,FALSE))</f>
        <v xml:space="preserve">in Local Currency</v>
      </c>
      <c r="K10" s="60" t="str">
        <f>IF($I$3="","",VLOOKUP($I$3,Sprachversionen!$B:$EA,37,FALSE))</f>
        <v xml:space="preserve">in Local Currency</v>
      </c>
      <c r="L10" s="65" t="str">
        <f>IF($I$3="","",VLOOKUP($I$3,Sprachversionen!$B:$EA,37,FALSE))</f>
        <v xml:space="preserve">in Local Currency</v>
      </c>
      <c r="M10" s="47"/>
      <c r="N10" s="66" t="str">
        <f>IF($I$3="","",VLOOKUP($I$3,Sprachversionen!$B:$EA,59,FALSE))</f>
        <v xml:space="preserve">in €</v>
      </c>
      <c r="P10" s="67"/>
    </row>
    <row r="11" s="23" customFormat="1" ht="12.75" customHeight="1">
      <c r="A11" s="68" t="str">
        <f t="shared" ref="A11:A31" si="0">IF(ROW()&lt;ROW($A$11),"",IF(ROW()=ROW($A$11),"1.","1."&amp;(ROW()-ROW($A$11))))</f>
        <v>1.</v>
      </c>
      <c r="B11" s="69" t="str">
        <f>VLOOKUP($I$3, Sprachversionen!$B:$EA, 10, FALSE)</f>
        <v xml:space="preserve">Building Expenses</v>
      </c>
      <c r="C11" s="70"/>
      <c r="D11" s="71"/>
      <c r="E11" s="71"/>
      <c r="F11" s="72"/>
      <c r="G11" s="71"/>
      <c r="H11" s="73"/>
      <c r="I11" s="74"/>
      <c r="J11" s="75"/>
      <c r="K11" s="76"/>
      <c r="L11" s="77"/>
      <c r="M11" s="78"/>
      <c r="N11" s="79"/>
      <c r="O11" s="80"/>
      <c r="P11" s="80"/>
    </row>
    <row r="12" s="23" customFormat="1" ht="12.75" customHeight="1">
      <c r="A12" s="81" t="str">
        <f t="shared" si="0"/>
        <v>1.1</v>
      </c>
      <c r="B12" s="82" t="s">
        <v>12</v>
      </c>
      <c r="C12" s="83"/>
      <c r="D12" s="84"/>
      <c r="E12" s="84">
        <v>1</v>
      </c>
      <c r="F12" s="85">
        <v>1</v>
      </c>
      <c r="G12" s="84">
        <v>3</v>
      </c>
      <c r="H12" s="86">
        <v>1000</v>
      </c>
      <c r="I12" s="74">
        <f t="shared" ref="I12:I31" si="1">E12*F12*G12*H12</f>
        <v>3000</v>
      </c>
      <c r="J12" s="87">
        <f>I12/2</f>
        <v>1500</v>
      </c>
      <c r="K12" s="87">
        <f>I12/3</f>
        <v>1000</v>
      </c>
      <c r="L12" s="87">
        <f>I12-(J12+K12)</f>
        <v>500</v>
      </c>
      <c r="M12" s="78"/>
      <c r="N12" s="79">
        <f t="shared" ref="N12:N31" si="2">ROUND(IFERROR(I12/$I$5,0), 2)</f>
        <v>1500</v>
      </c>
      <c r="O12" s="80"/>
      <c r="P12" s="67"/>
    </row>
    <row r="13" s="23" customFormat="1" ht="12.75" customHeight="1">
      <c r="A13" s="81" t="str">
        <f t="shared" si="0"/>
        <v>1.2</v>
      </c>
      <c r="B13" s="82" t="s">
        <v>13</v>
      </c>
      <c r="C13" s="83"/>
      <c r="D13" s="84"/>
      <c r="E13" s="84">
        <v>1</v>
      </c>
      <c r="F13" s="85">
        <v>1</v>
      </c>
      <c r="G13" s="84">
        <v>3</v>
      </c>
      <c r="H13" s="86">
        <v>1000</v>
      </c>
      <c r="I13" s="74">
        <f t="shared" si="1"/>
        <v>3000</v>
      </c>
      <c r="J13" s="87">
        <f>I13/2</f>
        <v>1500</v>
      </c>
      <c r="K13" s="87">
        <f>I13/3</f>
        <v>1000</v>
      </c>
      <c r="L13" s="87">
        <f>I13-(J13+K13)</f>
        <v>500</v>
      </c>
      <c r="M13" s="78"/>
      <c r="N13" s="79">
        <f t="shared" si="2"/>
        <v>1500</v>
      </c>
      <c r="O13" s="80"/>
      <c r="P13" s="88"/>
    </row>
    <row r="14" s="23" customFormat="1" ht="12.75" customHeight="1">
      <c r="A14" s="81" t="str">
        <f t="shared" si="0"/>
        <v>1.3</v>
      </c>
      <c r="B14" s="82" t="s">
        <v>14</v>
      </c>
      <c r="C14" s="83"/>
      <c r="D14" s="84"/>
      <c r="E14" s="84">
        <v>1</v>
      </c>
      <c r="F14" s="85">
        <v>1</v>
      </c>
      <c r="G14" s="84">
        <v>3</v>
      </c>
      <c r="H14" s="86">
        <v>1000</v>
      </c>
      <c r="I14" s="74">
        <f t="shared" si="1"/>
        <v>3000</v>
      </c>
      <c r="J14" s="87">
        <f>I14/2</f>
        <v>1500</v>
      </c>
      <c r="K14" s="87">
        <f>I14/3</f>
        <v>1000</v>
      </c>
      <c r="L14" s="87">
        <f>I14-(J14+K14)</f>
        <v>500</v>
      </c>
      <c r="M14" s="78"/>
      <c r="N14" s="79">
        <f t="shared" si="2"/>
        <v>1500</v>
      </c>
      <c r="O14" s="80"/>
      <c r="P14" s="88"/>
    </row>
    <row r="15" s="23" customFormat="1" ht="12.75" customHeight="1">
      <c r="A15" s="81" t="str">
        <f t="shared" si="0"/>
        <v>1.4</v>
      </c>
      <c r="B15" s="82" t="s">
        <v>15</v>
      </c>
      <c r="C15" s="83"/>
      <c r="D15" s="84"/>
      <c r="E15" s="84">
        <v>1</v>
      </c>
      <c r="F15" s="85">
        <v>1</v>
      </c>
      <c r="G15" s="84">
        <v>3</v>
      </c>
      <c r="H15" s="86">
        <v>1000</v>
      </c>
      <c r="I15" s="74">
        <f t="shared" si="1"/>
        <v>3000</v>
      </c>
      <c r="J15" s="87">
        <f>I15/2</f>
        <v>1500</v>
      </c>
      <c r="K15" s="87">
        <f>I15/3</f>
        <v>1000</v>
      </c>
      <c r="L15" s="87">
        <f>I15-(J15+K15)</f>
        <v>500</v>
      </c>
      <c r="M15" s="78"/>
      <c r="N15" s="79">
        <f t="shared" si="2"/>
        <v>1500</v>
      </c>
      <c r="O15" s="80"/>
      <c r="P15" s="88"/>
    </row>
    <row r="16" s="23" customFormat="1" ht="12.75" customHeight="1">
      <c r="A16" s="81" t="str">
        <f t="shared" si="0"/>
        <v>1.5</v>
      </c>
      <c r="B16" s="82" t="s">
        <v>16</v>
      </c>
      <c r="C16" s="83"/>
      <c r="D16" s="84"/>
      <c r="E16" s="84">
        <v>1</v>
      </c>
      <c r="F16" s="85">
        <v>1</v>
      </c>
      <c r="G16" s="84">
        <v>3</v>
      </c>
      <c r="H16" s="86">
        <v>1000</v>
      </c>
      <c r="I16" s="74">
        <f t="shared" si="1"/>
        <v>3000</v>
      </c>
      <c r="J16" s="87">
        <f>I16/2</f>
        <v>1500</v>
      </c>
      <c r="K16" s="87">
        <f>I16/3</f>
        <v>1000</v>
      </c>
      <c r="L16" s="87">
        <f>I16-(J16+K16)</f>
        <v>500</v>
      </c>
      <c r="M16" s="78"/>
      <c r="N16" s="79">
        <f t="shared" si="2"/>
        <v>1500</v>
      </c>
      <c r="O16" s="80"/>
      <c r="P16" s="88"/>
    </row>
    <row r="17" s="23" customFormat="1" ht="12.75" customHeight="1" outlineLevel="1">
      <c r="A17" s="81" t="str">
        <f t="shared" si="0"/>
        <v>1.6</v>
      </c>
      <c r="B17" s="82" t="s">
        <v>17</v>
      </c>
      <c r="C17" s="83"/>
      <c r="D17" s="84"/>
      <c r="E17" s="84">
        <v>1</v>
      </c>
      <c r="F17" s="85">
        <v>1</v>
      </c>
      <c r="G17" s="84">
        <v>3</v>
      </c>
      <c r="H17" s="86">
        <v>1000</v>
      </c>
      <c r="I17" s="74">
        <f t="shared" si="1"/>
        <v>3000</v>
      </c>
      <c r="J17" s="87">
        <f>I17/2</f>
        <v>1500</v>
      </c>
      <c r="K17" s="87">
        <f>I17/3</f>
        <v>1000</v>
      </c>
      <c r="L17" s="87">
        <f>I17-(J17+K17)</f>
        <v>500</v>
      </c>
      <c r="M17" s="78"/>
      <c r="N17" s="79">
        <f t="shared" si="2"/>
        <v>1500</v>
      </c>
      <c r="O17" s="80"/>
      <c r="P17" s="89"/>
    </row>
    <row r="18" s="23" customFormat="1" ht="12.75" customHeight="1" outlineLevel="1">
      <c r="A18" s="81" t="str">
        <f t="shared" si="0"/>
        <v>1.7</v>
      </c>
      <c r="B18" s="82" t="s">
        <v>18</v>
      </c>
      <c r="C18" s="83"/>
      <c r="D18" s="84"/>
      <c r="E18" s="84">
        <v>1</v>
      </c>
      <c r="F18" s="85">
        <v>1</v>
      </c>
      <c r="G18" s="84">
        <v>3</v>
      </c>
      <c r="H18" s="86">
        <v>1000</v>
      </c>
      <c r="I18" s="74">
        <f t="shared" si="1"/>
        <v>3000</v>
      </c>
      <c r="J18" s="87">
        <f>I18/2</f>
        <v>1500</v>
      </c>
      <c r="K18" s="87">
        <f>I18/3</f>
        <v>1000</v>
      </c>
      <c r="L18" s="87">
        <f>I18-(J18+K18)</f>
        <v>500</v>
      </c>
      <c r="M18" s="78"/>
      <c r="N18" s="79">
        <f t="shared" si="2"/>
        <v>1500</v>
      </c>
      <c r="O18" s="80"/>
      <c r="P18" s="89"/>
    </row>
    <row r="19" s="23" customFormat="1" ht="12.75" customHeight="1" outlineLevel="1">
      <c r="A19" s="81" t="str">
        <f t="shared" si="0"/>
        <v>1.8</v>
      </c>
      <c r="B19" s="82" t="s">
        <v>19</v>
      </c>
      <c r="C19" s="83"/>
      <c r="D19" s="84"/>
      <c r="E19" s="84">
        <v>1</v>
      </c>
      <c r="F19" s="85">
        <v>1</v>
      </c>
      <c r="G19" s="84">
        <v>3</v>
      </c>
      <c r="H19" s="86">
        <v>1000</v>
      </c>
      <c r="I19" s="74">
        <f t="shared" si="1"/>
        <v>3000</v>
      </c>
      <c r="J19" s="87">
        <f>I19/2</f>
        <v>1500</v>
      </c>
      <c r="K19" s="87">
        <f>I19/3</f>
        <v>1000</v>
      </c>
      <c r="L19" s="87">
        <f>I19-(J19+K19)</f>
        <v>500</v>
      </c>
      <c r="M19" s="78"/>
      <c r="N19" s="79">
        <f t="shared" si="2"/>
        <v>1500</v>
      </c>
      <c r="O19" s="80"/>
      <c r="P19" s="89"/>
    </row>
    <row r="20" s="23" customFormat="1" ht="12.75" customHeight="1" outlineLevel="1">
      <c r="A20" s="81" t="str">
        <f t="shared" si="0"/>
        <v>1.9</v>
      </c>
      <c r="B20" s="82" t="s">
        <v>20</v>
      </c>
      <c r="C20" s="83"/>
      <c r="D20" s="84"/>
      <c r="E20" s="84">
        <v>1</v>
      </c>
      <c r="F20" s="85">
        <v>1</v>
      </c>
      <c r="G20" s="84">
        <v>3</v>
      </c>
      <c r="H20" s="86">
        <v>1000</v>
      </c>
      <c r="I20" s="74">
        <f t="shared" si="1"/>
        <v>3000</v>
      </c>
      <c r="J20" s="87">
        <f>I20/2</f>
        <v>1500</v>
      </c>
      <c r="K20" s="87">
        <f>I20/3</f>
        <v>1000</v>
      </c>
      <c r="L20" s="87">
        <f>I20-(J20+K20)</f>
        <v>500</v>
      </c>
      <c r="M20" s="78"/>
      <c r="N20" s="79">
        <f t="shared" si="2"/>
        <v>1500</v>
      </c>
      <c r="O20" s="80"/>
      <c r="P20" s="89"/>
    </row>
    <row r="21" s="23" customFormat="1" ht="12.75" customHeight="1" outlineLevel="1">
      <c r="A21" s="81" t="str">
        <f t="shared" si="0"/>
        <v>1.10</v>
      </c>
      <c r="B21" s="82" t="s">
        <v>21</v>
      </c>
      <c r="C21" s="83"/>
      <c r="D21" s="84"/>
      <c r="E21" s="84">
        <v>1</v>
      </c>
      <c r="F21" s="85">
        <v>1</v>
      </c>
      <c r="G21" s="84">
        <v>3</v>
      </c>
      <c r="H21" s="86">
        <v>1000</v>
      </c>
      <c r="I21" s="74">
        <f t="shared" si="1"/>
        <v>3000</v>
      </c>
      <c r="J21" s="87">
        <f>I21/2</f>
        <v>1500</v>
      </c>
      <c r="K21" s="87">
        <f>I21/3</f>
        <v>1000</v>
      </c>
      <c r="L21" s="87">
        <f>I21-(J21+K21)</f>
        <v>500</v>
      </c>
      <c r="M21" s="78"/>
      <c r="N21" s="79">
        <f t="shared" si="2"/>
        <v>1500</v>
      </c>
      <c r="O21" s="80"/>
      <c r="P21" s="89"/>
    </row>
    <row r="22" s="23" customFormat="1" ht="12.75" customHeight="1" outlineLevel="1">
      <c r="A22" s="81" t="str">
        <f t="shared" si="0"/>
        <v>1.11</v>
      </c>
      <c r="B22" s="82" t="s">
        <v>22</v>
      </c>
      <c r="C22" s="83"/>
      <c r="D22" s="84"/>
      <c r="E22" s="84">
        <v>1</v>
      </c>
      <c r="F22" s="85">
        <v>1</v>
      </c>
      <c r="G22" s="84">
        <v>3</v>
      </c>
      <c r="H22" s="86">
        <v>1000</v>
      </c>
      <c r="I22" s="74">
        <f t="shared" si="1"/>
        <v>3000</v>
      </c>
      <c r="J22" s="87">
        <f>I22/2</f>
        <v>1500</v>
      </c>
      <c r="K22" s="87">
        <f>I22/3</f>
        <v>1000</v>
      </c>
      <c r="L22" s="87">
        <f>I22-(J22+K22)</f>
        <v>500</v>
      </c>
      <c r="M22" s="78"/>
      <c r="N22" s="79">
        <f t="shared" si="2"/>
        <v>1500</v>
      </c>
      <c r="O22" s="80"/>
      <c r="P22" s="89"/>
    </row>
    <row r="23" s="23" customFormat="1" ht="12.75" customHeight="1" outlineLevel="1">
      <c r="A23" s="81" t="str">
        <f t="shared" si="0"/>
        <v>1.12</v>
      </c>
      <c r="B23" s="82" t="s">
        <v>23</v>
      </c>
      <c r="C23" s="83"/>
      <c r="D23" s="84"/>
      <c r="E23" s="84">
        <v>1</v>
      </c>
      <c r="F23" s="85">
        <v>1</v>
      </c>
      <c r="G23" s="84">
        <v>3</v>
      </c>
      <c r="H23" s="86">
        <v>1000</v>
      </c>
      <c r="I23" s="74">
        <f t="shared" si="1"/>
        <v>3000</v>
      </c>
      <c r="J23" s="87">
        <f>I23/2</f>
        <v>1500</v>
      </c>
      <c r="K23" s="87">
        <f>I23/3</f>
        <v>1000</v>
      </c>
      <c r="L23" s="87">
        <f>I23-(J23+K23)</f>
        <v>500</v>
      </c>
      <c r="M23" s="78"/>
      <c r="N23" s="79">
        <f t="shared" si="2"/>
        <v>1500</v>
      </c>
      <c r="O23" s="80"/>
      <c r="P23" s="89"/>
    </row>
    <row r="24" s="23" customFormat="1" ht="12.75" customHeight="1" outlineLevel="1">
      <c r="A24" s="81" t="str">
        <f t="shared" si="0"/>
        <v>1.13</v>
      </c>
      <c r="B24" s="82" t="s">
        <v>24</v>
      </c>
      <c r="C24" s="83"/>
      <c r="D24" s="84"/>
      <c r="E24" s="84">
        <v>1</v>
      </c>
      <c r="F24" s="85">
        <v>1</v>
      </c>
      <c r="G24" s="84">
        <v>3</v>
      </c>
      <c r="H24" s="86">
        <v>1000</v>
      </c>
      <c r="I24" s="74">
        <f t="shared" si="1"/>
        <v>3000</v>
      </c>
      <c r="J24" s="87">
        <f>I24/2</f>
        <v>1500</v>
      </c>
      <c r="K24" s="87">
        <f>I24/3</f>
        <v>1000</v>
      </c>
      <c r="L24" s="87">
        <f>I24-(J24+K24)</f>
        <v>500</v>
      </c>
      <c r="M24" s="78"/>
      <c r="N24" s="79">
        <f t="shared" si="2"/>
        <v>1500</v>
      </c>
      <c r="O24" s="80"/>
      <c r="P24" s="89"/>
    </row>
    <row r="25" s="23" customFormat="1" ht="12.75" customHeight="1" outlineLevel="1">
      <c r="A25" s="81" t="str">
        <f t="shared" si="0"/>
        <v>1.14</v>
      </c>
      <c r="B25" s="82" t="s">
        <v>25</v>
      </c>
      <c r="C25" s="83"/>
      <c r="D25" s="84"/>
      <c r="E25" s="84">
        <v>1</v>
      </c>
      <c r="F25" s="85">
        <v>1</v>
      </c>
      <c r="G25" s="84">
        <v>3</v>
      </c>
      <c r="H25" s="86">
        <v>1000</v>
      </c>
      <c r="I25" s="74">
        <f t="shared" si="1"/>
        <v>3000</v>
      </c>
      <c r="J25" s="87">
        <f>I25/2</f>
        <v>1500</v>
      </c>
      <c r="K25" s="87">
        <f>I25/3</f>
        <v>1000</v>
      </c>
      <c r="L25" s="87">
        <f>I25-(J25+K25)</f>
        <v>500</v>
      </c>
      <c r="M25" s="78"/>
      <c r="N25" s="79">
        <f t="shared" si="2"/>
        <v>1500</v>
      </c>
      <c r="O25" s="80"/>
      <c r="P25" s="89"/>
    </row>
    <row r="26" s="23" customFormat="1" ht="12.75" customHeight="1" outlineLevel="1">
      <c r="A26" s="81" t="str">
        <f t="shared" si="0"/>
        <v>1.15</v>
      </c>
      <c r="B26" s="82" t="s">
        <v>26</v>
      </c>
      <c r="C26" s="83"/>
      <c r="D26" s="84"/>
      <c r="E26" s="84">
        <v>1</v>
      </c>
      <c r="F26" s="85">
        <v>1</v>
      </c>
      <c r="G26" s="84">
        <v>3</v>
      </c>
      <c r="H26" s="86">
        <v>1000</v>
      </c>
      <c r="I26" s="74">
        <f t="shared" si="1"/>
        <v>3000</v>
      </c>
      <c r="J26" s="87">
        <f>I26/2</f>
        <v>1500</v>
      </c>
      <c r="K26" s="87">
        <f>I26/3</f>
        <v>1000</v>
      </c>
      <c r="L26" s="87">
        <f>I26-(J26+K26)</f>
        <v>500</v>
      </c>
      <c r="M26" s="78"/>
      <c r="N26" s="79">
        <f t="shared" si="2"/>
        <v>1500</v>
      </c>
      <c r="O26" s="80"/>
      <c r="P26" s="89"/>
    </row>
    <row r="27" s="23" customFormat="1" ht="12.75" customHeight="1" outlineLevel="1">
      <c r="A27" s="81" t="str">
        <f t="shared" si="0"/>
        <v>1.16</v>
      </c>
      <c r="B27" s="82" t="s">
        <v>27</v>
      </c>
      <c r="C27" s="83"/>
      <c r="D27" s="84"/>
      <c r="E27" s="84">
        <v>1</v>
      </c>
      <c r="F27" s="85">
        <v>1</v>
      </c>
      <c r="G27" s="84">
        <v>3</v>
      </c>
      <c r="H27" s="86">
        <v>1000</v>
      </c>
      <c r="I27" s="74">
        <f t="shared" si="1"/>
        <v>3000</v>
      </c>
      <c r="J27" s="87">
        <f>I27/2</f>
        <v>1500</v>
      </c>
      <c r="K27" s="87">
        <f>I27/3</f>
        <v>1000</v>
      </c>
      <c r="L27" s="87">
        <f>I27-(J27+K27)</f>
        <v>500</v>
      </c>
      <c r="M27" s="78"/>
      <c r="N27" s="79">
        <f t="shared" si="2"/>
        <v>1500</v>
      </c>
      <c r="O27" s="80"/>
      <c r="P27" s="89"/>
    </row>
    <row r="28" s="23" customFormat="1" ht="12.75" customHeight="1" outlineLevel="1">
      <c r="A28" s="81" t="str">
        <f t="shared" si="0"/>
        <v>1.17</v>
      </c>
      <c r="B28" s="82" t="s">
        <v>28</v>
      </c>
      <c r="C28" s="83"/>
      <c r="D28" s="84"/>
      <c r="E28" s="84">
        <v>1</v>
      </c>
      <c r="F28" s="85">
        <v>1</v>
      </c>
      <c r="G28" s="84">
        <v>3</v>
      </c>
      <c r="H28" s="86">
        <v>1000</v>
      </c>
      <c r="I28" s="74">
        <f t="shared" si="1"/>
        <v>3000</v>
      </c>
      <c r="J28" s="87">
        <f>I28/2</f>
        <v>1500</v>
      </c>
      <c r="K28" s="87">
        <f>I28/3</f>
        <v>1000</v>
      </c>
      <c r="L28" s="87">
        <f>I28-(J28+K28)</f>
        <v>500</v>
      </c>
      <c r="M28" s="78"/>
      <c r="N28" s="79">
        <f t="shared" si="2"/>
        <v>1500</v>
      </c>
      <c r="O28" s="80"/>
      <c r="P28" s="89"/>
    </row>
    <row r="29" s="23" customFormat="1" ht="12.75" customHeight="1" outlineLevel="1">
      <c r="A29" s="81" t="str">
        <f t="shared" si="0"/>
        <v>1.18</v>
      </c>
      <c r="B29" s="82" t="s">
        <v>29</v>
      </c>
      <c r="C29" s="83"/>
      <c r="D29" s="84"/>
      <c r="E29" s="84">
        <v>1</v>
      </c>
      <c r="F29" s="85">
        <v>1</v>
      </c>
      <c r="G29" s="84">
        <v>3</v>
      </c>
      <c r="H29" s="86">
        <v>1000</v>
      </c>
      <c r="I29" s="74">
        <f t="shared" si="1"/>
        <v>3000</v>
      </c>
      <c r="J29" s="87">
        <f>I29/2</f>
        <v>1500</v>
      </c>
      <c r="K29" s="87">
        <f>I29/3</f>
        <v>1000</v>
      </c>
      <c r="L29" s="87">
        <f>I29-(J29+K29)</f>
        <v>500</v>
      </c>
      <c r="M29" s="78"/>
      <c r="N29" s="79">
        <f t="shared" si="2"/>
        <v>1500</v>
      </c>
      <c r="O29" s="80"/>
      <c r="P29" s="89"/>
    </row>
    <row r="30" s="23" customFormat="1" ht="12.75" customHeight="1" outlineLevel="1">
      <c r="A30" s="81" t="str">
        <f t="shared" si="0"/>
        <v>1.19</v>
      </c>
      <c r="B30" s="82" t="s">
        <v>30</v>
      </c>
      <c r="C30" s="83"/>
      <c r="D30" s="84"/>
      <c r="E30" s="84">
        <v>1</v>
      </c>
      <c r="F30" s="85">
        <v>1</v>
      </c>
      <c r="G30" s="84">
        <v>3</v>
      </c>
      <c r="H30" s="86">
        <v>1000</v>
      </c>
      <c r="I30" s="74">
        <f t="shared" si="1"/>
        <v>3000</v>
      </c>
      <c r="J30" s="87">
        <f>I30/2</f>
        <v>1500</v>
      </c>
      <c r="K30" s="87">
        <f>I30/3</f>
        <v>1000</v>
      </c>
      <c r="L30" s="87">
        <f>I30-(J30+K30)</f>
        <v>500</v>
      </c>
      <c r="M30" s="78"/>
      <c r="N30" s="79">
        <f t="shared" si="2"/>
        <v>1500</v>
      </c>
      <c r="O30" s="80"/>
      <c r="P30" s="89"/>
    </row>
    <row r="31" s="23" customFormat="1" ht="12.75" customHeight="1" outlineLevel="1">
      <c r="A31" s="81" t="str">
        <f t="shared" si="0"/>
        <v>1.20</v>
      </c>
      <c r="B31" s="82" t="s">
        <v>31</v>
      </c>
      <c r="C31" s="83"/>
      <c r="D31" s="84"/>
      <c r="E31" s="84">
        <v>1</v>
      </c>
      <c r="F31" s="85">
        <v>1</v>
      </c>
      <c r="G31" s="84">
        <v>3</v>
      </c>
      <c r="H31" s="86">
        <v>1000</v>
      </c>
      <c r="I31" s="74">
        <f t="shared" si="1"/>
        <v>3000</v>
      </c>
      <c r="J31" s="87">
        <f>I31/2</f>
        <v>1500</v>
      </c>
      <c r="K31" s="87">
        <f>I31/3</f>
        <v>1000</v>
      </c>
      <c r="L31" s="87">
        <f>I31-(J31+K31)</f>
        <v>500</v>
      </c>
      <c r="M31" s="78"/>
      <c r="N31" s="79">
        <f t="shared" si="2"/>
        <v>1500</v>
      </c>
      <c r="O31" s="80"/>
      <c r="P31" s="89"/>
    </row>
    <row r="32" s="23" customFormat="1" ht="12.75" customHeight="1">
      <c r="A32" s="90" t="str">
        <f>IF($I$3="","",VLOOKUP($I$3,Sprachversionen!$B:$DZ,11,FALSE))</f>
        <v xml:space="preserve">Subtotal Building Expenses</v>
      </c>
      <c r="B32" s="91"/>
      <c r="C32" s="92"/>
      <c r="D32" s="93"/>
      <c r="E32" s="93"/>
      <c r="F32" s="94"/>
      <c r="G32" s="93"/>
      <c r="H32" s="95"/>
      <c r="I32" s="96">
        <f>SUM(I11:I31)</f>
        <v>60000</v>
      </c>
      <c r="J32" s="97">
        <f>SUM(J11:J31)</f>
        <v>30000</v>
      </c>
      <c r="K32" s="98">
        <f>SUM(K11:K31)</f>
        <v>20000</v>
      </c>
      <c r="L32" s="98">
        <f>SUM(L11:L31)</f>
        <v>10000</v>
      </c>
      <c r="M32" s="78" t="b">
        <f>I32=SUM(J32:L32)</f>
        <v>1</v>
      </c>
      <c r="N32" s="99">
        <f>SUM(N11:N31)</f>
        <v>30000</v>
      </c>
      <c r="P32" s="89"/>
    </row>
    <row r="33" s="23" customFormat="1" ht="12.75" customHeight="1">
      <c r="A33" s="100" t="str">
        <f t="shared" ref="A33:A53" si="3">IF(ROW()&lt;ROW($A$33),"",IF(ROW()=ROW($A$33),"2.","2."&amp;(ROW()-ROW($A$33))))</f>
        <v>2.</v>
      </c>
      <c r="B33" s="101" t="str">
        <f>VLOOKUP($I$3, Sprachversionen!$B:$EA, 12, FALSE)</f>
        <v xml:space="preserve">Non-Recurring Expenses (Investments)</v>
      </c>
      <c r="C33" s="70"/>
      <c r="D33" s="102"/>
      <c r="E33" s="102"/>
      <c r="F33" s="72"/>
      <c r="G33" s="102"/>
      <c r="H33" s="73"/>
      <c r="I33" s="74"/>
      <c r="J33" s="75"/>
      <c r="K33" s="76"/>
      <c r="L33" s="76"/>
      <c r="M33" s="78"/>
      <c r="N33" s="103"/>
    </row>
    <row r="34" s="23" customFormat="1" ht="12.6" customHeight="1">
      <c r="A34" s="104" t="str">
        <f t="shared" si="3"/>
        <v>2.1</v>
      </c>
      <c r="B34" s="105" t="s">
        <v>12</v>
      </c>
      <c r="C34" s="106"/>
      <c r="D34" s="84"/>
      <c r="E34" s="107">
        <v>1</v>
      </c>
      <c r="F34" s="85">
        <v>1</v>
      </c>
      <c r="G34" s="107">
        <v>3</v>
      </c>
      <c r="H34" s="86">
        <v>1000</v>
      </c>
      <c r="I34" s="74">
        <f t="shared" ref="I34:I53" si="4">E34*F34*G34*H34</f>
        <v>3000</v>
      </c>
      <c r="J34" s="87">
        <f>I34/2</f>
        <v>1500</v>
      </c>
      <c r="K34" s="108">
        <f>I34/3</f>
        <v>1000</v>
      </c>
      <c r="L34" s="108">
        <f>I34-(J34+K34)</f>
        <v>500</v>
      </c>
      <c r="M34" s="78"/>
      <c r="N34" s="103">
        <f t="shared" ref="N34:N53" si="5">ROUND(IFERROR(I34/$I$5,0), 2)</f>
        <v>1500</v>
      </c>
    </row>
    <row r="35" s="23" customFormat="1" ht="12.6" customHeight="1">
      <c r="A35" s="104" t="str">
        <f t="shared" si="3"/>
        <v>2.2</v>
      </c>
      <c r="B35" s="105" t="s">
        <v>13</v>
      </c>
      <c r="C35" s="109"/>
      <c r="D35" s="107"/>
      <c r="E35" s="84">
        <v>1</v>
      </c>
      <c r="F35" s="85">
        <v>1</v>
      </c>
      <c r="G35" s="84">
        <v>3</v>
      </c>
      <c r="H35" s="86">
        <v>1000</v>
      </c>
      <c r="I35" s="74">
        <f t="shared" si="4"/>
        <v>3000</v>
      </c>
      <c r="J35" s="87">
        <f>I35/2</f>
        <v>1500</v>
      </c>
      <c r="K35" s="108">
        <f>I35/3</f>
        <v>1000</v>
      </c>
      <c r="L35" s="108">
        <f>I35-(J35+K35)</f>
        <v>500</v>
      </c>
      <c r="M35" s="78"/>
      <c r="N35" s="103">
        <f t="shared" si="5"/>
        <v>1500</v>
      </c>
    </row>
    <row r="36" s="23" customFormat="1" ht="12.75" customHeight="1">
      <c r="A36" s="104" t="str">
        <f t="shared" si="3"/>
        <v>2.3</v>
      </c>
      <c r="B36" s="105" t="s">
        <v>14</v>
      </c>
      <c r="C36" s="106"/>
      <c r="D36" s="84"/>
      <c r="E36" s="107">
        <v>1</v>
      </c>
      <c r="F36" s="85">
        <v>1</v>
      </c>
      <c r="G36" s="107">
        <v>3</v>
      </c>
      <c r="H36" s="86">
        <v>1000</v>
      </c>
      <c r="I36" s="74">
        <f t="shared" si="4"/>
        <v>3000</v>
      </c>
      <c r="J36" s="87">
        <f>I36/2</f>
        <v>1500</v>
      </c>
      <c r="K36" s="108">
        <f>I36/3</f>
        <v>1000</v>
      </c>
      <c r="L36" s="108">
        <f>I36-(J36+K36)</f>
        <v>500</v>
      </c>
      <c r="M36" s="78"/>
      <c r="N36" s="103">
        <f t="shared" si="5"/>
        <v>1500</v>
      </c>
    </row>
    <row r="37" s="23" customFormat="1" ht="12.75" customHeight="1">
      <c r="A37" s="104" t="str">
        <f t="shared" si="3"/>
        <v>2.4</v>
      </c>
      <c r="B37" s="105" t="s">
        <v>15</v>
      </c>
      <c r="C37" s="109"/>
      <c r="D37" s="107"/>
      <c r="E37" s="84">
        <v>1</v>
      </c>
      <c r="F37" s="85">
        <v>1</v>
      </c>
      <c r="G37" s="84">
        <v>3</v>
      </c>
      <c r="H37" s="86">
        <v>1000</v>
      </c>
      <c r="I37" s="74">
        <f t="shared" si="4"/>
        <v>3000</v>
      </c>
      <c r="J37" s="87">
        <f>I37/2</f>
        <v>1500</v>
      </c>
      <c r="K37" s="108">
        <f>I37/3</f>
        <v>1000</v>
      </c>
      <c r="L37" s="108">
        <f>I37-(J37+K37)</f>
        <v>500</v>
      </c>
      <c r="M37" s="78"/>
      <c r="N37" s="103">
        <f t="shared" si="5"/>
        <v>1500</v>
      </c>
    </row>
    <row r="38" s="23" customFormat="1" ht="12.75" customHeight="1">
      <c r="A38" s="104" t="str">
        <f t="shared" si="3"/>
        <v>2.5</v>
      </c>
      <c r="B38" s="105" t="s">
        <v>16</v>
      </c>
      <c r="C38" s="106"/>
      <c r="D38" s="84"/>
      <c r="E38" s="107">
        <v>1</v>
      </c>
      <c r="F38" s="85">
        <v>1</v>
      </c>
      <c r="G38" s="107">
        <v>3</v>
      </c>
      <c r="H38" s="86">
        <v>1000</v>
      </c>
      <c r="I38" s="74">
        <f t="shared" si="4"/>
        <v>3000</v>
      </c>
      <c r="J38" s="87">
        <f>I38/2</f>
        <v>1500</v>
      </c>
      <c r="K38" s="108">
        <f>I38/3</f>
        <v>1000</v>
      </c>
      <c r="L38" s="108">
        <f>I38-(J38+K38)</f>
        <v>500</v>
      </c>
      <c r="M38" s="78"/>
      <c r="N38" s="103">
        <f t="shared" si="5"/>
        <v>1500</v>
      </c>
    </row>
    <row r="39" s="23" customFormat="1" ht="12.75" customHeight="1" outlineLevel="1">
      <c r="A39" s="104" t="str">
        <f t="shared" si="3"/>
        <v>2.6</v>
      </c>
      <c r="B39" s="105" t="s">
        <v>17</v>
      </c>
      <c r="C39" s="109"/>
      <c r="D39" s="107"/>
      <c r="E39" s="84">
        <v>1</v>
      </c>
      <c r="F39" s="85">
        <v>1</v>
      </c>
      <c r="G39" s="84">
        <v>3</v>
      </c>
      <c r="H39" s="86">
        <v>1000</v>
      </c>
      <c r="I39" s="74">
        <f t="shared" si="4"/>
        <v>3000</v>
      </c>
      <c r="J39" s="87">
        <f>I39/2</f>
        <v>1500</v>
      </c>
      <c r="K39" s="108">
        <f>I39/3</f>
        <v>1000</v>
      </c>
      <c r="L39" s="108">
        <f>I39-(J39+K39)</f>
        <v>500</v>
      </c>
      <c r="M39" s="78"/>
      <c r="N39" s="103">
        <f t="shared" si="5"/>
        <v>1500</v>
      </c>
      <c r="P39" s="89"/>
    </row>
    <row r="40" s="23" customFormat="1" ht="12.75" customHeight="1" outlineLevel="1">
      <c r="A40" s="104" t="str">
        <f t="shared" si="3"/>
        <v>2.7</v>
      </c>
      <c r="B40" s="105" t="s">
        <v>18</v>
      </c>
      <c r="C40" s="106"/>
      <c r="D40" s="84"/>
      <c r="E40" s="107">
        <v>1</v>
      </c>
      <c r="F40" s="85">
        <v>1</v>
      </c>
      <c r="G40" s="107">
        <v>3</v>
      </c>
      <c r="H40" s="86">
        <v>1000</v>
      </c>
      <c r="I40" s="74">
        <f t="shared" si="4"/>
        <v>3000</v>
      </c>
      <c r="J40" s="87">
        <f>I40/2</f>
        <v>1500</v>
      </c>
      <c r="K40" s="108">
        <f>I40/3</f>
        <v>1000</v>
      </c>
      <c r="L40" s="108">
        <f>I40-(J40+K40)</f>
        <v>500</v>
      </c>
      <c r="M40" s="78"/>
      <c r="N40" s="103">
        <f t="shared" si="5"/>
        <v>1500</v>
      </c>
      <c r="P40" s="89"/>
    </row>
    <row r="41" s="23" customFormat="1" ht="12.75" customHeight="1" outlineLevel="1">
      <c r="A41" s="104" t="str">
        <f t="shared" si="3"/>
        <v>2.8</v>
      </c>
      <c r="B41" s="105" t="s">
        <v>19</v>
      </c>
      <c r="C41" s="109"/>
      <c r="D41" s="107"/>
      <c r="E41" s="84">
        <v>1</v>
      </c>
      <c r="F41" s="85">
        <v>1</v>
      </c>
      <c r="G41" s="84">
        <v>3</v>
      </c>
      <c r="H41" s="86">
        <v>1000</v>
      </c>
      <c r="I41" s="74">
        <f t="shared" si="4"/>
        <v>3000</v>
      </c>
      <c r="J41" s="87">
        <f>I41/2</f>
        <v>1500</v>
      </c>
      <c r="K41" s="108">
        <f>I41/3</f>
        <v>1000</v>
      </c>
      <c r="L41" s="108">
        <f>I41-(J41+K41)</f>
        <v>500</v>
      </c>
      <c r="M41" s="78"/>
      <c r="N41" s="103">
        <f t="shared" si="5"/>
        <v>1500</v>
      </c>
      <c r="P41" s="89"/>
    </row>
    <row r="42" s="23" customFormat="1" ht="12.75" customHeight="1" outlineLevel="1">
      <c r="A42" s="104" t="str">
        <f t="shared" si="3"/>
        <v>2.9</v>
      </c>
      <c r="B42" s="105" t="s">
        <v>20</v>
      </c>
      <c r="C42" s="106"/>
      <c r="D42" s="84"/>
      <c r="E42" s="107">
        <v>1</v>
      </c>
      <c r="F42" s="85">
        <v>1</v>
      </c>
      <c r="G42" s="107">
        <v>3</v>
      </c>
      <c r="H42" s="86">
        <v>1000</v>
      </c>
      <c r="I42" s="74">
        <f t="shared" si="4"/>
        <v>3000</v>
      </c>
      <c r="J42" s="87">
        <f>I42/2</f>
        <v>1500</v>
      </c>
      <c r="K42" s="108">
        <f>I42/3</f>
        <v>1000</v>
      </c>
      <c r="L42" s="108">
        <f>I42-(J42+K42)</f>
        <v>500</v>
      </c>
      <c r="M42" s="78"/>
      <c r="N42" s="103">
        <f t="shared" si="5"/>
        <v>1500</v>
      </c>
      <c r="P42" s="89"/>
    </row>
    <row r="43" s="23" customFormat="1" ht="12.75" customHeight="1" outlineLevel="1">
      <c r="A43" s="104" t="str">
        <f t="shared" si="3"/>
        <v>2.10</v>
      </c>
      <c r="B43" s="105" t="s">
        <v>21</v>
      </c>
      <c r="C43" s="109"/>
      <c r="D43" s="107"/>
      <c r="E43" s="84">
        <v>1</v>
      </c>
      <c r="F43" s="85">
        <v>1</v>
      </c>
      <c r="G43" s="84">
        <v>3</v>
      </c>
      <c r="H43" s="86">
        <v>1000</v>
      </c>
      <c r="I43" s="74">
        <f t="shared" si="4"/>
        <v>3000</v>
      </c>
      <c r="J43" s="87">
        <f>I43/2</f>
        <v>1500</v>
      </c>
      <c r="K43" s="108">
        <f>I43/3</f>
        <v>1000</v>
      </c>
      <c r="L43" s="108">
        <f>I43-(J43+K43)</f>
        <v>500</v>
      </c>
      <c r="M43" s="78"/>
      <c r="N43" s="103">
        <f t="shared" si="5"/>
        <v>1500</v>
      </c>
      <c r="P43" s="89"/>
    </row>
    <row r="44" s="23" customFormat="1" ht="12.75" customHeight="1" outlineLevel="1">
      <c r="A44" s="104" t="str">
        <f t="shared" si="3"/>
        <v>2.11</v>
      </c>
      <c r="B44" s="105" t="s">
        <v>22</v>
      </c>
      <c r="C44" s="106"/>
      <c r="D44" s="84"/>
      <c r="E44" s="107">
        <v>1</v>
      </c>
      <c r="F44" s="85">
        <v>1</v>
      </c>
      <c r="G44" s="107">
        <v>3</v>
      </c>
      <c r="H44" s="86">
        <v>1000</v>
      </c>
      <c r="I44" s="74">
        <f t="shared" si="4"/>
        <v>3000</v>
      </c>
      <c r="J44" s="87">
        <f>I44/2</f>
        <v>1500</v>
      </c>
      <c r="K44" s="108">
        <f>I44/3</f>
        <v>1000</v>
      </c>
      <c r="L44" s="108">
        <f>I44-(J44+K44)</f>
        <v>500</v>
      </c>
      <c r="M44" s="78"/>
      <c r="N44" s="103">
        <f t="shared" si="5"/>
        <v>1500</v>
      </c>
      <c r="P44" s="89"/>
    </row>
    <row r="45" s="23" customFormat="1" ht="12.75" customHeight="1" outlineLevel="1">
      <c r="A45" s="104" t="str">
        <f t="shared" si="3"/>
        <v>2.12</v>
      </c>
      <c r="B45" s="105" t="s">
        <v>23</v>
      </c>
      <c r="C45" s="109"/>
      <c r="D45" s="107"/>
      <c r="E45" s="84">
        <v>1</v>
      </c>
      <c r="F45" s="85">
        <v>1</v>
      </c>
      <c r="G45" s="84">
        <v>3</v>
      </c>
      <c r="H45" s="86">
        <v>1000</v>
      </c>
      <c r="I45" s="74">
        <f t="shared" si="4"/>
        <v>3000</v>
      </c>
      <c r="J45" s="87">
        <f>I45/2</f>
        <v>1500</v>
      </c>
      <c r="K45" s="108">
        <f>I45/3</f>
        <v>1000</v>
      </c>
      <c r="L45" s="108">
        <f>I45-(J45+K45)</f>
        <v>500</v>
      </c>
      <c r="M45" s="78"/>
      <c r="N45" s="103">
        <f t="shared" si="5"/>
        <v>1500</v>
      </c>
      <c r="P45" s="89"/>
    </row>
    <row r="46" s="23" customFormat="1" ht="12.75" customHeight="1" outlineLevel="1">
      <c r="A46" s="104" t="str">
        <f t="shared" si="3"/>
        <v>2.13</v>
      </c>
      <c r="B46" s="105" t="s">
        <v>24</v>
      </c>
      <c r="C46" s="106"/>
      <c r="D46" s="84"/>
      <c r="E46" s="107">
        <v>1</v>
      </c>
      <c r="F46" s="85">
        <v>1</v>
      </c>
      <c r="G46" s="107">
        <v>3</v>
      </c>
      <c r="H46" s="86">
        <v>1000</v>
      </c>
      <c r="I46" s="74">
        <f t="shared" si="4"/>
        <v>3000</v>
      </c>
      <c r="J46" s="87">
        <f>I46/2</f>
        <v>1500</v>
      </c>
      <c r="K46" s="108">
        <f>I46/3</f>
        <v>1000</v>
      </c>
      <c r="L46" s="108">
        <f>I46-(J46+K46)</f>
        <v>500</v>
      </c>
      <c r="M46" s="78"/>
      <c r="N46" s="103">
        <f t="shared" si="5"/>
        <v>1500</v>
      </c>
      <c r="P46" s="89"/>
    </row>
    <row r="47" s="23" customFormat="1" ht="12.75" customHeight="1" outlineLevel="1">
      <c r="A47" s="104" t="str">
        <f t="shared" si="3"/>
        <v>2.14</v>
      </c>
      <c r="B47" s="105" t="s">
        <v>25</v>
      </c>
      <c r="C47" s="109"/>
      <c r="D47" s="107"/>
      <c r="E47" s="84">
        <v>1</v>
      </c>
      <c r="F47" s="85">
        <v>1</v>
      </c>
      <c r="G47" s="84">
        <v>3</v>
      </c>
      <c r="H47" s="86">
        <v>1000</v>
      </c>
      <c r="I47" s="74">
        <f t="shared" si="4"/>
        <v>3000</v>
      </c>
      <c r="J47" s="87">
        <f>I47/2</f>
        <v>1500</v>
      </c>
      <c r="K47" s="108">
        <f>I47/3</f>
        <v>1000</v>
      </c>
      <c r="L47" s="108">
        <f>I47-(J47+K47)</f>
        <v>500</v>
      </c>
      <c r="M47" s="78"/>
      <c r="N47" s="103">
        <f t="shared" si="5"/>
        <v>1500</v>
      </c>
      <c r="P47" s="89"/>
    </row>
    <row r="48" s="23" customFormat="1" ht="12.75" customHeight="1" outlineLevel="1">
      <c r="A48" s="104" t="str">
        <f t="shared" si="3"/>
        <v>2.15</v>
      </c>
      <c r="B48" s="105" t="s">
        <v>26</v>
      </c>
      <c r="C48" s="106"/>
      <c r="D48" s="84"/>
      <c r="E48" s="107">
        <v>1</v>
      </c>
      <c r="F48" s="85">
        <v>1</v>
      </c>
      <c r="G48" s="107">
        <v>3</v>
      </c>
      <c r="H48" s="86">
        <v>1000</v>
      </c>
      <c r="I48" s="74">
        <f t="shared" si="4"/>
        <v>3000</v>
      </c>
      <c r="J48" s="87">
        <f>I48/2</f>
        <v>1500</v>
      </c>
      <c r="K48" s="108">
        <f>I48/3</f>
        <v>1000</v>
      </c>
      <c r="L48" s="108">
        <f>I48-(J48+K48)</f>
        <v>500</v>
      </c>
      <c r="M48" s="78"/>
      <c r="N48" s="103">
        <f t="shared" si="5"/>
        <v>1500</v>
      </c>
      <c r="P48" s="89"/>
    </row>
    <row r="49" s="23" customFormat="1" ht="12.75" customHeight="1" outlineLevel="1">
      <c r="A49" s="104" t="str">
        <f t="shared" si="3"/>
        <v>2.16</v>
      </c>
      <c r="B49" s="105" t="s">
        <v>27</v>
      </c>
      <c r="C49" s="109"/>
      <c r="D49" s="107"/>
      <c r="E49" s="84">
        <v>1</v>
      </c>
      <c r="F49" s="85">
        <v>1</v>
      </c>
      <c r="G49" s="84">
        <v>3</v>
      </c>
      <c r="H49" s="86">
        <v>1000</v>
      </c>
      <c r="I49" s="74">
        <f t="shared" si="4"/>
        <v>3000</v>
      </c>
      <c r="J49" s="87">
        <f>I49/2</f>
        <v>1500</v>
      </c>
      <c r="K49" s="108">
        <f>I49/3</f>
        <v>1000</v>
      </c>
      <c r="L49" s="108">
        <f>I49-(J49+K49)</f>
        <v>500</v>
      </c>
      <c r="M49" s="78"/>
      <c r="N49" s="103">
        <f t="shared" si="5"/>
        <v>1500</v>
      </c>
      <c r="P49" s="89"/>
    </row>
    <row r="50" s="23" customFormat="1" ht="12.75" customHeight="1" outlineLevel="1">
      <c r="A50" s="104" t="str">
        <f t="shared" si="3"/>
        <v>2.17</v>
      </c>
      <c r="B50" s="105" t="s">
        <v>28</v>
      </c>
      <c r="C50" s="106"/>
      <c r="D50" s="84"/>
      <c r="E50" s="107">
        <v>1</v>
      </c>
      <c r="F50" s="85">
        <v>1</v>
      </c>
      <c r="G50" s="107">
        <v>3</v>
      </c>
      <c r="H50" s="86">
        <v>1000</v>
      </c>
      <c r="I50" s="74">
        <f t="shared" si="4"/>
        <v>3000</v>
      </c>
      <c r="J50" s="87">
        <f>I50/2</f>
        <v>1500</v>
      </c>
      <c r="K50" s="108">
        <f>I50/3</f>
        <v>1000</v>
      </c>
      <c r="L50" s="108">
        <f>I50-(J50+K50)</f>
        <v>500</v>
      </c>
      <c r="M50" s="78"/>
      <c r="N50" s="103">
        <f t="shared" si="5"/>
        <v>1500</v>
      </c>
      <c r="P50" s="89"/>
    </row>
    <row r="51" s="23" customFormat="1" ht="12.75" customHeight="1" outlineLevel="1">
      <c r="A51" s="104" t="str">
        <f t="shared" si="3"/>
        <v>2.18</v>
      </c>
      <c r="B51" s="105" t="s">
        <v>29</v>
      </c>
      <c r="C51" s="109"/>
      <c r="D51" s="107"/>
      <c r="E51" s="84">
        <v>1</v>
      </c>
      <c r="F51" s="85">
        <v>1</v>
      </c>
      <c r="G51" s="84">
        <v>3</v>
      </c>
      <c r="H51" s="86">
        <v>1000</v>
      </c>
      <c r="I51" s="74">
        <f t="shared" si="4"/>
        <v>3000</v>
      </c>
      <c r="J51" s="87">
        <f>I51/2</f>
        <v>1500</v>
      </c>
      <c r="K51" s="108">
        <f>I51/3</f>
        <v>1000</v>
      </c>
      <c r="L51" s="108">
        <f>I51-(J51+K51)</f>
        <v>500</v>
      </c>
      <c r="M51" s="78"/>
      <c r="N51" s="103">
        <f t="shared" si="5"/>
        <v>1500</v>
      </c>
      <c r="P51" s="89"/>
    </row>
    <row r="52" s="23" customFormat="1" ht="12.75" customHeight="1" outlineLevel="1">
      <c r="A52" s="104" t="str">
        <f t="shared" si="3"/>
        <v>2.19</v>
      </c>
      <c r="B52" s="105" t="s">
        <v>30</v>
      </c>
      <c r="C52" s="106"/>
      <c r="D52" s="84"/>
      <c r="E52" s="107">
        <v>1</v>
      </c>
      <c r="F52" s="85">
        <v>1</v>
      </c>
      <c r="G52" s="107">
        <v>3</v>
      </c>
      <c r="H52" s="86">
        <v>1000</v>
      </c>
      <c r="I52" s="74">
        <f t="shared" si="4"/>
        <v>3000</v>
      </c>
      <c r="J52" s="87">
        <f>I52/2</f>
        <v>1500</v>
      </c>
      <c r="K52" s="108">
        <f>I52/3</f>
        <v>1000</v>
      </c>
      <c r="L52" s="108">
        <f>I52-(J52+K52)</f>
        <v>500</v>
      </c>
      <c r="M52" s="78"/>
      <c r="N52" s="103">
        <f t="shared" si="5"/>
        <v>1500</v>
      </c>
      <c r="P52" s="89"/>
    </row>
    <row r="53" s="23" customFormat="1" ht="12.75" customHeight="1" outlineLevel="1">
      <c r="A53" s="104" t="str">
        <f t="shared" si="3"/>
        <v>2.20</v>
      </c>
      <c r="B53" s="105" t="s">
        <v>31</v>
      </c>
      <c r="C53" s="109"/>
      <c r="D53" s="107"/>
      <c r="E53" s="84">
        <v>1</v>
      </c>
      <c r="F53" s="85">
        <v>1</v>
      </c>
      <c r="G53" s="84">
        <v>3</v>
      </c>
      <c r="H53" s="86">
        <v>1000</v>
      </c>
      <c r="I53" s="74">
        <f t="shared" si="4"/>
        <v>3000</v>
      </c>
      <c r="J53" s="87">
        <f>I53/2</f>
        <v>1500</v>
      </c>
      <c r="K53" s="108">
        <f>I53/3</f>
        <v>1000</v>
      </c>
      <c r="L53" s="108">
        <f>I53-(J53+K53)</f>
        <v>500</v>
      </c>
      <c r="M53" s="78"/>
      <c r="N53" s="103">
        <f t="shared" si="5"/>
        <v>1500</v>
      </c>
      <c r="P53" s="89"/>
    </row>
    <row r="54" s="23" customFormat="1" ht="12.75" customHeight="1">
      <c r="A54" s="90" t="str">
        <f>IF($I$3="","",VLOOKUP($I$3,Sprachversionen!$B:$DZ,13,FALSE))</f>
        <v xml:space="preserve">Subtotal Non Recurring Expenses (Investments)</v>
      </c>
      <c r="B54" s="91"/>
      <c r="C54" s="92"/>
      <c r="D54" s="93"/>
      <c r="E54" s="93"/>
      <c r="F54" s="94"/>
      <c r="G54" s="93"/>
      <c r="H54" s="95"/>
      <c r="I54" s="96">
        <f t="shared" ref="I54:L54" si="6">SUM(I33:I53)</f>
        <v>60000</v>
      </c>
      <c r="J54" s="97">
        <f t="shared" si="6"/>
        <v>30000</v>
      </c>
      <c r="K54" s="98">
        <f t="shared" si="6"/>
        <v>20000</v>
      </c>
      <c r="L54" s="98">
        <f t="shared" si="6"/>
        <v>10000</v>
      </c>
      <c r="M54" s="78" t="b">
        <f>I54=SUM(J54:L54)</f>
        <v>1</v>
      </c>
      <c r="N54" s="99">
        <f>SUM(N33:N53)</f>
        <v>30000</v>
      </c>
    </row>
    <row r="55" s="23" customFormat="1" ht="12.75" customHeight="1">
      <c r="A55" s="100" t="str">
        <f t="shared" ref="A55:A85" si="7">IF(ROW()&lt;ROW($A$55),"",IF(ROW()=ROW($A$55),"3.","3."&amp;(ROW()-ROW($A$55))))</f>
        <v>3.</v>
      </c>
      <c r="B55" s="110" t="str">
        <f>VLOOKUP($I$3,Sprachversionen!$B:$EA, 14, FALSE)</f>
        <v xml:space="preserve">Personnel Expenses</v>
      </c>
      <c r="C55" s="111" t="str">
        <f t="array" ref="C55">IF(
  SUMPRODUCT(('Payroll structure'!C9:C158&lt;&gt;"")/
                COUNTIF('Payroll structure'!C9:C158,'Payroll structure'!C9:C158&amp;""))
  &gt;ROWS(A55:A86)-2,
  VLOOKUP($I$3,Sprachversionen!B:EA,85,FALSE),
  ""
)</f>
        <v/>
      </c>
      <c r="D55" s="102"/>
      <c r="E55" s="102"/>
      <c r="F55" s="72"/>
      <c r="G55" s="71"/>
      <c r="H55" s="73"/>
      <c r="I55" s="74"/>
      <c r="J55" s="75"/>
      <c r="K55" s="76"/>
      <c r="L55" s="76"/>
      <c r="M55" s="78"/>
      <c r="N55" s="79"/>
      <c r="P55" s="112" t="str">
        <f>IF($I$3="","",VLOOKUP($I$3,Sprachversionen!$B:$EA,92,FALSE))</f>
        <v xml:space="preserve">🚫 Personnel Expenses: Please do not enter anything here
</v>
      </c>
    </row>
    <row r="56" s="23" customFormat="1" ht="12.75" customHeight="1">
      <c r="A56" s="104" t="str">
        <f t="shared" si="7"/>
        <v>3.1</v>
      </c>
      <c r="B56" s="113" t="str">
        <f t="array" ref="B56">IFERROR(
 INDEX('Payroll structure'!$C$9:$C$158,
       MATCH(
         SMALL(
           IF(('Payroll structure'!$C$9:$C$158&lt;&gt;"")*
                (COUNTIF($B$55:B55,'Payroll structure'!$C$9:$C$158)=0),
                COUNTIF('Payroll structure'!$C$9:$C$158,
                           "&lt;"&amp;'Payroll structure'!$C$9:$C$158)),
           1),
         IF(('Payroll structure'!$C$9:$C$158&lt;&gt;"")*
              (COUNTIF($B$55:B55,'Payroll structure'!$C$9:$C$158)=0),
              COUNTIF('Payroll structure'!$C$9:$C$158,
                         "&lt;"&amp;'Payroll structure'!$C$9:$C$158)),
         0)),
 "")</f>
        <v/>
      </c>
      <c r="C56" s="114"/>
      <c r="D56" s="102" t="str">
        <f>IF(B56="","",IF(Budget!$I$3="","",VLOOKUP(Budget!$I$3,Sprachversionen!$B:$EA,83,FALSE)))</f>
        <v/>
      </c>
      <c r="E56" s="71" t="str">
        <f>IF(B56="", "", COUNTIF('Payroll structure'!$C:$C, B56))</f>
        <v/>
      </c>
      <c r="F56" s="72" t="str">
        <f t="array" ref="F56">IF(
  B56="", "",
  SUMPRODUCT(
    --('Payroll structure'!$C$2:$C$1000 = B56),
    'Payroll structure'!$E$2:$E$1000,
    'Payroll structure'!$M$2:$M$1000
  ) / E56
)</f>
        <v/>
      </c>
      <c r="G56" s="71" t="str">
        <f>IF(B56="","",SUMIF('Payroll structure'!$C:$C,B56,'Payroll structure'!$N:$N)/E56)</f>
        <v/>
      </c>
      <c r="H56" s="73" t="str">
        <f>IF(B56="","",IFERROR(SUMIF('Payroll structure'!$C:$C,B56,'Payroll structure'!$O:$O)/E56/F56/G56,0))</f>
        <v/>
      </c>
      <c r="I56" s="74">
        <f t="shared" ref="I56:I85" si="8">IFERROR(E56*F56*G56*H56,0)</f>
        <v>0</v>
      </c>
      <c r="J56" s="75" t="str">
        <f>IF($B56="","",SUMIF('Payroll structure'!$C:$C,$B56,'Payroll structure'!P:P))</f>
        <v/>
      </c>
      <c r="K56" s="76" t="str">
        <f>IF($B56="","",SUMIF('Payroll structure'!$C:$C,$B56,'Payroll structure'!Q:Q))</f>
        <v/>
      </c>
      <c r="L56" s="76" t="str">
        <f>IF($B56="","",SUMIF('Payroll structure'!$C:$C,$B56,'Payroll structure'!R:R))</f>
        <v/>
      </c>
      <c r="M56" s="78"/>
      <c r="N56" s="79">
        <f t="shared" ref="N56:N85" si="9">ROUND(IFERROR(I56/$I$5,0), 2)</f>
        <v>0</v>
      </c>
      <c r="P56" s="115" t="str">
        <f>IF($I$3="","",VLOOKUP($I$3,Sprachversionen!$B:$EA,94,FALSE))</f>
        <v xml:space="preserve">Personnel costs (e.g. salaries) should not be entered on this sheet.
Please click on the "Payroll structure" tab at the bottom left.
There you can enter all data regarding project staff.
This information is automatically transferred to the “Personnel Expenses” section of this sheet.
As a result, the cells in this section are locked and cannot be modified.</v>
      </c>
    </row>
    <row r="57" s="23" customFormat="1" ht="12.75" customHeight="1">
      <c r="A57" s="104" t="str">
        <f t="shared" si="7"/>
        <v>3.2</v>
      </c>
      <c r="B57" s="113" t="str">
        <f t="array" ref="B57">IFERROR(
 INDEX('Payroll structure'!$C$9:$C$158,
       MATCH(
         SMALL(
           IF(('Payroll structure'!$C$9:$C$158&lt;&gt;"")*
                (COUNTIF($B$55:B56,'Payroll structure'!$C$9:$C$158)=0),
                COUNTIF('Payroll structure'!$C$9:$C$158,
                           "&lt;"&amp;'Payroll structure'!$C$9:$C$158)),
           1),
         IF(('Payroll structure'!$C$9:$C$158&lt;&gt;"")*
              (COUNTIF($B$55:B56,'Payroll structure'!$C$9:$C$158)=0),
              COUNTIF('Payroll structure'!$C$9:$C$158,
                         "&lt;"&amp;'Payroll structure'!$C$9:$C$158)),
         0)),
 "")</f>
        <v/>
      </c>
      <c r="C57" s="114"/>
      <c r="D57" s="102" t="str">
        <f>IF(B57="","",IF(Budget!$I$3="","",VLOOKUP(Budget!$I$3,Sprachversionen!$B:$EA,83,FALSE)))</f>
        <v/>
      </c>
      <c r="E57" s="71" t="str">
        <f>IF(B57="","",COUNTIF('Payroll structure'!$C:$C,B57))</f>
        <v/>
      </c>
      <c r="F57" s="72" t="str">
        <f t="array" ref="F57">IF(
  B57="", "",
  SUMPRODUCT(
    --('Payroll structure'!$C$2:$C$1000 = B57),
    'Payroll structure'!$E$2:$E$1000,
    'Payroll structure'!$M$2:$M$1000
  ) / E57
)</f>
        <v/>
      </c>
      <c r="G57" s="71" t="str">
        <f>IF(B57="","",SUMIF('Payroll structure'!$C:$C,B57,'Payroll structure'!$N:$N)/E57)</f>
        <v/>
      </c>
      <c r="H57" s="73" t="str">
        <f>IF(B57="","",IFERROR(SUMIF('Payroll structure'!$C:$C,B57,'Payroll structure'!$O:$O)/E57/F57/G57,0))</f>
        <v/>
      </c>
      <c r="I57" s="74">
        <f t="shared" si="8"/>
        <v>0</v>
      </c>
      <c r="J57" s="75" t="str">
        <f>IF($B57="","",SUMIF('Payroll structure'!$C:$C,$B57,'Payroll structure'!P:P))</f>
        <v/>
      </c>
      <c r="K57" s="76" t="str">
        <f>IF($B57="","",SUMIF('Payroll structure'!$C:$C,$B57,'Payroll structure'!Q:Q))</f>
        <v/>
      </c>
      <c r="L57" s="76" t="str">
        <f>IF($B57="","",SUMIF('Payroll structure'!$C:$C,$B57,'Payroll structure'!R:R))</f>
        <v/>
      </c>
      <c r="M57" s="78"/>
      <c r="N57" s="79">
        <f t="shared" si="9"/>
        <v>0</v>
      </c>
      <c r="P57" s="115"/>
    </row>
    <row r="58" s="23" customFormat="1" ht="12.75" customHeight="1">
      <c r="A58" s="104" t="str">
        <f t="shared" si="7"/>
        <v>3.3</v>
      </c>
      <c r="B58" s="113" t="str">
        <f t="array" ref="B58">IFERROR(
 INDEX('Payroll structure'!$C$9:$C$158,
       MATCH(
         SMALL(
           IF(('Payroll structure'!$C$9:$C$158&lt;&gt;"")*
                (COUNTIF($B$55:B57,'Payroll structure'!$C$9:$C$158)=0),
                COUNTIF('Payroll structure'!$C$9:$C$158,
                           "&lt;"&amp;'Payroll structure'!$C$9:$C$158)),
           1),
         IF(('Payroll structure'!$C$9:$C$158&lt;&gt;"")*
              (COUNTIF($B$55:B57,'Payroll structure'!$C$9:$C$158)=0),
              COUNTIF('Payroll structure'!$C$9:$C$158,
                         "&lt;"&amp;'Payroll structure'!$C$9:$C$158)),
         0)),
 "")</f>
        <v/>
      </c>
      <c r="C58" s="114"/>
      <c r="D58" s="102" t="str">
        <f>IF(B58="","",IF(Budget!$I$3="","",VLOOKUP(Budget!$I$3,Sprachversionen!$B:$EA,83,FALSE)))</f>
        <v/>
      </c>
      <c r="E58" s="71" t="str">
        <f>IF(B58="","",COUNTIF('Payroll structure'!$C:$C,B58))</f>
        <v/>
      </c>
      <c r="F58" s="72" t="str">
        <f t="array" ref="F58">IF(
  B58="", "",
  SUMPRODUCT(
    --('Payroll structure'!$C$2:$C$1000 = B58),
    'Payroll structure'!$E$2:$E$1000,
    'Payroll structure'!$M$2:$M$1000
  ) / E58
)</f>
        <v/>
      </c>
      <c r="G58" s="71" t="str">
        <f>IF(B58="","",SUMIF('Payroll structure'!$C:$C,B58,'Payroll structure'!$N:$N)/E58)</f>
        <v/>
      </c>
      <c r="H58" s="73" t="str">
        <f>IF(B58="","",IFERROR(SUMIF('Payroll structure'!$C:$C,B58,'Payroll structure'!$O:$O)/E58/F58/G58,0))</f>
        <v/>
      </c>
      <c r="I58" s="74">
        <f t="shared" si="8"/>
        <v>0</v>
      </c>
      <c r="J58" s="75" t="str">
        <f>IF($B58="","",SUMIF('Payroll structure'!$C:$C,$B58,'Payroll structure'!P:P))</f>
        <v/>
      </c>
      <c r="K58" s="76" t="str">
        <f>IF($B58="","",SUMIF('Payroll structure'!$C:$C,$B58,'Payroll structure'!Q:Q))</f>
        <v/>
      </c>
      <c r="L58" s="76" t="str">
        <f>IF($B58="","",SUMIF('Payroll structure'!$C:$C,$B58,'Payroll structure'!R:R))</f>
        <v/>
      </c>
      <c r="M58" s="78"/>
      <c r="N58" s="79">
        <f t="shared" si="9"/>
        <v>0</v>
      </c>
      <c r="P58" s="115"/>
    </row>
    <row r="59" s="23" customFormat="1" ht="12.75" customHeight="1">
      <c r="A59" s="104" t="str">
        <f t="shared" si="7"/>
        <v>3.4</v>
      </c>
      <c r="B59" s="113" t="str">
        <f t="array" ref="B59">IFERROR(
 INDEX('Payroll structure'!$C$9:$C$158,
       MATCH(
         SMALL(
           IF(('Payroll structure'!$C$9:$C$158&lt;&gt;"")*
                (COUNTIF($B$55:B58,'Payroll structure'!$C$9:$C$158)=0),
                COUNTIF('Payroll structure'!$C$9:$C$158,
                           "&lt;"&amp;'Payroll structure'!$C$9:$C$158)),
           1),
         IF(('Payroll structure'!$C$9:$C$158&lt;&gt;"")*
              (COUNTIF($B$55:B58,'Payroll structure'!$C$9:$C$158)=0),
              COUNTIF('Payroll structure'!$C$9:$C$158,
                         "&lt;"&amp;'Payroll structure'!$C$9:$C$158)),
         0)),
 "")</f>
        <v/>
      </c>
      <c r="C59" s="114"/>
      <c r="D59" s="102" t="str">
        <f>IF(B59="","",IF(Budget!$I$3="","",VLOOKUP(Budget!$I$3,Sprachversionen!$B:$EA,83,FALSE)))</f>
        <v/>
      </c>
      <c r="E59" s="71" t="str">
        <f>IF(B59="","",COUNTIF('Payroll structure'!$C:$C,B59))</f>
        <v/>
      </c>
      <c r="F59" s="72" t="str">
        <f t="array" ref="F59">IF(
  B59="", "",
  SUMPRODUCT(
    --('Payroll structure'!$C$2:$C$1000 = B59),
    'Payroll structure'!$E$2:$E$1000,
    'Payroll structure'!$M$2:$M$1000
  ) / E59
)</f>
        <v/>
      </c>
      <c r="G59" s="71" t="str">
        <f>IF(B59="","",SUMIF('Payroll structure'!$C:$C,B59,'Payroll structure'!$N:$N)/E59)</f>
        <v/>
      </c>
      <c r="H59" s="73" t="str">
        <f>IF(B59="","",IFERROR(SUMIF('Payroll structure'!$C:$C,B59,'Payroll structure'!$O:$O)/E59/F59/G59,0))</f>
        <v/>
      </c>
      <c r="I59" s="74">
        <f t="shared" si="8"/>
        <v>0</v>
      </c>
      <c r="J59" s="75" t="str">
        <f>IF($B59="","",SUMIF('Payroll structure'!$C:$C,$B59,'Payroll structure'!P:P))</f>
        <v/>
      </c>
      <c r="K59" s="76" t="str">
        <f>IF($B59="","",SUMIF('Payroll structure'!$C:$C,$B59,'Payroll structure'!Q:Q))</f>
        <v/>
      </c>
      <c r="L59" s="76" t="str">
        <f>IF($B59="","",SUMIF('Payroll structure'!$C:$C,$B59,'Payroll structure'!R:R))</f>
        <v/>
      </c>
      <c r="M59" s="78"/>
      <c r="N59" s="79">
        <f t="shared" si="9"/>
        <v>0</v>
      </c>
      <c r="P59" s="115"/>
    </row>
    <row r="60" s="23" customFormat="1" ht="12.75" customHeight="1">
      <c r="A60" s="104" t="str">
        <f t="shared" si="7"/>
        <v>3.5</v>
      </c>
      <c r="B60" s="113" t="str">
        <f t="array" ref="B60">IFERROR(
 INDEX('Payroll structure'!$C$9:$C$158,
       MATCH(
         SMALL(
           IF(('Payroll structure'!$C$9:$C$158&lt;&gt;"")*
                (COUNTIF($B$55:B59,'Payroll structure'!$C$9:$C$158)=0),
                COUNTIF('Payroll structure'!$C$9:$C$158,
                           "&lt;"&amp;'Payroll structure'!$C$9:$C$158)),
           1),
         IF(('Payroll structure'!$C$9:$C$158&lt;&gt;"")*
              (COUNTIF($B$55:B59,'Payroll structure'!$C$9:$C$158)=0),
              COUNTIF('Payroll structure'!$C$9:$C$158,
                         "&lt;"&amp;'Payroll structure'!$C$9:$C$158)),
         0)),
 "")</f>
        <v/>
      </c>
      <c r="C60" s="114"/>
      <c r="D60" s="102" t="str">
        <f>IF(B60="","",IF(Budget!$I$3="","",VLOOKUP(Budget!$I$3,Sprachversionen!$B:$EA,83,FALSE)))</f>
        <v/>
      </c>
      <c r="E60" s="71" t="str">
        <f>IF(B60="","",COUNTIF('Payroll structure'!$C:$C,B60))</f>
        <v/>
      </c>
      <c r="F60" s="72" t="str">
        <f t="array" ref="F60">IF(
  B60="", "",
  SUMPRODUCT(
    --('Payroll structure'!$C$2:$C$1000 = B60),
    'Payroll structure'!$E$2:$E$1000,
    'Payroll structure'!$M$2:$M$1000
  ) / E60
)</f>
        <v/>
      </c>
      <c r="G60" s="71" t="str">
        <f>IF(B60="","",SUMIF('Payroll structure'!$C:$C,B60,'Payroll structure'!$N:$N)/E60)</f>
        <v/>
      </c>
      <c r="H60" s="73" t="str">
        <f>IF(B60="","",IFERROR(SUMIF('Payroll structure'!$C:$C,B60,'Payroll structure'!$O:$O)/E60/F60/G60,0))</f>
        <v/>
      </c>
      <c r="I60" s="74">
        <f t="shared" si="8"/>
        <v>0</v>
      </c>
      <c r="J60" s="75" t="str">
        <f>IF($B60="","",SUMIF('Payroll structure'!$C:$C,$B60,'Payroll structure'!P:P))</f>
        <v/>
      </c>
      <c r="K60" s="76" t="str">
        <f>IF($B60="","",SUMIF('Payroll structure'!$C:$C,$B60,'Payroll structure'!Q:Q))</f>
        <v/>
      </c>
      <c r="L60" s="76" t="str">
        <f>IF($B60="","",SUMIF('Payroll structure'!$C:$C,$B60,'Payroll structure'!R:R))</f>
        <v/>
      </c>
      <c r="M60" s="78"/>
      <c r="N60" s="79">
        <f t="shared" si="9"/>
        <v>0</v>
      </c>
      <c r="P60" s="115"/>
    </row>
    <row r="61" s="23" customFormat="1" ht="12.75" customHeight="1">
      <c r="A61" s="104" t="str">
        <f t="shared" si="7"/>
        <v>3.6</v>
      </c>
      <c r="B61" s="113" t="str">
        <f t="array" ref="B61">IFERROR(
 INDEX('Payroll structure'!$C$9:$C$158,
       MATCH(
         SMALL(
           IF(('Payroll structure'!$C$9:$C$158&lt;&gt;"")*
                (COUNTIF($B$55:B60,'Payroll structure'!$C$9:$C$158)=0),
                COUNTIF('Payroll structure'!$C$9:$C$158,
                           "&lt;"&amp;'Payroll structure'!$C$9:$C$158)),
           1),
         IF(('Payroll structure'!$C$9:$C$158&lt;&gt;"")*
              (COUNTIF($B$55:B60,'Payroll structure'!$C$9:$C$158)=0),
              COUNTIF('Payroll structure'!$C$9:$C$158,
                         "&lt;"&amp;'Payroll structure'!$C$9:$C$158)),
         0)),
 "")</f>
        <v/>
      </c>
      <c r="C61" s="114"/>
      <c r="D61" s="102" t="str">
        <f>IF(B61="","",IF(Budget!$I$3="","",VLOOKUP(Budget!$I$3,Sprachversionen!$B:$EA,83,FALSE)))</f>
        <v/>
      </c>
      <c r="E61" s="71" t="str">
        <f>IF(B61="","",COUNTIF('Payroll structure'!$C:$C,B61))</f>
        <v/>
      </c>
      <c r="F61" s="72" t="str">
        <f t="array" ref="F61">IF(
  B61="", "",
  SUMPRODUCT(
    --('Payroll structure'!$C$2:$C$1000 = B61),
    'Payroll structure'!$E$2:$E$1000,
    'Payroll structure'!$M$2:$M$1000
  ) / E61
)</f>
        <v/>
      </c>
      <c r="G61" s="71" t="str">
        <f>IF(B61="","",SUMIF('Payroll structure'!$C:$C,B61,'Payroll structure'!$N:$N)/E61)</f>
        <v/>
      </c>
      <c r="H61" s="73" t="str">
        <f>IF(B61="","",IFERROR(SUMIF('Payroll structure'!$C:$C,B61,'Payroll structure'!$O:$O)/E61/F61/G61,0))</f>
        <v/>
      </c>
      <c r="I61" s="74">
        <f t="shared" si="8"/>
        <v>0</v>
      </c>
      <c r="J61" s="75" t="str">
        <f>IF($B61="","",SUMIF('Payroll structure'!$C:$C,$B61,'Payroll structure'!P:P))</f>
        <v/>
      </c>
      <c r="K61" s="76" t="str">
        <f>IF($B61="","",SUMIF('Payroll structure'!$C:$C,$B61,'Payroll structure'!Q:Q))</f>
        <v/>
      </c>
      <c r="L61" s="76" t="str">
        <f>IF($B61="","",SUMIF('Payroll structure'!$C:$C,$B61,'Payroll structure'!R:R))</f>
        <v/>
      </c>
      <c r="M61" s="78"/>
      <c r="N61" s="79">
        <f t="shared" si="9"/>
        <v>0</v>
      </c>
      <c r="P61" s="115"/>
    </row>
    <row r="62" s="23" customFormat="1" ht="12.75" customHeight="1">
      <c r="A62" s="104" t="str">
        <f t="shared" si="7"/>
        <v>3.7</v>
      </c>
      <c r="B62" s="113" t="str">
        <f t="array" ref="B62">IFERROR(
 INDEX('Payroll structure'!$C$9:$C$158,
       MATCH(
         SMALL(
           IF(('Payroll structure'!$C$9:$C$158&lt;&gt;"")*
                (COUNTIF($B$55:B61,'Payroll structure'!$C$9:$C$158)=0),
                COUNTIF('Payroll structure'!$C$9:$C$158,
                           "&lt;"&amp;'Payroll structure'!$C$9:$C$158)),
           1),
         IF(('Payroll structure'!$C$9:$C$158&lt;&gt;"")*
              (COUNTIF($B$55:B61,'Payroll structure'!$C$9:$C$158)=0),
              COUNTIF('Payroll structure'!$C$9:$C$158,
                         "&lt;"&amp;'Payroll structure'!$C$9:$C$158)),
         0)),
 "")</f>
        <v/>
      </c>
      <c r="C62" s="114"/>
      <c r="D62" s="102" t="str">
        <f>IF(B62="","",IF(Budget!$I$3="","",VLOOKUP(Budget!$I$3,Sprachversionen!$B:$EA,83,FALSE)))</f>
        <v/>
      </c>
      <c r="E62" s="71" t="str">
        <f>IF(B62="","",COUNTIF('Payroll structure'!$C:$C,B62))</f>
        <v/>
      </c>
      <c r="F62" s="72" t="str">
        <f t="array" ref="F62">IF(
  B62="", "",
  SUMPRODUCT(
    --('Payroll structure'!$C$2:$C$1000 = B62),
    'Payroll structure'!$E$2:$E$1000,
    'Payroll structure'!$M$2:$M$1000
  ) / E62
)</f>
        <v/>
      </c>
      <c r="G62" s="71" t="str">
        <f>IF(B62="","",SUMIF('Payroll structure'!$C:$C,B62,'Payroll structure'!$N:$N)/E62)</f>
        <v/>
      </c>
      <c r="H62" s="73" t="str">
        <f>IF(B62="","",IFERROR(SUMIF('Payroll structure'!$C:$C,B62,'Payroll structure'!$O:$O)/E62/F62/G62,0))</f>
        <v/>
      </c>
      <c r="I62" s="74">
        <f t="shared" si="8"/>
        <v>0</v>
      </c>
      <c r="J62" s="75" t="str">
        <f>IF($B62="","",SUMIF('Payroll structure'!$C:$C,$B62,'Payroll structure'!P:P))</f>
        <v/>
      </c>
      <c r="K62" s="76" t="str">
        <f>IF($B62="","",SUMIF('Payroll structure'!$C:$C,$B62,'Payroll structure'!Q:Q))</f>
        <v/>
      </c>
      <c r="L62" s="76" t="str">
        <f>IF($B62="","",SUMIF('Payroll structure'!$C:$C,$B62,'Payroll structure'!R:R))</f>
        <v/>
      </c>
      <c r="M62" s="78"/>
      <c r="N62" s="79">
        <f t="shared" si="9"/>
        <v>0</v>
      </c>
      <c r="P62" s="115"/>
    </row>
    <row r="63" s="23" customFormat="1" ht="12.75" customHeight="1">
      <c r="A63" s="104" t="str">
        <f t="shared" si="7"/>
        <v>3.8</v>
      </c>
      <c r="B63" s="113" t="str">
        <f t="array" ref="B63">IFERROR(
 INDEX('Payroll structure'!$C$9:$C$158,
       MATCH(
         SMALL(
           IF(('Payroll structure'!$C$9:$C$158&lt;&gt;"")*
                (COUNTIF($B$55:B62,'Payroll structure'!$C$9:$C$158)=0),
                COUNTIF('Payroll structure'!$C$9:$C$158,
                           "&lt;"&amp;'Payroll structure'!$C$9:$C$158)),
           1),
         IF(('Payroll structure'!$C$9:$C$158&lt;&gt;"")*
              (COUNTIF($B$55:B62,'Payroll structure'!$C$9:$C$158)=0),
              COUNTIF('Payroll structure'!$C$9:$C$158,
                         "&lt;"&amp;'Payroll structure'!$C$9:$C$158)),
         0)),
 "")</f>
        <v/>
      </c>
      <c r="C63" s="114"/>
      <c r="D63" s="102" t="str">
        <f>IF(B63="","",IF(Budget!$I$3="","",VLOOKUP(Budget!$I$3,Sprachversionen!$B:$EA,83,FALSE)))</f>
        <v/>
      </c>
      <c r="E63" s="71" t="str">
        <f>IF(B63="","",COUNTIF('Payroll structure'!$C:$C,B63))</f>
        <v/>
      </c>
      <c r="F63" s="72" t="str">
        <f t="array" ref="F63">IF(
  B63="", "",
  SUMPRODUCT(
    --('Payroll structure'!$C$2:$C$1000 = B63),
    'Payroll structure'!$E$2:$E$1000,
    'Payroll structure'!$M$2:$M$1000
  ) / E63
)</f>
        <v/>
      </c>
      <c r="G63" s="71" t="str">
        <f>IF(B63="","",SUMIF('Payroll structure'!$C:$C,B63,'Payroll structure'!$N:$N)/E63)</f>
        <v/>
      </c>
      <c r="H63" s="73" t="str">
        <f>IF(B63="","",IFERROR(SUMIF('Payroll structure'!$C:$C,B63,'Payroll structure'!$O:$O)/E63/F63/G63,0))</f>
        <v/>
      </c>
      <c r="I63" s="74">
        <f t="shared" si="8"/>
        <v>0</v>
      </c>
      <c r="J63" s="75" t="str">
        <f>IF($B63="","",SUMIF('Payroll structure'!$C:$C,$B63,'Payroll structure'!P:P))</f>
        <v/>
      </c>
      <c r="K63" s="76" t="str">
        <f>IF($B63="","",SUMIF('Payroll structure'!$C:$C,$B63,'Payroll structure'!Q:Q))</f>
        <v/>
      </c>
      <c r="L63" s="76" t="str">
        <f>IF($B63="","",SUMIF('Payroll structure'!$C:$C,$B63,'Payroll structure'!R:R))</f>
        <v/>
      </c>
      <c r="M63" s="78"/>
      <c r="N63" s="79">
        <f t="shared" si="9"/>
        <v>0</v>
      </c>
      <c r="P63" s="115"/>
    </row>
    <row r="64" s="23" customFormat="1" ht="12.75" customHeight="1">
      <c r="A64" s="104" t="str">
        <f t="shared" si="7"/>
        <v>3.9</v>
      </c>
      <c r="B64" s="113" t="str">
        <f t="array" ref="B64">IFERROR(
 INDEX('Payroll structure'!$C$9:$C$158,
       MATCH(
         SMALL(
           IF(('Payroll structure'!$C$9:$C$158&lt;&gt;"")*
                (COUNTIF($B$55:B63,'Payroll structure'!$C$9:$C$158)=0),
                COUNTIF('Payroll structure'!$C$9:$C$158,
                           "&lt;"&amp;'Payroll structure'!$C$9:$C$158)),
           1),
         IF(('Payroll structure'!$C$9:$C$158&lt;&gt;"")*
              (COUNTIF($B$55:B63,'Payroll structure'!$C$9:$C$158)=0),
              COUNTIF('Payroll structure'!$C$9:$C$158,
                         "&lt;"&amp;'Payroll structure'!$C$9:$C$158)),
         0)),
 "")</f>
        <v/>
      </c>
      <c r="C64" s="114"/>
      <c r="D64" s="102" t="str">
        <f>IF(B64="","",IF(Budget!$I$3="","",VLOOKUP(Budget!$I$3,Sprachversionen!$B:$EA,83,FALSE)))</f>
        <v/>
      </c>
      <c r="E64" s="71" t="str">
        <f>IF(B64="","",COUNTIF('Payroll structure'!$C:$C,B64))</f>
        <v/>
      </c>
      <c r="F64" s="72" t="str">
        <f t="array" ref="F64">IF(
  B64="", "",
  SUMPRODUCT(
    --('Payroll structure'!$C$2:$C$1000 = B64),
    'Payroll structure'!$E$2:$E$1000,
    'Payroll structure'!$M$2:$M$1000
  ) / E64
)</f>
        <v/>
      </c>
      <c r="G64" s="71" t="str">
        <f>IF(B64="","",SUMIF('Payroll structure'!$C:$C,B64,'Payroll structure'!$N:$N)/E64)</f>
        <v/>
      </c>
      <c r="H64" s="73" t="str">
        <f>IF(B64="","",IFERROR(SUMIF('Payroll structure'!$C:$C,B64,'Payroll structure'!$O:$O)/E64/F64/G64,0))</f>
        <v/>
      </c>
      <c r="I64" s="74">
        <f t="shared" si="8"/>
        <v>0</v>
      </c>
      <c r="J64" s="75" t="str">
        <f>IF($B64="","",SUMIF('Payroll structure'!$C:$C,$B64,'Payroll structure'!P:P))</f>
        <v/>
      </c>
      <c r="K64" s="76" t="str">
        <f>IF($B64="","",SUMIF('Payroll structure'!$C:$C,$B64,'Payroll structure'!Q:Q))</f>
        <v/>
      </c>
      <c r="L64" s="76" t="str">
        <f>IF($B64="","",SUMIF('Payroll structure'!$C:$C,$B64,'Payroll structure'!R:R))</f>
        <v/>
      </c>
      <c r="M64" s="78"/>
      <c r="N64" s="79">
        <f t="shared" si="9"/>
        <v>0</v>
      </c>
      <c r="P64" s="115"/>
    </row>
    <row r="65" s="23" customFormat="1" ht="12.75" customHeight="1">
      <c r="A65" s="104" t="str">
        <f t="shared" si="7"/>
        <v>3.10</v>
      </c>
      <c r="B65" s="113" t="str">
        <f t="array" ref="B65">IFERROR(
 INDEX('Payroll structure'!$C$9:$C$158,
       MATCH(
         SMALL(
           IF(('Payroll structure'!$C$9:$C$158&lt;&gt;"")*
                (COUNTIF($B$55:B64,'Payroll structure'!$C$9:$C$158)=0),
                COUNTIF('Payroll structure'!$C$9:$C$158,
                           "&lt;"&amp;'Payroll structure'!$C$9:$C$158)),
           1),
         IF(('Payroll structure'!$C$9:$C$158&lt;&gt;"")*
              (COUNTIF($B$55:B64,'Payroll structure'!$C$9:$C$158)=0),
              COUNTIF('Payroll structure'!$C$9:$C$158,
                         "&lt;"&amp;'Payroll structure'!$C$9:$C$158)),
         0)),
 "")</f>
        <v/>
      </c>
      <c r="C65" s="114"/>
      <c r="D65" s="102" t="str">
        <f>IF(B65="","",IF(Budget!$I$3="","",VLOOKUP(Budget!$I$3,Sprachversionen!$B:$EA,83,FALSE)))</f>
        <v/>
      </c>
      <c r="E65" s="71" t="str">
        <f>IF(B65="","",COUNTIF('Payroll structure'!$C:$C,B65))</f>
        <v/>
      </c>
      <c r="F65" s="72" t="str">
        <f t="array" ref="F65">IF(
  B65="", "",
  SUMPRODUCT(
    --('Payroll structure'!$C$2:$C$1000 = B65),
    'Payroll structure'!$E$2:$E$1000,
    'Payroll structure'!$M$2:$M$1000
  ) / E65
)</f>
        <v/>
      </c>
      <c r="G65" s="71" t="str">
        <f>IF(B65="","",SUMIF('Payroll structure'!$C:$C,B65,'Payroll structure'!$N:$N)/E65)</f>
        <v/>
      </c>
      <c r="H65" s="73" t="str">
        <f>IF(B65="","",IFERROR(SUMIF('Payroll structure'!$C:$C,B65,'Payroll structure'!$O:$O)/E65/F65/G65,0))</f>
        <v/>
      </c>
      <c r="I65" s="74">
        <f t="shared" si="8"/>
        <v>0</v>
      </c>
      <c r="J65" s="75" t="str">
        <f>IF($B65="","",SUMIF('Payroll structure'!$C:$C,$B65,'Payroll structure'!P:P))</f>
        <v/>
      </c>
      <c r="K65" s="76" t="str">
        <f>IF($B65="","",SUMIF('Payroll structure'!$C:$C,$B65,'Payroll structure'!Q:Q))</f>
        <v/>
      </c>
      <c r="L65" s="76" t="str">
        <f>IF($B65="","",SUMIF('Payroll structure'!$C:$C,$B65,'Payroll structure'!R:R))</f>
        <v/>
      </c>
      <c r="M65" s="78"/>
      <c r="N65" s="79">
        <f t="shared" si="9"/>
        <v>0</v>
      </c>
      <c r="P65" s="116"/>
    </row>
    <row r="66" s="23" customFormat="1" ht="12.75" customHeight="1">
      <c r="A66" s="104" t="str">
        <f t="shared" si="7"/>
        <v>3.11</v>
      </c>
      <c r="B66" s="113" t="str">
        <f t="array" ref="B66">IFERROR(
 INDEX('Payroll structure'!$C$9:$C$158,
       MATCH(
         SMALL(
           IF(('Payroll structure'!$C$9:$C$158&lt;&gt;"")*
                (COUNTIF($B$55:B65,'Payroll structure'!$C$9:$C$158)=0),
                COUNTIF('Payroll structure'!$C$9:$C$158,
                           "&lt;"&amp;'Payroll structure'!$C$9:$C$158)),
           1),
         IF(('Payroll structure'!$C$9:$C$158&lt;&gt;"")*
              (COUNTIF($B$55:B65,'Payroll structure'!$C$9:$C$158)=0),
              COUNTIF('Payroll structure'!$C$9:$C$158,
                         "&lt;"&amp;'Payroll structure'!$C$9:$C$158)),
         0)),
 "")</f>
        <v/>
      </c>
      <c r="C66" s="114"/>
      <c r="D66" s="102" t="str">
        <f>IF(B66="","",IF(Budget!$I$3="","",VLOOKUP(Budget!$I$3,Sprachversionen!$B:$EA,83,FALSE)))</f>
        <v/>
      </c>
      <c r="E66" s="71" t="str">
        <f>IF(B66="","",COUNTIF('Payroll structure'!$C:$C,B66))</f>
        <v/>
      </c>
      <c r="F66" s="72" t="str">
        <f t="array" ref="F66">IF(
  B66="", "",
  SUMPRODUCT(
    --('Payroll structure'!$C$2:$C$1000 = B66),
    'Payroll structure'!$E$2:$E$1000,
    'Payroll structure'!$M$2:$M$1000
  ) / E66
)</f>
        <v/>
      </c>
      <c r="G66" s="71" t="str">
        <f>IF(B66="","",SUMIF('Payroll structure'!$C:$C,B66,'Payroll structure'!$N:$N)/E66)</f>
        <v/>
      </c>
      <c r="H66" s="73" t="str">
        <f>IF(B66="","",IFERROR(SUMIF('Payroll structure'!$C:$C,B66,'Payroll structure'!$O:$O)/E66/F66/G66,0))</f>
        <v/>
      </c>
      <c r="I66" s="74">
        <f t="shared" si="8"/>
        <v>0</v>
      </c>
      <c r="J66" s="75" t="str">
        <f>IF($B66="","",SUMIF('Payroll structure'!$C:$C,$B66,'Payroll structure'!P:P))</f>
        <v/>
      </c>
      <c r="K66" s="76" t="str">
        <f>IF($B66="","",SUMIF('Payroll structure'!$C:$C,$B66,'Payroll structure'!Q:Q))</f>
        <v/>
      </c>
      <c r="L66" s="76" t="str">
        <f>IF($B66="","",SUMIF('Payroll structure'!$C:$C,$B66,'Payroll structure'!R:R))</f>
        <v/>
      </c>
      <c r="M66" s="78"/>
      <c r="N66" s="79">
        <f t="shared" si="9"/>
        <v>0</v>
      </c>
    </row>
    <row r="67" s="23" customFormat="1" ht="12.75" customHeight="1">
      <c r="A67" s="104" t="str">
        <f t="shared" si="7"/>
        <v>3.12</v>
      </c>
      <c r="B67" s="113" t="str">
        <f t="array" ref="B67">IFERROR(
 INDEX('Payroll structure'!$C$9:$C$158,
       MATCH(
         SMALL(
           IF(('Payroll structure'!$C$9:$C$158&lt;&gt;"")*
                (COUNTIF($B$55:B66,'Payroll structure'!$C$9:$C$158)=0),
                COUNTIF('Payroll structure'!$C$9:$C$158,
                           "&lt;"&amp;'Payroll structure'!$C$9:$C$158)),
           1),
         IF(('Payroll structure'!$C$9:$C$158&lt;&gt;"")*
              (COUNTIF($B$55:B66,'Payroll structure'!$C$9:$C$158)=0),
              COUNTIF('Payroll structure'!$C$9:$C$158,
                         "&lt;"&amp;'Payroll structure'!$C$9:$C$158)),
         0)),
 "")</f>
        <v/>
      </c>
      <c r="C67" s="114"/>
      <c r="D67" s="102" t="str">
        <f>IF(B67="","",IF(Budget!$I$3="","",VLOOKUP(Budget!$I$3,Sprachversionen!$B:$EA,83,FALSE)))</f>
        <v/>
      </c>
      <c r="E67" s="71" t="str">
        <f>IF(B67="","",COUNTIF('Payroll structure'!$C:$C,B67))</f>
        <v/>
      </c>
      <c r="F67" s="72" t="str">
        <f t="array" ref="F67">IF(
  B67="", "",
  SUMPRODUCT(
    --('Payroll structure'!$C$2:$C$1000 = B67),
    'Payroll structure'!$E$2:$E$1000,
    'Payroll structure'!$M$2:$M$1000
  ) / E67
)</f>
        <v/>
      </c>
      <c r="G67" s="71" t="str">
        <f>IF(B67="","",SUMIF('Payroll structure'!$C:$C,B67,'Payroll structure'!$N:$N)/E67)</f>
        <v/>
      </c>
      <c r="H67" s="73" t="str">
        <f>IF(B67="","",IFERROR(SUMIF('Payroll structure'!$C:$C,B67,'Payroll structure'!$O:$O)/E67/F67/G67,0))</f>
        <v/>
      </c>
      <c r="I67" s="74">
        <f t="shared" si="8"/>
        <v>0</v>
      </c>
      <c r="J67" s="75" t="str">
        <f>IF($B67="","",SUMIF('Payroll structure'!$C:$C,$B67,'Payroll structure'!P:P))</f>
        <v/>
      </c>
      <c r="K67" s="76" t="str">
        <f>IF($B67="","",SUMIF('Payroll structure'!$C:$C,$B67,'Payroll structure'!Q:Q))</f>
        <v/>
      </c>
      <c r="L67" s="76" t="str">
        <f>IF($B67="","",SUMIF('Payroll structure'!$C:$C,$B67,'Payroll structure'!R:R))</f>
        <v/>
      </c>
      <c r="M67" s="78"/>
      <c r="N67" s="79">
        <f t="shared" si="9"/>
        <v>0</v>
      </c>
    </row>
    <row r="68" s="23" customFormat="1" ht="12.75" customHeight="1" outlineLevel="1">
      <c r="A68" s="104" t="str">
        <f t="shared" si="7"/>
        <v>3.13</v>
      </c>
      <c r="B68" s="113" t="str">
        <f t="array" ref="B68">IFERROR(
 INDEX('Payroll structure'!$C$9:$C$158,
       MATCH(
         SMALL(
           IF(('Payroll structure'!$C$9:$C$158&lt;&gt;"")*
                (COUNTIF($B$55:B67,'Payroll structure'!$C$9:$C$158)=0),
                COUNTIF('Payroll structure'!$C$9:$C$158,
                           "&lt;"&amp;'Payroll structure'!$C$9:$C$158)),
           1),
         IF(('Payroll structure'!$C$9:$C$158&lt;&gt;"")*
              (COUNTIF($B$55:B67,'Payroll structure'!$C$9:$C$158)=0),
              COUNTIF('Payroll structure'!$C$9:$C$158,
                         "&lt;"&amp;'Payroll structure'!$C$9:$C$158)),
         0)),
 "")</f>
        <v/>
      </c>
      <c r="C68" s="114"/>
      <c r="D68" s="102" t="str">
        <f>IF(B68="","",IF(Budget!$I$3="","",VLOOKUP(Budget!$I$3,Sprachversionen!$B:$EA,83,FALSE)))</f>
        <v/>
      </c>
      <c r="E68" s="71" t="str">
        <f>IF(B68="","",COUNTIF('Payroll structure'!$C:$C,B68))</f>
        <v/>
      </c>
      <c r="F68" s="72" t="str">
        <f t="array" ref="F68">IF(
  B68="", "",
  SUMPRODUCT(
    --('Payroll structure'!$C$2:$C$1000 = B68),
    'Payroll structure'!$E$2:$E$1000,
    'Payroll structure'!$M$2:$M$1000
  ) / E68
)</f>
        <v/>
      </c>
      <c r="G68" s="71" t="str">
        <f>IF(B68="","",SUMIF('Payroll structure'!$C:$C,B68,'Payroll structure'!$N:$N)/E68)</f>
        <v/>
      </c>
      <c r="H68" s="73" t="str">
        <f>IF(B68="","",IFERROR(SUMIF('Payroll structure'!$C:$C,B68,'Payroll structure'!$O:$O)/E68/F68/G68,0))</f>
        <v/>
      </c>
      <c r="I68" s="74">
        <f t="shared" si="8"/>
        <v>0</v>
      </c>
      <c r="J68" s="75" t="str">
        <f>IF($B68="","",SUMIF('Payroll structure'!$C:$C,$B68,'Payroll structure'!P:P))</f>
        <v/>
      </c>
      <c r="K68" s="76" t="str">
        <f>IF($B68="","",SUMIF('Payroll structure'!$C:$C,$B68,'Payroll structure'!Q:Q))</f>
        <v/>
      </c>
      <c r="L68" s="76" t="str">
        <f>IF($B68="","",SUMIF('Payroll structure'!$C:$C,$B68,'Payroll structure'!R:R))</f>
        <v/>
      </c>
      <c r="M68" s="78"/>
      <c r="N68" s="79">
        <f t="shared" si="9"/>
        <v>0</v>
      </c>
    </row>
    <row r="69" s="23" customFormat="1" ht="12.75" customHeight="1" outlineLevel="1">
      <c r="A69" s="104" t="str">
        <f t="shared" si="7"/>
        <v>3.14</v>
      </c>
      <c r="B69" s="113" t="str">
        <f t="array" ref="B69">IFERROR(
 INDEX('Payroll structure'!$C$9:$C$158,
       MATCH(
         SMALL(
           IF(('Payroll structure'!$C$9:$C$158&lt;&gt;"")*
                (COUNTIF($B$55:B68,'Payroll structure'!$C$9:$C$158)=0),
                COUNTIF('Payroll structure'!$C$9:$C$158,
                           "&lt;"&amp;'Payroll structure'!$C$9:$C$158)),
           1),
         IF(('Payroll structure'!$C$9:$C$158&lt;&gt;"")*
              (COUNTIF($B$55:B68,'Payroll structure'!$C$9:$C$158)=0),
              COUNTIF('Payroll structure'!$C$9:$C$158,
                         "&lt;"&amp;'Payroll structure'!$C$9:$C$158)),
         0)),
 "")</f>
        <v/>
      </c>
      <c r="C69" s="114"/>
      <c r="D69" s="102" t="str">
        <f>IF(B69="","",IF(Budget!$I$3="","",VLOOKUP(Budget!$I$3,Sprachversionen!$B:$EA,83,FALSE)))</f>
        <v/>
      </c>
      <c r="E69" s="71" t="str">
        <f>IF(B69="","",COUNTIF('Payroll structure'!$C:$C,B69))</f>
        <v/>
      </c>
      <c r="F69" s="72" t="str">
        <f t="array" ref="F69">IF(
  B69="", "",
  SUMPRODUCT(
    --('Payroll structure'!$C$2:$C$1000 = B69),
    'Payroll structure'!$E$2:$E$1000,
    'Payroll structure'!$M$2:$M$1000
  ) / E69
)</f>
        <v/>
      </c>
      <c r="G69" s="71" t="str">
        <f>IF(B69="","",SUMIF('Payroll structure'!$C:$C,B69,'Payroll structure'!$N:$N)/E69)</f>
        <v/>
      </c>
      <c r="H69" s="73" t="str">
        <f>IF(B69="","",IFERROR(SUMIF('Payroll structure'!$C:$C,B69,'Payroll structure'!$O:$O)/E69/F69/G69,0))</f>
        <v/>
      </c>
      <c r="I69" s="74">
        <f t="shared" si="8"/>
        <v>0</v>
      </c>
      <c r="J69" s="75" t="str">
        <f>IF($B69="","",SUMIF('Payroll structure'!$C:$C,$B69,'Payroll structure'!P:P))</f>
        <v/>
      </c>
      <c r="K69" s="76" t="str">
        <f>IF($B69="","",SUMIF('Payroll structure'!$C:$C,$B69,'Payroll structure'!Q:Q))</f>
        <v/>
      </c>
      <c r="L69" s="76" t="str">
        <f>IF($B69="","",SUMIF('Payroll structure'!$C:$C,$B69,'Payroll structure'!R:R))</f>
        <v/>
      </c>
      <c r="M69" s="78"/>
      <c r="N69" s="79">
        <f t="shared" si="9"/>
        <v>0</v>
      </c>
    </row>
    <row r="70" s="23" customFormat="1" ht="12.75" customHeight="1" outlineLevel="1">
      <c r="A70" s="104" t="str">
        <f t="shared" si="7"/>
        <v>3.15</v>
      </c>
      <c r="B70" s="113" t="str">
        <f t="array" ref="B70">IFERROR(
 INDEX('Payroll structure'!$C$9:$C$158,
       MATCH(
         SMALL(
           IF(('Payroll structure'!$C$9:$C$158&lt;&gt;"")*
                (COUNTIF($B$55:B69,'Payroll structure'!$C$9:$C$158)=0),
                COUNTIF('Payroll structure'!$C$9:$C$158,
                           "&lt;"&amp;'Payroll structure'!$C$9:$C$158)),
           1),
         IF(('Payroll structure'!$C$9:$C$158&lt;&gt;"")*
              (COUNTIF($B$55:B69,'Payroll structure'!$C$9:$C$158)=0),
              COUNTIF('Payroll structure'!$C$9:$C$158,
                         "&lt;"&amp;'Payroll structure'!$C$9:$C$158)),
         0)),
 "")</f>
        <v/>
      </c>
      <c r="C70" s="114"/>
      <c r="D70" s="102" t="str">
        <f>IF(B70="","",IF(Budget!$I$3="","",VLOOKUP(Budget!$I$3,Sprachversionen!$B:$EA,83,FALSE)))</f>
        <v/>
      </c>
      <c r="E70" s="71" t="str">
        <f>IF(B70="","",COUNTIF('Payroll structure'!$C:$C,B70))</f>
        <v/>
      </c>
      <c r="F70" s="72" t="str">
        <f t="array" ref="F70">IF(
  B70="", "",
  SUMPRODUCT(
    --('Payroll structure'!$C$2:$C$1000 = B70),
    'Payroll structure'!$E$2:$E$1000,
    'Payroll structure'!$M$2:$M$1000
  ) / E70
)</f>
        <v/>
      </c>
      <c r="G70" s="71" t="str">
        <f>IF(B70="","",SUMIF('Payroll structure'!$C:$C,B70,'Payroll structure'!$N:$N)/E70)</f>
        <v/>
      </c>
      <c r="H70" s="73" t="str">
        <f>IF(B70="","",IFERROR(SUMIF('Payroll structure'!$C:$C,B70,'Payroll structure'!$O:$O)/E70/F70/G70,0))</f>
        <v/>
      </c>
      <c r="I70" s="74">
        <f t="shared" si="8"/>
        <v>0</v>
      </c>
      <c r="J70" s="75" t="str">
        <f>IF($B70="","",SUMIF('Payroll structure'!$C:$C,$B70,'Payroll structure'!P:P))</f>
        <v/>
      </c>
      <c r="K70" s="76" t="str">
        <f>IF($B70="","",SUMIF('Payroll structure'!$C:$C,$B70,'Payroll structure'!Q:Q))</f>
        <v/>
      </c>
      <c r="L70" s="76" t="str">
        <f>IF($B70="","",SUMIF('Payroll structure'!$C:$C,$B70,'Payroll structure'!R:R))</f>
        <v/>
      </c>
      <c r="M70" s="78"/>
      <c r="N70" s="79">
        <f t="shared" si="9"/>
        <v>0</v>
      </c>
    </row>
    <row r="71" s="23" customFormat="1" ht="12.75" customHeight="1" outlineLevel="1">
      <c r="A71" s="104" t="str">
        <f t="shared" si="7"/>
        <v>3.16</v>
      </c>
      <c r="B71" s="113" t="str">
        <f t="array" ref="B71">IFERROR(
 INDEX('Payroll structure'!$C$9:$C$158,
       MATCH(
         SMALL(
           IF(('Payroll structure'!$C$9:$C$158&lt;&gt;"")*
                (COUNTIF($B$55:B70,'Payroll structure'!$C$9:$C$158)=0),
                COUNTIF('Payroll structure'!$C$9:$C$158,
                           "&lt;"&amp;'Payroll structure'!$C$9:$C$158)),
           1),
         IF(('Payroll structure'!$C$9:$C$158&lt;&gt;"")*
              (COUNTIF($B$55:B70,'Payroll structure'!$C$9:$C$158)=0),
              COUNTIF('Payroll structure'!$C$9:$C$158,
                         "&lt;"&amp;'Payroll structure'!$C$9:$C$158)),
         0)),
 "")</f>
        <v/>
      </c>
      <c r="C71" s="114"/>
      <c r="D71" s="102" t="str">
        <f>IF(B71="","",IF(Budget!$I$3="","",VLOOKUP(Budget!$I$3,Sprachversionen!$B:$EA,83,FALSE)))</f>
        <v/>
      </c>
      <c r="E71" s="71" t="str">
        <f>IF(B71="","",COUNTIF('Payroll structure'!$C:$C,B71))</f>
        <v/>
      </c>
      <c r="F71" s="72" t="str">
        <f t="array" ref="F71">IF(
  B71="", "",
  SUMPRODUCT(
    --('Payroll structure'!$C$2:$C$1000 = B71),
    'Payroll structure'!$E$2:$E$1000,
    'Payroll structure'!$M$2:$M$1000
  ) / E71
)</f>
        <v/>
      </c>
      <c r="G71" s="71" t="str">
        <f>IF(B71="","",SUMIF('Payroll structure'!$C:$C,B71,'Payroll structure'!$N:$N)/E71)</f>
        <v/>
      </c>
      <c r="H71" s="73" t="str">
        <f>IF(B71="","",IFERROR(SUMIF('Payroll structure'!$C:$C,B71,'Payroll structure'!$O:$O)/E71/F71/G71,0))</f>
        <v/>
      </c>
      <c r="I71" s="74">
        <f t="shared" si="8"/>
        <v>0</v>
      </c>
      <c r="J71" s="75" t="str">
        <f>IF($B71="","",SUMIF('Payroll structure'!$C:$C,$B71,'Payroll structure'!P:P))</f>
        <v/>
      </c>
      <c r="K71" s="76" t="str">
        <f>IF($B71="","",SUMIF('Payroll structure'!$C:$C,$B71,'Payroll structure'!Q:Q))</f>
        <v/>
      </c>
      <c r="L71" s="76" t="str">
        <f>IF($B71="","",SUMIF('Payroll structure'!$C:$C,$B71,'Payroll structure'!R:R))</f>
        <v/>
      </c>
      <c r="M71" s="78"/>
      <c r="N71" s="79">
        <f t="shared" si="9"/>
        <v>0</v>
      </c>
    </row>
    <row r="72" s="23" customFormat="1" ht="12.75" customHeight="1" outlineLevel="1">
      <c r="A72" s="104" t="str">
        <f t="shared" si="7"/>
        <v>3.17</v>
      </c>
      <c r="B72" s="113" t="str">
        <f t="array" ref="B72">IFERROR(
 INDEX('Payroll structure'!$C$9:$C$158,
       MATCH(
         SMALL(
           IF(('Payroll structure'!$C$9:$C$158&lt;&gt;"")*
                (COUNTIF($B$55:B71,'Payroll structure'!$C$9:$C$158)=0),
                COUNTIF('Payroll structure'!$C$9:$C$158,
                           "&lt;"&amp;'Payroll structure'!$C$9:$C$158)),
           1),
         IF(('Payroll structure'!$C$9:$C$158&lt;&gt;"")*
              (COUNTIF($B$55:B71,'Payroll structure'!$C$9:$C$158)=0),
              COUNTIF('Payroll structure'!$C$9:$C$158,
                         "&lt;"&amp;'Payroll structure'!$C$9:$C$158)),
         0)),
 "")</f>
        <v/>
      </c>
      <c r="C72" s="114"/>
      <c r="D72" s="102" t="str">
        <f>IF(B72="","",IF(Budget!$I$3="","",VLOOKUP(Budget!$I$3,Sprachversionen!$B:$EA,83,FALSE)))</f>
        <v/>
      </c>
      <c r="E72" s="71" t="str">
        <f>IF(B72="","",COUNTIF('Payroll structure'!$C:$C,B72))</f>
        <v/>
      </c>
      <c r="F72" s="72" t="str">
        <f t="array" ref="F72">IF(
  B72="", "",
  SUMPRODUCT(
    --('Payroll structure'!$C$2:$C$1000 = B72),
    'Payroll structure'!$E$2:$E$1000,
    'Payroll structure'!$M$2:$M$1000
  ) / E72
)</f>
        <v/>
      </c>
      <c r="G72" s="71" t="str">
        <f>IF(B72="","",SUMIF('Payroll structure'!$C:$C,B72,'Payroll structure'!$N:$N)/E72)</f>
        <v/>
      </c>
      <c r="H72" s="73" t="str">
        <f>IF(B72="","",IFERROR(SUMIF('Payroll structure'!$C:$C,B72,'Payroll structure'!$O:$O)/E72/F72/G72,0))</f>
        <v/>
      </c>
      <c r="I72" s="74">
        <f t="shared" si="8"/>
        <v>0</v>
      </c>
      <c r="J72" s="75" t="str">
        <f>IF($B72="","",SUMIF('Payroll structure'!$C:$C,$B72,'Payroll structure'!P:P))</f>
        <v/>
      </c>
      <c r="K72" s="76" t="str">
        <f>IF($B72="","",SUMIF('Payroll structure'!$C:$C,$B72,'Payroll structure'!Q:Q))</f>
        <v/>
      </c>
      <c r="L72" s="76" t="str">
        <f>IF($B72="","",SUMIF('Payroll structure'!$C:$C,$B72,'Payroll structure'!R:R))</f>
        <v/>
      </c>
      <c r="M72" s="78"/>
      <c r="N72" s="79">
        <f t="shared" si="9"/>
        <v>0</v>
      </c>
    </row>
    <row r="73" s="23" customFormat="1" ht="12.75" customHeight="1" outlineLevel="1">
      <c r="A73" s="104" t="str">
        <f t="shared" si="7"/>
        <v>3.18</v>
      </c>
      <c r="B73" s="113" t="str">
        <f t="array" ref="B73">IFERROR(
 INDEX('Payroll structure'!$C$9:$C$158,
       MATCH(
         SMALL(
           IF(('Payroll structure'!$C$9:$C$158&lt;&gt;"")*
                (COUNTIF($B$55:B72,'Payroll structure'!$C$9:$C$158)=0),
                COUNTIF('Payroll structure'!$C$9:$C$158,
                           "&lt;"&amp;'Payroll structure'!$C$9:$C$158)),
           1),
         IF(('Payroll structure'!$C$9:$C$158&lt;&gt;"")*
              (COUNTIF($B$55:B72,'Payroll structure'!$C$9:$C$158)=0),
              COUNTIF('Payroll structure'!$C$9:$C$158,
                         "&lt;"&amp;'Payroll structure'!$C$9:$C$158)),
         0)),
 "")</f>
        <v/>
      </c>
      <c r="C73" s="114"/>
      <c r="D73" s="102" t="str">
        <f>IF(B73="","",IF(Budget!$I$3="","",VLOOKUP(Budget!$I$3,Sprachversionen!$B:$EA,83,FALSE)))</f>
        <v/>
      </c>
      <c r="E73" s="71" t="str">
        <f>IF(B73="","",COUNTIF('Payroll structure'!$C:$C,B73))</f>
        <v/>
      </c>
      <c r="F73" s="72" t="str">
        <f t="array" ref="F73">IF(
  B73="", "",
  SUMPRODUCT(
    --('Payroll structure'!$C$2:$C$1000 = B73),
    'Payroll structure'!$E$2:$E$1000,
    'Payroll structure'!$M$2:$M$1000
  ) / E73
)</f>
        <v/>
      </c>
      <c r="G73" s="71" t="str">
        <f>IF(B73="","",SUMIF('Payroll structure'!$C:$C,B73,'Payroll structure'!$N:$N)/E73)</f>
        <v/>
      </c>
      <c r="H73" s="73" t="str">
        <f>IF(B73="","",IFERROR(SUMIF('Payroll structure'!$C:$C,B73,'Payroll structure'!$O:$O)/E73/F73/G73,0))</f>
        <v/>
      </c>
      <c r="I73" s="74">
        <f t="shared" si="8"/>
        <v>0</v>
      </c>
      <c r="J73" s="75" t="str">
        <f>IF($B73="","",SUMIF('Payroll structure'!$C:$C,$B73,'Payroll structure'!P:P))</f>
        <v/>
      </c>
      <c r="K73" s="76" t="str">
        <f>IF($B73="","",SUMIF('Payroll structure'!$C:$C,$B73,'Payroll structure'!Q:Q))</f>
        <v/>
      </c>
      <c r="L73" s="76" t="str">
        <f>IF($B73="","",SUMIF('Payroll structure'!$C:$C,$B73,'Payroll structure'!R:R))</f>
        <v/>
      </c>
      <c r="M73" s="78"/>
      <c r="N73" s="79">
        <f t="shared" si="9"/>
        <v>0</v>
      </c>
    </row>
    <row r="74" s="23" customFormat="1" ht="12.75" customHeight="1" outlineLevel="1">
      <c r="A74" s="104" t="str">
        <f t="shared" si="7"/>
        <v>3.19</v>
      </c>
      <c r="B74" s="113" t="str">
        <f t="array" ref="B74">IFERROR(
 INDEX('Payroll structure'!$C$9:$C$158,
       MATCH(
         SMALL(
           IF(('Payroll structure'!$C$9:$C$158&lt;&gt;"")*
                (COUNTIF($B$55:B73,'Payroll structure'!$C$9:$C$158)=0),
                COUNTIF('Payroll structure'!$C$9:$C$158,
                           "&lt;"&amp;'Payroll structure'!$C$9:$C$158)),
           1),
         IF(('Payroll structure'!$C$9:$C$158&lt;&gt;"")*
              (COUNTIF($B$55:B73,'Payroll structure'!$C$9:$C$158)=0),
              COUNTIF('Payroll structure'!$C$9:$C$158,
                         "&lt;"&amp;'Payroll structure'!$C$9:$C$158)),
         0)),
 "")</f>
        <v/>
      </c>
      <c r="C74" s="114"/>
      <c r="D74" s="102" t="str">
        <f>IF(B74="","",IF(Budget!$I$3="","",VLOOKUP(Budget!$I$3,Sprachversionen!$B:$EA,83,FALSE)))</f>
        <v/>
      </c>
      <c r="E74" s="71" t="str">
        <f>IF(B74="","",COUNTIF('Payroll structure'!$C:$C,B74))</f>
        <v/>
      </c>
      <c r="F74" s="72" t="str">
        <f t="array" ref="F74">IF(
  B74="", "",
  SUMPRODUCT(
    --('Payroll structure'!$C$2:$C$1000 = B74),
    'Payroll structure'!$E$2:$E$1000,
    'Payroll structure'!$M$2:$M$1000
  ) / E74
)</f>
        <v/>
      </c>
      <c r="G74" s="71" t="str">
        <f>IF(B74="","",SUMIF('Payroll structure'!$C:$C,B74,'Payroll structure'!$N:$N)/E74)</f>
        <v/>
      </c>
      <c r="H74" s="73" t="str">
        <f>IF(B74="","",IFERROR(SUMIF('Payroll structure'!$C:$C,B74,'Payroll structure'!$O:$O)/E74/F74/G74,0))</f>
        <v/>
      </c>
      <c r="I74" s="74">
        <f t="shared" si="8"/>
        <v>0</v>
      </c>
      <c r="J74" s="75" t="str">
        <f>IF($B74="","",SUMIF('Payroll structure'!$C:$C,$B74,'Payroll structure'!P:P))</f>
        <v/>
      </c>
      <c r="K74" s="76" t="str">
        <f>IF($B74="","",SUMIF('Payroll structure'!$C:$C,$B74,'Payroll structure'!Q:Q))</f>
        <v/>
      </c>
      <c r="L74" s="76" t="str">
        <f>IF($B74="","",SUMIF('Payroll structure'!$C:$C,$B74,'Payroll structure'!R:R))</f>
        <v/>
      </c>
      <c r="M74" s="78"/>
      <c r="N74" s="79">
        <f t="shared" si="9"/>
        <v>0</v>
      </c>
    </row>
    <row r="75" s="23" customFormat="1" ht="12.75" customHeight="1" outlineLevel="1">
      <c r="A75" s="104" t="str">
        <f t="shared" si="7"/>
        <v>3.20</v>
      </c>
      <c r="B75" s="113" t="str">
        <f t="array" ref="B75">IFERROR(
 INDEX('Payroll structure'!$C$9:$C$158,
       MATCH(
         SMALL(
           IF(('Payroll structure'!$C$9:$C$158&lt;&gt;"")*
                (COUNTIF($B$55:B74,'Payroll structure'!$C$9:$C$158)=0),
                COUNTIF('Payroll structure'!$C$9:$C$158,
                           "&lt;"&amp;'Payroll structure'!$C$9:$C$158)),
           1),
         IF(('Payroll structure'!$C$9:$C$158&lt;&gt;"")*
              (COUNTIF($B$55:B74,'Payroll structure'!$C$9:$C$158)=0),
              COUNTIF('Payroll structure'!$C$9:$C$158,
                         "&lt;"&amp;'Payroll structure'!$C$9:$C$158)),
         0)),
 "")</f>
        <v/>
      </c>
      <c r="C75" s="114"/>
      <c r="D75" s="102" t="str">
        <f>IF(B75="","",IF(Budget!$I$3="","",VLOOKUP(Budget!$I$3,Sprachversionen!$B:$EA,83,FALSE)))</f>
        <v/>
      </c>
      <c r="E75" s="71" t="str">
        <f>IF(B75="","",COUNTIF('Payroll structure'!$C:$C,B75))</f>
        <v/>
      </c>
      <c r="F75" s="72" t="str">
        <f t="array" ref="F75">IF(
  B75="", "",
  SUMPRODUCT(
    --('Payroll structure'!$C$2:$C$1000 = B75),
    'Payroll structure'!$E$2:$E$1000,
    'Payroll structure'!$M$2:$M$1000
  ) / E75
)</f>
        <v/>
      </c>
      <c r="G75" s="71" t="str">
        <f>IF(B75="","",SUMIF('Payroll structure'!$C:$C,B75,'Payroll structure'!$N:$N)/E75)</f>
        <v/>
      </c>
      <c r="H75" s="73" t="str">
        <f>IF(B75="","",IFERROR(SUMIF('Payroll structure'!$C:$C,B75,'Payroll structure'!$O:$O)/E75/F75/G75,0))</f>
        <v/>
      </c>
      <c r="I75" s="74">
        <f t="shared" si="8"/>
        <v>0</v>
      </c>
      <c r="J75" s="75" t="str">
        <f>IF($B75="","",SUMIF('Payroll structure'!$C:$C,$B75,'Payroll structure'!P:P))</f>
        <v/>
      </c>
      <c r="K75" s="76" t="str">
        <f>IF($B75="","",SUMIF('Payroll structure'!$C:$C,$B75,'Payroll structure'!Q:Q))</f>
        <v/>
      </c>
      <c r="L75" s="76" t="str">
        <f>IF($B75="","",SUMIF('Payroll structure'!$C:$C,$B75,'Payroll structure'!R:R))</f>
        <v/>
      </c>
      <c r="M75" s="78"/>
      <c r="N75" s="79">
        <f t="shared" si="9"/>
        <v>0</v>
      </c>
    </row>
    <row r="76" s="23" customFormat="1" ht="12.75" customHeight="1" outlineLevel="1">
      <c r="A76" s="104" t="str">
        <f t="shared" si="7"/>
        <v>3.21</v>
      </c>
      <c r="B76" s="113" t="str">
        <f t="array" ref="B76">IFERROR(
 INDEX('Payroll structure'!$C$9:$C$158,
       MATCH(
         SMALL(
           IF(('Payroll structure'!$C$9:$C$158&lt;&gt;"")*
                (COUNTIF($B$55:B75,'Payroll structure'!$C$9:$C$158)=0),
                COUNTIF('Payroll structure'!$C$9:$C$158,
                           "&lt;"&amp;'Payroll structure'!$C$9:$C$158)),
           1),
         IF(('Payroll structure'!$C$9:$C$158&lt;&gt;"")*
              (COUNTIF($B$55:B75,'Payroll structure'!$C$9:$C$158)=0),
              COUNTIF('Payroll structure'!$C$9:$C$158,
                         "&lt;"&amp;'Payroll structure'!$C$9:$C$158)),
         0)),
 "")</f>
        <v/>
      </c>
      <c r="C76" s="114"/>
      <c r="D76" s="102" t="str">
        <f>IF(B76="","",IF(Budget!$I$3="","",VLOOKUP(Budget!$I$3,Sprachversionen!$B:$EA,83,FALSE)))</f>
        <v/>
      </c>
      <c r="E76" s="71" t="str">
        <f>IF(B76="","",COUNTIF('Payroll structure'!$C:$C,B76))</f>
        <v/>
      </c>
      <c r="F76" s="72" t="str">
        <f t="array" ref="F76">IF(
  B76="", "",
  SUMPRODUCT(
    --('Payroll structure'!$C$2:$C$1000 = B76),
    'Payroll structure'!$E$2:$E$1000,
    'Payroll structure'!$M$2:$M$1000
  ) / E76
)</f>
        <v/>
      </c>
      <c r="G76" s="71" t="str">
        <f>IF(B76="","",SUMIF('Payroll structure'!$C:$C,B76,'Payroll structure'!$N:$N)/E76)</f>
        <v/>
      </c>
      <c r="H76" s="73" t="str">
        <f>IF(B76="","",IFERROR(SUMIF('Payroll structure'!$C:$C,B76,'Payroll structure'!$O:$O)/E76/F76/G76,0))</f>
        <v/>
      </c>
      <c r="I76" s="74">
        <f t="shared" si="8"/>
        <v>0</v>
      </c>
      <c r="J76" s="75" t="str">
        <f>IF($B76="","",SUMIF('Payroll structure'!$C:$C,$B76,'Payroll structure'!P:P))</f>
        <v/>
      </c>
      <c r="K76" s="76" t="str">
        <f>IF($B76="","",SUMIF('Payroll structure'!$C:$C,$B76,'Payroll structure'!Q:Q))</f>
        <v/>
      </c>
      <c r="L76" s="76" t="str">
        <f>IF($B76="","",SUMIF('Payroll structure'!$C:$C,$B76,'Payroll structure'!R:R))</f>
        <v/>
      </c>
      <c r="M76" s="78"/>
      <c r="N76" s="79">
        <f t="shared" si="9"/>
        <v>0</v>
      </c>
    </row>
    <row r="77" s="23" customFormat="1" ht="12.75" customHeight="1" outlineLevel="1">
      <c r="A77" s="104" t="str">
        <f t="shared" si="7"/>
        <v>3.22</v>
      </c>
      <c r="B77" s="113" t="str">
        <f t="array" ref="B77">IFERROR(
 INDEX('Payroll structure'!$C$9:$C$158,
       MATCH(
         SMALL(
           IF(('Payroll structure'!$C$9:$C$158&lt;&gt;"")*
                (COUNTIF($B$55:B76,'Payroll structure'!$C$9:$C$158)=0),
                COUNTIF('Payroll structure'!$C$9:$C$158,
                           "&lt;"&amp;'Payroll structure'!$C$9:$C$158)),
           1),
         IF(('Payroll structure'!$C$9:$C$158&lt;&gt;"")*
              (COUNTIF($B$55:B76,'Payroll structure'!$C$9:$C$158)=0),
              COUNTIF('Payroll structure'!$C$9:$C$158,
                         "&lt;"&amp;'Payroll structure'!$C$9:$C$158)),
         0)),
 "")</f>
        <v/>
      </c>
      <c r="C77" s="114"/>
      <c r="D77" s="102" t="str">
        <f>IF(B77="","",IF(Budget!$I$3="","",VLOOKUP(Budget!$I$3,Sprachversionen!$B:$EA,83,FALSE)))</f>
        <v/>
      </c>
      <c r="E77" s="71" t="str">
        <f>IF(B77="","",COUNTIF('Payroll structure'!$C:$C,B77))</f>
        <v/>
      </c>
      <c r="F77" s="72" t="str">
        <f t="array" ref="F77">IF(
  B77="", "",
  SUMPRODUCT(
    --('Payroll structure'!$C$2:$C$1000 = B77),
    'Payroll structure'!$E$2:$E$1000,
    'Payroll structure'!$M$2:$M$1000
  ) / E77
)</f>
        <v/>
      </c>
      <c r="G77" s="71" t="str">
        <f>IF(B77="","",SUMIF('Payroll structure'!$C:$C,B77,'Payroll structure'!$N:$N)/E77)</f>
        <v/>
      </c>
      <c r="H77" s="73" t="str">
        <f>IF(B77="","",IFERROR(SUMIF('Payroll structure'!$C:$C,B77,'Payroll structure'!$O:$O)/E77/F77/G77,0))</f>
        <v/>
      </c>
      <c r="I77" s="74">
        <f t="shared" si="8"/>
        <v>0</v>
      </c>
      <c r="J77" s="75" t="str">
        <f>IF($B77="","",SUMIF('Payroll structure'!$C:$C,$B77,'Payroll structure'!P:P))</f>
        <v/>
      </c>
      <c r="K77" s="76" t="str">
        <f>IF($B77="","",SUMIF('Payroll structure'!$C:$C,$B77,'Payroll structure'!Q:Q))</f>
        <v/>
      </c>
      <c r="L77" s="76" t="str">
        <f>IF($B77="","",SUMIF('Payroll structure'!$C:$C,$B77,'Payroll structure'!R:R))</f>
        <v/>
      </c>
      <c r="M77" s="78"/>
      <c r="N77" s="79">
        <f t="shared" si="9"/>
        <v>0</v>
      </c>
    </row>
    <row r="78" s="23" customFormat="1" ht="12.75" customHeight="1" outlineLevel="1">
      <c r="A78" s="104" t="str">
        <f t="shared" si="7"/>
        <v>3.23</v>
      </c>
      <c r="B78" s="113" t="str">
        <f t="array" ref="B78">IFERROR(
 INDEX('Payroll structure'!$C$9:$C$158,
       MATCH(
         SMALL(
           IF(('Payroll structure'!$C$9:$C$158&lt;&gt;"")*
                (COUNTIF($B$55:B77,'Payroll structure'!$C$9:$C$158)=0),
                COUNTIF('Payroll structure'!$C$9:$C$158,
                           "&lt;"&amp;'Payroll structure'!$C$9:$C$158)),
           1),
         IF(('Payroll structure'!$C$9:$C$158&lt;&gt;"")*
              (COUNTIF($B$55:B77,'Payroll structure'!$C$9:$C$158)=0),
              COUNTIF('Payroll structure'!$C$9:$C$158,
                         "&lt;"&amp;'Payroll structure'!$C$9:$C$158)),
         0)),
 "")</f>
        <v/>
      </c>
      <c r="C78" s="114"/>
      <c r="D78" s="102" t="str">
        <f>IF(B78="","",IF(Budget!$I$3="","",VLOOKUP(Budget!$I$3,Sprachversionen!$B:$EA,83,FALSE)))</f>
        <v/>
      </c>
      <c r="E78" s="71" t="str">
        <f>IF(B78="","",COUNTIF('Payroll structure'!$C:$C,B78))</f>
        <v/>
      </c>
      <c r="F78" s="72" t="str">
        <f t="array" ref="F78">IF(
  B78="", "",
  SUMPRODUCT(
    --('Payroll structure'!$C$2:$C$1000 = B78),
    'Payroll structure'!$E$2:$E$1000,
    'Payroll structure'!$M$2:$M$1000
  ) / E78
)</f>
        <v/>
      </c>
      <c r="G78" s="71" t="str">
        <f>IF(B78="","",SUMIF('Payroll structure'!$C:$C,B78,'Payroll structure'!$N:$N)/E78)</f>
        <v/>
      </c>
      <c r="H78" s="73" t="str">
        <f>IF(B78="","",IFERROR(SUMIF('Payroll structure'!$C:$C,B78,'Payroll structure'!$O:$O)/E78/F78/G78,0))</f>
        <v/>
      </c>
      <c r="I78" s="74">
        <f t="shared" si="8"/>
        <v>0</v>
      </c>
      <c r="J78" s="75" t="str">
        <f>IF($B78="","",SUMIF('Payroll structure'!$C:$C,$B78,'Payroll structure'!P:P))</f>
        <v/>
      </c>
      <c r="K78" s="76" t="str">
        <f>IF($B78="","",SUMIF('Payroll structure'!$C:$C,$B78,'Payroll structure'!Q:Q))</f>
        <v/>
      </c>
      <c r="L78" s="76" t="str">
        <f>IF($B78="","",SUMIF('Payroll structure'!$C:$C,$B78,'Payroll structure'!R:R))</f>
        <v/>
      </c>
      <c r="M78" s="78"/>
      <c r="N78" s="79">
        <f t="shared" si="9"/>
        <v>0</v>
      </c>
    </row>
    <row r="79" s="23" customFormat="1" ht="12.75" customHeight="1" outlineLevel="1">
      <c r="A79" s="104" t="str">
        <f t="shared" si="7"/>
        <v>3.24</v>
      </c>
      <c r="B79" s="113" t="str">
        <f t="array" ref="B79">IFERROR(
 INDEX('Payroll structure'!$C$9:$C$158,
       MATCH(
         SMALL(
           IF(('Payroll structure'!$C$9:$C$158&lt;&gt;"")*
                (COUNTIF($B$55:B78,'Payroll structure'!$C$9:$C$158)=0),
                COUNTIF('Payroll structure'!$C$9:$C$158,
                           "&lt;"&amp;'Payroll structure'!$C$9:$C$158)),
           1),
         IF(('Payroll structure'!$C$9:$C$158&lt;&gt;"")*
              (COUNTIF($B$55:B78,'Payroll structure'!$C$9:$C$158)=0),
              COUNTIF('Payroll structure'!$C$9:$C$158,
                         "&lt;"&amp;'Payroll structure'!$C$9:$C$158)),
         0)),
 "")</f>
        <v/>
      </c>
      <c r="C79" s="114"/>
      <c r="D79" s="102" t="str">
        <f>IF(B79="","",IF(Budget!$I$3="","",VLOOKUP(Budget!$I$3,Sprachversionen!$B:$EA,83,FALSE)))</f>
        <v/>
      </c>
      <c r="E79" s="71" t="str">
        <f>IF(B79="","",COUNTIF('Payroll structure'!$C:$C,B79))</f>
        <v/>
      </c>
      <c r="F79" s="72" t="str">
        <f t="array" ref="F79">IF(
  B79="", "",
  SUMPRODUCT(
    --('Payroll structure'!$C$2:$C$1000 = B79),
    'Payroll structure'!$E$2:$E$1000,
    'Payroll structure'!$M$2:$M$1000
  ) / E79
)</f>
        <v/>
      </c>
      <c r="G79" s="71" t="str">
        <f>IF(B79="","",SUMIF('Payroll structure'!$C:$C,B79,'Payroll structure'!$N:$N)/E79)</f>
        <v/>
      </c>
      <c r="H79" s="73" t="str">
        <f>IF(B79="","",IFERROR(SUMIF('Payroll structure'!$C:$C,B79,'Payroll structure'!$O:$O)/E79/F79/G79,0))</f>
        <v/>
      </c>
      <c r="I79" s="74">
        <f t="shared" si="8"/>
        <v>0</v>
      </c>
      <c r="J79" s="75" t="str">
        <f>IF($B79="","",SUMIF('Payroll structure'!$C:$C,$B79,'Payroll structure'!P:P))</f>
        <v/>
      </c>
      <c r="K79" s="76" t="str">
        <f>IF($B79="","",SUMIF('Payroll structure'!$C:$C,$B79,'Payroll structure'!Q:Q))</f>
        <v/>
      </c>
      <c r="L79" s="76" t="str">
        <f>IF($B79="","",SUMIF('Payroll structure'!$C:$C,$B79,'Payroll structure'!R:R))</f>
        <v/>
      </c>
      <c r="M79" s="78"/>
      <c r="N79" s="79">
        <f t="shared" si="9"/>
        <v>0</v>
      </c>
    </row>
    <row r="80" s="23" customFormat="1" ht="12.75" customHeight="1" outlineLevel="1">
      <c r="A80" s="104" t="str">
        <f t="shared" si="7"/>
        <v>3.25</v>
      </c>
      <c r="B80" s="113" t="str">
        <f t="array" ref="B80">IFERROR(
 INDEX('Payroll structure'!$C$9:$C$158,
       MATCH(
         SMALL(
           IF(('Payroll structure'!$C$9:$C$158&lt;&gt;"")*
                (COUNTIF($B$55:B79,'Payroll structure'!$C$9:$C$158)=0),
                COUNTIF('Payroll structure'!$C$9:$C$158,
                           "&lt;"&amp;'Payroll structure'!$C$9:$C$158)),
           1),
         IF(('Payroll structure'!$C$9:$C$158&lt;&gt;"")*
              (COUNTIF($B$55:B79,'Payroll structure'!$C$9:$C$158)=0),
              COUNTIF('Payroll structure'!$C$9:$C$158,
                         "&lt;"&amp;'Payroll structure'!$C$9:$C$158)),
         0)),
 "")</f>
        <v/>
      </c>
      <c r="C80" s="114"/>
      <c r="D80" s="102" t="str">
        <f>IF(B80="","",IF(Budget!$I$3="","",VLOOKUP(Budget!$I$3,Sprachversionen!$B:$EA,83,FALSE)))</f>
        <v/>
      </c>
      <c r="E80" s="71" t="str">
        <f>IF(B80="","",COUNTIF('Payroll structure'!$C:$C,B80))</f>
        <v/>
      </c>
      <c r="F80" s="72" t="str">
        <f t="array" ref="F80">IF(
  B80="", "",
  SUMPRODUCT(
    --('Payroll structure'!$C$2:$C$1000 = B80),
    'Payroll structure'!$E$2:$E$1000,
    'Payroll structure'!$M$2:$M$1000
  ) / E80
)</f>
        <v/>
      </c>
      <c r="G80" s="71" t="str">
        <f>IF(B80="","",SUMIF('Payroll structure'!$C:$C,B80,'Payroll structure'!$N:$N)/E80)</f>
        <v/>
      </c>
      <c r="H80" s="73" t="str">
        <f>IF(B80="","",IFERROR(SUMIF('Payroll structure'!$C:$C,B80,'Payroll structure'!$O:$O)/E80/F80/G80,0))</f>
        <v/>
      </c>
      <c r="I80" s="74">
        <f t="shared" si="8"/>
        <v>0</v>
      </c>
      <c r="J80" s="75" t="str">
        <f>IF($B80="","",SUMIF('Payroll structure'!$C:$C,$B80,'Payroll structure'!P:P))</f>
        <v/>
      </c>
      <c r="K80" s="76" t="str">
        <f>IF($B80="","",SUMIF('Payroll structure'!$C:$C,$B80,'Payroll structure'!Q:Q))</f>
        <v/>
      </c>
      <c r="L80" s="76" t="str">
        <f>IF($B80="","",SUMIF('Payroll structure'!$C:$C,$B80,'Payroll structure'!R:R))</f>
        <v/>
      </c>
      <c r="M80" s="78"/>
      <c r="N80" s="79">
        <f t="shared" si="9"/>
        <v>0</v>
      </c>
    </row>
    <row r="81" s="23" customFormat="1" ht="12.75" customHeight="1" outlineLevel="1">
      <c r="A81" s="104" t="str">
        <f t="shared" si="7"/>
        <v>3.26</v>
      </c>
      <c r="B81" s="113" t="str">
        <f t="array" ref="B81">IFERROR(
 INDEX('Payroll structure'!$C$9:$C$158,
       MATCH(
         SMALL(
           IF(('Payroll structure'!$C$9:$C$158&lt;&gt;"")*
                (COUNTIF($B$55:B80,'Payroll structure'!$C$9:$C$158)=0),
                COUNTIF('Payroll structure'!$C$9:$C$158,
                           "&lt;"&amp;'Payroll structure'!$C$9:$C$158)),
           1),
         IF(('Payroll structure'!$C$9:$C$158&lt;&gt;"")*
              (COUNTIF($B$55:B80,'Payroll structure'!$C$9:$C$158)=0),
              COUNTIF('Payroll structure'!$C$9:$C$158,
                         "&lt;"&amp;'Payroll structure'!$C$9:$C$158)),
         0)),
 "")</f>
        <v/>
      </c>
      <c r="C81" s="114"/>
      <c r="D81" s="102" t="str">
        <f>IF(B81="","",IF(Budget!$I$3="","",VLOOKUP(Budget!$I$3,Sprachversionen!$B:$EA,83,FALSE)))</f>
        <v/>
      </c>
      <c r="E81" s="71" t="str">
        <f>IF(B81="","",COUNTIF('Payroll structure'!$C:$C,B81))</f>
        <v/>
      </c>
      <c r="F81" s="72" t="str">
        <f t="array" ref="F81">IF(
  B81="", "",
  SUMPRODUCT(
    --('Payroll structure'!$C$2:$C$1000 = B81),
    'Payroll structure'!$E$2:$E$1000,
    'Payroll structure'!$M$2:$M$1000
  ) / E81
)</f>
        <v/>
      </c>
      <c r="G81" s="71" t="str">
        <f>IF(B81="","",SUMIF('Payroll structure'!$C:$C,B81,'Payroll structure'!$N:$N)/E81)</f>
        <v/>
      </c>
      <c r="H81" s="73" t="str">
        <f>IF(B81="","",IFERROR(SUMIF('Payroll structure'!$C:$C,B81,'Payroll structure'!$O:$O)/E81/F81/G81,0))</f>
        <v/>
      </c>
      <c r="I81" s="74">
        <f t="shared" si="8"/>
        <v>0</v>
      </c>
      <c r="J81" s="75" t="str">
        <f>IF($B81="","",SUMIF('Payroll structure'!$C:$C,$B81,'Payroll structure'!P:P))</f>
        <v/>
      </c>
      <c r="K81" s="76" t="str">
        <f>IF($B81="","",SUMIF('Payroll structure'!$C:$C,$B81,'Payroll structure'!Q:Q))</f>
        <v/>
      </c>
      <c r="L81" s="76" t="str">
        <f>IF($B81="","",SUMIF('Payroll structure'!$C:$C,$B81,'Payroll structure'!R:R))</f>
        <v/>
      </c>
      <c r="M81" s="78"/>
      <c r="N81" s="79">
        <f t="shared" si="9"/>
        <v>0</v>
      </c>
    </row>
    <row r="82" s="23" customFormat="1" ht="12.75" customHeight="1" outlineLevel="1">
      <c r="A82" s="104" t="str">
        <f t="shared" si="7"/>
        <v>3.27</v>
      </c>
      <c r="B82" s="113" t="str">
        <f t="array" ref="B82">IFERROR(
 INDEX('Payroll structure'!$C$9:$C$158,
       MATCH(
         SMALL(
           IF(('Payroll structure'!$C$9:$C$158&lt;&gt;"")*
                (COUNTIF($B$55:B81,'Payroll structure'!$C$9:$C$158)=0),
                COUNTIF('Payroll structure'!$C$9:$C$158,
                           "&lt;"&amp;'Payroll structure'!$C$9:$C$158)),
           1),
         IF(('Payroll structure'!$C$9:$C$158&lt;&gt;"")*
              (COUNTIF($B$55:B81,'Payroll structure'!$C$9:$C$158)=0),
              COUNTIF('Payroll structure'!$C$9:$C$158,
                         "&lt;"&amp;'Payroll structure'!$C$9:$C$158)),
         0)),
 "")</f>
        <v/>
      </c>
      <c r="C82" s="114"/>
      <c r="D82" s="102" t="str">
        <f>IF(B82="","",IF(Budget!$I$3="","",VLOOKUP(Budget!$I$3,Sprachversionen!$B:$EA,83,FALSE)))</f>
        <v/>
      </c>
      <c r="E82" s="71" t="str">
        <f>IF(B82="","",COUNTIF('Payroll structure'!$C:$C,B82))</f>
        <v/>
      </c>
      <c r="F82" s="72" t="str">
        <f t="array" ref="F82">IF(
  B82="", "",
  SUMPRODUCT(
    --('Payroll structure'!$C$2:$C$1000 = B82),
    'Payroll structure'!$E$2:$E$1000,
    'Payroll structure'!$M$2:$M$1000
  ) / E82
)</f>
        <v/>
      </c>
      <c r="G82" s="71" t="str">
        <f>IF(B82="","",SUMIF('Payroll structure'!$C:$C,B82,'Payroll structure'!$N:$N)/E82)</f>
        <v/>
      </c>
      <c r="H82" s="73" t="str">
        <f>IF(B82="","",IFERROR(SUMIF('Payroll structure'!$C:$C,B82,'Payroll structure'!$O:$O)/E82/F82/G82,0))</f>
        <v/>
      </c>
      <c r="I82" s="74">
        <f t="shared" si="8"/>
        <v>0</v>
      </c>
      <c r="J82" s="75" t="str">
        <f>IF($B82="","",SUMIF('Payroll structure'!$C:$C,$B82,'Payroll structure'!P:P))</f>
        <v/>
      </c>
      <c r="K82" s="76" t="str">
        <f>IF($B82="","",SUMIF('Payroll structure'!$C:$C,$B82,'Payroll structure'!Q:Q))</f>
        <v/>
      </c>
      <c r="L82" s="76" t="str">
        <f>IF($B82="","",SUMIF('Payroll structure'!$C:$C,$B82,'Payroll structure'!R:R))</f>
        <v/>
      </c>
      <c r="M82" s="78"/>
      <c r="N82" s="79">
        <f t="shared" si="9"/>
        <v>0</v>
      </c>
    </row>
    <row r="83" s="23" customFormat="1" ht="12.75" customHeight="1" outlineLevel="1">
      <c r="A83" s="104" t="str">
        <f t="shared" si="7"/>
        <v>3.28</v>
      </c>
      <c r="B83" s="113" t="str">
        <f t="array" ref="B83">IFERROR(
 INDEX('Payroll structure'!$C$9:$C$158,
       MATCH(
         SMALL(
           IF(('Payroll structure'!$C$9:$C$158&lt;&gt;"")*
                (COUNTIF($B$55:B82,'Payroll structure'!$C$9:$C$158)=0),
                COUNTIF('Payroll structure'!$C$9:$C$158,
                           "&lt;"&amp;'Payroll structure'!$C$9:$C$158)),
           1),
         IF(('Payroll structure'!$C$9:$C$158&lt;&gt;"")*
              (COUNTIF($B$55:B82,'Payroll structure'!$C$9:$C$158)=0),
              COUNTIF('Payroll structure'!$C$9:$C$158,
                         "&lt;"&amp;'Payroll structure'!$C$9:$C$158)),
         0)),
 "")</f>
        <v/>
      </c>
      <c r="C83" s="114"/>
      <c r="D83" s="102" t="str">
        <f>IF(B83="","",IF(Budget!$I$3="","",VLOOKUP(Budget!$I$3,Sprachversionen!$B:$EA,83,FALSE)))</f>
        <v/>
      </c>
      <c r="E83" s="71" t="str">
        <f>IF(B83="","",COUNTIF('Payroll structure'!$C:$C,B83))</f>
        <v/>
      </c>
      <c r="F83" s="72" t="str">
        <f t="array" ref="F83">IF(
  B83="", "",
  SUMPRODUCT(
    --('Payroll structure'!$C$2:$C$1000 = B83),
    'Payroll structure'!$E$2:$E$1000,
    'Payroll structure'!$M$2:$M$1000
  ) / E83
)</f>
        <v/>
      </c>
      <c r="G83" s="71" t="str">
        <f>IF(B83="","",SUMIF('Payroll structure'!$C:$C,B83,'Payroll structure'!$N:$N)/E83)</f>
        <v/>
      </c>
      <c r="H83" s="73" t="str">
        <f>IF(B83="","",IFERROR(SUMIF('Payroll structure'!$C:$C,B83,'Payroll structure'!$O:$O)/E83/F83/G83,0))</f>
        <v/>
      </c>
      <c r="I83" s="74">
        <f t="shared" si="8"/>
        <v>0</v>
      </c>
      <c r="J83" s="75" t="str">
        <f>IF($B83="","",SUMIF('Payroll structure'!$C:$C,$B83,'Payroll structure'!P:P))</f>
        <v/>
      </c>
      <c r="K83" s="76" t="str">
        <f>IF($B83="","",SUMIF('Payroll structure'!$C:$C,$B83,'Payroll structure'!Q:Q))</f>
        <v/>
      </c>
      <c r="L83" s="76" t="str">
        <f>IF($B83="","",SUMIF('Payroll structure'!$C:$C,$B83,'Payroll structure'!R:R))</f>
        <v/>
      </c>
      <c r="M83" s="78"/>
      <c r="N83" s="79">
        <f t="shared" si="9"/>
        <v>0</v>
      </c>
    </row>
    <row r="84" s="23" customFormat="1" ht="12.75" customHeight="1" outlineLevel="1">
      <c r="A84" s="104" t="str">
        <f t="shared" si="7"/>
        <v>3.29</v>
      </c>
      <c r="B84" s="113" t="str">
        <f t="array" ref="B84">IFERROR(
 INDEX('Payroll structure'!$C$9:$C$158,
       MATCH(
         SMALL(
           IF(('Payroll structure'!$C$9:$C$158&lt;&gt;"")*
                (COUNTIF($B$55:B83,'Payroll structure'!$C$9:$C$158)=0),
                COUNTIF('Payroll structure'!$C$9:$C$158,
                           "&lt;"&amp;'Payroll structure'!$C$9:$C$158)),
           1),
         IF(('Payroll structure'!$C$9:$C$158&lt;&gt;"")*
              (COUNTIF($B$55:B83,'Payroll structure'!$C$9:$C$158)=0),
              COUNTIF('Payroll structure'!$C$9:$C$158,
                         "&lt;"&amp;'Payroll structure'!$C$9:$C$158)),
         0)),
 "")</f>
        <v/>
      </c>
      <c r="C84" s="114"/>
      <c r="D84" s="102" t="str">
        <f>IF(B84="","",IF(Budget!$I$3="","",VLOOKUP(Budget!$I$3,Sprachversionen!$B:$EA,83,FALSE)))</f>
        <v/>
      </c>
      <c r="E84" s="71" t="str">
        <f>IF(B84="","",COUNTIF('Payroll structure'!$C:$C,B84))</f>
        <v/>
      </c>
      <c r="F84" s="72" t="str">
        <f t="array" ref="F84">IF(
  B84="", "",
  SUMPRODUCT(
    --('Payroll structure'!$C$2:$C$1000 = B84),
    'Payroll structure'!$E$2:$E$1000,
    'Payroll structure'!$M$2:$M$1000
  ) / E84
)</f>
        <v/>
      </c>
      <c r="G84" s="71" t="str">
        <f>IF(B84="","",SUMIF('Payroll structure'!$C:$C,B84,'Payroll structure'!$N:$N)/E84)</f>
        <v/>
      </c>
      <c r="H84" s="73" t="str">
        <f>IF(B84="","",IFERROR(SUMIF('Payroll structure'!$C:$C,B84,'Payroll structure'!$O:$O)/E84/F84/G84,0))</f>
        <v/>
      </c>
      <c r="I84" s="74">
        <f t="shared" si="8"/>
        <v>0</v>
      </c>
      <c r="J84" s="75" t="str">
        <f>IF($B84="","",SUMIF('Payroll structure'!$C:$C,$B84,'Payroll structure'!P:P))</f>
        <v/>
      </c>
      <c r="K84" s="76" t="str">
        <f>IF($B84="","",SUMIF('Payroll structure'!$C:$C,$B84,'Payroll structure'!Q:Q))</f>
        <v/>
      </c>
      <c r="L84" s="76" t="str">
        <f>IF($B84="","",SUMIF('Payroll structure'!$C:$C,$B84,'Payroll structure'!R:R))</f>
        <v/>
      </c>
      <c r="M84" s="78"/>
      <c r="N84" s="79">
        <f t="shared" si="9"/>
        <v>0</v>
      </c>
    </row>
    <row r="85" s="23" customFormat="1" ht="12.75" customHeight="1" outlineLevel="1">
      <c r="A85" s="104" t="str">
        <f t="shared" si="7"/>
        <v>3.30</v>
      </c>
      <c r="B85" s="113" t="str">
        <f t="array" ref="B85">IFERROR(
 INDEX('Payroll structure'!$C$9:$C$158,
       MATCH(
         SMALL(
           IF(('Payroll structure'!$C$9:$C$158&lt;&gt;"")*
                (COUNTIF($B$55:B84,'Payroll structure'!$C$9:$C$158)=0),
                COUNTIF('Payroll structure'!$C$9:$C$158,
                           "&lt;"&amp;'Payroll structure'!$C$9:$C$158)),
           1),
         IF(('Payroll structure'!$C$9:$C$158&lt;&gt;"")*
              (COUNTIF($B$55:B84,'Payroll structure'!$C$9:$C$158)=0),
              COUNTIF('Payroll structure'!$C$9:$C$158,
                         "&lt;"&amp;'Payroll structure'!$C$9:$C$158)),
         0)),
 "")</f>
        <v/>
      </c>
      <c r="C85" s="114"/>
      <c r="D85" s="102" t="str">
        <f>IF(B85="","",IF(Budget!$I$3="","",VLOOKUP(Budget!$I$3,Sprachversionen!$B:$EA,83,FALSE)))</f>
        <v/>
      </c>
      <c r="E85" s="71" t="str">
        <f>IF(B85="","",COUNTIF('Payroll structure'!$C:$C,B85))</f>
        <v/>
      </c>
      <c r="F85" s="72" t="e">
        <f t="array" ref="F85">IF(
  B85="", "",
  SUMPRODUCT(
    --('Payroll structure'!$C$2:$C$1000 = B85),
    'Payroll structure'!$E$2:$E$1000,
    'Payroll structure'!$M$2:$M$1000
  ) / E85
)</f>
        <v>#NAME?</v>
      </c>
      <c r="G85" s="71" t="str">
        <f>IF(B85="","",SUMIF('Payroll structure'!$C:$C,B85,'Payroll structure'!$N:$N)/E85)</f>
        <v/>
      </c>
      <c r="H85" s="73" t="str">
        <f>IF(B85="","",IFERROR(SUMIF('Payroll structure'!$C:$C,B85,'Payroll structure'!$O:$O)/E85/F85/G85,0))</f>
        <v/>
      </c>
      <c r="I85" s="74">
        <f t="shared" si="8"/>
        <v>0</v>
      </c>
      <c r="J85" s="75" t="str">
        <f>IF($B85="","",SUMIF('Payroll structure'!$C:$C,$B85,'Payroll structure'!P:P))</f>
        <v/>
      </c>
      <c r="K85" s="76" t="str">
        <f>IF($B85="","",SUMIF('Payroll structure'!$C:$C,$B85,'Payroll structure'!Q:Q))</f>
        <v/>
      </c>
      <c r="L85" s="76" t="str">
        <f>IF($B85="","",SUMIF('Payroll structure'!$C:$C,$B85,'Payroll structure'!R:R))</f>
        <v/>
      </c>
      <c r="M85" s="78"/>
      <c r="N85" s="79">
        <f t="shared" si="9"/>
        <v>0</v>
      </c>
    </row>
    <row r="86" s="23" customFormat="1" ht="12.75" customHeight="1">
      <c r="A86" s="90" t="str">
        <f>IF($I$3="","",VLOOKUP($I$3,Sprachversionen!$B:$DZ,15,FALSE))</f>
        <v xml:space="preserve">Subtotal Personnel Expenses</v>
      </c>
      <c r="B86" s="91"/>
      <c r="C86" s="92"/>
      <c r="D86" s="93"/>
      <c r="E86" s="93"/>
      <c r="F86" s="94"/>
      <c r="G86" s="93"/>
      <c r="H86" s="95"/>
      <c r="I86" s="96">
        <f>SUM(I55:I85)</f>
        <v>0</v>
      </c>
      <c r="J86" s="97">
        <f>SUM(J55:J85)</f>
        <v>0</v>
      </c>
      <c r="K86" s="98">
        <f>SUM(K55:K85)</f>
        <v>0</v>
      </c>
      <c r="L86" s="98">
        <f>SUM(L55:L85)</f>
        <v>0</v>
      </c>
      <c r="M86" s="78" t="b">
        <f>I86=SUM(J86:L86)</f>
        <v>1</v>
      </c>
      <c r="N86" s="99">
        <f>SUM(N55:N85)</f>
        <v>0</v>
      </c>
      <c r="O86" s="117"/>
    </row>
    <row r="87" s="23" customFormat="1">
      <c r="A87" s="100" t="str">
        <f t="shared" ref="A87:A117" si="10">IF(ROW()&lt;ROW($A$87),"",IF(ROW()=ROW($A$87),"4.","4."&amp;(ROW()-ROW($A$87))))</f>
        <v>4.</v>
      </c>
      <c r="B87" s="101" t="str">
        <f>VLOOKUP($I$3, Sprachversionen!$B:$EA, 16, FALSE)</f>
        <v xml:space="preserve">Ongoing Expenses for Project Activities</v>
      </c>
      <c r="C87" s="70"/>
      <c r="D87" s="102"/>
      <c r="E87" s="102"/>
      <c r="F87" s="72"/>
      <c r="G87" s="102"/>
      <c r="H87" s="73"/>
      <c r="I87" s="74"/>
      <c r="J87" s="75"/>
      <c r="K87" s="76"/>
      <c r="L87" s="76"/>
      <c r="M87" s="78"/>
      <c r="N87" s="103"/>
      <c r="U87" s="118"/>
    </row>
    <row r="88" s="23" customFormat="1" ht="12.75" customHeight="1">
      <c r="A88" s="104" t="str">
        <f t="shared" si="10"/>
        <v>4.1</v>
      </c>
      <c r="B88" s="105" t="s">
        <v>12</v>
      </c>
      <c r="C88" s="106"/>
      <c r="D88" s="84"/>
      <c r="E88" s="107">
        <v>1</v>
      </c>
      <c r="F88" s="85">
        <v>1</v>
      </c>
      <c r="G88" s="107">
        <v>3</v>
      </c>
      <c r="H88" s="86">
        <v>1000</v>
      </c>
      <c r="I88" s="74">
        <f t="shared" ref="I88:I117" si="11">E88*F88*G88*H88</f>
        <v>3000</v>
      </c>
      <c r="J88" s="87">
        <f>I88/2</f>
        <v>1500</v>
      </c>
      <c r="K88" s="108">
        <f>I88/3</f>
        <v>1000</v>
      </c>
      <c r="L88" s="108">
        <f>I88-(J88+K88)</f>
        <v>500</v>
      </c>
      <c r="M88" s="78"/>
      <c r="N88" s="103">
        <f t="shared" ref="N88:N117" si="12">ROUND(IFERROR(I88/$I$5,0), 2)</f>
        <v>1500</v>
      </c>
    </row>
    <row r="89" s="23" customFormat="1">
      <c r="A89" s="104" t="str">
        <f t="shared" si="10"/>
        <v>4.2</v>
      </c>
      <c r="B89" s="105" t="s">
        <v>13</v>
      </c>
      <c r="C89" s="109"/>
      <c r="D89" s="107"/>
      <c r="E89" s="84">
        <v>1</v>
      </c>
      <c r="F89" s="85">
        <v>1</v>
      </c>
      <c r="G89" s="84">
        <v>3</v>
      </c>
      <c r="H89" s="86">
        <v>1000</v>
      </c>
      <c r="I89" s="74">
        <f t="shared" si="11"/>
        <v>3000</v>
      </c>
      <c r="J89" s="87">
        <f>I89/2</f>
        <v>1500</v>
      </c>
      <c r="K89" s="108">
        <f>I89/3</f>
        <v>1000</v>
      </c>
      <c r="L89" s="108">
        <f>I89-(J89+K89)</f>
        <v>500</v>
      </c>
      <c r="M89" s="78"/>
      <c r="N89" s="103">
        <f t="shared" si="12"/>
        <v>1500</v>
      </c>
    </row>
    <row r="90" s="23" customFormat="1">
      <c r="A90" s="104" t="str">
        <f t="shared" si="10"/>
        <v>4.3</v>
      </c>
      <c r="B90" s="105" t="s">
        <v>14</v>
      </c>
      <c r="C90" s="106"/>
      <c r="D90" s="84"/>
      <c r="E90" s="107">
        <v>1</v>
      </c>
      <c r="F90" s="85">
        <v>1</v>
      </c>
      <c r="G90" s="107">
        <v>3</v>
      </c>
      <c r="H90" s="86">
        <v>1000</v>
      </c>
      <c r="I90" s="74">
        <f t="shared" si="11"/>
        <v>3000</v>
      </c>
      <c r="J90" s="87">
        <f>I90/2</f>
        <v>1500</v>
      </c>
      <c r="K90" s="108">
        <f>I90/3</f>
        <v>1000</v>
      </c>
      <c r="L90" s="108">
        <f>I90-(J90+K90)</f>
        <v>500</v>
      </c>
      <c r="M90" s="78"/>
      <c r="N90" s="103">
        <f t="shared" si="12"/>
        <v>1500</v>
      </c>
    </row>
    <row r="91" s="23" customFormat="1">
      <c r="A91" s="104" t="str">
        <f t="shared" si="10"/>
        <v>4.4</v>
      </c>
      <c r="B91" s="105" t="s">
        <v>15</v>
      </c>
      <c r="C91" s="109"/>
      <c r="D91" s="107"/>
      <c r="E91" s="84">
        <v>1</v>
      </c>
      <c r="F91" s="85">
        <v>1</v>
      </c>
      <c r="G91" s="84">
        <v>3</v>
      </c>
      <c r="H91" s="86">
        <v>1000</v>
      </c>
      <c r="I91" s="74">
        <f t="shared" si="11"/>
        <v>3000</v>
      </c>
      <c r="J91" s="87">
        <f>I91/2</f>
        <v>1500</v>
      </c>
      <c r="K91" s="108">
        <f>I91/3</f>
        <v>1000</v>
      </c>
      <c r="L91" s="108">
        <f>I91-(J91+K91)</f>
        <v>500</v>
      </c>
      <c r="M91" s="78"/>
      <c r="N91" s="103">
        <f t="shared" si="12"/>
        <v>1500</v>
      </c>
    </row>
    <row r="92" s="23" customFormat="1">
      <c r="A92" s="104" t="str">
        <f t="shared" si="10"/>
        <v>4.5</v>
      </c>
      <c r="B92" s="105" t="s">
        <v>16</v>
      </c>
      <c r="C92" s="106"/>
      <c r="D92" s="84"/>
      <c r="E92" s="107">
        <v>1</v>
      </c>
      <c r="F92" s="85">
        <v>1</v>
      </c>
      <c r="G92" s="107">
        <v>3</v>
      </c>
      <c r="H92" s="86">
        <v>1000</v>
      </c>
      <c r="I92" s="74">
        <f t="shared" si="11"/>
        <v>3000</v>
      </c>
      <c r="J92" s="87">
        <f>I92/2</f>
        <v>1500</v>
      </c>
      <c r="K92" s="108">
        <f>I92/3</f>
        <v>1000</v>
      </c>
      <c r="L92" s="108">
        <f>I92-(J92+K92)</f>
        <v>500</v>
      </c>
      <c r="M92" s="78"/>
      <c r="N92" s="103">
        <f t="shared" si="12"/>
        <v>1500</v>
      </c>
    </row>
    <row r="93" s="23" customFormat="1">
      <c r="A93" s="104" t="str">
        <f t="shared" si="10"/>
        <v>4.6</v>
      </c>
      <c r="B93" s="105" t="s">
        <v>17</v>
      </c>
      <c r="C93" s="109"/>
      <c r="D93" s="107"/>
      <c r="E93" s="84">
        <v>1</v>
      </c>
      <c r="F93" s="85">
        <v>1</v>
      </c>
      <c r="G93" s="84">
        <v>3</v>
      </c>
      <c r="H93" s="86">
        <v>1000</v>
      </c>
      <c r="I93" s="74">
        <f t="shared" si="11"/>
        <v>3000</v>
      </c>
      <c r="J93" s="87">
        <f>I93/2</f>
        <v>1500</v>
      </c>
      <c r="K93" s="108">
        <f>I93/3</f>
        <v>1000</v>
      </c>
      <c r="L93" s="108">
        <f>I93-(J93+K93)</f>
        <v>500</v>
      </c>
      <c r="M93" s="78"/>
      <c r="N93" s="103">
        <f t="shared" si="12"/>
        <v>1500</v>
      </c>
      <c r="P93" s="67"/>
    </row>
    <row r="94" s="23" customFormat="1" ht="12.75" customHeight="1">
      <c r="A94" s="104" t="str">
        <f t="shared" si="10"/>
        <v>4.7</v>
      </c>
      <c r="B94" s="105" t="s">
        <v>18</v>
      </c>
      <c r="C94" s="106"/>
      <c r="D94" s="84"/>
      <c r="E94" s="107">
        <v>1</v>
      </c>
      <c r="F94" s="85">
        <v>1</v>
      </c>
      <c r="G94" s="107">
        <v>3</v>
      </c>
      <c r="H94" s="86">
        <v>1000</v>
      </c>
      <c r="I94" s="74">
        <f t="shared" si="11"/>
        <v>3000</v>
      </c>
      <c r="J94" s="87">
        <f>I94/2</f>
        <v>1500</v>
      </c>
      <c r="K94" s="108">
        <f>I94/3</f>
        <v>1000</v>
      </c>
      <c r="L94" s="108">
        <f>I94-(J94+K94)</f>
        <v>500</v>
      </c>
      <c r="M94" s="78"/>
      <c r="N94" s="103">
        <f t="shared" si="12"/>
        <v>1500</v>
      </c>
    </row>
    <row r="95" s="23" customFormat="1">
      <c r="A95" s="104" t="str">
        <f t="shared" si="10"/>
        <v>4.8</v>
      </c>
      <c r="B95" s="105" t="s">
        <v>19</v>
      </c>
      <c r="C95" s="109"/>
      <c r="D95" s="107"/>
      <c r="E95" s="84">
        <v>1</v>
      </c>
      <c r="F95" s="85">
        <v>1</v>
      </c>
      <c r="G95" s="84">
        <v>3</v>
      </c>
      <c r="H95" s="86">
        <v>1000</v>
      </c>
      <c r="I95" s="74">
        <f t="shared" si="11"/>
        <v>3000</v>
      </c>
      <c r="J95" s="87">
        <f>I95/2</f>
        <v>1500</v>
      </c>
      <c r="K95" s="108">
        <f>I95/3</f>
        <v>1000</v>
      </c>
      <c r="L95" s="108">
        <f>I95-(J95+K95)</f>
        <v>500</v>
      </c>
      <c r="M95" s="78"/>
      <c r="N95" s="103">
        <f t="shared" si="12"/>
        <v>1500</v>
      </c>
    </row>
    <row r="96" s="23" customFormat="1">
      <c r="A96" s="104" t="str">
        <f t="shared" si="10"/>
        <v>4.9</v>
      </c>
      <c r="B96" s="105" t="s">
        <v>20</v>
      </c>
      <c r="C96" s="106"/>
      <c r="D96" s="84"/>
      <c r="E96" s="107">
        <v>1</v>
      </c>
      <c r="F96" s="85">
        <v>1</v>
      </c>
      <c r="G96" s="107">
        <v>3</v>
      </c>
      <c r="H96" s="86">
        <v>1000</v>
      </c>
      <c r="I96" s="74">
        <f t="shared" si="11"/>
        <v>3000</v>
      </c>
      <c r="J96" s="87">
        <f>I96/2</f>
        <v>1500</v>
      </c>
      <c r="K96" s="108">
        <f>I96/3</f>
        <v>1000</v>
      </c>
      <c r="L96" s="108">
        <f>I96-(J96+K96)</f>
        <v>500</v>
      </c>
      <c r="M96" s="78"/>
      <c r="N96" s="103">
        <f t="shared" si="12"/>
        <v>1500</v>
      </c>
    </row>
    <row r="97" s="23" customFormat="1">
      <c r="A97" s="104" t="str">
        <f t="shared" si="10"/>
        <v>4.10</v>
      </c>
      <c r="B97" s="105" t="s">
        <v>21</v>
      </c>
      <c r="C97" s="109"/>
      <c r="D97" s="107"/>
      <c r="E97" s="84">
        <v>1</v>
      </c>
      <c r="F97" s="85">
        <v>1</v>
      </c>
      <c r="G97" s="84">
        <v>3</v>
      </c>
      <c r="H97" s="86">
        <v>1000</v>
      </c>
      <c r="I97" s="74">
        <f t="shared" si="11"/>
        <v>3000</v>
      </c>
      <c r="J97" s="87">
        <f>I97/2</f>
        <v>1500</v>
      </c>
      <c r="K97" s="108">
        <f>I97/3</f>
        <v>1000</v>
      </c>
      <c r="L97" s="108">
        <f>I97-(J97+K97)</f>
        <v>500</v>
      </c>
      <c r="M97" s="78"/>
      <c r="N97" s="103">
        <f t="shared" si="12"/>
        <v>1500</v>
      </c>
    </row>
    <row r="98" s="23" customFormat="1" ht="12.75" customHeight="1">
      <c r="A98" s="104" t="str">
        <f t="shared" si="10"/>
        <v>4.11</v>
      </c>
      <c r="B98" s="105" t="s">
        <v>22</v>
      </c>
      <c r="C98" s="106"/>
      <c r="D98" s="84"/>
      <c r="E98" s="107">
        <v>1</v>
      </c>
      <c r="F98" s="85">
        <v>1</v>
      </c>
      <c r="G98" s="107">
        <v>3</v>
      </c>
      <c r="H98" s="86">
        <v>1000</v>
      </c>
      <c r="I98" s="74">
        <f t="shared" si="11"/>
        <v>3000</v>
      </c>
      <c r="J98" s="87">
        <f>I98/2</f>
        <v>1500</v>
      </c>
      <c r="K98" s="108">
        <f>I98/3</f>
        <v>1000</v>
      </c>
      <c r="L98" s="108">
        <f>I98-(J98+K98)</f>
        <v>500</v>
      </c>
      <c r="M98" s="78"/>
      <c r="N98" s="103">
        <f t="shared" si="12"/>
        <v>1500</v>
      </c>
    </row>
    <row r="99" s="23" customFormat="1" ht="12.75" customHeight="1">
      <c r="A99" s="104" t="str">
        <f t="shared" si="10"/>
        <v>4.12</v>
      </c>
      <c r="B99" s="105" t="s">
        <v>23</v>
      </c>
      <c r="C99" s="109"/>
      <c r="D99" s="107"/>
      <c r="E99" s="84">
        <v>1</v>
      </c>
      <c r="F99" s="85">
        <v>1</v>
      </c>
      <c r="G99" s="84">
        <v>3</v>
      </c>
      <c r="H99" s="86">
        <v>1000</v>
      </c>
      <c r="I99" s="74">
        <f t="shared" si="11"/>
        <v>3000</v>
      </c>
      <c r="J99" s="87">
        <f>I99/2</f>
        <v>1500</v>
      </c>
      <c r="K99" s="108">
        <f>I99/3</f>
        <v>1000</v>
      </c>
      <c r="L99" s="108">
        <f>I99-(J99+K99)</f>
        <v>500</v>
      </c>
      <c r="M99" s="78"/>
      <c r="N99" s="103">
        <f t="shared" si="12"/>
        <v>1500</v>
      </c>
    </row>
    <row r="100" s="23" customFormat="1" ht="12.75" customHeight="1" outlineLevel="1">
      <c r="A100" s="104" t="str">
        <f t="shared" si="10"/>
        <v>4.13</v>
      </c>
      <c r="B100" s="105" t="s">
        <v>24</v>
      </c>
      <c r="C100" s="106"/>
      <c r="D100" s="84"/>
      <c r="E100" s="107">
        <v>1</v>
      </c>
      <c r="F100" s="85">
        <v>1</v>
      </c>
      <c r="G100" s="107">
        <v>3</v>
      </c>
      <c r="H100" s="86">
        <v>1000</v>
      </c>
      <c r="I100" s="74">
        <f t="shared" si="11"/>
        <v>3000</v>
      </c>
      <c r="J100" s="87">
        <f>I100/2</f>
        <v>1500</v>
      </c>
      <c r="K100" s="108">
        <f>I100/3</f>
        <v>1000</v>
      </c>
      <c r="L100" s="108">
        <f>I100-(J100+K100)</f>
        <v>500</v>
      </c>
      <c r="M100" s="78"/>
      <c r="N100" s="103">
        <f t="shared" si="12"/>
        <v>1500</v>
      </c>
      <c r="P100" s="89"/>
    </row>
    <row r="101" s="23" customFormat="1" ht="12.75" customHeight="1" outlineLevel="1">
      <c r="A101" s="104" t="str">
        <f t="shared" si="10"/>
        <v>4.14</v>
      </c>
      <c r="B101" s="105" t="s">
        <v>25</v>
      </c>
      <c r="C101" s="109"/>
      <c r="D101" s="107"/>
      <c r="E101" s="84">
        <v>1</v>
      </c>
      <c r="F101" s="85">
        <v>1</v>
      </c>
      <c r="G101" s="84">
        <v>3</v>
      </c>
      <c r="H101" s="86">
        <v>1000</v>
      </c>
      <c r="I101" s="74">
        <f t="shared" si="11"/>
        <v>3000</v>
      </c>
      <c r="J101" s="87">
        <f>I101/2</f>
        <v>1500</v>
      </c>
      <c r="K101" s="108">
        <f>I101/3</f>
        <v>1000</v>
      </c>
      <c r="L101" s="108">
        <f>I101-(J101+K101)</f>
        <v>500</v>
      </c>
      <c r="M101" s="78"/>
      <c r="N101" s="103">
        <f t="shared" si="12"/>
        <v>1500</v>
      </c>
      <c r="P101" s="89"/>
    </row>
    <row r="102" s="23" customFormat="1" ht="12.75" customHeight="1" outlineLevel="1">
      <c r="A102" s="104" t="str">
        <f t="shared" si="10"/>
        <v>4.15</v>
      </c>
      <c r="B102" s="105" t="s">
        <v>26</v>
      </c>
      <c r="C102" s="106"/>
      <c r="D102" s="84"/>
      <c r="E102" s="107">
        <v>1</v>
      </c>
      <c r="F102" s="85">
        <v>1</v>
      </c>
      <c r="G102" s="107">
        <v>3</v>
      </c>
      <c r="H102" s="86">
        <v>1000</v>
      </c>
      <c r="I102" s="74">
        <f t="shared" si="11"/>
        <v>3000</v>
      </c>
      <c r="J102" s="87">
        <f>I102/2</f>
        <v>1500</v>
      </c>
      <c r="K102" s="108">
        <f>I102/3</f>
        <v>1000</v>
      </c>
      <c r="L102" s="108">
        <f>I102-(J102+K102)</f>
        <v>500</v>
      </c>
      <c r="M102" s="78"/>
      <c r="N102" s="103">
        <f t="shared" si="12"/>
        <v>1500</v>
      </c>
      <c r="P102" s="89"/>
    </row>
    <row r="103" s="23" customFormat="1" ht="12.75" customHeight="1" outlineLevel="1">
      <c r="A103" s="104" t="str">
        <f t="shared" si="10"/>
        <v>4.16</v>
      </c>
      <c r="B103" s="105" t="s">
        <v>27</v>
      </c>
      <c r="C103" s="109"/>
      <c r="D103" s="107"/>
      <c r="E103" s="84">
        <v>1</v>
      </c>
      <c r="F103" s="85">
        <v>1</v>
      </c>
      <c r="G103" s="84">
        <v>3</v>
      </c>
      <c r="H103" s="86">
        <v>1000</v>
      </c>
      <c r="I103" s="74">
        <f t="shared" si="11"/>
        <v>3000</v>
      </c>
      <c r="J103" s="87">
        <f>I103/2</f>
        <v>1500</v>
      </c>
      <c r="K103" s="108">
        <f>I103/3</f>
        <v>1000</v>
      </c>
      <c r="L103" s="108">
        <f>I103-(J103+K103)</f>
        <v>500</v>
      </c>
      <c r="M103" s="78"/>
      <c r="N103" s="103">
        <f t="shared" si="12"/>
        <v>1500</v>
      </c>
      <c r="P103" s="89"/>
    </row>
    <row r="104" s="23" customFormat="1" ht="12.75" customHeight="1" outlineLevel="1">
      <c r="A104" s="104" t="str">
        <f t="shared" si="10"/>
        <v>4.17</v>
      </c>
      <c r="B104" s="105" t="s">
        <v>28</v>
      </c>
      <c r="C104" s="106"/>
      <c r="D104" s="84"/>
      <c r="E104" s="107">
        <v>1</v>
      </c>
      <c r="F104" s="85">
        <v>1</v>
      </c>
      <c r="G104" s="107">
        <v>3</v>
      </c>
      <c r="H104" s="86">
        <v>1000</v>
      </c>
      <c r="I104" s="74">
        <f t="shared" si="11"/>
        <v>3000</v>
      </c>
      <c r="J104" s="87">
        <f>I104/2</f>
        <v>1500</v>
      </c>
      <c r="K104" s="108">
        <f>I104/3</f>
        <v>1000</v>
      </c>
      <c r="L104" s="108">
        <f>I104-(J104+K104)</f>
        <v>500</v>
      </c>
      <c r="M104" s="78"/>
      <c r="N104" s="103">
        <f t="shared" si="12"/>
        <v>1500</v>
      </c>
      <c r="P104" s="89"/>
    </row>
    <row r="105" s="23" customFormat="1" ht="12.75" customHeight="1" outlineLevel="1">
      <c r="A105" s="104" t="str">
        <f t="shared" si="10"/>
        <v>4.18</v>
      </c>
      <c r="B105" s="105" t="s">
        <v>29</v>
      </c>
      <c r="C105" s="109"/>
      <c r="D105" s="107"/>
      <c r="E105" s="84">
        <v>1</v>
      </c>
      <c r="F105" s="85">
        <v>1</v>
      </c>
      <c r="G105" s="84">
        <v>3</v>
      </c>
      <c r="H105" s="86">
        <v>1000</v>
      </c>
      <c r="I105" s="74">
        <f t="shared" si="11"/>
        <v>3000</v>
      </c>
      <c r="J105" s="87">
        <f>I105/2</f>
        <v>1500</v>
      </c>
      <c r="K105" s="108">
        <f>I105/3</f>
        <v>1000</v>
      </c>
      <c r="L105" s="108">
        <f>I105-(J105+K105)</f>
        <v>500</v>
      </c>
      <c r="M105" s="78"/>
      <c r="N105" s="103">
        <f t="shared" si="12"/>
        <v>1500</v>
      </c>
      <c r="P105" s="89"/>
    </row>
    <row r="106" s="23" customFormat="1" ht="12.75" customHeight="1" outlineLevel="1">
      <c r="A106" s="104" t="str">
        <f t="shared" si="10"/>
        <v>4.19</v>
      </c>
      <c r="B106" s="105" t="s">
        <v>30</v>
      </c>
      <c r="C106" s="106"/>
      <c r="D106" s="84"/>
      <c r="E106" s="107">
        <v>1</v>
      </c>
      <c r="F106" s="85">
        <v>1</v>
      </c>
      <c r="G106" s="107">
        <v>3</v>
      </c>
      <c r="H106" s="86">
        <v>1000</v>
      </c>
      <c r="I106" s="74">
        <f t="shared" si="11"/>
        <v>3000</v>
      </c>
      <c r="J106" s="87">
        <f>I106/2</f>
        <v>1500</v>
      </c>
      <c r="K106" s="108">
        <f>I106/3</f>
        <v>1000</v>
      </c>
      <c r="L106" s="108">
        <f>I106-(J106+K106)</f>
        <v>500</v>
      </c>
      <c r="M106" s="78"/>
      <c r="N106" s="103">
        <f t="shared" si="12"/>
        <v>1500</v>
      </c>
      <c r="P106" s="89"/>
    </row>
    <row r="107" s="23" customFormat="1" ht="12.75" customHeight="1" outlineLevel="1">
      <c r="A107" s="104" t="str">
        <f t="shared" si="10"/>
        <v>4.20</v>
      </c>
      <c r="B107" s="105" t="s">
        <v>31</v>
      </c>
      <c r="C107" s="109"/>
      <c r="D107" s="107"/>
      <c r="E107" s="84">
        <v>1</v>
      </c>
      <c r="F107" s="85">
        <v>1</v>
      </c>
      <c r="G107" s="84">
        <v>3</v>
      </c>
      <c r="H107" s="86">
        <v>1000</v>
      </c>
      <c r="I107" s="74">
        <f t="shared" si="11"/>
        <v>3000</v>
      </c>
      <c r="J107" s="87">
        <f>I107/2</f>
        <v>1500</v>
      </c>
      <c r="K107" s="108">
        <f>I107/3</f>
        <v>1000</v>
      </c>
      <c r="L107" s="108">
        <f>I107-(J107+K107)</f>
        <v>500</v>
      </c>
      <c r="M107" s="78"/>
      <c r="N107" s="103">
        <f t="shared" si="12"/>
        <v>1500</v>
      </c>
      <c r="P107" s="89"/>
    </row>
    <row r="108" s="23" customFormat="1" ht="12.75" customHeight="1" outlineLevel="1">
      <c r="A108" s="104" t="str">
        <f t="shared" si="10"/>
        <v>4.21</v>
      </c>
      <c r="B108" s="119"/>
      <c r="C108" s="83"/>
      <c r="D108" s="120"/>
      <c r="E108" s="84"/>
      <c r="F108" s="85"/>
      <c r="G108" s="84"/>
      <c r="H108" s="86"/>
      <c r="I108" s="74">
        <f t="shared" si="11"/>
        <v>0</v>
      </c>
      <c r="J108" s="87"/>
      <c r="K108" s="87"/>
      <c r="L108" s="87"/>
      <c r="M108" s="78"/>
      <c r="N108" s="103">
        <f t="shared" si="12"/>
        <v>0</v>
      </c>
      <c r="P108" s="89"/>
    </row>
    <row r="109" s="23" customFormat="1" ht="12.75" customHeight="1" outlineLevel="1">
      <c r="A109" s="104" t="str">
        <f t="shared" si="10"/>
        <v>4.22</v>
      </c>
      <c r="B109" s="119"/>
      <c r="C109" s="83"/>
      <c r="D109" s="120"/>
      <c r="E109" s="84"/>
      <c r="F109" s="85"/>
      <c r="G109" s="84"/>
      <c r="H109" s="86"/>
      <c r="I109" s="74">
        <f t="shared" si="11"/>
        <v>0</v>
      </c>
      <c r="J109" s="87"/>
      <c r="K109" s="87"/>
      <c r="L109" s="87"/>
      <c r="M109" s="78"/>
      <c r="N109" s="103">
        <f t="shared" si="12"/>
        <v>0</v>
      </c>
      <c r="P109" s="89"/>
    </row>
    <row r="110" s="23" customFormat="1" ht="12.75" customHeight="1" outlineLevel="1">
      <c r="A110" s="104" t="str">
        <f t="shared" si="10"/>
        <v>4.23</v>
      </c>
      <c r="B110" s="119"/>
      <c r="C110" s="83"/>
      <c r="D110" s="120"/>
      <c r="E110" s="84"/>
      <c r="F110" s="85"/>
      <c r="G110" s="84"/>
      <c r="H110" s="86"/>
      <c r="I110" s="74">
        <f t="shared" si="11"/>
        <v>0</v>
      </c>
      <c r="J110" s="87"/>
      <c r="K110" s="87"/>
      <c r="L110" s="87"/>
      <c r="M110" s="78"/>
      <c r="N110" s="103">
        <f t="shared" si="12"/>
        <v>0</v>
      </c>
      <c r="P110" s="89"/>
    </row>
    <row r="111" s="23" customFormat="1" ht="12.75" customHeight="1" outlineLevel="1">
      <c r="A111" s="104" t="str">
        <f t="shared" si="10"/>
        <v>4.24</v>
      </c>
      <c r="B111" s="119"/>
      <c r="C111" s="83"/>
      <c r="D111" s="120"/>
      <c r="E111" s="84"/>
      <c r="F111" s="85"/>
      <c r="G111" s="84"/>
      <c r="H111" s="86"/>
      <c r="I111" s="74">
        <f t="shared" si="11"/>
        <v>0</v>
      </c>
      <c r="J111" s="87"/>
      <c r="K111" s="87"/>
      <c r="L111" s="87"/>
      <c r="M111" s="78"/>
      <c r="N111" s="103">
        <f t="shared" si="12"/>
        <v>0</v>
      </c>
      <c r="P111" s="89"/>
    </row>
    <row r="112" s="23" customFormat="1" ht="12.75" customHeight="1" outlineLevel="1">
      <c r="A112" s="104" t="str">
        <f t="shared" si="10"/>
        <v>4.25</v>
      </c>
      <c r="B112" s="119"/>
      <c r="C112" s="83"/>
      <c r="D112" s="120"/>
      <c r="E112" s="84"/>
      <c r="F112" s="85"/>
      <c r="G112" s="84"/>
      <c r="H112" s="86"/>
      <c r="I112" s="74">
        <f t="shared" si="11"/>
        <v>0</v>
      </c>
      <c r="J112" s="87"/>
      <c r="K112" s="87"/>
      <c r="L112" s="87"/>
      <c r="M112" s="78"/>
      <c r="N112" s="103">
        <f t="shared" si="12"/>
        <v>0</v>
      </c>
      <c r="P112" s="89"/>
    </row>
    <row r="113" s="23" customFormat="1" ht="12.75" customHeight="1" outlineLevel="1">
      <c r="A113" s="104" t="str">
        <f t="shared" si="10"/>
        <v>4.26</v>
      </c>
      <c r="B113" s="119"/>
      <c r="C113" s="83"/>
      <c r="D113" s="120"/>
      <c r="E113" s="84"/>
      <c r="F113" s="85"/>
      <c r="G113" s="84"/>
      <c r="H113" s="86"/>
      <c r="I113" s="74">
        <f t="shared" si="11"/>
        <v>0</v>
      </c>
      <c r="J113" s="87"/>
      <c r="K113" s="87"/>
      <c r="L113" s="87"/>
      <c r="M113" s="78"/>
      <c r="N113" s="103">
        <f t="shared" si="12"/>
        <v>0</v>
      </c>
      <c r="P113" s="89"/>
    </row>
    <row r="114" s="23" customFormat="1" ht="12.75" customHeight="1" outlineLevel="1">
      <c r="A114" s="104" t="str">
        <f t="shared" si="10"/>
        <v>4.27</v>
      </c>
      <c r="B114" s="119"/>
      <c r="C114" s="83"/>
      <c r="D114" s="120"/>
      <c r="E114" s="84"/>
      <c r="F114" s="85"/>
      <c r="G114" s="84"/>
      <c r="H114" s="86"/>
      <c r="I114" s="74">
        <f t="shared" si="11"/>
        <v>0</v>
      </c>
      <c r="J114" s="87"/>
      <c r="K114" s="87"/>
      <c r="L114" s="87"/>
      <c r="M114" s="78"/>
      <c r="N114" s="103">
        <f t="shared" si="12"/>
        <v>0</v>
      </c>
      <c r="P114" s="89"/>
    </row>
    <row r="115" s="23" customFormat="1" ht="12.75" customHeight="1" outlineLevel="1">
      <c r="A115" s="104" t="str">
        <f t="shared" si="10"/>
        <v>4.28</v>
      </c>
      <c r="B115" s="119"/>
      <c r="C115" s="83"/>
      <c r="D115" s="120"/>
      <c r="E115" s="84"/>
      <c r="F115" s="85"/>
      <c r="G115" s="84"/>
      <c r="H115" s="86"/>
      <c r="I115" s="74">
        <f t="shared" si="11"/>
        <v>0</v>
      </c>
      <c r="J115" s="87"/>
      <c r="K115" s="87"/>
      <c r="L115" s="87"/>
      <c r="M115" s="78"/>
      <c r="N115" s="103">
        <f t="shared" si="12"/>
        <v>0</v>
      </c>
      <c r="P115" s="89"/>
    </row>
    <row r="116" s="23" customFormat="1" ht="12.75" customHeight="1" outlineLevel="1">
      <c r="A116" s="104" t="str">
        <f t="shared" si="10"/>
        <v>4.29</v>
      </c>
      <c r="B116" s="119"/>
      <c r="C116" s="83"/>
      <c r="D116" s="120"/>
      <c r="E116" s="84"/>
      <c r="F116" s="85"/>
      <c r="G116" s="84"/>
      <c r="H116" s="86"/>
      <c r="I116" s="74">
        <f t="shared" si="11"/>
        <v>0</v>
      </c>
      <c r="J116" s="87"/>
      <c r="K116" s="87"/>
      <c r="L116" s="87"/>
      <c r="M116" s="78"/>
      <c r="N116" s="103">
        <f t="shared" si="12"/>
        <v>0</v>
      </c>
      <c r="P116" s="89"/>
    </row>
    <row r="117" s="23" customFormat="1" ht="12.75" customHeight="1" outlineLevel="1">
      <c r="A117" s="104" t="str">
        <f t="shared" si="10"/>
        <v>4.30</v>
      </c>
      <c r="B117" s="119"/>
      <c r="C117" s="83"/>
      <c r="D117" s="120"/>
      <c r="E117" s="84"/>
      <c r="F117" s="85"/>
      <c r="G117" s="84"/>
      <c r="H117" s="86"/>
      <c r="I117" s="74">
        <f t="shared" si="11"/>
        <v>0</v>
      </c>
      <c r="J117" s="87"/>
      <c r="K117" s="87"/>
      <c r="L117" s="87"/>
      <c r="M117" s="78"/>
      <c r="N117" s="103">
        <f t="shared" si="12"/>
        <v>0</v>
      </c>
      <c r="P117" s="89"/>
    </row>
    <row r="118" ht="12.75" customHeight="1">
      <c r="A118" s="90" t="str">
        <f>IF($I$3="","",VLOOKUP($I$3,Sprachversionen!$B:$DZ,17,FALSE))</f>
        <v xml:space="preserve">Subtotal Ongoing Expenses for Project Activities</v>
      </c>
      <c r="B118" s="91"/>
      <c r="C118" s="121"/>
      <c r="D118" s="93"/>
      <c r="E118" s="93"/>
      <c r="F118" s="94"/>
      <c r="G118" s="93"/>
      <c r="H118" s="95"/>
      <c r="I118" s="96">
        <f t="shared" ref="I118:L118" si="13">SUM(I87:I117)</f>
        <v>60000</v>
      </c>
      <c r="J118" s="97">
        <f t="shared" si="13"/>
        <v>30000</v>
      </c>
      <c r="K118" s="98">
        <f t="shared" si="13"/>
        <v>20000</v>
      </c>
      <c r="L118" s="98">
        <f t="shared" si="13"/>
        <v>10000</v>
      </c>
      <c r="M118" s="78" t="b">
        <f>I118=SUM(J118:L118)</f>
        <v>1</v>
      </c>
      <c r="N118" s="99">
        <f>SUM(N87:N117)</f>
        <v>30000</v>
      </c>
      <c r="P118" s="89"/>
    </row>
    <row r="119" ht="12.75" customHeight="1">
      <c r="A119" s="100" t="str">
        <f t="shared" ref="A119:A139" si="14">IF(ROW()&lt;ROW($A$119),"",IF(ROW()=ROW($A$119),"5.","5."&amp;(ROW()-ROW($A$119))))</f>
        <v>5.</v>
      </c>
      <c r="B119" s="101" t="str">
        <f>VLOOKUP($I$3, Sprachversionen!$B:$EA, 18, FALSE)</f>
        <v xml:space="preserve">Project Administration</v>
      </c>
      <c r="C119" s="70"/>
      <c r="D119" s="102"/>
      <c r="E119" s="102"/>
      <c r="F119" s="72"/>
      <c r="G119" s="102"/>
      <c r="H119" s="73"/>
      <c r="I119" s="74"/>
      <c r="J119" s="75"/>
      <c r="K119" s="76"/>
      <c r="L119" s="76"/>
      <c r="M119" s="78"/>
      <c r="N119" s="103"/>
      <c r="P119" s="89"/>
    </row>
    <row r="120" ht="12.75" customHeight="1">
      <c r="A120" s="104" t="str">
        <f t="shared" si="14"/>
        <v>5.1</v>
      </c>
      <c r="B120" s="105" t="s">
        <v>12</v>
      </c>
      <c r="C120" s="122"/>
      <c r="D120" s="107"/>
      <c r="E120" s="123">
        <v>1</v>
      </c>
      <c r="F120" s="85">
        <v>1</v>
      </c>
      <c r="G120" s="123">
        <v>3</v>
      </c>
      <c r="H120" s="86">
        <v>1000</v>
      </c>
      <c r="I120" s="74">
        <f t="shared" ref="I120:I139" si="15">E120*F120*G120*H120</f>
        <v>3000</v>
      </c>
      <c r="J120" s="87">
        <f>I120/2</f>
        <v>1500</v>
      </c>
      <c r="K120" s="108">
        <f>I120/3</f>
        <v>1000</v>
      </c>
      <c r="L120" s="108">
        <f>I120-(J120+K120)</f>
        <v>500</v>
      </c>
      <c r="M120" s="78"/>
      <c r="N120" s="79">
        <f t="shared" ref="N120:N139" si="16">ROUND(IFERROR(I120/$I$5,0), 2)</f>
        <v>1500</v>
      </c>
      <c r="P120" s="89"/>
    </row>
    <row r="121" ht="12.75" customHeight="1">
      <c r="A121" s="104" t="str">
        <f t="shared" si="14"/>
        <v>5.2</v>
      </c>
      <c r="B121" s="105" t="s">
        <v>13</v>
      </c>
      <c r="C121" s="106"/>
      <c r="D121" s="84"/>
      <c r="E121" s="107">
        <v>1</v>
      </c>
      <c r="F121" s="85">
        <v>1</v>
      </c>
      <c r="G121" s="107">
        <v>3</v>
      </c>
      <c r="H121" s="86">
        <v>1000</v>
      </c>
      <c r="I121" s="74">
        <f t="shared" si="15"/>
        <v>3000</v>
      </c>
      <c r="J121" s="87">
        <f>I121/2</f>
        <v>1500</v>
      </c>
      <c r="K121" s="108">
        <f>I121/3</f>
        <v>1000</v>
      </c>
      <c r="L121" s="108">
        <f>I121-(J121+K121)</f>
        <v>500</v>
      </c>
      <c r="M121" s="78"/>
      <c r="N121" s="79">
        <f t="shared" si="16"/>
        <v>1500</v>
      </c>
      <c r="P121" s="89"/>
    </row>
    <row r="122" ht="12.75" customHeight="1">
      <c r="A122" s="104" t="str">
        <f t="shared" si="14"/>
        <v>5.3</v>
      </c>
      <c r="B122" s="105" t="s">
        <v>14</v>
      </c>
      <c r="C122" s="109"/>
      <c r="D122" s="107"/>
      <c r="E122" s="84">
        <v>1</v>
      </c>
      <c r="F122" s="85">
        <v>1</v>
      </c>
      <c r="G122" s="84">
        <v>3</v>
      </c>
      <c r="H122" s="86">
        <v>1000</v>
      </c>
      <c r="I122" s="74">
        <f t="shared" si="15"/>
        <v>3000</v>
      </c>
      <c r="J122" s="87">
        <f>I122/2</f>
        <v>1500</v>
      </c>
      <c r="K122" s="108">
        <f>I122/3</f>
        <v>1000</v>
      </c>
      <c r="L122" s="108">
        <f>I122-(J122+K122)</f>
        <v>500</v>
      </c>
      <c r="M122" s="78"/>
      <c r="N122" s="79">
        <f t="shared" si="16"/>
        <v>1500</v>
      </c>
      <c r="P122" s="89"/>
    </row>
    <row r="123" ht="12.75" customHeight="1">
      <c r="A123" s="104" t="str">
        <f t="shared" si="14"/>
        <v>5.4</v>
      </c>
      <c r="B123" s="105" t="s">
        <v>15</v>
      </c>
      <c r="C123" s="106"/>
      <c r="D123" s="84"/>
      <c r="E123" s="107">
        <v>1</v>
      </c>
      <c r="F123" s="85">
        <v>1</v>
      </c>
      <c r="G123" s="107">
        <v>3</v>
      </c>
      <c r="H123" s="86">
        <v>1000</v>
      </c>
      <c r="I123" s="74">
        <f t="shared" si="15"/>
        <v>3000</v>
      </c>
      <c r="J123" s="87">
        <f>I123/2</f>
        <v>1500</v>
      </c>
      <c r="K123" s="108">
        <f>I123/3</f>
        <v>1000</v>
      </c>
      <c r="L123" s="108">
        <f>I123-(J123+K123)</f>
        <v>500</v>
      </c>
      <c r="M123" s="78"/>
      <c r="N123" s="79">
        <f t="shared" si="16"/>
        <v>1500</v>
      </c>
      <c r="P123" s="89"/>
    </row>
    <row r="124" ht="12.75" customHeight="1">
      <c r="A124" s="104" t="str">
        <f t="shared" si="14"/>
        <v>5.5</v>
      </c>
      <c r="B124" s="105" t="s">
        <v>16</v>
      </c>
      <c r="C124" s="109"/>
      <c r="D124" s="107"/>
      <c r="E124" s="84">
        <v>1</v>
      </c>
      <c r="F124" s="85">
        <v>1</v>
      </c>
      <c r="G124" s="84">
        <v>3</v>
      </c>
      <c r="H124" s="86">
        <v>1000</v>
      </c>
      <c r="I124" s="74">
        <f t="shared" si="15"/>
        <v>3000</v>
      </c>
      <c r="J124" s="87">
        <f>I124/2</f>
        <v>1500</v>
      </c>
      <c r="K124" s="108">
        <f>I124/3</f>
        <v>1000</v>
      </c>
      <c r="L124" s="108">
        <f>I124-(J124+K124)</f>
        <v>500</v>
      </c>
      <c r="M124" s="78"/>
      <c r="N124" s="79">
        <f t="shared" si="16"/>
        <v>1500</v>
      </c>
      <c r="P124" s="89"/>
    </row>
    <row r="125" ht="12.75" customHeight="1" outlineLevel="1">
      <c r="A125" s="104" t="str">
        <f t="shared" si="14"/>
        <v>5.6</v>
      </c>
      <c r="B125" s="105" t="s">
        <v>17</v>
      </c>
      <c r="C125" s="106"/>
      <c r="D125" s="84"/>
      <c r="E125" s="107">
        <v>1</v>
      </c>
      <c r="F125" s="85">
        <v>1</v>
      </c>
      <c r="G125" s="107">
        <v>3</v>
      </c>
      <c r="H125" s="86">
        <v>1000</v>
      </c>
      <c r="I125" s="74">
        <f t="shared" si="15"/>
        <v>3000</v>
      </c>
      <c r="J125" s="87">
        <f>I125/2</f>
        <v>1500</v>
      </c>
      <c r="K125" s="108">
        <f>I125/3</f>
        <v>1000</v>
      </c>
      <c r="L125" s="108">
        <f>I125-(J125+K125)</f>
        <v>500</v>
      </c>
      <c r="M125" s="78"/>
      <c r="N125" s="79">
        <f t="shared" si="16"/>
        <v>1500</v>
      </c>
      <c r="P125" s="89"/>
    </row>
    <row r="126" ht="12.75" customHeight="1" outlineLevel="1">
      <c r="A126" s="104" t="str">
        <f t="shared" si="14"/>
        <v>5.7</v>
      </c>
      <c r="B126" s="105" t="s">
        <v>18</v>
      </c>
      <c r="C126" s="109"/>
      <c r="D126" s="107"/>
      <c r="E126" s="84">
        <v>1</v>
      </c>
      <c r="F126" s="85">
        <v>1</v>
      </c>
      <c r="G126" s="84">
        <v>3</v>
      </c>
      <c r="H126" s="86">
        <v>1000</v>
      </c>
      <c r="I126" s="74">
        <f t="shared" si="15"/>
        <v>3000</v>
      </c>
      <c r="J126" s="87">
        <f>I126/2</f>
        <v>1500</v>
      </c>
      <c r="K126" s="108">
        <f>I126/3</f>
        <v>1000</v>
      </c>
      <c r="L126" s="108">
        <f>I126-(J126+K126)</f>
        <v>500</v>
      </c>
      <c r="M126" s="78"/>
      <c r="N126" s="79">
        <f t="shared" si="16"/>
        <v>1500</v>
      </c>
      <c r="P126" s="89"/>
    </row>
    <row r="127" ht="12.75" customHeight="1" outlineLevel="1">
      <c r="A127" s="104" t="str">
        <f t="shared" si="14"/>
        <v>5.8</v>
      </c>
      <c r="B127" s="105" t="s">
        <v>19</v>
      </c>
      <c r="C127" s="106"/>
      <c r="D127" s="84"/>
      <c r="E127" s="107">
        <v>1</v>
      </c>
      <c r="F127" s="85">
        <v>1</v>
      </c>
      <c r="G127" s="107">
        <v>3</v>
      </c>
      <c r="H127" s="86">
        <v>1000</v>
      </c>
      <c r="I127" s="74">
        <f t="shared" si="15"/>
        <v>3000</v>
      </c>
      <c r="J127" s="87">
        <f>I127/2</f>
        <v>1500</v>
      </c>
      <c r="K127" s="108">
        <f>I127/3</f>
        <v>1000</v>
      </c>
      <c r="L127" s="108">
        <f>I127-(J127+K127)</f>
        <v>500</v>
      </c>
      <c r="M127" s="78"/>
      <c r="N127" s="79">
        <f t="shared" si="16"/>
        <v>1500</v>
      </c>
      <c r="P127" s="89"/>
    </row>
    <row r="128" ht="12.75" customHeight="1" outlineLevel="1">
      <c r="A128" s="104" t="str">
        <f t="shared" si="14"/>
        <v>5.9</v>
      </c>
      <c r="B128" s="105" t="s">
        <v>20</v>
      </c>
      <c r="C128" s="109"/>
      <c r="D128" s="107"/>
      <c r="E128" s="84">
        <v>1</v>
      </c>
      <c r="F128" s="85">
        <v>1</v>
      </c>
      <c r="G128" s="84">
        <v>3</v>
      </c>
      <c r="H128" s="86">
        <v>1000</v>
      </c>
      <c r="I128" s="74">
        <f t="shared" si="15"/>
        <v>3000</v>
      </c>
      <c r="J128" s="87">
        <f>I128/2</f>
        <v>1500</v>
      </c>
      <c r="K128" s="108">
        <f>I128/3</f>
        <v>1000</v>
      </c>
      <c r="L128" s="108">
        <f>I128-(J128+K128)</f>
        <v>500</v>
      </c>
      <c r="M128" s="78"/>
      <c r="N128" s="79">
        <f t="shared" si="16"/>
        <v>1500</v>
      </c>
      <c r="P128" s="89"/>
    </row>
    <row r="129" ht="12.75" customHeight="1" outlineLevel="1">
      <c r="A129" s="104" t="str">
        <f t="shared" si="14"/>
        <v>5.10</v>
      </c>
      <c r="B129" s="105" t="s">
        <v>21</v>
      </c>
      <c r="C129" s="106"/>
      <c r="D129" s="84"/>
      <c r="E129" s="107">
        <v>1</v>
      </c>
      <c r="F129" s="85">
        <v>1</v>
      </c>
      <c r="G129" s="107">
        <v>3</v>
      </c>
      <c r="H129" s="86">
        <v>1000</v>
      </c>
      <c r="I129" s="74">
        <f t="shared" si="15"/>
        <v>3000</v>
      </c>
      <c r="J129" s="87">
        <f>I129/2</f>
        <v>1500</v>
      </c>
      <c r="K129" s="108">
        <f>I129/3</f>
        <v>1000</v>
      </c>
      <c r="L129" s="108">
        <f>I129-(J129+K129)</f>
        <v>500</v>
      </c>
      <c r="M129" s="78"/>
      <c r="N129" s="79">
        <f t="shared" si="16"/>
        <v>1500</v>
      </c>
      <c r="P129" s="89"/>
    </row>
    <row r="130" ht="12.75" customHeight="1" outlineLevel="1">
      <c r="A130" s="104" t="str">
        <f t="shared" si="14"/>
        <v>5.11</v>
      </c>
      <c r="B130" s="105" t="s">
        <v>22</v>
      </c>
      <c r="C130" s="109"/>
      <c r="D130" s="107"/>
      <c r="E130" s="84">
        <v>1</v>
      </c>
      <c r="F130" s="85">
        <v>1</v>
      </c>
      <c r="G130" s="84">
        <v>3</v>
      </c>
      <c r="H130" s="86">
        <v>1000</v>
      </c>
      <c r="I130" s="74">
        <f t="shared" si="15"/>
        <v>3000</v>
      </c>
      <c r="J130" s="87">
        <f>I130/2</f>
        <v>1500</v>
      </c>
      <c r="K130" s="108">
        <f>I130/3</f>
        <v>1000</v>
      </c>
      <c r="L130" s="108">
        <f>I130-(J130+K130)</f>
        <v>500</v>
      </c>
      <c r="M130" s="78"/>
      <c r="N130" s="79">
        <f t="shared" si="16"/>
        <v>1500</v>
      </c>
      <c r="P130" s="89"/>
    </row>
    <row r="131" ht="12.75" customHeight="1" outlineLevel="1">
      <c r="A131" s="104" t="str">
        <f t="shared" si="14"/>
        <v>5.12</v>
      </c>
      <c r="B131" s="105" t="s">
        <v>23</v>
      </c>
      <c r="C131" s="106"/>
      <c r="D131" s="84"/>
      <c r="E131" s="107">
        <v>1</v>
      </c>
      <c r="F131" s="85">
        <v>1</v>
      </c>
      <c r="G131" s="107">
        <v>3</v>
      </c>
      <c r="H131" s="86">
        <v>1000</v>
      </c>
      <c r="I131" s="74">
        <f t="shared" si="15"/>
        <v>3000</v>
      </c>
      <c r="J131" s="87">
        <f>I131/2</f>
        <v>1500</v>
      </c>
      <c r="K131" s="108">
        <f>I131/3</f>
        <v>1000</v>
      </c>
      <c r="L131" s="108">
        <f>I131-(J131+K131)</f>
        <v>500</v>
      </c>
      <c r="M131" s="78"/>
      <c r="N131" s="79">
        <f t="shared" si="16"/>
        <v>1500</v>
      </c>
      <c r="P131" s="89"/>
    </row>
    <row r="132" ht="12.75" customHeight="1" outlineLevel="1">
      <c r="A132" s="104" t="str">
        <f t="shared" si="14"/>
        <v>5.13</v>
      </c>
      <c r="B132" s="105" t="s">
        <v>24</v>
      </c>
      <c r="C132" s="109"/>
      <c r="D132" s="107"/>
      <c r="E132" s="84">
        <v>1</v>
      </c>
      <c r="F132" s="85">
        <v>1</v>
      </c>
      <c r="G132" s="84">
        <v>3</v>
      </c>
      <c r="H132" s="86">
        <v>1000</v>
      </c>
      <c r="I132" s="74">
        <f t="shared" si="15"/>
        <v>3000</v>
      </c>
      <c r="J132" s="87">
        <f>I132/2</f>
        <v>1500</v>
      </c>
      <c r="K132" s="108">
        <f>I132/3</f>
        <v>1000</v>
      </c>
      <c r="L132" s="108">
        <f>I132-(J132+K132)</f>
        <v>500</v>
      </c>
      <c r="M132" s="78"/>
      <c r="N132" s="79">
        <f t="shared" si="16"/>
        <v>1500</v>
      </c>
      <c r="P132" s="89"/>
    </row>
    <row r="133" ht="12.75" customHeight="1" outlineLevel="1">
      <c r="A133" s="104" t="str">
        <f t="shared" si="14"/>
        <v>5.14</v>
      </c>
      <c r="B133" s="105" t="s">
        <v>25</v>
      </c>
      <c r="C133" s="106"/>
      <c r="D133" s="84"/>
      <c r="E133" s="107">
        <v>1</v>
      </c>
      <c r="F133" s="85">
        <v>1</v>
      </c>
      <c r="G133" s="107">
        <v>3</v>
      </c>
      <c r="H133" s="86">
        <v>1000</v>
      </c>
      <c r="I133" s="74">
        <f t="shared" si="15"/>
        <v>3000</v>
      </c>
      <c r="J133" s="87">
        <f>I133/2</f>
        <v>1500</v>
      </c>
      <c r="K133" s="108">
        <f>I133/3</f>
        <v>1000</v>
      </c>
      <c r="L133" s="108">
        <f>I133-(J133+K133)</f>
        <v>500</v>
      </c>
      <c r="M133" s="78"/>
      <c r="N133" s="79">
        <f t="shared" si="16"/>
        <v>1500</v>
      </c>
      <c r="P133" s="89"/>
    </row>
    <row r="134" ht="12.75" customHeight="1" outlineLevel="1">
      <c r="A134" s="104" t="str">
        <f t="shared" si="14"/>
        <v>5.15</v>
      </c>
      <c r="B134" s="105" t="s">
        <v>26</v>
      </c>
      <c r="C134" s="109"/>
      <c r="D134" s="107"/>
      <c r="E134" s="84">
        <v>1</v>
      </c>
      <c r="F134" s="85">
        <v>1</v>
      </c>
      <c r="G134" s="84">
        <v>3</v>
      </c>
      <c r="H134" s="86">
        <v>1000</v>
      </c>
      <c r="I134" s="74">
        <f t="shared" si="15"/>
        <v>3000</v>
      </c>
      <c r="J134" s="87">
        <f>I134/2</f>
        <v>1500</v>
      </c>
      <c r="K134" s="108">
        <f>I134/3</f>
        <v>1000</v>
      </c>
      <c r="L134" s="108">
        <f>I134-(J134+K134)</f>
        <v>500</v>
      </c>
      <c r="M134" s="78"/>
      <c r="N134" s="79">
        <f t="shared" si="16"/>
        <v>1500</v>
      </c>
      <c r="P134" s="89"/>
    </row>
    <row r="135" ht="12.75" customHeight="1" outlineLevel="1">
      <c r="A135" s="104" t="str">
        <f t="shared" si="14"/>
        <v>5.16</v>
      </c>
      <c r="B135" s="105" t="s">
        <v>27</v>
      </c>
      <c r="C135" s="106"/>
      <c r="D135" s="84"/>
      <c r="E135" s="107">
        <v>1</v>
      </c>
      <c r="F135" s="85">
        <v>1</v>
      </c>
      <c r="G135" s="107">
        <v>3</v>
      </c>
      <c r="H135" s="86">
        <v>1000</v>
      </c>
      <c r="I135" s="74">
        <f t="shared" si="15"/>
        <v>3000</v>
      </c>
      <c r="J135" s="87">
        <f>I135/2</f>
        <v>1500</v>
      </c>
      <c r="K135" s="108">
        <f>I135/3</f>
        <v>1000</v>
      </c>
      <c r="L135" s="108">
        <f>I135-(J135+K135)</f>
        <v>500</v>
      </c>
      <c r="M135" s="78"/>
      <c r="N135" s="79">
        <f t="shared" si="16"/>
        <v>1500</v>
      </c>
      <c r="P135" s="89"/>
    </row>
    <row r="136" ht="12.75" customHeight="1" outlineLevel="1">
      <c r="A136" s="104" t="str">
        <f t="shared" si="14"/>
        <v>5.17</v>
      </c>
      <c r="B136" s="105" t="s">
        <v>28</v>
      </c>
      <c r="C136" s="109"/>
      <c r="D136" s="107"/>
      <c r="E136" s="84">
        <v>1</v>
      </c>
      <c r="F136" s="85">
        <v>1</v>
      </c>
      <c r="G136" s="84">
        <v>3</v>
      </c>
      <c r="H136" s="86">
        <v>1000</v>
      </c>
      <c r="I136" s="74">
        <f t="shared" si="15"/>
        <v>3000</v>
      </c>
      <c r="J136" s="87">
        <f>I136/2</f>
        <v>1500</v>
      </c>
      <c r="K136" s="108">
        <f>I136/3</f>
        <v>1000</v>
      </c>
      <c r="L136" s="108">
        <f>I136-(J136+K136)</f>
        <v>500</v>
      </c>
      <c r="M136" s="78"/>
      <c r="N136" s="79">
        <f t="shared" si="16"/>
        <v>1500</v>
      </c>
      <c r="P136" s="89"/>
    </row>
    <row r="137" ht="12.75" customHeight="1" outlineLevel="1">
      <c r="A137" s="104" t="str">
        <f t="shared" si="14"/>
        <v>5.18</v>
      </c>
      <c r="B137" s="105" t="s">
        <v>29</v>
      </c>
      <c r="C137" s="106"/>
      <c r="D137" s="84"/>
      <c r="E137" s="107">
        <v>1</v>
      </c>
      <c r="F137" s="85">
        <v>1</v>
      </c>
      <c r="G137" s="107">
        <v>3</v>
      </c>
      <c r="H137" s="86">
        <v>1000</v>
      </c>
      <c r="I137" s="74">
        <f t="shared" si="15"/>
        <v>3000</v>
      </c>
      <c r="J137" s="87">
        <f>I137/2</f>
        <v>1500</v>
      </c>
      <c r="K137" s="108">
        <f>I137/3</f>
        <v>1000</v>
      </c>
      <c r="L137" s="108">
        <f>I137-(J137+K137)</f>
        <v>500</v>
      </c>
      <c r="M137" s="78"/>
      <c r="N137" s="79">
        <f t="shared" si="16"/>
        <v>1500</v>
      </c>
      <c r="P137" s="89"/>
    </row>
    <row r="138" ht="12.75" customHeight="1" outlineLevel="1">
      <c r="A138" s="104" t="str">
        <f t="shared" si="14"/>
        <v>5.19</v>
      </c>
      <c r="B138" s="105" t="s">
        <v>30</v>
      </c>
      <c r="C138" s="109"/>
      <c r="D138" s="107"/>
      <c r="E138" s="84">
        <v>1</v>
      </c>
      <c r="F138" s="85">
        <v>1</v>
      </c>
      <c r="G138" s="84">
        <v>3</v>
      </c>
      <c r="H138" s="86">
        <v>1000</v>
      </c>
      <c r="I138" s="74">
        <f t="shared" si="15"/>
        <v>3000</v>
      </c>
      <c r="J138" s="87">
        <f>I138/2</f>
        <v>1500</v>
      </c>
      <c r="K138" s="108">
        <f>I138/3</f>
        <v>1000</v>
      </c>
      <c r="L138" s="108">
        <f>I138-(J138+K138)</f>
        <v>500</v>
      </c>
      <c r="M138" s="78"/>
      <c r="N138" s="79">
        <f t="shared" si="16"/>
        <v>1500</v>
      </c>
      <c r="P138" s="89"/>
    </row>
    <row r="139" ht="12.75" customHeight="1" outlineLevel="1">
      <c r="A139" s="104" t="str">
        <f t="shared" si="14"/>
        <v>5.20</v>
      </c>
      <c r="B139" s="105" t="s">
        <v>31</v>
      </c>
      <c r="C139" s="106"/>
      <c r="D139" s="124"/>
      <c r="E139" s="107">
        <v>1</v>
      </c>
      <c r="F139" s="85">
        <v>1</v>
      </c>
      <c r="G139" s="107">
        <v>3</v>
      </c>
      <c r="H139" s="86">
        <v>1000</v>
      </c>
      <c r="I139" s="74">
        <f t="shared" si="15"/>
        <v>3000</v>
      </c>
      <c r="J139" s="87">
        <f>I139/2</f>
        <v>1500</v>
      </c>
      <c r="K139" s="108">
        <f>I139/3</f>
        <v>1000</v>
      </c>
      <c r="L139" s="108">
        <f>I139-(J139+K139)</f>
        <v>500</v>
      </c>
      <c r="M139" s="78"/>
      <c r="N139" s="79">
        <f t="shared" si="16"/>
        <v>1500</v>
      </c>
      <c r="P139" s="89"/>
    </row>
    <row r="140" ht="12.75" customHeight="1">
      <c r="A140" s="90" t="str">
        <f>IF($I$3="","",VLOOKUP($I$3,Sprachversionen!$B:$DZ,19,FALSE))</f>
        <v xml:space="preserve">Subtotal Project Administration</v>
      </c>
      <c r="B140" s="91"/>
      <c r="C140" s="121"/>
      <c r="D140" s="93"/>
      <c r="E140" s="93"/>
      <c r="F140" s="94"/>
      <c r="G140" s="93"/>
      <c r="H140" s="95"/>
      <c r="I140" s="96">
        <f t="shared" ref="I140:L140" si="17">SUM(I119:I139)</f>
        <v>60000</v>
      </c>
      <c r="J140" s="97">
        <f t="shared" si="17"/>
        <v>30000</v>
      </c>
      <c r="K140" s="98">
        <f t="shared" si="17"/>
        <v>20000</v>
      </c>
      <c r="L140" s="98">
        <f t="shared" si="17"/>
        <v>10000</v>
      </c>
      <c r="M140" s="78" t="b">
        <f t="shared" ref="M140:M149" si="18">I140=SUM(J140:L140)</f>
        <v>1</v>
      </c>
      <c r="N140" s="99">
        <f>SUM(N119:N139)</f>
        <v>30000</v>
      </c>
      <c r="P140" s="89"/>
    </row>
    <row r="141" ht="12.75" customHeight="1">
      <c r="A141" s="100" t="s">
        <v>32</v>
      </c>
      <c r="B141" s="125" t="str">
        <f>IF($I$3="","",VLOOKUP($I$3,Sprachversionen!$B:$EA,20,FALSE))</f>
        <v>Evaluation</v>
      </c>
      <c r="C141" s="126"/>
      <c r="D141" s="120"/>
      <c r="E141" s="120">
        <v>1</v>
      </c>
      <c r="F141" s="85">
        <v>1</v>
      </c>
      <c r="G141" s="120">
        <v>1</v>
      </c>
      <c r="H141" s="86">
        <v>5000</v>
      </c>
      <c r="I141" s="74">
        <f t="shared" ref="I141:I143" si="19">E141*F141*G141*H141</f>
        <v>5000</v>
      </c>
      <c r="J141" s="87">
        <f>I141/2</f>
        <v>2500</v>
      </c>
      <c r="K141" s="127">
        <f>I141/3</f>
        <v>1666.6666666666667</v>
      </c>
      <c r="L141" s="108">
        <f>I141-(J141+K141)</f>
        <v>833.33333333333303</v>
      </c>
      <c r="M141" s="78" t="b">
        <f t="shared" si="18"/>
        <v>1</v>
      </c>
      <c r="N141" s="103">
        <f t="shared" ref="N141:N143" si="20">ROUND(IFERROR(I141/$I$5,0), 2)</f>
        <v>2500</v>
      </c>
      <c r="P141" s="89"/>
    </row>
    <row r="142" ht="12.75" customHeight="1">
      <c r="A142" s="100" t="s">
        <v>33</v>
      </c>
      <c r="B142" s="125" t="str">
        <f>IF($I$3="","",VLOOKUP($I$3,Sprachversionen!$B:$EA,21,FALSE))</f>
        <v>Audit</v>
      </c>
      <c r="C142" s="126"/>
      <c r="D142" s="120"/>
      <c r="E142" s="120">
        <v>1</v>
      </c>
      <c r="F142" s="85">
        <v>1</v>
      </c>
      <c r="G142" s="120">
        <v>3</v>
      </c>
      <c r="H142" s="86">
        <v>3000</v>
      </c>
      <c r="I142" s="74">
        <f t="shared" si="19"/>
        <v>9000</v>
      </c>
      <c r="J142" s="87">
        <f>I142/2</f>
        <v>4500</v>
      </c>
      <c r="K142" s="127">
        <f>I142/3</f>
        <v>3000</v>
      </c>
      <c r="L142" s="108">
        <f>I142-(J142+K142)</f>
        <v>1500</v>
      </c>
      <c r="M142" s="78" t="b">
        <f t="shared" si="18"/>
        <v>1</v>
      </c>
      <c r="N142" s="103">
        <f t="shared" si="20"/>
        <v>4500</v>
      </c>
      <c r="P142" s="89"/>
    </row>
    <row r="143" ht="12.75" customHeight="1">
      <c r="A143" s="128" t="s">
        <v>34</v>
      </c>
      <c r="B143" s="129" t="str">
        <f>IF($I$3="","",VLOOKUP($I$3,Sprachversionen!$B:$EA,22,FALSE))</f>
        <v xml:space="preserve">Contingency reserve - after authorisation only</v>
      </c>
      <c r="C143" s="130"/>
      <c r="D143" s="131"/>
      <c r="E143" s="131">
        <v>1</v>
      </c>
      <c r="F143" s="132">
        <v>0.050000000000000003</v>
      </c>
      <c r="G143" s="131">
        <v>1</v>
      </c>
      <c r="H143" s="133">
        <f>I142+I141+I140+I118+I86+I54+I32</f>
        <v>254000</v>
      </c>
      <c r="I143" s="74">
        <f t="shared" si="19"/>
        <v>12700</v>
      </c>
      <c r="J143" s="134">
        <f>$E143*$F143*$G143*(J142+J141+J140+J118+J86+J54+J32)</f>
        <v>6350</v>
      </c>
      <c r="K143" s="135">
        <f t="shared" ref="K143:L143" si="21">$E143*$F143*$G143*(K142+K141+K140+K118+K86+K54+K32)</f>
        <v>4233.3333333333339</v>
      </c>
      <c r="L143" s="135">
        <f t="shared" si="21"/>
        <v>2116.6666666666665</v>
      </c>
      <c r="M143" s="78" t="b">
        <f t="shared" si="18"/>
        <v>1</v>
      </c>
      <c r="N143" s="136">
        <f t="shared" si="20"/>
        <v>6350</v>
      </c>
      <c r="P143" s="89"/>
    </row>
    <row r="144" ht="13.5">
      <c r="A144" s="137" t="str">
        <f>IF($I$3="","Please"" chose your language",VLOOKUP($I$3,Sprachversionen!$B:$EA,23,FALSE))</f>
        <v>Total</v>
      </c>
      <c r="B144" s="138"/>
      <c r="C144" s="139"/>
      <c r="D144" s="140"/>
      <c r="E144" s="140"/>
      <c r="F144" s="141"/>
      <c r="G144" s="140"/>
      <c r="H144" s="142"/>
      <c r="I144" s="143">
        <f>I143+I142+I141+I140+I118+I86+I54+I32</f>
        <v>266700</v>
      </c>
      <c r="J144" s="144">
        <f>J143+J142+J141+J140+J118+J86+J54+J32</f>
        <v>133350</v>
      </c>
      <c r="K144" s="145">
        <f>K143+K142+K141+K140+K118+K86+K54+K32</f>
        <v>88900</v>
      </c>
      <c r="L144" s="145">
        <f>L143+L142+L141+L140+L118+L86+L54+L32</f>
        <v>44450</v>
      </c>
      <c r="M144" s="146" t="b">
        <f t="shared" si="18"/>
        <v>1</v>
      </c>
      <c r="N144" s="147">
        <f>IFERROR(N143+N142+N141+N140+N118+N86+N54+N32,0)</f>
        <v>133350</v>
      </c>
      <c r="P144" s="89"/>
    </row>
    <row r="145" ht="13.5">
      <c r="A145" s="24"/>
      <c r="B145" s="148"/>
      <c r="C145" s="149"/>
      <c r="D145" s="27"/>
      <c r="E145" s="27"/>
      <c r="F145" s="27"/>
      <c r="G145" s="27"/>
      <c r="H145" s="27"/>
      <c r="I145" s="150"/>
      <c r="J145" s="150"/>
      <c r="K145" s="150"/>
      <c r="L145" s="150"/>
      <c r="M145" s="78"/>
      <c r="N145" s="151"/>
      <c r="P145" s="89"/>
    </row>
    <row r="146">
      <c r="A146" s="80"/>
      <c r="B146" s="152"/>
      <c r="C146" s="37"/>
      <c r="D146" s="153" t="str">
        <f>IF($I$3="","",VLOOKUP($I$3,Sprachversionen!$B:$EA,38,FALSE))</f>
        <v xml:space="preserve">Local Contribution</v>
      </c>
      <c r="E146" s="153"/>
      <c r="F146" s="153"/>
      <c r="G146" s="153"/>
      <c r="H146" s="154">
        <f t="shared" ref="H146:H148" si="22">IFERROR(I146/$I$149,0)</f>
        <v>0.44994375703037121</v>
      </c>
      <c r="I146" s="155">
        <f t="shared" ref="I146:I148" si="23">SUM(J146:L146)</f>
        <v>120000</v>
      </c>
      <c r="J146" s="87">
        <v>50000</v>
      </c>
      <c r="K146" s="108">
        <v>30000</v>
      </c>
      <c r="L146" s="108">
        <v>40000</v>
      </c>
      <c r="M146" s="78" t="b">
        <f t="shared" si="18"/>
        <v>1</v>
      </c>
      <c r="N146" s="156">
        <f t="shared" ref="N146:N147" si="24">ROUND(IFERROR(I146/$I$5,0),2)</f>
        <v>60000</v>
      </c>
      <c r="P146" s="89"/>
    </row>
    <row r="147">
      <c r="A147" s="80"/>
      <c r="B147" s="152"/>
      <c r="C147" s="37"/>
      <c r="D147" s="153" t="str">
        <f>IF($I$3="","",VLOOKUP($I$3,Sprachversionen!$B:$EA,39,FALSE))</f>
        <v xml:space="preserve">Third party contribution</v>
      </c>
      <c r="E147" s="153"/>
      <c r="F147" s="153"/>
      <c r="G147" s="153"/>
      <c r="H147" s="154">
        <f t="shared" si="22"/>
        <v>0.022497187851518559</v>
      </c>
      <c r="I147" s="157">
        <f t="shared" si="23"/>
        <v>6000</v>
      </c>
      <c r="J147" s="87">
        <v>3000</v>
      </c>
      <c r="K147" s="108">
        <v>2000</v>
      </c>
      <c r="L147" s="108">
        <v>1000</v>
      </c>
      <c r="M147" s="78" t="b">
        <f t="shared" si="18"/>
        <v>1</v>
      </c>
      <c r="N147" s="158">
        <f t="shared" si="24"/>
        <v>3000</v>
      </c>
      <c r="P147" s="89"/>
    </row>
    <row r="148">
      <c r="A148" s="159"/>
      <c r="B148" s="37"/>
      <c r="C148" s="37"/>
      <c r="D148" s="153" t="str">
        <f>IF($I$3="","",VLOOKUP($I$3,Sprachversionen!$B:$EA,40,FALSE))</f>
        <v xml:space="preserve">Requested from KMW</v>
      </c>
      <c r="E148" s="153"/>
      <c r="F148" s="153"/>
      <c r="G148" s="153"/>
      <c r="H148" s="154">
        <f t="shared" si="22"/>
        <v>0.52755905511811019</v>
      </c>
      <c r="I148" s="157">
        <f t="shared" si="23"/>
        <v>140700</v>
      </c>
      <c r="J148" s="75">
        <f>J144-J146-J147</f>
        <v>80350</v>
      </c>
      <c r="K148" s="75">
        <f t="shared" ref="K148:L148" si="25">K144-K146-K147</f>
        <v>56900</v>
      </c>
      <c r="L148" s="75">
        <f t="shared" si="25"/>
        <v>3450</v>
      </c>
      <c r="M148" s="78" t="b">
        <f t="shared" si="18"/>
        <v>1</v>
      </c>
      <c r="N148" s="160">
        <f>N144-N146-N147</f>
        <v>70350</v>
      </c>
      <c r="P148" s="89"/>
    </row>
    <row r="149" ht="13.5">
      <c r="A149" s="80"/>
      <c r="B149" s="152"/>
      <c r="C149" s="37"/>
      <c r="D149" s="140"/>
      <c r="E149" s="140"/>
      <c r="F149" s="140"/>
      <c r="G149" s="140"/>
      <c r="H149" s="161">
        <f>SUM(H146:H148)</f>
        <v>1</v>
      </c>
      <c r="I149" s="162">
        <f>SUM(I146:I148)</f>
        <v>266700</v>
      </c>
      <c r="J149" s="163">
        <f>SUM(J146:J148)</f>
        <v>133350</v>
      </c>
      <c r="K149" s="164">
        <f>SUM(K146:K148)</f>
        <v>88900</v>
      </c>
      <c r="L149" s="164">
        <f>SUM(L146:L148)</f>
        <v>44450</v>
      </c>
      <c r="M149" s="78" t="b">
        <f t="shared" si="18"/>
        <v>1</v>
      </c>
      <c r="N149" s="165">
        <f>SUM(N146:N148)</f>
        <v>133350</v>
      </c>
      <c r="P149" s="89"/>
    </row>
    <row r="150">
      <c r="A150" s="80"/>
      <c r="B150" s="152"/>
      <c r="C150" s="152"/>
      <c r="D150" s="27"/>
      <c r="E150" s="27"/>
      <c r="F150" s="27"/>
      <c r="G150" s="27"/>
      <c r="H150" s="166"/>
      <c r="I150" s="167"/>
      <c r="J150" s="167"/>
      <c r="K150" s="167"/>
      <c r="L150" s="167"/>
      <c r="M150" s="30"/>
      <c r="N150" s="31"/>
      <c r="P150" s="89"/>
    </row>
    <row r="151">
      <c r="A151" s="159"/>
      <c r="B151" s="117"/>
      <c r="C151" s="117"/>
      <c r="D151" s="168" t="str">
        <f>IF(Budget!$I$3="","",VLOOKUP(Budget!$I$3,Sprachversionen!$B:$EA,56,FALSE))</f>
        <v xml:space="preserve">Name of the Third Party Donor</v>
      </c>
      <c r="E151" s="169"/>
      <c r="F151" s="169"/>
      <c r="G151" s="169"/>
      <c r="H151" s="169" t="str">
        <f>IF(Budget!$I$3="","",VLOOKUP(Budget!$I$3,Sprachversionen!$B:$EA,57,FALSE))</f>
        <v xml:space="preserve">Funding Status</v>
      </c>
      <c r="I151" s="170" t="str">
        <f>I10</f>
        <v xml:space="preserve">in Local Currency</v>
      </c>
      <c r="J151" s="170" t="str">
        <f>IF(Budget!$I$3="","",VLOOKUP(Budget!$I$3,Sprachversionen!$B:$EA,59,FALSE))</f>
        <v xml:space="preserve">in €</v>
      </c>
      <c r="K151" s="171" t="str">
        <f>IF(Budget!$I$3="","",VLOOKUP(Budget!$I$3,Sprachversionen!$B:$EA,60,FALSE))</f>
        <v xml:space="preserve">Funding Period</v>
      </c>
      <c r="L151" s="172"/>
      <c r="M151" s="173"/>
      <c r="N151" s="174"/>
      <c r="P151" s="89"/>
    </row>
    <row r="152">
      <c r="A152" s="80"/>
      <c r="B152" s="23"/>
      <c r="C152" s="23"/>
      <c r="D152" s="175"/>
      <c r="E152" s="176"/>
      <c r="F152" s="176"/>
      <c r="G152" s="176"/>
      <c r="H152" s="177" t="str">
        <f>IF(Budget!$I$3="","",VLOOKUP(Budget!$I$3,Sprachversionen!$B:$EA,58,FALSE))</f>
        <v>Approved/Requested</v>
      </c>
      <c r="I152" s="178"/>
      <c r="J152" s="178"/>
      <c r="K152" s="179" t="str">
        <f>IF(Budget!$I$3="","",VLOOKUP(Budget!$I$3,Sprachversionen!$B:$EA,61,FALSE))</f>
        <v>From</v>
      </c>
      <c r="L152" s="180" t="str">
        <f>IF(Budget!$I$3="","",VLOOKUP(Budget!$I$3,Sprachversionen!$B:$EA,62,FALSE))</f>
        <v>To</v>
      </c>
      <c r="M152" s="30"/>
      <c r="N152" s="181"/>
      <c r="P152" s="89"/>
    </row>
    <row r="153">
      <c r="A153" s="80"/>
      <c r="B153" s="23"/>
      <c r="C153" s="23"/>
      <c r="D153" s="182"/>
      <c r="E153" s="183"/>
      <c r="F153" s="183"/>
      <c r="G153" s="183"/>
      <c r="H153" s="184"/>
      <c r="I153" s="185"/>
      <c r="J153" s="185"/>
      <c r="K153" s="186"/>
      <c r="L153" s="187"/>
      <c r="M153" s="30"/>
      <c r="N153" s="181"/>
      <c r="P153" s="89"/>
    </row>
    <row r="154">
      <c r="A154" s="80"/>
      <c r="B154" s="23"/>
      <c r="C154" s="23"/>
      <c r="D154" s="182"/>
      <c r="E154" s="183"/>
      <c r="F154" s="183"/>
      <c r="G154" s="183"/>
      <c r="H154" s="184"/>
      <c r="I154" s="185"/>
      <c r="J154" s="185"/>
      <c r="K154" s="186"/>
      <c r="L154" s="187"/>
      <c r="M154" s="30"/>
      <c r="N154" s="181"/>
      <c r="P154" s="89"/>
    </row>
    <row r="155">
      <c r="A155" s="80"/>
      <c r="B155" s="152"/>
      <c r="C155" s="152"/>
      <c r="D155" s="182"/>
      <c r="E155" s="183"/>
      <c r="F155" s="183"/>
      <c r="G155" s="183"/>
      <c r="H155" s="184"/>
      <c r="I155" s="185"/>
      <c r="J155" s="185"/>
      <c r="K155" s="186"/>
      <c r="L155" s="187"/>
      <c r="M155" s="30"/>
      <c r="N155" s="181"/>
      <c r="P155" s="89"/>
    </row>
    <row r="156">
      <c r="A156" s="80"/>
      <c r="B156" s="152"/>
      <c r="C156" s="152"/>
      <c r="D156" s="182"/>
      <c r="E156" s="183"/>
      <c r="F156" s="183"/>
      <c r="G156" s="183"/>
      <c r="H156" s="184"/>
      <c r="I156" s="185"/>
      <c r="J156" s="185"/>
      <c r="K156" s="186"/>
      <c r="L156" s="187"/>
      <c r="M156" s="30"/>
      <c r="N156" s="181"/>
      <c r="P156" s="89"/>
    </row>
    <row r="157">
      <c r="A157" s="80"/>
      <c r="B157" s="152"/>
      <c r="C157" s="152"/>
      <c r="D157" s="182"/>
      <c r="E157" s="183"/>
      <c r="F157" s="183"/>
      <c r="G157" s="183"/>
      <c r="H157" s="184"/>
      <c r="I157" s="185"/>
      <c r="J157" s="185"/>
      <c r="K157" s="186"/>
      <c r="L157" s="187"/>
      <c r="M157" s="30"/>
      <c r="N157" s="181"/>
      <c r="P157" s="89"/>
    </row>
    <row r="158" outlineLevel="1">
      <c r="A158" s="188"/>
      <c r="B158" s="189"/>
      <c r="C158" s="189"/>
      <c r="D158" s="182"/>
      <c r="E158" s="183"/>
      <c r="F158" s="183"/>
      <c r="G158" s="183"/>
      <c r="H158" s="184"/>
      <c r="I158" s="185"/>
      <c r="J158" s="185"/>
      <c r="K158" s="186"/>
      <c r="L158" s="187"/>
      <c r="P158" s="89"/>
    </row>
    <row r="159" outlineLevel="1">
      <c r="C159" s="67"/>
      <c r="D159" s="182"/>
      <c r="E159" s="183"/>
      <c r="F159" s="183"/>
      <c r="G159" s="183"/>
      <c r="H159" s="184"/>
      <c r="I159" s="185"/>
      <c r="J159" s="185"/>
      <c r="K159" s="186"/>
      <c r="L159" s="187"/>
      <c r="P159" s="89"/>
    </row>
    <row r="160" outlineLevel="1">
      <c r="C160" s="67"/>
      <c r="D160" s="182"/>
      <c r="E160" s="183"/>
      <c r="F160" s="183"/>
      <c r="G160" s="183"/>
      <c r="H160" s="184"/>
      <c r="I160" s="185"/>
      <c r="J160" s="185"/>
      <c r="K160" s="186"/>
      <c r="L160" s="187"/>
      <c r="P160" s="89"/>
    </row>
    <row r="161" outlineLevel="1">
      <c r="C161" s="67"/>
      <c r="D161" s="182"/>
      <c r="E161" s="183"/>
      <c r="F161" s="183"/>
      <c r="G161" s="183"/>
      <c r="H161" s="184"/>
      <c r="I161" s="185"/>
      <c r="J161" s="185"/>
      <c r="K161" s="186"/>
      <c r="L161" s="187"/>
      <c r="P161" s="89"/>
    </row>
    <row r="162" outlineLevel="1">
      <c r="C162" s="67"/>
      <c r="D162" s="182"/>
      <c r="E162" s="183"/>
      <c r="F162" s="183"/>
      <c r="G162" s="183"/>
      <c r="H162" s="184"/>
      <c r="I162" s="185"/>
      <c r="J162" s="185"/>
      <c r="K162" s="186"/>
      <c r="L162" s="187"/>
      <c r="P162" s="89"/>
    </row>
    <row r="163" outlineLevel="1">
      <c r="D163" s="182"/>
      <c r="E163" s="183"/>
      <c r="F163" s="183"/>
      <c r="G163" s="183"/>
      <c r="H163" s="184"/>
      <c r="I163" s="185"/>
      <c r="J163" s="185"/>
      <c r="K163" s="186"/>
      <c r="L163" s="187"/>
      <c r="P163" s="89"/>
    </row>
    <row r="164" outlineLevel="1">
      <c r="D164" s="182"/>
      <c r="E164" s="183"/>
      <c r="F164" s="183"/>
      <c r="G164" s="183"/>
      <c r="H164" s="184"/>
      <c r="I164" s="185"/>
      <c r="J164" s="185"/>
      <c r="K164" s="186"/>
      <c r="L164" s="187"/>
      <c r="P164" s="89"/>
    </row>
    <row r="165" outlineLevel="1">
      <c r="D165" s="182"/>
      <c r="E165" s="183"/>
      <c r="F165" s="183"/>
      <c r="G165" s="183"/>
      <c r="H165" s="184"/>
      <c r="I165" s="185"/>
      <c r="J165" s="185"/>
      <c r="K165" s="186"/>
      <c r="L165" s="187"/>
      <c r="P165" s="89"/>
    </row>
    <row r="166" outlineLevel="1">
      <c r="D166" s="182"/>
      <c r="E166" s="183"/>
      <c r="F166" s="183"/>
      <c r="G166" s="183"/>
      <c r="H166" s="184"/>
      <c r="I166" s="185"/>
      <c r="J166" s="185"/>
      <c r="K166" s="186"/>
      <c r="L166" s="187"/>
      <c r="P166" s="89"/>
    </row>
    <row r="167" outlineLevel="1">
      <c r="D167" s="182"/>
      <c r="E167" s="183"/>
      <c r="F167" s="183"/>
      <c r="G167" s="183"/>
      <c r="H167" s="184"/>
      <c r="I167" s="185"/>
      <c r="J167" s="185"/>
      <c r="K167" s="186"/>
      <c r="L167" s="187"/>
      <c r="P167" s="89"/>
    </row>
    <row r="168">
      <c r="D168" s="190"/>
      <c r="E168" s="190"/>
      <c r="F168" s="190"/>
      <c r="G168" s="190"/>
      <c r="H168" s="191"/>
      <c r="I168" s="192"/>
      <c r="J168" s="192"/>
      <c r="K168" s="192"/>
      <c r="L168" s="192"/>
      <c r="P168" s="89"/>
    </row>
    <row r="169">
      <c r="D169" s="193"/>
      <c r="E169" s="193"/>
      <c r="F169" s="193"/>
      <c r="G169" s="193"/>
      <c r="H169" s="67"/>
      <c r="I169" s="67"/>
      <c r="J169" s="67"/>
      <c r="K169" s="67"/>
      <c r="L169" s="67"/>
    </row>
    <row r="170">
      <c r="D170" s="193"/>
      <c r="E170" s="193"/>
      <c r="F170" s="193"/>
      <c r="G170" s="193"/>
      <c r="H170" s="67"/>
      <c r="I170" s="67"/>
      <c r="J170" s="67"/>
      <c r="K170" s="67"/>
      <c r="L170" s="67"/>
    </row>
    <row r="171">
      <c r="D171" s="193"/>
      <c r="E171" s="193"/>
      <c r="F171" s="193"/>
      <c r="G171" s="193"/>
      <c r="H171" s="67"/>
      <c r="I171" s="67"/>
      <c r="J171" s="67"/>
      <c r="K171" s="67"/>
      <c r="L171" s="67"/>
    </row>
    <row r="172">
      <c r="D172" s="193"/>
      <c r="E172" s="193"/>
      <c r="F172" s="193"/>
      <c r="G172" s="193"/>
      <c r="H172" s="67"/>
      <c r="I172" s="67"/>
      <c r="J172" s="67"/>
      <c r="K172" s="67"/>
      <c r="L172" s="67"/>
    </row>
    <row r="180" s="11" customFormat="1">
      <c r="A180" s="8"/>
      <c r="B180" s="8"/>
      <c r="C180" s="8"/>
      <c r="D180" s="9"/>
      <c r="E180" s="9"/>
      <c r="F180" s="9"/>
      <c r="G180" s="9"/>
      <c r="H180" s="10"/>
      <c r="I180" s="10"/>
      <c r="J180" s="10"/>
      <c r="K180" s="10"/>
      <c r="L180" s="10"/>
      <c r="N180" s="12"/>
      <c r="O180" s="8"/>
      <c r="P180" s="8"/>
    </row>
    <row r="181" s="11" customFormat="1">
      <c r="A181" s="8"/>
      <c r="B181" s="8"/>
      <c r="C181" s="8"/>
      <c r="D181" s="9"/>
      <c r="E181" s="9"/>
      <c r="F181" s="9"/>
      <c r="G181" s="9"/>
      <c r="H181" s="10"/>
      <c r="I181" s="10"/>
      <c r="J181" s="10"/>
      <c r="K181" s="10"/>
      <c r="L181" s="10"/>
      <c r="N181" s="12"/>
      <c r="O181" s="8"/>
      <c r="P181" s="8"/>
    </row>
    <row r="182" s="11" customFormat="1">
      <c r="A182" s="8"/>
      <c r="B182" s="8"/>
      <c r="C182" s="8"/>
      <c r="D182" s="9"/>
      <c r="E182" s="9"/>
      <c r="F182" s="9"/>
      <c r="G182" s="9"/>
      <c r="H182" s="10"/>
      <c r="I182" s="10"/>
      <c r="J182" s="10"/>
      <c r="K182" s="10"/>
      <c r="L182" s="10"/>
      <c r="N182" s="12"/>
      <c r="O182" s="8"/>
      <c r="P182" s="8"/>
    </row>
    <row r="183" s="11" customFormat="1">
      <c r="A183" s="8"/>
      <c r="B183" s="8"/>
      <c r="C183" s="8"/>
      <c r="D183" s="9"/>
      <c r="E183" s="9"/>
      <c r="F183" s="9"/>
      <c r="G183" s="9"/>
      <c r="H183" s="10"/>
      <c r="I183" s="10"/>
      <c r="J183" s="10"/>
      <c r="K183" s="10"/>
      <c r="L183" s="10"/>
      <c r="N183" s="12"/>
      <c r="O183" s="8"/>
      <c r="P183" s="8"/>
    </row>
    <row r="184" s="11" customFormat="1">
      <c r="A184" s="8"/>
      <c r="B184" s="8"/>
      <c r="C184" s="8"/>
      <c r="D184" s="9"/>
      <c r="E184" s="9"/>
      <c r="F184" s="9"/>
      <c r="G184" s="9"/>
      <c r="H184" s="10"/>
      <c r="I184" s="10"/>
      <c r="J184" s="10"/>
      <c r="K184" s="10"/>
      <c r="L184" s="10"/>
      <c r="N184" s="12"/>
      <c r="O184" s="8"/>
      <c r="P184" s="8"/>
    </row>
    <row r="185" s="11" customFormat="1">
      <c r="A185" s="8"/>
      <c r="B185" s="8"/>
      <c r="C185" s="8"/>
      <c r="D185" s="9"/>
      <c r="E185" s="9"/>
      <c r="F185" s="9"/>
      <c r="G185" s="9"/>
      <c r="H185" s="10"/>
      <c r="I185" s="10"/>
      <c r="J185" s="10"/>
      <c r="K185" s="10"/>
      <c r="L185" s="10"/>
      <c r="N185" s="12"/>
      <c r="O185" s="8"/>
      <c r="P185" s="8"/>
    </row>
    <row r="186" s="11" customFormat="1">
      <c r="A186" s="8"/>
      <c r="B186" s="8"/>
      <c r="C186" s="8"/>
      <c r="D186" s="9"/>
      <c r="E186" s="9"/>
      <c r="F186" s="9"/>
      <c r="G186" s="9"/>
      <c r="H186" s="10"/>
      <c r="I186" s="10"/>
      <c r="J186" s="10"/>
      <c r="K186" s="10"/>
      <c r="L186" s="10"/>
      <c r="N186" s="12"/>
      <c r="O186" s="8"/>
      <c r="P186" s="8"/>
    </row>
    <row r="187" s="11" customFormat="1">
      <c r="A187" s="8"/>
      <c r="B187" s="8"/>
      <c r="C187" s="8"/>
      <c r="D187" s="9"/>
      <c r="E187" s="9"/>
      <c r="F187" s="9"/>
      <c r="G187" s="9"/>
      <c r="H187" s="10"/>
      <c r="I187" s="10"/>
      <c r="J187" s="10"/>
      <c r="K187" s="10"/>
      <c r="L187" s="10"/>
      <c r="N187" s="12"/>
      <c r="O187" s="8"/>
      <c r="P187" s="8"/>
    </row>
    <row r="188" s="11" customFormat="1">
      <c r="A188" s="8"/>
      <c r="B188" s="8"/>
      <c r="C188" s="8"/>
      <c r="D188" s="9"/>
      <c r="E188" s="9"/>
      <c r="F188" s="9"/>
      <c r="G188" s="9"/>
      <c r="H188" s="10"/>
      <c r="I188" s="10"/>
      <c r="J188" s="10"/>
      <c r="K188" s="10"/>
      <c r="L188" s="10"/>
      <c r="N188" s="12"/>
      <c r="O188" s="8"/>
      <c r="P188" s="8"/>
    </row>
    <row r="189" s="11" customFormat="1">
      <c r="A189" s="8"/>
      <c r="B189" s="8"/>
      <c r="C189" s="8"/>
      <c r="D189" s="9"/>
      <c r="E189" s="9"/>
      <c r="F189" s="9"/>
      <c r="G189" s="9"/>
      <c r="H189" s="10"/>
      <c r="I189" s="10"/>
      <c r="J189" s="10"/>
      <c r="K189" s="10"/>
      <c r="L189" s="10"/>
      <c r="N189" s="12"/>
      <c r="O189" s="8"/>
      <c r="P189" s="8"/>
    </row>
    <row r="190" s="11" customFormat="1">
      <c r="A190" s="8"/>
      <c r="B190" s="8"/>
      <c r="C190" s="8"/>
      <c r="D190" s="9"/>
      <c r="E190" s="9"/>
      <c r="F190" s="9"/>
      <c r="G190" s="9"/>
      <c r="H190" s="10"/>
      <c r="I190" s="10"/>
      <c r="J190" s="10"/>
      <c r="K190" s="10"/>
      <c r="L190" s="10"/>
      <c r="N190" s="12"/>
      <c r="O190" s="8"/>
      <c r="P190" s="8"/>
    </row>
    <row r="191" s="11" customFormat="1">
      <c r="A191" s="8"/>
      <c r="B191" s="8"/>
      <c r="C191" s="8"/>
      <c r="D191" s="9"/>
      <c r="E191" s="9"/>
      <c r="F191" s="9"/>
      <c r="G191" s="9"/>
      <c r="H191" s="10"/>
      <c r="I191" s="10"/>
      <c r="J191" s="10"/>
      <c r="K191" s="10"/>
      <c r="L191" s="10"/>
      <c r="N191" s="12"/>
      <c r="O191" s="8"/>
      <c r="P191" s="8"/>
    </row>
    <row r="192" s="11" customFormat="1">
      <c r="A192" s="8"/>
      <c r="B192" s="8"/>
      <c r="C192" s="8"/>
      <c r="D192" s="9"/>
      <c r="E192" s="9"/>
      <c r="F192" s="9"/>
      <c r="G192" s="9"/>
      <c r="H192" s="10"/>
      <c r="I192" s="10"/>
      <c r="J192" s="10"/>
      <c r="K192" s="10"/>
      <c r="L192" s="10"/>
      <c r="N192" s="12"/>
      <c r="O192" s="8"/>
      <c r="P192" s="8"/>
    </row>
  </sheetData>
  <sheetProtection algorithmName="SHA-512" hashValue="2GTB4WLR5m21VLjQpJke9X+hR38aMKnXd69WUD1C0NJZAWv/9sJjgfEYWZJtuDKhUvigypUx9uXGqvDgEzyzEQ==" saltValue="pkT8OrjXDzoH6HDc8VGbWw==" spinCount="100000" autoFilter="0" deleteColumns="0" deleteRows="0" formatCells="0" formatColumns="0" formatRows="0" insertColumns="1" insertHyperlinks="0" insertRows="1" objects="1" pivotTables="0" scenarios="0" selectLockedCells="0" selectUnlockedCells="0" sheet="1" sort="0"/>
  <mergeCells count="38">
    <mergeCell ref="C2:E3"/>
    <mergeCell ref="G2:H2"/>
    <mergeCell ref="G3:H3"/>
    <mergeCell ref="P3:P5"/>
    <mergeCell ref="C4:E4"/>
    <mergeCell ref="G4:H4"/>
    <mergeCell ref="G5:H5"/>
    <mergeCell ref="G6:H6"/>
    <mergeCell ref="D8:H8"/>
    <mergeCell ref="J8:L8"/>
    <mergeCell ref="B9:B10"/>
    <mergeCell ref="E9:E10"/>
    <mergeCell ref="F9:F10"/>
    <mergeCell ref="G9:G10"/>
    <mergeCell ref="H9:H10"/>
    <mergeCell ref="P56:P65"/>
    <mergeCell ref="D146:G146"/>
    <mergeCell ref="D147:G147"/>
    <mergeCell ref="D148:G148"/>
    <mergeCell ref="D149:G149"/>
    <mergeCell ref="D151:G151"/>
    <mergeCell ref="K151:L151"/>
    <mergeCell ref="D152:G152"/>
    <mergeCell ref="D153:G153"/>
    <mergeCell ref="D154:G154"/>
    <mergeCell ref="D155:G155"/>
    <mergeCell ref="D156:G156"/>
    <mergeCell ref="D157:G157"/>
    <mergeCell ref="D158:G158"/>
    <mergeCell ref="D159:G159"/>
    <mergeCell ref="D160:G160"/>
    <mergeCell ref="D161:G161"/>
    <mergeCell ref="D162:G162"/>
    <mergeCell ref="D163:G163"/>
    <mergeCell ref="D164:G164"/>
    <mergeCell ref="D165:G165"/>
    <mergeCell ref="D166:G166"/>
    <mergeCell ref="D167:G167"/>
  </mergeCells>
  <dataValidations count="3" disablePrompts="0">
    <dataValidation sqref="H153:H167" type="list" allowBlank="1" errorStyle="stop" imeMode="noControl" operator="between" showDropDown="0" showErrorMessage="1" showInputMessage="1">
      <formula1>Sprachversionen!$CJ$9:$CK$9</formula1>
    </dataValidation>
    <dataValidation sqref="I4" type="list" allowBlank="1" errorStyle="stop" imeMode="noControl" operator="between" showDropDown="0" showErrorMessage="1" showInputMessage="1">
      <formula1>Sprachversionen!$A$1:$A$153</formula1>
    </dataValidation>
    <dataValidation sqref="I3" type="list" allowBlank="1" errorStyle="stop" imeMode="noControl" operator="between" showDropDown="0" showErrorMessage="1" showInputMessage="1">
      <formula1>Sprachversionen!$B$1:$B$5</formula1>
    </dataValidation>
  </dataValidations>
  <printOptions headings="0" gridLines="0" horizontalCentered="1" verticalCentered="1"/>
  <pageMargins left="0" right="0" top="0" bottom="0" header="0" footer="0"/>
  <pageSetup paperSize="9" scale="56"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001700B9-000B-4078-9FFB-008C000C001D}" type="whole" allowBlank="1" error="Please enter a valid number for the number of months (no text)." errorStyle="stop" errorTitle="Error" imeMode="noControl" operator="between" showDropDown="0" showErrorMessage="1" showInputMessage="1">
          <x14:formula1>
            <xm:f>0</xm:f>
          </x14:formula1>
          <x14:formula2>
            <xm:f>120</xm:f>
          </x14:formula2>
          <xm:sqref>C5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6" activeCellId="0" sqref="A6"/>
    </sheetView>
  </sheetViews>
  <sheetFormatPr defaultColWidth="11.5703125" defaultRowHeight="14.25"/>
  <cols>
    <col min="1" max="16384" style="194" width="11.5703125"/>
  </cols>
  <sheetData>
    <row r="1" s="195" customFormat="1">
      <c r="A1" s="24" t="str">
        <f>IF(Budget!$I$3="","",VLOOKUP(Budget!$I$3,Sprachversionen!$B:$EA,55,FALSE))</f>
        <v xml:space="preserve">BUDGET DETAILS</v>
      </c>
      <c r="E1" s="196"/>
      <c r="F1" s="196"/>
      <c r="G1" s="196"/>
      <c r="H1" s="196"/>
      <c r="I1" s="196"/>
    </row>
    <row r="2" s="195" customFormat="1" ht="15" customHeight="1">
      <c r="A2" s="194"/>
      <c r="E2" s="196"/>
      <c r="F2" s="196"/>
      <c r="G2" s="196"/>
      <c r="H2" s="196"/>
      <c r="I2" s="196"/>
    </row>
    <row r="3" s="195" customFormat="1">
      <c r="A3" s="197" t="str">
        <f>Budget!A3&amp;": "&amp;Budget!C3</f>
        <v xml:space="preserve">Project Title: </v>
      </c>
      <c r="B3" s="194"/>
      <c r="C3" s="194"/>
      <c r="J3" s="196"/>
      <c r="K3" s="196"/>
      <c r="L3" s="196"/>
      <c r="M3" s="196"/>
      <c r="N3" s="196"/>
    </row>
    <row r="4" s="195" customFormat="1">
      <c r="A4" s="197" t="str">
        <f>Budget!A4&amp;": "&amp;Budget!C4</f>
        <v xml:space="preserve">Project Partner: Testträger</v>
      </c>
      <c r="B4" s="194"/>
      <c r="C4" s="194"/>
    </row>
    <row r="5" s="195" customFormat="1">
      <c r="A5" s="197" t="str">
        <f>Budget!A5&amp;": "&amp;Budget!C5&amp;" "&amp;IF(Budget!$I$3="","",VLOOKUP(Budget!$I$3,Sprachversionen!$B:$EA,54,FALSE))</f>
        <v xml:space="preserve">Planned Project Duration (in Months): 36 Months</v>
      </c>
      <c r="B5" s="194"/>
      <c r="C5" s="194"/>
    </row>
    <row r="6" s="195" customFormat="1">
      <c r="B6" s="194"/>
      <c r="C6" s="194"/>
      <c r="O6" s="196"/>
      <c r="P6" s="196"/>
    </row>
    <row r="7" s="195" customFormat="1">
      <c r="B7" s="194"/>
      <c r="C7" s="194"/>
      <c r="O7" s="196"/>
      <c r="P7" s="196"/>
    </row>
    <row r="8" s="195" customFormat="1"/>
    <row r="9" s="195" customFormat="1"/>
    <row r="10" s="195" customFormat="1"/>
    <row r="11" s="195" customFormat="1"/>
    <row r="12" s="195" customFormat="1"/>
    <row r="13" s="195" customFormat="1"/>
    <row r="14" s="195" customFormat="1"/>
    <row r="15" s="195" customFormat="1"/>
    <row r="16" s="195" customFormat="1"/>
    <row r="17" s="195" customFormat="1"/>
    <row r="18" s="195" customFormat="1"/>
    <row r="19" s="195" customFormat="1"/>
    <row r="20" s="195" customFormat="1"/>
    <row r="21" s="195" customFormat="1"/>
    <row r="22" s="195" customFormat="1"/>
    <row r="23" s="195" customFormat="1"/>
    <row r="24" s="195" customFormat="1"/>
    <row r="25" s="195" customFormat="1"/>
    <row r="26" s="195" customFormat="1"/>
    <row r="27" s="195" customFormat="1"/>
    <row r="28" s="195" customFormat="1"/>
    <row r="29" s="195" customFormat="1"/>
    <row r="30" s="195" customFormat="1"/>
    <row r="31" s="195" customFormat="1"/>
    <row r="32" s="195" customFormat="1"/>
    <row r="33" s="195" customFormat="1"/>
    <row r="34" s="195" customFormat="1"/>
    <row r="35" s="195" customFormat="1"/>
    <row r="36" s="195" customFormat="1"/>
    <row r="37" s="195" customFormat="1"/>
    <row r="38" s="195" customFormat="1"/>
    <row r="39" s="195" customFormat="1"/>
    <row r="40" s="195" customFormat="1"/>
    <row r="41" s="195" customFormat="1"/>
    <row r="42" s="195" customFormat="1"/>
    <row r="43" s="195" customFormat="1"/>
    <row r="44" s="195" customFormat="1"/>
    <row r="45" s="195" customFormat="1"/>
    <row r="46" s="195" customFormat="1"/>
    <row r="47" s="195" customFormat="1"/>
    <row r="48" s="195" customFormat="1"/>
    <row r="49" s="195" customFormat="1"/>
    <row r="50" s="195" customFormat="1"/>
    <row r="51" s="195" customFormat="1"/>
    <row r="52" s="195" customFormat="1"/>
    <row r="53" s="195" customFormat="1"/>
    <row r="54" s="195" customFormat="1"/>
    <row r="55" s="195" customFormat="1"/>
    <row r="56" s="195" customFormat="1"/>
    <row r="57" s="195" customFormat="1"/>
    <row r="58" s="195" customFormat="1"/>
    <row r="59" s="195" customFormat="1"/>
    <row r="60" s="195" customFormat="1"/>
    <row r="61" s="195" customFormat="1"/>
    <row r="62" s="195" customFormat="1"/>
    <row r="63" s="195" customFormat="1"/>
    <row r="64" s="195" customFormat="1"/>
    <row r="65" s="195" customFormat="1"/>
    <row r="66" s="195" customFormat="1"/>
    <row r="67" s="195" customFormat="1"/>
    <row r="68" s="195" customFormat="1"/>
    <row r="69" s="195" customFormat="1"/>
    <row r="70" s="195" customFormat="1"/>
    <row r="71" s="195" customFormat="1"/>
    <row r="72" s="195" customFormat="1"/>
    <row r="73" s="195" customFormat="1"/>
    <row r="74" s="195" customFormat="1"/>
    <row r="75" s="195" customFormat="1"/>
    <row r="76" s="195" customFormat="1"/>
    <row r="77" s="195" customFormat="1"/>
    <row r="78" s="195" customFormat="1"/>
    <row r="79" s="195" customFormat="1"/>
    <row r="80" s="195" customFormat="1"/>
    <row r="81" s="195" customFormat="1"/>
    <row r="82" s="195" customFormat="1"/>
    <row r="83" s="195" customFormat="1"/>
    <row r="84" s="195" customFormat="1"/>
    <row r="85" s="195" customFormat="1"/>
    <row r="86" s="195" customFormat="1"/>
    <row r="87" s="195" customFormat="1"/>
    <row r="88" s="195" customFormat="1"/>
    <row r="89" s="195" customFormat="1"/>
    <row r="90" s="195" customFormat="1"/>
    <row r="91" s="195" customFormat="1"/>
    <row r="92" s="195" customFormat="1"/>
    <row r="93" s="195" customFormat="1"/>
    <row r="94" s="195" customFormat="1"/>
    <row r="95" s="195" customFormat="1"/>
    <row r="96" s="195" customFormat="1"/>
    <row r="97" s="195" customFormat="1"/>
    <row r="98" s="195" customFormat="1"/>
    <row r="99" s="195" customFormat="1"/>
    <row r="100" s="195" customFormat="1"/>
    <row r="101" s="195" customFormat="1"/>
    <row r="102" s="195" customFormat="1"/>
    <row r="103" s="195" customFormat="1"/>
    <row r="104" s="195" customFormat="1"/>
    <row r="105" s="195" customFormat="1"/>
    <row r="106" s="195" customFormat="1"/>
    <row r="107" s="195" customFormat="1"/>
    <row r="108" s="195" customFormat="1"/>
    <row r="109" s="195" customFormat="1"/>
    <row r="110" s="195" customFormat="1"/>
    <row r="111" s="195" customFormat="1"/>
    <row r="112" s="195" customFormat="1"/>
    <row r="113" s="195" customFormat="1"/>
    <row r="114" s="195" customFormat="1"/>
    <row r="115" s="195" customFormat="1"/>
    <row r="116" s="195" customFormat="1"/>
    <row r="117" s="195" customFormat="1"/>
    <row r="118" s="195" customFormat="1"/>
    <row r="119" s="195" customFormat="1"/>
    <row r="120" s="195" customFormat="1"/>
    <row r="121" s="195" customFormat="1"/>
    <row r="122" s="195" customFormat="1"/>
    <row r="123" s="195" customFormat="1"/>
    <row r="124" s="195" customFormat="1"/>
    <row r="125" s="195" customFormat="1"/>
    <row r="126" s="195" customFormat="1"/>
    <row r="127" s="195" customFormat="1"/>
    <row r="128" s="195" customFormat="1"/>
    <row r="129" s="195" customFormat="1"/>
    <row r="130" s="195" customFormat="1"/>
    <row r="131" s="195" customFormat="1"/>
    <row r="132" s="195" customFormat="1"/>
    <row r="133" s="195" customFormat="1"/>
    <row r="134" s="195" customFormat="1"/>
    <row r="135" s="195" customFormat="1"/>
    <row r="136" s="195" customFormat="1"/>
    <row r="137" s="195" customFormat="1"/>
    <row r="138" s="195" customFormat="1"/>
    <row r="139" s="195" customFormat="1"/>
    <row r="140" s="195" customFormat="1"/>
    <row r="141" s="195" customFormat="1"/>
    <row r="142" s="195" customFormat="1"/>
    <row r="143" s="195" customFormat="1"/>
    <row r="144" s="195" customFormat="1"/>
    <row r="145" s="195" customFormat="1"/>
    <row r="146" s="195" customFormat="1"/>
    <row r="147" s="195" customFormat="1"/>
    <row r="148" s="195" customFormat="1"/>
    <row r="149" s="195" customFormat="1"/>
    <row r="150" s="195" customFormat="1"/>
    <row r="151" s="195" customFormat="1"/>
    <row r="152" s="195" customFormat="1"/>
    <row r="153" s="195" customFormat="1"/>
    <row r="154" s="195" customFormat="1"/>
    <row r="155" s="195" customFormat="1"/>
    <row r="156" s="195" customFormat="1"/>
    <row r="157" s="195" customFormat="1"/>
    <row r="158" s="195" customFormat="1"/>
    <row r="159" s="195" customFormat="1"/>
    <row r="160" s="195" customFormat="1"/>
    <row r="161" s="195" customFormat="1"/>
    <row r="162" s="195" customFormat="1"/>
    <row r="163" s="195" customFormat="1"/>
    <row r="164" s="195" customFormat="1"/>
    <row r="165" s="195" customFormat="1"/>
    <row r="166" s="195" customFormat="1"/>
    <row r="167" s="195" customFormat="1"/>
    <row r="168" s="195" customFormat="1"/>
    <row r="169" s="195" customFormat="1"/>
    <row r="170" s="195" customFormat="1"/>
    <row r="171" s="195" customFormat="1"/>
    <row r="172" s="195" customFormat="1"/>
    <row r="173" s="195" customFormat="1"/>
    <row r="174" s="195" customFormat="1"/>
    <row r="175" s="195" customFormat="1"/>
    <row r="176" s="195" customFormat="1"/>
    <row r="177" s="195" customFormat="1"/>
    <row r="178" s="195" customFormat="1"/>
    <row r="179" s="195" customFormat="1"/>
    <row r="180" s="195" customFormat="1"/>
    <row r="181" s="195" customFormat="1"/>
    <row r="182" s="195" customFormat="1"/>
    <row r="183" s="195" customFormat="1"/>
    <row r="184" s="195" customFormat="1"/>
    <row r="185" s="195" customFormat="1"/>
    <row r="186" s="195" customFormat="1"/>
    <row r="187" s="195" customFormat="1"/>
    <row r="188" s="195" customFormat="1"/>
    <row r="189" s="195" customFormat="1"/>
    <row r="190" s="195" customFormat="1"/>
    <row r="191" s="195" customFormat="1"/>
    <row r="192" s="195" customFormat="1"/>
    <row r="193" s="195" customFormat="1"/>
    <row r="194" s="195" customFormat="1"/>
    <row r="195" s="195" customFormat="1"/>
    <row r="196" s="195" customFormat="1"/>
    <row r="197" s="195" customFormat="1"/>
    <row r="198" s="195" customFormat="1"/>
    <row r="199" s="195" customFormat="1"/>
    <row r="200" s="195" customFormat="1"/>
    <row r="201" s="195" customFormat="1"/>
    <row r="202" s="195" customFormat="1"/>
    <row r="203" s="195" customFormat="1"/>
    <row r="204" s="195" customFormat="1"/>
    <row r="205" s="195" customFormat="1"/>
    <row r="206" s="195" customFormat="1"/>
    <row r="207" s="195" customFormat="1"/>
    <row r="208" s="195" customFormat="1"/>
    <row r="209" s="195" customFormat="1"/>
    <row r="210" s="195" customFormat="1"/>
    <row r="211" s="195" customFormat="1"/>
    <row r="212" s="195" customFormat="1"/>
    <row r="213" s="195" customFormat="1"/>
    <row r="214" s="195" customFormat="1"/>
    <row r="215" s="195" customFormat="1"/>
    <row r="216" s="195" customFormat="1"/>
    <row r="217" s="195" customFormat="1"/>
    <row r="218" s="195" customFormat="1"/>
    <row r="219" s="195" customFormat="1"/>
    <row r="220" s="195" customFormat="1"/>
    <row r="221" s="195" customFormat="1"/>
    <row r="222" s="195" customFormat="1"/>
    <row r="223" s="195" customFormat="1"/>
    <row r="224" s="195" customFormat="1"/>
    <row r="225" s="195" customFormat="1"/>
    <row r="226" s="195" customFormat="1"/>
    <row r="227" s="195" customFormat="1"/>
    <row r="228" s="195" customFormat="1"/>
    <row r="229" s="195" customFormat="1"/>
    <row r="230" s="195" customFormat="1"/>
    <row r="231" s="195" customFormat="1"/>
    <row r="232" s="195" customFormat="1"/>
    <row r="233" s="195" customFormat="1"/>
    <row r="234" s="195" customFormat="1"/>
    <row r="235" s="195" customFormat="1"/>
    <row r="236" s="195" customFormat="1"/>
    <row r="237" s="195" customFormat="1"/>
    <row r="238" s="195" customFormat="1"/>
    <row r="239" s="195" customFormat="1"/>
    <row r="240" s="195" customFormat="1"/>
    <row r="241" s="195" customFormat="1"/>
    <row r="242" s="195" customFormat="1"/>
    <row r="243" s="195" customFormat="1"/>
    <row r="244" s="195" customFormat="1"/>
    <row r="245" s="195" customFormat="1"/>
    <row r="246" s="195" customFormat="1"/>
    <row r="247" s="195" customFormat="1"/>
    <row r="248" s="195" customFormat="1"/>
    <row r="249" s="195" customFormat="1"/>
    <row r="250" s="195" customFormat="1"/>
    <row r="251" s="195" customFormat="1"/>
    <row r="252" s="195" customFormat="1"/>
    <row r="253" s="195" customFormat="1"/>
    <row r="254" s="195" customFormat="1"/>
    <row r="255" s="195" customFormat="1"/>
    <row r="256" s="195" customFormat="1"/>
    <row r="257" s="195" customFormat="1"/>
    <row r="258" s="195" customFormat="1"/>
    <row r="259" s="195" customFormat="1"/>
    <row r="260" s="195" customFormat="1"/>
    <row r="261" s="195" customFormat="1"/>
    <row r="262" s="195" customFormat="1"/>
    <row r="263" s="195" customFormat="1"/>
    <row r="264" s="195" customFormat="1"/>
    <row r="265" s="195" customFormat="1"/>
    <row r="266" s="195" customFormat="1"/>
    <row r="267" s="195" customFormat="1"/>
    <row r="268" s="195" customFormat="1"/>
    <row r="269" s="195" customFormat="1"/>
    <row r="270" s="195" customFormat="1"/>
    <row r="271" s="195" customFormat="1"/>
    <row r="272" s="195" customFormat="1"/>
    <row r="273" s="195" customFormat="1"/>
    <row r="274" s="195" customFormat="1"/>
    <row r="275" s="195" customFormat="1"/>
    <row r="276" s="195" customFormat="1"/>
    <row r="277" s="195" customFormat="1"/>
    <row r="278" s="195" customFormat="1"/>
    <row r="279" s="195" customFormat="1"/>
    <row r="280" s="195" customFormat="1"/>
    <row r="281" s="195" customFormat="1"/>
    <row r="282" s="195" customFormat="1"/>
    <row r="283" s="195" customFormat="1"/>
    <row r="284" s="195" customFormat="1"/>
    <row r="285" s="195" customFormat="1"/>
    <row r="286" s="195" customFormat="1"/>
    <row r="287" s="195" customFormat="1"/>
    <row r="288" s="195" customFormat="1"/>
    <row r="289" s="195" customFormat="1"/>
    <row r="290" s="195" customFormat="1"/>
    <row r="291" s="195" customFormat="1"/>
    <row r="292" s="195" customFormat="1"/>
    <row r="293" s="195" customFormat="1"/>
    <row r="294" s="195" customFormat="1"/>
    <row r="295" s="195" customFormat="1"/>
    <row r="296" s="195" customFormat="1"/>
    <row r="297" s="195" customFormat="1"/>
    <row r="298" s="195" customFormat="1"/>
    <row r="299" s="195" customFormat="1"/>
    <row r="300" s="195" customFormat="1"/>
    <row r="301" s="195" customFormat="1"/>
    <row r="302" s="195" customFormat="1"/>
    <row r="303" s="195" customFormat="1"/>
    <row r="304" s="195" customFormat="1"/>
    <row r="305" s="195" customFormat="1"/>
    <row r="306" s="195" customFormat="1"/>
    <row r="307" s="195" customFormat="1"/>
    <row r="308" s="195" customFormat="1"/>
    <row r="309" s="195" customFormat="1"/>
    <row r="310" s="195" customFormat="1"/>
    <row r="311" s="195" customFormat="1"/>
    <row r="312" s="195" customFormat="1"/>
    <row r="313" s="195" customFormat="1"/>
    <row r="314" s="195" customFormat="1"/>
    <row r="315" s="195" customFormat="1"/>
    <row r="316" s="195" customFormat="1"/>
    <row r="317" s="195" customFormat="1"/>
    <row r="318" s="195" customFormat="1"/>
    <row r="319" s="195" customFormat="1"/>
    <row r="320" s="195" customFormat="1"/>
    <row r="321" s="195" customFormat="1"/>
    <row r="322" s="195" customFormat="1"/>
    <row r="323" s="195" customFormat="1"/>
    <row r="324" s="195" customFormat="1"/>
    <row r="325" s="195" customFormat="1"/>
    <row r="326" s="195" customFormat="1"/>
    <row r="327" s="195" customFormat="1"/>
    <row r="328" s="195" customFormat="1"/>
    <row r="329" s="195" customFormat="1"/>
    <row r="330" s="195" customFormat="1"/>
    <row r="331" s="195" customFormat="1"/>
    <row r="332" s="195" customFormat="1"/>
    <row r="333" s="195" customFormat="1"/>
    <row r="334" s="195" customFormat="1"/>
    <row r="335" s="195" customFormat="1"/>
    <row r="336" s="195" customFormat="1"/>
    <row r="337" s="195" customFormat="1"/>
    <row r="338" s="195" customFormat="1"/>
    <row r="339" s="195" customFormat="1"/>
    <row r="340" s="195" customFormat="1"/>
    <row r="341" s="195" customFormat="1"/>
    <row r="342" s="195" customFormat="1"/>
    <row r="343" s="195" customFormat="1"/>
    <row r="344" s="195" customFormat="1"/>
    <row r="345" s="195" customFormat="1"/>
    <row r="346" s="195" customFormat="1"/>
    <row r="347" s="195" customFormat="1"/>
    <row r="348" s="195" customFormat="1"/>
    <row r="349" s="195" customFormat="1"/>
    <row r="350" s="195" customFormat="1"/>
    <row r="351" s="195" customFormat="1"/>
    <row r="352" s="195" customFormat="1"/>
    <row r="353" s="195" customFormat="1"/>
    <row r="354" s="195" customFormat="1"/>
    <row r="355" s="195" customFormat="1"/>
    <row r="356" s="195" customFormat="1"/>
    <row r="357" s="195" customFormat="1"/>
    <row r="358" s="195" customFormat="1"/>
    <row r="359" s="195" customFormat="1"/>
    <row r="360" s="195" customFormat="1"/>
    <row r="361" s="195" customFormat="1"/>
    <row r="362" s="195" customFormat="1"/>
    <row r="363" s="195" customFormat="1"/>
    <row r="364" s="195" customFormat="1"/>
    <row r="365" s="195" customFormat="1"/>
    <row r="366" s="195" customFormat="1"/>
    <row r="367" s="195" customFormat="1"/>
    <row r="368" s="195" customFormat="1"/>
    <row r="369" s="195" customFormat="1"/>
    <row r="370" s="195" customFormat="1"/>
    <row r="371" s="195" customFormat="1"/>
    <row r="372" s="195" customFormat="1"/>
    <row r="373" s="195" customFormat="1"/>
    <row r="374" s="195" customFormat="1"/>
    <row r="375" s="195" customFormat="1"/>
    <row r="376" s="195" customFormat="1"/>
    <row r="377" s="195" customFormat="1"/>
    <row r="378" s="195" customFormat="1"/>
    <row r="379" s="195" customFormat="1"/>
    <row r="380" s="195" customFormat="1"/>
    <row r="381" s="195" customFormat="1"/>
    <row r="382" s="195" customFormat="1"/>
    <row r="383" s="195" customFormat="1"/>
    <row r="384" s="195" customFormat="1"/>
    <row r="385" s="195" customFormat="1"/>
    <row r="386" s="195" customFormat="1"/>
    <row r="387" s="195" customFormat="1"/>
    <row r="388" s="195" customFormat="1"/>
    <row r="389" s="195" customFormat="1"/>
    <row r="390" s="195" customFormat="1"/>
    <row r="391" s="195" customFormat="1"/>
    <row r="392" s="195" customFormat="1"/>
    <row r="393" s="195" customFormat="1"/>
    <row r="394" s="195" customFormat="1"/>
    <row r="395" s="195" customFormat="1"/>
    <row r="396" s="195" customFormat="1"/>
    <row r="397" s="195" customFormat="1"/>
    <row r="398" s="195" customFormat="1"/>
    <row r="399" s="195" customFormat="1"/>
    <row r="400" s="195" customFormat="1"/>
    <row r="401" s="195" customFormat="1"/>
    <row r="402" s="195" customFormat="1"/>
    <row r="403" s="195" customFormat="1"/>
    <row r="404" s="195" customFormat="1"/>
    <row r="405" s="195" customFormat="1"/>
    <row r="406" s="195" customFormat="1"/>
    <row r="407" s="195" customFormat="1"/>
    <row r="408" s="195" customFormat="1"/>
    <row r="409" s="195" customFormat="1"/>
    <row r="410" s="195" customFormat="1"/>
    <row r="411" s="195" customFormat="1"/>
    <row r="412" s="195" customFormat="1"/>
    <row r="413" s="195" customFormat="1"/>
    <row r="414" s="195" customFormat="1"/>
    <row r="415" s="195" customFormat="1"/>
    <row r="416" s="195" customFormat="1"/>
    <row r="417" s="195" customFormat="1"/>
    <row r="418" s="195" customFormat="1"/>
    <row r="419" s="195" customFormat="1"/>
    <row r="420" s="195" customFormat="1"/>
    <row r="421" s="195" customFormat="1"/>
    <row r="422" s="195" customFormat="1"/>
    <row r="423" s="195" customFormat="1"/>
    <row r="424" s="195" customFormat="1"/>
    <row r="425" s="195" customFormat="1"/>
    <row r="426" s="195" customFormat="1"/>
    <row r="427" s="195" customFormat="1"/>
    <row r="428" s="195" customFormat="1"/>
    <row r="429" s="195" customFormat="1"/>
    <row r="430" s="195" customFormat="1"/>
    <row r="431" s="195" customFormat="1"/>
    <row r="432" s="195" customFormat="1"/>
    <row r="433" s="195" customFormat="1"/>
    <row r="434" s="195" customFormat="1"/>
    <row r="435" s="195" customFormat="1"/>
    <row r="436" s="195" customFormat="1"/>
    <row r="437" s="195" customFormat="1"/>
    <row r="438" s="195" customFormat="1"/>
    <row r="439" s="195" customFormat="1"/>
    <row r="440" s="195" customFormat="1"/>
    <row r="441" s="195" customFormat="1"/>
    <row r="442" s="195" customFormat="1"/>
    <row r="443" s="195" customFormat="1"/>
    <row r="444" s="195" customFormat="1"/>
    <row r="445" s="195" customFormat="1"/>
    <row r="446" s="195" customFormat="1"/>
    <row r="447" s="195" customFormat="1"/>
    <row r="448" s="195" customFormat="1"/>
    <row r="449" s="195" customFormat="1"/>
    <row r="450" s="195" customFormat="1"/>
    <row r="451" s="195" customFormat="1"/>
    <row r="452" s="195" customFormat="1"/>
    <row r="453" s="195" customFormat="1"/>
    <row r="454" s="195" customFormat="1"/>
    <row r="455" s="195" customFormat="1"/>
    <row r="456" s="195" customFormat="1"/>
    <row r="457" s="195" customFormat="1"/>
    <row r="458" s="195" customFormat="1"/>
    <row r="459" s="195" customFormat="1"/>
    <row r="460" s="195" customFormat="1"/>
    <row r="461" s="195" customFormat="1"/>
    <row r="462" s="195" customFormat="1"/>
    <row r="463" s="195" customFormat="1"/>
    <row r="464" s="195" customFormat="1"/>
    <row r="465" s="195" customFormat="1"/>
    <row r="466" s="195" customFormat="1"/>
    <row r="467" s="195" customFormat="1"/>
    <row r="468" s="195" customFormat="1"/>
    <row r="469" s="195" customFormat="1"/>
    <row r="470" s="195" customFormat="1"/>
    <row r="471" s="195" customFormat="1"/>
    <row r="472" s="195" customFormat="1"/>
    <row r="473" s="195" customFormat="1"/>
    <row r="474" s="195" customFormat="1"/>
    <row r="475" s="195" customFormat="1"/>
    <row r="476" s="195" customFormat="1"/>
    <row r="477" s="195" customFormat="1"/>
    <row r="478" s="195" customFormat="1"/>
    <row r="479" s="195" customFormat="1"/>
    <row r="480" s="195" customFormat="1"/>
    <row r="481" s="195" customFormat="1"/>
    <row r="482" s="195" customFormat="1"/>
    <row r="483" s="195" customFormat="1"/>
    <row r="484" s="195" customFormat="1"/>
    <row r="485" s="195" customFormat="1"/>
    <row r="486" s="195" customFormat="1"/>
    <row r="487" s="195" customFormat="1"/>
    <row r="488" s="195" customFormat="1"/>
    <row r="489" s="195" customFormat="1"/>
    <row r="490" s="195" customFormat="1"/>
    <row r="491" s="195" customFormat="1"/>
    <row r="492" s="195" customFormat="1"/>
    <row r="493" s="195" customFormat="1"/>
    <row r="494" s="195" customFormat="1"/>
    <row r="495" s="195" customFormat="1"/>
    <row r="496" s="195" customFormat="1"/>
    <row r="497" s="195" customFormat="1"/>
    <row r="498" s="195" customFormat="1"/>
    <row r="499" s="195" customFormat="1"/>
    <row r="500" s="195" customFormat="1"/>
    <row r="501" s="195" customFormat="1"/>
    <row r="502" s="195" customFormat="1"/>
    <row r="503" s="195" customFormat="1"/>
    <row r="504" s="195" customFormat="1"/>
    <row r="505" s="195" customFormat="1"/>
    <row r="506" s="195" customFormat="1"/>
    <row r="507" s="195" customFormat="1"/>
    <row r="508" s="195" customFormat="1"/>
    <row r="509" s="195" customFormat="1"/>
    <row r="510" s="195" customFormat="1"/>
    <row r="511" s="195" customFormat="1"/>
    <row r="512" s="195" customFormat="1"/>
    <row r="513" s="195" customFormat="1"/>
    <row r="514" s="195" customFormat="1"/>
    <row r="515" s="195" customFormat="1"/>
    <row r="516" s="195" customFormat="1"/>
    <row r="517" s="195" customFormat="1"/>
    <row r="518" s="195" customFormat="1"/>
    <row r="519" s="195" customFormat="1"/>
    <row r="520" s="195" customFormat="1"/>
    <row r="521" s="195" customFormat="1"/>
    <row r="522" s="195" customFormat="1"/>
    <row r="523" s="195" customFormat="1"/>
    <row r="524" s="195" customFormat="1"/>
    <row r="525" s="195" customFormat="1"/>
    <row r="526" s="195" customFormat="1"/>
    <row r="527" s="195" customFormat="1"/>
    <row r="528" s="195" customFormat="1"/>
    <row r="529" s="195" customFormat="1"/>
    <row r="530" s="195" customFormat="1"/>
    <row r="531" s="195" customFormat="1"/>
    <row r="532" s="195" customFormat="1"/>
    <row r="533" s="195" customFormat="1"/>
    <row r="534" s="195" customFormat="1"/>
    <row r="535" s="195" customFormat="1"/>
    <row r="536" s="195" customFormat="1"/>
    <row r="537" s="195" customFormat="1"/>
    <row r="538" s="195" customFormat="1"/>
    <row r="539" s="195" customFormat="1"/>
    <row r="540" s="195" customFormat="1"/>
    <row r="541" s="195" customFormat="1"/>
    <row r="542" s="195" customFormat="1"/>
    <row r="543" s="195" customFormat="1"/>
    <row r="544" s="195" customFormat="1"/>
    <row r="545" s="195" customFormat="1"/>
    <row r="546" s="195" customFormat="1"/>
    <row r="547" s="195" customFormat="1"/>
    <row r="548" s="195" customFormat="1"/>
    <row r="549" s="195" customFormat="1"/>
    <row r="550" s="195" customFormat="1"/>
    <row r="551" s="195" customFormat="1"/>
    <row r="552" s="195" customFormat="1"/>
    <row r="553" s="195" customFormat="1"/>
    <row r="554" s="195" customFormat="1"/>
    <row r="555" s="195" customFormat="1"/>
    <row r="556" s="195" customFormat="1"/>
    <row r="557" s="195" customFormat="1"/>
    <row r="558" s="195" customFormat="1"/>
    <row r="559" s="195" customFormat="1"/>
    <row r="560" s="195" customFormat="1"/>
    <row r="561" s="195" customFormat="1"/>
    <row r="562" s="195" customFormat="1"/>
    <row r="563" s="195" customFormat="1"/>
    <row r="564" s="195" customFormat="1"/>
    <row r="565" s="195" customFormat="1"/>
    <row r="566" s="195" customFormat="1"/>
    <row r="567" s="195" customFormat="1"/>
    <row r="568" s="195" customFormat="1"/>
    <row r="569" s="195" customFormat="1"/>
    <row r="570" s="195" customFormat="1"/>
    <row r="571" s="195" customFormat="1"/>
    <row r="572" s="195" customFormat="1"/>
    <row r="573" s="195" customFormat="1"/>
    <row r="574" s="195" customFormat="1"/>
    <row r="575" s="195" customFormat="1"/>
    <row r="576" s="195" customFormat="1"/>
    <row r="577" s="195" customFormat="1"/>
    <row r="578" s="195" customFormat="1"/>
    <row r="579" s="195" customFormat="1"/>
    <row r="580" s="195" customFormat="1"/>
    <row r="581" s="195" customFormat="1"/>
    <row r="582" s="195" customFormat="1"/>
    <row r="583" s="195" customFormat="1"/>
    <row r="584" s="195" customFormat="1"/>
    <row r="585" s="195" customFormat="1"/>
    <row r="586" s="195" customFormat="1"/>
    <row r="587" s="195" customFormat="1"/>
    <row r="588" s="195" customFormat="1"/>
    <row r="589" s="195" customFormat="1"/>
    <row r="590" s="195" customFormat="1"/>
    <row r="591" s="195" customFormat="1"/>
    <row r="592" s="195" customFormat="1"/>
    <row r="593" s="195" customFormat="1"/>
    <row r="594" s="195" customFormat="1"/>
    <row r="595" s="195" customFormat="1"/>
    <row r="596" s="195" customFormat="1"/>
    <row r="597" s="195" customFormat="1"/>
    <row r="598" s="195" customFormat="1"/>
    <row r="599" s="195" customFormat="1"/>
    <row r="600" s="195" customFormat="1"/>
    <row r="601" s="195" customFormat="1"/>
    <row r="602" s="195" customFormat="1"/>
    <row r="603" s="195" customFormat="1"/>
    <row r="604" s="195" customFormat="1"/>
    <row r="605" s="195" customFormat="1"/>
    <row r="606" s="195" customFormat="1"/>
    <row r="607" s="195" customFormat="1"/>
    <row r="608" s="195" customFormat="1"/>
    <row r="609" s="195" customFormat="1"/>
    <row r="610" s="195" customFormat="1"/>
    <row r="611" s="195" customFormat="1"/>
    <row r="612" s="195" customFormat="1"/>
    <row r="613" s="195" customFormat="1"/>
    <row r="614" s="195" customFormat="1"/>
    <row r="615" s="195" customFormat="1"/>
    <row r="616" s="195" customFormat="1"/>
    <row r="617" s="195" customFormat="1"/>
    <row r="618" s="195" customFormat="1"/>
    <row r="619" s="195" customFormat="1"/>
    <row r="620" s="195" customFormat="1"/>
    <row r="621" s="195" customFormat="1"/>
    <row r="622" s="195" customFormat="1"/>
    <row r="623" s="195" customFormat="1"/>
    <row r="624" s="195" customFormat="1"/>
    <row r="625" s="195" customFormat="1"/>
    <row r="626" s="195" customFormat="1"/>
    <row r="627" s="195" customFormat="1"/>
    <row r="628" s="195" customFormat="1"/>
    <row r="629" s="195" customFormat="1"/>
    <row r="630" s="195" customFormat="1"/>
    <row r="631" s="195" customFormat="1"/>
    <row r="632" s="195" customFormat="1"/>
    <row r="633" s="195" customFormat="1"/>
    <row r="634" s="195" customFormat="1"/>
    <row r="635" s="195" customFormat="1"/>
    <row r="636" s="195" customFormat="1"/>
    <row r="637" s="195" customFormat="1"/>
    <row r="638" s="195" customFormat="1"/>
    <row r="639" s="195" customFormat="1"/>
    <row r="640" s="195" customFormat="1"/>
    <row r="641" s="195" customFormat="1"/>
    <row r="642" s="195" customFormat="1"/>
    <row r="643" s="195" customFormat="1"/>
    <row r="644" s="195" customFormat="1"/>
    <row r="645" s="195" customFormat="1"/>
    <row r="646" s="195" customFormat="1"/>
    <row r="647" s="195" customFormat="1"/>
    <row r="648" s="195" customFormat="1"/>
    <row r="649" s="195" customFormat="1"/>
    <row r="650" s="195" customFormat="1"/>
    <row r="651" s="195" customFormat="1"/>
    <row r="652" s="195" customFormat="1"/>
    <row r="653" s="195" customFormat="1"/>
    <row r="654" s="195" customFormat="1"/>
    <row r="655" s="195" customFormat="1"/>
    <row r="656" s="195" customFormat="1"/>
    <row r="657" s="195" customFormat="1"/>
    <row r="658" s="195" customFormat="1"/>
    <row r="659" s="195" customFormat="1"/>
    <row r="660" s="195" customFormat="1"/>
    <row r="661" s="195" customFormat="1"/>
    <row r="662" s="195" customFormat="1"/>
    <row r="663" s="195" customFormat="1"/>
    <row r="664" s="195" customFormat="1"/>
    <row r="665" s="195" customFormat="1"/>
    <row r="666" s="195" customFormat="1"/>
    <row r="667" s="195" customFormat="1"/>
    <row r="668" s="195" customFormat="1"/>
    <row r="669" s="195" customFormat="1"/>
    <row r="670" s="195" customFormat="1"/>
    <row r="671" s="195" customFormat="1"/>
    <row r="672" s="195" customFormat="1"/>
    <row r="673" s="195" customFormat="1"/>
    <row r="674" s="195" customFormat="1"/>
    <row r="675" s="195" customFormat="1"/>
    <row r="676" s="195" customFormat="1"/>
    <row r="677" s="195" customFormat="1"/>
    <row r="678" s="195" customFormat="1"/>
    <row r="679" s="195" customFormat="1"/>
    <row r="680" s="195" customFormat="1"/>
    <row r="681" s="195" customFormat="1"/>
    <row r="682" s="195" customFormat="1"/>
    <row r="683" s="195" customFormat="1"/>
    <row r="684" s="195" customFormat="1"/>
    <row r="685" s="195" customFormat="1"/>
    <row r="686" s="195" customFormat="1"/>
    <row r="687" s="195" customFormat="1"/>
    <row r="688" s="195" customFormat="1"/>
    <row r="689" s="195" customFormat="1"/>
    <row r="690" s="195" customFormat="1"/>
    <row r="691" s="195" customFormat="1"/>
    <row r="692" s="195" customFormat="1"/>
    <row r="693" s="195" customFormat="1"/>
    <row r="694" s="195" customFormat="1"/>
    <row r="695" s="195" customFormat="1"/>
    <row r="696" s="195" customFormat="1"/>
    <row r="697" s="195" customFormat="1"/>
    <row r="698" s="195" customFormat="1"/>
    <row r="699" s="195" customFormat="1"/>
    <row r="700" s="195" customFormat="1"/>
    <row r="701" s="195" customFormat="1"/>
    <row r="702" s="195" customFormat="1"/>
    <row r="703" s="195" customFormat="1"/>
    <row r="704" s="195" customFormat="1"/>
    <row r="705" s="195" customFormat="1"/>
    <row r="706" s="195" customFormat="1"/>
    <row r="707" s="195" customFormat="1"/>
    <row r="708" s="195" customFormat="1"/>
    <row r="709" s="195" customFormat="1"/>
    <row r="710" s="195" customFormat="1"/>
    <row r="711" s="195" customFormat="1"/>
    <row r="712" s="195" customFormat="1"/>
    <row r="713" s="195" customFormat="1"/>
    <row r="714" s="195" customFormat="1"/>
    <row r="715" s="195" customFormat="1"/>
    <row r="716" s="195" customFormat="1"/>
    <row r="717" s="195" customFormat="1"/>
    <row r="718" s="195" customFormat="1"/>
    <row r="719" s="195" customFormat="1"/>
    <row r="720" s="195" customFormat="1"/>
    <row r="721" s="195" customFormat="1"/>
    <row r="722" s="195" customFormat="1"/>
    <row r="723" s="195" customFormat="1"/>
    <row r="724" s="195" customFormat="1"/>
    <row r="725" s="195" customFormat="1"/>
    <row r="726" s="195" customFormat="1"/>
    <row r="727" s="195" customFormat="1"/>
    <row r="728" s="195" customFormat="1"/>
    <row r="729" s="195" customFormat="1"/>
    <row r="730" s="195" customFormat="1"/>
    <row r="731" s="195" customFormat="1"/>
    <row r="732" s="195" customFormat="1"/>
    <row r="733" s="195" customFormat="1"/>
    <row r="734" s="195" customFormat="1"/>
    <row r="735" s="195" customFormat="1"/>
    <row r="736" s="195" customFormat="1"/>
    <row r="737" s="195" customFormat="1"/>
    <row r="738" s="195" customFormat="1"/>
    <row r="739" s="195" customFormat="1"/>
    <row r="740" s="195" customFormat="1"/>
    <row r="741" s="195" customFormat="1"/>
    <row r="742" s="195" customFormat="1"/>
    <row r="743" s="195" customFormat="1"/>
    <row r="744" s="195" customFormat="1"/>
    <row r="745" s="195" customFormat="1"/>
    <row r="746" s="195" customFormat="1"/>
    <row r="747" s="195" customFormat="1"/>
    <row r="748" s="195" customFormat="1"/>
    <row r="749" s="195" customFormat="1"/>
    <row r="750" s="195" customFormat="1"/>
    <row r="751" s="195" customFormat="1"/>
    <row r="752" s="195" customFormat="1"/>
    <row r="753" s="195" customFormat="1"/>
    <row r="754" s="195" customFormat="1"/>
    <row r="755" s="195" customFormat="1"/>
    <row r="756" s="195" customFormat="1"/>
    <row r="757" s="195" customFormat="1"/>
    <row r="758" s="195" customFormat="1"/>
  </sheetData>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B9" activeCellId="0" sqref="B9"/>
    </sheetView>
  </sheetViews>
  <sheetFormatPr defaultColWidth="10.7109375" defaultRowHeight="12.75"/>
  <cols>
    <col min="1" max="1" style="198" width="10.7109375"/>
    <col customWidth="1" min="2" max="2" style="198" width="18.28515625"/>
    <col customWidth="1" min="3" max="3" style="198" width="23"/>
    <col customWidth="1" min="4" max="4" style="198" width="25.7109375"/>
    <col customWidth="1" min="5" max="5" style="199" width="13.28515625"/>
    <col customWidth="1" min="6" max="6" style="199" width="13.140625"/>
    <col customWidth="1" min="7" max="7" style="199" width="13.28515625"/>
    <col customWidth="1" min="8" max="9" style="198" width="15.5703125"/>
    <col customWidth="1" min="10" max="10" style="198" width="18.28515625"/>
    <col customWidth="1" min="11" max="12" style="198" width="15.5703125"/>
    <col customWidth="1" min="13" max="13" style="199" width="11.42578125"/>
    <col customWidth="1" min="14" max="14" style="200" width="12.85546875"/>
    <col customWidth="1" min="15" max="15" style="199" width="15.5703125"/>
    <col customWidth="1" min="16" max="19" style="198" width="15.5703125"/>
    <col customWidth="1" min="20" max="20" style="201" width="11.42578125"/>
    <col min="21" max="16384" style="198" width="10.7109375"/>
  </cols>
  <sheetData>
    <row r="1">
      <c r="A1" s="13" t="str">
        <f>IF(Budget!$I$3="","",VLOOKUP(Budget!$I$3,Sprachversionen!$B:$EA,53,FALSE))</f>
        <v xml:space="preserve">P A Y R O L L  S T R U C T U R E</v>
      </c>
      <c r="B1" s="202"/>
      <c r="C1" s="202"/>
      <c r="D1" s="202"/>
      <c r="E1" s="203"/>
      <c r="F1" s="203"/>
      <c r="G1" s="203"/>
      <c r="H1" s="202"/>
      <c r="I1" s="202"/>
      <c r="J1" s="202"/>
      <c r="K1" s="202"/>
      <c r="L1" s="202"/>
      <c r="M1" s="203"/>
      <c r="N1" s="204"/>
      <c r="O1" s="203"/>
      <c r="P1" s="202"/>
      <c r="Q1" s="202"/>
      <c r="R1" s="202"/>
      <c r="S1" s="202"/>
      <c r="T1" s="205"/>
    </row>
    <row r="2">
      <c r="A2" s="202"/>
      <c r="B2" s="202"/>
      <c r="C2" s="202"/>
      <c r="D2" s="202"/>
      <c r="E2" s="203"/>
      <c r="F2" s="203"/>
      <c r="G2" s="203"/>
      <c r="H2" s="202"/>
      <c r="I2" s="202"/>
      <c r="J2" s="202"/>
      <c r="K2" s="202"/>
      <c r="L2" s="202"/>
      <c r="M2" s="203"/>
      <c r="N2" s="204"/>
      <c r="O2" s="203"/>
      <c r="P2" s="202"/>
      <c r="Q2" s="202"/>
      <c r="R2" s="202"/>
      <c r="S2" s="202"/>
      <c r="T2" s="205"/>
    </row>
    <row r="3">
      <c r="A3" s="202" t="str">
        <f>Budget!A3&amp;": "&amp;Budget!C3</f>
        <v xml:space="preserve">Project Title: </v>
      </c>
      <c r="B3" s="202"/>
      <c r="C3" s="202"/>
      <c r="D3" s="202"/>
      <c r="E3" s="203"/>
      <c r="F3" s="203"/>
      <c r="G3" s="203"/>
      <c r="H3" s="202"/>
      <c r="I3" s="202"/>
      <c r="J3" s="202"/>
      <c r="K3" s="202"/>
      <c r="L3" s="202"/>
      <c r="M3" s="203"/>
      <c r="N3" s="204"/>
      <c r="O3" s="203"/>
      <c r="P3" s="202"/>
      <c r="Q3" s="202"/>
      <c r="R3" s="202"/>
      <c r="S3" s="202"/>
      <c r="T3" s="205"/>
    </row>
    <row r="4">
      <c r="A4" s="202" t="str">
        <f>Budget!A4&amp;": "&amp;Budget!C4</f>
        <v xml:space="preserve">Project Partner: Testträger</v>
      </c>
      <c r="B4" s="202"/>
      <c r="C4" s="202"/>
      <c r="D4" s="202"/>
      <c r="E4" s="203"/>
      <c r="F4" s="203"/>
      <c r="G4" s="203"/>
      <c r="H4" s="202"/>
      <c r="I4" s="202"/>
      <c r="J4" s="202"/>
      <c r="K4" s="206"/>
      <c r="L4" s="202"/>
      <c r="M4" s="203"/>
      <c r="N4" s="204"/>
      <c r="O4" s="203"/>
      <c r="P4" s="202"/>
      <c r="Q4" s="202"/>
      <c r="R4" s="202"/>
      <c r="S4" s="202"/>
      <c r="T4" s="205"/>
    </row>
    <row r="5">
      <c r="A5" s="202" t="str">
        <f>Budget!A5&amp;": "&amp;Budget!C5&amp;" "&amp;IF(Budget!$I$3="","",VLOOKUP(Budget!$I$3,Sprachversionen!$B:$EA,54,FALSE))</f>
        <v xml:space="preserve">Planned Project Duration (in Months): 36 Months</v>
      </c>
      <c r="B5" s="202"/>
      <c r="C5" s="202"/>
      <c r="D5" s="202"/>
      <c r="E5" s="203"/>
      <c r="F5" s="203"/>
      <c r="G5" s="203"/>
      <c r="H5" s="202"/>
      <c r="I5" s="202"/>
      <c r="J5" s="202"/>
      <c r="K5" s="202"/>
      <c r="L5" s="202"/>
      <c r="M5" s="203"/>
      <c r="N5" s="204"/>
      <c r="O5" s="203"/>
      <c r="P5" s="202"/>
      <c r="Q5" s="202"/>
      <c r="R5" s="202"/>
      <c r="S5" s="202"/>
      <c r="T5" s="205"/>
    </row>
    <row r="6" ht="13.5">
      <c r="A6" s="202"/>
      <c r="B6" s="202"/>
      <c r="C6" s="202"/>
      <c r="D6" s="202"/>
      <c r="E6" s="203"/>
      <c r="F6" s="203"/>
      <c r="G6" s="203"/>
      <c r="H6" s="202"/>
      <c r="I6" s="202"/>
      <c r="J6" s="202"/>
      <c r="K6" s="202"/>
      <c r="L6" s="202"/>
      <c r="M6" s="203"/>
      <c r="N6" s="204"/>
      <c r="O6" s="203"/>
      <c r="P6" s="202"/>
      <c r="Q6" s="202"/>
      <c r="R6" s="202"/>
      <c r="S6" s="202"/>
      <c r="T6" s="205"/>
    </row>
    <row r="7" s="207" customFormat="1" ht="45" customHeight="1">
      <c r="A7" s="208"/>
      <c r="B7" s="209" t="str">
        <f>IF(Budget!$I$3="","",VLOOKUP(Budget!$I$3,Sprachversionen!$B:$EA,79,FALSE))</f>
        <v xml:space="preserve">Information from the employment contract</v>
      </c>
      <c r="C7" s="210"/>
      <c r="D7" s="210"/>
      <c r="E7" s="210"/>
      <c r="F7" s="210"/>
      <c r="G7" s="211"/>
      <c r="H7" s="212" t="str">
        <f>IF(Budget!$I$3="","",VLOOKUP(Budget!$I$3,Sprachversionen!$B:$EA,80,FALSE))</f>
        <v xml:space="preserve">Monthly salary for a full-time position (annual average)</v>
      </c>
      <c r="I7" s="213"/>
      <c r="J7" s="214"/>
      <c r="K7" s="215" t="str">
        <f>IF(Budget!$I$3="","",VLOOKUP(Budget!$I$3,Sprachversionen!$B:$EA,81,FALSE))</f>
        <v xml:space="preserve">Annual budget of the organisation</v>
      </c>
      <c r="L7" s="216"/>
      <c r="M7" s="217" t="str">
        <f>IF(Budget!$I$3="","",VLOOKUP(Budget!$I$3,Sprachversionen!$B:$EA,82,FALSE))</f>
        <v xml:space="preserve">Project Budget</v>
      </c>
      <c r="N7" s="218"/>
      <c r="O7" s="218"/>
      <c r="P7" s="218"/>
      <c r="Q7" s="218"/>
      <c r="R7" s="218"/>
      <c r="S7" s="219"/>
      <c r="T7" s="220"/>
    </row>
    <row r="8" s="221" customFormat="1" ht="76.5" customHeight="1">
      <c r="A8" s="222" t="str">
        <f>IF(Budget!$I$3="","",VLOOKUP(Budget!$I$3,Sprachversionen!$B:$EA,63,FALSE))</f>
        <v>Number</v>
      </c>
      <c r="B8" s="223" t="str">
        <f>IF(Budget!$I$3="","",VLOOKUP(Budget!$I$3,Sprachversionen!$B:$EA,64,FALSE))</f>
        <v xml:space="preserve">Surname, First/Given Name</v>
      </c>
      <c r="C8" s="224" t="str">
        <f>IF(Budget!$I$3="","",VLOOKUP(Budget!$I$3,Sprachversionen!$B:$EA,65,FALSE))</f>
        <v>Position</v>
      </c>
      <c r="D8" s="225" t="str">
        <f>IF(Budget!$I$3="","",VLOOKUP(Budget!$I$3,Sprachversionen!$B:$EA,66,FALSE))</f>
        <v xml:space="preserve">Detailed description of cost calculation (for traceability of the components of the gross amount paid by employer)</v>
      </c>
      <c r="E8" s="226" t="str">
        <f>IF(Budget!$I$3="","",VLOOKUP(Budget!$I$3,Sprachversionen!$B:$EA,67,FALSE))</f>
        <v xml:space="preserve">Employment level (% of a full-time position)</v>
      </c>
      <c r="F8" s="226" t="str">
        <f>IF(Budget!$I$3="","",VLOOKUP(Budget!$I$3,Sprachversionen!$B:$EA,68,FALSE))</f>
        <v xml:space="preserve">Deployment location</v>
      </c>
      <c r="G8" s="227" t="str">
        <f>IF(Budget!$I$3="","",VLOOKUP(Budget!$I$3,Sprachversionen!$B:$EA,69,FALSE))</f>
        <v xml:space="preserve">Number of Monthly Salaries/year</v>
      </c>
      <c r="H8" s="228" t="str">
        <f>IF(Budget!$I$3="","",VLOOKUP(Budget!$I$3,Sprachversionen!$B:$EA,70,FALSE))</f>
        <v xml:space="preserve">Gross Basic Salary</v>
      </c>
      <c r="I8" s="229" t="str">
        <f>IF(Budget!$I$3="","",VLOOKUP(Budget!$I$3,Sprachversionen!$B:$EA,71,FALSE))</f>
        <v xml:space="preserve">Voluntary elements of the gross salary</v>
      </c>
      <c r="J8" s="230" t="str">
        <f>IF(Budget!$I$3="","",VLOOKUP(Budget!$I$3,Sprachversionen!$B:$EA,72,FALSE))</f>
        <v xml:space="preserve">Statutory employer contributions to social security and other statutory salary components</v>
      </c>
      <c r="K8" s="223" t="str">
        <f>IF(Budget!$I$3="","",VLOOKUP(Budget!$I$3,Sprachversionen!$B:$EA,73,FALSE))</f>
        <v xml:space="preserve">Fixed yearly payments</v>
      </c>
      <c r="L8" s="227" t="str">
        <f>IF(Budget!$I$3="","",VLOOKUP(Budget!$I$3,Sprachversionen!$B:$EA,74,FALSE))</f>
        <v xml:space="preserve">Annual gross Salary (Employer)</v>
      </c>
      <c r="M8" s="231" t="str">
        <f>IF(Budget!$I$3="","",VLOOKUP(Budget!$I$3,Sprachversionen!$B:$EA,75,FALSE))</f>
        <v xml:space="preserve">% Engagement to the Project</v>
      </c>
      <c r="N8" s="232" t="str">
        <f>IF(Budget!$I$3="","",VLOOKUP(Budget!$I$3,Sprachversionen!$B:$EA,86,FALSE))</f>
        <v xml:space="preserve">Duration of assignment (months)</v>
      </c>
      <c r="O8" s="226" t="str">
        <f>IF(Budget!$I$3="","",VLOOKUP(Budget!$I$3,Sprachversionen!$B:$EA,82,FALSE))</f>
        <v xml:space="preserve">Project Budget</v>
      </c>
      <c r="P8" s="224" t="str">
        <f>IF(Budget!$I$3="","",VLOOKUP(Budget!$I$3,Sprachversionen!$B:$EA,76,FALSE))</f>
        <v xml:space="preserve">Budget Year 1</v>
      </c>
      <c r="Q8" s="224" t="str">
        <f>IF(Budget!$I$3="","",VLOOKUP(Budget!$I$3,Sprachversionen!$B:$EA,77,FALSE))</f>
        <v xml:space="preserve">Budget Year 2</v>
      </c>
      <c r="R8" s="224" t="str">
        <f>IF(Budget!$I$3="","",VLOOKUP(Budget!$I$3,Sprachversionen!$B:$EA,78,FALSE))</f>
        <v xml:space="preserve">Budget Year 3</v>
      </c>
      <c r="S8" s="233" t="str">
        <f>IF(Budget!$I$3="","",VLOOKUP(Budget!$I$3,Sprachversionen!$B:$EA,59,FALSE))</f>
        <v xml:space="preserve">in €</v>
      </c>
      <c r="T8" s="234"/>
    </row>
    <row r="9" s="221" customFormat="1">
      <c r="A9" s="235">
        <f t="shared" ref="A9:A72" si="26">IF(ROW()&lt;ROW($A$9),"",(ROW()-ROW($A$9)+1))</f>
        <v>1</v>
      </c>
      <c r="B9" s="236"/>
      <c r="C9" s="237"/>
      <c r="D9" s="238"/>
      <c r="E9" s="239"/>
      <c r="F9" s="240"/>
      <c r="G9" s="241"/>
      <c r="H9" s="242"/>
      <c r="I9" s="243"/>
      <c r="J9" s="244"/>
      <c r="K9" s="242"/>
      <c r="L9" s="245">
        <f>IF($C9="",0,SUM($H9:$J9)*$G9*$E9+$K9)</f>
        <v>0</v>
      </c>
      <c r="M9" s="246"/>
      <c r="N9" s="247">
        <f>Budget!$C$5</f>
        <v>36</v>
      </c>
      <c r="O9" s="248">
        <f>IF($C9=0,0,$L9/12*$N9*$M9)</f>
        <v>0</v>
      </c>
      <c r="P9" s="243"/>
      <c r="Q9" s="243"/>
      <c r="R9" s="243"/>
      <c r="S9" s="249">
        <f>ROUND(IFERROR($O9/Budget!$I$5,0),2)</f>
        <v>0</v>
      </c>
      <c r="T9" s="250" t="b">
        <f>$O9=(SUM($P9:$R9))</f>
        <v>1</v>
      </c>
      <c r="U9" s="251"/>
    </row>
    <row r="10" s="221" customFormat="1">
      <c r="A10" s="252">
        <f t="shared" si="26"/>
        <v>2</v>
      </c>
      <c r="B10" s="253"/>
      <c r="C10" s="254"/>
      <c r="D10" s="255"/>
      <c r="E10" s="256"/>
      <c r="F10" s="257"/>
      <c r="G10" s="258"/>
      <c r="H10" s="259"/>
      <c r="I10" s="260"/>
      <c r="J10" s="261"/>
      <c r="K10" s="262"/>
      <c r="L10" s="263">
        <f t="shared" ref="L10:L73" si="27">IF($C10="",0,SUM($H10:$J10)*$G10*$E10+$K10)</f>
        <v>0</v>
      </c>
      <c r="M10" s="264"/>
      <c r="N10" s="265">
        <f>Budget!$C$5</f>
        <v>36</v>
      </c>
      <c r="O10" s="266">
        <f t="shared" ref="O10:O73" si="28">IF($C10=0,0,$L10/12*$N10*$M10)</f>
        <v>0</v>
      </c>
      <c r="P10" s="260"/>
      <c r="Q10" s="260"/>
      <c r="R10" s="260"/>
      <c r="S10" s="267">
        <f>ROUND(IFERROR($O10/Budget!$I$5,0),2)</f>
        <v>0</v>
      </c>
      <c r="T10" s="250" t="b">
        <f t="shared" ref="T10:T73" si="29">$O10=(SUM($P10:$R10))</f>
        <v>1</v>
      </c>
      <c r="U10" s="251"/>
    </row>
    <row r="11" s="221" customFormat="1">
      <c r="A11" s="252">
        <f t="shared" si="26"/>
        <v>3</v>
      </c>
      <c r="B11" s="253"/>
      <c r="C11" s="254"/>
      <c r="D11" s="255"/>
      <c r="E11" s="256"/>
      <c r="F11" s="257"/>
      <c r="G11" s="258"/>
      <c r="H11" s="259"/>
      <c r="I11" s="260"/>
      <c r="J11" s="261"/>
      <c r="K11" s="262"/>
      <c r="L11" s="263">
        <f t="shared" si="27"/>
        <v>0</v>
      </c>
      <c r="M11" s="264"/>
      <c r="N11" s="265">
        <f>Budget!$C$5</f>
        <v>36</v>
      </c>
      <c r="O11" s="266">
        <f t="shared" si="28"/>
        <v>0</v>
      </c>
      <c r="P11" s="260"/>
      <c r="Q11" s="260"/>
      <c r="R11" s="260"/>
      <c r="S11" s="267">
        <f>ROUND(IFERROR($O11/Budget!$I$5,0),2)</f>
        <v>0</v>
      </c>
      <c r="T11" s="250" t="b">
        <f t="shared" si="29"/>
        <v>1</v>
      </c>
      <c r="U11" s="251"/>
    </row>
    <row r="12" s="221" customFormat="1">
      <c r="A12" s="252">
        <f t="shared" si="26"/>
        <v>4</v>
      </c>
      <c r="B12" s="253"/>
      <c r="C12" s="254"/>
      <c r="D12" s="255"/>
      <c r="E12" s="256"/>
      <c r="F12" s="257"/>
      <c r="G12" s="258"/>
      <c r="H12" s="259"/>
      <c r="I12" s="260"/>
      <c r="J12" s="261"/>
      <c r="K12" s="259"/>
      <c r="L12" s="263">
        <f t="shared" si="27"/>
        <v>0</v>
      </c>
      <c r="M12" s="264"/>
      <c r="N12" s="265">
        <f>Budget!$C$5</f>
        <v>36</v>
      </c>
      <c r="O12" s="266">
        <f t="shared" si="28"/>
        <v>0</v>
      </c>
      <c r="P12" s="260"/>
      <c r="Q12" s="260"/>
      <c r="R12" s="260"/>
      <c r="S12" s="267">
        <f>ROUND(IFERROR($O12/Budget!$I$5,0),2)</f>
        <v>0</v>
      </c>
      <c r="T12" s="250" t="b">
        <f t="shared" si="29"/>
        <v>1</v>
      </c>
      <c r="U12" s="251"/>
    </row>
    <row r="13" s="221" customFormat="1">
      <c r="A13" s="252">
        <f t="shared" si="26"/>
        <v>5</v>
      </c>
      <c r="B13" s="253"/>
      <c r="C13" s="254"/>
      <c r="D13" s="255"/>
      <c r="E13" s="256"/>
      <c r="F13" s="257"/>
      <c r="G13" s="258"/>
      <c r="H13" s="259"/>
      <c r="I13" s="260"/>
      <c r="J13" s="261"/>
      <c r="K13" s="262"/>
      <c r="L13" s="263">
        <f t="shared" si="27"/>
        <v>0</v>
      </c>
      <c r="M13" s="264"/>
      <c r="N13" s="265">
        <f>Budget!$C$5</f>
        <v>36</v>
      </c>
      <c r="O13" s="266">
        <f t="shared" si="28"/>
        <v>0</v>
      </c>
      <c r="P13" s="260"/>
      <c r="Q13" s="260"/>
      <c r="R13" s="260"/>
      <c r="S13" s="267">
        <f>ROUND(IFERROR($O13/Budget!$I$5,0),2)</f>
        <v>0</v>
      </c>
      <c r="T13" s="250" t="b">
        <f t="shared" si="29"/>
        <v>1</v>
      </c>
      <c r="U13" s="251"/>
    </row>
    <row r="14" s="221" customFormat="1">
      <c r="A14" s="252">
        <f t="shared" si="26"/>
        <v>6</v>
      </c>
      <c r="B14" s="253"/>
      <c r="C14" s="254"/>
      <c r="D14" s="255"/>
      <c r="E14" s="256"/>
      <c r="F14" s="257"/>
      <c r="G14" s="258"/>
      <c r="H14" s="259"/>
      <c r="I14" s="260"/>
      <c r="J14" s="261"/>
      <c r="K14" s="259"/>
      <c r="L14" s="263">
        <f t="shared" si="27"/>
        <v>0</v>
      </c>
      <c r="M14" s="264"/>
      <c r="N14" s="265">
        <f>Budget!$C$5</f>
        <v>36</v>
      </c>
      <c r="O14" s="266">
        <f t="shared" si="28"/>
        <v>0</v>
      </c>
      <c r="P14" s="260"/>
      <c r="Q14" s="260"/>
      <c r="R14" s="260"/>
      <c r="S14" s="267">
        <f>ROUND(IFERROR($O14/Budget!$I$5,0),2)</f>
        <v>0</v>
      </c>
      <c r="T14" s="250" t="b">
        <f t="shared" si="29"/>
        <v>1</v>
      </c>
      <c r="U14" s="251"/>
    </row>
    <row r="15" s="221" customFormat="1">
      <c r="A15" s="252">
        <f t="shared" si="26"/>
        <v>7</v>
      </c>
      <c r="B15" s="253"/>
      <c r="C15" s="254"/>
      <c r="D15" s="255"/>
      <c r="E15" s="256"/>
      <c r="F15" s="257"/>
      <c r="G15" s="258"/>
      <c r="H15" s="259"/>
      <c r="I15" s="260"/>
      <c r="J15" s="261"/>
      <c r="K15" s="259"/>
      <c r="L15" s="263">
        <f t="shared" si="27"/>
        <v>0</v>
      </c>
      <c r="M15" s="264"/>
      <c r="N15" s="265">
        <f>Budget!$C$5</f>
        <v>36</v>
      </c>
      <c r="O15" s="266">
        <f t="shared" si="28"/>
        <v>0</v>
      </c>
      <c r="P15" s="260"/>
      <c r="Q15" s="260"/>
      <c r="R15" s="260"/>
      <c r="S15" s="267">
        <f>ROUND(IFERROR($O15/Budget!$I$5,0),2)</f>
        <v>0</v>
      </c>
      <c r="T15" s="250" t="b">
        <f t="shared" si="29"/>
        <v>1</v>
      </c>
      <c r="U15" s="251"/>
    </row>
    <row r="16" s="221" customFormat="1">
      <c r="A16" s="252">
        <f t="shared" si="26"/>
        <v>8</v>
      </c>
      <c r="B16" s="253"/>
      <c r="C16" s="254"/>
      <c r="D16" s="255"/>
      <c r="E16" s="256"/>
      <c r="F16" s="257"/>
      <c r="G16" s="258"/>
      <c r="H16" s="259"/>
      <c r="I16" s="260"/>
      <c r="J16" s="261"/>
      <c r="K16" s="259"/>
      <c r="L16" s="263">
        <f t="shared" si="27"/>
        <v>0</v>
      </c>
      <c r="M16" s="264"/>
      <c r="N16" s="265">
        <f>Budget!$C$5</f>
        <v>36</v>
      </c>
      <c r="O16" s="266">
        <f t="shared" si="28"/>
        <v>0</v>
      </c>
      <c r="P16" s="260"/>
      <c r="Q16" s="260"/>
      <c r="R16" s="260"/>
      <c r="S16" s="267">
        <f>ROUND(IFERROR($O16/Budget!$I$5,0),2)</f>
        <v>0</v>
      </c>
      <c r="T16" s="250" t="b">
        <f t="shared" si="29"/>
        <v>1</v>
      </c>
      <c r="U16" s="251"/>
    </row>
    <row r="17" s="221" customFormat="1">
      <c r="A17" s="252">
        <f t="shared" si="26"/>
        <v>9</v>
      </c>
      <c r="B17" s="253"/>
      <c r="C17" s="254"/>
      <c r="D17" s="255"/>
      <c r="E17" s="256"/>
      <c r="F17" s="257"/>
      <c r="G17" s="258"/>
      <c r="H17" s="259"/>
      <c r="I17" s="260"/>
      <c r="J17" s="261"/>
      <c r="K17" s="259"/>
      <c r="L17" s="263">
        <f t="shared" si="27"/>
        <v>0</v>
      </c>
      <c r="M17" s="264"/>
      <c r="N17" s="265">
        <f>Budget!$C$5</f>
        <v>36</v>
      </c>
      <c r="O17" s="266">
        <f t="shared" si="28"/>
        <v>0</v>
      </c>
      <c r="P17" s="260"/>
      <c r="Q17" s="260"/>
      <c r="R17" s="260"/>
      <c r="S17" s="267">
        <f>ROUND(IFERROR($O17/Budget!$I$5,0),2)</f>
        <v>0</v>
      </c>
      <c r="T17" s="250" t="b">
        <f t="shared" si="29"/>
        <v>1</v>
      </c>
      <c r="U17" s="251"/>
    </row>
    <row r="18" s="221" customFormat="1">
      <c r="A18" s="252">
        <f t="shared" si="26"/>
        <v>10</v>
      </c>
      <c r="B18" s="253"/>
      <c r="C18" s="254"/>
      <c r="D18" s="255"/>
      <c r="E18" s="256"/>
      <c r="F18" s="257"/>
      <c r="G18" s="258"/>
      <c r="H18" s="259"/>
      <c r="I18" s="260"/>
      <c r="J18" s="261"/>
      <c r="K18" s="262"/>
      <c r="L18" s="263">
        <f t="shared" si="27"/>
        <v>0</v>
      </c>
      <c r="M18" s="264"/>
      <c r="N18" s="265">
        <f>Budget!$C$5</f>
        <v>36</v>
      </c>
      <c r="O18" s="266">
        <f t="shared" si="28"/>
        <v>0</v>
      </c>
      <c r="P18" s="260"/>
      <c r="Q18" s="260"/>
      <c r="R18" s="260"/>
      <c r="S18" s="267">
        <f>ROUND(IFERROR($O18/Budget!$I$5,0),2)</f>
        <v>0</v>
      </c>
      <c r="T18" s="250" t="b">
        <f t="shared" si="29"/>
        <v>1</v>
      </c>
      <c r="U18" s="251"/>
    </row>
    <row r="19" s="221" customFormat="1">
      <c r="A19" s="252">
        <f t="shared" si="26"/>
        <v>11</v>
      </c>
      <c r="B19" s="253"/>
      <c r="C19" s="254"/>
      <c r="D19" s="255"/>
      <c r="E19" s="256"/>
      <c r="F19" s="257"/>
      <c r="G19" s="258"/>
      <c r="H19" s="259"/>
      <c r="I19" s="260"/>
      <c r="J19" s="261"/>
      <c r="K19" s="262"/>
      <c r="L19" s="263">
        <f t="shared" si="27"/>
        <v>0</v>
      </c>
      <c r="M19" s="264"/>
      <c r="N19" s="265">
        <f>Budget!$C$5</f>
        <v>36</v>
      </c>
      <c r="O19" s="266">
        <f t="shared" si="28"/>
        <v>0</v>
      </c>
      <c r="P19" s="260"/>
      <c r="Q19" s="260"/>
      <c r="R19" s="260"/>
      <c r="S19" s="267">
        <f>ROUND(IFERROR($O19/Budget!$I$5,0),2)</f>
        <v>0</v>
      </c>
      <c r="T19" s="250" t="b">
        <f t="shared" si="29"/>
        <v>1</v>
      </c>
      <c r="U19" s="251"/>
    </row>
    <row r="20" s="221" customFormat="1">
      <c r="A20" s="252">
        <f t="shared" si="26"/>
        <v>12</v>
      </c>
      <c r="B20" s="253"/>
      <c r="C20" s="254"/>
      <c r="D20" s="255"/>
      <c r="E20" s="256"/>
      <c r="F20" s="257"/>
      <c r="G20" s="258"/>
      <c r="H20" s="259"/>
      <c r="I20" s="260"/>
      <c r="J20" s="261"/>
      <c r="K20" s="259"/>
      <c r="L20" s="263">
        <f t="shared" si="27"/>
        <v>0</v>
      </c>
      <c r="M20" s="264"/>
      <c r="N20" s="265">
        <f>Budget!$C$5</f>
        <v>36</v>
      </c>
      <c r="O20" s="266">
        <f t="shared" si="28"/>
        <v>0</v>
      </c>
      <c r="P20" s="260"/>
      <c r="Q20" s="260"/>
      <c r="R20" s="260"/>
      <c r="S20" s="267">
        <f>ROUND(IFERROR($O20/Budget!$I$5,0),2)</f>
        <v>0</v>
      </c>
      <c r="T20" s="250" t="b">
        <f t="shared" si="29"/>
        <v>1</v>
      </c>
      <c r="U20" s="251"/>
    </row>
    <row r="21" s="221" customFormat="1">
      <c r="A21" s="252">
        <f t="shared" si="26"/>
        <v>13</v>
      </c>
      <c r="B21" s="253"/>
      <c r="C21" s="254"/>
      <c r="D21" s="255"/>
      <c r="E21" s="256"/>
      <c r="F21" s="257"/>
      <c r="G21" s="258"/>
      <c r="H21" s="259"/>
      <c r="I21" s="260"/>
      <c r="J21" s="261"/>
      <c r="K21" s="262"/>
      <c r="L21" s="263">
        <f t="shared" si="27"/>
        <v>0</v>
      </c>
      <c r="M21" s="264"/>
      <c r="N21" s="265">
        <f>Budget!$C$5</f>
        <v>36</v>
      </c>
      <c r="O21" s="266">
        <f t="shared" si="28"/>
        <v>0</v>
      </c>
      <c r="P21" s="260"/>
      <c r="Q21" s="260"/>
      <c r="R21" s="260"/>
      <c r="S21" s="267">
        <f>ROUND(IFERROR($O21/Budget!$I$5,0),2)</f>
        <v>0</v>
      </c>
      <c r="T21" s="250" t="b">
        <f t="shared" si="29"/>
        <v>1</v>
      </c>
    </row>
    <row r="22" s="221" customFormat="1">
      <c r="A22" s="252">
        <f t="shared" si="26"/>
        <v>14</v>
      </c>
      <c r="B22" s="253"/>
      <c r="C22" s="254"/>
      <c r="D22" s="255"/>
      <c r="E22" s="256"/>
      <c r="F22" s="257"/>
      <c r="G22" s="258"/>
      <c r="H22" s="259"/>
      <c r="I22" s="260"/>
      <c r="J22" s="261"/>
      <c r="K22" s="259"/>
      <c r="L22" s="263">
        <f t="shared" si="27"/>
        <v>0</v>
      </c>
      <c r="M22" s="264"/>
      <c r="N22" s="265">
        <f>Budget!$C$5</f>
        <v>36</v>
      </c>
      <c r="O22" s="266">
        <f t="shared" si="28"/>
        <v>0</v>
      </c>
      <c r="P22" s="260"/>
      <c r="Q22" s="260"/>
      <c r="R22" s="260"/>
      <c r="S22" s="267">
        <f>ROUND(IFERROR($O22/Budget!$I$5,0),2)</f>
        <v>0</v>
      </c>
      <c r="T22" s="250" t="b">
        <f t="shared" si="29"/>
        <v>1</v>
      </c>
    </row>
    <row r="23" s="221" customFormat="1">
      <c r="A23" s="252">
        <f t="shared" si="26"/>
        <v>15</v>
      </c>
      <c r="B23" s="253"/>
      <c r="C23" s="254"/>
      <c r="D23" s="255"/>
      <c r="E23" s="256"/>
      <c r="F23" s="257"/>
      <c r="G23" s="258"/>
      <c r="H23" s="259"/>
      <c r="I23" s="260"/>
      <c r="J23" s="261"/>
      <c r="K23" s="259"/>
      <c r="L23" s="263">
        <f t="shared" si="27"/>
        <v>0</v>
      </c>
      <c r="M23" s="264"/>
      <c r="N23" s="265">
        <f>Budget!$C$5</f>
        <v>36</v>
      </c>
      <c r="O23" s="266">
        <f t="shared" si="28"/>
        <v>0</v>
      </c>
      <c r="P23" s="260"/>
      <c r="Q23" s="260"/>
      <c r="R23" s="260"/>
      <c r="S23" s="267">
        <f>ROUND(IFERROR($O23/Budget!$I$5,0),2)</f>
        <v>0</v>
      </c>
      <c r="T23" s="250" t="b">
        <f t="shared" si="29"/>
        <v>1</v>
      </c>
    </row>
    <row r="24" s="221" customFormat="1">
      <c r="A24" s="252">
        <f t="shared" si="26"/>
        <v>16</v>
      </c>
      <c r="B24" s="253"/>
      <c r="C24" s="254"/>
      <c r="D24" s="255"/>
      <c r="E24" s="256"/>
      <c r="F24" s="257"/>
      <c r="G24" s="258"/>
      <c r="H24" s="259"/>
      <c r="I24" s="260"/>
      <c r="J24" s="261"/>
      <c r="K24" s="259"/>
      <c r="L24" s="263">
        <f t="shared" si="27"/>
        <v>0</v>
      </c>
      <c r="M24" s="264"/>
      <c r="N24" s="265">
        <f>Budget!$C$5</f>
        <v>36</v>
      </c>
      <c r="O24" s="266">
        <f t="shared" si="28"/>
        <v>0</v>
      </c>
      <c r="P24" s="260"/>
      <c r="Q24" s="260"/>
      <c r="R24" s="260"/>
      <c r="S24" s="267">
        <f>ROUND(IFERROR($O24/Budget!$I$5,0),2)</f>
        <v>0</v>
      </c>
      <c r="T24" s="250" t="b">
        <f t="shared" si="29"/>
        <v>1</v>
      </c>
    </row>
    <row r="25" s="221" customFormat="1">
      <c r="A25" s="252">
        <f t="shared" si="26"/>
        <v>17</v>
      </c>
      <c r="B25" s="253"/>
      <c r="C25" s="254"/>
      <c r="D25" s="255"/>
      <c r="E25" s="256"/>
      <c r="F25" s="257"/>
      <c r="G25" s="258"/>
      <c r="H25" s="259"/>
      <c r="I25" s="260"/>
      <c r="J25" s="261"/>
      <c r="K25" s="259"/>
      <c r="L25" s="263">
        <f t="shared" si="27"/>
        <v>0</v>
      </c>
      <c r="M25" s="264"/>
      <c r="N25" s="265">
        <f>Budget!$C$5</f>
        <v>36</v>
      </c>
      <c r="O25" s="266">
        <f t="shared" si="28"/>
        <v>0</v>
      </c>
      <c r="P25" s="260"/>
      <c r="Q25" s="260"/>
      <c r="R25" s="260"/>
      <c r="S25" s="267">
        <f>ROUND(IFERROR($O25/Budget!$I$5,0),2)</f>
        <v>0</v>
      </c>
      <c r="T25" s="250" t="b">
        <f t="shared" si="29"/>
        <v>1</v>
      </c>
    </row>
    <row r="26" s="221" customFormat="1">
      <c r="A26" s="252">
        <f t="shared" si="26"/>
        <v>18</v>
      </c>
      <c r="B26" s="253"/>
      <c r="C26" s="254"/>
      <c r="D26" s="255"/>
      <c r="E26" s="256"/>
      <c r="F26" s="257"/>
      <c r="G26" s="258"/>
      <c r="H26" s="259"/>
      <c r="I26" s="260"/>
      <c r="J26" s="261"/>
      <c r="K26" s="262"/>
      <c r="L26" s="263">
        <f t="shared" si="27"/>
        <v>0</v>
      </c>
      <c r="M26" s="264"/>
      <c r="N26" s="265">
        <f>Budget!$C$5</f>
        <v>36</v>
      </c>
      <c r="O26" s="266">
        <f t="shared" si="28"/>
        <v>0</v>
      </c>
      <c r="P26" s="260"/>
      <c r="Q26" s="260"/>
      <c r="R26" s="260"/>
      <c r="S26" s="267">
        <f>ROUND(IFERROR($O26/Budget!$I$5,0),2)</f>
        <v>0</v>
      </c>
      <c r="T26" s="250" t="b">
        <f t="shared" si="29"/>
        <v>1</v>
      </c>
    </row>
    <row r="27" s="221" customFormat="1">
      <c r="A27" s="252">
        <f t="shared" si="26"/>
        <v>19</v>
      </c>
      <c r="B27" s="253"/>
      <c r="C27" s="254"/>
      <c r="D27" s="255"/>
      <c r="E27" s="256"/>
      <c r="F27" s="257"/>
      <c r="G27" s="258"/>
      <c r="H27" s="259"/>
      <c r="I27" s="260"/>
      <c r="J27" s="261"/>
      <c r="K27" s="262"/>
      <c r="L27" s="263">
        <f t="shared" si="27"/>
        <v>0</v>
      </c>
      <c r="M27" s="264"/>
      <c r="N27" s="265">
        <f>Budget!$C$5</f>
        <v>36</v>
      </c>
      <c r="O27" s="266">
        <f t="shared" si="28"/>
        <v>0</v>
      </c>
      <c r="P27" s="260"/>
      <c r="Q27" s="260"/>
      <c r="R27" s="260"/>
      <c r="S27" s="267">
        <f>ROUND(IFERROR($O27/Budget!$I$5,0),2)</f>
        <v>0</v>
      </c>
      <c r="T27" s="250" t="b">
        <f t="shared" si="29"/>
        <v>1</v>
      </c>
    </row>
    <row r="28" s="221" customFormat="1">
      <c r="A28" s="252">
        <f t="shared" si="26"/>
        <v>20</v>
      </c>
      <c r="B28" s="253"/>
      <c r="C28" s="254"/>
      <c r="D28" s="255"/>
      <c r="E28" s="256"/>
      <c r="F28" s="257"/>
      <c r="G28" s="258"/>
      <c r="H28" s="259"/>
      <c r="I28" s="260"/>
      <c r="J28" s="261"/>
      <c r="K28" s="259"/>
      <c r="L28" s="263">
        <f t="shared" si="27"/>
        <v>0</v>
      </c>
      <c r="M28" s="264"/>
      <c r="N28" s="265">
        <f>Budget!$C$5</f>
        <v>36</v>
      </c>
      <c r="O28" s="266">
        <f t="shared" si="28"/>
        <v>0</v>
      </c>
      <c r="P28" s="260"/>
      <c r="Q28" s="260"/>
      <c r="R28" s="260"/>
      <c r="S28" s="267">
        <f>ROUND(IFERROR($O28/Budget!$I$5,0),2)</f>
        <v>0</v>
      </c>
      <c r="T28" s="250" t="b">
        <f t="shared" si="29"/>
        <v>1</v>
      </c>
    </row>
    <row r="29" s="221" customFormat="1">
      <c r="A29" s="252">
        <f t="shared" si="26"/>
        <v>21</v>
      </c>
      <c r="B29" s="253"/>
      <c r="C29" s="254"/>
      <c r="D29" s="255"/>
      <c r="E29" s="256"/>
      <c r="F29" s="257"/>
      <c r="G29" s="258"/>
      <c r="H29" s="259"/>
      <c r="I29" s="260"/>
      <c r="J29" s="261"/>
      <c r="K29" s="262"/>
      <c r="L29" s="263">
        <f t="shared" si="27"/>
        <v>0</v>
      </c>
      <c r="M29" s="264"/>
      <c r="N29" s="265">
        <f>Budget!$C$5</f>
        <v>36</v>
      </c>
      <c r="O29" s="266">
        <f t="shared" si="28"/>
        <v>0</v>
      </c>
      <c r="P29" s="260"/>
      <c r="Q29" s="260"/>
      <c r="R29" s="260"/>
      <c r="S29" s="267">
        <f>ROUND(IFERROR($O29/Budget!$I$5,0),2)</f>
        <v>0</v>
      </c>
      <c r="T29" s="250" t="b">
        <f t="shared" si="29"/>
        <v>1</v>
      </c>
    </row>
    <row r="30" s="221" customFormat="1">
      <c r="A30" s="252">
        <f t="shared" si="26"/>
        <v>22</v>
      </c>
      <c r="B30" s="253"/>
      <c r="C30" s="254"/>
      <c r="D30" s="255"/>
      <c r="E30" s="256"/>
      <c r="F30" s="257"/>
      <c r="G30" s="258"/>
      <c r="H30" s="259"/>
      <c r="I30" s="260"/>
      <c r="J30" s="261"/>
      <c r="K30" s="262"/>
      <c r="L30" s="263">
        <f t="shared" si="27"/>
        <v>0</v>
      </c>
      <c r="M30" s="264"/>
      <c r="N30" s="265">
        <f>Budget!$C$5</f>
        <v>36</v>
      </c>
      <c r="O30" s="266">
        <f t="shared" si="28"/>
        <v>0</v>
      </c>
      <c r="P30" s="260"/>
      <c r="Q30" s="260"/>
      <c r="R30" s="260"/>
      <c r="S30" s="267">
        <f>ROUND(IFERROR($O30/Budget!$I$5,0),2)</f>
        <v>0</v>
      </c>
      <c r="T30" s="250" t="b">
        <f t="shared" si="29"/>
        <v>1</v>
      </c>
    </row>
    <row r="31" s="221" customFormat="1">
      <c r="A31" s="252">
        <f t="shared" si="26"/>
        <v>23</v>
      </c>
      <c r="B31" s="253"/>
      <c r="C31" s="254"/>
      <c r="D31" s="255"/>
      <c r="E31" s="256"/>
      <c r="F31" s="257"/>
      <c r="G31" s="258"/>
      <c r="H31" s="259"/>
      <c r="I31" s="260"/>
      <c r="J31" s="261"/>
      <c r="K31" s="259"/>
      <c r="L31" s="263">
        <f t="shared" si="27"/>
        <v>0</v>
      </c>
      <c r="M31" s="264"/>
      <c r="N31" s="265">
        <f>Budget!$C$5</f>
        <v>36</v>
      </c>
      <c r="O31" s="266">
        <f t="shared" si="28"/>
        <v>0</v>
      </c>
      <c r="P31" s="260"/>
      <c r="Q31" s="260"/>
      <c r="R31" s="260"/>
      <c r="S31" s="267">
        <f>ROUND(IFERROR($O31/Budget!$I$5,0),2)</f>
        <v>0</v>
      </c>
      <c r="T31" s="250" t="b">
        <f t="shared" si="29"/>
        <v>1</v>
      </c>
    </row>
    <row r="32" s="221" customFormat="1">
      <c r="A32" s="252">
        <f t="shared" si="26"/>
        <v>24</v>
      </c>
      <c r="B32" s="253"/>
      <c r="C32" s="254"/>
      <c r="D32" s="255"/>
      <c r="E32" s="256"/>
      <c r="F32" s="257"/>
      <c r="G32" s="258"/>
      <c r="H32" s="259"/>
      <c r="I32" s="260"/>
      <c r="J32" s="261"/>
      <c r="K32" s="262"/>
      <c r="L32" s="263">
        <f t="shared" si="27"/>
        <v>0</v>
      </c>
      <c r="M32" s="264"/>
      <c r="N32" s="265">
        <f>Budget!$C$5</f>
        <v>36</v>
      </c>
      <c r="O32" s="266">
        <f t="shared" si="28"/>
        <v>0</v>
      </c>
      <c r="P32" s="260"/>
      <c r="Q32" s="260"/>
      <c r="R32" s="260"/>
      <c r="S32" s="267">
        <f>ROUND(IFERROR($O32/Budget!$I$5,0),2)</f>
        <v>0</v>
      </c>
      <c r="T32" s="250" t="b">
        <f t="shared" si="29"/>
        <v>1</v>
      </c>
    </row>
    <row r="33" s="221" customFormat="1">
      <c r="A33" s="252">
        <f t="shared" si="26"/>
        <v>25</v>
      </c>
      <c r="B33" s="253"/>
      <c r="C33" s="254"/>
      <c r="D33" s="255"/>
      <c r="E33" s="256"/>
      <c r="F33" s="257"/>
      <c r="G33" s="258"/>
      <c r="H33" s="259"/>
      <c r="I33" s="260"/>
      <c r="J33" s="261"/>
      <c r="K33" s="259"/>
      <c r="L33" s="263">
        <f t="shared" si="27"/>
        <v>0</v>
      </c>
      <c r="M33" s="264"/>
      <c r="N33" s="265">
        <f>Budget!$C$5</f>
        <v>36</v>
      </c>
      <c r="O33" s="266">
        <f t="shared" si="28"/>
        <v>0</v>
      </c>
      <c r="P33" s="260"/>
      <c r="Q33" s="260"/>
      <c r="R33" s="260"/>
      <c r="S33" s="267">
        <f>ROUND(IFERROR($O33/Budget!$I$5,0),2)</f>
        <v>0</v>
      </c>
      <c r="T33" s="250" t="b">
        <f t="shared" si="29"/>
        <v>1</v>
      </c>
    </row>
    <row r="34" s="221" customFormat="1">
      <c r="A34" s="252">
        <f t="shared" si="26"/>
        <v>26</v>
      </c>
      <c r="B34" s="253"/>
      <c r="C34" s="254"/>
      <c r="D34" s="255"/>
      <c r="E34" s="256"/>
      <c r="F34" s="257"/>
      <c r="G34" s="258"/>
      <c r="H34" s="259"/>
      <c r="I34" s="260"/>
      <c r="J34" s="261"/>
      <c r="K34" s="262"/>
      <c r="L34" s="263">
        <f t="shared" si="27"/>
        <v>0</v>
      </c>
      <c r="M34" s="264"/>
      <c r="N34" s="265">
        <f>Budget!$C$5</f>
        <v>36</v>
      </c>
      <c r="O34" s="266">
        <f t="shared" si="28"/>
        <v>0</v>
      </c>
      <c r="P34" s="260"/>
      <c r="Q34" s="260"/>
      <c r="R34" s="260"/>
      <c r="S34" s="267">
        <f>ROUND(IFERROR($O34/Budget!$I$5,0),2)</f>
        <v>0</v>
      </c>
      <c r="T34" s="250" t="b">
        <f t="shared" si="29"/>
        <v>1</v>
      </c>
    </row>
    <row r="35" s="221" customFormat="1">
      <c r="A35" s="252">
        <f t="shared" si="26"/>
        <v>27</v>
      </c>
      <c r="B35" s="253"/>
      <c r="C35" s="254"/>
      <c r="D35" s="255"/>
      <c r="E35" s="256"/>
      <c r="F35" s="257"/>
      <c r="G35" s="258"/>
      <c r="H35" s="259"/>
      <c r="I35" s="260"/>
      <c r="J35" s="261"/>
      <c r="K35" s="259"/>
      <c r="L35" s="263">
        <f t="shared" si="27"/>
        <v>0</v>
      </c>
      <c r="M35" s="264"/>
      <c r="N35" s="265">
        <f>Budget!$C$5</f>
        <v>36</v>
      </c>
      <c r="O35" s="266">
        <f t="shared" si="28"/>
        <v>0</v>
      </c>
      <c r="P35" s="260"/>
      <c r="Q35" s="260"/>
      <c r="R35" s="260"/>
      <c r="S35" s="267">
        <f>ROUND(IFERROR($O35/Budget!$I$5,0),2)</f>
        <v>0</v>
      </c>
      <c r="T35" s="250" t="b">
        <f t="shared" si="29"/>
        <v>1</v>
      </c>
    </row>
    <row r="36" s="221" customFormat="1">
      <c r="A36" s="252">
        <f t="shared" si="26"/>
        <v>28</v>
      </c>
      <c r="B36" s="253"/>
      <c r="C36" s="254"/>
      <c r="D36" s="255"/>
      <c r="E36" s="256"/>
      <c r="F36" s="257"/>
      <c r="G36" s="258"/>
      <c r="H36" s="259"/>
      <c r="I36" s="260"/>
      <c r="J36" s="261"/>
      <c r="K36" s="262"/>
      <c r="L36" s="263">
        <f t="shared" si="27"/>
        <v>0</v>
      </c>
      <c r="M36" s="264"/>
      <c r="N36" s="265">
        <f>Budget!$C$5</f>
        <v>36</v>
      </c>
      <c r="O36" s="266">
        <f t="shared" si="28"/>
        <v>0</v>
      </c>
      <c r="P36" s="260"/>
      <c r="Q36" s="260"/>
      <c r="R36" s="260"/>
      <c r="S36" s="267">
        <f>ROUND(IFERROR($O36/Budget!$I$5,0),2)</f>
        <v>0</v>
      </c>
      <c r="T36" s="250" t="b">
        <f t="shared" si="29"/>
        <v>1</v>
      </c>
    </row>
    <row r="37" s="221" customFormat="1">
      <c r="A37" s="252">
        <f t="shared" si="26"/>
        <v>29</v>
      </c>
      <c r="B37" s="253"/>
      <c r="C37" s="254"/>
      <c r="D37" s="255"/>
      <c r="E37" s="256"/>
      <c r="F37" s="257"/>
      <c r="G37" s="258"/>
      <c r="H37" s="259"/>
      <c r="I37" s="260"/>
      <c r="J37" s="261"/>
      <c r="K37" s="262"/>
      <c r="L37" s="263">
        <f t="shared" si="27"/>
        <v>0</v>
      </c>
      <c r="M37" s="264"/>
      <c r="N37" s="265">
        <f>Budget!$C$5</f>
        <v>36</v>
      </c>
      <c r="O37" s="266">
        <f t="shared" si="28"/>
        <v>0</v>
      </c>
      <c r="P37" s="260"/>
      <c r="Q37" s="260"/>
      <c r="R37" s="260"/>
      <c r="S37" s="267">
        <f>ROUND(IFERROR($O37/Budget!$I$5,0),2)</f>
        <v>0</v>
      </c>
      <c r="T37" s="250" t="b">
        <f t="shared" si="29"/>
        <v>1</v>
      </c>
    </row>
    <row r="38" s="221" customFormat="1">
      <c r="A38" s="252">
        <f t="shared" si="26"/>
        <v>30</v>
      </c>
      <c r="B38" s="253"/>
      <c r="C38" s="254"/>
      <c r="D38" s="255"/>
      <c r="E38" s="256"/>
      <c r="F38" s="257"/>
      <c r="G38" s="258"/>
      <c r="H38" s="259"/>
      <c r="I38" s="260"/>
      <c r="J38" s="261"/>
      <c r="K38" s="259"/>
      <c r="L38" s="263">
        <f t="shared" si="27"/>
        <v>0</v>
      </c>
      <c r="M38" s="264"/>
      <c r="N38" s="265">
        <f>Budget!$C$5</f>
        <v>36</v>
      </c>
      <c r="O38" s="266">
        <f t="shared" si="28"/>
        <v>0</v>
      </c>
      <c r="P38" s="260"/>
      <c r="Q38" s="260"/>
      <c r="R38" s="260"/>
      <c r="S38" s="267">
        <f>ROUND(IFERROR($O38/Budget!$I$5,0),2)</f>
        <v>0</v>
      </c>
      <c r="T38" s="250" t="b">
        <f t="shared" si="29"/>
        <v>1</v>
      </c>
    </row>
    <row r="39" s="221" customFormat="1">
      <c r="A39" s="252">
        <f t="shared" si="26"/>
        <v>31</v>
      </c>
      <c r="B39" s="253"/>
      <c r="C39" s="254"/>
      <c r="D39" s="255"/>
      <c r="E39" s="256"/>
      <c r="F39" s="257"/>
      <c r="G39" s="258"/>
      <c r="H39" s="259"/>
      <c r="I39" s="260"/>
      <c r="J39" s="261"/>
      <c r="K39" s="262"/>
      <c r="L39" s="263">
        <f t="shared" si="27"/>
        <v>0</v>
      </c>
      <c r="M39" s="264"/>
      <c r="N39" s="265">
        <f>Budget!$C$5</f>
        <v>36</v>
      </c>
      <c r="O39" s="266">
        <f t="shared" si="28"/>
        <v>0</v>
      </c>
      <c r="P39" s="260"/>
      <c r="Q39" s="260"/>
      <c r="R39" s="260"/>
      <c r="S39" s="267">
        <f>ROUND(IFERROR($O39/Budget!$I$5,0),2)</f>
        <v>0</v>
      </c>
      <c r="T39" s="250" t="b">
        <f t="shared" si="29"/>
        <v>1</v>
      </c>
    </row>
    <row r="40" s="221" customFormat="1">
      <c r="A40" s="252">
        <f t="shared" si="26"/>
        <v>32</v>
      </c>
      <c r="B40" s="253"/>
      <c r="C40" s="254"/>
      <c r="D40" s="255"/>
      <c r="E40" s="256"/>
      <c r="F40" s="257"/>
      <c r="G40" s="258"/>
      <c r="H40" s="259"/>
      <c r="I40" s="260"/>
      <c r="J40" s="261"/>
      <c r="K40" s="262"/>
      <c r="L40" s="263">
        <f t="shared" si="27"/>
        <v>0</v>
      </c>
      <c r="M40" s="264"/>
      <c r="N40" s="265">
        <f>Budget!$C$5</f>
        <v>36</v>
      </c>
      <c r="O40" s="266">
        <f t="shared" si="28"/>
        <v>0</v>
      </c>
      <c r="P40" s="260"/>
      <c r="Q40" s="260"/>
      <c r="R40" s="260"/>
      <c r="S40" s="267">
        <f>ROUND(IFERROR($O40/Budget!$I$5,0),2)</f>
        <v>0</v>
      </c>
      <c r="T40" s="250" t="b">
        <f t="shared" si="29"/>
        <v>1</v>
      </c>
    </row>
    <row r="41" s="221" customFormat="1">
      <c r="A41" s="252">
        <f t="shared" si="26"/>
        <v>33</v>
      </c>
      <c r="B41" s="253"/>
      <c r="C41" s="254"/>
      <c r="D41" s="255"/>
      <c r="E41" s="256"/>
      <c r="F41" s="257"/>
      <c r="G41" s="258"/>
      <c r="H41" s="259"/>
      <c r="I41" s="260"/>
      <c r="J41" s="261"/>
      <c r="K41" s="262"/>
      <c r="L41" s="263">
        <f t="shared" si="27"/>
        <v>0</v>
      </c>
      <c r="M41" s="264"/>
      <c r="N41" s="265">
        <f>Budget!$C$5</f>
        <v>36</v>
      </c>
      <c r="O41" s="266">
        <f t="shared" si="28"/>
        <v>0</v>
      </c>
      <c r="P41" s="260"/>
      <c r="Q41" s="260"/>
      <c r="R41" s="260"/>
      <c r="S41" s="267">
        <f>ROUND(IFERROR($O41/Budget!$I$5,0),2)</f>
        <v>0</v>
      </c>
      <c r="T41" s="250" t="b">
        <f t="shared" si="29"/>
        <v>1</v>
      </c>
    </row>
    <row r="42" s="221" customFormat="1">
      <c r="A42" s="252">
        <f t="shared" si="26"/>
        <v>34</v>
      </c>
      <c r="B42" s="253"/>
      <c r="C42" s="254"/>
      <c r="D42" s="255"/>
      <c r="E42" s="256"/>
      <c r="F42" s="257"/>
      <c r="G42" s="258"/>
      <c r="H42" s="259"/>
      <c r="I42" s="260"/>
      <c r="J42" s="261"/>
      <c r="K42" s="262"/>
      <c r="L42" s="263">
        <f t="shared" si="27"/>
        <v>0</v>
      </c>
      <c r="M42" s="264"/>
      <c r="N42" s="265">
        <f>Budget!$C$5</f>
        <v>36</v>
      </c>
      <c r="O42" s="266">
        <f t="shared" si="28"/>
        <v>0</v>
      </c>
      <c r="P42" s="260"/>
      <c r="Q42" s="260"/>
      <c r="R42" s="260"/>
      <c r="S42" s="267">
        <f>ROUND(IFERROR($O42/Budget!$I$5,0),2)</f>
        <v>0</v>
      </c>
      <c r="T42" s="250" t="b">
        <f t="shared" si="29"/>
        <v>1</v>
      </c>
    </row>
    <row r="43" s="221" customFormat="1">
      <c r="A43" s="252">
        <f t="shared" si="26"/>
        <v>35</v>
      </c>
      <c r="B43" s="253"/>
      <c r="C43" s="254"/>
      <c r="D43" s="255"/>
      <c r="E43" s="256"/>
      <c r="F43" s="257"/>
      <c r="G43" s="258"/>
      <c r="H43" s="259"/>
      <c r="I43" s="260"/>
      <c r="J43" s="261"/>
      <c r="K43" s="262"/>
      <c r="L43" s="263">
        <f t="shared" si="27"/>
        <v>0</v>
      </c>
      <c r="M43" s="264"/>
      <c r="N43" s="265">
        <f>Budget!$C$5</f>
        <v>36</v>
      </c>
      <c r="O43" s="266">
        <f t="shared" si="28"/>
        <v>0</v>
      </c>
      <c r="P43" s="260"/>
      <c r="Q43" s="260"/>
      <c r="R43" s="260"/>
      <c r="S43" s="267">
        <f>ROUND(IFERROR($O43/Budget!$I$5,0),2)</f>
        <v>0</v>
      </c>
      <c r="T43" s="250" t="b">
        <f t="shared" si="29"/>
        <v>1</v>
      </c>
    </row>
    <row r="44" s="221" customFormat="1">
      <c r="A44" s="252">
        <f t="shared" si="26"/>
        <v>36</v>
      </c>
      <c r="B44" s="253"/>
      <c r="C44" s="254"/>
      <c r="D44" s="255"/>
      <c r="E44" s="256"/>
      <c r="F44" s="257"/>
      <c r="G44" s="258"/>
      <c r="H44" s="259"/>
      <c r="I44" s="260"/>
      <c r="J44" s="261"/>
      <c r="K44" s="262"/>
      <c r="L44" s="263">
        <f t="shared" si="27"/>
        <v>0</v>
      </c>
      <c r="M44" s="264"/>
      <c r="N44" s="265">
        <f>Budget!$C$5</f>
        <v>36</v>
      </c>
      <c r="O44" s="266">
        <f t="shared" si="28"/>
        <v>0</v>
      </c>
      <c r="P44" s="260"/>
      <c r="Q44" s="260"/>
      <c r="R44" s="260"/>
      <c r="S44" s="267">
        <f>ROUND(IFERROR($O44/Budget!$I$5,0),2)</f>
        <v>0</v>
      </c>
      <c r="T44" s="250" t="b">
        <f t="shared" si="29"/>
        <v>1</v>
      </c>
    </row>
    <row r="45" s="221" customFormat="1">
      <c r="A45" s="252">
        <f t="shared" si="26"/>
        <v>37</v>
      </c>
      <c r="B45" s="253"/>
      <c r="C45" s="254"/>
      <c r="D45" s="255"/>
      <c r="E45" s="256"/>
      <c r="F45" s="257"/>
      <c r="G45" s="258"/>
      <c r="H45" s="259"/>
      <c r="I45" s="260"/>
      <c r="J45" s="261"/>
      <c r="K45" s="262"/>
      <c r="L45" s="263">
        <f t="shared" si="27"/>
        <v>0</v>
      </c>
      <c r="M45" s="264"/>
      <c r="N45" s="265">
        <f>Budget!$C$5</f>
        <v>36</v>
      </c>
      <c r="O45" s="266">
        <f t="shared" si="28"/>
        <v>0</v>
      </c>
      <c r="P45" s="260"/>
      <c r="Q45" s="260"/>
      <c r="R45" s="260"/>
      <c r="S45" s="267">
        <f>ROUND(IFERROR($O45/Budget!$I$5,0),2)</f>
        <v>0</v>
      </c>
      <c r="T45" s="250" t="b">
        <f t="shared" si="29"/>
        <v>1</v>
      </c>
    </row>
    <row r="46" s="221" customFormat="1">
      <c r="A46" s="252">
        <f t="shared" si="26"/>
        <v>38</v>
      </c>
      <c r="B46" s="253"/>
      <c r="C46" s="254"/>
      <c r="D46" s="255"/>
      <c r="E46" s="256"/>
      <c r="F46" s="257"/>
      <c r="G46" s="258"/>
      <c r="H46" s="259"/>
      <c r="I46" s="260"/>
      <c r="J46" s="261"/>
      <c r="K46" s="262"/>
      <c r="L46" s="263">
        <f t="shared" si="27"/>
        <v>0</v>
      </c>
      <c r="M46" s="264"/>
      <c r="N46" s="265">
        <f>Budget!$C$5</f>
        <v>36</v>
      </c>
      <c r="O46" s="266">
        <f t="shared" si="28"/>
        <v>0</v>
      </c>
      <c r="P46" s="260"/>
      <c r="Q46" s="260"/>
      <c r="R46" s="260"/>
      <c r="S46" s="267">
        <f>ROUND(IFERROR($O46/Budget!$I$5,0),2)</f>
        <v>0</v>
      </c>
      <c r="T46" s="250" t="b">
        <f t="shared" si="29"/>
        <v>1</v>
      </c>
    </row>
    <row r="47" s="221" customFormat="1">
      <c r="A47" s="252">
        <f t="shared" si="26"/>
        <v>39</v>
      </c>
      <c r="B47" s="253"/>
      <c r="C47" s="254"/>
      <c r="D47" s="255"/>
      <c r="E47" s="256"/>
      <c r="F47" s="257"/>
      <c r="G47" s="258"/>
      <c r="H47" s="259"/>
      <c r="I47" s="260"/>
      <c r="J47" s="261"/>
      <c r="K47" s="262"/>
      <c r="L47" s="263">
        <f t="shared" si="27"/>
        <v>0</v>
      </c>
      <c r="M47" s="264"/>
      <c r="N47" s="265">
        <f>Budget!$C$5</f>
        <v>36</v>
      </c>
      <c r="O47" s="266">
        <f t="shared" si="28"/>
        <v>0</v>
      </c>
      <c r="P47" s="260"/>
      <c r="Q47" s="260"/>
      <c r="R47" s="260"/>
      <c r="S47" s="267">
        <f>ROUND(IFERROR($O47/Budget!$I$5,0),2)</f>
        <v>0</v>
      </c>
      <c r="T47" s="250" t="b">
        <f t="shared" si="29"/>
        <v>1</v>
      </c>
    </row>
    <row r="48" s="221" customFormat="1">
      <c r="A48" s="252">
        <f t="shared" si="26"/>
        <v>40</v>
      </c>
      <c r="B48" s="253"/>
      <c r="C48" s="254"/>
      <c r="D48" s="255"/>
      <c r="E48" s="256"/>
      <c r="F48" s="257"/>
      <c r="G48" s="258"/>
      <c r="H48" s="259"/>
      <c r="I48" s="260"/>
      <c r="J48" s="261"/>
      <c r="K48" s="262"/>
      <c r="L48" s="263">
        <f t="shared" si="27"/>
        <v>0</v>
      </c>
      <c r="M48" s="264"/>
      <c r="N48" s="265">
        <f>Budget!$C$5</f>
        <v>36</v>
      </c>
      <c r="O48" s="266">
        <f t="shared" si="28"/>
        <v>0</v>
      </c>
      <c r="P48" s="260"/>
      <c r="Q48" s="260"/>
      <c r="R48" s="260"/>
      <c r="S48" s="267">
        <f>ROUND(IFERROR($O48/Budget!$I$5,0),2)</f>
        <v>0</v>
      </c>
      <c r="T48" s="250" t="b">
        <f t="shared" si="29"/>
        <v>1</v>
      </c>
    </row>
    <row r="49" s="221" customFormat="1">
      <c r="A49" s="252">
        <f t="shared" si="26"/>
        <v>41</v>
      </c>
      <c r="B49" s="253"/>
      <c r="C49" s="254"/>
      <c r="D49" s="255"/>
      <c r="E49" s="256"/>
      <c r="F49" s="257"/>
      <c r="G49" s="258"/>
      <c r="H49" s="259"/>
      <c r="I49" s="260"/>
      <c r="J49" s="261"/>
      <c r="K49" s="262"/>
      <c r="L49" s="263">
        <f t="shared" si="27"/>
        <v>0</v>
      </c>
      <c r="M49" s="264"/>
      <c r="N49" s="265">
        <f>Budget!$C$5</f>
        <v>36</v>
      </c>
      <c r="O49" s="266">
        <f t="shared" si="28"/>
        <v>0</v>
      </c>
      <c r="P49" s="260"/>
      <c r="Q49" s="260"/>
      <c r="R49" s="260"/>
      <c r="S49" s="267">
        <f>ROUND(IFERROR($O49/Budget!$I$5,0),2)</f>
        <v>0</v>
      </c>
      <c r="T49" s="250" t="b">
        <f t="shared" si="29"/>
        <v>1</v>
      </c>
    </row>
    <row r="50" s="221" customFormat="1">
      <c r="A50" s="252">
        <f t="shared" si="26"/>
        <v>42</v>
      </c>
      <c r="B50" s="253"/>
      <c r="C50" s="254"/>
      <c r="D50" s="255"/>
      <c r="E50" s="256"/>
      <c r="F50" s="257"/>
      <c r="G50" s="258"/>
      <c r="H50" s="259"/>
      <c r="I50" s="260"/>
      <c r="J50" s="261"/>
      <c r="K50" s="262"/>
      <c r="L50" s="263">
        <f t="shared" si="27"/>
        <v>0</v>
      </c>
      <c r="M50" s="264"/>
      <c r="N50" s="265">
        <f>Budget!$C$5</f>
        <v>36</v>
      </c>
      <c r="O50" s="266">
        <f t="shared" si="28"/>
        <v>0</v>
      </c>
      <c r="P50" s="260"/>
      <c r="Q50" s="260"/>
      <c r="R50" s="260"/>
      <c r="S50" s="267">
        <f>ROUND(IFERROR($O50/Budget!$I$5,0),2)</f>
        <v>0</v>
      </c>
      <c r="T50" s="250" t="b">
        <f t="shared" si="29"/>
        <v>1</v>
      </c>
    </row>
    <row r="51" s="221" customFormat="1">
      <c r="A51" s="252">
        <f t="shared" si="26"/>
        <v>43</v>
      </c>
      <c r="B51" s="253"/>
      <c r="C51" s="254"/>
      <c r="D51" s="255"/>
      <c r="E51" s="256"/>
      <c r="F51" s="257"/>
      <c r="G51" s="258"/>
      <c r="H51" s="259"/>
      <c r="I51" s="260"/>
      <c r="J51" s="261"/>
      <c r="K51" s="262"/>
      <c r="L51" s="263">
        <f t="shared" si="27"/>
        <v>0</v>
      </c>
      <c r="M51" s="264"/>
      <c r="N51" s="265">
        <f>Budget!$C$5</f>
        <v>36</v>
      </c>
      <c r="O51" s="266">
        <f t="shared" si="28"/>
        <v>0</v>
      </c>
      <c r="P51" s="260"/>
      <c r="Q51" s="260"/>
      <c r="R51" s="260"/>
      <c r="S51" s="267">
        <f>ROUND(IFERROR($O51/Budget!$I$5,0),2)</f>
        <v>0</v>
      </c>
      <c r="T51" s="250" t="b">
        <f t="shared" si="29"/>
        <v>1</v>
      </c>
    </row>
    <row r="52" s="221" customFormat="1">
      <c r="A52" s="252">
        <f t="shared" si="26"/>
        <v>44</v>
      </c>
      <c r="B52" s="253"/>
      <c r="C52" s="254"/>
      <c r="D52" s="255"/>
      <c r="E52" s="256"/>
      <c r="F52" s="257"/>
      <c r="G52" s="258"/>
      <c r="H52" s="259"/>
      <c r="I52" s="260"/>
      <c r="J52" s="261"/>
      <c r="K52" s="262"/>
      <c r="L52" s="263">
        <f t="shared" si="27"/>
        <v>0</v>
      </c>
      <c r="M52" s="264"/>
      <c r="N52" s="265">
        <f>Budget!$C$5</f>
        <v>36</v>
      </c>
      <c r="O52" s="266">
        <f t="shared" si="28"/>
        <v>0</v>
      </c>
      <c r="P52" s="260"/>
      <c r="Q52" s="260"/>
      <c r="R52" s="260"/>
      <c r="S52" s="267">
        <f>ROUND(IFERROR($O52/Budget!$I$5,0),2)</f>
        <v>0</v>
      </c>
      <c r="T52" s="250" t="b">
        <f t="shared" si="29"/>
        <v>1</v>
      </c>
    </row>
    <row r="53" s="221" customFormat="1">
      <c r="A53" s="252">
        <f t="shared" si="26"/>
        <v>45</v>
      </c>
      <c r="B53" s="253"/>
      <c r="C53" s="254"/>
      <c r="D53" s="255"/>
      <c r="E53" s="256"/>
      <c r="F53" s="257"/>
      <c r="G53" s="258"/>
      <c r="H53" s="259"/>
      <c r="I53" s="260"/>
      <c r="J53" s="261"/>
      <c r="K53" s="262"/>
      <c r="L53" s="263">
        <f t="shared" si="27"/>
        <v>0</v>
      </c>
      <c r="M53" s="264"/>
      <c r="N53" s="265">
        <f>Budget!$C$5</f>
        <v>36</v>
      </c>
      <c r="O53" s="266">
        <f t="shared" si="28"/>
        <v>0</v>
      </c>
      <c r="P53" s="260"/>
      <c r="Q53" s="260"/>
      <c r="R53" s="260"/>
      <c r="S53" s="267">
        <f>ROUND(IFERROR($O53/Budget!$I$5,0),2)</f>
        <v>0</v>
      </c>
      <c r="T53" s="250" t="b">
        <f t="shared" si="29"/>
        <v>1</v>
      </c>
    </row>
    <row r="54" s="221" customFormat="1">
      <c r="A54" s="252">
        <f t="shared" si="26"/>
        <v>46</v>
      </c>
      <c r="B54" s="253"/>
      <c r="C54" s="254"/>
      <c r="D54" s="255"/>
      <c r="E54" s="256"/>
      <c r="F54" s="257"/>
      <c r="G54" s="258"/>
      <c r="H54" s="259"/>
      <c r="I54" s="260"/>
      <c r="J54" s="261"/>
      <c r="K54" s="262"/>
      <c r="L54" s="263">
        <f t="shared" si="27"/>
        <v>0</v>
      </c>
      <c r="M54" s="264"/>
      <c r="N54" s="265">
        <f>Budget!$C$5</f>
        <v>36</v>
      </c>
      <c r="O54" s="266">
        <f t="shared" si="28"/>
        <v>0</v>
      </c>
      <c r="P54" s="260"/>
      <c r="Q54" s="260"/>
      <c r="R54" s="260"/>
      <c r="S54" s="267">
        <f>ROUND(IFERROR($O54/Budget!$I$5,0),2)</f>
        <v>0</v>
      </c>
      <c r="T54" s="250" t="b">
        <f t="shared" si="29"/>
        <v>1</v>
      </c>
    </row>
    <row r="55" s="221" customFormat="1">
      <c r="A55" s="252">
        <f t="shared" si="26"/>
        <v>47</v>
      </c>
      <c r="B55" s="253"/>
      <c r="C55" s="254"/>
      <c r="D55" s="255"/>
      <c r="E55" s="256"/>
      <c r="F55" s="257"/>
      <c r="G55" s="258"/>
      <c r="H55" s="259"/>
      <c r="I55" s="260"/>
      <c r="J55" s="261"/>
      <c r="K55" s="262"/>
      <c r="L55" s="263">
        <f t="shared" si="27"/>
        <v>0</v>
      </c>
      <c r="M55" s="264"/>
      <c r="N55" s="265">
        <f>Budget!$C$5</f>
        <v>36</v>
      </c>
      <c r="O55" s="266">
        <f t="shared" si="28"/>
        <v>0</v>
      </c>
      <c r="P55" s="260"/>
      <c r="Q55" s="260"/>
      <c r="R55" s="260"/>
      <c r="S55" s="267">
        <f>ROUND(IFERROR($O55/Budget!$I$5,0),2)</f>
        <v>0</v>
      </c>
      <c r="T55" s="250" t="b">
        <f t="shared" si="29"/>
        <v>1</v>
      </c>
    </row>
    <row r="56" s="221" customFormat="1">
      <c r="A56" s="252">
        <f t="shared" si="26"/>
        <v>48</v>
      </c>
      <c r="B56" s="253"/>
      <c r="C56" s="254"/>
      <c r="D56" s="255"/>
      <c r="E56" s="256"/>
      <c r="F56" s="257"/>
      <c r="G56" s="258"/>
      <c r="H56" s="259"/>
      <c r="I56" s="260"/>
      <c r="J56" s="261"/>
      <c r="K56" s="262"/>
      <c r="L56" s="263">
        <f t="shared" si="27"/>
        <v>0</v>
      </c>
      <c r="M56" s="264"/>
      <c r="N56" s="265">
        <f>Budget!$C$5</f>
        <v>36</v>
      </c>
      <c r="O56" s="266">
        <f t="shared" si="28"/>
        <v>0</v>
      </c>
      <c r="P56" s="260"/>
      <c r="Q56" s="260"/>
      <c r="R56" s="260"/>
      <c r="S56" s="267">
        <f>ROUND(IFERROR($O56/Budget!$I$5,0),2)</f>
        <v>0</v>
      </c>
      <c r="T56" s="250" t="b">
        <f t="shared" si="29"/>
        <v>1</v>
      </c>
    </row>
    <row r="57" s="221" customFormat="1">
      <c r="A57" s="252">
        <f t="shared" si="26"/>
        <v>49</v>
      </c>
      <c r="B57" s="253"/>
      <c r="C57" s="254"/>
      <c r="D57" s="255"/>
      <c r="E57" s="256"/>
      <c r="F57" s="257"/>
      <c r="G57" s="258"/>
      <c r="H57" s="259"/>
      <c r="I57" s="260"/>
      <c r="J57" s="261"/>
      <c r="K57" s="262"/>
      <c r="L57" s="263">
        <f t="shared" si="27"/>
        <v>0</v>
      </c>
      <c r="M57" s="264"/>
      <c r="N57" s="265">
        <f>Budget!$C$5</f>
        <v>36</v>
      </c>
      <c r="O57" s="266">
        <f t="shared" si="28"/>
        <v>0</v>
      </c>
      <c r="P57" s="260"/>
      <c r="Q57" s="260"/>
      <c r="R57" s="260"/>
      <c r="S57" s="267">
        <f>ROUND(IFERROR($O57/Budget!$I$5,0),2)</f>
        <v>0</v>
      </c>
      <c r="T57" s="250" t="b">
        <f t="shared" si="29"/>
        <v>1</v>
      </c>
    </row>
    <row r="58" s="221" customFormat="1">
      <c r="A58" s="252">
        <f t="shared" si="26"/>
        <v>50</v>
      </c>
      <c r="B58" s="253"/>
      <c r="C58" s="254"/>
      <c r="D58" s="255"/>
      <c r="E58" s="256"/>
      <c r="F58" s="257"/>
      <c r="G58" s="258"/>
      <c r="H58" s="259"/>
      <c r="I58" s="260"/>
      <c r="J58" s="261"/>
      <c r="K58" s="262"/>
      <c r="L58" s="263">
        <f t="shared" si="27"/>
        <v>0</v>
      </c>
      <c r="M58" s="264"/>
      <c r="N58" s="265">
        <f>Budget!$C$5</f>
        <v>36</v>
      </c>
      <c r="O58" s="266">
        <f t="shared" si="28"/>
        <v>0</v>
      </c>
      <c r="P58" s="260"/>
      <c r="Q58" s="260"/>
      <c r="R58" s="260"/>
      <c r="S58" s="267">
        <f>ROUND(IFERROR($O58/Budget!$I$5,0),2)</f>
        <v>0</v>
      </c>
      <c r="T58" s="250" t="b">
        <f t="shared" si="29"/>
        <v>1</v>
      </c>
    </row>
    <row r="59" s="221" customFormat="1">
      <c r="A59" s="252">
        <f t="shared" si="26"/>
        <v>51</v>
      </c>
      <c r="B59" s="253"/>
      <c r="C59" s="254"/>
      <c r="D59" s="255"/>
      <c r="E59" s="256"/>
      <c r="F59" s="257"/>
      <c r="G59" s="258"/>
      <c r="H59" s="259"/>
      <c r="I59" s="260"/>
      <c r="J59" s="261"/>
      <c r="K59" s="262"/>
      <c r="L59" s="263">
        <f t="shared" si="27"/>
        <v>0</v>
      </c>
      <c r="M59" s="264"/>
      <c r="N59" s="265">
        <f>Budget!$C$5</f>
        <v>36</v>
      </c>
      <c r="O59" s="266">
        <f t="shared" si="28"/>
        <v>0</v>
      </c>
      <c r="P59" s="260"/>
      <c r="Q59" s="260"/>
      <c r="R59" s="260"/>
      <c r="S59" s="267">
        <f>ROUND(IFERROR($O59/Budget!$I$5,0),2)</f>
        <v>0</v>
      </c>
      <c r="T59" s="250" t="b">
        <f t="shared" si="29"/>
        <v>1</v>
      </c>
    </row>
    <row r="60" s="221" customFormat="1">
      <c r="A60" s="252">
        <f t="shared" si="26"/>
        <v>52</v>
      </c>
      <c r="B60" s="253"/>
      <c r="C60" s="254"/>
      <c r="D60" s="255"/>
      <c r="E60" s="256"/>
      <c r="F60" s="257"/>
      <c r="G60" s="258"/>
      <c r="H60" s="259"/>
      <c r="I60" s="260"/>
      <c r="J60" s="261"/>
      <c r="K60" s="262"/>
      <c r="L60" s="263">
        <f t="shared" si="27"/>
        <v>0</v>
      </c>
      <c r="M60" s="264"/>
      <c r="N60" s="265">
        <f>Budget!$C$5</f>
        <v>36</v>
      </c>
      <c r="O60" s="266">
        <f t="shared" si="28"/>
        <v>0</v>
      </c>
      <c r="P60" s="260"/>
      <c r="Q60" s="260"/>
      <c r="R60" s="260"/>
      <c r="S60" s="267">
        <f>ROUND(IFERROR($O60/Budget!$I$5,0),2)</f>
        <v>0</v>
      </c>
      <c r="T60" s="250" t="b">
        <f t="shared" si="29"/>
        <v>1</v>
      </c>
    </row>
    <row r="61" s="221" customFormat="1">
      <c r="A61" s="252">
        <f t="shared" si="26"/>
        <v>53</v>
      </c>
      <c r="B61" s="253"/>
      <c r="C61" s="254"/>
      <c r="D61" s="255"/>
      <c r="E61" s="256"/>
      <c r="F61" s="257"/>
      <c r="G61" s="258"/>
      <c r="H61" s="259"/>
      <c r="I61" s="260"/>
      <c r="J61" s="261"/>
      <c r="K61" s="262"/>
      <c r="L61" s="263">
        <f t="shared" si="27"/>
        <v>0</v>
      </c>
      <c r="M61" s="264"/>
      <c r="N61" s="265">
        <f>Budget!$C$5</f>
        <v>36</v>
      </c>
      <c r="O61" s="266">
        <f t="shared" si="28"/>
        <v>0</v>
      </c>
      <c r="P61" s="260"/>
      <c r="Q61" s="260"/>
      <c r="R61" s="260"/>
      <c r="S61" s="267">
        <f>ROUND(IFERROR($O61/Budget!$I$5,0),2)</f>
        <v>0</v>
      </c>
      <c r="T61" s="250" t="b">
        <f t="shared" si="29"/>
        <v>1</v>
      </c>
    </row>
    <row r="62" s="221" customFormat="1">
      <c r="A62" s="252">
        <f t="shared" si="26"/>
        <v>54</v>
      </c>
      <c r="B62" s="253"/>
      <c r="C62" s="254"/>
      <c r="D62" s="255"/>
      <c r="E62" s="256"/>
      <c r="F62" s="257"/>
      <c r="G62" s="258"/>
      <c r="H62" s="259"/>
      <c r="I62" s="260"/>
      <c r="J62" s="261"/>
      <c r="K62" s="262"/>
      <c r="L62" s="263">
        <f t="shared" si="27"/>
        <v>0</v>
      </c>
      <c r="M62" s="264"/>
      <c r="N62" s="265">
        <f>Budget!$C$5</f>
        <v>36</v>
      </c>
      <c r="O62" s="266">
        <f t="shared" si="28"/>
        <v>0</v>
      </c>
      <c r="P62" s="260"/>
      <c r="Q62" s="260"/>
      <c r="R62" s="260"/>
      <c r="S62" s="267">
        <f>ROUND(IFERROR($O62/Budget!$I$5,0),2)</f>
        <v>0</v>
      </c>
      <c r="T62" s="250" t="b">
        <f t="shared" si="29"/>
        <v>1</v>
      </c>
    </row>
    <row r="63" s="221" customFormat="1">
      <c r="A63" s="252">
        <f t="shared" si="26"/>
        <v>55</v>
      </c>
      <c r="B63" s="253"/>
      <c r="C63" s="254"/>
      <c r="D63" s="255"/>
      <c r="E63" s="256"/>
      <c r="F63" s="257"/>
      <c r="G63" s="258"/>
      <c r="H63" s="259"/>
      <c r="I63" s="260"/>
      <c r="J63" s="261"/>
      <c r="K63" s="262"/>
      <c r="L63" s="263">
        <f t="shared" si="27"/>
        <v>0</v>
      </c>
      <c r="M63" s="264"/>
      <c r="N63" s="265">
        <f>Budget!$C$5</f>
        <v>36</v>
      </c>
      <c r="O63" s="266">
        <f t="shared" si="28"/>
        <v>0</v>
      </c>
      <c r="P63" s="260"/>
      <c r="Q63" s="260"/>
      <c r="R63" s="260"/>
      <c r="S63" s="267">
        <f>ROUND(IFERROR($O63/Budget!$I$5,0),2)</f>
        <v>0</v>
      </c>
      <c r="T63" s="250" t="b">
        <f t="shared" si="29"/>
        <v>1</v>
      </c>
    </row>
    <row r="64" s="221" customFormat="1">
      <c r="A64" s="252">
        <f t="shared" si="26"/>
        <v>56</v>
      </c>
      <c r="B64" s="253"/>
      <c r="C64" s="254"/>
      <c r="D64" s="255"/>
      <c r="E64" s="256"/>
      <c r="F64" s="257"/>
      <c r="G64" s="258"/>
      <c r="H64" s="259"/>
      <c r="I64" s="260"/>
      <c r="J64" s="261"/>
      <c r="K64" s="262"/>
      <c r="L64" s="263">
        <f t="shared" si="27"/>
        <v>0</v>
      </c>
      <c r="M64" s="264"/>
      <c r="N64" s="265">
        <f>Budget!$C$5</f>
        <v>36</v>
      </c>
      <c r="O64" s="266">
        <f t="shared" si="28"/>
        <v>0</v>
      </c>
      <c r="P64" s="260"/>
      <c r="Q64" s="260"/>
      <c r="R64" s="260"/>
      <c r="S64" s="267">
        <f>ROUND(IFERROR($O64/Budget!$I$5,0),2)</f>
        <v>0</v>
      </c>
      <c r="T64" s="250" t="b">
        <f t="shared" si="29"/>
        <v>1</v>
      </c>
    </row>
    <row r="65" s="221" customFormat="1">
      <c r="A65" s="252">
        <f t="shared" si="26"/>
        <v>57</v>
      </c>
      <c r="B65" s="253"/>
      <c r="C65" s="254"/>
      <c r="D65" s="255"/>
      <c r="E65" s="256"/>
      <c r="F65" s="257"/>
      <c r="G65" s="258"/>
      <c r="H65" s="259"/>
      <c r="I65" s="260"/>
      <c r="J65" s="261"/>
      <c r="K65" s="262"/>
      <c r="L65" s="263">
        <f t="shared" si="27"/>
        <v>0</v>
      </c>
      <c r="M65" s="264"/>
      <c r="N65" s="265">
        <f>Budget!$C$5</f>
        <v>36</v>
      </c>
      <c r="O65" s="266">
        <f t="shared" si="28"/>
        <v>0</v>
      </c>
      <c r="P65" s="260"/>
      <c r="Q65" s="260"/>
      <c r="R65" s="260"/>
      <c r="S65" s="267">
        <f>ROUND(IFERROR($O65/Budget!$I$5,0),2)</f>
        <v>0</v>
      </c>
      <c r="T65" s="250" t="b">
        <f t="shared" si="29"/>
        <v>1</v>
      </c>
    </row>
    <row r="66" s="221" customFormat="1">
      <c r="A66" s="252">
        <f t="shared" si="26"/>
        <v>58</v>
      </c>
      <c r="B66" s="253"/>
      <c r="C66" s="254"/>
      <c r="D66" s="255"/>
      <c r="E66" s="256"/>
      <c r="F66" s="257"/>
      <c r="G66" s="258"/>
      <c r="H66" s="259"/>
      <c r="I66" s="260"/>
      <c r="J66" s="261"/>
      <c r="K66" s="262"/>
      <c r="L66" s="263">
        <f t="shared" si="27"/>
        <v>0</v>
      </c>
      <c r="M66" s="264"/>
      <c r="N66" s="265">
        <f>Budget!$C$5</f>
        <v>36</v>
      </c>
      <c r="O66" s="266">
        <f t="shared" si="28"/>
        <v>0</v>
      </c>
      <c r="P66" s="260"/>
      <c r="Q66" s="260"/>
      <c r="R66" s="260"/>
      <c r="S66" s="267">
        <f>ROUND(IFERROR($O66/Budget!$I$5,0),2)</f>
        <v>0</v>
      </c>
      <c r="T66" s="250" t="b">
        <f t="shared" si="29"/>
        <v>1</v>
      </c>
    </row>
    <row r="67" s="221" customFormat="1">
      <c r="A67" s="252">
        <f t="shared" si="26"/>
        <v>59</v>
      </c>
      <c r="B67" s="253"/>
      <c r="C67" s="254"/>
      <c r="D67" s="255"/>
      <c r="E67" s="256"/>
      <c r="F67" s="257"/>
      <c r="G67" s="258"/>
      <c r="H67" s="259"/>
      <c r="I67" s="260"/>
      <c r="J67" s="261"/>
      <c r="K67" s="262"/>
      <c r="L67" s="263">
        <f t="shared" si="27"/>
        <v>0</v>
      </c>
      <c r="M67" s="264"/>
      <c r="N67" s="265">
        <f>Budget!$C$5</f>
        <v>36</v>
      </c>
      <c r="O67" s="266">
        <f t="shared" si="28"/>
        <v>0</v>
      </c>
      <c r="P67" s="260"/>
      <c r="Q67" s="260"/>
      <c r="R67" s="260"/>
      <c r="S67" s="267">
        <f>ROUND(IFERROR($O67/Budget!$I$5,0),2)</f>
        <v>0</v>
      </c>
      <c r="T67" s="250" t="b">
        <f t="shared" si="29"/>
        <v>1</v>
      </c>
    </row>
    <row r="68" s="221" customFormat="1">
      <c r="A68" s="252">
        <f t="shared" si="26"/>
        <v>60</v>
      </c>
      <c r="B68" s="253"/>
      <c r="C68" s="254"/>
      <c r="D68" s="255"/>
      <c r="E68" s="256"/>
      <c r="F68" s="257"/>
      <c r="G68" s="258"/>
      <c r="H68" s="259"/>
      <c r="I68" s="260"/>
      <c r="J68" s="261"/>
      <c r="K68" s="262"/>
      <c r="L68" s="263">
        <f t="shared" si="27"/>
        <v>0</v>
      </c>
      <c r="M68" s="264"/>
      <c r="N68" s="265">
        <f>Budget!$C$5</f>
        <v>36</v>
      </c>
      <c r="O68" s="266">
        <f t="shared" si="28"/>
        <v>0</v>
      </c>
      <c r="P68" s="260"/>
      <c r="Q68" s="260"/>
      <c r="R68" s="260"/>
      <c r="S68" s="267">
        <f>ROUND(IFERROR($O68/Budget!$I$5,0),2)</f>
        <v>0</v>
      </c>
      <c r="T68" s="250" t="b">
        <f t="shared" si="29"/>
        <v>1</v>
      </c>
    </row>
    <row r="69" s="221" customFormat="1">
      <c r="A69" s="252">
        <f t="shared" si="26"/>
        <v>61</v>
      </c>
      <c r="B69" s="253"/>
      <c r="C69" s="254"/>
      <c r="D69" s="255"/>
      <c r="E69" s="256"/>
      <c r="F69" s="257"/>
      <c r="G69" s="258"/>
      <c r="H69" s="259"/>
      <c r="I69" s="260"/>
      <c r="J69" s="261"/>
      <c r="K69" s="262"/>
      <c r="L69" s="263">
        <f t="shared" si="27"/>
        <v>0</v>
      </c>
      <c r="M69" s="264"/>
      <c r="N69" s="265">
        <f>Budget!$C$5</f>
        <v>36</v>
      </c>
      <c r="O69" s="266">
        <f t="shared" si="28"/>
        <v>0</v>
      </c>
      <c r="P69" s="260"/>
      <c r="Q69" s="260"/>
      <c r="R69" s="260"/>
      <c r="S69" s="267">
        <f>ROUND(IFERROR($O69/Budget!$I$5,0),2)</f>
        <v>0</v>
      </c>
      <c r="T69" s="250" t="b">
        <f t="shared" si="29"/>
        <v>1</v>
      </c>
    </row>
    <row r="70" s="221" customFormat="1">
      <c r="A70" s="252">
        <f t="shared" si="26"/>
        <v>62</v>
      </c>
      <c r="B70" s="253"/>
      <c r="C70" s="254"/>
      <c r="D70" s="255"/>
      <c r="E70" s="256"/>
      <c r="F70" s="257"/>
      <c r="G70" s="258"/>
      <c r="H70" s="259"/>
      <c r="I70" s="260"/>
      <c r="J70" s="261"/>
      <c r="K70" s="262"/>
      <c r="L70" s="263">
        <f t="shared" si="27"/>
        <v>0</v>
      </c>
      <c r="M70" s="264"/>
      <c r="N70" s="265">
        <f>Budget!$C$5</f>
        <v>36</v>
      </c>
      <c r="O70" s="266">
        <f t="shared" si="28"/>
        <v>0</v>
      </c>
      <c r="P70" s="260"/>
      <c r="Q70" s="260"/>
      <c r="R70" s="260"/>
      <c r="S70" s="267">
        <f>ROUND(IFERROR($O70/Budget!$I$5,0),2)</f>
        <v>0</v>
      </c>
      <c r="T70" s="250" t="b">
        <f t="shared" si="29"/>
        <v>1</v>
      </c>
    </row>
    <row r="71" s="221" customFormat="1">
      <c r="A71" s="252">
        <f t="shared" si="26"/>
        <v>63</v>
      </c>
      <c r="B71" s="253"/>
      <c r="C71" s="254"/>
      <c r="D71" s="255"/>
      <c r="E71" s="256"/>
      <c r="F71" s="257"/>
      <c r="G71" s="258"/>
      <c r="H71" s="259"/>
      <c r="I71" s="260"/>
      <c r="J71" s="261"/>
      <c r="K71" s="262"/>
      <c r="L71" s="263">
        <f t="shared" si="27"/>
        <v>0</v>
      </c>
      <c r="M71" s="264"/>
      <c r="N71" s="265">
        <f>Budget!$C$5</f>
        <v>36</v>
      </c>
      <c r="O71" s="266">
        <f t="shared" si="28"/>
        <v>0</v>
      </c>
      <c r="P71" s="260"/>
      <c r="Q71" s="260"/>
      <c r="R71" s="260"/>
      <c r="S71" s="267">
        <f>ROUND(IFERROR($O71/Budget!$I$5,0),2)</f>
        <v>0</v>
      </c>
      <c r="T71" s="250" t="b">
        <f t="shared" si="29"/>
        <v>1</v>
      </c>
    </row>
    <row r="72" s="221" customFormat="1">
      <c r="A72" s="252">
        <f t="shared" si="26"/>
        <v>64</v>
      </c>
      <c r="B72" s="253"/>
      <c r="C72" s="254"/>
      <c r="D72" s="255"/>
      <c r="E72" s="256"/>
      <c r="F72" s="257"/>
      <c r="G72" s="258"/>
      <c r="H72" s="259"/>
      <c r="I72" s="260"/>
      <c r="J72" s="261"/>
      <c r="K72" s="262"/>
      <c r="L72" s="263">
        <f t="shared" si="27"/>
        <v>0</v>
      </c>
      <c r="M72" s="264"/>
      <c r="N72" s="265">
        <f>Budget!$C$5</f>
        <v>36</v>
      </c>
      <c r="O72" s="266">
        <f t="shared" si="28"/>
        <v>0</v>
      </c>
      <c r="P72" s="260"/>
      <c r="Q72" s="260"/>
      <c r="R72" s="260"/>
      <c r="S72" s="267">
        <f>ROUND(IFERROR($O72/Budget!$I$5,0),2)</f>
        <v>0</v>
      </c>
      <c r="T72" s="250" t="b">
        <f t="shared" si="29"/>
        <v>1</v>
      </c>
    </row>
    <row r="73" s="221" customFormat="1">
      <c r="A73" s="252">
        <f t="shared" ref="A73:A136" si="30">IF(ROW()&lt;ROW($A$9),"",(ROW()-ROW($A$9)+1))</f>
        <v>65</v>
      </c>
      <c r="B73" s="253"/>
      <c r="C73" s="254"/>
      <c r="D73" s="255"/>
      <c r="E73" s="256"/>
      <c r="F73" s="257"/>
      <c r="G73" s="258"/>
      <c r="H73" s="259"/>
      <c r="I73" s="260"/>
      <c r="J73" s="261"/>
      <c r="K73" s="262"/>
      <c r="L73" s="263">
        <f t="shared" si="27"/>
        <v>0</v>
      </c>
      <c r="M73" s="264"/>
      <c r="N73" s="265">
        <f>Budget!$C$5</f>
        <v>36</v>
      </c>
      <c r="O73" s="266">
        <f t="shared" si="28"/>
        <v>0</v>
      </c>
      <c r="P73" s="260"/>
      <c r="Q73" s="260"/>
      <c r="R73" s="260"/>
      <c r="S73" s="267">
        <f>ROUND(IFERROR($O73/Budget!$I$5,0),2)</f>
        <v>0</v>
      </c>
      <c r="T73" s="250" t="b">
        <f t="shared" si="29"/>
        <v>1</v>
      </c>
    </row>
    <row r="74" s="221" customFormat="1">
      <c r="A74" s="252">
        <f t="shared" si="30"/>
        <v>66</v>
      </c>
      <c r="B74" s="253"/>
      <c r="C74" s="254"/>
      <c r="D74" s="255"/>
      <c r="E74" s="256"/>
      <c r="F74" s="257"/>
      <c r="G74" s="258"/>
      <c r="H74" s="259"/>
      <c r="I74" s="260"/>
      <c r="J74" s="261"/>
      <c r="K74" s="262"/>
      <c r="L74" s="263">
        <f t="shared" ref="L74:L137" si="31">IF($C74="",0,SUM($H74:$J74)*$G74*$E74+$K74)</f>
        <v>0</v>
      </c>
      <c r="M74" s="264"/>
      <c r="N74" s="265">
        <f>Budget!$C$5</f>
        <v>36</v>
      </c>
      <c r="O74" s="266">
        <f t="shared" ref="O74:O137" si="32">IF($C74=0,0,$L74/12*$N74*$M74)</f>
        <v>0</v>
      </c>
      <c r="P74" s="260"/>
      <c r="Q74" s="260"/>
      <c r="R74" s="260"/>
      <c r="S74" s="267">
        <f>ROUND(IFERROR($O74/Budget!$I$5,0),2)</f>
        <v>0</v>
      </c>
      <c r="T74" s="250" t="b">
        <f t="shared" ref="T74:T137" si="33">$O74=(SUM($P74:$R74))</f>
        <v>1</v>
      </c>
    </row>
    <row r="75" s="221" customFormat="1">
      <c r="A75" s="252">
        <f t="shared" si="30"/>
        <v>67</v>
      </c>
      <c r="B75" s="253"/>
      <c r="C75" s="254"/>
      <c r="D75" s="255"/>
      <c r="E75" s="256"/>
      <c r="F75" s="257"/>
      <c r="G75" s="258"/>
      <c r="H75" s="259"/>
      <c r="I75" s="260"/>
      <c r="J75" s="261"/>
      <c r="K75" s="262"/>
      <c r="L75" s="263">
        <f t="shared" si="31"/>
        <v>0</v>
      </c>
      <c r="M75" s="264"/>
      <c r="N75" s="265">
        <f>Budget!$C$5</f>
        <v>36</v>
      </c>
      <c r="O75" s="266">
        <f t="shared" si="32"/>
        <v>0</v>
      </c>
      <c r="P75" s="260"/>
      <c r="Q75" s="260"/>
      <c r="R75" s="260"/>
      <c r="S75" s="267">
        <f>ROUND(IFERROR($O75/Budget!$I$5,0),2)</f>
        <v>0</v>
      </c>
      <c r="T75" s="250" t="b">
        <f t="shared" si="33"/>
        <v>1</v>
      </c>
    </row>
    <row r="76" s="221" customFormat="1">
      <c r="A76" s="252">
        <f t="shared" si="30"/>
        <v>68</v>
      </c>
      <c r="B76" s="253"/>
      <c r="C76" s="254"/>
      <c r="D76" s="255"/>
      <c r="E76" s="256"/>
      <c r="F76" s="257"/>
      <c r="G76" s="258"/>
      <c r="H76" s="259"/>
      <c r="I76" s="260"/>
      <c r="J76" s="261"/>
      <c r="K76" s="262"/>
      <c r="L76" s="263">
        <f t="shared" si="31"/>
        <v>0</v>
      </c>
      <c r="M76" s="264"/>
      <c r="N76" s="265">
        <f>Budget!$C$5</f>
        <v>36</v>
      </c>
      <c r="O76" s="266">
        <f t="shared" si="32"/>
        <v>0</v>
      </c>
      <c r="P76" s="260"/>
      <c r="Q76" s="260"/>
      <c r="R76" s="260"/>
      <c r="S76" s="267">
        <f>ROUND(IFERROR($O76/Budget!$I$5,0),2)</f>
        <v>0</v>
      </c>
      <c r="T76" s="250" t="b">
        <f t="shared" si="33"/>
        <v>1</v>
      </c>
    </row>
    <row r="77" s="221" customFormat="1">
      <c r="A77" s="252">
        <f t="shared" si="30"/>
        <v>69</v>
      </c>
      <c r="B77" s="253"/>
      <c r="C77" s="254"/>
      <c r="D77" s="255"/>
      <c r="E77" s="256"/>
      <c r="F77" s="257"/>
      <c r="G77" s="258"/>
      <c r="H77" s="259"/>
      <c r="I77" s="260"/>
      <c r="J77" s="261"/>
      <c r="K77" s="262"/>
      <c r="L77" s="263">
        <f t="shared" si="31"/>
        <v>0</v>
      </c>
      <c r="M77" s="264"/>
      <c r="N77" s="265">
        <f>Budget!$C$5</f>
        <v>36</v>
      </c>
      <c r="O77" s="266">
        <f t="shared" si="32"/>
        <v>0</v>
      </c>
      <c r="P77" s="260"/>
      <c r="Q77" s="260"/>
      <c r="R77" s="260"/>
      <c r="S77" s="267">
        <f>ROUND(IFERROR($O77/Budget!$I$5,0),2)</f>
        <v>0</v>
      </c>
      <c r="T77" s="250" t="b">
        <f t="shared" si="33"/>
        <v>1</v>
      </c>
    </row>
    <row r="78" s="221" customFormat="1">
      <c r="A78" s="252">
        <f t="shared" si="30"/>
        <v>70</v>
      </c>
      <c r="B78" s="253"/>
      <c r="C78" s="254"/>
      <c r="D78" s="255"/>
      <c r="E78" s="256"/>
      <c r="F78" s="257"/>
      <c r="G78" s="258"/>
      <c r="H78" s="259"/>
      <c r="I78" s="260"/>
      <c r="J78" s="261"/>
      <c r="K78" s="262"/>
      <c r="L78" s="263">
        <f t="shared" si="31"/>
        <v>0</v>
      </c>
      <c r="M78" s="264"/>
      <c r="N78" s="265">
        <f>Budget!$C$5</f>
        <v>36</v>
      </c>
      <c r="O78" s="266">
        <f t="shared" si="32"/>
        <v>0</v>
      </c>
      <c r="P78" s="260"/>
      <c r="Q78" s="260"/>
      <c r="R78" s="260"/>
      <c r="S78" s="267">
        <f>ROUND(IFERROR($O78/Budget!$I$5,0),2)</f>
        <v>0</v>
      </c>
      <c r="T78" s="250" t="b">
        <f t="shared" si="33"/>
        <v>1</v>
      </c>
    </row>
    <row r="79" s="221" customFormat="1">
      <c r="A79" s="252">
        <f t="shared" si="30"/>
        <v>71</v>
      </c>
      <c r="B79" s="253"/>
      <c r="C79" s="254"/>
      <c r="D79" s="255"/>
      <c r="E79" s="256"/>
      <c r="F79" s="257"/>
      <c r="G79" s="258"/>
      <c r="H79" s="259"/>
      <c r="I79" s="260"/>
      <c r="J79" s="261"/>
      <c r="K79" s="262"/>
      <c r="L79" s="263">
        <f t="shared" si="31"/>
        <v>0</v>
      </c>
      <c r="M79" s="264"/>
      <c r="N79" s="265">
        <f>Budget!$C$5</f>
        <v>36</v>
      </c>
      <c r="O79" s="266">
        <f t="shared" si="32"/>
        <v>0</v>
      </c>
      <c r="P79" s="260"/>
      <c r="Q79" s="260"/>
      <c r="R79" s="260"/>
      <c r="S79" s="267">
        <f>ROUND(IFERROR($O79/Budget!$I$5,0),2)</f>
        <v>0</v>
      </c>
      <c r="T79" s="250" t="b">
        <f t="shared" si="33"/>
        <v>1</v>
      </c>
    </row>
    <row r="80" s="221" customFormat="1">
      <c r="A80" s="252">
        <f t="shared" si="30"/>
        <v>72</v>
      </c>
      <c r="B80" s="253"/>
      <c r="C80" s="254"/>
      <c r="D80" s="255"/>
      <c r="E80" s="256"/>
      <c r="F80" s="257"/>
      <c r="G80" s="258"/>
      <c r="H80" s="259"/>
      <c r="I80" s="260"/>
      <c r="J80" s="261"/>
      <c r="K80" s="262"/>
      <c r="L80" s="263">
        <f t="shared" si="31"/>
        <v>0</v>
      </c>
      <c r="M80" s="264"/>
      <c r="N80" s="265">
        <f>Budget!$C$5</f>
        <v>36</v>
      </c>
      <c r="O80" s="266">
        <f t="shared" si="32"/>
        <v>0</v>
      </c>
      <c r="P80" s="260"/>
      <c r="Q80" s="260"/>
      <c r="R80" s="260"/>
      <c r="S80" s="267">
        <f>ROUND(IFERROR($O80/Budget!$I$5,0),2)</f>
        <v>0</v>
      </c>
      <c r="T80" s="250" t="b">
        <f t="shared" si="33"/>
        <v>1</v>
      </c>
    </row>
    <row r="81" s="221" customFormat="1">
      <c r="A81" s="252">
        <f t="shared" si="30"/>
        <v>73</v>
      </c>
      <c r="B81" s="253"/>
      <c r="C81" s="254"/>
      <c r="D81" s="255"/>
      <c r="E81" s="256"/>
      <c r="F81" s="257"/>
      <c r="G81" s="258"/>
      <c r="H81" s="259"/>
      <c r="I81" s="260"/>
      <c r="J81" s="261"/>
      <c r="K81" s="262"/>
      <c r="L81" s="263">
        <f t="shared" si="31"/>
        <v>0</v>
      </c>
      <c r="M81" s="264"/>
      <c r="N81" s="265">
        <f>Budget!$C$5</f>
        <v>36</v>
      </c>
      <c r="O81" s="266">
        <f t="shared" si="32"/>
        <v>0</v>
      </c>
      <c r="P81" s="260"/>
      <c r="Q81" s="260"/>
      <c r="R81" s="260"/>
      <c r="S81" s="267">
        <f>ROUND(IFERROR($O81/Budget!$I$5,0),2)</f>
        <v>0</v>
      </c>
      <c r="T81" s="250" t="b">
        <f t="shared" si="33"/>
        <v>1</v>
      </c>
    </row>
    <row r="82" s="221" customFormat="1">
      <c r="A82" s="252">
        <f t="shared" si="30"/>
        <v>74</v>
      </c>
      <c r="B82" s="253"/>
      <c r="C82" s="254"/>
      <c r="D82" s="255"/>
      <c r="E82" s="256"/>
      <c r="F82" s="257"/>
      <c r="G82" s="258"/>
      <c r="H82" s="259"/>
      <c r="I82" s="260"/>
      <c r="J82" s="261"/>
      <c r="K82" s="262"/>
      <c r="L82" s="263">
        <f t="shared" si="31"/>
        <v>0</v>
      </c>
      <c r="M82" s="264"/>
      <c r="N82" s="265">
        <f>Budget!$C$5</f>
        <v>36</v>
      </c>
      <c r="O82" s="266">
        <f t="shared" si="32"/>
        <v>0</v>
      </c>
      <c r="P82" s="260"/>
      <c r="Q82" s="260"/>
      <c r="R82" s="260"/>
      <c r="S82" s="267">
        <f>ROUND(IFERROR($O82/Budget!$I$5,0),2)</f>
        <v>0</v>
      </c>
      <c r="T82" s="250" t="b">
        <f t="shared" si="33"/>
        <v>1</v>
      </c>
    </row>
    <row r="83" s="221" customFormat="1">
      <c r="A83" s="252">
        <f t="shared" si="30"/>
        <v>75</v>
      </c>
      <c r="B83" s="253"/>
      <c r="C83" s="254"/>
      <c r="D83" s="255"/>
      <c r="E83" s="256"/>
      <c r="F83" s="257"/>
      <c r="G83" s="258"/>
      <c r="H83" s="259"/>
      <c r="I83" s="260"/>
      <c r="J83" s="261"/>
      <c r="K83" s="262"/>
      <c r="L83" s="263">
        <f t="shared" si="31"/>
        <v>0</v>
      </c>
      <c r="M83" s="264"/>
      <c r="N83" s="265">
        <f>Budget!$C$5</f>
        <v>36</v>
      </c>
      <c r="O83" s="266">
        <f t="shared" si="32"/>
        <v>0</v>
      </c>
      <c r="P83" s="260"/>
      <c r="Q83" s="260"/>
      <c r="R83" s="260"/>
      <c r="S83" s="267">
        <f>ROUND(IFERROR($O83/Budget!$I$5,0),2)</f>
        <v>0</v>
      </c>
      <c r="T83" s="250" t="b">
        <f t="shared" si="33"/>
        <v>1</v>
      </c>
    </row>
    <row r="84" s="221" customFormat="1">
      <c r="A84" s="252">
        <f t="shared" si="30"/>
        <v>76</v>
      </c>
      <c r="B84" s="253"/>
      <c r="C84" s="254"/>
      <c r="D84" s="255"/>
      <c r="E84" s="256"/>
      <c r="F84" s="257"/>
      <c r="G84" s="258"/>
      <c r="H84" s="259"/>
      <c r="I84" s="260"/>
      <c r="J84" s="261"/>
      <c r="K84" s="262"/>
      <c r="L84" s="263">
        <f t="shared" si="31"/>
        <v>0</v>
      </c>
      <c r="M84" s="264"/>
      <c r="N84" s="265">
        <f>Budget!$C$5</f>
        <v>36</v>
      </c>
      <c r="O84" s="266">
        <f t="shared" si="32"/>
        <v>0</v>
      </c>
      <c r="P84" s="260"/>
      <c r="Q84" s="260"/>
      <c r="R84" s="260"/>
      <c r="S84" s="267">
        <f>ROUND(IFERROR($O84/Budget!$I$5,0),2)</f>
        <v>0</v>
      </c>
      <c r="T84" s="250" t="b">
        <f t="shared" si="33"/>
        <v>1</v>
      </c>
    </row>
    <row r="85" s="221" customFormat="1">
      <c r="A85" s="252">
        <f t="shared" si="30"/>
        <v>77</v>
      </c>
      <c r="B85" s="253"/>
      <c r="C85" s="254"/>
      <c r="D85" s="255"/>
      <c r="E85" s="256"/>
      <c r="F85" s="257"/>
      <c r="G85" s="258"/>
      <c r="H85" s="259"/>
      <c r="I85" s="260"/>
      <c r="J85" s="261"/>
      <c r="K85" s="262"/>
      <c r="L85" s="263">
        <f t="shared" si="31"/>
        <v>0</v>
      </c>
      <c r="M85" s="264"/>
      <c r="N85" s="265">
        <f>Budget!$C$5</f>
        <v>36</v>
      </c>
      <c r="O85" s="266">
        <f t="shared" si="32"/>
        <v>0</v>
      </c>
      <c r="P85" s="260"/>
      <c r="Q85" s="260"/>
      <c r="R85" s="260"/>
      <c r="S85" s="267">
        <f>ROUND(IFERROR($O85/Budget!$I$5,0),2)</f>
        <v>0</v>
      </c>
      <c r="T85" s="250" t="b">
        <f t="shared" si="33"/>
        <v>1</v>
      </c>
    </row>
    <row r="86" s="221" customFormat="1">
      <c r="A86" s="252">
        <f t="shared" si="30"/>
        <v>78</v>
      </c>
      <c r="B86" s="253"/>
      <c r="C86" s="254"/>
      <c r="D86" s="255"/>
      <c r="E86" s="256"/>
      <c r="F86" s="257"/>
      <c r="G86" s="258"/>
      <c r="H86" s="259"/>
      <c r="I86" s="260"/>
      <c r="J86" s="261"/>
      <c r="K86" s="262"/>
      <c r="L86" s="263">
        <f t="shared" si="31"/>
        <v>0</v>
      </c>
      <c r="M86" s="264"/>
      <c r="N86" s="265">
        <f>Budget!$C$5</f>
        <v>36</v>
      </c>
      <c r="O86" s="266">
        <f t="shared" si="32"/>
        <v>0</v>
      </c>
      <c r="P86" s="260"/>
      <c r="Q86" s="260"/>
      <c r="R86" s="260"/>
      <c r="S86" s="267">
        <f>ROUND(IFERROR($O86/Budget!$I$5,0),2)</f>
        <v>0</v>
      </c>
      <c r="T86" s="250" t="b">
        <f t="shared" si="33"/>
        <v>1</v>
      </c>
    </row>
    <row r="87" s="221" customFormat="1">
      <c r="A87" s="252">
        <f t="shared" si="30"/>
        <v>79</v>
      </c>
      <c r="B87" s="253"/>
      <c r="C87" s="254"/>
      <c r="D87" s="255"/>
      <c r="E87" s="256"/>
      <c r="F87" s="257"/>
      <c r="G87" s="258"/>
      <c r="H87" s="259"/>
      <c r="I87" s="260"/>
      <c r="J87" s="261"/>
      <c r="K87" s="262"/>
      <c r="L87" s="263">
        <f t="shared" si="31"/>
        <v>0</v>
      </c>
      <c r="M87" s="264"/>
      <c r="N87" s="265">
        <f>Budget!$C$5</f>
        <v>36</v>
      </c>
      <c r="O87" s="266">
        <f t="shared" si="32"/>
        <v>0</v>
      </c>
      <c r="P87" s="260"/>
      <c r="Q87" s="260"/>
      <c r="R87" s="260"/>
      <c r="S87" s="267">
        <f>ROUND(IFERROR($O87/Budget!$I$5,0),2)</f>
        <v>0</v>
      </c>
      <c r="T87" s="250" t="b">
        <f t="shared" si="33"/>
        <v>1</v>
      </c>
    </row>
    <row r="88" s="221" customFormat="1">
      <c r="A88" s="252">
        <f t="shared" si="30"/>
        <v>80</v>
      </c>
      <c r="B88" s="253"/>
      <c r="C88" s="254"/>
      <c r="D88" s="255"/>
      <c r="E88" s="256"/>
      <c r="F88" s="257"/>
      <c r="G88" s="258"/>
      <c r="H88" s="259"/>
      <c r="I88" s="260"/>
      <c r="J88" s="261"/>
      <c r="K88" s="262"/>
      <c r="L88" s="263">
        <f t="shared" si="31"/>
        <v>0</v>
      </c>
      <c r="M88" s="264"/>
      <c r="N88" s="265">
        <f>Budget!$C$5</f>
        <v>36</v>
      </c>
      <c r="O88" s="266">
        <f t="shared" si="32"/>
        <v>0</v>
      </c>
      <c r="P88" s="260"/>
      <c r="Q88" s="260"/>
      <c r="R88" s="260"/>
      <c r="S88" s="267">
        <f>ROUND(IFERROR($O88/Budget!$I$5,0),2)</f>
        <v>0</v>
      </c>
      <c r="T88" s="250" t="b">
        <f t="shared" si="33"/>
        <v>1</v>
      </c>
    </row>
    <row r="89" s="221" customFormat="1">
      <c r="A89" s="252">
        <f t="shared" si="30"/>
        <v>81</v>
      </c>
      <c r="B89" s="253"/>
      <c r="C89" s="254"/>
      <c r="D89" s="255"/>
      <c r="E89" s="256"/>
      <c r="F89" s="257"/>
      <c r="G89" s="258"/>
      <c r="H89" s="259"/>
      <c r="I89" s="260"/>
      <c r="J89" s="261"/>
      <c r="K89" s="262"/>
      <c r="L89" s="263">
        <f t="shared" si="31"/>
        <v>0</v>
      </c>
      <c r="M89" s="264"/>
      <c r="N89" s="265">
        <f>Budget!$C$5</f>
        <v>36</v>
      </c>
      <c r="O89" s="266">
        <f t="shared" si="32"/>
        <v>0</v>
      </c>
      <c r="P89" s="260"/>
      <c r="Q89" s="260"/>
      <c r="R89" s="260"/>
      <c r="S89" s="267">
        <f>ROUND(IFERROR($O89/Budget!$I$5,0),2)</f>
        <v>0</v>
      </c>
      <c r="T89" s="250" t="b">
        <f t="shared" si="33"/>
        <v>1</v>
      </c>
    </row>
    <row r="90" s="221" customFormat="1">
      <c r="A90" s="252">
        <f t="shared" si="30"/>
        <v>82</v>
      </c>
      <c r="B90" s="253"/>
      <c r="C90" s="254"/>
      <c r="D90" s="255"/>
      <c r="E90" s="256"/>
      <c r="F90" s="257"/>
      <c r="G90" s="258"/>
      <c r="H90" s="259"/>
      <c r="I90" s="260"/>
      <c r="J90" s="261"/>
      <c r="K90" s="262"/>
      <c r="L90" s="263">
        <f t="shared" si="31"/>
        <v>0</v>
      </c>
      <c r="M90" s="264"/>
      <c r="N90" s="265">
        <f>Budget!$C$5</f>
        <v>36</v>
      </c>
      <c r="O90" s="266">
        <f t="shared" si="32"/>
        <v>0</v>
      </c>
      <c r="P90" s="260"/>
      <c r="Q90" s="260"/>
      <c r="R90" s="260"/>
      <c r="S90" s="267">
        <f>ROUND(IFERROR($O90/Budget!$I$5,0),2)</f>
        <v>0</v>
      </c>
      <c r="T90" s="250" t="b">
        <f t="shared" si="33"/>
        <v>1</v>
      </c>
    </row>
    <row r="91" s="221" customFormat="1">
      <c r="A91" s="252">
        <f t="shared" si="30"/>
        <v>83</v>
      </c>
      <c r="B91" s="253"/>
      <c r="C91" s="254"/>
      <c r="D91" s="255"/>
      <c r="E91" s="256"/>
      <c r="F91" s="257"/>
      <c r="G91" s="258"/>
      <c r="H91" s="259"/>
      <c r="I91" s="260"/>
      <c r="J91" s="261"/>
      <c r="K91" s="262"/>
      <c r="L91" s="263">
        <f t="shared" si="31"/>
        <v>0</v>
      </c>
      <c r="M91" s="264"/>
      <c r="N91" s="265">
        <f>Budget!$C$5</f>
        <v>36</v>
      </c>
      <c r="O91" s="266">
        <f t="shared" si="32"/>
        <v>0</v>
      </c>
      <c r="P91" s="260"/>
      <c r="Q91" s="260"/>
      <c r="R91" s="260"/>
      <c r="S91" s="267">
        <f>ROUND(IFERROR($O91/Budget!$I$5,0),2)</f>
        <v>0</v>
      </c>
      <c r="T91" s="250" t="b">
        <f t="shared" si="33"/>
        <v>1</v>
      </c>
    </row>
    <row r="92" s="221" customFormat="1">
      <c r="A92" s="252">
        <f t="shared" si="30"/>
        <v>84</v>
      </c>
      <c r="B92" s="253"/>
      <c r="C92" s="254"/>
      <c r="D92" s="255"/>
      <c r="E92" s="256"/>
      <c r="F92" s="257"/>
      <c r="G92" s="258"/>
      <c r="H92" s="259"/>
      <c r="I92" s="260"/>
      <c r="J92" s="261"/>
      <c r="K92" s="262"/>
      <c r="L92" s="263">
        <f t="shared" si="31"/>
        <v>0</v>
      </c>
      <c r="M92" s="264"/>
      <c r="N92" s="265">
        <f>Budget!$C$5</f>
        <v>36</v>
      </c>
      <c r="O92" s="266">
        <f t="shared" si="32"/>
        <v>0</v>
      </c>
      <c r="P92" s="260"/>
      <c r="Q92" s="260"/>
      <c r="R92" s="260"/>
      <c r="S92" s="267">
        <f>ROUND(IFERROR($O92/Budget!$I$5,0),2)</f>
        <v>0</v>
      </c>
      <c r="T92" s="250" t="b">
        <f t="shared" si="33"/>
        <v>1</v>
      </c>
    </row>
    <row r="93" s="221" customFormat="1">
      <c r="A93" s="252">
        <f t="shared" si="30"/>
        <v>85</v>
      </c>
      <c r="B93" s="253"/>
      <c r="C93" s="254"/>
      <c r="D93" s="255"/>
      <c r="E93" s="256"/>
      <c r="F93" s="257"/>
      <c r="G93" s="258"/>
      <c r="H93" s="259"/>
      <c r="I93" s="260"/>
      <c r="J93" s="261"/>
      <c r="K93" s="262"/>
      <c r="L93" s="263">
        <f t="shared" si="31"/>
        <v>0</v>
      </c>
      <c r="M93" s="264"/>
      <c r="N93" s="265">
        <f>Budget!$C$5</f>
        <v>36</v>
      </c>
      <c r="O93" s="266">
        <f t="shared" si="32"/>
        <v>0</v>
      </c>
      <c r="P93" s="260"/>
      <c r="Q93" s="260"/>
      <c r="R93" s="260"/>
      <c r="S93" s="267">
        <f>ROUND(IFERROR($O93/Budget!$I$5,0),2)</f>
        <v>0</v>
      </c>
      <c r="T93" s="250" t="b">
        <f t="shared" si="33"/>
        <v>1</v>
      </c>
    </row>
    <row r="94" s="221" customFormat="1">
      <c r="A94" s="252">
        <f t="shared" si="30"/>
        <v>86</v>
      </c>
      <c r="B94" s="253"/>
      <c r="C94" s="254"/>
      <c r="D94" s="255"/>
      <c r="E94" s="256"/>
      <c r="F94" s="257"/>
      <c r="G94" s="258"/>
      <c r="H94" s="259"/>
      <c r="I94" s="260"/>
      <c r="J94" s="261"/>
      <c r="K94" s="262"/>
      <c r="L94" s="263">
        <f t="shared" si="31"/>
        <v>0</v>
      </c>
      <c r="M94" s="264"/>
      <c r="N94" s="265">
        <f>Budget!$C$5</f>
        <v>36</v>
      </c>
      <c r="O94" s="266">
        <f t="shared" si="32"/>
        <v>0</v>
      </c>
      <c r="P94" s="260"/>
      <c r="Q94" s="260"/>
      <c r="R94" s="260"/>
      <c r="S94" s="267">
        <f>ROUND(IFERROR($O94/Budget!$I$5,0),2)</f>
        <v>0</v>
      </c>
      <c r="T94" s="250" t="b">
        <f t="shared" si="33"/>
        <v>1</v>
      </c>
    </row>
    <row r="95" s="221" customFormat="1">
      <c r="A95" s="252">
        <f t="shared" si="30"/>
        <v>87</v>
      </c>
      <c r="B95" s="253"/>
      <c r="C95" s="254"/>
      <c r="D95" s="255"/>
      <c r="E95" s="256"/>
      <c r="F95" s="257"/>
      <c r="G95" s="258"/>
      <c r="H95" s="259"/>
      <c r="I95" s="260"/>
      <c r="J95" s="261"/>
      <c r="K95" s="262"/>
      <c r="L95" s="263">
        <f t="shared" si="31"/>
        <v>0</v>
      </c>
      <c r="M95" s="264"/>
      <c r="N95" s="265">
        <f>Budget!$C$5</f>
        <v>36</v>
      </c>
      <c r="O95" s="266">
        <f t="shared" si="32"/>
        <v>0</v>
      </c>
      <c r="P95" s="260"/>
      <c r="Q95" s="260"/>
      <c r="R95" s="260"/>
      <c r="S95" s="267">
        <f>ROUND(IFERROR($O95/Budget!$I$5,0),2)</f>
        <v>0</v>
      </c>
      <c r="T95" s="250" t="b">
        <f t="shared" si="33"/>
        <v>1</v>
      </c>
    </row>
    <row r="96" s="221" customFormat="1">
      <c r="A96" s="252">
        <f t="shared" si="30"/>
        <v>88</v>
      </c>
      <c r="B96" s="253"/>
      <c r="C96" s="254"/>
      <c r="D96" s="255"/>
      <c r="E96" s="256"/>
      <c r="F96" s="257"/>
      <c r="G96" s="258"/>
      <c r="H96" s="259"/>
      <c r="I96" s="260"/>
      <c r="J96" s="261"/>
      <c r="K96" s="262"/>
      <c r="L96" s="263">
        <f t="shared" si="31"/>
        <v>0</v>
      </c>
      <c r="M96" s="264"/>
      <c r="N96" s="265">
        <f>Budget!$C$5</f>
        <v>36</v>
      </c>
      <c r="O96" s="266">
        <f t="shared" si="32"/>
        <v>0</v>
      </c>
      <c r="P96" s="260"/>
      <c r="Q96" s="260"/>
      <c r="R96" s="260"/>
      <c r="S96" s="267">
        <f>ROUND(IFERROR($O96/Budget!$I$5,0),2)</f>
        <v>0</v>
      </c>
      <c r="T96" s="250" t="b">
        <f t="shared" si="33"/>
        <v>1</v>
      </c>
    </row>
    <row r="97" s="221" customFormat="1">
      <c r="A97" s="252">
        <f t="shared" si="30"/>
        <v>89</v>
      </c>
      <c r="B97" s="253"/>
      <c r="C97" s="254"/>
      <c r="D97" s="255"/>
      <c r="E97" s="256"/>
      <c r="F97" s="257"/>
      <c r="G97" s="258"/>
      <c r="H97" s="259"/>
      <c r="I97" s="260"/>
      <c r="J97" s="261"/>
      <c r="K97" s="262"/>
      <c r="L97" s="263">
        <f t="shared" si="31"/>
        <v>0</v>
      </c>
      <c r="M97" s="264"/>
      <c r="N97" s="265">
        <f>Budget!$C$5</f>
        <v>36</v>
      </c>
      <c r="O97" s="266">
        <f t="shared" si="32"/>
        <v>0</v>
      </c>
      <c r="P97" s="260"/>
      <c r="Q97" s="260"/>
      <c r="R97" s="260"/>
      <c r="S97" s="267">
        <f>ROUND(IFERROR($O97/Budget!$I$5,0),2)</f>
        <v>0</v>
      </c>
      <c r="T97" s="250" t="b">
        <f t="shared" si="33"/>
        <v>1</v>
      </c>
    </row>
    <row r="98" s="221" customFormat="1">
      <c r="A98" s="252">
        <f t="shared" si="30"/>
        <v>90</v>
      </c>
      <c r="B98" s="253"/>
      <c r="C98" s="254"/>
      <c r="D98" s="255"/>
      <c r="E98" s="256"/>
      <c r="F98" s="257"/>
      <c r="G98" s="258"/>
      <c r="H98" s="259"/>
      <c r="I98" s="260"/>
      <c r="J98" s="261"/>
      <c r="K98" s="262"/>
      <c r="L98" s="263">
        <f t="shared" si="31"/>
        <v>0</v>
      </c>
      <c r="M98" s="264"/>
      <c r="N98" s="265">
        <f>Budget!$C$5</f>
        <v>36</v>
      </c>
      <c r="O98" s="266">
        <f t="shared" si="32"/>
        <v>0</v>
      </c>
      <c r="P98" s="260"/>
      <c r="Q98" s="260"/>
      <c r="R98" s="260"/>
      <c r="S98" s="267">
        <f>ROUND(IFERROR($O98/Budget!$I$5,0),2)</f>
        <v>0</v>
      </c>
      <c r="T98" s="250" t="b">
        <f t="shared" si="33"/>
        <v>1</v>
      </c>
    </row>
    <row r="99" s="221" customFormat="1">
      <c r="A99" s="252">
        <f t="shared" si="30"/>
        <v>91</v>
      </c>
      <c r="B99" s="253"/>
      <c r="C99" s="254"/>
      <c r="D99" s="255"/>
      <c r="E99" s="256"/>
      <c r="F99" s="257"/>
      <c r="G99" s="258"/>
      <c r="H99" s="259"/>
      <c r="I99" s="260"/>
      <c r="J99" s="261"/>
      <c r="K99" s="262"/>
      <c r="L99" s="263">
        <f t="shared" si="31"/>
        <v>0</v>
      </c>
      <c r="M99" s="264"/>
      <c r="N99" s="265">
        <f>Budget!$C$5</f>
        <v>36</v>
      </c>
      <c r="O99" s="266">
        <f t="shared" si="32"/>
        <v>0</v>
      </c>
      <c r="P99" s="260"/>
      <c r="Q99" s="260"/>
      <c r="R99" s="260"/>
      <c r="S99" s="267">
        <f>ROUND(IFERROR($O99/Budget!$I$5,0),2)</f>
        <v>0</v>
      </c>
      <c r="T99" s="250" t="b">
        <f t="shared" si="33"/>
        <v>1</v>
      </c>
    </row>
    <row r="100" s="221" customFormat="1">
      <c r="A100" s="252">
        <f t="shared" si="30"/>
        <v>92</v>
      </c>
      <c r="B100" s="253"/>
      <c r="C100" s="254"/>
      <c r="D100" s="255"/>
      <c r="E100" s="256"/>
      <c r="F100" s="257"/>
      <c r="G100" s="258"/>
      <c r="H100" s="259"/>
      <c r="I100" s="260"/>
      <c r="J100" s="261"/>
      <c r="K100" s="262"/>
      <c r="L100" s="263">
        <f t="shared" si="31"/>
        <v>0</v>
      </c>
      <c r="M100" s="264"/>
      <c r="N100" s="265">
        <f>Budget!$C$5</f>
        <v>36</v>
      </c>
      <c r="O100" s="266">
        <f t="shared" si="32"/>
        <v>0</v>
      </c>
      <c r="P100" s="260"/>
      <c r="Q100" s="260"/>
      <c r="R100" s="260"/>
      <c r="S100" s="267">
        <f>ROUND(IFERROR($O100/Budget!$I$5,0),2)</f>
        <v>0</v>
      </c>
      <c r="T100" s="250" t="b">
        <f t="shared" si="33"/>
        <v>1</v>
      </c>
    </row>
    <row r="101" s="221" customFormat="1">
      <c r="A101" s="252">
        <f t="shared" si="30"/>
        <v>93</v>
      </c>
      <c r="B101" s="253"/>
      <c r="C101" s="254"/>
      <c r="D101" s="255"/>
      <c r="E101" s="256"/>
      <c r="F101" s="257"/>
      <c r="G101" s="258"/>
      <c r="H101" s="259"/>
      <c r="I101" s="260"/>
      <c r="J101" s="261"/>
      <c r="K101" s="262"/>
      <c r="L101" s="263">
        <f t="shared" si="31"/>
        <v>0</v>
      </c>
      <c r="M101" s="264"/>
      <c r="N101" s="265">
        <f>Budget!$C$5</f>
        <v>36</v>
      </c>
      <c r="O101" s="266">
        <f t="shared" si="32"/>
        <v>0</v>
      </c>
      <c r="P101" s="260"/>
      <c r="Q101" s="260"/>
      <c r="R101" s="260"/>
      <c r="S101" s="267">
        <f>ROUND(IFERROR($O101/Budget!$I$5,0),2)</f>
        <v>0</v>
      </c>
      <c r="T101" s="250" t="b">
        <f t="shared" si="33"/>
        <v>1</v>
      </c>
    </row>
    <row r="102" s="221" customFormat="1">
      <c r="A102" s="252">
        <f t="shared" si="30"/>
        <v>94</v>
      </c>
      <c r="B102" s="253"/>
      <c r="C102" s="254"/>
      <c r="D102" s="255"/>
      <c r="E102" s="256"/>
      <c r="F102" s="257"/>
      <c r="G102" s="258"/>
      <c r="H102" s="259"/>
      <c r="I102" s="260"/>
      <c r="J102" s="261"/>
      <c r="K102" s="262"/>
      <c r="L102" s="263">
        <f t="shared" si="31"/>
        <v>0</v>
      </c>
      <c r="M102" s="264"/>
      <c r="N102" s="265">
        <f>Budget!$C$5</f>
        <v>36</v>
      </c>
      <c r="O102" s="266">
        <f t="shared" si="32"/>
        <v>0</v>
      </c>
      <c r="P102" s="260"/>
      <c r="Q102" s="260"/>
      <c r="R102" s="260"/>
      <c r="S102" s="267">
        <f>ROUND(IFERROR($O102/Budget!$I$5,0),2)</f>
        <v>0</v>
      </c>
      <c r="T102" s="250" t="b">
        <f t="shared" si="33"/>
        <v>1</v>
      </c>
    </row>
    <row r="103" s="221" customFormat="1">
      <c r="A103" s="252">
        <f t="shared" si="30"/>
        <v>95</v>
      </c>
      <c r="B103" s="253"/>
      <c r="C103" s="254"/>
      <c r="D103" s="255"/>
      <c r="E103" s="256"/>
      <c r="F103" s="257"/>
      <c r="G103" s="258"/>
      <c r="H103" s="259"/>
      <c r="I103" s="260"/>
      <c r="J103" s="261"/>
      <c r="K103" s="262"/>
      <c r="L103" s="263">
        <f t="shared" si="31"/>
        <v>0</v>
      </c>
      <c r="M103" s="264"/>
      <c r="N103" s="265">
        <f>Budget!$C$5</f>
        <v>36</v>
      </c>
      <c r="O103" s="266">
        <f t="shared" si="32"/>
        <v>0</v>
      </c>
      <c r="P103" s="260"/>
      <c r="Q103" s="260"/>
      <c r="R103" s="260"/>
      <c r="S103" s="267">
        <f>ROUND(IFERROR($O103/Budget!$I$5,0),2)</f>
        <v>0</v>
      </c>
      <c r="T103" s="250" t="b">
        <f t="shared" si="33"/>
        <v>1</v>
      </c>
    </row>
    <row r="104" s="221" customFormat="1">
      <c r="A104" s="252">
        <f t="shared" si="30"/>
        <v>96</v>
      </c>
      <c r="B104" s="253"/>
      <c r="C104" s="254"/>
      <c r="D104" s="255"/>
      <c r="E104" s="256"/>
      <c r="F104" s="257"/>
      <c r="G104" s="258"/>
      <c r="H104" s="259"/>
      <c r="I104" s="260"/>
      <c r="J104" s="261"/>
      <c r="K104" s="262"/>
      <c r="L104" s="263">
        <f t="shared" si="31"/>
        <v>0</v>
      </c>
      <c r="M104" s="264"/>
      <c r="N104" s="265">
        <f>Budget!$C$5</f>
        <v>36</v>
      </c>
      <c r="O104" s="266">
        <f t="shared" si="32"/>
        <v>0</v>
      </c>
      <c r="P104" s="260"/>
      <c r="Q104" s="260"/>
      <c r="R104" s="260"/>
      <c r="S104" s="267">
        <f>ROUND(IFERROR($O104/Budget!$I$5,0),2)</f>
        <v>0</v>
      </c>
      <c r="T104" s="250" t="b">
        <f t="shared" si="33"/>
        <v>1</v>
      </c>
    </row>
    <row r="105" s="221" customFormat="1">
      <c r="A105" s="252">
        <f t="shared" si="30"/>
        <v>97</v>
      </c>
      <c r="B105" s="253"/>
      <c r="C105" s="254"/>
      <c r="D105" s="255"/>
      <c r="E105" s="256"/>
      <c r="F105" s="257"/>
      <c r="G105" s="258"/>
      <c r="H105" s="259"/>
      <c r="I105" s="260"/>
      <c r="J105" s="261"/>
      <c r="K105" s="262"/>
      <c r="L105" s="263">
        <f t="shared" si="31"/>
        <v>0</v>
      </c>
      <c r="M105" s="264"/>
      <c r="N105" s="265">
        <f>Budget!$C$5</f>
        <v>36</v>
      </c>
      <c r="O105" s="266">
        <f t="shared" si="32"/>
        <v>0</v>
      </c>
      <c r="P105" s="260"/>
      <c r="Q105" s="260"/>
      <c r="R105" s="260"/>
      <c r="S105" s="267">
        <f>ROUND(IFERROR($O105/Budget!$I$5,0),2)</f>
        <v>0</v>
      </c>
      <c r="T105" s="250" t="b">
        <f t="shared" si="33"/>
        <v>1</v>
      </c>
    </row>
    <row r="106" s="221" customFormat="1">
      <c r="A106" s="252">
        <f t="shared" si="30"/>
        <v>98</v>
      </c>
      <c r="B106" s="253"/>
      <c r="C106" s="254"/>
      <c r="D106" s="255"/>
      <c r="E106" s="256"/>
      <c r="F106" s="257"/>
      <c r="G106" s="258"/>
      <c r="H106" s="259"/>
      <c r="I106" s="260"/>
      <c r="J106" s="261"/>
      <c r="K106" s="262"/>
      <c r="L106" s="263">
        <f t="shared" si="31"/>
        <v>0</v>
      </c>
      <c r="M106" s="264"/>
      <c r="N106" s="265">
        <f>Budget!$C$5</f>
        <v>36</v>
      </c>
      <c r="O106" s="266">
        <f t="shared" si="32"/>
        <v>0</v>
      </c>
      <c r="P106" s="260"/>
      <c r="Q106" s="260"/>
      <c r="R106" s="260"/>
      <c r="S106" s="267">
        <f>ROUND(IFERROR($O106/Budget!$I$5,0),2)</f>
        <v>0</v>
      </c>
      <c r="T106" s="250" t="b">
        <f t="shared" si="33"/>
        <v>1</v>
      </c>
    </row>
    <row r="107" s="221" customFormat="1">
      <c r="A107" s="252">
        <f t="shared" si="30"/>
        <v>99</v>
      </c>
      <c r="B107" s="253"/>
      <c r="C107" s="254"/>
      <c r="D107" s="255"/>
      <c r="E107" s="256"/>
      <c r="F107" s="257"/>
      <c r="G107" s="258"/>
      <c r="H107" s="259"/>
      <c r="I107" s="260"/>
      <c r="J107" s="261"/>
      <c r="K107" s="262"/>
      <c r="L107" s="263">
        <f t="shared" si="31"/>
        <v>0</v>
      </c>
      <c r="M107" s="264"/>
      <c r="N107" s="265">
        <f>Budget!$C$5</f>
        <v>36</v>
      </c>
      <c r="O107" s="266">
        <f t="shared" si="32"/>
        <v>0</v>
      </c>
      <c r="P107" s="260"/>
      <c r="Q107" s="260"/>
      <c r="R107" s="260"/>
      <c r="S107" s="267">
        <f>ROUND(IFERROR($O107/Budget!$I$5,0),2)</f>
        <v>0</v>
      </c>
      <c r="T107" s="250" t="b">
        <f t="shared" si="33"/>
        <v>1</v>
      </c>
    </row>
    <row r="108" s="221" customFormat="1">
      <c r="A108" s="252">
        <f t="shared" si="30"/>
        <v>100</v>
      </c>
      <c r="B108" s="253"/>
      <c r="C108" s="254"/>
      <c r="D108" s="255"/>
      <c r="E108" s="256"/>
      <c r="F108" s="257"/>
      <c r="G108" s="258"/>
      <c r="H108" s="259"/>
      <c r="I108" s="260"/>
      <c r="J108" s="261"/>
      <c r="K108" s="262"/>
      <c r="L108" s="263">
        <f t="shared" si="31"/>
        <v>0</v>
      </c>
      <c r="M108" s="264"/>
      <c r="N108" s="265">
        <f>Budget!$C$5</f>
        <v>36</v>
      </c>
      <c r="O108" s="266">
        <f t="shared" si="32"/>
        <v>0</v>
      </c>
      <c r="P108" s="260"/>
      <c r="Q108" s="260"/>
      <c r="R108" s="260"/>
      <c r="S108" s="267">
        <f>ROUND(IFERROR($O108/Budget!$I$5,0),2)</f>
        <v>0</v>
      </c>
      <c r="T108" s="250" t="b">
        <f t="shared" si="33"/>
        <v>1</v>
      </c>
    </row>
    <row r="109">
      <c r="A109" s="252">
        <f t="shared" si="30"/>
        <v>101</v>
      </c>
      <c r="B109" s="253"/>
      <c r="C109" s="254"/>
      <c r="D109" s="255"/>
      <c r="E109" s="256"/>
      <c r="F109" s="257"/>
      <c r="G109" s="258"/>
      <c r="H109" s="259"/>
      <c r="I109" s="260"/>
      <c r="J109" s="261"/>
      <c r="K109" s="262"/>
      <c r="L109" s="263">
        <f t="shared" si="31"/>
        <v>0</v>
      </c>
      <c r="M109" s="264"/>
      <c r="N109" s="265">
        <f>Budget!$C$5</f>
        <v>36</v>
      </c>
      <c r="O109" s="266">
        <f t="shared" si="32"/>
        <v>0</v>
      </c>
      <c r="P109" s="260"/>
      <c r="Q109" s="260"/>
      <c r="R109" s="260"/>
      <c r="S109" s="267">
        <f>ROUND(IFERROR($O109/Budget!$I$5,0),2)</f>
        <v>0</v>
      </c>
      <c r="T109" s="250" t="b">
        <f t="shared" si="33"/>
        <v>1</v>
      </c>
    </row>
    <row r="110">
      <c r="A110" s="252">
        <f t="shared" si="30"/>
        <v>102</v>
      </c>
      <c r="B110" s="253"/>
      <c r="C110" s="254"/>
      <c r="D110" s="255"/>
      <c r="E110" s="256"/>
      <c r="F110" s="257"/>
      <c r="G110" s="258"/>
      <c r="H110" s="259"/>
      <c r="I110" s="260"/>
      <c r="J110" s="261"/>
      <c r="K110" s="262"/>
      <c r="L110" s="263">
        <f t="shared" si="31"/>
        <v>0</v>
      </c>
      <c r="M110" s="264"/>
      <c r="N110" s="265">
        <f>Budget!$C$5</f>
        <v>36</v>
      </c>
      <c r="O110" s="266">
        <f t="shared" si="32"/>
        <v>0</v>
      </c>
      <c r="P110" s="260"/>
      <c r="Q110" s="260"/>
      <c r="R110" s="260"/>
      <c r="S110" s="267">
        <f>ROUND(IFERROR($O110/Budget!$I$5,0),2)</f>
        <v>0</v>
      </c>
      <c r="T110" s="250" t="b">
        <f t="shared" si="33"/>
        <v>1</v>
      </c>
    </row>
    <row r="111">
      <c r="A111" s="252">
        <f t="shared" si="30"/>
        <v>103</v>
      </c>
      <c r="B111" s="253"/>
      <c r="C111" s="254"/>
      <c r="D111" s="255"/>
      <c r="E111" s="256"/>
      <c r="F111" s="257"/>
      <c r="G111" s="258"/>
      <c r="H111" s="259"/>
      <c r="I111" s="260"/>
      <c r="J111" s="261"/>
      <c r="K111" s="262"/>
      <c r="L111" s="263">
        <f t="shared" si="31"/>
        <v>0</v>
      </c>
      <c r="M111" s="264"/>
      <c r="N111" s="265">
        <f>Budget!$C$5</f>
        <v>36</v>
      </c>
      <c r="O111" s="266">
        <f t="shared" si="32"/>
        <v>0</v>
      </c>
      <c r="P111" s="260"/>
      <c r="Q111" s="260"/>
      <c r="R111" s="260"/>
      <c r="S111" s="267">
        <f>ROUND(IFERROR($O111/Budget!$I$5,0),2)</f>
        <v>0</v>
      </c>
      <c r="T111" s="250" t="b">
        <f t="shared" si="33"/>
        <v>1</v>
      </c>
    </row>
    <row r="112">
      <c r="A112" s="252">
        <f t="shared" si="30"/>
        <v>104</v>
      </c>
      <c r="B112" s="253"/>
      <c r="C112" s="254"/>
      <c r="D112" s="255"/>
      <c r="E112" s="256"/>
      <c r="F112" s="257"/>
      <c r="G112" s="258"/>
      <c r="H112" s="259"/>
      <c r="I112" s="260"/>
      <c r="J112" s="261"/>
      <c r="K112" s="262"/>
      <c r="L112" s="263">
        <f t="shared" si="31"/>
        <v>0</v>
      </c>
      <c r="M112" s="264"/>
      <c r="N112" s="265">
        <f>Budget!$C$5</f>
        <v>36</v>
      </c>
      <c r="O112" s="266">
        <f t="shared" si="32"/>
        <v>0</v>
      </c>
      <c r="P112" s="260"/>
      <c r="Q112" s="260"/>
      <c r="R112" s="260"/>
      <c r="S112" s="267">
        <f>ROUND(IFERROR($O112/Budget!$I$5,0),2)</f>
        <v>0</v>
      </c>
      <c r="T112" s="250" t="b">
        <f t="shared" si="33"/>
        <v>1</v>
      </c>
    </row>
    <row r="113">
      <c r="A113" s="252">
        <f t="shared" si="30"/>
        <v>105</v>
      </c>
      <c r="B113" s="253"/>
      <c r="C113" s="254"/>
      <c r="D113" s="255"/>
      <c r="E113" s="256"/>
      <c r="F113" s="257"/>
      <c r="G113" s="258"/>
      <c r="H113" s="259"/>
      <c r="I113" s="260"/>
      <c r="J113" s="261"/>
      <c r="K113" s="262"/>
      <c r="L113" s="263">
        <f t="shared" si="31"/>
        <v>0</v>
      </c>
      <c r="M113" s="264"/>
      <c r="N113" s="265">
        <f>Budget!$C$5</f>
        <v>36</v>
      </c>
      <c r="O113" s="266">
        <f t="shared" si="32"/>
        <v>0</v>
      </c>
      <c r="P113" s="260"/>
      <c r="Q113" s="260"/>
      <c r="R113" s="260"/>
      <c r="S113" s="267">
        <f>ROUND(IFERROR($O113/Budget!$I$5,0),2)</f>
        <v>0</v>
      </c>
      <c r="T113" s="250" t="b">
        <f t="shared" si="33"/>
        <v>1</v>
      </c>
    </row>
    <row r="114">
      <c r="A114" s="252">
        <f t="shared" si="30"/>
        <v>106</v>
      </c>
      <c r="B114" s="253"/>
      <c r="C114" s="254"/>
      <c r="D114" s="255"/>
      <c r="E114" s="256"/>
      <c r="F114" s="257"/>
      <c r="G114" s="258"/>
      <c r="H114" s="259"/>
      <c r="I114" s="260"/>
      <c r="J114" s="261"/>
      <c r="K114" s="262"/>
      <c r="L114" s="263">
        <f t="shared" si="31"/>
        <v>0</v>
      </c>
      <c r="M114" s="264"/>
      <c r="N114" s="265">
        <f>Budget!$C$5</f>
        <v>36</v>
      </c>
      <c r="O114" s="266">
        <f t="shared" si="32"/>
        <v>0</v>
      </c>
      <c r="P114" s="260"/>
      <c r="Q114" s="260"/>
      <c r="R114" s="260"/>
      <c r="S114" s="267">
        <f>ROUND(IFERROR($O114/Budget!$I$5,0),2)</f>
        <v>0</v>
      </c>
      <c r="T114" s="250" t="b">
        <f t="shared" si="33"/>
        <v>1</v>
      </c>
    </row>
    <row r="115">
      <c r="A115" s="252">
        <f t="shared" si="30"/>
        <v>107</v>
      </c>
      <c r="B115" s="253"/>
      <c r="C115" s="254"/>
      <c r="D115" s="255"/>
      <c r="E115" s="256"/>
      <c r="F115" s="257"/>
      <c r="G115" s="258"/>
      <c r="H115" s="259"/>
      <c r="I115" s="260"/>
      <c r="J115" s="261"/>
      <c r="K115" s="262"/>
      <c r="L115" s="263">
        <f t="shared" si="31"/>
        <v>0</v>
      </c>
      <c r="M115" s="264"/>
      <c r="N115" s="265">
        <f>Budget!$C$5</f>
        <v>36</v>
      </c>
      <c r="O115" s="266">
        <f t="shared" si="32"/>
        <v>0</v>
      </c>
      <c r="P115" s="260"/>
      <c r="Q115" s="260"/>
      <c r="R115" s="260"/>
      <c r="S115" s="267">
        <f>ROUND(IFERROR($O115/Budget!$I$5,0),2)</f>
        <v>0</v>
      </c>
      <c r="T115" s="250" t="b">
        <f t="shared" si="33"/>
        <v>1</v>
      </c>
    </row>
    <row r="116">
      <c r="A116" s="252">
        <f t="shared" si="30"/>
        <v>108</v>
      </c>
      <c r="B116" s="253"/>
      <c r="C116" s="254"/>
      <c r="D116" s="255"/>
      <c r="E116" s="256"/>
      <c r="F116" s="257"/>
      <c r="G116" s="258"/>
      <c r="H116" s="259"/>
      <c r="I116" s="260"/>
      <c r="J116" s="261"/>
      <c r="K116" s="262"/>
      <c r="L116" s="263">
        <f t="shared" si="31"/>
        <v>0</v>
      </c>
      <c r="M116" s="264"/>
      <c r="N116" s="265">
        <f>Budget!$C$5</f>
        <v>36</v>
      </c>
      <c r="O116" s="266">
        <f t="shared" si="32"/>
        <v>0</v>
      </c>
      <c r="P116" s="260"/>
      <c r="Q116" s="260"/>
      <c r="R116" s="260"/>
      <c r="S116" s="267">
        <f>ROUND(IFERROR($O116/Budget!$I$5,0),2)</f>
        <v>0</v>
      </c>
      <c r="T116" s="250" t="b">
        <f t="shared" si="33"/>
        <v>1</v>
      </c>
    </row>
    <row r="117">
      <c r="A117" s="252">
        <f t="shared" si="30"/>
        <v>109</v>
      </c>
      <c r="B117" s="253"/>
      <c r="C117" s="254"/>
      <c r="D117" s="255"/>
      <c r="E117" s="256"/>
      <c r="F117" s="257"/>
      <c r="G117" s="258"/>
      <c r="H117" s="259"/>
      <c r="I117" s="260"/>
      <c r="J117" s="261"/>
      <c r="K117" s="262"/>
      <c r="L117" s="263">
        <f t="shared" si="31"/>
        <v>0</v>
      </c>
      <c r="M117" s="264"/>
      <c r="N117" s="265">
        <f>Budget!$C$5</f>
        <v>36</v>
      </c>
      <c r="O117" s="266">
        <f t="shared" si="32"/>
        <v>0</v>
      </c>
      <c r="P117" s="260"/>
      <c r="Q117" s="260"/>
      <c r="R117" s="260"/>
      <c r="S117" s="267">
        <f>ROUND(IFERROR($O117/Budget!$I$5,0),2)</f>
        <v>0</v>
      </c>
      <c r="T117" s="250" t="b">
        <f t="shared" si="33"/>
        <v>1</v>
      </c>
    </row>
    <row r="118">
      <c r="A118" s="252">
        <f t="shared" si="30"/>
        <v>110</v>
      </c>
      <c r="B118" s="253"/>
      <c r="C118" s="254"/>
      <c r="D118" s="255"/>
      <c r="E118" s="256"/>
      <c r="F118" s="257"/>
      <c r="G118" s="258"/>
      <c r="H118" s="259"/>
      <c r="I118" s="260"/>
      <c r="J118" s="261"/>
      <c r="K118" s="262"/>
      <c r="L118" s="263">
        <f t="shared" si="31"/>
        <v>0</v>
      </c>
      <c r="M118" s="264"/>
      <c r="N118" s="265">
        <f>Budget!$C$5</f>
        <v>36</v>
      </c>
      <c r="O118" s="266">
        <f t="shared" si="32"/>
        <v>0</v>
      </c>
      <c r="P118" s="260"/>
      <c r="Q118" s="260"/>
      <c r="R118" s="260"/>
      <c r="S118" s="267">
        <f>ROUND(IFERROR($O118/Budget!$I$5,0),2)</f>
        <v>0</v>
      </c>
      <c r="T118" s="250" t="b">
        <f t="shared" si="33"/>
        <v>1</v>
      </c>
    </row>
    <row r="119">
      <c r="A119" s="252">
        <f t="shared" si="30"/>
        <v>111</v>
      </c>
      <c r="B119" s="253"/>
      <c r="C119" s="254"/>
      <c r="D119" s="255"/>
      <c r="E119" s="256"/>
      <c r="F119" s="257"/>
      <c r="G119" s="258"/>
      <c r="H119" s="259"/>
      <c r="I119" s="260"/>
      <c r="J119" s="261"/>
      <c r="K119" s="262"/>
      <c r="L119" s="263">
        <f t="shared" si="31"/>
        <v>0</v>
      </c>
      <c r="M119" s="264"/>
      <c r="N119" s="265">
        <f>Budget!$C$5</f>
        <v>36</v>
      </c>
      <c r="O119" s="266">
        <f t="shared" si="32"/>
        <v>0</v>
      </c>
      <c r="P119" s="260"/>
      <c r="Q119" s="260"/>
      <c r="R119" s="260"/>
      <c r="S119" s="267">
        <f>ROUND(IFERROR($O119/Budget!$I$5,0),2)</f>
        <v>0</v>
      </c>
      <c r="T119" s="250" t="b">
        <f t="shared" si="33"/>
        <v>1</v>
      </c>
    </row>
    <row r="120">
      <c r="A120" s="252">
        <f t="shared" si="30"/>
        <v>112</v>
      </c>
      <c r="B120" s="253"/>
      <c r="C120" s="254"/>
      <c r="D120" s="255"/>
      <c r="E120" s="256"/>
      <c r="F120" s="257"/>
      <c r="G120" s="258"/>
      <c r="H120" s="259"/>
      <c r="I120" s="260"/>
      <c r="J120" s="261"/>
      <c r="K120" s="262"/>
      <c r="L120" s="263">
        <f t="shared" si="31"/>
        <v>0</v>
      </c>
      <c r="M120" s="264"/>
      <c r="N120" s="265">
        <f>Budget!$C$5</f>
        <v>36</v>
      </c>
      <c r="O120" s="266">
        <f t="shared" si="32"/>
        <v>0</v>
      </c>
      <c r="P120" s="260"/>
      <c r="Q120" s="260"/>
      <c r="R120" s="260"/>
      <c r="S120" s="267">
        <f>ROUND(IFERROR($O120/Budget!$I$5,0),2)</f>
        <v>0</v>
      </c>
      <c r="T120" s="250" t="b">
        <f t="shared" si="33"/>
        <v>1</v>
      </c>
    </row>
    <row r="121">
      <c r="A121" s="252">
        <f t="shared" si="30"/>
        <v>113</v>
      </c>
      <c r="B121" s="253"/>
      <c r="C121" s="254"/>
      <c r="D121" s="255"/>
      <c r="E121" s="256"/>
      <c r="F121" s="257"/>
      <c r="G121" s="258"/>
      <c r="H121" s="259"/>
      <c r="I121" s="260"/>
      <c r="J121" s="261"/>
      <c r="K121" s="262"/>
      <c r="L121" s="263">
        <f t="shared" si="31"/>
        <v>0</v>
      </c>
      <c r="M121" s="264"/>
      <c r="N121" s="265">
        <f>Budget!$C$5</f>
        <v>36</v>
      </c>
      <c r="O121" s="266">
        <f t="shared" si="32"/>
        <v>0</v>
      </c>
      <c r="P121" s="260"/>
      <c r="Q121" s="260"/>
      <c r="R121" s="260"/>
      <c r="S121" s="267">
        <f>ROUND(IFERROR($O121/Budget!$I$5,0),2)</f>
        <v>0</v>
      </c>
      <c r="T121" s="250" t="b">
        <f t="shared" si="33"/>
        <v>1</v>
      </c>
    </row>
    <row r="122">
      <c r="A122" s="252">
        <f t="shared" si="30"/>
        <v>114</v>
      </c>
      <c r="B122" s="253"/>
      <c r="C122" s="254"/>
      <c r="D122" s="255"/>
      <c r="E122" s="256"/>
      <c r="F122" s="257"/>
      <c r="G122" s="258"/>
      <c r="H122" s="259"/>
      <c r="I122" s="260"/>
      <c r="J122" s="261"/>
      <c r="K122" s="262"/>
      <c r="L122" s="263">
        <f t="shared" si="31"/>
        <v>0</v>
      </c>
      <c r="M122" s="264"/>
      <c r="N122" s="265">
        <f>Budget!$C$5</f>
        <v>36</v>
      </c>
      <c r="O122" s="266">
        <f t="shared" si="32"/>
        <v>0</v>
      </c>
      <c r="P122" s="260"/>
      <c r="Q122" s="260"/>
      <c r="R122" s="260"/>
      <c r="S122" s="267">
        <f>ROUND(IFERROR($O122/Budget!$I$5,0),2)</f>
        <v>0</v>
      </c>
      <c r="T122" s="250" t="b">
        <f t="shared" si="33"/>
        <v>1</v>
      </c>
    </row>
    <row r="123">
      <c r="A123" s="252">
        <f t="shared" si="30"/>
        <v>115</v>
      </c>
      <c r="B123" s="253"/>
      <c r="C123" s="254"/>
      <c r="D123" s="255"/>
      <c r="E123" s="256"/>
      <c r="F123" s="257"/>
      <c r="G123" s="258"/>
      <c r="H123" s="259"/>
      <c r="I123" s="260"/>
      <c r="J123" s="261"/>
      <c r="K123" s="262"/>
      <c r="L123" s="263">
        <f t="shared" si="31"/>
        <v>0</v>
      </c>
      <c r="M123" s="264"/>
      <c r="N123" s="265">
        <f>Budget!$C$5</f>
        <v>36</v>
      </c>
      <c r="O123" s="266">
        <f t="shared" si="32"/>
        <v>0</v>
      </c>
      <c r="P123" s="260"/>
      <c r="Q123" s="260"/>
      <c r="R123" s="260"/>
      <c r="S123" s="267">
        <f>ROUND(IFERROR($O123/Budget!$I$5,0),2)</f>
        <v>0</v>
      </c>
      <c r="T123" s="250" t="b">
        <f t="shared" si="33"/>
        <v>1</v>
      </c>
    </row>
    <row r="124">
      <c r="A124" s="252">
        <f t="shared" si="30"/>
        <v>116</v>
      </c>
      <c r="B124" s="253"/>
      <c r="C124" s="254"/>
      <c r="D124" s="255"/>
      <c r="E124" s="256"/>
      <c r="F124" s="257"/>
      <c r="G124" s="258"/>
      <c r="H124" s="259"/>
      <c r="I124" s="260"/>
      <c r="J124" s="261"/>
      <c r="K124" s="262"/>
      <c r="L124" s="263">
        <f t="shared" si="31"/>
        <v>0</v>
      </c>
      <c r="M124" s="264"/>
      <c r="N124" s="265">
        <f>Budget!$C$5</f>
        <v>36</v>
      </c>
      <c r="O124" s="266">
        <f t="shared" si="32"/>
        <v>0</v>
      </c>
      <c r="P124" s="260"/>
      <c r="Q124" s="260"/>
      <c r="R124" s="260"/>
      <c r="S124" s="267">
        <f>ROUND(IFERROR($O124/Budget!$I$5,0),2)</f>
        <v>0</v>
      </c>
      <c r="T124" s="250" t="b">
        <f t="shared" si="33"/>
        <v>1</v>
      </c>
    </row>
    <row r="125">
      <c r="A125" s="252">
        <f t="shared" si="30"/>
        <v>117</v>
      </c>
      <c r="B125" s="253"/>
      <c r="C125" s="254"/>
      <c r="D125" s="255"/>
      <c r="E125" s="256"/>
      <c r="F125" s="257"/>
      <c r="G125" s="258"/>
      <c r="H125" s="259"/>
      <c r="I125" s="260"/>
      <c r="J125" s="261"/>
      <c r="K125" s="262"/>
      <c r="L125" s="263">
        <f t="shared" si="31"/>
        <v>0</v>
      </c>
      <c r="M125" s="264"/>
      <c r="N125" s="265">
        <f>Budget!$C$5</f>
        <v>36</v>
      </c>
      <c r="O125" s="266">
        <f t="shared" si="32"/>
        <v>0</v>
      </c>
      <c r="P125" s="260"/>
      <c r="Q125" s="260"/>
      <c r="R125" s="260"/>
      <c r="S125" s="267">
        <f>ROUND(IFERROR($O125/Budget!$I$5,0),2)</f>
        <v>0</v>
      </c>
      <c r="T125" s="250" t="b">
        <f t="shared" si="33"/>
        <v>1</v>
      </c>
    </row>
    <row r="126">
      <c r="A126" s="252">
        <f t="shared" si="30"/>
        <v>118</v>
      </c>
      <c r="B126" s="253"/>
      <c r="C126" s="254"/>
      <c r="D126" s="255"/>
      <c r="E126" s="256"/>
      <c r="F126" s="257"/>
      <c r="G126" s="258"/>
      <c r="H126" s="259"/>
      <c r="I126" s="260"/>
      <c r="J126" s="261"/>
      <c r="K126" s="262"/>
      <c r="L126" s="263">
        <f t="shared" si="31"/>
        <v>0</v>
      </c>
      <c r="M126" s="264"/>
      <c r="N126" s="265">
        <f>Budget!$C$5</f>
        <v>36</v>
      </c>
      <c r="O126" s="266">
        <f t="shared" si="32"/>
        <v>0</v>
      </c>
      <c r="P126" s="260"/>
      <c r="Q126" s="260"/>
      <c r="R126" s="260"/>
      <c r="S126" s="267">
        <f>ROUND(IFERROR($O126/Budget!$I$5,0),2)</f>
        <v>0</v>
      </c>
      <c r="T126" s="250" t="b">
        <f t="shared" si="33"/>
        <v>1</v>
      </c>
    </row>
    <row r="127">
      <c r="A127" s="252">
        <f t="shared" si="30"/>
        <v>119</v>
      </c>
      <c r="B127" s="253"/>
      <c r="C127" s="254"/>
      <c r="D127" s="255"/>
      <c r="E127" s="256"/>
      <c r="F127" s="257"/>
      <c r="G127" s="258"/>
      <c r="H127" s="259"/>
      <c r="I127" s="260"/>
      <c r="J127" s="261"/>
      <c r="K127" s="262"/>
      <c r="L127" s="263">
        <f t="shared" si="31"/>
        <v>0</v>
      </c>
      <c r="M127" s="264"/>
      <c r="N127" s="265">
        <f>Budget!$C$5</f>
        <v>36</v>
      </c>
      <c r="O127" s="266">
        <f t="shared" si="32"/>
        <v>0</v>
      </c>
      <c r="P127" s="260"/>
      <c r="Q127" s="260"/>
      <c r="R127" s="260"/>
      <c r="S127" s="267">
        <f>ROUND(IFERROR($O127/Budget!$I$5,0),2)</f>
        <v>0</v>
      </c>
      <c r="T127" s="250" t="b">
        <f t="shared" si="33"/>
        <v>1</v>
      </c>
    </row>
    <row r="128">
      <c r="A128" s="252">
        <f t="shared" si="30"/>
        <v>120</v>
      </c>
      <c r="B128" s="253"/>
      <c r="C128" s="254"/>
      <c r="D128" s="255"/>
      <c r="E128" s="256"/>
      <c r="F128" s="257"/>
      <c r="G128" s="258"/>
      <c r="H128" s="259"/>
      <c r="I128" s="260"/>
      <c r="J128" s="261"/>
      <c r="K128" s="262"/>
      <c r="L128" s="263">
        <f t="shared" si="31"/>
        <v>0</v>
      </c>
      <c r="M128" s="264"/>
      <c r="N128" s="265">
        <f>Budget!$C$5</f>
        <v>36</v>
      </c>
      <c r="O128" s="266">
        <f t="shared" si="32"/>
        <v>0</v>
      </c>
      <c r="P128" s="260"/>
      <c r="Q128" s="260"/>
      <c r="R128" s="260"/>
      <c r="S128" s="267">
        <f>ROUND(IFERROR($O128/Budget!$I$5,0),2)</f>
        <v>0</v>
      </c>
      <c r="T128" s="250" t="b">
        <f t="shared" si="33"/>
        <v>1</v>
      </c>
    </row>
    <row r="129">
      <c r="A129" s="252">
        <f t="shared" si="30"/>
        <v>121</v>
      </c>
      <c r="B129" s="253"/>
      <c r="C129" s="254"/>
      <c r="D129" s="255"/>
      <c r="E129" s="256"/>
      <c r="F129" s="257"/>
      <c r="G129" s="258"/>
      <c r="H129" s="259"/>
      <c r="I129" s="260"/>
      <c r="J129" s="261"/>
      <c r="K129" s="262"/>
      <c r="L129" s="263">
        <f t="shared" si="31"/>
        <v>0</v>
      </c>
      <c r="M129" s="264"/>
      <c r="N129" s="265">
        <f>Budget!$C$5</f>
        <v>36</v>
      </c>
      <c r="O129" s="266">
        <f t="shared" si="32"/>
        <v>0</v>
      </c>
      <c r="P129" s="260"/>
      <c r="Q129" s="260"/>
      <c r="R129" s="260"/>
      <c r="S129" s="267">
        <f>ROUND(IFERROR($O129/Budget!$I$5,0),2)</f>
        <v>0</v>
      </c>
      <c r="T129" s="250" t="b">
        <f t="shared" si="33"/>
        <v>1</v>
      </c>
    </row>
    <row r="130">
      <c r="A130" s="252">
        <f t="shared" si="30"/>
        <v>122</v>
      </c>
      <c r="B130" s="253"/>
      <c r="C130" s="254"/>
      <c r="D130" s="255"/>
      <c r="E130" s="256"/>
      <c r="F130" s="257"/>
      <c r="G130" s="258"/>
      <c r="H130" s="259"/>
      <c r="I130" s="260"/>
      <c r="J130" s="261"/>
      <c r="K130" s="262"/>
      <c r="L130" s="263">
        <f t="shared" si="31"/>
        <v>0</v>
      </c>
      <c r="M130" s="264"/>
      <c r="N130" s="265">
        <f>Budget!$C$5</f>
        <v>36</v>
      </c>
      <c r="O130" s="266">
        <f t="shared" si="32"/>
        <v>0</v>
      </c>
      <c r="P130" s="260"/>
      <c r="Q130" s="260"/>
      <c r="R130" s="260"/>
      <c r="S130" s="267">
        <f>ROUND(IFERROR($O130/Budget!$I$5,0),2)</f>
        <v>0</v>
      </c>
      <c r="T130" s="250" t="b">
        <f t="shared" si="33"/>
        <v>1</v>
      </c>
    </row>
    <row r="131">
      <c r="A131" s="252">
        <f t="shared" si="30"/>
        <v>123</v>
      </c>
      <c r="B131" s="253"/>
      <c r="C131" s="254"/>
      <c r="D131" s="255"/>
      <c r="E131" s="256"/>
      <c r="F131" s="257"/>
      <c r="G131" s="258"/>
      <c r="H131" s="259"/>
      <c r="I131" s="260"/>
      <c r="J131" s="261"/>
      <c r="K131" s="262"/>
      <c r="L131" s="263">
        <f t="shared" si="31"/>
        <v>0</v>
      </c>
      <c r="M131" s="264"/>
      <c r="N131" s="265">
        <f>Budget!$C$5</f>
        <v>36</v>
      </c>
      <c r="O131" s="266">
        <f t="shared" si="32"/>
        <v>0</v>
      </c>
      <c r="P131" s="260"/>
      <c r="Q131" s="260"/>
      <c r="R131" s="260"/>
      <c r="S131" s="267">
        <f>ROUND(IFERROR($O131/Budget!$I$5,0),2)</f>
        <v>0</v>
      </c>
      <c r="T131" s="250" t="b">
        <f t="shared" si="33"/>
        <v>1</v>
      </c>
    </row>
    <row r="132">
      <c r="A132" s="252">
        <f t="shared" si="30"/>
        <v>124</v>
      </c>
      <c r="B132" s="253"/>
      <c r="C132" s="254"/>
      <c r="D132" s="255"/>
      <c r="E132" s="256"/>
      <c r="F132" s="257"/>
      <c r="G132" s="258"/>
      <c r="H132" s="259"/>
      <c r="I132" s="260"/>
      <c r="J132" s="261"/>
      <c r="K132" s="262"/>
      <c r="L132" s="263">
        <f t="shared" si="31"/>
        <v>0</v>
      </c>
      <c r="M132" s="264"/>
      <c r="N132" s="265">
        <f>Budget!$C$5</f>
        <v>36</v>
      </c>
      <c r="O132" s="266">
        <f t="shared" si="32"/>
        <v>0</v>
      </c>
      <c r="P132" s="260"/>
      <c r="Q132" s="260"/>
      <c r="R132" s="260"/>
      <c r="S132" s="267">
        <f>ROUND(IFERROR($O132/Budget!$I$5,0),2)</f>
        <v>0</v>
      </c>
      <c r="T132" s="250" t="b">
        <f t="shared" si="33"/>
        <v>1</v>
      </c>
    </row>
    <row r="133">
      <c r="A133" s="252">
        <f t="shared" si="30"/>
        <v>125</v>
      </c>
      <c r="B133" s="253"/>
      <c r="C133" s="254"/>
      <c r="D133" s="255"/>
      <c r="E133" s="256"/>
      <c r="F133" s="257"/>
      <c r="G133" s="258"/>
      <c r="H133" s="259"/>
      <c r="I133" s="260"/>
      <c r="J133" s="261"/>
      <c r="K133" s="262"/>
      <c r="L133" s="263">
        <f t="shared" si="31"/>
        <v>0</v>
      </c>
      <c r="M133" s="264"/>
      <c r="N133" s="265">
        <f>Budget!$C$5</f>
        <v>36</v>
      </c>
      <c r="O133" s="266">
        <f t="shared" si="32"/>
        <v>0</v>
      </c>
      <c r="P133" s="260"/>
      <c r="Q133" s="260"/>
      <c r="R133" s="260"/>
      <c r="S133" s="267">
        <f>ROUND(IFERROR($O133/Budget!$I$5,0),2)</f>
        <v>0</v>
      </c>
      <c r="T133" s="250" t="b">
        <f t="shared" si="33"/>
        <v>1</v>
      </c>
    </row>
    <row r="134">
      <c r="A134" s="252">
        <f t="shared" si="30"/>
        <v>126</v>
      </c>
      <c r="B134" s="253"/>
      <c r="C134" s="254"/>
      <c r="D134" s="255"/>
      <c r="E134" s="256"/>
      <c r="F134" s="257"/>
      <c r="G134" s="258"/>
      <c r="H134" s="259"/>
      <c r="I134" s="260"/>
      <c r="J134" s="261"/>
      <c r="K134" s="262"/>
      <c r="L134" s="263">
        <f t="shared" si="31"/>
        <v>0</v>
      </c>
      <c r="M134" s="264"/>
      <c r="N134" s="265">
        <f>Budget!$C$5</f>
        <v>36</v>
      </c>
      <c r="O134" s="266">
        <f t="shared" si="32"/>
        <v>0</v>
      </c>
      <c r="P134" s="260"/>
      <c r="Q134" s="260"/>
      <c r="R134" s="260"/>
      <c r="S134" s="267">
        <f>ROUND(IFERROR($O134/Budget!$I$5,0),2)</f>
        <v>0</v>
      </c>
      <c r="T134" s="250" t="b">
        <f t="shared" si="33"/>
        <v>1</v>
      </c>
    </row>
    <row r="135">
      <c r="A135" s="252">
        <f t="shared" si="30"/>
        <v>127</v>
      </c>
      <c r="B135" s="253"/>
      <c r="C135" s="254"/>
      <c r="D135" s="255"/>
      <c r="E135" s="256"/>
      <c r="F135" s="257"/>
      <c r="G135" s="258"/>
      <c r="H135" s="259"/>
      <c r="I135" s="260"/>
      <c r="J135" s="261"/>
      <c r="K135" s="262"/>
      <c r="L135" s="263">
        <f t="shared" si="31"/>
        <v>0</v>
      </c>
      <c r="M135" s="264"/>
      <c r="N135" s="265">
        <f>Budget!$C$5</f>
        <v>36</v>
      </c>
      <c r="O135" s="266">
        <f t="shared" si="32"/>
        <v>0</v>
      </c>
      <c r="P135" s="260"/>
      <c r="Q135" s="260"/>
      <c r="R135" s="260"/>
      <c r="S135" s="267">
        <f>ROUND(IFERROR($O135/Budget!$I$5,0),2)</f>
        <v>0</v>
      </c>
      <c r="T135" s="250" t="b">
        <f t="shared" si="33"/>
        <v>1</v>
      </c>
    </row>
    <row r="136">
      <c r="A136" s="252">
        <f t="shared" si="30"/>
        <v>128</v>
      </c>
      <c r="B136" s="253"/>
      <c r="C136" s="254"/>
      <c r="D136" s="255"/>
      <c r="E136" s="256"/>
      <c r="F136" s="257"/>
      <c r="G136" s="258"/>
      <c r="H136" s="259"/>
      <c r="I136" s="260"/>
      <c r="J136" s="261"/>
      <c r="K136" s="262"/>
      <c r="L136" s="263">
        <f t="shared" si="31"/>
        <v>0</v>
      </c>
      <c r="M136" s="264"/>
      <c r="N136" s="265">
        <f>Budget!$C$5</f>
        <v>36</v>
      </c>
      <c r="O136" s="266">
        <f t="shared" si="32"/>
        <v>0</v>
      </c>
      <c r="P136" s="260"/>
      <c r="Q136" s="260"/>
      <c r="R136" s="260"/>
      <c r="S136" s="267">
        <f>ROUND(IFERROR($O136/Budget!$I$5,0),2)</f>
        <v>0</v>
      </c>
      <c r="T136" s="250" t="b">
        <f t="shared" si="33"/>
        <v>1</v>
      </c>
    </row>
    <row r="137">
      <c r="A137" s="252">
        <f t="shared" ref="A137:A158" si="34">IF(ROW()&lt;ROW($A$9),"",(ROW()-ROW($A$9)+1))</f>
        <v>129</v>
      </c>
      <c r="B137" s="253"/>
      <c r="C137" s="254"/>
      <c r="D137" s="255"/>
      <c r="E137" s="256"/>
      <c r="F137" s="257"/>
      <c r="G137" s="258"/>
      <c r="H137" s="259"/>
      <c r="I137" s="260"/>
      <c r="J137" s="261"/>
      <c r="K137" s="262"/>
      <c r="L137" s="263">
        <f t="shared" si="31"/>
        <v>0</v>
      </c>
      <c r="M137" s="264"/>
      <c r="N137" s="265">
        <f>Budget!$C$5</f>
        <v>36</v>
      </c>
      <c r="O137" s="266">
        <f t="shared" si="32"/>
        <v>0</v>
      </c>
      <c r="P137" s="260"/>
      <c r="Q137" s="260"/>
      <c r="R137" s="260"/>
      <c r="S137" s="267">
        <f>ROUND(IFERROR($O137/Budget!$I$5,0),2)</f>
        <v>0</v>
      </c>
      <c r="T137" s="250" t="b">
        <f t="shared" si="33"/>
        <v>1</v>
      </c>
    </row>
    <row r="138">
      <c r="A138" s="252">
        <f t="shared" si="34"/>
        <v>130</v>
      </c>
      <c r="B138" s="253"/>
      <c r="C138" s="254"/>
      <c r="D138" s="255"/>
      <c r="E138" s="256"/>
      <c r="F138" s="257"/>
      <c r="G138" s="258"/>
      <c r="H138" s="259"/>
      <c r="I138" s="260"/>
      <c r="J138" s="261"/>
      <c r="K138" s="262"/>
      <c r="L138" s="263">
        <f t="shared" ref="L138:L158" si="35">IF($C138="",0,SUM($H138:$J138)*$G138*$E138+$K138)</f>
        <v>0</v>
      </c>
      <c r="M138" s="264"/>
      <c r="N138" s="265">
        <f>Budget!$C$5</f>
        <v>36</v>
      </c>
      <c r="O138" s="266">
        <f t="shared" ref="O138:O158" si="36">IF($C138=0,0,$L138/12*$N138*$M138)</f>
        <v>0</v>
      </c>
      <c r="P138" s="260"/>
      <c r="Q138" s="260"/>
      <c r="R138" s="260"/>
      <c r="S138" s="267">
        <f>ROUND(IFERROR($O138/Budget!$I$5,0),2)</f>
        <v>0</v>
      </c>
      <c r="T138" s="250" t="b">
        <f t="shared" ref="T138:T158" si="37">$O138=(SUM($P138:$R138))</f>
        <v>1</v>
      </c>
    </row>
    <row r="139">
      <c r="A139" s="252">
        <f t="shared" si="34"/>
        <v>131</v>
      </c>
      <c r="B139" s="253"/>
      <c r="C139" s="254"/>
      <c r="D139" s="255"/>
      <c r="E139" s="256"/>
      <c r="F139" s="257"/>
      <c r="G139" s="258"/>
      <c r="H139" s="259"/>
      <c r="I139" s="260"/>
      <c r="J139" s="261"/>
      <c r="K139" s="262"/>
      <c r="L139" s="263">
        <f t="shared" si="35"/>
        <v>0</v>
      </c>
      <c r="M139" s="264"/>
      <c r="N139" s="265">
        <f>Budget!$C$5</f>
        <v>36</v>
      </c>
      <c r="O139" s="266">
        <f t="shared" si="36"/>
        <v>0</v>
      </c>
      <c r="P139" s="260"/>
      <c r="Q139" s="260"/>
      <c r="R139" s="260"/>
      <c r="S139" s="267">
        <f>ROUND(IFERROR($O139/Budget!$I$5,0),2)</f>
        <v>0</v>
      </c>
      <c r="T139" s="250" t="b">
        <f t="shared" si="37"/>
        <v>1</v>
      </c>
    </row>
    <row r="140">
      <c r="A140" s="252">
        <f t="shared" si="34"/>
        <v>132</v>
      </c>
      <c r="B140" s="253"/>
      <c r="C140" s="254"/>
      <c r="D140" s="255"/>
      <c r="E140" s="256"/>
      <c r="F140" s="257"/>
      <c r="G140" s="258"/>
      <c r="H140" s="259"/>
      <c r="I140" s="260"/>
      <c r="J140" s="261"/>
      <c r="K140" s="262"/>
      <c r="L140" s="263">
        <f t="shared" si="35"/>
        <v>0</v>
      </c>
      <c r="M140" s="264"/>
      <c r="N140" s="265">
        <f>Budget!$C$5</f>
        <v>36</v>
      </c>
      <c r="O140" s="266">
        <f t="shared" si="36"/>
        <v>0</v>
      </c>
      <c r="P140" s="260"/>
      <c r="Q140" s="260"/>
      <c r="R140" s="260"/>
      <c r="S140" s="267">
        <f>ROUND(IFERROR($O140/Budget!$I$5,0),2)</f>
        <v>0</v>
      </c>
      <c r="T140" s="250" t="b">
        <f t="shared" si="37"/>
        <v>1</v>
      </c>
    </row>
    <row r="141">
      <c r="A141" s="252">
        <f t="shared" si="34"/>
        <v>133</v>
      </c>
      <c r="B141" s="253"/>
      <c r="C141" s="254"/>
      <c r="D141" s="255"/>
      <c r="E141" s="256"/>
      <c r="F141" s="257"/>
      <c r="G141" s="258"/>
      <c r="H141" s="259"/>
      <c r="I141" s="260"/>
      <c r="J141" s="261"/>
      <c r="K141" s="262"/>
      <c r="L141" s="263">
        <f t="shared" si="35"/>
        <v>0</v>
      </c>
      <c r="M141" s="264"/>
      <c r="N141" s="265">
        <f>Budget!$C$5</f>
        <v>36</v>
      </c>
      <c r="O141" s="266">
        <f t="shared" si="36"/>
        <v>0</v>
      </c>
      <c r="P141" s="260"/>
      <c r="Q141" s="260"/>
      <c r="R141" s="260"/>
      <c r="S141" s="267">
        <f>ROUND(IFERROR($O141/Budget!$I$5,0),2)</f>
        <v>0</v>
      </c>
      <c r="T141" s="250" t="b">
        <f t="shared" si="37"/>
        <v>1</v>
      </c>
    </row>
    <row r="142">
      <c r="A142" s="252">
        <f t="shared" si="34"/>
        <v>134</v>
      </c>
      <c r="B142" s="253"/>
      <c r="C142" s="254"/>
      <c r="D142" s="255"/>
      <c r="E142" s="256"/>
      <c r="F142" s="257"/>
      <c r="G142" s="258"/>
      <c r="H142" s="259"/>
      <c r="I142" s="260"/>
      <c r="J142" s="261"/>
      <c r="K142" s="262"/>
      <c r="L142" s="263">
        <f t="shared" si="35"/>
        <v>0</v>
      </c>
      <c r="M142" s="264"/>
      <c r="N142" s="265">
        <f>Budget!$C$5</f>
        <v>36</v>
      </c>
      <c r="O142" s="266">
        <f t="shared" si="36"/>
        <v>0</v>
      </c>
      <c r="P142" s="260"/>
      <c r="Q142" s="260"/>
      <c r="R142" s="260"/>
      <c r="S142" s="267">
        <f>ROUND(IFERROR($O142/Budget!$I$5,0),2)</f>
        <v>0</v>
      </c>
      <c r="T142" s="250" t="b">
        <f t="shared" si="37"/>
        <v>1</v>
      </c>
    </row>
    <row r="143">
      <c r="A143" s="252">
        <f t="shared" si="34"/>
        <v>135</v>
      </c>
      <c r="B143" s="253"/>
      <c r="C143" s="254"/>
      <c r="D143" s="255"/>
      <c r="E143" s="256"/>
      <c r="F143" s="257"/>
      <c r="G143" s="258"/>
      <c r="H143" s="259"/>
      <c r="I143" s="260"/>
      <c r="J143" s="261"/>
      <c r="K143" s="262"/>
      <c r="L143" s="263">
        <f t="shared" si="35"/>
        <v>0</v>
      </c>
      <c r="M143" s="264"/>
      <c r="N143" s="265">
        <f>Budget!$C$5</f>
        <v>36</v>
      </c>
      <c r="O143" s="266">
        <f t="shared" si="36"/>
        <v>0</v>
      </c>
      <c r="P143" s="260"/>
      <c r="Q143" s="260"/>
      <c r="R143" s="260"/>
      <c r="S143" s="267">
        <f>ROUND(IFERROR($O143/Budget!$I$5,0),2)</f>
        <v>0</v>
      </c>
      <c r="T143" s="250" t="b">
        <f t="shared" si="37"/>
        <v>1</v>
      </c>
    </row>
    <row r="144">
      <c r="A144" s="252">
        <f t="shared" si="34"/>
        <v>136</v>
      </c>
      <c r="B144" s="253"/>
      <c r="C144" s="254"/>
      <c r="D144" s="255"/>
      <c r="E144" s="256"/>
      <c r="F144" s="257"/>
      <c r="G144" s="258"/>
      <c r="H144" s="259"/>
      <c r="I144" s="260"/>
      <c r="J144" s="261"/>
      <c r="K144" s="262"/>
      <c r="L144" s="263">
        <f t="shared" si="35"/>
        <v>0</v>
      </c>
      <c r="M144" s="264"/>
      <c r="N144" s="265">
        <f>Budget!$C$5</f>
        <v>36</v>
      </c>
      <c r="O144" s="266">
        <f t="shared" si="36"/>
        <v>0</v>
      </c>
      <c r="P144" s="260"/>
      <c r="Q144" s="260"/>
      <c r="R144" s="260"/>
      <c r="S144" s="267">
        <f>ROUND(IFERROR($O144/Budget!$I$5,0),2)</f>
        <v>0</v>
      </c>
      <c r="T144" s="250" t="b">
        <f t="shared" si="37"/>
        <v>1</v>
      </c>
    </row>
    <row r="145">
      <c r="A145" s="252">
        <f t="shared" si="34"/>
        <v>137</v>
      </c>
      <c r="B145" s="253"/>
      <c r="C145" s="254"/>
      <c r="D145" s="255"/>
      <c r="E145" s="256"/>
      <c r="F145" s="257"/>
      <c r="G145" s="258"/>
      <c r="H145" s="259"/>
      <c r="I145" s="260"/>
      <c r="J145" s="261"/>
      <c r="K145" s="262"/>
      <c r="L145" s="263">
        <f t="shared" si="35"/>
        <v>0</v>
      </c>
      <c r="M145" s="264"/>
      <c r="N145" s="265">
        <f>Budget!$C$5</f>
        <v>36</v>
      </c>
      <c r="O145" s="266">
        <f t="shared" si="36"/>
        <v>0</v>
      </c>
      <c r="P145" s="260"/>
      <c r="Q145" s="260"/>
      <c r="R145" s="260"/>
      <c r="S145" s="267">
        <f>ROUND(IFERROR($O145/Budget!$I$5,0),2)</f>
        <v>0</v>
      </c>
      <c r="T145" s="250" t="b">
        <f t="shared" si="37"/>
        <v>1</v>
      </c>
    </row>
    <row r="146">
      <c r="A146" s="252">
        <f t="shared" si="34"/>
        <v>138</v>
      </c>
      <c r="B146" s="253"/>
      <c r="C146" s="254"/>
      <c r="D146" s="255"/>
      <c r="E146" s="256"/>
      <c r="F146" s="257"/>
      <c r="G146" s="258"/>
      <c r="H146" s="259"/>
      <c r="I146" s="260"/>
      <c r="J146" s="261"/>
      <c r="K146" s="262"/>
      <c r="L146" s="263">
        <f t="shared" si="35"/>
        <v>0</v>
      </c>
      <c r="M146" s="264"/>
      <c r="N146" s="265">
        <f>Budget!$C$5</f>
        <v>36</v>
      </c>
      <c r="O146" s="266">
        <f t="shared" si="36"/>
        <v>0</v>
      </c>
      <c r="P146" s="260"/>
      <c r="Q146" s="260"/>
      <c r="R146" s="260"/>
      <c r="S146" s="267">
        <f>ROUND(IFERROR($O146/Budget!$I$5,0),2)</f>
        <v>0</v>
      </c>
      <c r="T146" s="250" t="b">
        <f t="shared" si="37"/>
        <v>1</v>
      </c>
    </row>
    <row r="147">
      <c r="A147" s="252">
        <f t="shared" si="34"/>
        <v>139</v>
      </c>
      <c r="B147" s="253"/>
      <c r="C147" s="254"/>
      <c r="D147" s="255"/>
      <c r="E147" s="256"/>
      <c r="F147" s="257"/>
      <c r="G147" s="258"/>
      <c r="H147" s="259"/>
      <c r="I147" s="260"/>
      <c r="J147" s="261"/>
      <c r="K147" s="262"/>
      <c r="L147" s="263">
        <f t="shared" si="35"/>
        <v>0</v>
      </c>
      <c r="M147" s="264"/>
      <c r="N147" s="265">
        <f>Budget!$C$5</f>
        <v>36</v>
      </c>
      <c r="O147" s="266">
        <f t="shared" si="36"/>
        <v>0</v>
      </c>
      <c r="P147" s="260"/>
      <c r="Q147" s="260"/>
      <c r="R147" s="260"/>
      <c r="S147" s="267">
        <f>ROUND(IFERROR($O147/Budget!$I$5,0),2)</f>
        <v>0</v>
      </c>
      <c r="T147" s="250" t="b">
        <f t="shared" si="37"/>
        <v>1</v>
      </c>
    </row>
    <row r="148">
      <c r="A148" s="252">
        <f t="shared" si="34"/>
        <v>140</v>
      </c>
      <c r="B148" s="253"/>
      <c r="C148" s="254"/>
      <c r="D148" s="255"/>
      <c r="E148" s="256"/>
      <c r="F148" s="257"/>
      <c r="G148" s="258"/>
      <c r="H148" s="259"/>
      <c r="I148" s="260"/>
      <c r="J148" s="261"/>
      <c r="K148" s="262"/>
      <c r="L148" s="263">
        <f t="shared" si="35"/>
        <v>0</v>
      </c>
      <c r="M148" s="264"/>
      <c r="N148" s="265">
        <f>Budget!$C$5</f>
        <v>36</v>
      </c>
      <c r="O148" s="266">
        <f t="shared" si="36"/>
        <v>0</v>
      </c>
      <c r="P148" s="260"/>
      <c r="Q148" s="260"/>
      <c r="R148" s="260"/>
      <c r="S148" s="267">
        <f>ROUND(IFERROR($O148/Budget!$I$5,0),2)</f>
        <v>0</v>
      </c>
      <c r="T148" s="250" t="b">
        <f t="shared" si="37"/>
        <v>1</v>
      </c>
    </row>
    <row r="149">
      <c r="A149" s="252">
        <f t="shared" si="34"/>
        <v>141</v>
      </c>
      <c r="B149" s="253"/>
      <c r="C149" s="254"/>
      <c r="D149" s="255"/>
      <c r="E149" s="256"/>
      <c r="F149" s="257"/>
      <c r="G149" s="258"/>
      <c r="H149" s="259"/>
      <c r="I149" s="260"/>
      <c r="J149" s="261"/>
      <c r="K149" s="262"/>
      <c r="L149" s="263">
        <f t="shared" si="35"/>
        <v>0</v>
      </c>
      <c r="M149" s="264"/>
      <c r="N149" s="265">
        <f>Budget!$C$5</f>
        <v>36</v>
      </c>
      <c r="O149" s="266">
        <f t="shared" si="36"/>
        <v>0</v>
      </c>
      <c r="P149" s="260"/>
      <c r="Q149" s="260"/>
      <c r="R149" s="260"/>
      <c r="S149" s="267">
        <f>ROUND(IFERROR($O149/Budget!$I$5,0),2)</f>
        <v>0</v>
      </c>
      <c r="T149" s="250" t="b">
        <f t="shared" si="37"/>
        <v>1</v>
      </c>
    </row>
    <row r="150">
      <c r="A150" s="252">
        <f t="shared" si="34"/>
        <v>142</v>
      </c>
      <c r="B150" s="253"/>
      <c r="C150" s="254"/>
      <c r="D150" s="255"/>
      <c r="E150" s="256"/>
      <c r="F150" s="257"/>
      <c r="G150" s="258"/>
      <c r="H150" s="259"/>
      <c r="I150" s="260"/>
      <c r="J150" s="261"/>
      <c r="K150" s="262"/>
      <c r="L150" s="263">
        <f t="shared" si="35"/>
        <v>0</v>
      </c>
      <c r="M150" s="264"/>
      <c r="N150" s="265">
        <f>Budget!$C$5</f>
        <v>36</v>
      </c>
      <c r="O150" s="266">
        <f t="shared" si="36"/>
        <v>0</v>
      </c>
      <c r="P150" s="260"/>
      <c r="Q150" s="260"/>
      <c r="R150" s="260"/>
      <c r="S150" s="267">
        <f>ROUND(IFERROR($O150/Budget!$I$5,0),2)</f>
        <v>0</v>
      </c>
      <c r="T150" s="250" t="b">
        <f t="shared" si="37"/>
        <v>1</v>
      </c>
    </row>
    <row r="151">
      <c r="A151" s="252">
        <f t="shared" si="34"/>
        <v>143</v>
      </c>
      <c r="B151" s="253"/>
      <c r="C151" s="254"/>
      <c r="D151" s="255"/>
      <c r="E151" s="256"/>
      <c r="F151" s="257"/>
      <c r="G151" s="258"/>
      <c r="H151" s="259"/>
      <c r="I151" s="260"/>
      <c r="J151" s="261"/>
      <c r="K151" s="262"/>
      <c r="L151" s="263">
        <f t="shared" si="35"/>
        <v>0</v>
      </c>
      <c r="M151" s="264"/>
      <c r="N151" s="265">
        <f>Budget!$C$5</f>
        <v>36</v>
      </c>
      <c r="O151" s="266">
        <f t="shared" si="36"/>
        <v>0</v>
      </c>
      <c r="P151" s="260"/>
      <c r="Q151" s="260"/>
      <c r="R151" s="260"/>
      <c r="S151" s="267">
        <f>ROUND(IFERROR($O151/Budget!$I$5,0),2)</f>
        <v>0</v>
      </c>
      <c r="T151" s="250" t="b">
        <f t="shared" si="37"/>
        <v>1</v>
      </c>
    </row>
    <row r="152">
      <c r="A152" s="252">
        <f t="shared" si="34"/>
        <v>144</v>
      </c>
      <c r="B152" s="253"/>
      <c r="C152" s="254"/>
      <c r="D152" s="255"/>
      <c r="E152" s="256"/>
      <c r="F152" s="257"/>
      <c r="G152" s="258"/>
      <c r="H152" s="259"/>
      <c r="I152" s="260"/>
      <c r="J152" s="261"/>
      <c r="K152" s="262"/>
      <c r="L152" s="263">
        <f t="shared" si="35"/>
        <v>0</v>
      </c>
      <c r="M152" s="264"/>
      <c r="N152" s="265">
        <f>Budget!$C$5</f>
        <v>36</v>
      </c>
      <c r="O152" s="266">
        <f t="shared" si="36"/>
        <v>0</v>
      </c>
      <c r="P152" s="260"/>
      <c r="Q152" s="260"/>
      <c r="R152" s="260"/>
      <c r="S152" s="267">
        <f>ROUND(IFERROR($O152/Budget!$I$5,0),2)</f>
        <v>0</v>
      </c>
      <c r="T152" s="250" t="b">
        <f t="shared" si="37"/>
        <v>1</v>
      </c>
    </row>
    <row r="153">
      <c r="A153" s="252">
        <f t="shared" si="34"/>
        <v>145</v>
      </c>
      <c r="B153" s="253"/>
      <c r="C153" s="254"/>
      <c r="D153" s="255"/>
      <c r="E153" s="256"/>
      <c r="F153" s="257"/>
      <c r="G153" s="258"/>
      <c r="H153" s="259"/>
      <c r="I153" s="260"/>
      <c r="J153" s="261"/>
      <c r="K153" s="262"/>
      <c r="L153" s="263">
        <f t="shared" si="35"/>
        <v>0</v>
      </c>
      <c r="M153" s="264"/>
      <c r="N153" s="265">
        <f>Budget!$C$5</f>
        <v>36</v>
      </c>
      <c r="O153" s="266">
        <f t="shared" si="36"/>
        <v>0</v>
      </c>
      <c r="P153" s="260"/>
      <c r="Q153" s="260"/>
      <c r="R153" s="260"/>
      <c r="S153" s="267">
        <f>ROUND(IFERROR($O153/Budget!$I$5,0),2)</f>
        <v>0</v>
      </c>
      <c r="T153" s="250" t="b">
        <f t="shared" si="37"/>
        <v>1</v>
      </c>
    </row>
    <row r="154">
      <c r="A154" s="252">
        <f t="shared" si="34"/>
        <v>146</v>
      </c>
      <c r="B154" s="253"/>
      <c r="C154" s="254"/>
      <c r="D154" s="255"/>
      <c r="E154" s="256"/>
      <c r="F154" s="257"/>
      <c r="G154" s="258"/>
      <c r="H154" s="259"/>
      <c r="I154" s="260"/>
      <c r="J154" s="261"/>
      <c r="K154" s="262"/>
      <c r="L154" s="263">
        <f t="shared" si="35"/>
        <v>0</v>
      </c>
      <c r="M154" s="264"/>
      <c r="N154" s="265">
        <f>Budget!$C$5</f>
        <v>36</v>
      </c>
      <c r="O154" s="266">
        <f t="shared" si="36"/>
        <v>0</v>
      </c>
      <c r="P154" s="260"/>
      <c r="Q154" s="260"/>
      <c r="R154" s="260"/>
      <c r="S154" s="267">
        <f>ROUND(IFERROR($O154/Budget!$I$5,0),2)</f>
        <v>0</v>
      </c>
      <c r="T154" s="250" t="b">
        <f t="shared" si="37"/>
        <v>1</v>
      </c>
    </row>
    <row r="155">
      <c r="A155" s="252">
        <f t="shared" si="34"/>
        <v>147</v>
      </c>
      <c r="B155" s="253"/>
      <c r="C155" s="254"/>
      <c r="D155" s="255"/>
      <c r="E155" s="256"/>
      <c r="F155" s="257"/>
      <c r="G155" s="258"/>
      <c r="H155" s="259"/>
      <c r="I155" s="260"/>
      <c r="J155" s="261"/>
      <c r="K155" s="262"/>
      <c r="L155" s="263">
        <f t="shared" si="35"/>
        <v>0</v>
      </c>
      <c r="M155" s="264"/>
      <c r="N155" s="265">
        <f>Budget!$C$5</f>
        <v>36</v>
      </c>
      <c r="O155" s="266">
        <f t="shared" si="36"/>
        <v>0</v>
      </c>
      <c r="P155" s="260"/>
      <c r="Q155" s="260"/>
      <c r="R155" s="260"/>
      <c r="S155" s="267">
        <f>ROUND(IFERROR($O155/Budget!$I$5,0),2)</f>
        <v>0</v>
      </c>
      <c r="T155" s="250" t="b">
        <f t="shared" si="37"/>
        <v>1</v>
      </c>
    </row>
    <row r="156">
      <c r="A156" s="252">
        <f t="shared" si="34"/>
        <v>148</v>
      </c>
      <c r="B156" s="253"/>
      <c r="C156" s="254"/>
      <c r="D156" s="255"/>
      <c r="E156" s="256"/>
      <c r="F156" s="257"/>
      <c r="G156" s="258"/>
      <c r="H156" s="259"/>
      <c r="I156" s="260"/>
      <c r="J156" s="261"/>
      <c r="K156" s="262"/>
      <c r="L156" s="263">
        <f t="shared" si="35"/>
        <v>0</v>
      </c>
      <c r="M156" s="264"/>
      <c r="N156" s="265">
        <f>Budget!$C$5</f>
        <v>36</v>
      </c>
      <c r="O156" s="266">
        <f t="shared" si="36"/>
        <v>0</v>
      </c>
      <c r="P156" s="260"/>
      <c r="Q156" s="260"/>
      <c r="R156" s="260"/>
      <c r="S156" s="267">
        <f>ROUND(IFERROR($O156/Budget!$I$5,0),2)</f>
        <v>0</v>
      </c>
      <c r="T156" s="250" t="b">
        <f t="shared" si="37"/>
        <v>1</v>
      </c>
    </row>
    <row r="157">
      <c r="A157" s="252">
        <f t="shared" si="34"/>
        <v>149</v>
      </c>
      <c r="B157" s="253"/>
      <c r="C157" s="254"/>
      <c r="D157" s="255"/>
      <c r="E157" s="256"/>
      <c r="F157" s="257"/>
      <c r="G157" s="258"/>
      <c r="H157" s="259"/>
      <c r="I157" s="260"/>
      <c r="J157" s="261"/>
      <c r="K157" s="262"/>
      <c r="L157" s="263">
        <f t="shared" si="35"/>
        <v>0</v>
      </c>
      <c r="M157" s="264"/>
      <c r="N157" s="265">
        <f>Budget!$C$5</f>
        <v>36</v>
      </c>
      <c r="O157" s="266">
        <f t="shared" si="36"/>
        <v>0</v>
      </c>
      <c r="P157" s="260"/>
      <c r="Q157" s="260"/>
      <c r="R157" s="260"/>
      <c r="S157" s="267">
        <f>ROUND(IFERROR($O157/Budget!$I$5,0),2)</f>
        <v>0</v>
      </c>
      <c r="T157" s="250" t="b">
        <f t="shared" si="37"/>
        <v>1</v>
      </c>
    </row>
    <row r="158" ht="13.5">
      <c r="A158" s="268">
        <f t="shared" si="34"/>
        <v>150</v>
      </c>
      <c r="B158" s="269"/>
      <c r="C158" s="270"/>
      <c r="D158" s="271"/>
      <c r="E158" s="272"/>
      <c r="F158" s="273"/>
      <c r="G158" s="274"/>
      <c r="H158" s="275"/>
      <c r="I158" s="276"/>
      <c r="J158" s="277"/>
      <c r="K158" s="278"/>
      <c r="L158" s="279">
        <f t="shared" si="35"/>
        <v>0</v>
      </c>
      <c r="M158" s="280"/>
      <c r="N158" s="281">
        <f>Budget!$C$5</f>
        <v>36</v>
      </c>
      <c r="O158" s="282">
        <f t="shared" si="36"/>
        <v>0</v>
      </c>
      <c r="P158" s="276"/>
      <c r="Q158" s="276"/>
      <c r="R158" s="276"/>
      <c r="S158" s="283">
        <f>ROUND(IFERROR($O158/Budget!$I$5,0),2)</f>
        <v>0</v>
      </c>
      <c r="T158" s="250" t="b">
        <f t="shared" si="37"/>
        <v>1</v>
      </c>
    </row>
  </sheetData>
  <sheetProtection algorithmName="SHA-512" hashValue="qIlNTH1uKqDYwFdxMeSLkGsrS1g2QlllgPfQrAr9uQu+lOT3nwIC3xeATuIP5SL+5MAWg02sU3yMFPEkSLhSnw==" saltValue="/zl7KwW1/jZ9J+OtXPFyNQ==" spinCount="100000" autoFilter="0" deleteColumns="0" deleteRows="0" formatCells="0" formatColumns="0" formatRows="0" insertColumns="1" insertHyperlinks="0" insertRows="1" objects="1" pivotTables="0" scenarios="0" selectLockedCells="0" selectUnlockedCells="0" sheet="1" sort="0"/>
  <mergeCells count="4">
    <mergeCell ref="B7:G7"/>
    <mergeCell ref="H7:J7"/>
    <mergeCell ref="K7:L7"/>
    <mergeCell ref="M7:S7"/>
  </mergeCells>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X3" zoomScale="100" workbookViewId="0">
      <selection activeCell="CR5" activeCellId="0" sqref="CR5"/>
    </sheetView>
  </sheetViews>
  <sheetFormatPr defaultColWidth="10.85546875" defaultRowHeight="99.950000000000003" customHeight="1"/>
  <cols>
    <col min="1" max="2" style="284" width="10.85546875"/>
    <col customWidth="1" min="3" max="3" style="284" width="26.7109375"/>
    <col min="4" max="31" style="284" width="10.85546875"/>
    <col customWidth="1" min="32" max="32" style="284" width="17.5703125"/>
    <col min="33" max="41" style="284" width="10.85546875"/>
    <col customWidth="1" hidden="1" min="42" max="42" style="284" width="16.5703125"/>
    <col customWidth="1" hidden="1" min="43" max="43" style="284" width="75"/>
    <col customWidth="1" hidden="1" min="44" max="44" style="284" width="0"/>
    <col customWidth="1" hidden="1" min="45" max="45" style="284" width="38.7109375"/>
    <col customWidth="1" hidden="1" min="46" max="46" style="284" width="34.7109375"/>
    <col customWidth="1" hidden="1" min="47" max="47" style="284" width="32.28515625"/>
    <col customWidth="1" hidden="1" min="48" max="48" style="284" width="30.42578125"/>
    <col customWidth="1" hidden="1" min="49" max="49" style="284" width="36.28515625"/>
    <col customWidth="1" hidden="1" min="50" max="50" style="284" width="43.28515625"/>
    <col customWidth="1" hidden="1" min="51" max="51" style="284" width="49.42578125"/>
    <col customWidth="1" hidden="1" min="52" max="52" style="284" width="28.7109375"/>
    <col min="53" max="16384" style="284" width="10.85546875"/>
  </cols>
  <sheetData>
    <row r="1" ht="88.150000000000006" customHeight="1">
      <c r="A1" s="284" t="s">
        <v>35</v>
      </c>
      <c r="B1" s="284" t="s">
        <v>36</v>
      </c>
      <c r="C1" s="284" t="s">
        <v>37</v>
      </c>
      <c r="D1" s="284" t="s">
        <v>38</v>
      </c>
      <c r="E1" s="284" t="s">
        <v>39</v>
      </c>
      <c r="F1" s="284" t="s">
        <v>40</v>
      </c>
      <c r="G1" s="284" t="s">
        <v>41</v>
      </c>
      <c r="H1" s="284" t="s">
        <v>42</v>
      </c>
      <c r="I1" s="284" t="s">
        <v>43</v>
      </c>
      <c r="J1" s="284" t="s">
        <v>44</v>
      </c>
      <c r="K1" s="284" t="s">
        <v>45</v>
      </c>
      <c r="L1" s="284" t="s">
        <v>46</v>
      </c>
      <c r="M1" s="284" t="s">
        <v>47</v>
      </c>
      <c r="N1" s="284" t="s">
        <v>48</v>
      </c>
      <c r="O1" s="284" t="s">
        <v>49</v>
      </c>
      <c r="P1" s="284" t="s">
        <v>50</v>
      </c>
      <c r="Q1" s="284" t="s">
        <v>51</v>
      </c>
      <c r="R1" s="284" t="s">
        <v>52</v>
      </c>
      <c r="S1" s="284" t="s">
        <v>53</v>
      </c>
      <c r="T1" s="284" t="s">
        <v>54</v>
      </c>
      <c r="U1" s="284" t="s">
        <v>55</v>
      </c>
      <c r="V1" s="284" t="s">
        <v>56</v>
      </c>
      <c r="W1" s="284" t="s">
        <v>57</v>
      </c>
      <c r="X1" s="284" t="s">
        <v>58</v>
      </c>
      <c r="Y1" s="284" t="s">
        <v>59</v>
      </c>
      <c r="Z1" s="284" t="s">
        <v>60</v>
      </c>
      <c r="AA1" s="284" t="s">
        <v>61</v>
      </c>
      <c r="AB1" s="284" t="s">
        <v>62</v>
      </c>
      <c r="AC1" s="284" t="s">
        <v>63</v>
      </c>
      <c r="AD1" s="284" t="s">
        <v>64</v>
      </c>
      <c r="AE1" s="284" t="s">
        <v>65</v>
      </c>
      <c r="AF1" s="284" t="s">
        <v>66</v>
      </c>
      <c r="AG1" s="284" t="s">
        <v>67</v>
      </c>
      <c r="AH1" s="284" t="s">
        <v>68</v>
      </c>
      <c r="AI1" s="284" t="s">
        <v>69</v>
      </c>
      <c r="AJ1" s="284" t="s">
        <v>70</v>
      </c>
      <c r="AK1" s="284" t="s">
        <v>71</v>
      </c>
      <c r="AL1" s="284" t="s">
        <v>72</v>
      </c>
      <c r="AM1" s="284" t="s">
        <v>73</v>
      </c>
      <c r="AN1" s="284" t="s">
        <v>74</v>
      </c>
      <c r="AO1" s="284" t="s">
        <v>75</v>
      </c>
      <c r="AP1" s="284" t="s">
        <v>76</v>
      </c>
      <c r="AQ1" s="284" t="s">
        <v>77</v>
      </c>
      <c r="AR1" s="284" t="s">
        <v>78</v>
      </c>
      <c r="AS1" s="285" t="s">
        <v>79</v>
      </c>
      <c r="AT1" s="285" t="s">
        <v>80</v>
      </c>
      <c r="AU1" s="285" t="s">
        <v>81</v>
      </c>
      <c r="AV1" s="285" t="s">
        <v>82</v>
      </c>
      <c r="AW1" s="285" t="s">
        <v>83</v>
      </c>
      <c r="AX1" s="285" t="s">
        <v>84</v>
      </c>
      <c r="AY1" s="285" t="s">
        <v>85</v>
      </c>
      <c r="AZ1" s="285" t="s">
        <v>86</v>
      </c>
      <c r="BA1" s="284" t="s">
        <v>87</v>
      </c>
      <c r="BB1" s="284" t="s">
        <v>88</v>
      </c>
      <c r="BC1" s="284" t="s">
        <v>89</v>
      </c>
      <c r="BD1" s="284" t="s">
        <v>90</v>
      </c>
      <c r="BE1" s="284" t="s">
        <v>91</v>
      </c>
      <c r="BF1" s="284" t="s">
        <v>92</v>
      </c>
      <c r="BG1" s="284" t="s">
        <v>93</v>
      </c>
      <c r="BH1" s="284" t="s">
        <v>94</v>
      </c>
      <c r="BI1" s="284" t="s">
        <v>95</v>
      </c>
      <c r="BJ1" s="284" t="s">
        <v>96</v>
      </c>
      <c r="BK1" s="284" t="s">
        <v>97</v>
      </c>
      <c r="BL1" s="284" t="s">
        <v>98</v>
      </c>
      <c r="BM1" s="284" t="s">
        <v>99</v>
      </c>
      <c r="BN1" s="284" t="s">
        <v>100</v>
      </c>
      <c r="BO1" s="284" t="s">
        <v>101</v>
      </c>
      <c r="BP1" s="284" t="s">
        <v>102</v>
      </c>
      <c r="BQ1" s="284" t="s">
        <v>103</v>
      </c>
      <c r="BR1" s="284" t="s">
        <v>104</v>
      </c>
      <c r="BS1" s="284" t="s">
        <v>105</v>
      </c>
      <c r="BT1" s="284" t="s">
        <v>106</v>
      </c>
      <c r="BU1" s="284" t="s">
        <v>107</v>
      </c>
      <c r="BV1" s="284" t="s">
        <v>108</v>
      </c>
      <c r="BW1" s="284" t="s">
        <v>109</v>
      </c>
      <c r="BX1" s="284" t="s">
        <v>110</v>
      </c>
      <c r="BY1" s="284" t="s">
        <v>111</v>
      </c>
      <c r="BZ1" s="284" t="s">
        <v>112</v>
      </c>
      <c r="CA1" s="284" t="s">
        <v>113</v>
      </c>
      <c r="CB1" s="284" t="s">
        <v>114</v>
      </c>
      <c r="CC1" s="284" t="s">
        <v>115</v>
      </c>
      <c r="CD1" s="284" t="s">
        <v>116</v>
      </c>
      <c r="CE1" s="284" t="s">
        <v>117</v>
      </c>
      <c r="CF1" s="284" t="s">
        <v>118</v>
      </c>
      <c r="CG1" s="284" t="s">
        <v>119</v>
      </c>
      <c r="CH1" s="284" t="s">
        <v>120</v>
      </c>
      <c r="CI1" s="284" t="s">
        <v>121</v>
      </c>
      <c r="CJ1" s="284" t="s">
        <v>122</v>
      </c>
      <c r="CK1" s="284" t="s">
        <v>123</v>
      </c>
      <c r="CL1" s="286" t="s">
        <v>124</v>
      </c>
      <c r="CM1" s="284" t="s">
        <v>125</v>
      </c>
      <c r="CN1" s="284" t="s">
        <v>126</v>
      </c>
      <c r="CO1" s="284" t="s">
        <v>127</v>
      </c>
      <c r="CP1" s="284" t="str">
        <f>"Die Personalkosten (z. B. Gehälter) sind nicht auf diesem Blatt einzutragen." &amp; CHAR(10) &amp;
"Bitte klicken Sie unten links auf den Reiter """ &amp; CT10 &amp; """." &amp; CHAR(10) &amp;
"Dort erfassen Sie alle Daten zu den Mitarbeitenden im Projekt."</f>
        <v xml:space="preserve">Die Personalkosten (z. B. Gehälter) sind nicht auf diesem Blatt einzutragen.
Bitte klicken Sie unten links auf den Reiter "Payroll structure".
Dort erfassen Sie alle Daten zu den Mitarbeitenden im Projekt.</v>
      </c>
      <c r="CQ1" s="284" t="str">
        <f>CP1 &amp; CHAR(10) &amp; CHAR(10) &amp; "Diese Angaben werden automatisch in den Abschnitt „Personalkosten“ dieses Blatts übernommen." &amp; CHAR(10) &amp; "Die Zellen in diesem Bereich sind deshalb gesperrt und können nicht bearbeitet werden."</f>
        <v xml:space="preserve">Die Personalkosten (z. B. Gehälter) sind nicht auf diesem Blatt einzutragen.
Bitte klicken Sie unten links auf den Reiter "Payroll structure".
Dort erfassen Sie alle Daten zu den Mitarbeitenden im Projekt.
Diese Angaben werden automatisch in den Abschnitt „Personalkosten“ dieses Blatts übernommen.
Die Zellen in diesem Bereich sind deshalb gesperrt und können nicht bearbeitet werden.</v>
      </c>
      <c r="CR1" s="284" t="s">
        <v>128</v>
      </c>
      <c r="CS1" s="284" t="s">
        <v>90</v>
      </c>
      <c r="CT1" s="284" t="s">
        <v>129</v>
      </c>
      <c r="CU1" s="284" t="s">
        <v>130</v>
      </c>
    </row>
    <row r="2" ht="114" customHeight="1">
      <c r="A2" s="284" t="s">
        <v>131</v>
      </c>
      <c r="B2" s="284" t="s">
        <v>9</v>
      </c>
      <c r="C2" s="284" t="s">
        <v>132</v>
      </c>
      <c r="D2" s="284" t="s">
        <v>133</v>
      </c>
      <c r="E2" s="284" t="s">
        <v>134</v>
      </c>
      <c r="F2" s="284" t="s">
        <v>135</v>
      </c>
      <c r="G2" s="284" t="s">
        <v>136</v>
      </c>
      <c r="H2" s="284" t="s">
        <v>137</v>
      </c>
      <c r="I2" s="284" t="s">
        <v>138</v>
      </c>
      <c r="J2" s="284" t="s">
        <v>139</v>
      </c>
      <c r="K2" s="284" t="s">
        <v>140</v>
      </c>
      <c r="L2" s="284" t="s">
        <v>141</v>
      </c>
      <c r="M2" s="284" t="s">
        <v>142</v>
      </c>
      <c r="N2" s="284" t="s">
        <v>143</v>
      </c>
      <c r="O2" s="284" t="s">
        <v>144</v>
      </c>
      <c r="P2" s="284" t="s">
        <v>145</v>
      </c>
      <c r="Q2" s="284" t="s">
        <v>146</v>
      </c>
      <c r="R2" s="284" t="s">
        <v>147</v>
      </c>
      <c r="S2" s="284" t="s">
        <v>148</v>
      </c>
      <c r="T2" s="284" t="s">
        <v>149</v>
      </c>
      <c r="U2" s="284" t="s">
        <v>150</v>
      </c>
      <c r="V2" s="284" t="s">
        <v>56</v>
      </c>
      <c r="W2" s="284" t="s">
        <v>151</v>
      </c>
      <c r="X2" s="284" t="s">
        <v>152</v>
      </c>
      <c r="Y2" s="284" t="s">
        <v>153</v>
      </c>
      <c r="Z2" s="284" t="s">
        <v>154</v>
      </c>
      <c r="AA2" s="284" t="s">
        <v>155</v>
      </c>
      <c r="AB2" s="284" t="s">
        <v>156</v>
      </c>
      <c r="AC2" s="284" t="s">
        <v>157</v>
      </c>
      <c r="AD2" s="284" t="s">
        <v>64</v>
      </c>
      <c r="AE2" s="284" t="s">
        <v>158</v>
      </c>
      <c r="AF2" s="284" t="s">
        <v>159</v>
      </c>
      <c r="AG2" s="284" t="s">
        <v>160</v>
      </c>
      <c r="AH2" s="284" t="s">
        <v>161</v>
      </c>
      <c r="AI2" s="284" t="s">
        <v>162</v>
      </c>
      <c r="AJ2" s="284" t="s">
        <v>163</v>
      </c>
      <c r="AK2" s="284" t="s">
        <v>164</v>
      </c>
      <c r="AL2" s="284" t="s">
        <v>165</v>
      </c>
      <c r="AM2" s="284" t="s">
        <v>166</v>
      </c>
      <c r="AN2" s="284" t="s">
        <v>167</v>
      </c>
      <c r="AO2" s="284" t="s">
        <v>168</v>
      </c>
      <c r="BA2" s="284" t="s">
        <v>169</v>
      </c>
      <c r="BB2" s="284" t="s">
        <v>170</v>
      </c>
      <c r="BC2" s="284" t="s">
        <v>171</v>
      </c>
      <c r="BD2" s="284" t="s">
        <v>172</v>
      </c>
      <c r="BE2" s="284" t="s">
        <v>173</v>
      </c>
      <c r="BF2" s="284" t="s">
        <v>174</v>
      </c>
      <c r="BG2" s="284" t="s">
        <v>175</v>
      </c>
      <c r="BH2" s="284" t="s">
        <v>94</v>
      </c>
      <c r="BI2" s="284" t="s">
        <v>176</v>
      </c>
      <c r="BJ2" s="284" t="s">
        <v>177</v>
      </c>
      <c r="BK2" s="284" t="s">
        <v>178</v>
      </c>
      <c r="BL2" s="284" t="s">
        <v>179</v>
      </c>
      <c r="BM2" s="284" t="s">
        <v>180</v>
      </c>
      <c r="BN2" s="284" t="s">
        <v>100</v>
      </c>
      <c r="BO2" s="284" t="s">
        <v>181</v>
      </c>
      <c r="BP2" s="284" t="s">
        <v>182</v>
      </c>
      <c r="BQ2" s="284" t="s">
        <v>183</v>
      </c>
      <c r="BR2" s="284" t="s">
        <v>184</v>
      </c>
      <c r="BS2" s="284" t="s">
        <v>185</v>
      </c>
      <c r="BT2" s="284" t="s">
        <v>186</v>
      </c>
      <c r="BU2" s="284" t="s">
        <v>187</v>
      </c>
      <c r="BV2" s="284" t="s">
        <v>188</v>
      </c>
      <c r="BW2" s="284" t="s">
        <v>189</v>
      </c>
      <c r="BX2" s="284" t="s">
        <v>190</v>
      </c>
      <c r="BY2" s="284" t="s">
        <v>191</v>
      </c>
      <c r="BZ2" s="284" t="s">
        <v>192</v>
      </c>
      <c r="CA2" s="284" t="s">
        <v>193</v>
      </c>
      <c r="CB2" s="284" t="s">
        <v>194</v>
      </c>
      <c r="CC2" s="284" t="s">
        <v>195</v>
      </c>
      <c r="CD2" s="284" t="s">
        <v>196</v>
      </c>
      <c r="CE2" s="284" t="s">
        <v>197</v>
      </c>
      <c r="CF2" s="284" t="s">
        <v>198</v>
      </c>
      <c r="CG2" s="284" t="s">
        <v>199</v>
      </c>
      <c r="CH2" s="284" t="s">
        <v>200</v>
      </c>
      <c r="CI2" s="284" t="s">
        <v>201</v>
      </c>
      <c r="CJ2" s="284" t="s">
        <v>202</v>
      </c>
      <c r="CK2" s="284" t="s">
        <v>203</v>
      </c>
      <c r="CL2" s="286" t="s">
        <v>204</v>
      </c>
      <c r="CM2" s="284" t="s">
        <v>205</v>
      </c>
      <c r="CN2" s="284" t="s">
        <v>206</v>
      </c>
      <c r="CO2" s="284" t="s">
        <v>207</v>
      </c>
      <c r="CP2" s="284" t="str">
        <f>"Personnel costs (e.g. salaries) should not be entered on this sheet." &amp; CHAR(10) &amp;
"Please click on the """ &amp; CT10 &amp; """ tab at the bottom left." &amp; CHAR(10) &amp;
"There you can enter all data regarding project staff."</f>
        <v xml:space="preserve">Personnel costs (e.g. salaries) should not be entered on this sheet.
Please click on the "Payroll structure" tab at the bottom left.
There you can enter all data regarding project staff.</v>
      </c>
      <c r="CQ2" s="284" t="str">
        <f>CP2 &amp; CHAR(10) &amp; CHAR(10) &amp; "This information is automatically transferred to the “Personnel Expenses” section of this sheet." &amp; CHAR(10) &amp; "As a result, the cells in this section are locked and cannot be modified."</f>
        <v xml:space="preserve">Personnel costs (e.g. salaries) should not be entered on this sheet.
Please click on the "Payroll structure" tab at the bottom left.
There you can enter all data regarding project staff.
This information is automatically transferred to the “Personnel Expenses” section of this sheet.
As a result, the cells in this section are locked and cannot be modified.</v>
      </c>
      <c r="CR2" s="284" t="s">
        <v>128</v>
      </c>
      <c r="CS2" s="284" t="s">
        <v>208</v>
      </c>
      <c r="CT2" s="284" t="s">
        <v>209</v>
      </c>
      <c r="CU2" s="284" t="s">
        <v>210</v>
      </c>
    </row>
    <row r="3" ht="171" customHeight="1">
      <c r="A3" s="284" t="s">
        <v>211</v>
      </c>
      <c r="B3" s="284" t="s">
        <v>212</v>
      </c>
      <c r="C3" s="287" t="s">
        <v>213</v>
      </c>
      <c r="D3" s="284" t="s">
        <v>214</v>
      </c>
      <c r="E3" s="284" t="s">
        <v>215</v>
      </c>
      <c r="F3" s="284" t="s">
        <v>216</v>
      </c>
      <c r="G3" s="288" t="s">
        <v>217</v>
      </c>
      <c r="H3" s="284" t="s">
        <v>218</v>
      </c>
      <c r="I3" s="284" t="s">
        <v>219</v>
      </c>
      <c r="J3" s="284" t="s">
        <v>220</v>
      </c>
      <c r="K3" s="284" t="s">
        <v>221</v>
      </c>
      <c r="L3" s="284" t="s">
        <v>222</v>
      </c>
      <c r="M3" s="284" t="s">
        <v>223</v>
      </c>
      <c r="N3" s="284" t="s">
        <v>224</v>
      </c>
      <c r="O3" s="284" t="s">
        <v>225</v>
      </c>
      <c r="P3" s="284" t="s">
        <v>226</v>
      </c>
      <c r="Q3" s="284" t="s">
        <v>227</v>
      </c>
      <c r="R3" s="284" t="s">
        <v>228</v>
      </c>
      <c r="S3" s="284" t="s">
        <v>229</v>
      </c>
      <c r="T3" s="284" t="s">
        <v>230</v>
      </c>
      <c r="U3" s="284" t="s">
        <v>150</v>
      </c>
      <c r="V3" s="284" t="s">
        <v>56</v>
      </c>
      <c r="W3" s="284" t="s">
        <v>231</v>
      </c>
      <c r="X3" s="284" t="s">
        <v>232</v>
      </c>
      <c r="Y3" s="289" t="s">
        <v>233</v>
      </c>
      <c r="Z3" s="290" t="s">
        <v>234</v>
      </c>
      <c r="AA3" s="284" t="s">
        <v>235</v>
      </c>
      <c r="AB3" s="284" t="s">
        <v>236</v>
      </c>
      <c r="AC3" s="284" t="s">
        <v>237</v>
      </c>
      <c r="AD3" s="284" t="s">
        <v>238</v>
      </c>
      <c r="AE3" s="284" t="s">
        <v>239</v>
      </c>
      <c r="AF3" s="284" t="s">
        <v>240</v>
      </c>
      <c r="AG3" s="284" t="s">
        <v>241</v>
      </c>
      <c r="AH3" s="284" t="s">
        <v>242</v>
      </c>
      <c r="AI3" s="284" t="s">
        <v>243</v>
      </c>
      <c r="AJ3" s="284" t="s">
        <v>244</v>
      </c>
      <c r="AK3" s="284" t="s">
        <v>245</v>
      </c>
      <c r="AL3" s="288" t="s">
        <v>246</v>
      </c>
      <c r="AM3" s="288" t="s">
        <v>247</v>
      </c>
      <c r="AN3" s="288" t="s">
        <v>248</v>
      </c>
      <c r="AO3" s="288" t="s">
        <v>249</v>
      </c>
      <c r="AP3" s="284" t="s">
        <v>250</v>
      </c>
      <c r="AQ3" s="291" t="s">
        <v>251</v>
      </c>
      <c r="AR3" s="284" t="s">
        <v>252</v>
      </c>
      <c r="AS3" s="291" t="s">
        <v>253</v>
      </c>
      <c r="AT3" s="291" t="s">
        <v>254</v>
      </c>
      <c r="AU3" s="291" t="s">
        <v>255</v>
      </c>
      <c r="AV3" s="291" t="s">
        <v>256</v>
      </c>
      <c r="AW3" s="291" t="s">
        <v>257</v>
      </c>
      <c r="AX3" s="291"/>
      <c r="AY3" s="291"/>
      <c r="AZ3" s="291"/>
      <c r="BA3" s="284" t="s">
        <v>258</v>
      </c>
      <c r="BB3" s="284" t="s">
        <v>259</v>
      </c>
      <c r="BC3" s="284" t="s">
        <v>260</v>
      </c>
      <c r="BD3" s="284" t="s">
        <v>261</v>
      </c>
      <c r="BE3" s="284" t="s">
        <v>262</v>
      </c>
      <c r="BF3" s="284" t="s">
        <v>263</v>
      </c>
      <c r="BG3" s="284" t="s">
        <v>264</v>
      </c>
      <c r="BH3" s="284" t="s">
        <v>265</v>
      </c>
      <c r="BI3" s="284" t="s">
        <v>266</v>
      </c>
      <c r="BJ3" s="284" t="s">
        <v>267</v>
      </c>
      <c r="BK3" s="284" t="s">
        <v>268</v>
      </c>
      <c r="BL3" s="284" t="s">
        <v>269</v>
      </c>
      <c r="BM3" s="284" t="s">
        <v>270</v>
      </c>
      <c r="BN3" s="284" t="s">
        <v>100</v>
      </c>
      <c r="BO3" s="284" t="s">
        <v>271</v>
      </c>
      <c r="BP3" s="284" t="s">
        <v>272</v>
      </c>
      <c r="BQ3" s="284" t="s">
        <v>273</v>
      </c>
      <c r="BR3" s="284" t="s">
        <v>274</v>
      </c>
      <c r="BS3" s="284" t="s">
        <v>275</v>
      </c>
      <c r="BT3" s="284" t="s">
        <v>276</v>
      </c>
      <c r="BU3" s="284" t="s">
        <v>277</v>
      </c>
      <c r="BV3" s="284" t="s">
        <v>278</v>
      </c>
      <c r="BW3" s="284" t="s">
        <v>279</v>
      </c>
      <c r="BX3" s="284" t="s">
        <v>280</v>
      </c>
      <c r="BY3" s="284" t="s">
        <v>281</v>
      </c>
      <c r="BZ3" s="284" t="s">
        <v>282</v>
      </c>
      <c r="CA3" s="284" t="s">
        <v>283</v>
      </c>
      <c r="CB3" s="284" t="s">
        <v>284</v>
      </c>
      <c r="CC3" s="284" t="s">
        <v>285</v>
      </c>
      <c r="CD3" s="284" t="s">
        <v>286</v>
      </c>
      <c r="CE3" s="284" t="s">
        <v>287</v>
      </c>
      <c r="CF3" s="284" t="s">
        <v>288</v>
      </c>
      <c r="CG3" s="284" t="s">
        <v>289</v>
      </c>
      <c r="CH3" s="284" t="s">
        <v>290</v>
      </c>
      <c r="CI3" s="284" t="s">
        <v>291</v>
      </c>
      <c r="CJ3" s="284" t="s">
        <v>292</v>
      </c>
      <c r="CK3" s="284" t="s">
        <v>293</v>
      </c>
      <c r="CL3" s="286" t="s">
        <v>294</v>
      </c>
      <c r="CM3" s="284" t="s">
        <v>295</v>
      </c>
      <c r="CN3" s="284" t="s">
        <v>296</v>
      </c>
      <c r="CO3" s="284" t="s">
        <v>297</v>
      </c>
      <c r="CP3" s="284" t="str">
        <f>"Les coûts du personnel (par ex. les salaires) ne doivent pas être saisis dans cette feuille." &amp; CHAR(10) &amp;
"Veuillez cliquer sur l’onglet « " &amp; CT10 &amp; " » en bas à gauche." &amp; CHAR(10) &amp;
"Vous y saisirez toutes les données concernant le personnel du projet."</f>
        <v xml:space="preserve">Les coûts du personnel (par ex. les salaires) ne doivent pas être saisis dans cette feuille.
Veuillez cliquer sur l’onglet « Payroll structure » en bas à gauche.
Vous y saisirez toutes les données concernant le personnel du projet.</v>
      </c>
      <c r="CQ3" s="284" t="str">
        <f>CP3 &amp; CHAR(10) &amp; CHAR(10) &amp; "Ces informations sont automatiquement transférées dans la section « Personnel » de cette feuille." &amp; CHAR(10) &amp; "Par conséquent, les cellules de cette section sont verrouillées et ne peuvent pas être modifiées."</f>
        <v xml:space="preserve">Les coûts du personnel (par ex. les salaires) ne doivent pas être saisis dans cette feuille.
Veuillez cliquer sur l’onglet « Payroll structure » en bas à gauche.
Vous y saisirez toutes les données concernant le personnel du projet.
Ces informations sont automatiquement transférées dans la section « Personnel » de cette feuille.
Par conséquent, les cellules de cette section sont verrouillées et ne peuvent pas être modifiées.</v>
      </c>
      <c r="CR3" s="284" t="s">
        <v>128</v>
      </c>
      <c r="CS3" s="284" t="s">
        <v>298</v>
      </c>
      <c r="CT3" s="284" t="s">
        <v>299</v>
      </c>
      <c r="CU3" s="284" t="s">
        <v>300</v>
      </c>
    </row>
    <row r="4" ht="181.5" customHeight="1">
      <c r="A4" s="284" t="s">
        <v>301</v>
      </c>
      <c r="B4" s="284" t="s">
        <v>302</v>
      </c>
      <c r="C4" s="284" t="s">
        <v>303</v>
      </c>
      <c r="D4" s="284" t="s">
        <v>304</v>
      </c>
      <c r="E4" s="284" t="s">
        <v>305</v>
      </c>
      <c r="F4" s="284" t="s">
        <v>306</v>
      </c>
      <c r="G4" s="284" t="s">
        <v>307</v>
      </c>
      <c r="H4" s="284" t="s">
        <v>308</v>
      </c>
      <c r="I4" s="284" t="s">
        <v>309</v>
      </c>
      <c r="J4" s="284" t="s">
        <v>310</v>
      </c>
      <c r="K4" s="284" t="s">
        <v>311</v>
      </c>
      <c r="L4" s="284" t="s">
        <v>312</v>
      </c>
      <c r="M4" s="284" t="s">
        <v>313</v>
      </c>
      <c r="N4" s="284" t="s">
        <v>314</v>
      </c>
      <c r="O4" s="284" t="s">
        <v>315</v>
      </c>
      <c r="P4" s="284" t="s">
        <v>316</v>
      </c>
      <c r="Q4" s="284" t="s">
        <v>317</v>
      </c>
      <c r="R4" s="284" t="s">
        <v>318</v>
      </c>
      <c r="S4" s="284" t="s">
        <v>319</v>
      </c>
      <c r="T4" s="284" t="s">
        <v>320</v>
      </c>
      <c r="U4" s="284" t="s">
        <v>321</v>
      </c>
      <c r="V4" s="284" t="s">
        <v>322</v>
      </c>
      <c r="W4" s="284" t="s">
        <v>323</v>
      </c>
      <c r="X4" s="284" t="s">
        <v>152</v>
      </c>
      <c r="Y4" s="284" t="s">
        <v>324</v>
      </c>
      <c r="Z4" s="284" t="s">
        <v>325</v>
      </c>
      <c r="AA4" s="284" t="s">
        <v>326</v>
      </c>
      <c r="AB4" s="284" t="s">
        <v>327</v>
      </c>
      <c r="AC4" s="284" t="s">
        <v>328</v>
      </c>
      <c r="AD4" s="284" t="s">
        <v>64</v>
      </c>
      <c r="AE4" s="284" t="s">
        <v>329</v>
      </c>
      <c r="AF4" s="284" t="s">
        <v>330</v>
      </c>
      <c r="AG4" s="284" t="s">
        <v>331</v>
      </c>
      <c r="AH4" s="284" t="s">
        <v>332</v>
      </c>
      <c r="AI4" s="284" t="s">
        <v>333</v>
      </c>
      <c r="AJ4" s="284" t="s">
        <v>334</v>
      </c>
      <c r="AK4" s="284" t="s">
        <v>335</v>
      </c>
      <c r="AL4" s="284" t="s">
        <v>336</v>
      </c>
      <c r="AM4" s="284" t="s">
        <v>337</v>
      </c>
      <c r="AN4" s="284" t="s">
        <v>338</v>
      </c>
      <c r="AO4" s="284" t="s">
        <v>339</v>
      </c>
      <c r="BA4" s="284" t="s">
        <v>340</v>
      </c>
      <c r="BB4" s="284" t="s">
        <v>341</v>
      </c>
      <c r="BC4" s="284" t="s">
        <v>342</v>
      </c>
      <c r="BD4" s="284" t="s">
        <v>343</v>
      </c>
      <c r="BE4" s="284" t="s">
        <v>344</v>
      </c>
      <c r="BF4" s="284" t="s">
        <v>345</v>
      </c>
      <c r="BG4" s="284" t="s">
        <v>346</v>
      </c>
      <c r="BH4" s="284" t="s">
        <v>347</v>
      </c>
      <c r="BI4" s="284" t="s">
        <v>348</v>
      </c>
      <c r="BJ4" s="284" t="s">
        <v>267</v>
      </c>
      <c r="BK4" s="284" t="s">
        <v>349</v>
      </c>
      <c r="BL4" s="284" t="s">
        <v>269</v>
      </c>
      <c r="BM4" s="284" t="s">
        <v>350</v>
      </c>
      <c r="BN4" s="284" t="s">
        <v>351</v>
      </c>
      <c r="BO4" s="287" t="s">
        <v>352</v>
      </c>
      <c r="BP4" s="287" t="s">
        <v>353</v>
      </c>
      <c r="BQ4" s="284" t="s">
        <v>354</v>
      </c>
      <c r="BR4" s="284" t="s">
        <v>355</v>
      </c>
      <c r="BS4" s="284" t="s">
        <v>356</v>
      </c>
      <c r="BT4" s="284" t="s">
        <v>357</v>
      </c>
      <c r="BU4" s="284" t="s">
        <v>358</v>
      </c>
      <c r="BV4" s="284" t="s">
        <v>359</v>
      </c>
      <c r="BW4" s="284" t="s">
        <v>360</v>
      </c>
      <c r="BX4" s="284" t="s">
        <v>361</v>
      </c>
      <c r="BY4" s="284" t="s">
        <v>362</v>
      </c>
      <c r="BZ4" s="284" t="s">
        <v>363</v>
      </c>
      <c r="CA4" s="284" t="s">
        <v>364</v>
      </c>
      <c r="CB4" s="284" t="s">
        <v>365</v>
      </c>
      <c r="CC4" s="291" t="s">
        <v>366</v>
      </c>
      <c r="CD4" s="291" t="s">
        <v>367</v>
      </c>
      <c r="CE4" s="284" t="s">
        <v>368</v>
      </c>
      <c r="CF4" s="284" t="s">
        <v>369</v>
      </c>
      <c r="CG4" s="291" t="s">
        <v>370</v>
      </c>
      <c r="CH4" s="284" t="s">
        <v>371</v>
      </c>
      <c r="CI4" s="284" t="s">
        <v>372</v>
      </c>
      <c r="CJ4" s="284" t="s">
        <v>373</v>
      </c>
      <c r="CK4" s="284" t="s">
        <v>374</v>
      </c>
      <c r="CL4" s="286" t="s">
        <v>375</v>
      </c>
      <c r="CM4" s="284" t="s">
        <v>376</v>
      </c>
      <c r="CN4" s="284" t="s">
        <v>377</v>
      </c>
      <c r="CO4" s="284" t="s">
        <v>378</v>
      </c>
      <c r="CP4" s="284" t="str">
        <f>"Los costes de personal (p. ej., sueldos) no deben ingresarse en esta hoja." &amp; CHAR(10) &amp;
"Haga clic en la pestaña « " &amp; CT10 &amp; " » en la parte inferior izquierda." &amp; CHAR(10) &amp;
"Allí puede introducir todos los datos sobre el personal del proyecto."</f>
        <v xml:space="preserve">Los costes de personal (p. ej., sueldos) no deben ingresarse en esta hoja.
Haga clic en la pestaña « Payroll structure » en la parte inferior izquierda.
Allí puede introducir todos los datos sobre el personal del proyecto.</v>
      </c>
      <c r="CQ4" s="284" t="str">
        <f>CP4 &amp; CHAR(10) &amp; CHAR(10) &amp; "Esta información se transfiere automáticamente a la sección « Gastos de personal » de esta hoja." &amp; CHAR(10) &amp; "Por lo tanto, las celdas de esta sección están bloqueadas y no se pueden modificar."</f>
        <v xml:space="preserve">Los costes de personal (p. ej., sueldos) no deben ingresarse en esta hoja.
Haga clic en la pestaña « Payroll structure » en la parte inferior izquierda.
Allí puede introducir todos los datos sobre el personal del proyecto.
Esta información se transfiere automáticamente a la sección « Gastos de personal » de esta hoja.
Por lo tanto, las celdas de esta sección están bloqueadas y no se pueden modificar.</v>
      </c>
      <c r="CR4" s="284" t="s">
        <v>379</v>
      </c>
      <c r="CS4" s="284" t="s">
        <v>380</v>
      </c>
      <c r="CT4" s="284" t="s">
        <v>341</v>
      </c>
      <c r="CU4" s="284" t="s">
        <v>381</v>
      </c>
    </row>
    <row r="5" ht="150" customHeight="1">
      <c r="A5" s="284" t="s">
        <v>382</v>
      </c>
      <c r="B5" s="284" t="s">
        <v>383</v>
      </c>
      <c r="C5" s="284" t="s">
        <v>384</v>
      </c>
      <c r="D5" s="284" t="s">
        <v>385</v>
      </c>
      <c r="E5" s="284" t="s">
        <v>386</v>
      </c>
      <c r="F5" s="284" t="s">
        <v>387</v>
      </c>
      <c r="G5" s="284" t="s">
        <v>388</v>
      </c>
      <c r="H5" s="284" t="s">
        <v>389</v>
      </c>
      <c r="I5" s="284" t="s">
        <v>390</v>
      </c>
      <c r="J5" s="284" t="s">
        <v>391</v>
      </c>
      <c r="K5" s="284" t="s">
        <v>392</v>
      </c>
      <c r="L5" s="284" t="s">
        <v>393</v>
      </c>
      <c r="M5" s="284" t="s">
        <v>394</v>
      </c>
      <c r="N5" s="284" t="s">
        <v>395</v>
      </c>
      <c r="O5" s="284" t="s">
        <v>396</v>
      </c>
      <c r="P5" s="284" t="s">
        <v>397</v>
      </c>
      <c r="Q5" s="284" t="s">
        <v>398</v>
      </c>
      <c r="R5" s="284" t="s">
        <v>399</v>
      </c>
      <c r="S5" s="284" t="s">
        <v>400</v>
      </c>
      <c r="T5" s="284" t="s">
        <v>401</v>
      </c>
      <c r="U5" s="284" t="s">
        <v>402</v>
      </c>
      <c r="V5" s="284" t="s">
        <v>403</v>
      </c>
      <c r="W5" s="284" t="s">
        <v>404</v>
      </c>
      <c r="X5" s="284" t="s">
        <v>152</v>
      </c>
      <c r="Y5" s="284" t="s">
        <v>405</v>
      </c>
      <c r="Z5" s="284" t="s">
        <v>406</v>
      </c>
      <c r="AA5" s="284" t="s">
        <v>407</v>
      </c>
      <c r="AB5" s="284" t="s">
        <v>408</v>
      </c>
      <c r="AC5" s="284" t="s">
        <v>409</v>
      </c>
      <c r="AD5" s="284" t="s">
        <v>64</v>
      </c>
      <c r="AE5" s="284" t="s">
        <v>410</v>
      </c>
      <c r="AF5" s="284" t="s">
        <v>411</v>
      </c>
      <c r="AG5" s="284" t="s">
        <v>412</v>
      </c>
      <c r="AH5" s="284" t="s">
        <v>413</v>
      </c>
      <c r="AI5" s="284" t="s">
        <v>414</v>
      </c>
      <c r="AJ5" s="284" t="s">
        <v>415</v>
      </c>
      <c r="AK5" s="284" t="s">
        <v>416</v>
      </c>
      <c r="AL5" s="284" t="s">
        <v>417</v>
      </c>
      <c r="AM5" s="284" t="s">
        <v>418</v>
      </c>
      <c r="AN5" s="284" t="s">
        <v>419</v>
      </c>
      <c r="AO5" s="284" t="s">
        <v>420</v>
      </c>
      <c r="BA5" s="284" t="s">
        <v>421</v>
      </c>
      <c r="BB5" s="284" t="s">
        <v>422</v>
      </c>
      <c r="BC5" s="284" t="s">
        <v>423</v>
      </c>
      <c r="BD5" s="284" t="s">
        <v>424</v>
      </c>
      <c r="BE5" s="284" t="s">
        <v>425</v>
      </c>
      <c r="BF5" s="284" t="s">
        <v>426</v>
      </c>
      <c r="BG5" s="284" t="s">
        <v>427</v>
      </c>
      <c r="BH5" s="284" t="s">
        <v>428</v>
      </c>
      <c r="BI5" s="284" t="s">
        <v>429</v>
      </c>
      <c r="BJ5" s="284" t="s">
        <v>267</v>
      </c>
      <c r="BK5" s="284" t="s">
        <v>430</v>
      </c>
      <c r="BL5" s="284" t="s">
        <v>431</v>
      </c>
      <c r="BM5" s="284" t="s">
        <v>432</v>
      </c>
      <c r="BN5" s="284" t="s">
        <v>433</v>
      </c>
      <c r="BO5" s="284" t="s">
        <v>434</v>
      </c>
      <c r="BP5" s="284" t="s">
        <v>435</v>
      </c>
      <c r="BQ5" s="284" t="s">
        <v>436</v>
      </c>
      <c r="BR5" s="284" t="s">
        <v>437</v>
      </c>
      <c r="BS5" s="284" t="s">
        <v>438</v>
      </c>
      <c r="BT5" s="284" t="s">
        <v>439</v>
      </c>
      <c r="BU5" s="284" t="s">
        <v>440</v>
      </c>
      <c r="BV5" s="284" t="s">
        <v>441</v>
      </c>
      <c r="BW5" s="284" t="s">
        <v>442</v>
      </c>
      <c r="BX5" s="284" t="s">
        <v>443</v>
      </c>
      <c r="BY5" s="284" t="s">
        <v>444</v>
      </c>
      <c r="BZ5" s="284" t="s">
        <v>445</v>
      </c>
      <c r="CA5" s="284" t="s">
        <v>446</v>
      </c>
      <c r="CB5" s="284" t="s">
        <v>447</v>
      </c>
      <c r="CC5" s="291" t="s">
        <v>448</v>
      </c>
      <c r="CD5" s="291" t="s">
        <v>449</v>
      </c>
      <c r="CE5" s="284" t="s">
        <v>450</v>
      </c>
      <c r="CF5" s="284" t="s">
        <v>451</v>
      </c>
      <c r="CG5" s="291" t="s">
        <v>452</v>
      </c>
      <c r="CH5" s="284" t="s">
        <v>453</v>
      </c>
      <c r="CI5" s="284" t="s">
        <v>454</v>
      </c>
      <c r="CJ5" s="284" t="s">
        <v>455</v>
      </c>
      <c r="CK5" s="284" t="s">
        <v>374</v>
      </c>
      <c r="CL5" s="286" t="s">
        <v>456</v>
      </c>
      <c r="CM5" t="s">
        <v>457</v>
      </c>
      <c r="CN5" s="284" t="s">
        <v>458</v>
      </c>
      <c r="CO5" s="284" t="s">
        <v>459</v>
      </c>
      <c r="CP5" s="284" t="str">
        <f>"Os custos com pessoal (por exemplo, salários) não devem ser inseridos nesta planilha." &amp; CHAR(10) &amp;
"Clique na aba """ &amp; CT10 &amp; """ no canto inferior esquerdo." &amp; CHAR(10) &amp;
"Lá você poderá inserir todos os dados sobre os colaboradores do projeto."</f>
        <v xml:space="preserve">Os custos com pessoal (por exemplo, salários) não devem ser inseridos nesta planilha.
Clique na aba "Payroll structure" no canto inferior esquerdo.
Lá você poderá inserir todos os dados sobre os colaboradores do projeto.</v>
      </c>
      <c r="CQ5" s="284" t="str">
        <f>CP5 &amp; CHAR(10) &amp; CHAR(10) &amp; "Essas informações são transferidas automaticamente para a seção “Despesas com pessoal” desta planilha." &amp; CHAR(10) &amp; "Portanto, as células desta seção estão protegidas contra edição."</f>
        <v xml:space="preserve">Os custos com pessoal (por exemplo, salários) não devem ser inseridos nesta planilha.
Clique na aba "Payroll structure" no canto inferior esquerdo.
Lá você poderá inserir todos os dados sobre os colaboradores do projeto.
Essas informações são transferidas automaticamente para a seção “Despesas com pessoal” desta planilha.
Portanto, as células desta seção estão protegidas contra edição.</v>
      </c>
      <c r="CR5" s="284" t="s">
        <v>460</v>
      </c>
      <c r="CS5" s="284" t="s">
        <v>424</v>
      </c>
      <c r="CT5" s="284" t="s">
        <v>341</v>
      </c>
      <c r="CU5" s="284" t="s">
        <v>461</v>
      </c>
    </row>
    <row r="6" ht="12.75">
      <c r="A6" s="284" t="s">
        <v>462</v>
      </c>
      <c r="B6" s="284">
        <v>1</v>
      </c>
      <c r="C6" s="284">
        <v>2</v>
      </c>
      <c r="D6" s="284">
        <v>3</v>
      </c>
      <c r="E6" s="284">
        <v>4</v>
      </c>
      <c r="F6" s="284">
        <v>5</v>
      </c>
      <c r="G6" s="284">
        <v>6</v>
      </c>
      <c r="H6" s="284">
        <v>7</v>
      </c>
      <c r="I6" s="284">
        <v>8</v>
      </c>
      <c r="J6" s="284">
        <v>9</v>
      </c>
      <c r="K6" s="284">
        <v>10</v>
      </c>
      <c r="L6" s="284">
        <v>11</v>
      </c>
      <c r="M6" s="284">
        <v>12</v>
      </c>
      <c r="N6" s="284">
        <v>13</v>
      </c>
      <c r="O6" s="284">
        <v>14</v>
      </c>
      <c r="P6" s="284">
        <v>15</v>
      </c>
      <c r="Q6" s="284">
        <v>16</v>
      </c>
      <c r="R6" s="284">
        <v>17</v>
      </c>
      <c r="S6" s="284">
        <v>18</v>
      </c>
      <c r="T6" s="284">
        <v>19</v>
      </c>
      <c r="U6" s="284">
        <v>20</v>
      </c>
      <c r="V6" s="284">
        <v>21</v>
      </c>
      <c r="W6" s="284">
        <v>22</v>
      </c>
      <c r="X6" s="284">
        <v>23</v>
      </c>
      <c r="Y6" s="284">
        <v>24</v>
      </c>
      <c r="Z6" s="284">
        <v>25</v>
      </c>
      <c r="AA6" s="284">
        <v>26</v>
      </c>
      <c r="AB6" s="284">
        <v>27</v>
      </c>
      <c r="AC6" s="284">
        <v>28</v>
      </c>
      <c r="AD6" s="284">
        <v>29</v>
      </c>
      <c r="AE6" s="284">
        <v>30</v>
      </c>
      <c r="AF6" s="284">
        <v>31</v>
      </c>
      <c r="AG6" s="284">
        <v>32</v>
      </c>
      <c r="AH6" s="284">
        <v>33</v>
      </c>
      <c r="AI6" s="284">
        <v>34</v>
      </c>
      <c r="AJ6" s="284">
        <v>35</v>
      </c>
      <c r="AK6" s="284">
        <v>36</v>
      </c>
      <c r="AL6" s="284">
        <v>37</v>
      </c>
      <c r="AM6" s="284">
        <v>38</v>
      </c>
      <c r="AN6" s="284">
        <v>39</v>
      </c>
      <c r="AO6" s="284">
        <v>40</v>
      </c>
      <c r="AP6" s="284">
        <v>41</v>
      </c>
      <c r="AQ6" s="284">
        <v>42</v>
      </c>
      <c r="AR6" s="284">
        <v>43</v>
      </c>
      <c r="AS6" s="284">
        <v>44</v>
      </c>
      <c r="AT6" s="284">
        <v>45</v>
      </c>
      <c r="AU6" s="284">
        <v>46</v>
      </c>
      <c r="AV6" s="284">
        <v>47</v>
      </c>
      <c r="AW6" s="284">
        <v>48</v>
      </c>
      <c r="AX6" s="284">
        <v>49</v>
      </c>
      <c r="AY6" s="284">
        <v>50</v>
      </c>
      <c r="AZ6" s="284">
        <v>51</v>
      </c>
      <c r="BA6" s="284">
        <v>52</v>
      </c>
      <c r="BB6" s="284">
        <v>53</v>
      </c>
      <c r="BC6" s="284">
        <v>54</v>
      </c>
      <c r="BD6" s="284">
        <v>55</v>
      </c>
      <c r="BE6" s="284">
        <v>56</v>
      </c>
      <c r="BF6" s="284">
        <v>57</v>
      </c>
      <c r="BG6" s="284">
        <v>58</v>
      </c>
      <c r="BH6" s="284">
        <v>59</v>
      </c>
      <c r="BI6" s="284">
        <v>60</v>
      </c>
      <c r="BJ6" s="284">
        <v>61</v>
      </c>
      <c r="BK6" s="284">
        <v>62</v>
      </c>
      <c r="BL6" s="284">
        <v>63</v>
      </c>
      <c r="BM6" s="284">
        <v>64</v>
      </c>
      <c r="BN6" s="284">
        <v>65</v>
      </c>
      <c r="BO6" s="284">
        <v>66</v>
      </c>
      <c r="BP6" s="284">
        <v>67</v>
      </c>
      <c r="BQ6" s="284">
        <v>68</v>
      </c>
      <c r="BR6" s="284">
        <v>69</v>
      </c>
      <c r="BS6" s="284">
        <v>70</v>
      </c>
      <c r="BT6" s="284">
        <v>71</v>
      </c>
      <c r="BU6" s="284">
        <v>72</v>
      </c>
      <c r="BV6" s="284">
        <v>73</v>
      </c>
      <c r="BW6" s="284">
        <v>74</v>
      </c>
      <c r="BX6" s="284">
        <v>75</v>
      </c>
      <c r="BY6" s="284">
        <v>76</v>
      </c>
      <c r="BZ6" s="284">
        <v>77</v>
      </c>
      <c r="CA6" s="284">
        <v>78</v>
      </c>
      <c r="CB6" s="284">
        <v>79</v>
      </c>
      <c r="CC6" s="284">
        <v>80</v>
      </c>
      <c r="CD6" s="284">
        <v>81</v>
      </c>
      <c r="CE6" s="284">
        <v>82</v>
      </c>
      <c r="CF6" s="284">
        <v>83</v>
      </c>
      <c r="CG6" s="284">
        <v>84</v>
      </c>
      <c r="CH6" s="284">
        <v>85</v>
      </c>
      <c r="CI6" s="284">
        <v>86</v>
      </c>
      <c r="CJ6" s="284">
        <v>87</v>
      </c>
      <c r="CK6" s="284">
        <v>88</v>
      </c>
      <c r="CL6" s="292">
        <v>89</v>
      </c>
      <c r="CM6" s="293">
        <v>90</v>
      </c>
      <c r="CN6" s="293">
        <v>91</v>
      </c>
      <c r="CO6" s="293">
        <v>92</v>
      </c>
      <c r="CP6" s="293">
        <v>93</v>
      </c>
      <c r="CQ6" s="293">
        <v>94</v>
      </c>
      <c r="CR6" s="293">
        <v>95</v>
      </c>
      <c r="CS6" s="293">
        <v>96</v>
      </c>
      <c r="CT6" s="293">
        <v>97</v>
      </c>
      <c r="CU6" s="293">
        <v>98</v>
      </c>
    </row>
    <row r="7" ht="12.75">
      <c r="A7" s="284" t="s">
        <v>463</v>
      </c>
      <c r="C7" s="284">
        <f>COUNTA(C1:C5)</f>
        <v>5</v>
      </c>
      <c r="D7" s="284">
        <f t="shared" ref="D7:BO7" si="38">COUNTA(D1:D5)</f>
        <v>5</v>
      </c>
      <c r="E7" s="284">
        <f t="shared" si="38"/>
        <v>5</v>
      </c>
      <c r="F7" s="284">
        <f t="shared" si="38"/>
        <v>5</v>
      </c>
      <c r="G7" s="284">
        <f t="shared" si="38"/>
        <v>5</v>
      </c>
      <c r="H7" s="284">
        <f t="shared" si="38"/>
        <v>5</v>
      </c>
      <c r="I7" s="284">
        <f t="shared" si="38"/>
        <v>5</v>
      </c>
      <c r="J7" s="284">
        <f t="shared" si="38"/>
        <v>5</v>
      </c>
      <c r="K7" s="284">
        <f t="shared" si="38"/>
        <v>5</v>
      </c>
      <c r="L7" s="284">
        <f t="shared" si="38"/>
        <v>5</v>
      </c>
      <c r="M7" s="284">
        <f t="shared" si="38"/>
        <v>5</v>
      </c>
      <c r="N7" s="284">
        <f t="shared" si="38"/>
        <v>5</v>
      </c>
      <c r="O7" s="284">
        <f t="shared" si="38"/>
        <v>5</v>
      </c>
      <c r="P7" s="284">
        <f t="shared" si="38"/>
        <v>5</v>
      </c>
      <c r="Q7" s="284">
        <f t="shared" si="38"/>
        <v>5</v>
      </c>
      <c r="R7" s="284">
        <f t="shared" si="38"/>
        <v>5</v>
      </c>
      <c r="S7" s="284">
        <f t="shared" si="38"/>
        <v>5</v>
      </c>
      <c r="T7" s="284">
        <f t="shared" si="38"/>
        <v>5</v>
      </c>
      <c r="U7" s="284">
        <f t="shared" si="38"/>
        <v>5</v>
      </c>
      <c r="V7" s="284">
        <f t="shared" si="38"/>
        <v>5</v>
      </c>
      <c r="W7" s="284">
        <f t="shared" si="38"/>
        <v>5</v>
      </c>
      <c r="X7" s="284">
        <f t="shared" si="38"/>
        <v>5</v>
      </c>
      <c r="Y7" s="284">
        <f t="shared" si="38"/>
        <v>5</v>
      </c>
      <c r="Z7" s="284">
        <f t="shared" si="38"/>
        <v>5</v>
      </c>
      <c r="AA7" s="284">
        <f t="shared" si="38"/>
        <v>5</v>
      </c>
      <c r="AB7" s="284">
        <f t="shared" si="38"/>
        <v>5</v>
      </c>
      <c r="AC7" s="284">
        <f t="shared" si="38"/>
        <v>5</v>
      </c>
      <c r="AD7" s="284">
        <f t="shared" si="38"/>
        <v>5</v>
      </c>
      <c r="AE7" s="284">
        <f t="shared" si="38"/>
        <v>5</v>
      </c>
      <c r="AF7" s="284">
        <f t="shared" si="38"/>
        <v>5</v>
      </c>
      <c r="AG7" s="284">
        <f t="shared" si="38"/>
        <v>5</v>
      </c>
      <c r="AH7" s="284">
        <f t="shared" si="38"/>
        <v>5</v>
      </c>
      <c r="AI7" s="284">
        <f t="shared" si="38"/>
        <v>5</v>
      </c>
      <c r="AJ7" s="284">
        <f t="shared" si="38"/>
        <v>5</v>
      </c>
      <c r="AK7" s="284">
        <f t="shared" si="38"/>
        <v>5</v>
      </c>
      <c r="AL7" s="284">
        <f t="shared" si="38"/>
        <v>5</v>
      </c>
      <c r="AM7" s="284">
        <f t="shared" si="38"/>
        <v>5</v>
      </c>
      <c r="AN7" s="284">
        <f t="shared" si="38"/>
        <v>5</v>
      </c>
      <c r="AO7" s="284">
        <f t="shared" si="38"/>
        <v>5</v>
      </c>
      <c r="AP7" s="284">
        <f t="shared" si="38"/>
        <v>2</v>
      </c>
      <c r="AQ7" s="284">
        <f t="shared" si="38"/>
        <v>2</v>
      </c>
      <c r="AR7" s="284">
        <f t="shared" si="38"/>
        <v>2</v>
      </c>
      <c r="AS7" s="284">
        <f t="shared" si="38"/>
        <v>2</v>
      </c>
      <c r="AT7" s="284">
        <f t="shared" si="38"/>
        <v>2</v>
      </c>
      <c r="AU7" s="284">
        <f t="shared" si="38"/>
        <v>2</v>
      </c>
      <c r="AV7" s="284">
        <f t="shared" si="38"/>
        <v>2</v>
      </c>
      <c r="AW7" s="284">
        <f t="shared" si="38"/>
        <v>2</v>
      </c>
      <c r="AX7" s="284">
        <f t="shared" si="38"/>
        <v>1</v>
      </c>
      <c r="AY7" s="284">
        <f t="shared" si="38"/>
        <v>1</v>
      </c>
      <c r="AZ7" s="284">
        <f t="shared" si="38"/>
        <v>1</v>
      </c>
      <c r="BA7" s="284">
        <f t="shared" si="38"/>
        <v>5</v>
      </c>
      <c r="BB7" s="284">
        <f t="shared" si="38"/>
        <v>5</v>
      </c>
      <c r="BC7" s="284">
        <f t="shared" si="38"/>
        <v>5</v>
      </c>
      <c r="BD7" s="284">
        <f t="shared" si="38"/>
        <v>5</v>
      </c>
      <c r="BE7" s="284">
        <f t="shared" si="38"/>
        <v>5</v>
      </c>
      <c r="BF7" s="284">
        <f t="shared" si="38"/>
        <v>5</v>
      </c>
      <c r="BG7" s="284">
        <f t="shared" si="38"/>
        <v>5</v>
      </c>
      <c r="BH7" s="284">
        <f t="shared" si="38"/>
        <v>5</v>
      </c>
      <c r="BI7" s="284">
        <f t="shared" si="38"/>
        <v>5</v>
      </c>
      <c r="BJ7" s="284">
        <f t="shared" si="38"/>
        <v>5</v>
      </c>
      <c r="BK7" s="284">
        <f t="shared" si="38"/>
        <v>5</v>
      </c>
      <c r="BL7" s="284">
        <f t="shared" si="38"/>
        <v>5</v>
      </c>
      <c r="BM7" s="284">
        <f t="shared" si="38"/>
        <v>5</v>
      </c>
      <c r="BN7" s="284">
        <f t="shared" si="38"/>
        <v>5</v>
      </c>
      <c r="BO7" s="284">
        <f t="shared" si="38"/>
        <v>5</v>
      </c>
      <c r="BP7" s="284">
        <f t="shared" ref="BP7:CU7" si="39">COUNTA(BP1:BP5)</f>
        <v>5</v>
      </c>
      <c r="BQ7" s="284">
        <f t="shared" si="39"/>
        <v>5</v>
      </c>
      <c r="BR7" s="284">
        <f t="shared" si="39"/>
        <v>5</v>
      </c>
      <c r="BS7" s="284">
        <f t="shared" si="39"/>
        <v>5</v>
      </c>
      <c r="BT7" s="284">
        <f t="shared" si="39"/>
        <v>5</v>
      </c>
      <c r="BU7" s="284">
        <f t="shared" si="39"/>
        <v>5</v>
      </c>
      <c r="BV7" s="284">
        <f t="shared" si="39"/>
        <v>5</v>
      </c>
      <c r="BW7" s="284">
        <f t="shared" si="39"/>
        <v>5</v>
      </c>
      <c r="BX7" s="284">
        <f t="shared" si="39"/>
        <v>5</v>
      </c>
      <c r="BY7" s="284">
        <f t="shared" si="39"/>
        <v>5</v>
      </c>
      <c r="BZ7" s="284">
        <f t="shared" si="39"/>
        <v>5</v>
      </c>
      <c r="CA7" s="284">
        <f t="shared" si="39"/>
        <v>5</v>
      </c>
      <c r="CB7" s="284">
        <f t="shared" si="39"/>
        <v>5</v>
      </c>
      <c r="CC7" s="284">
        <f t="shared" si="39"/>
        <v>5</v>
      </c>
      <c r="CD7" s="284">
        <f t="shared" si="39"/>
        <v>5</v>
      </c>
      <c r="CE7" s="284">
        <f t="shared" si="39"/>
        <v>5</v>
      </c>
      <c r="CF7" s="284">
        <f t="shared" si="39"/>
        <v>5</v>
      </c>
      <c r="CG7" s="284">
        <f t="shared" si="39"/>
        <v>5</v>
      </c>
      <c r="CH7" s="284">
        <f t="shared" si="39"/>
        <v>5</v>
      </c>
      <c r="CI7" s="284">
        <f t="shared" si="39"/>
        <v>5</v>
      </c>
      <c r="CJ7" s="284">
        <f t="shared" si="39"/>
        <v>5</v>
      </c>
      <c r="CK7" s="284">
        <f t="shared" si="39"/>
        <v>5</v>
      </c>
      <c r="CL7" s="286">
        <f t="shared" si="39"/>
        <v>5</v>
      </c>
      <c r="CM7" s="284">
        <f t="shared" si="39"/>
        <v>5</v>
      </c>
      <c r="CN7" s="284">
        <f t="shared" si="39"/>
        <v>5</v>
      </c>
      <c r="CO7" s="284">
        <f t="shared" si="39"/>
        <v>5</v>
      </c>
      <c r="CP7" s="284">
        <f t="shared" si="39"/>
        <v>5</v>
      </c>
      <c r="CQ7" s="284">
        <f t="shared" si="39"/>
        <v>5</v>
      </c>
      <c r="CR7" s="284">
        <f t="shared" si="39"/>
        <v>5</v>
      </c>
      <c r="CS7" s="284">
        <f t="shared" si="39"/>
        <v>5</v>
      </c>
      <c r="CT7" s="284">
        <f t="shared" si="39"/>
        <v>5</v>
      </c>
      <c r="CU7" s="284">
        <f t="shared" si="39"/>
        <v>5</v>
      </c>
    </row>
    <row r="8" ht="12.75">
      <c r="A8" s="284" t="s">
        <v>464</v>
      </c>
      <c r="Y8" s="288" t="s">
        <v>465</v>
      </c>
    </row>
    <row r="9" ht="12.75">
      <c r="A9" s="284" t="s">
        <v>466</v>
      </c>
      <c r="CJ9" s="294" t="str">
        <f>IF(Budget!$I$3="","",VLOOKUP(Budget!$I$3,Sprachversionen!$B:$EA,87,FALSE))</f>
        <v>Approved</v>
      </c>
      <c r="CK9" s="295" t="str">
        <f>IF(Budget!$I$3="","",VLOOKUP(Budget!$I$3,Sprachversionen!$B:$EA,88,FALSE))</f>
        <v>Requested</v>
      </c>
      <c r="CR9" s="296"/>
      <c r="CS9" s="297" t="str">
        <f>IF(RIGHT(Budget!A2,2)="de","deutsch",
IF(RIGHT(Budget!A2,2)="en","english",
IF(RIGHT(Budget!A2,2)="fr","français",
IF(RIGHT(Budget!A2,2)="es","español",
IF(RIGHT(Budget!A2,2)="po","português",
"")))))</f>
        <v>english</v>
      </c>
      <c r="CT9" s="298"/>
    </row>
    <row r="10" ht="38.25">
      <c r="A10" s="284" t="s">
        <v>467</v>
      </c>
      <c r="Y10" s="290"/>
      <c r="CR10" s="299" t="str">
        <f>IF(Budget!I3="","",VLOOKUP($CS$9,Sprachversionen!$B:$EA,95,FALSE))</f>
        <v>Budget</v>
      </c>
      <c r="CS10" s="300" t="str">
        <f>IF($I$3="","",VLOOKUP($CS$9,Sprachversionen!$B:$EA,96,FALSE))</f>
        <v xml:space="preserve">Budget explanations</v>
      </c>
      <c r="CT10" s="301" t="str">
        <f>IF($I$3="","",VLOOKUP(CS9,Sprachversionen!$B:$EA,97,FALSE))</f>
        <v xml:space="preserve">Payroll structure</v>
      </c>
    </row>
    <row r="11" ht="12.75">
      <c r="A11" s="284" t="s">
        <v>468</v>
      </c>
      <c r="Y11" s="290"/>
    </row>
    <row r="12" ht="12.75">
      <c r="A12" s="284" t="s">
        <v>469</v>
      </c>
    </row>
    <row r="13" ht="12.75">
      <c r="A13" s="284" t="s">
        <v>470</v>
      </c>
    </row>
    <row r="14" ht="12.75">
      <c r="A14" s="284" t="s">
        <v>471</v>
      </c>
    </row>
    <row r="15" ht="12.75">
      <c r="A15" s="284" t="s">
        <v>472</v>
      </c>
    </row>
    <row r="16" ht="12.75">
      <c r="A16" s="284" t="s">
        <v>473</v>
      </c>
    </row>
    <row r="17" ht="12.75">
      <c r="A17" s="284" t="s">
        <v>474</v>
      </c>
    </row>
    <row r="18" ht="12.75">
      <c r="A18" s="284" t="s">
        <v>475</v>
      </c>
    </row>
    <row r="19" ht="12.75">
      <c r="A19" s="284" t="s">
        <v>476</v>
      </c>
    </row>
    <row r="20" ht="12.75">
      <c r="A20" s="284" t="s">
        <v>477</v>
      </c>
    </row>
    <row r="21" ht="12.75">
      <c r="A21" s="284" t="s">
        <v>478</v>
      </c>
    </row>
    <row r="22" ht="12.75">
      <c r="A22" s="284" t="s">
        <v>479</v>
      </c>
    </row>
    <row r="23" ht="12.75">
      <c r="A23" s="284" t="s">
        <v>480</v>
      </c>
    </row>
    <row r="24" ht="12.75">
      <c r="A24" s="284" t="s">
        <v>481</v>
      </c>
    </row>
    <row r="25" ht="12.75">
      <c r="A25" s="284" t="s">
        <v>482</v>
      </c>
    </row>
    <row r="26" ht="12.75">
      <c r="A26" s="284" t="s">
        <v>483</v>
      </c>
    </row>
    <row r="27" ht="12.75">
      <c r="A27" s="284" t="s">
        <v>484</v>
      </c>
    </row>
    <row r="28" ht="12.75">
      <c r="A28" s="284" t="s">
        <v>485</v>
      </c>
    </row>
    <row r="29" ht="12.75">
      <c r="A29" s="284" t="s">
        <v>486</v>
      </c>
    </row>
    <row r="30" ht="12.75">
      <c r="A30" s="284" t="s">
        <v>487</v>
      </c>
    </row>
    <row r="31" ht="12.75">
      <c r="A31" s="284" t="s">
        <v>488</v>
      </c>
    </row>
    <row r="32" ht="12.75">
      <c r="A32" s="284" t="s">
        <v>489</v>
      </c>
    </row>
    <row r="33" ht="12.75">
      <c r="A33" s="284" t="s">
        <v>490</v>
      </c>
    </row>
    <row r="34" ht="12.75">
      <c r="A34" s="284" t="s">
        <v>491</v>
      </c>
    </row>
    <row r="35" ht="12.75">
      <c r="A35" s="284" t="s">
        <v>492</v>
      </c>
    </row>
    <row r="36" ht="12.75">
      <c r="A36" s="284" t="s">
        <v>493</v>
      </c>
    </row>
    <row r="37" ht="12.75">
      <c r="A37" s="284" t="s">
        <v>494</v>
      </c>
    </row>
    <row r="38" ht="12.75">
      <c r="A38" s="284" t="s">
        <v>495</v>
      </c>
    </row>
    <row r="39" ht="12.75">
      <c r="A39" s="284" t="s">
        <v>496</v>
      </c>
    </row>
    <row r="40" ht="12.75">
      <c r="A40" s="284" t="s">
        <v>497</v>
      </c>
    </row>
    <row r="41" ht="12.75">
      <c r="A41" s="284" t="s">
        <v>498</v>
      </c>
    </row>
    <row r="42" ht="12.75">
      <c r="A42" s="284" t="s">
        <v>499</v>
      </c>
    </row>
    <row r="43" ht="12.75">
      <c r="A43" s="284" t="s">
        <v>500</v>
      </c>
    </row>
    <row r="44" ht="12.75">
      <c r="A44" s="284" t="s">
        <v>501</v>
      </c>
    </row>
    <row r="45" ht="12.75">
      <c r="A45" s="284" t="s">
        <v>502</v>
      </c>
    </row>
    <row r="46" ht="12.75">
      <c r="A46" s="284" t="s">
        <v>503</v>
      </c>
    </row>
    <row r="47" ht="12.75">
      <c r="A47" s="284" t="s">
        <v>504</v>
      </c>
    </row>
    <row r="48" ht="12.75">
      <c r="A48" s="284" t="s">
        <v>505</v>
      </c>
    </row>
    <row r="49" ht="12.75">
      <c r="A49" s="284" t="s">
        <v>506</v>
      </c>
    </row>
    <row r="50" ht="12.75">
      <c r="A50" s="284" t="s">
        <v>507</v>
      </c>
    </row>
    <row r="51" ht="12.75">
      <c r="A51" s="284" t="s">
        <v>508</v>
      </c>
    </row>
    <row r="52" ht="12.75">
      <c r="A52" s="284" t="s">
        <v>509</v>
      </c>
    </row>
    <row r="53" ht="12.75">
      <c r="A53" s="284" t="s">
        <v>510</v>
      </c>
    </row>
    <row r="54" ht="12.75">
      <c r="A54" s="284" t="s">
        <v>511</v>
      </c>
    </row>
    <row r="55" ht="12.75">
      <c r="A55" s="284" t="s">
        <v>512</v>
      </c>
    </row>
    <row r="56" ht="12.75">
      <c r="A56" s="284" t="s">
        <v>513</v>
      </c>
    </row>
    <row r="57" ht="12.75">
      <c r="A57" s="284" t="s">
        <v>514</v>
      </c>
    </row>
    <row r="58" ht="12.75">
      <c r="A58" s="284" t="s">
        <v>515</v>
      </c>
    </row>
    <row r="59" ht="12.75">
      <c r="A59" s="284" t="s">
        <v>516</v>
      </c>
    </row>
    <row r="60" ht="12.75">
      <c r="A60" s="284" t="s">
        <v>517</v>
      </c>
    </row>
    <row r="61" ht="12.75">
      <c r="A61" s="284" t="s">
        <v>518</v>
      </c>
    </row>
    <row r="62" ht="12.75">
      <c r="A62" s="284" t="s">
        <v>519</v>
      </c>
    </row>
    <row r="63" ht="12.75">
      <c r="A63" s="284" t="s">
        <v>520</v>
      </c>
    </row>
    <row r="64" ht="12.75">
      <c r="A64" s="284" t="s">
        <v>521</v>
      </c>
    </row>
    <row r="65" ht="12.75">
      <c r="A65" s="284" t="s">
        <v>522</v>
      </c>
    </row>
    <row r="66" ht="12.75">
      <c r="A66" s="284" t="s">
        <v>523</v>
      </c>
    </row>
    <row r="67" ht="12.75">
      <c r="A67" s="284" t="s">
        <v>524</v>
      </c>
    </row>
    <row r="68" ht="12.75">
      <c r="A68" s="284" t="s">
        <v>525</v>
      </c>
    </row>
    <row r="69" ht="12.75">
      <c r="A69" s="284" t="s">
        <v>526</v>
      </c>
    </row>
    <row r="70" ht="12.75">
      <c r="A70" s="284" t="s">
        <v>527</v>
      </c>
    </row>
    <row r="71" ht="12.75">
      <c r="A71" s="284" t="s">
        <v>528</v>
      </c>
    </row>
    <row r="72" ht="12.75">
      <c r="A72" s="284" t="s">
        <v>529</v>
      </c>
    </row>
    <row r="73" ht="12.75">
      <c r="A73" s="284" t="s">
        <v>530</v>
      </c>
    </row>
    <row r="74" ht="12.75">
      <c r="A74" s="284" t="s">
        <v>531</v>
      </c>
    </row>
    <row r="75" ht="12.75">
      <c r="A75" s="284" t="s">
        <v>532</v>
      </c>
    </row>
    <row r="76" ht="12.75">
      <c r="A76" s="284" t="s">
        <v>533</v>
      </c>
    </row>
    <row r="77" ht="12.75">
      <c r="A77" s="284" t="s">
        <v>534</v>
      </c>
    </row>
    <row r="78" ht="12.75">
      <c r="A78" s="284" t="s">
        <v>535</v>
      </c>
    </row>
    <row r="79" ht="12.75">
      <c r="A79" s="284" t="s">
        <v>536</v>
      </c>
    </row>
    <row r="80" ht="12.75">
      <c r="A80" s="284" t="s">
        <v>537</v>
      </c>
    </row>
    <row r="81" ht="12.75">
      <c r="A81" s="284" t="s">
        <v>538</v>
      </c>
    </row>
    <row r="82" ht="12.75">
      <c r="A82" s="284" t="s">
        <v>539</v>
      </c>
    </row>
    <row r="83" ht="12.75">
      <c r="A83" s="284" t="s">
        <v>540</v>
      </c>
    </row>
    <row r="84" ht="12.75">
      <c r="A84" s="284" t="s">
        <v>541</v>
      </c>
    </row>
    <row r="85" ht="12.75">
      <c r="A85" s="284" t="s">
        <v>542</v>
      </c>
    </row>
    <row r="86" ht="12.75">
      <c r="A86" s="284" t="s">
        <v>543</v>
      </c>
    </row>
    <row r="87" ht="12.75">
      <c r="A87" s="284" t="s">
        <v>544</v>
      </c>
    </row>
    <row r="88" ht="12.75">
      <c r="A88" s="284" t="s">
        <v>545</v>
      </c>
    </row>
    <row r="89" ht="12.75">
      <c r="A89" s="284" t="s">
        <v>546</v>
      </c>
    </row>
    <row r="90" ht="12.75">
      <c r="A90" s="284" t="s">
        <v>547</v>
      </c>
    </row>
    <row r="91" ht="12.75">
      <c r="A91" s="284" t="s">
        <v>548</v>
      </c>
    </row>
    <row r="92" ht="12.75">
      <c r="A92" s="284" t="s">
        <v>549</v>
      </c>
    </row>
    <row r="93" ht="12.75">
      <c r="A93" s="284" t="s">
        <v>550</v>
      </c>
    </row>
    <row r="94" ht="12.75">
      <c r="A94" s="284" t="s">
        <v>551</v>
      </c>
    </row>
    <row r="95" ht="12.75">
      <c r="A95" s="284" t="s">
        <v>552</v>
      </c>
    </row>
    <row r="96" ht="12.75">
      <c r="A96" s="284" t="s">
        <v>553</v>
      </c>
    </row>
    <row r="97" ht="12.75">
      <c r="A97" s="284" t="s">
        <v>554</v>
      </c>
    </row>
    <row r="98" ht="12.75">
      <c r="A98" s="284" t="s">
        <v>555</v>
      </c>
    </row>
    <row r="99" ht="12.75">
      <c r="A99" s="284" t="s">
        <v>556</v>
      </c>
    </row>
    <row r="100" ht="12.75">
      <c r="A100" s="284" t="s">
        <v>557</v>
      </c>
    </row>
    <row r="101" ht="12.75">
      <c r="A101" s="284" t="s">
        <v>558</v>
      </c>
    </row>
    <row r="102" ht="12.75">
      <c r="A102" s="284" t="s">
        <v>559</v>
      </c>
    </row>
    <row r="103" ht="12.75">
      <c r="A103" s="284" t="s">
        <v>560</v>
      </c>
    </row>
    <row r="104" ht="12.75">
      <c r="A104" s="284" t="s">
        <v>561</v>
      </c>
    </row>
    <row r="105" ht="12.75">
      <c r="A105" s="284" t="s">
        <v>562</v>
      </c>
    </row>
    <row r="106" ht="12.75">
      <c r="A106" s="284" t="s">
        <v>563</v>
      </c>
    </row>
    <row r="107" ht="12.75">
      <c r="A107" s="284" t="s">
        <v>564</v>
      </c>
    </row>
    <row r="108" ht="12.75">
      <c r="A108" s="284" t="s">
        <v>565</v>
      </c>
    </row>
    <row r="109" ht="12.75">
      <c r="A109" s="284" t="s">
        <v>566</v>
      </c>
    </row>
    <row r="110" ht="12.75">
      <c r="A110" s="284" t="s">
        <v>567</v>
      </c>
    </row>
    <row r="111" ht="12.75">
      <c r="A111" s="284" t="s">
        <v>568</v>
      </c>
    </row>
    <row r="112" ht="12.75">
      <c r="A112" s="284" t="s">
        <v>569</v>
      </c>
    </row>
    <row r="113" ht="12.75">
      <c r="A113" s="284" t="s">
        <v>570</v>
      </c>
    </row>
    <row r="114" ht="12.75">
      <c r="A114" s="284" t="s">
        <v>571</v>
      </c>
    </row>
    <row r="115" ht="12.75">
      <c r="A115" s="284" t="s">
        <v>572</v>
      </c>
    </row>
    <row r="116" ht="12.75">
      <c r="A116" s="284" t="s">
        <v>573</v>
      </c>
    </row>
    <row r="117" ht="12.75">
      <c r="A117" s="284" t="s">
        <v>574</v>
      </c>
    </row>
    <row r="118" ht="12.75">
      <c r="A118" s="284" t="s">
        <v>575</v>
      </c>
    </row>
    <row r="119" ht="12.75">
      <c r="A119" s="284" t="s">
        <v>576</v>
      </c>
    </row>
    <row r="120" ht="12.75">
      <c r="A120" s="284" t="s">
        <v>577</v>
      </c>
    </row>
    <row r="121" ht="12.75">
      <c r="A121" s="284" t="s">
        <v>578</v>
      </c>
    </row>
    <row r="122" ht="12.75">
      <c r="A122" s="284" t="s">
        <v>579</v>
      </c>
    </row>
    <row r="123" ht="12.75">
      <c r="A123" s="284" t="s">
        <v>580</v>
      </c>
    </row>
    <row r="124" ht="12.75">
      <c r="A124" s="284" t="s">
        <v>581</v>
      </c>
    </row>
    <row r="125" ht="12.75">
      <c r="A125" s="284" t="s">
        <v>582</v>
      </c>
    </row>
    <row r="126" ht="12.75">
      <c r="A126" s="284" t="s">
        <v>583</v>
      </c>
    </row>
    <row r="127" ht="12.75">
      <c r="A127" s="284" t="s">
        <v>584</v>
      </c>
    </row>
    <row r="128" ht="12.75">
      <c r="A128" s="284" t="s">
        <v>585</v>
      </c>
    </row>
    <row r="129" ht="12.75">
      <c r="A129" s="284" t="s">
        <v>586</v>
      </c>
    </row>
    <row r="130" ht="12.75">
      <c r="A130" s="284" t="s">
        <v>587</v>
      </c>
    </row>
    <row r="131" ht="12.75">
      <c r="A131" s="284" t="s">
        <v>588</v>
      </c>
    </row>
    <row r="132" ht="12.75">
      <c r="A132" s="284" t="s">
        <v>589</v>
      </c>
    </row>
    <row r="133" ht="12.75">
      <c r="A133" s="284" t="s">
        <v>590</v>
      </c>
    </row>
    <row r="134" ht="12.75">
      <c r="A134" s="284" t="s">
        <v>591</v>
      </c>
    </row>
    <row r="135" ht="12.75">
      <c r="A135" s="284" t="s">
        <v>592</v>
      </c>
    </row>
    <row r="136" ht="12.75">
      <c r="A136" s="284" t="s">
        <v>593</v>
      </c>
    </row>
    <row r="137" ht="12.75">
      <c r="A137" s="284" t="s">
        <v>594</v>
      </c>
    </row>
    <row r="138" ht="12.75">
      <c r="A138" s="284" t="s">
        <v>595</v>
      </c>
    </row>
    <row r="139" ht="12.75">
      <c r="A139" s="284" t="s">
        <v>11</v>
      </c>
    </row>
    <row r="140" ht="12.75">
      <c r="A140" s="284" t="s">
        <v>596</v>
      </c>
    </row>
    <row r="141" ht="12.75">
      <c r="A141" s="284" t="s">
        <v>597</v>
      </c>
    </row>
    <row r="142" ht="12.75">
      <c r="A142" s="284" t="s">
        <v>598</v>
      </c>
    </row>
    <row r="143" ht="12.75">
      <c r="A143" s="284" t="s">
        <v>599</v>
      </c>
    </row>
    <row r="144" ht="12.75">
      <c r="A144" s="284" t="s">
        <v>600</v>
      </c>
    </row>
    <row r="145" ht="12.75">
      <c r="A145" s="284" t="s">
        <v>601</v>
      </c>
    </row>
    <row r="146" ht="12.75">
      <c r="A146" s="284" t="s">
        <v>602</v>
      </c>
    </row>
    <row r="147" ht="12.75">
      <c r="A147" s="284" t="s">
        <v>603</v>
      </c>
    </row>
    <row r="148" ht="12.75">
      <c r="A148" s="284" t="s">
        <v>604</v>
      </c>
    </row>
    <row r="149" ht="12.75">
      <c r="A149" s="284" t="s">
        <v>605</v>
      </c>
    </row>
    <row r="150" ht="12.75">
      <c r="A150" s="284" t="s">
        <v>606</v>
      </c>
    </row>
    <row r="151" ht="12.75">
      <c r="A151" s="284" t="s">
        <v>607</v>
      </c>
    </row>
    <row r="152" ht="12.75">
      <c r="A152" s="284" t="s">
        <v>608</v>
      </c>
    </row>
    <row r="153" ht="12.75">
      <c r="A153" s="284" t="s">
        <v>609</v>
      </c>
    </row>
  </sheetData>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11.42578125" defaultRowHeight="15"/>
  <sheetData>
    <row r="1" ht="13.9" customHeight="1">
      <c r="A1" s="302" t="s">
        <v>36</v>
      </c>
      <c r="B1" s="303" t="s">
        <v>610</v>
      </c>
      <c r="C1" s="304" t="s">
        <v>611</v>
      </c>
      <c r="D1" t="s">
        <v>119</v>
      </c>
      <c r="E1" t="s">
        <v>612</v>
      </c>
      <c r="F1" t="s">
        <v>613</v>
      </c>
      <c r="G1" s="305" t="s">
        <v>614</v>
      </c>
      <c r="H1" s="305" t="s">
        <v>615</v>
      </c>
      <c r="I1" t="s">
        <v>616</v>
      </c>
      <c r="J1" s="14" t="s">
        <v>617</v>
      </c>
      <c r="K1" t="s">
        <v>618</v>
      </c>
      <c r="L1" t="s">
        <v>619</v>
      </c>
      <c r="M1" t="s">
        <v>620</v>
      </c>
      <c r="N1" t="s">
        <v>621</v>
      </c>
      <c r="O1" t="s">
        <v>622</v>
      </c>
      <c r="P1" s="306" t="s">
        <v>623</v>
      </c>
      <c r="Q1" s="307" t="s">
        <v>73</v>
      </c>
      <c r="R1" s="308" t="s">
        <v>624</v>
      </c>
      <c r="S1" s="307" t="s">
        <v>625</v>
      </c>
      <c r="T1" s="309" t="s">
        <v>626</v>
      </c>
      <c r="U1" s="310" t="s">
        <v>627</v>
      </c>
      <c r="V1" t="s">
        <v>628</v>
      </c>
      <c r="W1" t="s">
        <v>629</v>
      </c>
      <c r="X1" t="s">
        <v>630</v>
      </c>
      <c r="Y1" t="s">
        <v>631</v>
      </c>
    </row>
    <row r="2">
      <c r="A2" s="302" t="s">
        <v>9</v>
      </c>
    </row>
    <row r="3">
      <c r="A3" s="302" t="s">
        <v>212</v>
      </c>
    </row>
    <row r="4">
      <c r="A4" s="302" t="s">
        <v>302</v>
      </c>
    </row>
    <row r="5">
      <c r="A5" s="302" t="s">
        <v>383</v>
      </c>
    </row>
    <row r="32">
      <c r="A32" t="s">
        <v>632</v>
      </c>
    </row>
    <row r="54">
      <c r="A54" t="s">
        <v>632</v>
      </c>
    </row>
    <row r="86">
      <c r="A86" t="s">
        <v>632</v>
      </c>
    </row>
    <row r="118">
      <c r="A118" t="s">
        <v>632</v>
      </c>
    </row>
    <row r="140">
      <c r="A140" t="s">
        <v>632</v>
      </c>
    </row>
    <row r="141">
      <c r="I141">
        <v>0</v>
      </c>
    </row>
    <row r="142">
      <c r="I142">
        <v>0</v>
      </c>
    </row>
    <row r="143">
      <c r="I143">
        <v>0</v>
      </c>
    </row>
    <row r="144">
      <c r="A144" t="s">
        <v>633</v>
      </c>
      <c r="I144">
        <v>0</v>
      </c>
    </row>
  </sheetData>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7724dc0-a0f6-4162-acfa-7c0362345daf" xsi:nil="true"/>
    <lcf76f155ced4ddcb4097134ff3c332f xmlns="78d38fcd-40bc-42a3-9b66-06e3dce5d1a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6DDCCB77A644A48A5A66EA7AF6C0D05" ma:contentTypeVersion="14" ma:contentTypeDescription="Ein neues Dokument erstellen." ma:contentTypeScope="" ma:versionID="4de960956160e9b7d5656980125d0a8d">
  <xsd:schema xmlns:xsd="http://www.w3.org/2001/XMLSchema" xmlns:xs="http://www.w3.org/2001/XMLSchema" xmlns:p="http://schemas.microsoft.com/office/2006/metadata/properties" xmlns:ns2="78d38fcd-40bc-42a3-9b66-06e3dce5d1a4" xmlns:ns3="77724dc0-a0f6-4162-acfa-7c0362345daf" targetNamespace="http://schemas.microsoft.com/office/2006/metadata/properties" ma:root="true" ma:fieldsID="9db3ed9957fd86b3a45ae867f7bf8361" ns2:_="" ns3:_="">
    <xsd:import namespace="78d38fcd-40bc-42a3-9b66-06e3dce5d1a4"/>
    <xsd:import namespace="77724dc0-a0f6-4162-acfa-7c0362345d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d38fcd-40bc-42a3-9b66-06e3dce5d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2269214a-426c-4fd4-ba46-236538d1a5d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7724dc0-a0f6-4162-acfa-7c0362345daf"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28967c80-1877-4527-88e5-343b72827432}" ma:internalName="TaxCatchAll" ma:showField="CatchAllData" ma:web="77724dc0-a0f6-4162-acfa-7c0362345d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C5D8A2-412A-4576-8331-CE1DA361DFF6}">
  <ds:schemaRefs>
    <ds:schemaRef ds:uri="http://schemas.microsoft.com/office/2006/metadata/properties"/>
    <ds:schemaRef ds:uri="http://www.w3.org/2001/XMLSchema-instance"/>
    <ds:schemaRef ds:uri="http://schemas.microsoft.com/office/infopath/2007/PartnerControls"/>
    <ds:schemaRef ds:uri="77724dc0-a0f6-4162-acfa-7c0362345daf"/>
    <ds:schemaRef ds:uri="78d38fcd-40bc-42a3-9b66-06e3dce5d1a4"/>
  </ds:schemaRefs>
</ds:datastoreItem>
</file>

<file path=customXml/itemProps2.xml><?xml version="1.0" encoding="utf-8"?>
<ds:datastoreItem xmlns:ds="http://schemas.openxmlformats.org/officeDocument/2006/customXml" ds:itemID="{EF394F22-B156-4897-9ABC-AFD87D940A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d38fcd-40bc-42a3-9b66-06e3dce5d1a4"/>
    <ds:schemaRef ds:uri="77724dc0-a0f6-4162-acfa-7c0362345daf"/>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338A0F-40E4-43BC-91FA-8F315C952FE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Ardit Abrashi</dc:creator>
  <cp:keywords/>
  <dc:description/>
  <cp:revision>1</cp:revision>
  <dcterms:created xsi:type="dcterms:W3CDTF">2025-06-12T12:05:29Z</dcterms:created>
  <dcterms:modified xsi:type="dcterms:W3CDTF">2026-06-24T17:20:04Z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0x010100A6DDCCB77A644A48A5A66EA7AF6C0D05</vt:lpwstr>
  </property>
  <property fmtid="{D5CDD505-2E9C-101B-9397-08002B2CF9AE}" pid="3" name="MediaServiceImageTags">
    <vt:lpwstr/>
  </property>
</Properties>
</file>