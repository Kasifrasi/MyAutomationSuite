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<sst xmlns="http://schemas.openxmlformats.org/spreadsheetml/2006/main" count="43" uniqueCount="43">
  <si>
    <t>I. KERNDATEN BUDGET</t>
  </si>
  <si>
    <t>Drittmittel – Aufstellung je Geber</t>
  </si>
  <si>
    <t>Name des Gebers</t>
  </si>
  <si>
    <t>Betrag (LC)</t>
  </si>
  <si>
    <t>Betrag (EUR)</t>
  </si>
  <si>
    <t/>
  </si>
  <si>
    <t>1. GEPLANTE EINNAHMEN / FINANZIERUNG</t>
  </si>
  <si>
    <t>€ Budget-Kurs:</t>
  </si>
  <si>
    <t>Finanzierungsquelle</t>
  </si>
  <si>
    <t>Jahr 1</t>
  </si>
  <si>
    <t>Jahr 2</t>
  </si>
  <si>
    <t>Jahr 3</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</si>
  <si>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</si>
  <si>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</si>
  <si>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</si>
  <si>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</si>
  <si>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</si>
  <si>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</si>
  <si>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</si>
  <si>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</si>
  <si>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</si>
  <si>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</si>
  <si>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</si>
  <si>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</si>
  <si>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</si>
  <si>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</si>
  <si>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</si>
  <si>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</si>
  <si>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</si>
  <si>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</si>
  <si>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</si>
  <si>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</si>
  <si>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</si>
  <si>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Reserve Freigabe</t>
  </si>
  <si>
    <t>Reserve freigeben:</t>
  </si>
  <si>
    <t>Nein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</si>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</sst>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
    <numFmt numFmtId="165" formatCode="#,##0.00&quot; €&quot;"/>
    <numFmt numFmtId="166" formatCode="0.0000"/>
  </numFmts>
  <fonts count="16">
    <font>
      <name val="Calibri"/>
      <family val="2"/>
      <color theme="1"/>
      <sz val="11"/>
    </font>
    <font>
      <name val="Segoe UI"/>
      <family val="2"/>
      <b val="1"/>
      <color rgb="FF000000"/>
      <sz val="14"/>
    </font>
    <font>
      <name val="Segoe UI"/>
      <family val="2"/>
      <b val="1"/>
      <color rgb="FF000000"/>
    </font>
    <font>
      <name val="Segoe UI"/>
      <family val="2"/>
      <color rgb="FF000000"/>
    </font>
    <font>
      <name val="Segoe UI"/>
      <family val="2"/>
      <b val="1"/>
      <color rgb="FF3C3C3C"/>
      <sz val="9"/>
    </font>
    <font>
      <name val="Segoe UI"/>
      <family val="2"/>
      <b val="1"/>
      <color rgb="FF000000"/>
      <sz val="11"/>
    </font>
    <font>
      <name val="Segoe UI"/>
      <family val="2"/>
      <color rgb="FF000000"/>
      <sz val="9"/>
    </font>
    <font>
      <name val="Segoe UI"/>
      <family val="2"/>
      <i val="1"/>
      <color rgb="FF000000"/>
    </font>
    <font>
      <name val="Segoe UI"/>
      <family val="2"/>
      <b val="1"/>
      <color rgb="FF000000"/>
      <sz val="10"/>
    </font>
    <font>
      <name val="Segoe UI"/>
      <family val="2"/>
      <color rgb="FF000000"/>
      <sz val="10"/>
    </font>
    <font>
      <name val="Segoe UI"/>
      <family val="2"/>
      <i val="1"/>
      <color rgb="FF595959"/>
      <sz val="8"/>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6">
    <fill>
      <patternFill patternType="none"/>
    </fill>
    <fill>
      <patternFill patternType="gray125"/>
    </fill>
    <fill>
      <patternFill patternType="solid">
        <fgColor rgb="FFD3D3D3"/>
      </patternFill>
    </fill>
    <fill>
      <patternFill patternType="solid">
        <fgColor rgb="FFFFFAE5"/>
      </patternFill>
    </fill>
    <fill>
      <patternFill patternType="solid">
        <fgColor rgb="FFF0F0F0"/>
      </patternFill>
    </fill>
    <fill>
      <patternFill patternType="solid">
        <fgColor rgb="FFF2F2F2"/>
      </patternFill>
    </fill>
  </fills>
  <borders count="37">
    <border>
      <left/>
      <right/>
      <top/>
      <bottom/>
      <diagonal/>
    </border>
    <border>
      <top style="medium">
        <color rgb="FF808080"/>
      </top>
      <bottom style="medium">
        <color rgb="FF808080"/>
      </bottom>
    </border>
    <border>
      <left style="thin">
        <color rgb="FFD3D3D3"/>
      </left>
      <right style="thin">
        <color rgb="FFD3D3D3"/>
      </right>
      <top style="thin">
        <color rgb="FFD3D3D3"/>
      </top>
      <bottom style="thin">
        <color rgb="FFD3D3D3"/>
      </bottom>
    </border>
    <border>
      <bottom style="medium">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top style="thin">
        <color rgb="FF808080"/>
      </top>
      <bottom style="thin">
        <color rgb="FF808080"/>
      </bottom>
    </border>
    <border>
      <left style="thin">
        <color rgb="FF808080"/>
      </left>
      <right style="thin">
        <color rgb="FF808080"/>
      </right>
      <top style="thin">
        <color rgb="FF808080"/>
      </top>
      <bottom style="thin">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65">
    <xf numFmtId="0" fontId="0" fillId="0" borderId="0" xfId="0"/>
    <xf numFmtId="0" fontId="1" fillId="2" borderId="1" xfId="0" applyFont="true" applyFill="true" applyBorder="true" applyAlignment="true">
      <alignment vertical="center"/>
    </xf>
    <xf numFmtId="0" fontId="2" fillId="2" borderId="0" xfId="0" applyFont="true" applyFill="true" applyAlignment="true">
      <alignment horizontal="center" vertical="center"/>
    </xf>
    <xf numFmtId="0" fontId="3" fillId="0" borderId="0" xfId="0" applyFont="true" applyAlignment="true">
      <alignment/>
    </xf>
    <xf numFmtId="0" fontId="3" fillId="3" borderId="2" xfId="0" applyFont="true" applyFill="true" applyBorder="true" applyAlignment="true">
      <alignment horizontal="left" vertical="center"/>
    </xf>
    <xf numFmtId="164" fontId="3" fillId="3" borderId="2" xfId="0" applyNumberFormat="true" applyFont="true" applyFill="true" applyBorder="true" applyAlignment="true">
      <alignment horizontal="right" vertical="center"/>
    </xf>
    <xf numFmtId="165" fontId="3" fillId="3" borderId="2" xfId="0" applyNumberFormat="true" applyFont="true" applyFill="true" applyBorder="true" applyAlignment="true">
      <alignment horizontal="right" vertical="center"/>
    </xf>
    <xf numFmtId="0" fontId="4" fillId="2" borderId="3" xfId="0" applyFont="true" applyFill="true" applyBorder="true" applyAlignment="true">
      <alignment horizontal="center" vertical="center"/>
    </xf>
    <xf numFmtId="0" fontId="2" fillId="2" borderId="4" xfId="0" applyFont="true" applyFill="true" applyBorder="true" applyAlignment="true">
      <alignment horizontal="center" vertical="center"/>
    </xf>
    <xf numFmtId="0" fontId="2" fillId="2" borderId="5" xfId="0" applyFont="true" applyFill="true" applyBorder="true" applyAlignment="true">
      <alignment horizontal="center" vertical="center"/>
    </xf>
    <xf numFmtId="0" fontId="2" fillId="2" borderId="6" xfId="0" applyFont="true" applyFill="true" applyBorder="true" applyAlignment="true">
      <alignment horizontal="center" vertical="center"/>
    </xf>
    <xf numFmtId="0" fontId="4" fillId="2" borderId="7" xfId="0" applyFont="true" applyFill="true" applyBorder="true" applyAlignment="true">
      <alignment horizontal="center" vertical="center"/>
    </xf>
    <xf numFmtId="0" fontId="4" fillId="2" borderId="8" xfId="0" applyFont="true" applyFill="true" applyBorder="true" applyAlignment="true">
      <alignment horizontal="center" vertical="center"/>
    </xf>
    <xf numFmtId="0" fontId="3" fillId="3" borderId="9" xfId="0" applyFont="true" applyFill="true" applyBorder="true" applyAlignment="true">
      <alignment horizontal="left" vertical="center"/>
    </xf>
    <xf numFmtId="165" fontId="3" fillId="3" borderId="10" xfId="0" applyNumberFormat="true" applyFont="true" applyFill="true" applyBorder="true" applyAlignment="true">
      <alignment horizontal="right" vertical="center"/>
    </xf>
    <xf numFmtId="0" fontId="3" fillId="3" borderId="11" xfId="0" applyFont="true" applyFill="true" applyBorder="true" applyAlignment="true">
      <alignment horizontal="left" vertical="center"/>
    </xf>
    <xf numFmtId="164" fontId="3" fillId="3" borderId="12" xfId="0" applyNumberFormat="true" applyFont="true" applyFill="true" applyBorder="true" applyAlignment="true">
      <alignment horizontal="right" vertical="center"/>
    </xf>
    <xf numFmtId="165" fontId="3" fillId="3" borderId="13" xfId="0" applyNumberFormat="true" applyFont="true" applyFill="true" applyBorder="true" applyAlignment="true">
      <alignment horizontal="right" vertical="center"/>
    </xf>
    <xf numFmtId="0" fontId="5" fillId="2" borderId="14" xfId="0" applyFont="true" applyFill="true" applyBorder="true" applyAlignment="true">
      <alignment horizontal="left" vertical="center"/>
    </xf>
    <xf numFmtId="0" fontId="6" fillId="2" borderId="14" xfId="0" applyFont="true" applyFill="true" applyBorder="true" applyAlignment="true">
      <alignment horizontal="right" vertical="center"/>
    </xf>
    <xf numFmtId="166" fontId="7" fillId="0" borderId="15" xfId="0" applyNumberFormat="true" applyFont="true" applyBorder="true" applyAlignment="true">
      <alignment/>
    </xf>
    <xf numFmtId="0" fontId="8" fillId="4" borderId="16" xfId="0" applyFont="true" applyFill="true" applyBorder="true" applyAlignment="true">
      <alignment horizontal="left" vertical="center"/>
    </xf>
    <xf numFmtId="0" fontId="9" fillId="0" borderId="0" xfId="0" applyFont="true" applyAlignment="true">
      <alignment/>
    </xf>
    <xf numFmtId="0" fontId="10" fillId="0" borderId="0" xfId="0" applyFont="true" applyAlignment="true">
      <alignment/>
    </xf>
    <xf numFmtId="164" fontId="2" fillId="0" borderId="0" xfId="0" applyNumberFormat="true" applyFont="true" applyAlignment="true">
      <alignment horizontal="right" vertical="center"/>
    </xf>
    <xf numFmtId="165" fontId="2" fillId="0" borderId="0" xfId="0" applyNumberFormat="true" applyFont="true" applyAlignment="true">
      <alignment horizontal="right" vertical="center"/>
    </xf>
    <xf numFmtId="164" fontId="3" fillId="0" borderId="0" xfId="0" applyNumberFormat="true" applyFont="true" applyAlignment="true">
      <alignment/>
    </xf>
    <xf numFmtId="165" fontId="3" fillId="0" borderId="0" xfId="0" applyNumberFormat="true" applyFont="true" applyAlignment="true">
      <alignment/>
    </xf>
    <xf numFmtId="0" fontId="8" fillId="4" borderId="17" xfId="0" applyFont="true" applyFill="true" applyBorder="true" applyAlignment="true">
      <alignment vertical="center"/>
    </xf>
    <xf numFmtId="0" fontId="3" fillId="3" borderId="2" xfId="0" applyFont="true" applyFill="true" applyBorder="true" applyAlignment="true">
      <alignment horizontal="center" vertical="center"/>
    </xf>
    <xf numFmtId="0" fontId="1" fillId="2" borderId="18" xfId="0" applyFont="true" applyFill="true" applyBorder="true" applyAlignment="true">
      <alignment vertical="center"/>
    </xf>
    <xf numFmtId="0" fontId="1" fillId="2" borderId="19" xfId="0" applyFont="true" applyFill="true" applyBorder="true" applyAlignment="true">
      <alignment vertical="center"/>
    </xf>
    <xf numFmtId="0" fontId="0" fillId="0" borderId="20" xfId="0" applyBorder="true" applyAlignment="false">
      <alignment/>
    </xf>
    <xf numFmtId="0" fontId="0" fillId="0" borderId="21" xfId="0" applyBorder="true" applyAlignment="false">
      <alignment/>
    </xf>
    <xf numFmtId="0" fontId="5" fillId="2" borderId="22" xfId="0" applyFont="true" applyFill="true" applyBorder="true" applyAlignment="true">
      <alignment horizontal="left" vertical="center"/>
    </xf>
    <xf numFmtId="0" fontId="5" fillId="2" borderId="23" xfId="0" applyFont="true" applyFill="true" applyBorder="true" applyAlignment="true">
      <alignment horizontal="left" vertical="center"/>
    </xf>
    <xf numFmtId="0" fontId="8" fillId="4" borderId="24" xfId="0" applyFont="true" applyFill="true" applyBorder="true" applyAlignment="true">
      <alignment horizontal="left" vertical="center"/>
    </xf>
    <xf numFmtId="0" fontId="8" fillId="4" borderId="25" xfId="0" applyFont="true" applyFill="true" applyBorder="true" applyAlignment="true">
      <alignment horizontal="left" vertical="center"/>
    </xf>
    <xf numFmtId="0" fontId="9" fillId="0" borderId="20" xfId="0" applyFont="true" applyBorder="true" applyAlignment="true">
      <alignment/>
    </xf>
    <xf numFmtId="165" fontId="2" fillId="0" borderId="21" xfId="0" applyNumberFormat="true" applyFont="true" applyBorder="true" applyAlignment="true">
      <alignment horizontal="right" vertical="center"/>
    </xf>
    <xf numFmtId="0" fontId="8" fillId="4" borderId="26" xfId="0" applyFont="true" applyFill="true" applyBorder="true" applyAlignment="true">
      <alignment vertical="center"/>
    </xf>
    <xf numFmtId="0" fontId="8" fillId="4" borderId="27" xfId="0" applyFont="true" applyFill="true" applyBorder="true" applyAlignment="true">
      <alignment vertical="center"/>
    </xf>
    <xf numFmtId="0" fontId="8" fillId="4" borderId="28" xfId="0" applyFont="true" applyFill="true" applyBorder="true" applyAlignment="true">
      <alignment vertical="center"/>
    </xf>
    <xf numFmtId="0" fontId="8" fillId="4" borderId="29" xfId="0" applyFont="true" applyFill="true" applyBorder="true" applyAlignment="true">
      <alignment vertical="center"/>
    </xf>
    <xf numFmtId="0" fontId="8" fillId="4" borderId="30" xfId="0" applyFont="true" applyFill="true" applyBorder="true" applyAlignment="true">
      <alignment vertical="center"/>
    </xf>
    <xf numFmtId="0" fontId="11" fillId="2" borderId="2" xfId="0" applyFont="true" applyFill="true" applyBorder="true" applyAlignment="true">
      <alignment horizontal="center" vertical="center"/>
    </xf>
    <xf numFmtId="165" fontId="4" fillId="0" borderId="2" xfId="0" applyNumberFormat="true" applyFont="true" applyBorder="true" applyAlignment="true">
      <alignment horizontal="center" vertical="center"/>
    </xf>
    <xf numFmtId="0" fontId="12" fillId="0" borderId="2" xfId="0" applyFont="true" applyBorder="true" applyAlignment="true">
      <alignment horizontal="center" vertical="center"/>
    </xf>
    <xf numFmtId="0" fontId="13" fillId="5" borderId="2" xfId="0" applyFont="true" applyFill="true" applyBorder="true" applyAlignment="true">
      <alignment horizontal="center" vertical="center"/>
    </xf>
    <xf numFmtId="0" fontId="11" fillId="2" borderId="31" xfId="0" applyFont="true" applyFill="true" applyBorder="true" applyAlignment="true">
      <alignment horizontal="center" vertical="center"/>
    </xf>
    <xf numFmtId="165" fontId="4" fillId="0" borderId="32" xfId="0" applyNumberFormat="true" applyFont="true" applyBorder="true" applyAlignment="true">
      <alignment horizontal="center" vertical="center"/>
    </xf>
    <xf numFmtId="0" fontId="12" fillId="0" borderId="32" xfId="0" applyFont="true" applyBorder="true" applyAlignment="true">
      <alignment horizontal="center" vertical="center"/>
    </xf>
    <xf numFmtId="0" fontId="3" fillId="3" borderId="32" xfId="0" applyFont="true" applyFill="true" applyBorder="true" applyAlignment="true">
      <alignment horizontal="center" vertical="center"/>
    </xf>
    <xf numFmtId="0" fontId="13" fillId="5" borderId="33" xfId="0" applyFont="true" applyFill="true" applyBorder="true" applyAlignment="true">
      <alignment horizontal="center" vertical="center"/>
    </xf>
    <xf numFmtId="0" fontId="14" fillId="5" borderId="2" xfId="0" applyFont="true" applyFill="true" applyBorder="true" applyAlignment="true">
      <alignment horizontal="center" vertical="center"/>
    </xf>
    <xf numFmtId="0" fontId="3" fillId="5" borderId="2" xfId="0" applyFont="true" applyFill="true" applyBorder="true" applyAlignment="true">
      <alignment horizontal="left" vertical="top" wrapText="true"/>
    </xf>
    <xf numFmtId="0" fontId="15" fillId="0" borderId="2" xfId="0" applyFont="true" applyBorder="true" applyAlignment="true">
      <alignment horizontal="left" vertical="center"/>
    </xf>
    <xf numFmtId="0" fontId="11" fillId="2" borderId="34" xfId="0" applyFont="true" applyFill="true" applyBorder="true" applyAlignment="true">
      <alignment horizontal="center" vertical="center"/>
    </xf>
    <xf numFmtId="0" fontId="11" fillId="2" borderId="35" xfId="0" applyFont="true" applyFill="true" applyBorder="true" applyAlignment="true">
      <alignment horizontal="center" vertical="center"/>
    </xf>
    <xf numFmtId="0" fontId="11" fillId="2" borderId="36" xfId="0" applyFont="true" applyFill="true" applyBorder="true" applyAlignment="true">
      <alignment horizontal="center" vertical="center"/>
    </xf>
    <xf numFmtId="0" fontId="15" fillId="0" borderId="9" xfId="0" applyFont="true" applyBorder="true" applyAlignment="true">
      <alignment horizontal="left" vertical="center"/>
    </xf>
    <xf numFmtId="0" fontId="13" fillId="5" borderId="10" xfId="0" applyFont="true" applyFill="true" applyBorder="true" applyAlignment="true">
      <alignment horizontal="center" vertical="center"/>
    </xf>
    <xf numFmtId="0" fontId="15" fillId="0" borderId="11" xfId="0" applyFont="true" applyBorder="true" applyAlignment="true">
      <alignment horizontal="left" vertical="center"/>
    </xf>
    <xf numFmtId="0" fontId="15" fillId="0" borderId="12" xfId="0" applyFont="true" applyBorder="true" applyAlignment="true">
      <alignment horizontal="left" vertical="center"/>
    </xf>
    <xf numFmtId="0" fontId="13" fillId="5" borderId="13" xfId="0" applyFont="true" applyFill="true" applyBorder="true" applyAlignment="true">
      <alignment horizontal="center" vertical="center"/>
    </xf>
  </cellXfs>
  <cellStyles count="1">
    <cellStyle name="Normal" xfId="0" builtinId="0"/>
  </cellStyles>
  <dxfs count="5">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D3D3D3"/>
        </left>
        <right style="thin">
          <color rgb="FFD3D3D3"/>
        </right>
        <top style="thin">
          <color rgb="FFD3D3D3"/>
        </top>
        <bottom style="thin">
          <color rgb="FFD3D3D3"/>
        </bottom>
      </border>
    </dxf>
    <dxf>
      <font>
        <name val="Segoe UI"/>
        <family val="2"/>
        <b val="1"/>
        <color rgb="FF9C0006"/>
        <sz val="9"/>
      </font>
      <fill>
        <patternFill patternType="solid">
          <bgColor rgb="FFFFC7CE"/>
        </patternFill>
      </fill>
      <alignment/>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Drittmittel" displayName="TblDrittmittel" ref="K15:M18">
  <autoFilter ref="K15:M18"/>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30" t="s">
        <v>0</v>
      </c>
      <c r="C2" s="1"/>
      <c r="D2" s="1"/>
      <c r="E2" s="1"/>
      <c r="F2" s="1"/>
      <c r="G2" s="1"/>
      <c r="H2" s="1"/>
      <c r="I2" s="31"/>
      <c r="K2" s="49" t="s">
        <v>33</v>
      </c>
    </row>
    <row r="3">
      <c r="B3" s="32"/>
      <c r="I3" s="33"/>
      <c r="K3" s="50" t="str">
        <f>=$P$11</f>
      </c>
    </row>
    <row r="4" ht="24" customHeight="true">
      <c r="B4" s="34" t="s">
        <v>6</v>
      </c>
      <c r="C4" s="18"/>
      <c r="D4" s="18"/>
      <c r="E4" s="18"/>
      <c r="F4" s="18"/>
      <c r="G4" s="19" t="s">
        <v>7</v>
      </c>
      <c r="H4" s="20" t="str">
        <f>=IFERROR($E$15/$I$15,0)</f>
      </c>
      <c r="I4" s="35"/>
      <c r="K4" s="51" t="s">
        <v>34</v>
      </c>
      <c r="O4" s="3" t="str">
        <f>=SUMIFS(TblBudgetAusgaben[Betrag (LC)],TblBudgetAusgaben[Kostenkategorie],"Bauausgaben")</f>
      </c>
      <c r="P4" s="3" t="str">
        <f>=SUMIFS(TblBudgetAusgaben[Betrag (EUR)],TblBudgetAusgaben[Kostenkategorie],"Bauausgaben")</f>
      </c>
    </row>
    <row r="5">
      <c r="B5" s="11" t="s">
        <v>8</v>
      </c>
      <c r="C5" s="7"/>
      <c r="D5" s="7"/>
      <c r="E5" s="7" t="s">
        <v>3</v>
      </c>
      <c r="F5" s="7" t="s">
        <v>9</v>
      </c>
      <c r="G5" s="7" t="s">
        <v>10</v>
      </c>
      <c r="H5" s="7" t="s">
        <v>11</v>
      </c>
      <c r="I5" s="12" t="s">
        <v>4</v>
      </c>
      <c r="K5" s="52" t="s">
        <v>35</v>
      </c>
      <c r="O5" s="3" t="str">
        <f>=SUMIFS(TblBudgetAusgaben[Betrag (LC)],TblBudgetAusgaben[Kostenkategorie],"Investitionen")</f>
      </c>
      <c r="P5" s="3" t="str">
        <f>=SUMIFS(TblBudgetAusgaben[Betrag (EUR)],TblBudgetAusgaben[Kostenkategorie],"Investitionen")</f>
      </c>
    </row>
    <row r="6" ht="20" customHeight="true">
      <c r="B6" s="36" t="s">
        <v>12</v>
      </c>
      <c r="C6" s="21"/>
      <c r="D6" s="21"/>
      <c r="E6" s="21"/>
      <c r="F6" s="21"/>
      <c r="G6" s="21"/>
      <c r="H6" s="21"/>
      <c r="I6" s="37"/>
      <c r="K6" s="53"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38" t="s">
        <v>13</v>
      </c>
      <c r="E7" s="5"/>
      <c r="F7" s="5"/>
      <c r="G7" s="5"/>
      <c r="H7" s="5"/>
      <c r="I7" s="14"/>
      <c r="O7" s="3" t="str">
        <f>=SUMIFS(TblBudgetAusgaben[Betrag (LC)],TblBudgetAusgaben[Kostenkategorie],"Projektaktivitaeten")</f>
      </c>
      <c r="P7" s="3" t="str">
        <f>=SUMIFS(TblBudgetAusgaben[Betrag (EUR)],TblBudgetAusgaben[Kostenkategorie],"Projektaktivitaeten")</f>
      </c>
    </row>
    <row r="8">
      <c r="B8" s="32"/>
      <c r="I8" s="33"/>
      <c r="K8" s="54" t="s">
        <v>36</v>
      </c>
      <c r="L8" s="54"/>
      <c r="M8" s="54"/>
      <c r="O8" s="3" t="str">
        <f>=SUMIFS(TblBudgetAusgaben[Betrag (LC)],TblBudgetAusgaben[Kostenkategorie],"Projektverwaltung")</f>
      </c>
      <c r="P8" s="3" t="str">
        <f>=SUMIFS(TblBudgetAusgaben[Betrag (EUR)],TblBudgetAusgaben[Kostenkategorie],"Projektverwaltung")</f>
      </c>
    </row>
    <row r="9" ht="20" customHeight="true">
      <c r="B9" s="36" t="s">
        <v>14</v>
      </c>
      <c r="C9" s="21"/>
      <c r="D9" s="21"/>
      <c r="E9" s="21"/>
      <c r="F9" s="21"/>
      <c r="G9" s="21"/>
      <c r="H9" s="21"/>
      <c r="I9" s="37"/>
      <c r="K9" s="55" t="s">
        <v>5</v>
      </c>
      <c r="L9" s="55"/>
      <c r="M9" s="55"/>
      <c r="O9" s="3" t="str">
        <f>=SUMIFS(TblBudgetAusgaben[Betrag (LC)],TblBudgetAusgaben[Kostenkategorie],"Evaluierung")</f>
      </c>
      <c r="P9" s="3" t="str">
        <f>=SUMIFS(TblBudgetAusgaben[Betrag (EUR)],TblBudgetAusgaben[Kostenkategorie],"Evaluierung")</f>
      </c>
    </row>
    <row r="10" ht="22" customHeight="true">
      <c r="B10" s="38" t="s">
        <v>15</v>
      </c>
      <c r="D10" s="23" t="s">
        <v>16</v>
      </c>
      <c r="E10" s="24" t="str">
        <f>=SUM(TblDrittmittel[Betrag (LC)])</f>
      </c>
      <c r="F10" s="5"/>
      <c r="G10" s="5"/>
      <c r="H10" s="5"/>
      <c r="I10" s="39" t="str">
        <f>=SUM(TblDrittmittel[Betrag (EUR)])</f>
      </c>
      <c r="K10" s="55"/>
      <c r="L10" s="55"/>
      <c r="M10" s="55"/>
      <c r="O10" s="3" t="str">
        <f>=SUMIFS(TblBudgetAusgaben[Betrag (LC)],TblBudgetAusgaben[Kostenkategorie],"Audit")</f>
      </c>
      <c r="P10" s="3" t="str">
        <f>=SUMIFS(TblBudgetAusgaben[Betrag (EUR)],TblBudgetAusgaben[Kostenkategorie],"Audit")</f>
      </c>
    </row>
    <row r="11">
      <c r="B11" s="32"/>
      <c r="I11" s="33"/>
      <c r="K11" s="55"/>
      <c r="L11" s="55"/>
      <c r="M11" s="55"/>
      <c r="O11" s="3" t="str">
        <f>=SUMIFS(TblBudgetAusgaben[Betrag (LC)],TblBudgetAusgaben[Kostenkategorie],"Reserve")</f>
      </c>
      <c r="P11" s="3" t="str">
        <f>=SUMIFS(TblBudgetAusgaben[Betrag (EUR)],TblBudgetAusgaben[Kostenkategorie],"Reserve")</f>
      </c>
    </row>
    <row r="12" ht="20" customHeight="true">
      <c r="B12" s="36" t="s">
        <v>17</v>
      </c>
      <c r="C12" s="21"/>
      <c r="D12" s="21"/>
      <c r="E12" s="21"/>
      <c r="F12" s="21"/>
      <c r="G12" s="21"/>
      <c r="H12" s="21"/>
      <c r="I12" s="37"/>
      <c r="K12" s="55"/>
      <c r="L12" s="55"/>
      <c r="M12" s="55"/>
      <c r="O12" s="3" t="str">
        <f>=SUBTOTAL(109,TblBudgetAusgaben[Betrag (LC)])</f>
      </c>
      <c r="P12" s="3" t="str">
        <f>=SUBTOTAL(109,TblBudgetAusgaben[Betrag (EUR)])</f>
      </c>
    </row>
    <row r="13" ht="22" customHeight="true">
      <c r="B13" s="38" t="s">
        <v>18</v>
      </c>
      <c r="E13" s="5"/>
      <c r="F13" s="5"/>
      <c r="G13" s="5"/>
      <c r="H13" s="5"/>
      <c r="I13" s="14"/>
    </row>
    <row r="14">
      <c r="B14" s="32"/>
      <c r="I14" s="33"/>
      <c r="K14" s="8" t="s">
        <v>1</v>
      </c>
      <c r="L14" s="9"/>
      <c r="M14" s="10"/>
    </row>
    <row r="15" ht="20" customHeight="true">
      <c r="B15" s="40" t="s">
        <v>19</v>
      </c>
      <c r="C15" s="28"/>
      <c r="D15" s="28"/>
      <c r="E15" s="28" t="str">
        <f>=E7+E10+E13</f>
      </c>
      <c r="F15" s="28" t="str">
        <f>=F7+F10+F13</f>
      </c>
      <c r="G15" s="28" t="str">
        <f>=G7+G10+G13</f>
      </c>
      <c r="H15" s="28" t="str">
        <f>=H7+H10+H13</f>
      </c>
      <c r="I15" s="41" t="str">
        <f>=I7+I10+I13</f>
      </c>
      <c r="K15" s="11" t="s">
        <v>2</v>
      </c>
      <c r="L15" s="7" t="s">
        <v>3</v>
      </c>
      <c r="M15" s="12" t="s">
        <v>4</v>
      </c>
    </row>
    <row r="16">
      <c r="B16" s="32"/>
      <c r="I16" s="33"/>
      <c r="K16" s="13" t="s">
        <v>5</v>
      </c>
      <c r="L16" s="5"/>
      <c r="M16" s="14"/>
    </row>
    <row r="17" ht="24" customHeight="true">
      <c r="B17" s="34" t="s">
        <v>20</v>
      </c>
      <c r="C17" s="18"/>
      <c r="D17" s="18"/>
      <c r="E17" s="18"/>
      <c r="F17" s="18"/>
      <c r="G17" s="18"/>
      <c r="H17" s="18"/>
      <c r="I17" s="35"/>
      <c r="K17" s="13" t="s">
        <v>5</v>
      </c>
      <c r="L17" s="5"/>
      <c r="M17" s="14"/>
    </row>
    <row r="18">
      <c r="B18" s="11" t="s">
        <v>21</v>
      </c>
      <c r="C18" s="7" t="s">
        <v>22</v>
      </c>
      <c r="D18" s="7" t="s">
        <v>23</v>
      </c>
      <c r="E18" s="7" t="s">
        <v>3</v>
      </c>
      <c r="F18" s="7" t="s">
        <v>9</v>
      </c>
      <c r="G18" s="7" t="s">
        <v>10</v>
      </c>
      <c r="H18" s="7" t="s">
        <v>11</v>
      </c>
      <c r="I18" s="12" t="s">
        <v>4</v>
      </c>
      <c r="K18" s="15" t="s">
        <v>5</v>
      </c>
      <c r="L18" s="16"/>
      <c r="M18" s="17"/>
    </row>
    <row r="19">
      <c r="B19" s="13" t="s">
        <v>24</v>
      </c>
      <c r="C19" s="29" t="str">
        <f>=IF(B19="","",MATCH(B19,{"Bauausgaben";"Investitionen";"Personalkosten";"Projektaktivitaeten";"Projektverwaltung";"Evaluierung";"Audit";"Reserve"},0)&amp;"."&amp;COUNTIF(B$19:B19,B19))</f>
      </c>
      <c r="D19" s="4" t="s">
        <v>5</v>
      </c>
      <c r="E19" s="5"/>
      <c r="F19" s="5"/>
      <c r="G19" s="5"/>
      <c r="H19" s="5"/>
      <c r="I19" s="14"/>
    </row>
    <row r="20">
      <c r="B20" s="13" t="s">
        <v>25</v>
      </c>
      <c r="C20" s="29" t="str">
        <f>=IF(B20="","",MATCH(B20,{"Bauausgaben";"Investitionen";"Personalkosten";"Projektaktivitaeten";"Projektverwaltung";"Evaluierung";"Audit";"Reserve"},0)&amp;"."&amp;COUNTIF(B$19:B20,B20))</f>
      </c>
      <c r="D20" s="4" t="s">
        <v>5</v>
      </c>
      <c r="E20" s="5"/>
      <c r="F20" s="5"/>
      <c r="G20" s="5"/>
      <c r="H20" s="5"/>
      <c r="I20" s="14"/>
    </row>
    <row r="21">
      <c r="B21" s="13" t="s">
        <v>26</v>
      </c>
      <c r="C21" s="29" t="str">
        <f>=IF(B21="","",MATCH(B21,{"Bauausgaben";"Investitionen";"Personalkosten";"Projektaktivitaeten";"Projektverwaltung";"Evaluierung";"Audit";"Reserve"},0)&amp;"."&amp;COUNTIF(B$19:B21,B21))</f>
      </c>
      <c r="D21" s="4" t="s">
        <v>5</v>
      </c>
      <c r="E21" s="5"/>
      <c r="F21" s="5"/>
      <c r="G21" s="5"/>
      <c r="H21" s="5"/>
      <c r="I21" s="14"/>
    </row>
    <row r="22">
      <c r="B22" s="13" t="s">
        <v>27</v>
      </c>
      <c r="C22" s="29" t="str">
        <f>=IF(B22="","",MATCH(B22,{"Bauausgaben";"Investitionen";"Personalkosten";"Projektaktivitaeten";"Projektverwaltung";"Evaluierung";"Audit";"Reserve"},0)&amp;"."&amp;COUNTIF(B$19:B22,B22))</f>
      </c>
      <c r="D22" s="4" t="s">
        <v>5</v>
      </c>
      <c r="E22" s="5"/>
      <c r="F22" s="5"/>
      <c r="G22" s="5"/>
      <c r="H22" s="5"/>
      <c r="I22" s="14"/>
    </row>
    <row r="23">
      <c r="B23" s="13" t="s">
        <v>28</v>
      </c>
      <c r="C23" s="29" t="str">
        <f>=IF(B23="","",MATCH(B23,{"Bauausgaben";"Investitionen";"Personalkosten";"Projektaktivitaeten";"Projektverwaltung";"Evaluierung";"Audit";"Reserve"},0)&amp;"."&amp;COUNTIF(B$19:B23,B23))</f>
      </c>
      <c r="D23" s="4" t="s">
        <v>5</v>
      </c>
      <c r="E23" s="5"/>
      <c r="F23" s="5"/>
      <c r="G23" s="5"/>
      <c r="H23" s="5"/>
      <c r="I23" s="14"/>
    </row>
    <row r="24">
      <c r="B24" s="13" t="s">
        <v>29</v>
      </c>
      <c r="C24" s="29" t="str">
        <f>=IF(B24="","",MATCH(B24,{"Bauausgaben";"Investitionen";"Personalkosten";"Projektaktivitaeten";"Projektverwaltung";"Evaluierung";"Audit";"Reserve"},0)&amp;"."&amp;COUNTIF(B$19:B24,B24))</f>
      </c>
      <c r="D24" s="4" t="s">
        <v>5</v>
      </c>
      <c r="E24" s="5"/>
      <c r="F24" s="5"/>
      <c r="G24" s="5"/>
      <c r="H24" s="5"/>
      <c r="I24" s="14"/>
    </row>
    <row r="25">
      <c r="B25" s="13" t="s">
        <v>30</v>
      </c>
      <c r="C25" s="29" t="str">
        <f>=IF(B25="","",MATCH(B25,{"Bauausgaben";"Investitionen";"Personalkosten";"Projektaktivitaeten";"Projektverwaltung";"Evaluierung";"Audit";"Reserve"},0)&amp;"."&amp;COUNTIF(B$19:B25,B25))</f>
      </c>
      <c r="D25" s="4" t="s">
        <v>5</v>
      </c>
      <c r="E25" s="5"/>
      <c r="F25" s="5"/>
      <c r="G25" s="5"/>
      <c r="H25" s="5"/>
      <c r="I25" s="14"/>
    </row>
    <row r="26">
      <c r="B26" s="13" t="s">
        <v>31</v>
      </c>
      <c r="C26" s="29" t="str">
        <f>=IF(B26="","",MATCH(B26,{"Bauausgaben";"Investitionen";"Personalkosten";"Projektaktivitaeten";"Projektverwaltung";"Evaluierung";"Audit";"Reserve"},0)&amp;"."&amp;COUNTIF(B$19:B26,B26))</f>
      </c>
      <c r="D26" s="4" t="s">
        <v>5</v>
      </c>
      <c r="E26" s="5"/>
      <c r="F26" s="5"/>
      <c r="G26" s="5"/>
      <c r="H26" s="5"/>
      <c r="I26" s="14"/>
    </row>
    <row r="27" ht="20" customHeight="true">
      <c r="B27" s="42" t="s">
        <v>32</v>
      </c>
      <c r="C27" s="43"/>
      <c r="D27" s="43"/>
      <c r="E27" s="43" t="str">
        <f>=SUBTOTAL(109,TblBudgetAusgaben[Betrag (LC)])</f>
      </c>
      <c r="F27" s="43" t="str">
        <f>=SUBTOTAL(109,TblBudgetAusgaben[Jahr 1])</f>
      </c>
      <c r="G27" s="43" t="str">
        <f>=SUBTOTAL(109,TblBudgetAusgaben[Jahr 2])</f>
      </c>
      <c r="H27" s="43" t="str">
        <f>=SUBTOTAL(109,TblBudgetAusgaben[Jahr 3])</f>
      </c>
      <c r="I27" s="44" t="str">
        <f>=SUBTOTAL(109,TblBudgetAusgaben[Betrag (EUR)])</f>
      </c>
    </row>
    <row r="29">
      <c r="B29" s="57" t="s">
        <v>37</v>
      </c>
      <c r="C29" s="58"/>
      <c r="D29" s="58"/>
      <c r="E29" s="59"/>
    </row>
    <row r="30">
      <c r="B30" s="60" t="s">
        <v>38</v>
      </c>
      <c r="C30" s="56"/>
      <c r="D30" s="56"/>
      <c r="E30" s="61" t="str">
        <f>=IF(ROUND($E$15-$O$12,2)=0,"OK","Abweichung")</f>
      </c>
    </row>
    <row r="31">
      <c r="B31" s="60" t="s">
        <v>39</v>
      </c>
      <c r="C31" s="56"/>
      <c r="D31" s="56"/>
      <c r="E31" s="61" t="str">
        <f>=IF(ROUND($I$15-$P$12,2)=0,"OK","Abweichung")</f>
      </c>
    </row>
    <row r="32">
      <c r="B32" s="60" t="s">
        <v>40</v>
      </c>
      <c r="C32" s="56"/>
      <c r="D32" s="56"/>
      <c r="E32" s="61" t="str">
        <f>=IF(ROUND($H$4,4)=ROUND(IFERROR($O$12/$P$12,0),4),"OK","Abweichung")</f>
      </c>
    </row>
    <row r="33">
      <c r="B33" s="60" t="s">
        <v>41</v>
      </c>
      <c r="C33" s="56"/>
      <c r="D33" s="56"/>
      <c r="E33" s="61" t="str">
        <f>=IF(ROUND(($F$15+$G$15+$H$15)-$E$15,2)=0,"OK","Abweichung")</f>
      </c>
    </row>
    <row r="34">
      <c r="B34" s="62" t="s">
        <v>42</v>
      </c>
      <c r="C34" s="63"/>
      <c r="D34" s="63"/>
      <c r="E34" s="64" t="str">
        <f>=IF(ROUND(($F$27+$G$27+$H$27)-$O$12,2)=0,"OK","Abweichung")</f>
      </c>
    </row>
  </sheetData>
  <mergeCells count="9">
    <mergeCell ref="K14:M14"/>
    <mergeCell ref="K8:M8"/>
    <mergeCell ref="K9:M12"/>
    <mergeCell ref="B29:E29"/>
    <mergeCell ref="B30:D30"/>
    <mergeCell ref="B31:D31"/>
    <mergeCell ref="B32:D32"/>
    <mergeCell ref="B33:D33"/>
    <mergeCell ref="B34:D34"/>
  </mergeCells>
  <conditionalFormatting sqref="K6">
    <cfRule type="expression" dxfId="0" priority="1">
      <formula>$K$5="Ja"</formula>
    </cfRule>
  </conditionalFormatting>
  <conditionalFormatting sqref="K8:M8">
    <cfRule type="expression" dxfId="1" priority="2">
      <formula>$K$5="Ja"</formula>
    </cfRule>
  </conditionalFormatting>
  <conditionalFormatting sqref="K9:M12">
    <cfRule type="expression" dxfId="2" priority="3">
      <formula>$K$5="Ja"</formula>
    </cfRule>
  </conditionalFormatting>
  <conditionalFormatting sqref="E30">
    <cfRule type="expression" dxfId="3" priority="4">
      <formula>$E$30="OK"</formula>
    </cfRule>
  </conditionalFormatting>
  <conditionalFormatting sqref="E30">
    <cfRule type="expression" dxfId="4" priority="5">
      <formula>$E$30&lt;&gt;"OK"</formula>
    </cfRule>
  </conditionalFormatting>
  <conditionalFormatting sqref="E31">
    <cfRule type="expression" dxfId="3" priority="6">
      <formula>$E$31="OK"</formula>
    </cfRule>
  </conditionalFormatting>
  <conditionalFormatting sqref="E31">
    <cfRule type="expression" dxfId="4" priority="7">
      <formula>$E$31&lt;&gt;"OK"</formula>
    </cfRule>
  </conditionalFormatting>
  <conditionalFormatting sqref="E32">
    <cfRule type="expression" dxfId="3" priority="8">
      <formula>$E$32="OK"</formula>
    </cfRule>
  </conditionalFormatting>
  <conditionalFormatting sqref="E32">
    <cfRule type="expression" dxfId="4" priority="9">
      <formula>$E$32&lt;&gt;"OK"</formula>
    </cfRule>
  </conditionalFormatting>
  <conditionalFormatting sqref="E33">
    <cfRule type="expression" dxfId="3" priority="10">
      <formula>$E$33="OK"</formula>
    </cfRule>
  </conditionalFormatting>
  <conditionalFormatting sqref="E33">
    <cfRule type="expression" dxfId="4" priority="11">
      <formula>$E$33&lt;&gt;"OK"</formula>
    </cfRule>
  </conditionalFormatting>
  <conditionalFormatting sqref="E34">
    <cfRule type="expression" dxfId="3" priority="12">
      <formula>$E$34="OK"</formula>
    </cfRule>
  </conditionalFormatting>
  <conditionalFormatting sqref="E34">
    <cfRule type="expression" dxfId="4"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