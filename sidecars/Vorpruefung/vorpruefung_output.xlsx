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Finanzberichte'!$C$29</definedName>
    <definedName name="FB_SaldoEUR_1">'III. Finanzberichte'!$D$29</definedName>
    <definedName name="FB_Kurs_2">'III. Finanzberichte'!$J$8</definedName>
    <definedName name="FB_SaldoLC_2">'III. Finanzberichte'!$J$29</definedName>
    <definedName name="FB_SaldoEUR_2">'III. Finanzberichte'!$K$29</definedName>
    <definedName name="FB_Kurs_3">'III. Finanzberichte'!$Q$8</definedName>
    <definedName name="FB_SaldoLC_3">'III. Finanzberichte'!$Q$29</definedName>
    <definedName name="FB_SaldoEUR_3">'III. Finanzberichte'!$R$29</definedName>
    <definedName name="FB_Kurs_4">'III. Finanzberichte'!$X$8</definedName>
    <definedName name="FB_SaldoLC_4">'III. Finanzberichte'!$X$29</definedName>
    <definedName name="FB_SaldoEUR_4">'III. Finanzberichte'!$Y$29</definedName>
    <definedName name="FB_Kurs_5">'III. Finanzberichte'!$AE$8</definedName>
    <definedName name="FB_SaldoLC_5">'III. Finanzberichte'!$AE$29</definedName>
    <definedName name="FB_SaldoEUR_5">'III. Finanzberichte'!$AF$29</definedName>
    <definedName name="FB_Kurs_6">'III. Finanzberichte'!$AL$8</definedName>
    <definedName name="FB_SaldoLC_6">'III. Finanzberichte'!$AL$29</definedName>
    <definedName name="FB_SaldoEUR_6">'III. Finanzberichte'!$AM$29</definedName>
    <definedName name="FB_Kurs_7">'III. Finanzberichte'!$AS$8</definedName>
    <definedName name="FB_SaldoLC_7">'III. Finanzberichte'!$AS$29</definedName>
    <definedName name="FB_SaldoEUR_7">'III. Finanzberichte'!$AT$29</definedName>
    <definedName name="FB_Kurs_8">'III. Finanzberichte'!$AZ$8</definedName>
    <definedName name="FB_SaldoLC_8">'III. Finanzberichte'!$AZ$29</definedName>
    <definedName name="FB_SaldoEUR_8">'III. Finanzberichte'!$BA$29</definedName>
    <definedName name="FB_Kurs_9">'III. Finanzberichte'!$BG$8</definedName>
    <definedName name="FB_SaldoLC_9">'III. Finanzberichte'!$BG$29</definedName>
    <definedName name="FB_SaldoEUR_9">'III. Finanzberichte'!$BH$29</definedName>
    <definedName name="FB_Kurs_10">'III. Finanzberichte'!$BN$8</definedName>
    <definedName name="FB_SaldoLC_10">'III. Finanzberichte'!$BN$29</definedName>
    <definedName name="FB_SaldoEUR_10">'III. Finanzberichte'!$BO$29</definedName>
    <definedName name="FB_Kurs_11">'III. Finanzberichte'!$BU$8</definedName>
    <definedName name="FB_SaldoLC_11">'III. Finanzberichte'!$BU$29</definedName>
    <definedName name="FB_SaldoEUR_11">'III. Finanzberichte'!$BV$29</definedName>
    <definedName name="FB_Kurs_12">'III. Finanzberichte'!$CB$8</definedName>
    <definedName name="FB_SaldoLC_12">'III. Finanzberichte'!$CB$29</definedName>
    <definedName name="FB_SaldoEUR_12">'III. Finanzberichte'!$CC$29</definedName>
    <definedName name="FB_Kurs_13">'III. Finanzberichte'!$CI$8</definedName>
    <definedName name="FB_SaldoLC_13">'III. Finanzberichte'!$CI$29</definedName>
    <definedName name="FB_SaldoEUR_13">'III. Finanzberichte'!$CJ$29</definedName>
    <definedName name="FB_Kurs_14">'III. Finanzberichte'!$CP$8</definedName>
    <definedName name="FB_SaldoLC_14">'III. Finanzberichte'!$CP$29</definedName>
    <definedName name="FB_SaldoEUR_14">'III. Finanzberichte'!$CQ$29</definedName>
    <definedName name="FB_Kurs_15">'III. Finanzberichte'!$CW$8</definedName>
    <definedName name="FB_SaldoLC_15">'III. Finanzberichte'!$CW$29</definedName>
    <definedName name="FB_SaldoEUR_15">'III. Finanzberichte'!$CX$29</definedName>
    <definedName name="FB_Kurs_16">'III. Finanzberichte'!$DD$8</definedName>
    <definedName name="FB_SaldoLC_16">'III. Finanzberichte'!$DD$29</definedName>
    <definedName name="FB_SaldoEUR_16">'III. Finanzberichte'!$DE$29</definedName>
    <definedName name="FB_Kurs_17">'III. Finanzberichte'!$DK$8</definedName>
    <definedName name="FB_SaldoLC_17">'III. Finanzberichte'!$DK$29</definedName>
    <definedName name="FB_SaldoEUR_17">'III. Finanzberichte'!$DL$29</definedName>
    <definedName name="FB_Kurs_18">'III. Finanzberichte'!$DR$8</definedName>
    <definedName name="FB_SaldoLC_18">'III. Finanzberichte'!$DR$29</definedName>
    <definedName name="FB_SaldoEUR_18">'III. Finanzberichte'!$DS$29</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<sst xmlns="http://schemas.openxmlformats.org/spreadsheetml/2006/main" count="386" uniqueCount="386">
  <si>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</si>
  <si>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</si>
  <si>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</si>
  <si>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</si>
  <si>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</si>
  <si>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</si>
  <si>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</si>
  <si>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</si>
  <si>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</si>
  <si>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</si>
  <si>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</si>
  <si>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</si>
  <si>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</si>
  <si>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</si>
  <si>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</si>
  <si>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</si>
  <si>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</si>
  <si>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</si>
  <si>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</si>
  <si>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</si>
  <si>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</si>
  <si>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</si>
  <si>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</si>
  <si>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</si>
  <si>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</si>
  <si>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</si>
  <si>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</si>
  <si>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</si>
  <si>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</si>
  <si>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</si>
  <si>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</si>
  <si>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</si>
  <si>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</si>
  <si>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</si>
  <si>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</si>
  <si>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</si>
  <si>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</si>
  <si>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</si>
  <si>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</si>
  <si>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</si>
  <si>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</si>
  <si>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</si>
  <si>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</si>
  <si>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</si>
  <si>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</si>
  <si>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</si>
  <si>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</si>
  <si>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</si>
  <si>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</si>
  <si>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</si>
  <si>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</si>
  <si>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</si>
  <si>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</si>
  <si>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</si>
  <si>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</si>
  <si>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</si>
  <si>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</si>
  <si>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</si>
  <si>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</si>
  <si>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</si>
  <si>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</si>
  <si>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</si>
  <si>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</si>
  <si>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</si>
  <si>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</si>
  <si>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</si>
  <si>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</si>
  <si>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</si>
  <si>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</si>
  <si>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</si>
  <si>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</si>
  <si>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</si>
  <si>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</si>
  <si>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</si>
  <si>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</si>
  <si>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</si>
  <si>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</si>
  <si>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</si>
  <si>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</si>
  <si>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</si>
  <si>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</si>
  <si>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</si>
  <si>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</si>
  <si>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</si>
  <si>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</si>
  <si>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</si>
  <si>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</si>
  <si>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</si>
  <si>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</si>
  <si>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</si>
  <si>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</si>
  <si>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</si>
  <si>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</si>
  <si>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</si>
  <si>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</si>
  <si>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</si>
  <si>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</si>
  <si>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</si>
  <si>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</si>
  <si>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</si>
  <si>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</si>
  <si>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</si>
  <si>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</si>
  <si>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</si>
  <si>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</si>
  <si>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</si>
  <si>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</si>
  <si>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</si>
  <si>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</si>
  <si>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</si>
  <si>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</si>
  <si>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</si>
  <si>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</si>
  <si>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</si>
  <si>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</si>
  <si>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</si>
  <si>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</si>
  <si>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</si>
  <si>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</si>
  <si>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</si>
  <si>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</si>
  <si>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</si>
  <si>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</si>
  <si>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</si>
  <si>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</si>
  <si>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</si>
  <si>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</si>
  <si>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</si>
  <si>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</si>
  <si>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</si>
  <si>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</si>
  <si>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</si>
  <si>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</si>
  <si>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</si>
  <si>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</si>
  <si>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</si>
  <si>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</si>
  <si>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</si>
  <si>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</si>
  <si>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</si>
  <si>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</si>
  <si>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</si>
  <si>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</si>
  <si>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</si>
  <si>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</si>
  <si>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</si>
  <si>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</si>
  <si>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</si>
  <si>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</si>
  <si>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</si>
  <si>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</si>
  <si>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</si>
  <si>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</si>
  <si>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</si>
  <si>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</si>
  <si>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</si>
  <si>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</si>
  <si>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</si>
  <si>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</si>
  <si>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</si>
  <si>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</si>
  <si>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</si>
  <si>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</si>
  <si>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</si>
  <si>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</si>
  <si>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</si>
  <si>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</si>
  <si>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</si>
  <si>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</si>
  <si>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</si>
  <si>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</si>
  <si>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</si>
  <si>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</si>
  <si>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</si>
  <si>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</si>
  <si>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</si>
  <si>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</si>
  <si>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</si>
  <si>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</si>
  <si>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</si>
  <si>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</si>
  <si>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</si>
  <si>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</si>
  <si>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</si>
  <si>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</si>
  <si>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</si>
  <si>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</si>
  <si>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</si>
  <si>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</si>
  <si>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</si>
  <si>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</si>
  <si>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</si>
  <si>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</si>
  <si>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</si>
  <si>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</si>
  <si>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</si>
  <si>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</si>
  <si>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</si>
  <si>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</si>
  <si>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</si>
  <si>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</si>
  <si>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</si>
  <si>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</si>
  <si>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</si>
  <si>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</si>
  <si>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</si>
  <si>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</si>
  <si>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</si>
  <si>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</si>
  <si>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</si>
  <si>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</si>
  <si>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</si>
  <si>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</si>
  <si>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</si>
  <si>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</si>
  <si>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</si>
  <si>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</si>
  <si>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</si>
  <si>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</si>
  <si>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</si>
  <si>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</si>
  <si>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</si>
  <si>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</si>
  <si>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</si>
  <si>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</si>
  <si>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</si>
  <si>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</si>
  <si>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</si>
  <si>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</si>
  <si>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</si>
  <si>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</si>
  <si>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</si>
  <si>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</si>
  <si>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</si>
  <si>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</si>
  <si>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</si>
  <si>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</si>
  <si>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</si>
  <si>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</si>
  <si>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</si>
  <si>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</si>
  <si>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</si>
  <si>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</si>
  <si>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</si>
  <si>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</si>
  <si>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</si>
  <si>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</si>
  <si>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</si>
  <si>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</si>
  <si>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</si>
  <si>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</si>
  <si>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</si>
  <si>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</si>
  <si>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</si>
  <si>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</si>
  <si>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</si>
  <si>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</si>
  <si>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</si>
  <si>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</si>
  <si>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</si>
  <si>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</si>
  <si>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</si>
  <si>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</si>
  <si>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</si>
  <si>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</si>
  <si>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</si>
  <si>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</si>
  <si>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</si>
  <si>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</si>
  <si>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</si>
  <si>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</si>
  <si>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</si>
  <si>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</si>
  <si>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</si>
  <si>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</si>
  <si>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</si>
  <si>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</si>
  <si>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</si>
  <si>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</si>
  <si>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</si>
  <si>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</si>
  <si>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</si>
  <si>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</si>
  <si>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</si>
  <si>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</si>
  <si>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</si>
  <si>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</si>
  <si>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</si>
  <si>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</si>
  <si>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</si>
  <si>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</si>
  <si>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</si>
  <si>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</si>
  <si>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</si>
  <si>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</si>
  <si>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</si>
  <si>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</si>
  <si>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</si>
  <si>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</si>
  <si>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</si>
  <si>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</si>
  <si>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</si>
  <si>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</si>
  <si>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</si>
  <si>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</si>
  <si>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</si>
  <si>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</si>
  <si>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</si>
  <si>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</si>
  <si>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</si>
  <si>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</si>
  <si>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</si>
  <si>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</si>
  <si>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</si>
  <si>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</si>
  <si>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</si>
  <si>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</si>
  <si>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</si>
  <si>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</si>
  <si>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</si>
  <si>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</si>
  <si>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</si>
  <si>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</si>
  <si>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</si>
  <si>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 (FB+1)</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</si>
  <si>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</si>
  <si>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</si>
  <si>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</si>
  <si>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</si>
  <si>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</si>
  <si>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</si>
  <si>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</si>
  <si>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</si>
  <si>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</si>
  <si>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</si>
  <si>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</si>
  <si>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</si>
  <si>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</si>
  <si>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</si>
  <si>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</si>
  <si>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</si>
  <si>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</si>
  <si>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</si>
  <si>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</si>
  <si>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</si>
  <si>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</si>
  <si>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</si>
  <si>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</si>
  <si>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</si>
  <si>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</si>
  <si>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</si>
  <si>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</si>
  <si>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</si>
  <si>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</si>
  <si>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</si>
  <si>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</si>
  <si>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</si>
  <si>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</si>
  <si>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</si>
  <si>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</si>
  <si>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</si>
  <si>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</si>
  <si>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</si>
  <si>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</si>
  <si>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</si>
  <si>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</si>
  <si>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</si>
  <si>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</si>
  <si>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</si>
  <si>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</si>
  <si>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</si>
  <si>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</si>
  <si>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</si>
  <si>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Geprüfte Periode (N)</t>
  </si>
  <si>
    <t>Saldo (LC)</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</si>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</sst>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DD.MM.YYYY"/>
    <numFmt numFmtId="169" formatCode="0&quot; Monate&quot;"/>
    <numFmt numFmtId="170" formatCode="0.000000"/>
    <numFmt numFmtId="171" formatCode="@"/>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8" fontId="3" fillId="5" borderId="44" xfId="0" applyNumberFormat="true" applyFont="true" applyFill="true" applyBorder="true" applyAlignment="true">
      <alignment horizontal="center" vertical="center"/>
    </xf>
    <xf numFmtId="169"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0"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71"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71"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0"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0"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0"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69"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304</v>
      </c>
      <c r="O3" s="175" t="s">
        <v>304</v>
      </c>
      <c r="V3" s="175" t="s">
        <v>304</v>
      </c>
      <c r="AC3" s="175" t="s">
        <v>304</v>
      </c>
      <c r="AJ3" s="175" t="s">
        <v>304</v>
      </c>
      <c r="AQ3" s="175" t="s">
        <v>304</v>
      </c>
      <c r="AX3" s="175" t="s">
        <v>304</v>
      </c>
      <c r="BE3" s="175" t="s">
        <v>304</v>
      </c>
      <c r="BL3" s="175" t="s">
        <v>304</v>
      </c>
      <c r="BS3" s="175" t="s">
        <v>304</v>
      </c>
      <c r="BZ3" s="175" t="s">
        <v>304</v>
      </c>
      <c r="CG3" s="175" t="s">
        <v>304</v>
      </c>
      <c r="CN3" s="175" t="s">
        <v>304</v>
      </c>
      <c r="CU3" s="175" t="s">
        <v>304</v>
      </c>
      <c r="DB3" s="175" t="s">
        <v>304</v>
      </c>
      <c r="DI3" s="175" t="s">
        <v>304</v>
      </c>
      <c r="DP3" s="175" t="s">
        <v>304</v>
      </c>
    </row>
    <row r="4">
      <c r="B4" s="133" t="s">
        <v>267</v>
      </c>
      <c r="C4" s="134" t="s">
        <v>226</v>
      </c>
      <c r="D4" s="134"/>
      <c r="E4" s="135"/>
      <c r="F4" s="136"/>
      <c r="I4" s="133" t="s">
        <v>267</v>
      </c>
      <c r="J4" s="134" t="s">
        <v>227</v>
      </c>
      <c r="K4" s="134"/>
      <c r="L4" s="135"/>
      <c r="M4" s="136"/>
      <c r="P4" s="133" t="s">
        <v>267</v>
      </c>
      <c r="Q4" s="134" t="s">
        <v>228</v>
      </c>
      <c r="R4" s="134"/>
      <c r="S4" s="135"/>
      <c r="T4" s="136"/>
      <c r="W4" s="133" t="s">
        <v>267</v>
      </c>
      <c r="X4" s="134" t="s">
        <v>229</v>
      </c>
      <c r="Y4" s="134"/>
      <c r="Z4" s="135"/>
      <c r="AA4" s="136"/>
      <c r="AD4" s="133" t="s">
        <v>267</v>
      </c>
      <c r="AE4" s="134" t="s">
        <v>230</v>
      </c>
      <c r="AF4" s="134"/>
      <c r="AG4" s="135"/>
      <c r="AH4" s="136"/>
      <c r="AK4" s="133" t="s">
        <v>267</v>
      </c>
      <c r="AL4" s="134" t="s">
        <v>231</v>
      </c>
      <c r="AM4" s="134"/>
      <c r="AN4" s="135"/>
      <c r="AO4" s="136"/>
      <c r="AR4" s="133" t="s">
        <v>267</v>
      </c>
      <c r="AS4" s="134" t="s">
        <v>232</v>
      </c>
      <c r="AT4" s="134"/>
      <c r="AU4" s="135"/>
      <c r="AV4" s="136"/>
      <c r="AY4" s="133" t="s">
        <v>267</v>
      </c>
      <c r="AZ4" s="134" t="s">
        <v>233</v>
      </c>
      <c r="BA4" s="134"/>
      <c r="BB4" s="135"/>
      <c r="BC4" s="136"/>
      <c r="BF4" s="133" t="s">
        <v>267</v>
      </c>
      <c r="BG4" s="134" t="s">
        <v>234</v>
      </c>
      <c r="BH4" s="134"/>
      <c r="BI4" s="135"/>
      <c r="BJ4" s="136"/>
      <c r="BM4" s="133" t="s">
        <v>267</v>
      </c>
      <c r="BN4" s="134" t="s">
        <v>235</v>
      </c>
      <c r="BO4" s="134"/>
      <c r="BP4" s="135"/>
      <c r="BQ4" s="136"/>
      <c r="BT4" s="133" t="s">
        <v>267</v>
      </c>
      <c r="BU4" s="134" t="s">
        <v>236</v>
      </c>
      <c r="BV4" s="134"/>
      <c r="BW4" s="135"/>
      <c r="BX4" s="136"/>
      <c r="CA4" s="133" t="s">
        <v>267</v>
      </c>
      <c r="CB4" s="134" t="s">
        <v>237</v>
      </c>
      <c r="CC4" s="134"/>
      <c r="CD4" s="135"/>
      <c r="CE4" s="136"/>
      <c r="CH4" s="133" t="s">
        <v>267</v>
      </c>
      <c r="CI4" s="134" t="s">
        <v>238</v>
      </c>
      <c r="CJ4" s="134"/>
      <c r="CK4" s="135"/>
      <c r="CL4" s="136"/>
      <c r="CO4" s="133" t="s">
        <v>267</v>
      </c>
      <c r="CP4" s="134" t="s">
        <v>239</v>
      </c>
      <c r="CQ4" s="134"/>
      <c r="CR4" s="135"/>
      <c r="CS4" s="136"/>
      <c r="CV4" s="133" t="s">
        <v>267</v>
      </c>
      <c r="CW4" s="134" t="s">
        <v>240</v>
      </c>
      <c r="CX4" s="134"/>
      <c r="CY4" s="135"/>
      <c r="CZ4" s="136"/>
      <c r="DC4" s="133" t="s">
        <v>267</v>
      </c>
      <c r="DD4" s="134" t="s">
        <v>241</v>
      </c>
      <c r="DE4" s="134"/>
      <c r="DF4" s="135"/>
      <c r="DG4" s="136"/>
      <c r="DJ4" s="133" t="s">
        <v>267</v>
      </c>
      <c r="DK4" s="134" t="s">
        <v>242</v>
      </c>
      <c r="DL4" s="134"/>
      <c r="DM4" s="135"/>
      <c r="DN4" s="136"/>
      <c r="DQ4" s="133" t="s">
        <v>267</v>
      </c>
      <c r="DR4" s="134" t="s">
        <v>243</v>
      </c>
      <c r="DS4" s="134"/>
      <c r="DT4" s="135"/>
      <c r="DU4" s="136"/>
    </row>
    <row r="5">
      <c r="B5" s="137" t="s">
        <v>268</v>
      </c>
      <c r="C5" s="107"/>
      <c r="D5" s="107"/>
      <c r="F5" s="48"/>
      <c r="I5" s="137" t="s">
        <v>268</v>
      </c>
      <c r="J5" s="107"/>
      <c r="K5" s="107"/>
      <c r="M5" s="48"/>
      <c r="P5" s="137" t="s">
        <v>268</v>
      </c>
      <c r="Q5" s="107"/>
      <c r="R5" s="107"/>
      <c r="T5" s="48"/>
      <c r="W5" s="137" t="s">
        <v>268</v>
      </c>
      <c r="X5" s="107"/>
      <c r="Y5" s="107"/>
      <c r="AA5" s="48"/>
      <c r="AD5" s="137" t="s">
        <v>268</v>
      </c>
      <c r="AE5" s="107"/>
      <c r="AF5" s="107"/>
      <c r="AH5" s="48"/>
      <c r="AK5" s="137" t="s">
        <v>268</v>
      </c>
      <c r="AL5" s="107"/>
      <c r="AM5" s="107"/>
      <c r="AO5" s="48"/>
      <c r="AR5" s="137" t="s">
        <v>268</v>
      </c>
      <c r="AS5" s="107"/>
      <c r="AT5" s="107"/>
      <c r="AV5" s="48"/>
      <c r="AY5" s="137" t="s">
        <v>268</v>
      </c>
      <c r="AZ5" s="107"/>
      <c r="BA5" s="107"/>
      <c r="BC5" s="48"/>
      <c r="BF5" s="137" t="s">
        <v>268</v>
      </c>
      <c r="BG5" s="107"/>
      <c r="BH5" s="107"/>
      <c r="BJ5" s="48"/>
      <c r="BM5" s="137" t="s">
        <v>268</v>
      </c>
      <c r="BN5" s="107"/>
      <c r="BO5" s="107"/>
      <c r="BQ5" s="48"/>
      <c r="BT5" s="137" t="s">
        <v>268</v>
      </c>
      <c r="BU5" s="107"/>
      <c r="BV5" s="107"/>
      <c r="BX5" s="48"/>
      <c r="CA5" s="137" t="s">
        <v>268</v>
      </c>
      <c r="CB5" s="107"/>
      <c r="CC5" s="107"/>
      <c r="CE5" s="48"/>
      <c r="CH5" s="137" t="s">
        <v>268</v>
      </c>
      <c r="CI5" s="107"/>
      <c r="CJ5" s="107"/>
      <c r="CL5" s="48"/>
      <c r="CO5" s="137" t="s">
        <v>268</v>
      </c>
      <c r="CP5" s="107"/>
      <c r="CQ5" s="107"/>
      <c r="CS5" s="48"/>
      <c r="CV5" s="137" t="s">
        <v>268</v>
      </c>
      <c r="CW5" s="107"/>
      <c r="CX5" s="107"/>
      <c r="CZ5" s="48"/>
      <c r="DC5" s="137" t="s">
        <v>268</v>
      </c>
      <c r="DD5" s="107"/>
      <c r="DE5" s="107"/>
      <c r="DG5" s="48"/>
      <c r="DJ5" s="137" t="s">
        <v>268</v>
      </c>
      <c r="DK5" s="107"/>
      <c r="DL5" s="107"/>
      <c r="DN5" s="48"/>
      <c r="DQ5" s="137" t="s">
        <v>268</v>
      </c>
      <c r="DR5" s="107"/>
      <c r="DS5" s="107"/>
      <c r="DU5" s="48"/>
    </row>
    <row r="6">
      <c r="B6" s="137" t="s">
        <v>269</v>
      </c>
      <c r="C6" s="107"/>
      <c r="D6" s="107"/>
      <c r="F6" s="48"/>
      <c r="I6" s="137" t="s">
        <v>269</v>
      </c>
      <c r="J6" s="107"/>
      <c r="K6" s="107"/>
      <c r="M6" s="48"/>
      <c r="P6" s="137" t="s">
        <v>269</v>
      </c>
      <c r="Q6" s="107"/>
      <c r="R6" s="107"/>
      <c r="T6" s="48"/>
      <c r="W6" s="137" t="s">
        <v>269</v>
      </c>
      <c r="X6" s="107"/>
      <c r="Y6" s="107"/>
      <c r="AA6" s="48"/>
      <c r="AD6" s="137" t="s">
        <v>269</v>
      </c>
      <c r="AE6" s="107"/>
      <c r="AF6" s="107"/>
      <c r="AH6" s="48"/>
      <c r="AK6" s="137" t="s">
        <v>269</v>
      </c>
      <c r="AL6" s="107"/>
      <c r="AM6" s="107"/>
      <c r="AO6" s="48"/>
      <c r="AR6" s="137" t="s">
        <v>269</v>
      </c>
      <c r="AS6" s="107"/>
      <c r="AT6" s="107"/>
      <c r="AV6" s="48"/>
      <c r="AY6" s="137" t="s">
        <v>269</v>
      </c>
      <c r="AZ6" s="107"/>
      <c r="BA6" s="107"/>
      <c r="BC6" s="48"/>
      <c r="BF6" s="137" t="s">
        <v>269</v>
      </c>
      <c r="BG6" s="107"/>
      <c r="BH6" s="107"/>
      <c r="BJ6" s="48"/>
      <c r="BM6" s="137" t="s">
        <v>269</v>
      </c>
      <c r="BN6" s="107"/>
      <c r="BO6" s="107"/>
      <c r="BQ6" s="48"/>
      <c r="BT6" s="137" t="s">
        <v>269</v>
      </c>
      <c r="BU6" s="107"/>
      <c r="BV6" s="107"/>
      <c r="BX6" s="48"/>
      <c r="CA6" s="137" t="s">
        <v>269</v>
      </c>
      <c r="CB6" s="107"/>
      <c r="CC6" s="107"/>
      <c r="CE6" s="48"/>
      <c r="CH6" s="137" t="s">
        <v>269</v>
      </c>
      <c r="CI6" s="107"/>
      <c r="CJ6" s="107"/>
      <c r="CL6" s="48"/>
      <c r="CO6" s="137" t="s">
        <v>269</v>
      </c>
      <c r="CP6" s="107"/>
      <c r="CQ6" s="107"/>
      <c r="CS6" s="48"/>
      <c r="CV6" s="137" t="s">
        <v>269</v>
      </c>
      <c r="CW6" s="107"/>
      <c r="CX6" s="107"/>
      <c r="CZ6" s="48"/>
      <c r="DC6" s="137" t="s">
        <v>269</v>
      </c>
      <c r="DD6" s="107"/>
      <c r="DE6" s="107"/>
      <c r="DG6" s="48"/>
      <c r="DJ6" s="137" t="s">
        <v>269</v>
      </c>
      <c r="DK6" s="107"/>
      <c r="DL6" s="107"/>
      <c r="DN6" s="48"/>
      <c r="DQ6" s="137" t="s">
        <v>269</v>
      </c>
      <c r="DR6" s="107"/>
      <c r="DS6" s="107"/>
      <c r="DU6" s="48"/>
    </row>
    <row r="7">
      <c r="B7" s="137" t="s">
        <v>270</v>
      </c>
      <c r="C7" s="108" t="str">
        <f>=IF(OR(C5="",C6=""),"",DATEDIF(C5,C6,"m")+1)</f>
        <v>158</v>
      </c>
      <c r="D7" s="108"/>
      <c r="F7" s="48"/>
      <c r="I7" s="137" t="s">
        <v>270</v>
      </c>
      <c r="J7" s="108" t="str">
        <f>=IF(OR(J5="",J6=""),"",DATEDIF(J5,J6,"m")+1)</f>
        <v>158</v>
      </c>
      <c r="K7" s="108"/>
      <c r="M7" s="48"/>
      <c r="P7" s="137" t="s">
        <v>270</v>
      </c>
      <c r="Q7" s="108" t="str">
        <f>=IF(OR(Q5="",Q6=""),"",DATEDIF(Q5,Q6,"m")+1)</f>
        <v>158</v>
      </c>
      <c r="R7" s="108"/>
      <c r="T7" s="48"/>
      <c r="W7" s="137" t="s">
        <v>270</v>
      </c>
      <c r="X7" s="108" t="str">
        <f>=IF(OR(X5="",X6=""),"",DATEDIF(X5,X6,"m")+1)</f>
        <v>158</v>
      </c>
      <c r="Y7" s="108"/>
      <c r="AA7" s="48"/>
      <c r="AD7" s="137" t="s">
        <v>270</v>
      </c>
      <c r="AE7" s="108" t="str">
        <f>=IF(OR(AE5="",AE6=""),"",DATEDIF(AE5,AE6,"m")+1)</f>
        <v>158</v>
      </c>
      <c r="AF7" s="108"/>
      <c r="AH7" s="48"/>
      <c r="AK7" s="137" t="s">
        <v>270</v>
      </c>
      <c r="AL7" s="108" t="str">
        <f>=IF(OR(AL5="",AL6=""),"",DATEDIF(AL5,AL6,"m")+1)</f>
        <v>158</v>
      </c>
      <c r="AM7" s="108"/>
      <c r="AO7" s="48"/>
      <c r="AR7" s="137" t="s">
        <v>270</v>
      </c>
      <c r="AS7" s="108" t="str">
        <f>=IF(OR(AS5="",AS6=""),"",DATEDIF(AS5,AS6,"m")+1)</f>
        <v>158</v>
      </c>
      <c r="AT7" s="108"/>
      <c r="AV7" s="48"/>
      <c r="AY7" s="137" t="s">
        <v>270</v>
      </c>
      <c r="AZ7" s="108" t="str">
        <f>=IF(OR(AZ5="",AZ6=""),"",DATEDIF(AZ5,AZ6,"m")+1)</f>
        <v>158</v>
      </c>
      <c r="BA7" s="108"/>
      <c r="BC7" s="48"/>
      <c r="BF7" s="137" t="s">
        <v>270</v>
      </c>
      <c r="BG7" s="108" t="str">
        <f>=IF(OR(BG5="",BG6=""),"",DATEDIF(BG5,BG6,"m")+1)</f>
        <v>158</v>
      </c>
      <c r="BH7" s="108"/>
      <c r="BJ7" s="48"/>
      <c r="BM7" s="137" t="s">
        <v>270</v>
      </c>
      <c r="BN7" s="108" t="str">
        <f>=IF(OR(BN5="",BN6=""),"",DATEDIF(BN5,BN6,"m")+1)</f>
        <v>158</v>
      </c>
      <c r="BO7" s="108"/>
      <c r="BQ7" s="48"/>
      <c r="BT7" s="137" t="s">
        <v>270</v>
      </c>
      <c r="BU7" s="108" t="str">
        <f>=IF(OR(BU5="",BU6=""),"",DATEDIF(BU5,BU6,"m")+1)</f>
        <v>158</v>
      </c>
      <c r="BV7" s="108"/>
      <c r="BX7" s="48"/>
      <c r="CA7" s="137" t="s">
        <v>270</v>
      </c>
      <c r="CB7" s="108" t="str">
        <f>=IF(OR(CB5="",CB6=""),"",DATEDIF(CB5,CB6,"m")+1)</f>
        <v>158</v>
      </c>
      <c r="CC7" s="108"/>
      <c r="CE7" s="48"/>
      <c r="CH7" s="137" t="s">
        <v>270</v>
      </c>
      <c r="CI7" s="108" t="str">
        <f>=IF(OR(CI5="",CI6=""),"",DATEDIF(CI5,CI6,"m")+1)</f>
        <v>158</v>
      </c>
      <c r="CJ7" s="108"/>
      <c r="CL7" s="48"/>
      <c r="CO7" s="137" t="s">
        <v>270</v>
      </c>
      <c r="CP7" s="108" t="str">
        <f>=IF(OR(CP5="",CP6=""),"",DATEDIF(CP5,CP6,"m")+1)</f>
        <v>158</v>
      </c>
      <c r="CQ7" s="108"/>
      <c r="CS7" s="48"/>
      <c r="CV7" s="137" t="s">
        <v>270</v>
      </c>
      <c r="CW7" s="108" t="str">
        <f>=IF(OR(CW5="",CW6=""),"",DATEDIF(CW5,CW6,"m")+1)</f>
        <v>158</v>
      </c>
      <c r="CX7" s="108"/>
      <c r="CZ7" s="48"/>
      <c r="DC7" s="137" t="s">
        <v>270</v>
      </c>
      <c r="DD7" s="108" t="str">
        <f>=IF(OR(DD5="",DD6=""),"",DATEDIF(DD5,DD6,"m")+1)</f>
        <v>158</v>
      </c>
      <c r="DE7" s="108"/>
      <c r="DG7" s="48"/>
      <c r="DJ7" s="137" t="s">
        <v>270</v>
      </c>
      <c r="DK7" s="108" t="str">
        <f>=IF(OR(DK5="",DK6=""),"",DATEDIF(DK5,DK6,"m")+1)</f>
        <v>158</v>
      </c>
      <c r="DL7" s="108"/>
      <c r="DN7" s="48"/>
      <c r="DQ7" s="137" t="s">
        <v>270</v>
      </c>
      <c r="DR7" s="108" t="str">
        <f>=IF(OR(DR5="",DR6=""),"",DATEDIF(DR5,DR6,"m")+1)</f>
        <v>158</v>
      </c>
      <c r="DS7" s="108"/>
      <c r="DU7" s="48"/>
    </row>
    <row r="8">
      <c r="B8" s="137" t="s">
        <v>271</v>
      </c>
      <c r="C8" s="110" t="str">
        <f>=ROUND(IFERROR(F46,0),6)</f>
        <v>158</v>
      </c>
      <c r="D8" s="110"/>
      <c r="F8" s="48"/>
      <c r="I8" s="137" t="s">
        <v>271</v>
      </c>
      <c r="J8" s="110" t="str">
        <f>=ROUND(IFERROR(M46,0),6)</f>
        <v>158</v>
      </c>
      <c r="K8" s="110"/>
      <c r="M8" s="48"/>
      <c r="P8" s="137" t="s">
        <v>271</v>
      </c>
      <c r="Q8" s="110" t="str">
        <f>=ROUND(IFERROR(T46,0),6)</f>
        <v>158</v>
      </c>
      <c r="R8" s="110"/>
      <c r="T8" s="48"/>
      <c r="W8" s="137" t="s">
        <v>271</v>
      </c>
      <c r="X8" s="110" t="str">
        <f>=ROUND(IFERROR(AA46,0),6)</f>
        <v>158</v>
      </c>
      <c r="Y8" s="110"/>
      <c r="AA8" s="48"/>
      <c r="AD8" s="137" t="s">
        <v>271</v>
      </c>
      <c r="AE8" s="110" t="str">
        <f>=ROUND(IFERROR(AH46,0),6)</f>
        <v>158</v>
      </c>
      <c r="AF8" s="110"/>
      <c r="AH8" s="48"/>
      <c r="AK8" s="137" t="s">
        <v>271</v>
      </c>
      <c r="AL8" s="110" t="str">
        <f>=ROUND(IFERROR(AO46,0),6)</f>
        <v>158</v>
      </c>
      <c r="AM8" s="110"/>
      <c r="AO8" s="48"/>
      <c r="AR8" s="137" t="s">
        <v>271</v>
      </c>
      <c r="AS8" s="110" t="str">
        <f>=ROUND(IFERROR(AV46,0),6)</f>
        <v>158</v>
      </c>
      <c r="AT8" s="110"/>
      <c r="AV8" s="48"/>
      <c r="AY8" s="137" t="s">
        <v>271</v>
      </c>
      <c r="AZ8" s="110" t="str">
        <f>=ROUND(IFERROR(BC46,0),6)</f>
        <v>158</v>
      </c>
      <c r="BA8" s="110"/>
      <c r="BC8" s="48"/>
      <c r="BF8" s="137" t="s">
        <v>271</v>
      </c>
      <c r="BG8" s="110" t="str">
        <f>=ROUND(IFERROR(BJ46,0),6)</f>
        <v>158</v>
      </c>
      <c r="BH8" s="110"/>
      <c r="BJ8" s="48"/>
      <c r="BM8" s="137" t="s">
        <v>271</v>
      </c>
      <c r="BN8" s="110" t="str">
        <f>=ROUND(IFERROR(BQ46,0),6)</f>
        <v>158</v>
      </c>
      <c r="BO8" s="110"/>
      <c r="BQ8" s="48"/>
      <c r="BT8" s="137" t="s">
        <v>271</v>
      </c>
      <c r="BU8" s="110" t="str">
        <f>=ROUND(IFERROR(BX46,0),6)</f>
        <v>158</v>
      </c>
      <c r="BV8" s="110"/>
      <c r="BX8" s="48"/>
      <c r="CA8" s="137" t="s">
        <v>271</v>
      </c>
      <c r="CB8" s="110" t="str">
        <f>=ROUND(IFERROR(CE46,0),6)</f>
        <v>158</v>
      </c>
      <c r="CC8" s="110"/>
      <c r="CE8" s="48"/>
      <c r="CH8" s="137" t="s">
        <v>271</v>
      </c>
      <c r="CI8" s="110" t="str">
        <f>=ROUND(IFERROR(CL46,0),6)</f>
        <v>158</v>
      </c>
      <c r="CJ8" s="110"/>
      <c r="CL8" s="48"/>
      <c r="CO8" s="137" t="s">
        <v>271</v>
      </c>
      <c r="CP8" s="110" t="str">
        <f>=ROUND(IFERROR(CS46,0),6)</f>
        <v>158</v>
      </c>
      <c r="CQ8" s="110"/>
      <c r="CS8" s="48"/>
      <c r="CV8" s="137" t="s">
        <v>271</v>
      </c>
      <c r="CW8" s="110" t="str">
        <f>=ROUND(IFERROR(CZ46,0),6)</f>
        <v>158</v>
      </c>
      <c r="CX8" s="110"/>
      <c r="CZ8" s="48"/>
      <c r="DC8" s="137" t="s">
        <v>271</v>
      </c>
      <c r="DD8" s="110" t="str">
        <f>=ROUND(IFERROR(DG46,0),6)</f>
        <v>158</v>
      </c>
      <c r="DE8" s="110"/>
      <c r="DG8" s="48"/>
      <c r="DJ8" s="137" t="s">
        <v>271</v>
      </c>
      <c r="DK8" s="110" t="str">
        <f>=ROUND(IFERROR(DN46,0),6)</f>
        <v>158</v>
      </c>
      <c r="DL8" s="110"/>
      <c r="DN8" s="48"/>
      <c r="DQ8" s="137" t="s">
        <v>271</v>
      </c>
      <c r="DR8" s="110" t="str">
        <f>=ROUND(IFERROR(DU46,0),6)</f>
        <v>158</v>
      </c>
      <c r="DS8" s="110"/>
      <c r="DU8" s="48"/>
    </row>
    <row r="9">
      <c r="B9" s="138" t="s">
        <v>272</v>
      </c>
      <c r="C9" s="111"/>
      <c r="D9" s="111"/>
      <c r="E9" s="111"/>
      <c r="F9" s="139"/>
      <c r="I9" s="138" t="s">
        <v>272</v>
      </c>
      <c r="J9" s="111"/>
      <c r="K9" s="111"/>
      <c r="L9" s="111"/>
      <c r="M9" s="139"/>
      <c r="P9" s="138" t="s">
        <v>272</v>
      </c>
      <c r="Q9" s="111"/>
      <c r="R9" s="111"/>
      <c r="S9" s="111"/>
      <c r="T9" s="139"/>
      <c r="W9" s="138" t="s">
        <v>272</v>
      </c>
      <c r="X9" s="111"/>
      <c r="Y9" s="111"/>
      <c r="Z9" s="111"/>
      <c r="AA9" s="139"/>
      <c r="AD9" s="138" t="s">
        <v>272</v>
      </c>
      <c r="AE9" s="111"/>
      <c r="AF9" s="111"/>
      <c r="AG9" s="111"/>
      <c r="AH9" s="139"/>
      <c r="AK9" s="138" t="s">
        <v>272</v>
      </c>
      <c r="AL9" s="111"/>
      <c r="AM9" s="111"/>
      <c r="AN9" s="111"/>
      <c r="AO9" s="139"/>
      <c r="AR9" s="138" t="s">
        <v>272</v>
      </c>
      <c r="AS9" s="111"/>
      <c r="AT9" s="111"/>
      <c r="AU9" s="111"/>
      <c r="AV9" s="139"/>
      <c r="AY9" s="138" t="s">
        <v>272</v>
      </c>
      <c r="AZ9" s="111"/>
      <c r="BA9" s="111"/>
      <c r="BB9" s="111"/>
      <c r="BC9" s="139"/>
      <c r="BF9" s="138" t="s">
        <v>272</v>
      </c>
      <c r="BG9" s="111"/>
      <c r="BH9" s="111"/>
      <c r="BI9" s="111"/>
      <c r="BJ9" s="139"/>
      <c r="BM9" s="138" t="s">
        <v>272</v>
      </c>
      <c r="BN9" s="111"/>
      <c r="BO9" s="111"/>
      <c r="BP9" s="111"/>
      <c r="BQ9" s="139"/>
      <c r="BT9" s="138" t="s">
        <v>272</v>
      </c>
      <c r="BU9" s="111"/>
      <c r="BV9" s="111"/>
      <c r="BW9" s="111"/>
      <c r="BX9" s="139"/>
      <c r="CA9" s="138" t="s">
        <v>272</v>
      </c>
      <c r="CB9" s="111"/>
      <c r="CC9" s="111"/>
      <c r="CD9" s="111"/>
      <c r="CE9" s="139"/>
      <c r="CH9" s="138" t="s">
        <v>272</v>
      </c>
      <c r="CI9" s="111"/>
      <c r="CJ9" s="111"/>
      <c r="CK9" s="111"/>
      <c r="CL9" s="139"/>
      <c r="CO9" s="138" t="s">
        <v>272</v>
      </c>
      <c r="CP9" s="111"/>
      <c r="CQ9" s="111"/>
      <c r="CR9" s="111"/>
      <c r="CS9" s="139"/>
      <c r="CV9" s="138" t="s">
        <v>272</v>
      </c>
      <c r="CW9" s="111"/>
      <c r="CX9" s="111"/>
      <c r="CY9" s="111"/>
      <c r="CZ9" s="139"/>
      <c r="DC9" s="138" t="s">
        <v>272</v>
      </c>
      <c r="DD9" s="111"/>
      <c r="DE9" s="111"/>
      <c r="DF9" s="111"/>
      <c r="DG9" s="139"/>
      <c r="DJ9" s="138" t="s">
        <v>272</v>
      </c>
      <c r="DK9" s="111"/>
      <c r="DL9" s="111"/>
      <c r="DM9" s="111"/>
      <c r="DN9" s="139"/>
      <c r="DQ9" s="138" t="s">
        <v>272</v>
      </c>
      <c r="DR9" s="111"/>
      <c r="DS9" s="111"/>
      <c r="DT9" s="111"/>
      <c r="DU9" s="139"/>
    </row>
    <row r="10">
      <c r="B10" s="140" t="s">
        <v>273</v>
      </c>
      <c r="C10" s="113" t="s">
        <v>274</v>
      </c>
      <c r="D10" s="113" t="s">
        <v>275</v>
      </c>
      <c r="E10" s="113" t="s">
        <v>276</v>
      </c>
      <c r="F10" s="141" t="s">
        <v>277</v>
      </c>
      <c r="I10" s="140" t="s">
        <v>273</v>
      </c>
      <c r="J10" s="113" t="s">
        <v>274</v>
      </c>
      <c r="K10" s="113" t="s">
        <v>275</v>
      </c>
      <c r="L10" s="113" t="s">
        <v>276</v>
      </c>
      <c r="M10" s="141" t="s">
        <v>277</v>
      </c>
      <c r="P10" s="140" t="s">
        <v>273</v>
      </c>
      <c r="Q10" s="113" t="s">
        <v>274</v>
      </c>
      <c r="R10" s="113" t="s">
        <v>275</v>
      </c>
      <c r="S10" s="113" t="s">
        <v>276</v>
      </c>
      <c r="T10" s="141" t="s">
        <v>277</v>
      </c>
      <c r="W10" s="140" t="s">
        <v>273</v>
      </c>
      <c r="X10" s="113" t="s">
        <v>274</v>
      </c>
      <c r="Y10" s="113" t="s">
        <v>275</v>
      </c>
      <c r="Z10" s="113" t="s">
        <v>276</v>
      </c>
      <c r="AA10" s="141" t="s">
        <v>277</v>
      </c>
      <c r="AD10" s="140" t="s">
        <v>273</v>
      </c>
      <c r="AE10" s="113" t="s">
        <v>274</v>
      </c>
      <c r="AF10" s="113" t="s">
        <v>275</v>
      </c>
      <c r="AG10" s="113" t="s">
        <v>276</v>
      </c>
      <c r="AH10" s="141" t="s">
        <v>277</v>
      </c>
      <c r="AK10" s="140" t="s">
        <v>273</v>
      </c>
      <c r="AL10" s="113" t="s">
        <v>274</v>
      </c>
      <c r="AM10" s="113" t="s">
        <v>275</v>
      </c>
      <c r="AN10" s="113" t="s">
        <v>276</v>
      </c>
      <c r="AO10" s="141" t="s">
        <v>277</v>
      </c>
      <c r="AR10" s="140" t="s">
        <v>273</v>
      </c>
      <c r="AS10" s="113" t="s">
        <v>274</v>
      </c>
      <c r="AT10" s="113" t="s">
        <v>275</v>
      </c>
      <c r="AU10" s="113" t="s">
        <v>276</v>
      </c>
      <c r="AV10" s="141" t="s">
        <v>277</v>
      </c>
      <c r="AY10" s="140" t="s">
        <v>273</v>
      </c>
      <c r="AZ10" s="113" t="s">
        <v>274</v>
      </c>
      <c r="BA10" s="113" t="s">
        <v>275</v>
      </c>
      <c r="BB10" s="113" t="s">
        <v>276</v>
      </c>
      <c r="BC10" s="141" t="s">
        <v>277</v>
      </c>
      <c r="BF10" s="140" t="s">
        <v>273</v>
      </c>
      <c r="BG10" s="113" t="s">
        <v>274</v>
      </c>
      <c r="BH10" s="113" t="s">
        <v>275</v>
      </c>
      <c r="BI10" s="113" t="s">
        <v>276</v>
      </c>
      <c r="BJ10" s="141" t="s">
        <v>277</v>
      </c>
      <c r="BM10" s="140" t="s">
        <v>273</v>
      </c>
      <c r="BN10" s="113" t="s">
        <v>274</v>
      </c>
      <c r="BO10" s="113" t="s">
        <v>275</v>
      </c>
      <c r="BP10" s="113" t="s">
        <v>276</v>
      </c>
      <c r="BQ10" s="141" t="s">
        <v>277</v>
      </c>
      <c r="BT10" s="140" t="s">
        <v>273</v>
      </c>
      <c r="BU10" s="113" t="s">
        <v>274</v>
      </c>
      <c r="BV10" s="113" t="s">
        <v>275</v>
      </c>
      <c r="BW10" s="113" t="s">
        <v>276</v>
      </c>
      <c r="BX10" s="141" t="s">
        <v>277</v>
      </c>
      <c r="CA10" s="140" t="s">
        <v>273</v>
      </c>
      <c r="CB10" s="113" t="s">
        <v>274</v>
      </c>
      <c r="CC10" s="113" t="s">
        <v>275</v>
      </c>
      <c r="CD10" s="113" t="s">
        <v>276</v>
      </c>
      <c r="CE10" s="141" t="s">
        <v>277</v>
      </c>
      <c r="CH10" s="140" t="s">
        <v>273</v>
      </c>
      <c r="CI10" s="113" t="s">
        <v>274</v>
      </c>
      <c r="CJ10" s="113" t="s">
        <v>275</v>
      </c>
      <c r="CK10" s="113" t="s">
        <v>276</v>
      </c>
      <c r="CL10" s="141" t="s">
        <v>277</v>
      </c>
      <c r="CO10" s="140" t="s">
        <v>273</v>
      </c>
      <c r="CP10" s="113" t="s">
        <v>274</v>
      </c>
      <c r="CQ10" s="113" t="s">
        <v>275</v>
      </c>
      <c r="CR10" s="113" t="s">
        <v>276</v>
      </c>
      <c r="CS10" s="141" t="s">
        <v>277</v>
      </c>
      <c r="CV10" s="140" t="s">
        <v>273</v>
      </c>
      <c r="CW10" s="113" t="s">
        <v>274</v>
      </c>
      <c r="CX10" s="113" t="s">
        <v>275</v>
      </c>
      <c r="CY10" s="113" t="s">
        <v>276</v>
      </c>
      <c r="CZ10" s="141" t="s">
        <v>277</v>
      </c>
      <c r="DC10" s="140" t="s">
        <v>273</v>
      </c>
      <c r="DD10" s="113" t="s">
        <v>274</v>
      </c>
      <c r="DE10" s="113" t="s">
        <v>275</v>
      </c>
      <c r="DF10" s="113" t="s">
        <v>276</v>
      </c>
      <c r="DG10" s="141" t="s">
        <v>277</v>
      </c>
      <c r="DJ10" s="140" t="s">
        <v>273</v>
      </c>
      <c r="DK10" s="113" t="s">
        <v>274</v>
      </c>
      <c r="DL10" s="113" t="s">
        <v>275</v>
      </c>
      <c r="DM10" s="113" t="s">
        <v>276</v>
      </c>
      <c r="DN10" s="141" t="s">
        <v>277</v>
      </c>
      <c r="DQ10" s="140" t="s">
        <v>273</v>
      </c>
      <c r="DR10" s="113" t="s">
        <v>274</v>
      </c>
      <c r="DS10" s="113" t="s">
        <v>275</v>
      </c>
      <c r="DT10" s="113" t="s">
        <v>276</v>
      </c>
      <c r="DU10" s="141" t="s">
        <v>277</v>
      </c>
    </row>
    <row r="11">
      <c r="B11" s="142" t="s">
        <v>278</v>
      </c>
      <c r="C11" s="115" t="str">
        <f>=ROUND(IF(Saldovortrag_LW="",0,Saldovortrag_LW),2)</f>
      </c>
      <c r="D11" s="116" t="str">
        <f>=ROUND(IF(Saldovortrag_EUR="",0,Saldovortrag_EUR),2)</f>
      </c>
      <c r="E11" s="115" t="str">
        <f>=ROUND(IF(Saldovortrag_LW="",0,Saldovortrag_LW),2)</f>
      </c>
      <c r="F11" s="143" t="str">
        <f>=ROUND(IF(Saldovortrag_EUR="",0,Saldovortrag_EUR),2)</f>
      </c>
      <c r="I11" s="142" t="s">
        <v>305</v>
      </c>
      <c r="J11" s="115" t="str">
        <f>=ROUND(FB_SaldoLC_1,2)</f>
      </c>
      <c r="K11" s="116" t="str">
        <f>=ROUND(FB_SaldoEUR_1,2)</f>
      </c>
      <c r="L11" s="115" t="str">
        <f>=ROUND(FB_SaldoLC_1,2)</f>
      </c>
      <c r="M11" s="143" t="str">
        <f>=ROUND(FB_SaldoEUR_1,2)</f>
      </c>
      <c r="P11" s="142" t="s">
        <v>305</v>
      </c>
      <c r="Q11" s="115" t="str">
        <f>=ROUND(FB_SaldoLC_2,2)</f>
      </c>
      <c r="R11" s="116" t="str">
        <f>=ROUND(FB_SaldoEUR_2,2)</f>
      </c>
      <c r="S11" s="115" t="str">
        <f>=ROUND(FB_SaldoLC_2,2)</f>
      </c>
      <c r="T11" s="143" t="str">
        <f>=ROUND(FB_SaldoEUR_2,2)</f>
      </c>
      <c r="W11" s="142" t="s">
        <v>305</v>
      </c>
      <c r="X11" s="115" t="str">
        <f>=ROUND(FB_SaldoLC_3,2)</f>
      </c>
      <c r="Y11" s="116" t="str">
        <f>=ROUND(FB_SaldoEUR_3,2)</f>
      </c>
      <c r="Z11" s="115" t="str">
        <f>=ROUND(FB_SaldoLC_3,2)</f>
      </c>
      <c r="AA11" s="143" t="str">
        <f>=ROUND(FB_SaldoEUR_3,2)</f>
      </c>
      <c r="AD11" s="142" t="s">
        <v>305</v>
      </c>
      <c r="AE11" s="115" t="str">
        <f>=ROUND(FB_SaldoLC_4,2)</f>
      </c>
      <c r="AF11" s="116" t="str">
        <f>=ROUND(FB_SaldoEUR_4,2)</f>
      </c>
      <c r="AG11" s="115" t="str">
        <f>=ROUND(FB_SaldoLC_4,2)</f>
      </c>
      <c r="AH11" s="143" t="str">
        <f>=ROUND(FB_SaldoEUR_4,2)</f>
      </c>
      <c r="AK11" s="142" t="s">
        <v>305</v>
      </c>
      <c r="AL11" s="115" t="str">
        <f>=ROUND(FB_SaldoLC_5,2)</f>
      </c>
      <c r="AM11" s="116" t="str">
        <f>=ROUND(FB_SaldoEUR_5,2)</f>
      </c>
      <c r="AN11" s="115" t="str">
        <f>=ROUND(FB_SaldoLC_5,2)</f>
      </c>
      <c r="AO11" s="143" t="str">
        <f>=ROUND(FB_SaldoEUR_5,2)</f>
      </c>
      <c r="AR11" s="142" t="s">
        <v>305</v>
      </c>
      <c r="AS11" s="115" t="str">
        <f>=ROUND(FB_SaldoLC_6,2)</f>
      </c>
      <c r="AT11" s="116" t="str">
        <f>=ROUND(FB_SaldoEUR_6,2)</f>
      </c>
      <c r="AU11" s="115" t="str">
        <f>=ROUND(FB_SaldoLC_6,2)</f>
      </c>
      <c r="AV11" s="143" t="str">
        <f>=ROUND(FB_SaldoEUR_6,2)</f>
      </c>
      <c r="AY11" s="142" t="s">
        <v>305</v>
      </c>
      <c r="AZ11" s="115" t="str">
        <f>=ROUND(FB_SaldoLC_7,2)</f>
      </c>
      <c r="BA11" s="116" t="str">
        <f>=ROUND(FB_SaldoEUR_7,2)</f>
      </c>
      <c r="BB11" s="115" t="str">
        <f>=ROUND(FB_SaldoLC_7,2)</f>
      </c>
      <c r="BC11" s="143" t="str">
        <f>=ROUND(FB_SaldoEUR_7,2)</f>
      </c>
      <c r="BF11" s="142" t="s">
        <v>305</v>
      </c>
      <c r="BG11" s="115" t="str">
        <f>=ROUND(FB_SaldoLC_8,2)</f>
      </c>
      <c r="BH11" s="116" t="str">
        <f>=ROUND(FB_SaldoEUR_8,2)</f>
      </c>
      <c r="BI11" s="115" t="str">
        <f>=ROUND(FB_SaldoLC_8,2)</f>
      </c>
      <c r="BJ11" s="143" t="str">
        <f>=ROUND(FB_SaldoEUR_8,2)</f>
      </c>
      <c r="BM11" s="142" t="s">
        <v>305</v>
      </c>
      <c r="BN11" s="115" t="str">
        <f>=ROUND(FB_SaldoLC_9,2)</f>
      </c>
      <c r="BO11" s="116" t="str">
        <f>=ROUND(FB_SaldoEUR_9,2)</f>
      </c>
      <c r="BP11" s="115" t="str">
        <f>=ROUND(FB_SaldoLC_9,2)</f>
      </c>
      <c r="BQ11" s="143" t="str">
        <f>=ROUND(FB_SaldoEUR_9,2)</f>
      </c>
      <c r="BT11" s="142" t="s">
        <v>305</v>
      </c>
      <c r="BU11" s="115" t="str">
        <f>=ROUND(FB_SaldoLC_10,2)</f>
      </c>
      <c r="BV11" s="116" t="str">
        <f>=ROUND(FB_SaldoEUR_10,2)</f>
      </c>
      <c r="BW11" s="115" t="str">
        <f>=ROUND(FB_SaldoLC_10,2)</f>
      </c>
      <c r="BX11" s="143" t="str">
        <f>=ROUND(FB_SaldoEUR_10,2)</f>
      </c>
      <c r="CA11" s="142" t="s">
        <v>305</v>
      </c>
      <c r="CB11" s="115" t="str">
        <f>=ROUND(FB_SaldoLC_11,2)</f>
      </c>
      <c r="CC11" s="116" t="str">
        <f>=ROUND(FB_SaldoEUR_11,2)</f>
      </c>
      <c r="CD11" s="115" t="str">
        <f>=ROUND(FB_SaldoLC_11,2)</f>
      </c>
      <c r="CE11" s="143" t="str">
        <f>=ROUND(FB_SaldoEUR_11,2)</f>
      </c>
      <c r="CH11" s="142" t="s">
        <v>305</v>
      </c>
      <c r="CI11" s="115" t="str">
        <f>=ROUND(FB_SaldoLC_12,2)</f>
      </c>
      <c r="CJ11" s="116" t="str">
        <f>=ROUND(FB_SaldoEUR_12,2)</f>
      </c>
      <c r="CK11" s="115" t="str">
        <f>=ROUND(FB_SaldoLC_12,2)</f>
      </c>
      <c r="CL11" s="143" t="str">
        <f>=ROUND(FB_SaldoEUR_12,2)</f>
      </c>
      <c r="CO11" s="142" t="s">
        <v>305</v>
      </c>
      <c r="CP11" s="115" t="str">
        <f>=ROUND(FB_SaldoLC_13,2)</f>
      </c>
      <c r="CQ11" s="116" t="str">
        <f>=ROUND(FB_SaldoEUR_13,2)</f>
      </c>
      <c r="CR11" s="115" t="str">
        <f>=ROUND(FB_SaldoLC_13,2)</f>
      </c>
      <c r="CS11" s="143" t="str">
        <f>=ROUND(FB_SaldoEUR_13,2)</f>
      </c>
      <c r="CV11" s="142" t="s">
        <v>305</v>
      </c>
      <c r="CW11" s="115" t="str">
        <f>=ROUND(FB_SaldoLC_14,2)</f>
      </c>
      <c r="CX11" s="116" t="str">
        <f>=ROUND(FB_SaldoEUR_14,2)</f>
      </c>
      <c r="CY11" s="115" t="str">
        <f>=ROUND(FB_SaldoLC_14,2)</f>
      </c>
      <c r="CZ11" s="143" t="str">
        <f>=ROUND(FB_SaldoEUR_14,2)</f>
      </c>
      <c r="DC11" s="142" t="s">
        <v>305</v>
      </c>
      <c r="DD11" s="115" t="str">
        <f>=ROUND(FB_SaldoLC_15,2)</f>
      </c>
      <c r="DE11" s="116" t="str">
        <f>=ROUND(FB_SaldoEUR_15,2)</f>
      </c>
      <c r="DF11" s="115" t="str">
        <f>=ROUND(FB_SaldoLC_15,2)</f>
      </c>
      <c r="DG11" s="143" t="str">
        <f>=ROUND(FB_SaldoEUR_15,2)</f>
      </c>
      <c r="DJ11" s="142" t="s">
        <v>305</v>
      </c>
      <c r="DK11" s="115" t="str">
        <f>=ROUND(FB_SaldoLC_16,2)</f>
      </c>
      <c r="DL11" s="116" t="str">
        <f>=ROUND(FB_SaldoEUR_16,2)</f>
      </c>
      <c r="DM11" s="115" t="str">
        <f>=ROUND(FB_SaldoLC_16,2)</f>
      </c>
      <c r="DN11" s="143" t="str">
        <f>=ROUND(FB_SaldoEUR_16,2)</f>
      </c>
      <c r="DQ11" s="142" t="s">
        <v>305</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279</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279</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279</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279</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279</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279</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279</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279</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279</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279</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279</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279</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279</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279</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279</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279</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279</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279</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280</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280</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280</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280</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280</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280</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280</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280</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280</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280</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280</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280</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280</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280</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280</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280</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280</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280</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281</v>
      </c>
      <c r="C16" s="118" t="str">
        <f>=ROUND(SUM(C11:C15),2)</f>
      </c>
      <c r="D16" s="119" t="str">
        <f>=ROUND(SUM(D11:D15),2)</f>
      </c>
      <c r="E16" s="118" t="str">
        <f>=ROUND(SUM(E11:E15),2)</f>
      </c>
      <c r="F16" s="145" t="str">
        <f>=ROUND(SUM(F11:F15),2)</f>
      </c>
      <c r="I16" s="144" t="s">
        <v>281</v>
      </c>
      <c r="J16" s="118" t="str">
        <f>=ROUND(SUM(J11:J15),2)</f>
      </c>
      <c r="K16" s="119" t="str">
        <f>=ROUND(SUM(K11:K15),2)</f>
      </c>
      <c r="L16" s="118" t="str">
        <f>=ROUND(SUM(L11:L15),2)</f>
      </c>
      <c r="M16" s="145" t="str">
        <f>=ROUND(SUM(M11:M15),2)</f>
      </c>
      <c r="P16" s="144" t="s">
        <v>281</v>
      </c>
      <c r="Q16" s="118" t="str">
        <f>=ROUND(SUM(Q11:Q15),2)</f>
      </c>
      <c r="R16" s="119" t="str">
        <f>=ROUND(SUM(R11:R15),2)</f>
      </c>
      <c r="S16" s="118" t="str">
        <f>=ROUND(SUM(S11:S15),2)</f>
      </c>
      <c r="T16" s="145" t="str">
        <f>=ROUND(SUM(T11:T15),2)</f>
      </c>
      <c r="W16" s="144" t="s">
        <v>281</v>
      </c>
      <c r="X16" s="118" t="str">
        <f>=ROUND(SUM(X11:X15),2)</f>
      </c>
      <c r="Y16" s="119" t="str">
        <f>=ROUND(SUM(Y11:Y15),2)</f>
      </c>
      <c r="Z16" s="118" t="str">
        <f>=ROUND(SUM(Z11:Z15),2)</f>
      </c>
      <c r="AA16" s="145" t="str">
        <f>=ROUND(SUM(AA11:AA15),2)</f>
      </c>
      <c r="AD16" s="144" t="s">
        <v>281</v>
      </c>
      <c r="AE16" s="118" t="str">
        <f>=ROUND(SUM(AE11:AE15),2)</f>
      </c>
      <c r="AF16" s="119" t="str">
        <f>=ROUND(SUM(AF11:AF15),2)</f>
      </c>
      <c r="AG16" s="118" t="str">
        <f>=ROUND(SUM(AG11:AG15),2)</f>
      </c>
      <c r="AH16" s="145" t="str">
        <f>=ROUND(SUM(AH11:AH15),2)</f>
      </c>
      <c r="AK16" s="144" t="s">
        <v>281</v>
      </c>
      <c r="AL16" s="118" t="str">
        <f>=ROUND(SUM(AL11:AL15),2)</f>
      </c>
      <c r="AM16" s="119" t="str">
        <f>=ROUND(SUM(AM11:AM15),2)</f>
      </c>
      <c r="AN16" s="118" t="str">
        <f>=ROUND(SUM(AN11:AN15),2)</f>
      </c>
      <c r="AO16" s="145" t="str">
        <f>=ROUND(SUM(AO11:AO15),2)</f>
      </c>
      <c r="AR16" s="144" t="s">
        <v>281</v>
      </c>
      <c r="AS16" s="118" t="str">
        <f>=ROUND(SUM(AS11:AS15),2)</f>
      </c>
      <c r="AT16" s="119" t="str">
        <f>=ROUND(SUM(AT11:AT15),2)</f>
      </c>
      <c r="AU16" s="118" t="str">
        <f>=ROUND(SUM(AU11:AU15),2)</f>
      </c>
      <c r="AV16" s="145" t="str">
        <f>=ROUND(SUM(AV11:AV15),2)</f>
      </c>
      <c r="AY16" s="144" t="s">
        <v>281</v>
      </c>
      <c r="AZ16" s="118" t="str">
        <f>=ROUND(SUM(AZ11:AZ15),2)</f>
      </c>
      <c r="BA16" s="119" t="str">
        <f>=ROUND(SUM(BA11:BA15),2)</f>
      </c>
      <c r="BB16" s="118" t="str">
        <f>=ROUND(SUM(BB11:BB15),2)</f>
      </c>
      <c r="BC16" s="145" t="str">
        <f>=ROUND(SUM(BC11:BC15),2)</f>
      </c>
      <c r="BF16" s="144" t="s">
        <v>281</v>
      </c>
      <c r="BG16" s="118" t="str">
        <f>=ROUND(SUM(BG11:BG15),2)</f>
      </c>
      <c r="BH16" s="119" t="str">
        <f>=ROUND(SUM(BH11:BH15),2)</f>
      </c>
      <c r="BI16" s="118" t="str">
        <f>=ROUND(SUM(BI11:BI15),2)</f>
      </c>
      <c r="BJ16" s="145" t="str">
        <f>=ROUND(SUM(BJ11:BJ15),2)</f>
      </c>
      <c r="BM16" s="144" t="s">
        <v>281</v>
      </c>
      <c r="BN16" s="118" t="str">
        <f>=ROUND(SUM(BN11:BN15),2)</f>
      </c>
      <c r="BO16" s="119" t="str">
        <f>=ROUND(SUM(BO11:BO15),2)</f>
      </c>
      <c r="BP16" s="118" t="str">
        <f>=ROUND(SUM(BP11:BP15),2)</f>
      </c>
      <c r="BQ16" s="145" t="str">
        <f>=ROUND(SUM(BQ11:BQ15),2)</f>
      </c>
      <c r="BT16" s="144" t="s">
        <v>281</v>
      </c>
      <c r="BU16" s="118" t="str">
        <f>=ROUND(SUM(BU11:BU15),2)</f>
      </c>
      <c r="BV16" s="119" t="str">
        <f>=ROUND(SUM(BV11:BV15),2)</f>
      </c>
      <c r="BW16" s="118" t="str">
        <f>=ROUND(SUM(BW11:BW15),2)</f>
      </c>
      <c r="BX16" s="145" t="str">
        <f>=ROUND(SUM(BX11:BX15),2)</f>
      </c>
      <c r="CA16" s="144" t="s">
        <v>281</v>
      </c>
      <c r="CB16" s="118" t="str">
        <f>=ROUND(SUM(CB11:CB15),2)</f>
      </c>
      <c r="CC16" s="119" t="str">
        <f>=ROUND(SUM(CC11:CC15),2)</f>
      </c>
      <c r="CD16" s="118" t="str">
        <f>=ROUND(SUM(CD11:CD15),2)</f>
      </c>
      <c r="CE16" s="145" t="str">
        <f>=ROUND(SUM(CE11:CE15),2)</f>
      </c>
      <c r="CH16" s="144" t="s">
        <v>281</v>
      </c>
      <c r="CI16" s="118" t="str">
        <f>=ROUND(SUM(CI11:CI15),2)</f>
      </c>
      <c r="CJ16" s="119" t="str">
        <f>=ROUND(SUM(CJ11:CJ15),2)</f>
      </c>
      <c r="CK16" s="118" t="str">
        <f>=ROUND(SUM(CK11:CK15),2)</f>
      </c>
      <c r="CL16" s="145" t="str">
        <f>=ROUND(SUM(CL11:CL15),2)</f>
      </c>
      <c r="CO16" s="144" t="s">
        <v>281</v>
      </c>
      <c r="CP16" s="118" t="str">
        <f>=ROUND(SUM(CP11:CP15),2)</f>
      </c>
      <c r="CQ16" s="119" t="str">
        <f>=ROUND(SUM(CQ11:CQ15),2)</f>
      </c>
      <c r="CR16" s="118" t="str">
        <f>=ROUND(SUM(CR11:CR15),2)</f>
      </c>
      <c r="CS16" s="145" t="str">
        <f>=ROUND(SUM(CS11:CS15),2)</f>
      </c>
      <c r="CV16" s="144" t="s">
        <v>281</v>
      </c>
      <c r="CW16" s="118" t="str">
        <f>=ROUND(SUM(CW11:CW15),2)</f>
      </c>
      <c r="CX16" s="119" t="str">
        <f>=ROUND(SUM(CX11:CX15),2)</f>
      </c>
      <c r="CY16" s="118" t="str">
        <f>=ROUND(SUM(CY11:CY15),2)</f>
      </c>
      <c r="CZ16" s="145" t="str">
        <f>=ROUND(SUM(CZ11:CZ15),2)</f>
      </c>
      <c r="DC16" s="144" t="s">
        <v>281</v>
      </c>
      <c r="DD16" s="118" t="str">
        <f>=ROUND(SUM(DD11:DD15),2)</f>
      </c>
      <c r="DE16" s="119" t="str">
        <f>=ROUND(SUM(DE11:DE15),2)</f>
      </c>
      <c r="DF16" s="118" t="str">
        <f>=ROUND(SUM(DF11:DF15),2)</f>
      </c>
      <c r="DG16" s="145" t="str">
        <f>=ROUND(SUM(DG11:DG15),2)</f>
      </c>
      <c r="DJ16" s="144" t="s">
        <v>281</v>
      </c>
      <c r="DK16" s="118" t="str">
        <f>=ROUND(SUM(DK11:DK15),2)</f>
      </c>
      <c r="DL16" s="119" t="str">
        <f>=ROUND(SUM(DL11:DL15),2)</f>
      </c>
      <c r="DM16" s="118" t="str">
        <f>=ROUND(SUM(DM11:DM15),2)</f>
      </c>
      <c r="DN16" s="145" t="str">
        <f>=ROUND(SUM(DN11:DN15),2)</f>
      </c>
      <c r="DQ16" s="144" t="s">
        <v>281</v>
      </c>
      <c r="DR16" s="118" t="str">
        <f>=ROUND(SUM(DR11:DR15),2)</f>
      </c>
      <c r="DS16" s="119" t="str">
        <f>=ROUND(SUM(DS11:DS15),2)</f>
      </c>
      <c r="DT16" s="118" t="str">
        <f>=ROUND(SUM(DT11:DT15),2)</f>
      </c>
      <c r="DU16" s="145" t="str">
        <f>=ROUND(SUM(DU11:DU15),2)</f>
      </c>
    </row>
    <row r="17">
      <c r="B17" s="138" t="s">
        <v>282</v>
      </c>
      <c r="C17" s="111"/>
      <c r="D17" s="111"/>
      <c r="E17" s="111"/>
      <c r="F17" s="139"/>
      <c r="I17" s="138" t="s">
        <v>282</v>
      </c>
      <c r="J17" s="111"/>
      <c r="K17" s="111"/>
      <c r="L17" s="111"/>
      <c r="M17" s="139"/>
      <c r="P17" s="138" t="s">
        <v>282</v>
      </c>
      <c r="Q17" s="111"/>
      <c r="R17" s="111"/>
      <c r="S17" s="111"/>
      <c r="T17" s="139"/>
      <c r="W17" s="138" t="s">
        <v>282</v>
      </c>
      <c r="X17" s="111"/>
      <c r="Y17" s="111"/>
      <c r="Z17" s="111"/>
      <c r="AA17" s="139"/>
      <c r="AD17" s="138" t="s">
        <v>282</v>
      </c>
      <c r="AE17" s="111"/>
      <c r="AF17" s="111"/>
      <c r="AG17" s="111"/>
      <c r="AH17" s="139"/>
      <c r="AK17" s="138" t="s">
        <v>282</v>
      </c>
      <c r="AL17" s="111"/>
      <c r="AM17" s="111"/>
      <c r="AN17" s="111"/>
      <c r="AO17" s="139"/>
      <c r="AR17" s="138" t="s">
        <v>282</v>
      </c>
      <c r="AS17" s="111"/>
      <c r="AT17" s="111"/>
      <c r="AU17" s="111"/>
      <c r="AV17" s="139"/>
      <c r="AY17" s="138" t="s">
        <v>282</v>
      </c>
      <c r="AZ17" s="111"/>
      <c r="BA17" s="111"/>
      <c r="BB17" s="111"/>
      <c r="BC17" s="139"/>
      <c r="BF17" s="138" t="s">
        <v>282</v>
      </c>
      <c r="BG17" s="111"/>
      <c r="BH17" s="111"/>
      <c r="BI17" s="111"/>
      <c r="BJ17" s="139"/>
      <c r="BM17" s="138" t="s">
        <v>282</v>
      </c>
      <c r="BN17" s="111"/>
      <c r="BO17" s="111"/>
      <c r="BP17" s="111"/>
      <c r="BQ17" s="139"/>
      <c r="BT17" s="138" t="s">
        <v>282</v>
      </c>
      <c r="BU17" s="111"/>
      <c r="BV17" s="111"/>
      <c r="BW17" s="111"/>
      <c r="BX17" s="139"/>
      <c r="CA17" s="138" t="s">
        <v>282</v>
      </c>
      <c r="CB17" s="111"/>
      <c r="CC17" s="111"/>
      <c r="CD17" s="111"/>
      <c r="CE17" s="139"/>
      <c r="CH17" s="138" t="s">
        <v>282</v>
      </c>
      <c r="CI17" s="111"/>
      <c r="CJ17" s="111"/>
      <c r="CK17" s="111"/>
      <c r="CL17" s="139"/>
      <c r="CO17" s="138" t="s">
        <v>282</v>
      </c>
      <c r="CP17" s="111"/>
      <c r="CQ17" s="111"/>
      <c r="CR17" s="111"/>
      <c r="CS17" s="139"/>
      <c r="CV17" s="138" t="s">
        <v>282</v>
      </c>
      <c r="CW17" s="111"/>
      <c r="CX17" s="111"/>
      <c r="CY17" s="111"/>
      <c r="CZ17" s="139"/>
      <c r="DC17" s="138" t="s">
        <v>282</v>
      </c>
      <c r="DD17" s="111"/>
      <c r="DE17" s="111"/>
      <c r="DF17" s="111"/>
      <c r="DG17" s="139"/>
      <c r="DJ17" s="138" t="s">
        <v>282</v>
      </c>
      <c r="DK17" s="111"/>
      <c r="DL17" s="111"/>
      <c r="DM17" s="111"/>
      <c r="DN17" s="139"/>
      <c r="DQ17" s="138" t="s">
        <v>282</v>
      </c>
      <c r="DR17" s="111"/>
      <c r="DS17" s="111"/>
      <c r="DT17" s="111"/>
      <c r="DU17" s="139"/>
    </row>
    <row r="18">
      <c r="B18" s="146" t="s">
        <v>203</v>
      </c>
      <c r="C18" s="120" t="s">
        <v>283</v>
      </c>
      <c r="D18" s="120" t="s">
        <v>284</v>
      </c>
      <c r="E18" s="120" t="s">
        <v>285</v>
      </c>
      <c r="F18" s="147" t="s">
        <v>286</v>
      </c>
      <c r="I18" s="146" t="s">
        <v>203</v>
      </c>
      <c r="J18" s="120" t="s">
        <v>283</v>
      </c>
      <c r="K18" s="120" t="s">
        <v>284</v>
      </c>
      <c r="L18" s="120" t="s">
        <v>285</v>
      </c>
      <c r="M18" s="147" t="s">
        <v>286</v>
      </c>
      <c r="P18" s="146" t="s">
        <v>203</v>
      </c>
      <c r="Q18" s="120" t="s">
        <v>283</v>
      </c>
      <c r="R18" s="120" t="s">
        <v>284</v>
      </c>
      <c r="S18" s="120" t="s">
        <v>285</v>
      </c>
      <c r="T18" s="147" t="s">
        <v>286</v>
      </c>
      <c r="W18" s="146" t="s">
        <v>203</v>
      </c>
      <c r="X18" s="120" t="s">
        <v>283</v>
      </c>
      <c r="Y18" s="120" t="s">
        <v>284</v>
      </c>
      <c r="Z18" s="120" t="s">
        <v>285</v>
      </c>
      <c r="AA18" s="147" t="s">
        <v>286</v>
      </c>
      <c r="AD18" s="146" t="s">
        <v>203</v>
      </c>
      <c r="AE18" s="120" t="s">
        <v>283</v>
      </c>
      <c r="AF18" s="120" t="s">
        <v>284</v>
      </c>
      <c r="AG18" s="120" t="s">
        <v>285</v>
      </c>
      <c r="AH18" s="147" t="s">
        <v>286</v>
      </c>
      <c r="AK18" s="146" t="s">
        <v>203</v>
      </c>
      <c r="AL18" s="120" t="s">
        <v>283</v>
      </c>
      <c r="AM18" s="120" t="s">
        <v>284</v>
      </c>
      <c r="AN18" s="120" t="s">
        <v>285</v>
      </c>
      <c r="AO18" s="147" t="s">
        <v>286</v>
      </c>
      <c r="AR18" s="146" t="s">
        <v>203</v>
      </c>
      <c r="AS18" s="120" t="s">
        <v>283</v>
      </c>
      <c r="AT18" s="120" t="s">
        <v>284</v>
      </c>
      <c r="AU18" s="120" t="s">
        <v>285</v>
      </c>
      <c r="AV18" s="147" t="s">
        <v>286</v>
      </c>
      <c r="AY18" s="146" t="s">
        <v>203</v>
      </c>
      <c r="AZ18" s="120" t="s">
        <v>283</v>
      </c>
      <c r="BA18" s="120" t="s">
        <v>284</v>
      </c>
      <c r="BB18" s="120" t="s">
        <v>285</v>
      </c>
      <c r="BC18" s="147" t="s">
        <v>286</v>
      </c>
      <c r="BF18" s="146" t="s">
        <v>203</v>
      </c>
      <c r="BG18" s="120" t="s">
        <v>283</v>
      </c>
      <c r="BH18" s="120" t="s">
        <v>284</v>
      </c>
      <c r="BI18" s="120" t="s">
        <v>285</v>
      </c>
      <c r="BJ18" s="147" t="s">
        <v>286</v>
      </c>
      <c r="BM18" s="146" t="s">
        <v>203</v>
      </c>
      <c r="BN18" s="120" t="s">
        <v>283</v>
      </c>
      <c r="BO18" s="120" t="s">
        <v>284</v>
      </c>
      <c r="BP18" s="120" t="s">
        <v>285</v>
      </c>
      <c r="BQ18" s="147" t="s">
        <v>286</v>
      </c>
      <c r="BT18" s="146" t="s">
        <v>203</v>
      </c>
      <c r="BU18" s="120" t="s">
        <v>283</v>
      </c>
      <c r="BV18" s="120" t="s">
        <v>284</v>
      </c>
      <c r="BW18" s="120" t="s">
        <v>285</v>
      </c>
      <c r="BX18" s="147" t="s">
        <v>286</v>
      </c>
      <c r="CA18" s="146" t="s">
        <v>203</v>
      </c>
      <c r="CB18" s="120" t="s">
        <v>283</v>
      </c>
      <c r="CC18" s="120" t="s">
        <v>284</v>
      </c>
      <c r="CD18" s="120" t="s">
        <v>285</v>
      </c>
      <c r="CE18" s="147" t="s">
        <v>286</v>
      </c>
      <c r="CH18" s="146" t="s">
        <v>203</v>
      </c>
      <c r="CI18" s="120" t="s">
        <v>283</v>
      </c>
      <c r="CJ18" s="120" t="s">
        <v>284</v>
      </c>
      <c r="CK18" s="120" t="s">
        <v>285</v>
      </c>
      <c r="CL18" s="147" t="s">
        <v>286</v>
      </c>
      <c r="CO18" s="146" t="s">
        <v>203</v>
      </c>
      <c r="CP18" s="120" t="s">
        <v>283</v>
      </c>
      <c r="CQ18" s="120" t="s">
        <v>284</v>
      </c>
      <c r="CR18" s="120" t="s">
        <v>285</v>
      </c>
      <c r="CS18" s="147" t="s">
        <v>286</v>
      </c>
      <c r="CV18" s="146" t="s">
        <v>203</v>
      </c>
      <c r="CW18" s="120" t="s">
        <v>283</v>
      </c>
      <c r="CX18" s="120" t="s">
        <v>284</v>
      </c>
      <c r="CY18" s="120" t="s">
        <v>285</v>
      </c>
      <c r="CZ18" s="147" t="s">
        <v>286</v>
      </c>
      <c r="DC18" s="146" t="s">
        <v>203</v>
      </c>
      <c r="DD18" s="120" t="s">
        <v>283</v>
      </c>
      <c r="DE18" s="120" t="s">
        <v>284</v>
      </c>
      <c r="DF18" s="120" t="s">
        <v>285</v>
      </c>
      <c r="DG18" s="147" t="s">
        <v>286</v>
      </c>
      <c r="DJ18" s="146" t="s">
        <v>203</v>
      </c>
      <c r="DK18" s="120" t="s">
        <v>283</v>
      </c>
      <c r="DL18" s="120" t="s">
        <v>284</v>
      </c>
      <c r="DM18" s="120" t="s">
        <v>285</v>
      </c>
      <c r="DN18" s="147" t="s">
        <v>286</v>
      </c>
      <c r="DQ18" s="146" t="s">
        <v>203</v>
      </c>
      <c r="DR18" s="120" t="s">
        <v>283</v>
      </c>
      <c r="DS18" s="120" t="s">
        <v>284</v>
      </c>
      <c r="DT18" s="120" t="s">
        <v>285</v>
      </c>
      <c r="DU18" s="147" t="s">
        <v>286</v>
      </c>
    </row>
    <row r="19">
      <c r="B19" s="148" t="str">
        <f>=IFERROR(INDEX(Budget_ID_Liste, ROW() - 18), "")</f>
      </c>
      <c r="C19" s="24"/>
      <c r="D19" s="116" t="str">
        <f>=IFERROR(ROUND(C19/FB_Kurs_1,2),0)</f>
      </c>
      <c r="E19" s="115" t="str">
        <f>=ROUND(C19,2)</f>
      </c>
      <c r="F19" s="143" t="str">
        <f>=ROUND(D19,2)</f>
      </c>
      <c r="I19" s="148" t="str">
        <f>=IFERROR(INDEX(Budget_ID_Liste, ROW() - 18), "")</f>
      </c>
      <c r="J19" s="24"/>
      <c r="K19" s="116" t="str">
        <f>=IFERROR(ROUND(J19/FB_Kurs_2,2),0)</f>
      </c>
      <c r="L19" s="115" t="str">
        <f>=ROUND(J19+E19,2)</f>
      </c>
      <c r="M19" s="143" t="str">
        <f>=ROUND(K19+F19,2)</f>
      </c>
      <c r="P19" s="148" t="str">
        <f>=IFERROR(INDEX(Budget_ID_Liste, ROW() - 18), "")</f>
      </c>
      <c r="Q19" s="24"/>
      <c r="R19" s="116" t="str">
        <f>=IFERROR(ROUND(Q19/FB_Kurs_3,2),0)</f>
      </c>
      <c r="S19" s="115" t="str">
        <f>=ROUND(Q19+L19,2)</f>
      </c>
      <c r="T19" s="143" t="str">
        <f>=ROUND(R19+M19,2)</f>
      </c>
      <c r="W19" s="148" t="str">
        <f>=IFERROR(INDEX(Budget_ID_Liste, ROW() - 18), "")</f>
      </c>
      <c r="X19" s="24"/>
      <c r="Y19" s="116" t="str">
        <f>=IFERROR(ROUND(X19/FB_Kurs_4,2),0)</f>
      </c>
      <c r="Z19" s="115" t="str">
        <f>=ROUND(X19+S19,2)</f>
      </c>
      <c r="AA19" s="143" t="str">
        <f>=ROUND(Y19+T19,2)</f>
      </c>
      <c r="AD19" s="148" t="str">
        <f>=IFERROR(INDEX(Budget_ID_Liste, ROW() - 18), "")</f>
      </c>
      <c r="AE19" s="24"/>
      <c r="AF19" s="116" t="str">
        <f>=IFERROR(ROUND(AE19/FB_Kurs_5,2),0)</f>
      </c>
      <c r="AG19" s="115" t="str">
        <f>=ROUND(AE19+Z19,2)</f>
      </c>
      <c r="AH19" s="143" t="str">
        <f>=ROUND(AF19+AA19,2)</f>
      </c>
      <c r="AK19" s="148" t="str">
        <f>=IFERROR(INDEX(Budget_ID_Liste, ROW() - 18), "")</f>
      </c>
      <c r="AL19" s="24"/>
      <c r="AM19" s="116" t="str">
        <f>=IFERROR(ROUND(AL19/FB_Kurs_6,2),0)</f>
      </c>
      <c r="AN19" s="115" t="str">
        <f>=ROUND(AL19+AG19,2)</f>
      </c>
      <c r="AO19" s="143" t="str">
        <f>=ROUND(AM19+AH19,2)</f>
      </c>
      <c r="AR19" s="148" t="str">
        <f>=IFERROR(INDEX(Budget_ID_Liste, ROW() - 18), "")</f>
      </c>
      <c r="AS19" s="24"/>
      <c r="AT19" s="116" t="str">
        <f>=IFERROR(ROUND(AS19/FB_Kurs_7,2),0)</f>
      </c>
      <c r="AU19" s="115" t="str">
        <f>=ROUND(AS19+AN19,2)</f>
      </c>
      <c r="AV19" s="143" t="str">
        <f>=ROUND(AT19+AO19,2)</f>
      </c>
      <c r="AY19" s="148" t="str">
        <f>=IFERROR(INDEX(Budget_ID_Liste, ROW() - 18), "")</f>
      </c>
      <c r="AZ19" s="24"/>
      <c r="BA19" s="116" t="str">
        <f>=IFERROR(ROUND(AZ19/FB_Kurs_8,2),0)</f>
      </c>
      <c r="BB19" s="115" t="str">
        <f>=ROUND(AZ19+AU19,2)</f>
      </c>
      <c r="BC19" s="143" t="str">
        <f>=ROUND(BA19+AV19,2)</f>
      </c>
      <c r="BF19" s="148" t="str">
        <f>=IFERROR(INDEX(Budget_ID_Liste, ROW() - 18), "")</f>
      </c>
      <c r="BG19" s="24"/>
      <c r="BH19" s="116" t="str">
        <f>=IFERROR(ROUND(BG19/FB_Kurs_9,2),0)</f>
      </c>
      <c r="BI19" s="115" t="str">
        <f>=ROUND(BG19+BB19,2)</f>
      </c>
      <c r="BJ19" s="143" t="str">
        <f>=ROUND(BH19+BC19,2)</f>
      </c>
      <c r="BM19" s="148" t="str">
        <f>=IFERROR(INDEX(Budget_ID_Liste, ROW() - 18), "")</f>
      </c>
      <c r="BN19" s="24"/>
      <c r="BO19" s="116" t="str">
        <f>=IFERROR(ROUND(BN19/FB_Kurs_10,2),0)</f>
      </c>
      <c r="BP19" s="115" t="str">
        <f>=ROUND(BN19+BI19,2)</f>
      </c>
      <c r="BQ19" s="143" t="str">
        <f>=ROUND(BO19+BJ19,2)</f>
      </c>
      <c r="BT19" s="148" t="str">
        <f>=IFERROR(INDEX(Budget_ID_Liste, ROW() - 18), "")</f>
      </c>
      <c r="BU19" s="24"/>
      <c r="BV19" s="116" t="str">
        <f>=IFERROR(ROUND(BU19/FB_Kurs_11,2),0)</f>
      </c>
      <c r="BW19" s="115" t="str">
        <f>=ROUND(BU19+BP19,2)</f>
      </c>
      <c r="BX19" s="143" t="str">
        <f>=ROUND(BV19+BQ19,2)</f>
      </c>
      <c r="CA19" s="148" t="str">
        <f>=IFERROR(INDEX(Budget_ID_Liste, ROW() - 18), "")</f>
      </c>
      <c r="CB19" s="24"/>
      <c r="CC19" s="116" t="str">
        <f>=IFERROR(ROUND(CB19/FB_Kurs_12,2),0)</f>
      </c>
      <c r="CD19" s="115" t="str">
        <f>=ROUND(CB19+BW19,2)</f>
      </c>
      <c r="CE19" s="143" t="str">
        <f>=ROUND(CC19+BX19,2)</f>
      </c>
      <c r="CH19" s="148" t="str">
        <f>=IFERROR(INDEX(Budget_ID_Liste, ROW() - 18), "")</f>
      </c>
      <c r="CI19" s="24"/>
      <c r="CJ19" s="116" t="str">
        <f>=IFERROR(ROUND(CI19/FB_Kurs_13,2),0)</f>
      </c>
      <c r="CK19" s="115" t="str">
        <f>=ROUND(CI19+CD19,2)</f>
      </c>
      <c r="CL19" s="143" t="str">
        <f>=ROUND(CJ19+CE19,2)</f>
      </c>
      <c r="CO19" s="148" t="str">
        <f>=IFERROR(INDEX(Budget_ID_Liste, ROW() - 18), "")</f>
      </c>
      <c r="CP19" s="24"/>
      <c r="CQ19" s="116" t="str">
        <f>=IFERROR(ROUND(CP19/FB_Kurs_14,2),0)</f>
      </c>
      <c r="CR19" s="115" t="str">
        <f>=ROUND(CP19+CK19,2)</f>
      </c>
      <c r="CS19" s="143" t="str">
        <f>=ROUND(CQ19+CL19,2)</f>
      </c>
      <c r="CV19" s="148" t="str">
        <f>=IFERROR(INDEX(Budget_ID_Liste, ROW() - 18), "")</f>
      </c>
      <c r="CW19" s="24"/>
      <c r="CX19" s="116" t="str">
        <f>=IFERROR(ROUND(CW19/FB_Kurs_15,2),0)</f>
      </c>
      <c r="CY19" s="115" t="str">
        <f>=ROUND(CW19+CR19,2)</f>
      </c>
      <c r="CZ19" s="143" t="str">
        <f>=ROUND(CX19+CS19,2)</f>
      </c>
      <c r="DC19" s="148" t="str">
        <f>=IFERROR(INDEX(Budget_ID_Liste, ROW() - 18), "")</f>
      </c>
      <c r="DD19" s="24"/>
      <c r="DE19" s="116" t="str">
        <f>=IFERROR(ROUND(DD19/FB_Kurs_16,2),0)</f>
      </c>
      <c r="DF19" s="115" t="str">
        <f>=ROUND(DD19+CY19,2)</f>
      </c>
      <c r="DG19" s="143" t="str">
        <f>=ROUND(DE19+CZ19,2)</f>
      </c>
      <c r="DJ19" s="148" t="str">
        <f>=IFERROR(INDEX(Budget_ID_Liste, ROW() - 18), "")</f>
      </c>
      <c r="DK19" s="24"/>
      <c r="DL19" s="116" t="str">
        <f>=IFERROR(ROUND(DK19/FB_Kurs_17,2),0)</f>
      </c>
      <c r="DM19" s="115" t="str">
        <f>=ROUND(DK19+DF19,2)</f>
      </c>
      <c r="DN19" s="143" t="str">
        <f>=ROUND(DL19+DG19,2)</f>
      </c>
      <c r="DQ19" s="148" t="str">
        <f>=IFERROR(INDEX(Budget_ID_Liste, ROW() - 18), "")</f>
      </c>
      <c r="DR19" s="24"/>
      <c r="DS19" s="116" t="str">
        <f>=IFERROR(ROUND(DR19/FB_Kurs_18,2),0)</f>
      </c>
      <c r="DT19" s="115" t="str">
        <f>=ROUND(DR19+DM19,2)</f>
      </c>
      <c r="DU19" s="143" t="str">
        <f>=ROUND(DS19+DN19,2)</f>
      </c>
    </row>
    <row r="20">
      <c r="B20" s="148" t="str">
        <f>=IFERROR(INDEX(Budget_ID_Liste, ROW() - 18), "")</f>
      </c>
      <c r="C20" s="24"/>
      <c r="D20" s="116" t="str">
        <f>=IFERROR(ROUND(C20/FB_Kurs_1,2),0)</f>
      </c>
      <c r="E20" s="115" t="str">
        <f>=ROUND(C20,2)</f>
      </c>
      <c r="F20" s="143" t="str">
        <f>=ROUND(D20,2)</f>
      </c>
      <c r="I20" s="148" t="str">
        <f>=IFERROR(INDEX(Budget_ID_Liste, ROW() - 18), "")</f>
      </c>
      <c r="J20" s="24"/>
      <c r="K20" s="116" t="str">
        <f>=IFERROR(ROUND(J20/FB_Kurs_2,2),0)</f>
      </c>
      <c r="L20" s="115" t="str">
        <f>=ROUND(J20+E20,2)</f>
      </c>
      <c r="M20" s="143" t="str">
        <f>=ROUND(K20+F20,2)</f>
      </c>
      <c r="P20" s="148" t="str">
        <f>=IFERROR(INDEX(Budget_ID_Liste, ROW() - 18), "")</f>
      </c>
      <c r="Q20" s="24"/>
      <c r="R20" s="116" t="str">
        <f>=IFERROR(ROUND(Q20/FB_Kurs_3,2),0)</f>
      </c>
      <c r="S20" s="115" t="str">
        <f>=ROUND(Q20+L20,2)</f>
      </c>
      <c r="T20" s="143" t="str">
        <f>=ROUND(R20+M20,2)</f>
      </c>
      <c r="W20" s="148" t="str">
        <f>=IFERROR(INDEX(Budget_ID_Liste, ROW() - 18), "")</f>
      </c>
      <c r="X20" s="24"/>
      <c r="Y20" s="116" t="str">
        <f>=IFERROR(ROUND(X20/FB_Kurs_4,2),0)</f>
      </c>
      <c r="Z20" s="115" t="str">
        <f>=ROUND(X20+S20,2)</f>
      </c>
      <c r="AA20" s="143" t="str">
        <f>=ROUND(Y20+T20,2)</f>
      </c>
      <c r="AD20" s="148" t="str">
        <f>=IFERROR(INDEX(Budget_ID_Liste, ROW() - 18), "")</f>
      </c>
      <c r="AE20" s="24"/>
      <c r="AF20" s="116" t="str">
        <f>=IFERROR(ROUND(AE20/FB_Kurs_5,2),0)</f>
      </c>
      <c r="AG20" s="115" t="str">
        <f>=ROUND(AE20+Z20,2)</f>
      </c>
      <c r="AH20" s="143" t="str">
        <f>=ROUND(AF20+AA20,2)</f>
      </c>
      <c r="AK20" s="148" t="str">
        <f>=IFERROR(INDEX(Budget_ID_Liste, ROW() - 18), "")</f>
      </c>
      <c r="AL20" s="24"/>
      <c r="AM20" s="116" t="str">
        <f>=IFERROR(ROUND(AL20/FB_Kurs_6,2),0)</f>
      </c>
      <c r="AN20" s="115" t="str">
        <f>=ROUND(AL20+AG20,2)</f>
      </c>
      <c r="AO20" s="143" t="str">
        <f>=ROUND(AM20+AH20,2)</f>
      </c>
      <c r="AR20" s="148" t="str">
        <f>=IFERROR(INDEX(Budget_ID_Liste, ROW() - 18), "")</f>
      </c>
      <c r="AS20" s="24"/>
      <c r="AT20" s="116" t="str">
        <f>=IFERROR(ROUND(AS20/FB_Kurs_7,2),0)</f>
      </c>
      <c r="AU20" s="115" t="str">
        <f>=ROUND(AS20+AN20,2)</f>
      </c>
      <c r="AV20" s="143" t="str">
        <f>=ROUND(AT20+AO20,2)</f>
      </c>
      <c r="AY20" s="148" t="str">
        <f>=IFERROR(INDEX(Budget_ID_Liste, ROW() - 18), "")</f>
      </c>
      <c r="AZ20" s="24"/>
      <c r="BA20" s="116" t="str">
        <f>=IFERROR(ROUND(AZ20/FB_Kurs_8,2),0)</f>
      </c>
      <c r="BB20" s="115" t="str">
        <f>=ROUND(AZ20+AU20,2)</f>
      </c>
      <c r="BC20" s="143" t="str">
        <f>=ROUND(BA20+AV20,2)</f>
      </c>
      <c r="BF20" s="148" t="str">
        <f>=IFERROR(INDEX(Budget_ID_Liste, ROW() - 18), "")</f>
      </c>
      <c r="BG20" s="24"/>
      <c r="BH20" s="116" t="str">
        <f>=IFERROR(ROUND(BG20/FB_Kurs_9,2),0)</f>
      </c>
      <c r="BI20" s="115" t="str">
        <f>=ROUND(BG20+BB20,2)</f>
      </c>
      <c r="BJ20" s="143" t="str">
        <f>=ROUND(BH20+BC20,2)</f>
      </c>
      <c r="BM20" s="148" t="str">
        <f>=IFERROR(INDEX(Budget_ID_Liste, ROW() - 18), "")</f>
      </c>
      <c r="BN20" s="24"/>
      <c r="BO20" s="116" t="str">
        <f>=IFERROR(ROUND(BN20/FB_Kurs_10,2),0)</f>
      </c>
      <c r="BP20" s="115" t="str">
        <f>=ROUND(BN20+BI20,2)</f>
      </c>
      <c r="BQ20" s="143" t="str">
        <f>=ROUND(BO20+BJ20,2)</f>
      </c>
      <c r="BT20" s="148" t="str">
        <f>=IFERROR(INDEX(Budget_ID_Liste, ROW() - 18), "")</f>
      </c>
      <c r="BU20" s="24"/>
      <c r="BV20" s="116" t="str">
        <f>=IFERROR(ROUND(BU20/FB_Kurs_11,2),0)</f>
      </c>
      <c r="BW20" s="115" t="str">
        <f>=ROUND(BU20+BP20,2)</f>
      </c>
      <c r="BX20" s="143" t="str">
        <f>=ROUND(BV20+BQ20,2)</f>
      </c>
      <c r="CA20" s="148" t="str">
        <f>=IFERROR(INDEX(Budget_ID_Liste, ROW() - 18), "")</f>
      </c>
      <c r="CB20" s="24"/>
      <c r="CC20" s="116" t="str">
        <f>=IFERROR(ROUND(CB20/FB_Kurs_12,2),0)</f>
      </c>
      <c r="CD20" s="115" t="str">
        <f>=ROUND(CB20+BW20,2)</f>
      </c>
      <c r="CE20" s="143" t="str">
        <f>=ROUND(CC20+BX20,2)</f>
      </c>
      <c r="CH20" s="148" t="str">
        <f>=IFERROR(INDEX(Budget_ID_Liste, ROW() - 18), "")</f>
      </c>
      <c r="CI20" s="24"/>
      <c r="CJ20" s="116" t="str">
        <f>=IFERROR(ROUND(CI20/FB_Kurs_13,2),0)</f>
      </c>
      <c r="CK20" s="115" t="str">
        <f>=ROUND(CI20+CD20,2)</f>
      </c>
      <c r="CL20" s="143" t="str">
        <f>=ROUND(CJ20+CE20,2)</f>
      </c>
      <c r="CO20" s="148" t="str">
        <f>=IFERROR(INDEX(Budget_ID_Liste, ROW() - 18), "")</f>
      </c>
      <c r="CP20" s="24"/>
      <c r="CQ20" s="116" t="str">
        <f>=IFERROR(ROUND(CP20/FB_Kurs_14,2),0)</f>
      </c>
      <c r="CR20" s="115" t="str">
        <f>=ROUND(CP20+CK20,2)</f>
      </c>
      <c r="CS20" s="143" t="str">
        <f>=ROUND(CQ20+CL20,2)</f>
      </c>
      <c r="CV20" s="148" t="str">
        <f>=IFERROR(INDEX(Budget_ID_Liste, ROW() - 18), "")</f>
      </c>
      <c r="CW20" s="24"/>
      <c r="CX20" s="116" t="str">
        <f>=IFERROR(ROUND(CW20/FB_Kurs_15,2),0)</f>
      </c>
      <c r="CY20" s="115" t="str">
        <f>=ROUND(CW20+CR20,2)</f>
      </c>
      <c r="CZ20" s="143" t="str">
        <f>=ROUND(CX20+CS20,2)</f>
      </c>
      <c r="DC20" s="148" t="str">
        <f>=IFERROR(INDEX(Budget_ID_Liste, ROW() - 18), "")</f>
      </c>
      <c r="DD20" s="24"/>
      <c r="DE20" s="116" t="str">
        <f>=IFERROR(ROUND(DD20/FB_Kurs_16,2),0)</f>
      </c>
      <c r="DF20" s="115" t="str">
        <f>=ROUND(DD20+CY20,2)</f>
      </c>
      <c r="DG20" s="143" t="str">
        <f>=ROUND(DE20+CZ20,2)</f>
      </c>
      <c r="DJ20" s="148" t="str">
        <f>=IFERROR(INDEX(Budget_ID_Liste, ROW() - 18), "")</f>
      </c>
      <c r="DK20" s="24"/>
      <c r="DL20" s="116" t="str">
        <f>=IFERROR(ROUND(DK20/FB_Kurs_17,2),0)</f>
      </c>
      <c r="DM20" s="115" t="str">
        <f>=ROUND(DK20+DF20,2)</f>
      </c>
      <c r="DN20" s="143" t="str">
        <f>=ROUND(DL20+DG20,2)</f>
      </c>
      <c r="DQ20" s="148" t="str">
        <f>=IFERROR(INDEX(Budget_ID_Liste, ROW() - 18), "")</f>
      </c>
      <c r="DR20" s="24"/>
      <c r="DS20" s="116" t="str">
        <f>=IFERROR(ROUND(DR20/FB_Kurs_18,2),0)</f>
      </c>
      <c r="DT20" s="115" t="str">
        <f>=ROUND(DR20+DM20,2)</f>
      </c>
      <c r="DU20" s="143" t="str">
        <f>=ROUND(DS20+DN20,2)</f>
      </c>
    </row>
    <row r="21">
      <c r="B21" s="148" t="str">
        <f>=IFERROR(INDEX(Budget_ID_Liste, ROW() - 18), "")</f>
      </c>
      <c r="C21" s="24"/>
      <c r="D21" s="116" t="str">
        <f>=IFERROR(ROUND(C21/FB_Kurs_1,2),0)</f>
      </c>
      <c r="E21" s="115" t="str">
        <f>=ROUND(C21,2)</f>
      </c>
      <c r="F21" s="143" t="str">
        <f>=ROUND(D21,2)</f>
      </c>
      <c r="I21" s="148" t="str">
        <f>=IFERROR(INDEX(Budget_ID_Liste, ROW() - 18), "")</f>
      </c>
      <c r="J21" s="24"/>
      <c r="K21" s="116" t="str">
        <f>=IFERROR(ROUND(J21/FB_Kurs_2,2),0)</f>
      </c>
      <c r="L21" s="115" t="str">
        <f>=ROUND(J21+E21,2)</f>
      </c>
      <c r="M21" s="143" t="str">
        <f>=ROUND(K21+F21,2)</f>
      </c>
      <c r="P21" s="148" t="str">
        <f>=IFERROR(INDEX(Budget_ID_Liste, ROW() - 18), "")</f>
      </c>
      <c r="Q21" s="24"/>
      <c r="R21" s="116" t="str">
        <f>=IFERROR(ROUND(Q21/FB_Kurs_3,2),0)</f>
      </c>
      <c r="S21" s="115" t="str">
        <f>=ROUND(Q21+L21,2)</f>
      </c>
      <c r="T21" s="143" t="str">
        <f>=ROUND(R21+M21,2)</f>
      </c>
      <c r="W21" s="148" t="str">
        <f>=IFERROR(INDEX(Budget_ID_Liste, ROW() - 18), "")</f>
      </c>
      <c r="X21" s="24"/>
      <c r="Y21" s="116" t="str">
        <f>=IFERROR(ROUND(X21/FB_Kurs_4,2),0)</f>
      </c>
      <c r="Z21" s="115" t="str">
        <f>=ROUND(X21+S21,2)</f>
      </c>
      <c r="AA21" s="143" t="str">
        <f>=ROUND(Y21+T21,2)</f>
      </c>
      <c r="AD21" s="148" t="str">
        <f>=IFERROR(INDEX(Budget_ID_Liste, ROW() - 18), "")</f>
      </c>
      <c r="AE21" s="24"/>
      <c r="AF21" s="116" t="str">
        <f>=IFERROR(ROUND(AE21/FB_Kurs_5,2),0)</f>
      </c>
      <c r="AG21" s="115" t="str">
        <f>=ROUND(AE21+Z21,2)</f>
      </c>
      <c r="AH21" s="143" t="str">
        <f>=ROUND(AF21+AA21,2)</f>
      </c>
      <c r="AK21" s="148" t="str">
        <f>=IFERROR(INDEX(Budget_ID_Liste, ROW() - 18), "")</f>
      </c>
      <c r="AL21" s="24"/>
      <c r="AM21" s="116" t="str">
        <f>=IFERROR(ROUND(AL21/FB_Kurs_6,2),0)</f>
      </c>
      <c r="AN21" s="115" t="str">
        <f>=ROUND(AL21+AG21,2)</f>
      </c>
      <c r="AO21" s="143" t="str">
        <f>=ROUND(AM21+AH21,2)</f>
      </c>
      <c r="AR21" s="148" t="str">
        <f>=IFERROR(INDEX(Budget_ID_Liste, ROW() - 18), "")</f>
      </c>
      <c r="AS21" s="24"/>
      <c r="AT21" s="116" t="str">
        <f>=IFERROR(ROUND(AS21/FB_Kurs_7,2),0)</f>
      </c>
      <c r="AU21" s="115" t="str">
        <f>=ROUND(AS21+AN21,2)</f>
      </c>
      <c r="AV21" s="143" t="str">
        <f>=ROUND(AT21+AO21,2)</f>
      </c>
      <c r="AY21" s="148" t="str">
        <f>=IFERROR(INDEX(Budget_ID_Liste, ROW() - 18), "")</f>
      </c>
      <c r="AZ21" s="24"/>
      <c r="BA21" s="116" t="str">
        <f>=IFERROR(ROUND(AZ21/FB_Kurs_8,2),0)</f>
      </c>
      <c r="BB21" s="115" t="str">
        <f>=ROUND(AZ21+AU21,2)</f>
      </c>
      <c r="BC21" s="143" t="str">
        <f>=ROUND(BA21+AV21,2)</f>
      </c>
      <c r="BF21" s="148" t="str">
        <f>=IFERROR(INDEX(Budget_ID_Liste, ROW() - 18), "")</f>
      </c>
      <c r="BG21" s="24"/>
      <c r="BH21" s="116" t="str">
        <f>=IFERROR(ROUND(BG21/FB_Kurs_9,2),0)</f>
      </c>
      <c r="BI21" s="115" t="str">
        <f>=ROUND(BG21+BB21,2)</f>
      </c>
      <c r="BJ21" s="143" t="str">
        <f>=ROUND(BH21+BC21,2)</f>
      </c>
      <c r="BM21" s="148" t="str">
        <f>=IFERROR(INDEX(Budget_ID_Liste, ROW() - 18), "")</f>
      </c>
      <c r="BN21" s="24"/>
      <c r="BO21" s="116" t="str">
        <f>=IFERROR(ROUND(BN21/FB_Kurs_10,2),0)</f>
      </c>
      <c r="BP21" s="115" t="str">
        <f>=ROUND(BN21+BI21,2)</f>
      </c>
      <c r="BQ21" s="143" t="str">
        <f>=ROUND(BO21+BJ21,2)</f>
      </c>
      <c r="BT21" s="148" t="str">
        <f>=IFERROR(INDEX(Budget_ID_Liste, ROW() - 18), "")</f>
      </c>
      <c r="BU21" s="24"/>
      <c r="BV21" s="116" t="str">
        <f>=IFERROR(ROUND(BU21/FB_Kurs_11,2),0)</f>
      </c>
      <c r="BW21" s="115" t="str">
        <f>=ROUND(BU21+BP21,2)</f>
      </c>
      <c r="BX21" s="143" t="str">
        <f>=ROUND(BV21+BQ21,2)</f>
      </c>
      <c r="CA21" s="148" t="str">
        <f>=IFERROR(INDEX(Budget_ID_Liste, ROW() - 18), "")</f>
      </c>
      <c r="CB21" s="24"/>
      <c r="CC21" s="116" t="str">
        <f>=IFERROR(ROUND(CB21/FB_Kurs_12,2),0)</f>
      </c>
      <c r="CD21" s="115" t="str">
        <f>=ROUND(CB21+BW21,2)</f>
      </c>
      <c r="CE21" s="143" t="str">
        <f>=ROUND(CC21+BX21,2)</f>
      </c>
      <c r="CH21" s="148" t="str">
        <f>=IFERROR(INDEX(Budget_ID_Liste, ROW() - 18), "")</f>
      </c>
      <c r="CI21" s="24"/>
      <c r="CJ21" s="116" t="str">
        <f>=IFERROR(ROUND(CI21/FB_Kurs_13,2),0)</f>
      </c>
      <c r="CK21" s="115" t="str">
        <f>=ROUND(CI21+CD21,2)</f>
      </c>
      <c r="CL21" s="143" t="str">
        <f>=ROUND(CJ21+CE21,2)</f>
      </c>
      <c r="CO21" s="148" t="str">
        <f>=IFERROR(INDEX(Budget_ID_Liste, ROW() - 18), "")</f>
      </c>
      <c r="CP21" s="24"/>
      <c r="CQ21" s="116" t="str">
        <f>=IFERROR(ROUND(CP21/FB_Kurs_14,2),0)</f>
      </c>
      <c r="CR21" s="115" t="str">
        <f>=ROUND(CP21+CK21,2)</f>
      </c>
      <c r="CS21" s="143" t="str">
        <f>=ROUND(CQ21+CL21,2)</f>
      </c>
      <c r="CV21" s="148" t="str">
        <f>=IFERROR(INDEX(Budget_ID_Liste, ROW() - 18), "")</f>
      </c>
      <c r="CW21" s="24"/>
      <c r="CX21" s="116" t="str">
        <f>=IFERROR(ROUND(CW21/FB_Kurs_15,2),0)</f>
      </c>
      <c r="CY21" s="115" t="str">
        <f>=ROUND(CW21+CR21,2)</f>
      </c>
      <c r="CZ21" s="143" t="str">
        <f>=ROUND(CX21+CS21,2)</f>
      </c>
      <c r="DC21" s="148" t="str">
        <f>=IFERROR(INDEX(Budget_ID_Liste, ROW() - 18), "")</f>
      </c>
      <c r="DD21" s="24"/>
      <c r="DE21" s="116" t="str">
        <f>=IFERROR(ROUND(DD21/FB_Kurs_16,2),0)</f>
      </c>
      <c r="DF21" s="115" t="str">
        <f>=ROUND(DD21+CY21,2)</f>
      </c>
      <c r="DG21" s="143" t="str">
        <f>=ROUND(DE21+CZ21,2)</f>
      </c>
      <c r="DJ21" s="148" t="str">
        <f>=IFERROR(INDEX(Budget_ID_Liste, ROW() - 18), "")</f>
      </c>
      <c r="DK21" s="24"/>
      <c r="DL21" s="116" t="str">
        <f>=IFERROR(ROUND(DK21/FB_Kurs_17,2),0)</f>
      </c>
      <c r="DM21" s="115" t="str">
        <f>=ROUND(DK21+DF21,2)</f>
      </c>
      <c r="DN21" s="143" t="str">
        <f>=ROUND(DL21+DG21,2)</f>
      </c>
      <c r="DQ21" s="148" t="str">
        <f>=IFERROR(INDEX(Budget_ID_Liste, ROW() - 18), "")</f>
      </c>
      <c r="DR21" s="24"/>
      <c r="DS21" s="116" t="str">
        <f>=IFERROR(ROUND(DR21/FB_Kurs_18,2),0)</f>
      </c>
      <c r="DT21" s="115" t="str">
        <f>=ROUND(DR21+DM21,2)</f>
      </c>
      <c r="DU21" s="143" t="str">
        <f>=ROUND(DS21+DN21,2)</f>
      </c>
    </row>
    <row r="22">
      <c r="B22" s="148" t="str">
        <f>=IFERROR(INDEX(Budget_ID_Liste, ROW() - 18), "")</f>
      </c>
      <c r="C22" s="24"/>
      <c r="D22" s="116" t="str">
        <f>=IFERROR(ROUND(C22/FB_Kurs_1,2),0)</f>
      </c>
      <c r="E22" s="115" t="str">
        <f>=ROUND(C22,2)</f>
      </c>
      <c r="F22" s="143" t="str">
        <f>=ROUND(D22,2)</f>
      </c>
      <c r="I22" s="148" t="str">
        <f>=IFERROR(INDEX(Budget_ID_Liste, ROW() - 18), "")</f>
      </c>
      <c r="J22" s="24"/>
      <c r="K22" s="116" t="str">
        <f>=IFERROR(ROUND(J22/FB_Kurs_2,2),0)</f>
      </c>
      <c r="L22" s="115" t="str">
        <f>=ROUND(J22+E22,2)</f>
      </c>
      <c r="M22" s="143" t="str">
        <f>=ROUND(K22+F22,2)</f>
      </c>
      <c r="P22" s="148" t="str">
        <f>=IFERROR(INDEX(Budget_ID_Liste, ROW() - 18), "")</f>
      </c>
      <c r="Q22" s="24"/>
      <c r="R22" s="116" t="str">
        <f>=IFERROR(ROUND(Q22/FB_Kurs_3,2),0)</f>
      </c>
      <c r="S22" s="115" t="str">
        <f>=ROUND(Q22+L22,2)</f>
      </c>
      <c r="T22" s="143" t="str">
        <f>=ROUND(R22+M22,2)</f>
      </c>
      <c r="W22" s="148" t="str">
        <f>=IFERROR(INDEX(Budget_ID_Liste, ROW() - 18), "")</f>
      </c>
      <c r="X22" s="24"/>
      <c r="Y22" s="116" t="str">
        <f>=IFERROR(ROUND(X22/FB_Kurs_4,2),0)</f>
      </c>
      <c r="Z22" s="115" t="str">
        <f>=ROUND(X22+S22,2)</f>
      </c>
      <c r="AA22" s="143" t="str">
        <f>=ROUND(Y22+T22,2)</f>
      </c>
      <c r="AD22" s="148" t="str">
        <f>=IFERROR(INDEX(Budget_ID_Liste, ROW() - 18), "")</f>
      </c>
      <c r="AE22" s="24"/>
      <c r="AF22" s="116" t="str">
        <f>=IFERROR(ROUND(AE22/FB_Kurs_5,2),0)</f>
      </c>
      <c r="AG22" s="115" t="str">
        <f>=ROUND(AE22+Z22,2)</f>
      </c>
      <c r="AH22" s="143" t="str">
        <f>=ROUND(AF22+AA22,2)</f>
      </c>
      <c r="AK22" s="148" t="str">
        <f>=IFERROR(INDEX(Budget_ID_Liste, ROW() - 18), "")</f>
      </c>
      <c r="AL22" s="24"/>
      <c r="AM22" s="116" t="str">
        <f>=IFERROR(ROUND(AL22/FB_Kurs_6,2),0)</f>
      </c>
      <c r="AN22" s="115" t="str">
        <f>=ROUND(AL22+AG22,2)</f>
      </c>
      <c r="AO22" s="143" t="str">
        <f>=ROUND(AM22+AH22,2)</f>
      </c>
      <c r="AR22" s="148" t="str">
        <f>=IFERROR(INDEX(Budget_ID_Liste, ROW() - 18), "")</f>
      </c>
      <c r="AS22" s="24"/>
      <c r="AT22" s="116" t="str">
        <f>=IFERROR(ROUND(AS22/FB_Kurs_7,2),0)</f>
      </c>
      <c r="AU22" s="115" t="str">
        <f>=ROUND(AS22+AN22,2)</f>
      </c>
      <c r="AV22" s="143" t="str">
        <f>=ROUND(AT22+AO22,2)</f>
      </c>
      <c r="AY22" s="148" t="str">
        <f>=IFERROR(INDEX(Budget_ID_Liste, ROW() - 18), "")</f>
      </c>
      <c r="AZ22" s="24"/>
      <c r="BA22" s="116" t="str">
        <f>=IFERROR(ROUND(AZ22/FB_Kurs_8,2),0)</f>
      </c>
      <c r="BB22" s="115" t="str">
        <f>=ROUND(AZ22+AU22,2)</f>
      </c>
      <c r="BC22" s="143" t="str">
        <f>=ROUND(BA22+AV22,2)</f>
      </c>
      <c r="BF22" s="148" t="str">
        <f>=IFERROR(INDEX(Budget_ID_Liste, ROW() - 18), "")</f>
      </c>
      <c r="BG22" s="24"/>
      <c r="BH22" s="116" t="str">
        <f>=IFERROR(ROUND(BG22/FB_Kurs_9,2),0)</f>
      </c>
      <c r="BI22" s="115" t="str">
        <f>=ROUND(BG22+BB22,2)</f>
      </c>
      <c r="BJ22" s="143" t="str">
        <f>=ROUND(BH22+BC22,2)</f>
      </c>
      <c r="BM22" s="148" t="str">
        <f>=IFERROR(INDEX(Budget_ID_Liste, ROW() - 18), "")</f>
      </c>
      <c r="BN22" s="24"/>
      <c r="BO22" s="116" t="str">
        <f>=IFERROR(ROUND(BN22/FB_Kurs_10,2),0)</f>
      </c>
      <c r="BP22" s="115" t="str">
        <f>=ROUND(BN22+BI22,2)</f>
      </c>
      <c r="BQ22" s="143" t="str">
        <f>=ROUND(BO22+BJ22,2)</f>
      </c>
      <c r="BT22" s="148" t="str">
        <f>=IFERROR(INDEX(Budget_ID_Liste, ROW() - 18), "")</f>
      </c>
      <c r="BU22" s="24"/>
      <c r="BV22" s="116" t="str">
        <f>=IFERROR(ROUND(BU22/FB_Kurs_11,2),0)</f>
      </c>
      <c r="BW22" s="115" t="str">
        <f>=ROUND(BU22+BP22,2)</f>
      </c>
      <c r="BX22" s="143" t="str">
        <f>=ROUND(BV22+BQ22,2)</f>
      </c>
      <c r="CA22" s="148" t="str">
        <f>=IFERROR(INDEX(Budget_ID_Liste, ROW() - 18), "")</f>
      </c>
      <c r="CB22" s="24"/>
      <c r="CC22" s="116" t="str">
        <f>=IFERROR(ROUND(CB22/FB_Kurs_12,2),0)</f>
      </c>
      <c r="CD22" s="115" t="str">
        <f>=ROUND(CB22+BW22,2)</f>
      </c>
      <c r="CE22" s="143" t="str">
        <f>=ROUND(CC22+BX22,2)</f>
      </c>
      <c r="CH22" s="148" t="str">
        <f>=IFERROR(INDEX(Budget_ID_Liste, ROW() - 18), "")</f>
      </c>
      <c r="CI22" s="24"/>
      <c r="CJ22" s="116" t="str">
        <f>=IFERROR(ROUND(CI22/FB_Kurs_13,2),0)</f>
      </c>
      <c r="CK22" s="115" t="str">
        <f>=ROUND(CI22+CD22,2)</f>
      </c>
      <c r="CL22" s="143" t="str">
        <f>=ROUND(CJ22+CE22,2)</f>
      </c>
      <c r="CO22" s="148" t="str">
        <f>=IFERROR(INDEX(Budget_ID_Liste, ROW() - 18), "")</f>
      </c>
      <c r="CP22" s="24"/>
      <c r="CQ22" s="116" t="str">
        <f>=IFERROR(ROUND(CP22/FB_Kurs_14,2),0)</f>
      </c>
      <c r="CR22" s="115" t="str">
        <f>=ROUND(CP22+CK22,2)</f>
      </c>
      <c r="CS22" s="143" t="str">
        <f>=ROUND(CQ22+CL22,2)</f>
      </c>
      <c r="CV22" s="148" t="str">
        <f>=IFERROR(INDEX(Budget_ID_Liste, ROW() - 18), "")</f>
      </c>
      <c r="CW22" s="24"/>
      <c r="CX22" s="116" t="str">
        <f>=IFERROR(ROUND(CW22/FB_Kurs_15,2),0)</f>
      </c>
      <c r="CY22" s="115" t="str">
        <f>=ROUND(CW22+CR22,2)</f>
      </c>
      <c r="CZ22" s="143" t="str">
        <f>=ROUND(CX22+CS22,2)</f>
      </c>
      <c r="DC22" s="148" t="str">
        <f>=IFERROR(INDEX(Budget_ID_Liste, ROW() - 18), "")</f>
      </c>
      <c r="DD22" s="24"/>
      <c r="DE22" s="116" t="str">
        <f>=IFERROR(ROUND(DD22/FB_Kurs_16,2),0)</f>
      </c>
      <c r="DF22" s="115" t="str">
        <f>=ROUND(DD22+CY22,2)</f>
      </c>
      <c r="DG22" s="143" t="str">
        <f>=ROUND(DE22+CZ22,2)</f>
      </c>
      <c r="DJ22" s="148" t="str">
        <f>=IFERROR(INDEX(Budget_ID_Liste, ROW() - 18), "")</f>
      </c>
      <c r="DK22" s="24"/>
      <c r="DL22" s="116" t="str">
        <f>=IFERROR(ROUND(DK22/FB_Kurs_17,2),0)</f>
      </c>
      <c r="DM22" s="115" t="str">
        <f>=ROUND(DK22+DF22,2)</f>
      </c>
      <c r="DN22" s="143" t="str">
        <f>=ROUND(DL22+DG22,2)</f>
      </c>
      <c r="DQ22" s="148" t="str">
        <f>=IFERROR(INDEX(Budget_ID_Liste, ROW() - 18), "")</f>
      </c>
      <c r="DR22" s="24"/>
      <c r="DS22" s="116" t="str">
        <f>=IFERROR(ROUND(DR22/FB_Kurs_18,2),0)</f>
      </c>
      <c r="DT22" s="115" t="str">
        <f>=ROUND(DR22+DM22,2)</f>
      </c>
      <c r="DU22" s="143" t="str">
        <f>=ROUND(DS22+DN22,2)</f>
      </c>
    </row>
    <row r="23">
      <c r="B23" s="148" t="str">
        <f>=IFERROR(INDEX(Budget_ID_Liste, ROW() - 18), "")</f>
      </c>
      <c r="C23" s="24"/>
      <c r="D23" s="116" t="str">
        <f>=IFERROR(ROUND(C23/FB_Kurs_1,2),0)</f>
      </c>
      <c r="E23" s="115" t="str">
        <f>=ROUND(C23,2)</f>
      </c>
      <c r="F23" s="143" t="str">
        <f>=ROUND(D23,2)</f>
      </c>
      <c r="I23" s="148" t="str">
        <f>=IFERROR(INDEX(Budget_ID_Liste, ROW() - 18), "")</f>
      </c>
      <c r="J23" s="24"/>
      <c r="K23" s="116" t="str">
        <f>=IFERROR(ROUND(J23/FB_Kurs_2,2),0)</f>
      </c>
      <c r="L23" s="115" t="str">
        <f>=ROUND(J23+E23,2)</f>
      </c>
      <c r="M23" s="143" t="str">
        <f>=ROUND(K23+F23,2)</f>
      </c>
      <c r="P23" s="148" t="str">
        <f>=IFERROR(INDEX(Budget_ID_Liste, ROW() - 18), "")</f>
      </c>
      <c r="Q23" s="24"/>
      <c r="R23" s="116" t="str">
        <f>=IFERROR(ROUND(Q23/FB_Kurs_3,2),0)</f>
      </c>
      <c r="S23" s="115" t="str">
        <f>=ROUND(Q23+L23,2)</f>
      </c>
      <c r="T23" s="143" t="str">
        <f>=ROUND(R23+M23,2)</f>
      </c>
      <c r="W23" s="148" t="str">
        <f>=IFERROR(INDEX(Budget_ID_Liste, ROW() - 18), "")</f>
      </c>
      <c r="X23" s="24"/>
      <c r="Y23" s="116" t="str">
        <f>=IFERROR(ROUND(X23/FB_Kurs_4,2),0)</f>
      </c>
      <c r="Z23" s="115" t="str">
        <f>=ROUND(X23+S23,2)</f>
      </c>
      <c r="AA23" s="143" t="str">
        <f>=ROUND(Y23+T23,2)</f>
      </c>
      <c r="AD23" s="148" t="str">
        <f>=IFERROR(INDEX(Budget_ID_Liste, ROW() - 18), "")</f>
      </c>
      <c r="AE23" s="24"/>
      <c r="AF23" s="116" t="str">
        <f>=IFERROR(ROUND(AE23/FB_Kurs_5,2),0)</f>
      </c>
      <c r="AG23" s="115" t="str">
        <f>=ROUND(AE23+Z23,2)</f>
      </c>
      <c r="AH23" s="143" t="str">
        <f>=ROUND(AF23+AA23,2)</f>
      </c>
      <c r="AK23" s="148" t="str">
        <f>=IFERROR(INDEX(Budget_ID_Liste, ROW() - 18), "")</f>
      </c>
      <c r="AL23" s="24"/>
      <c r="AM23" s="116" t="str">
        <f>=IFERROR(ROUND(AL23/FB_Kurs_6,2),0)</f>
      </c>
      <c r="AN23" s="115" t="str">
        <f>=ROUND(AL23+AG23,2)</f>
      </c>
      <c r="AO23" s="143" t="str">
        <f>=ROUND(AM23+AH23,2)</f>
      </c>
      <c r="AR23" s="148" t="str">
        <f>=IFERROR(INDEX(Budget_ID_Liste, ROW() - 18), "")</f>
      </c>
      <c r="AS23" s="24"/>
      <c r="AT23" s="116" t="str">
        <f>=IFERROR(ROUND(AS23/FB_Kurs_7,2),0)</f>
      </c>
      <c r="AU23" s="115" t="str">
        <f>=ROUND(AS23+AN23,2)</f>
      </c>
      <c r="AV23" s="143" t="str">
        <f>=ROUND(AT23+AO23,2)</f>
      </c>
      <c r="AY23" s="148" t="str">
        <f>=IFERROR(INDEX(Budget_ID_Liste, ROW() - 18), "")</f>
      </c>
      <c r="AZ23" s="24"/>
      <c r="BA23" s="116" t="str">
        <f>=IFERROR(ROUND(AZ23/FB_Kurs_8,2),0)</f>
      </c>
      <c r="BB23" s="115" t="str">
        <f>=ROUND(AZ23+AU23,2)</f>
      </c>
      <c r="BC23" s="143" t="str">
        <f>=ROUND(BA23+AV23,2)</f>
      </c>
      <c r="BF23" s="148" t="str">
        <f>=IFERROR(INDEX(Budget_ID_Liste, ROW() - 18), "")</f>
      </c>
      <c r="BG23" s="24"/>
      <c r="BH23" s="116" t="str">
        <f>=IFERROR(ROUND(BG23/FB_Kurs_9,2),0)</f>
      </c>
      <c r="BI23" s="115" t="str">
        <f>=ROUND(BG23+BB23,2)</f>
      </c>
      <c r="BJ23" s="143" t="str">
        <f>=ROUND(BH23+BC23,2)</f>
      </c>
      <c r="BM23" s="148" t="str">
        <f>=IFERROR(INDEX(Budget_ID_Liste, ROW() - 18), "")</f>
      </c>
      <c r="BN23" s="24"/>
      <c r="BO23" s="116" t="str">
        <f>=IFERROR(ROUND(BN23/FB_Kurs_10,2),0)</f>
      </c>
      <c r="BP23" s="115" t="str">
        <f>=ROUND(BN23+BI23,2)</f>
      </c>
      <c r="BQ23" s="143" t="str">
        <f>=ROUND(BO23+BJ23,2)</f>
      </c>
      <c r="BT23" s="148" t="str">
        <f>=IFERROR(INDEX(Budget_ID_Liste, ROW() - 18), "")</f>
      </c>
      <c r="BU23" s="24"/>
      <c r="BV23" s="116" t="str">
        <f>=IFERROR(ROUND(BU23/FB_Kurs_11,2),0)</f>
      </c>
      <c r="BW23" s="115" t="str">
        <f>=ROUND(BU23+BP23,2)</f>
      </c>
      <c r="BX23" s="143" t="str">
        <f>=ROUND(BV23+BQ23,2)</f>
      </c>
      <c r="CA23" s="148" t="str">
        <f>=IFERROR(INDEX(Budget_ID_Liste, ROW() - 18), "")</f>
      </c>
      <c r="CB23" s="24"/>
      <c r="CC23" s="116" t="str">
        <f>=IFERROR(ROUND(CB23/FB_Kurs_12,2),0)</f>
      </c>
      <c r="CD23" s="115" t="str">
        <f>=ROUND(CB23+BW23,2)</f>
      </c>
      <c r="CE23" s="143" t="str">
        <f>=ROUND(CC23+BX23,2)</f>
      </c>
      <c r="CH23" s="148" t="str">
        <f>=IFERROR(INDEX(Budget_ID_Liste, ROW() - 18), "")</f>
      </c>
      <c r="CI23" s="24"/>
      <c r="CJ23" s="116" t="str">
        <f>=IFERROR(ROUND(CI23/FB_Kurs_13,2),0)</f>
      </c>
      <c r="CK23" s="115" t="str">
        <f>=ROUND(CI23+CD23,2)</f>
      </c>
      <c r="CL23" s="143" t="str">
        <f>=ROUND(CJ23+CE23,2)</f>
      </c>
      <c r="CO23" s="148" t="str">
        <f>=IFERROR(INDEX(Budget_ID_Liste, ROW() - 18), "")</f>
      </c>
      <c r="CP23" s="24"/>
      <c r="CQ23" s="116" t="str">
        <f>=IFERROR(ROUND(CP23/FB_Kurs_14,2),0)</f>
      </c>
      <c r="CR23" s="115" t="str">
        <f>=ROUND(CP23+CK23,2)</f>
      </c>
      <c r="CS23" s="143" t="str">
        <f>=ROUND(CQ23+CL23,2)</f>
      </c>
      <c r="CV23" s="148" t="str">
        <f>=IFERROR(INDEX(Budget_ID_Liste, ROW() - 18), "")</f>
      </c>
      <c r="CW23" s="24"/>
      <c r="CX23" s="116" t="str">
        <f>=IFERROR(ROUND(CW23/FB_Kurs_15,2),0)</f>
      </c>
      <c r="CY23" s="115" t="str">
        <f>=ROUND(CW23+CR23,2)</f>
      </c>
      <c r="CZ23" s="143" t="str">
        <f>=ROUND(CX23+CS23,2)</f>
      </c>
      <c r="DC23" s="148" t="str">
        <f>=IFERROR(INDEX(Budget_ID_Liste, ROW() - 18), "")</f>
      </c>
      <c r="DD23" s="24"/>
      <c r="DE23" s="116" t="str">
        <f>=IFERROR(ROUND(DD23/FB_Kurs_16,2),0)</f>
      </c>
      <c r="DF23" s="115" t="str">
        <f>=ROUND(DD23+CY23,2)</f>
      </c>
      <c r="DG23" s="143" t="str">
        <f>=ROUND(DE23+CZ23,2)</f>
      </c>
      <c r="DJ23" s="148" t="str">
        <f>=IFERROR(INDEX(Budget_ID_Liste, ROW() - 18), "")</f>
      </c>
      <c r="DK23" s="24"/>
      <c r="DL23" s="116" t="str">
        <f>=IFERROR(ROUND(DK23/FB_Kurs_17,2),0)</f>
      </c>
      <c r="DM23" s="115" t="str">
        <f>=ROUND(DK23+DF23,2)</f>
      </c>
      <c r="DN23" s="143" t="str">
        <f>=ROUND(DL23+DG23,2)</f>
      </c>
      <c r="DQ23" s="148" t="str">
        <f>=IFERROR(INDEX(Budget_ID_Liste, ROW() - 18), "")</f>
      </c>
      <c r="DR23" s="24"/>
      <c r="DS23" s="116" t="str">
        <f>=IFERROR(ROUND(DR23/FB_Kurs_18,2),0)</f>
      </c>
      <c r="DT23" s="115" t="str">
        <f>=ROUND(DR23+DM23,2)</f>
      </c>
      <c r="DU23" s="143" t="str">
        <f>=ROUND(DS23+DN23,2)</f>
      </c>
    </row>
    <row r="24">
      <c r="B24" s="148" t="str">
        <f>=IFERROR(INDEX(Budget_ID_Liste, ROW() - 18), "")</f>
      </c>
      <c r="C24" s="24"/>
      <c r="D24" s="116" t="str">
        <f>=IFERROR(ROUND(C24/FB_Kurs_1,2),0)</f>
      </c>
      <c r="E24" s="115" t="str">
        <f>=ROUND(C24,2)</f>
      </c>
      <c r="F24" s="143" t="str">
        <f>=ROUND(D24,2)</f>
      </c>
      <c r="I24" s="148" t="str">
        <f>=IFERROR(INDEX(Budget_ID_Liste, ROW() - 18), "")</f>
      </c>
      <c r="J24" s="24"/>
      <c r="K24" s="116" t="str">
        <f>=IFERROR(ROUND(J24/FB_Kurs_2,2),0)</f>
      </c>
      <c r="L24" s="115" t="str">
        <f>=ROUND(J24+E24,2)</f>
      </c>
      <c r="M24" s="143" t="str">
        <f>=ROUND(K24+F24,2)</f>
      </c>
      <c r="P24" s="148" t="str">
        <f>=IFERROR(INDEX(Budget_ID_Liste, ROW() - 18), "")</f>
      </c>
      <c r="Q24" s="24"/>
      <c r="R24" s="116" t="str">
        <f>=IFERROR(ROUND(Q24/FB_Kurs_3,2),0)</f>
      </c>
      <c r="S24" s="115" t="str">
        <f>=ROUND(Q24+L24,2)</f>
      </c>
      <c r="T24" s="143" t="str">
        <f>=ROUND(R24+M24,2)</f>
      </c>
      <c r="W24" s="148" t="str">
        <f>=IFERROR(INDEX(Budget_ID_Liste, ROW() - 18), "")</f>
      </c>
      <c r="X24" s="24"/>
      <c r="Y24" s="116" t="str">
        <f>=IFERROR(ROUND(X24/FB_Kurs_4,2),0)</f>
      </c>
      <c r="Z24" s="115" t="str">
        <f>=ROUND(X24+S24,2)</f>
      </c>
      <c r="AA24" s="143" t="str">
        <f>=ROUND(Y24+T24,2)</f>
      </c>
      <c r="AD24" s="148" t="str">
        <f>=IFERROR(INDEX(Budget_ID_Liste, ROW() - 18), "")</f>
      </c>
      <c r="AE24" s="24"/>
      <c r="AF24" s="116" t="str">
        <f>=IFERROR(ROUND(AE24/FB_Kurs_5,2),0)</f>
      </c>
      <c r="AG24" s="115" t="str">
        <f>=ROUND(AE24+Z24,2)</f>
      </c>
      <c r="AH24" s="143" t="str">
        <f>=ROUND(AF24+AA24,2)</f>
      </c>
      <c r="AK24" s="148" t="str">
        <f>=IFERROR(INDEX(Budget_ID_Liste, ROW() - 18), "")</f>
      </c>
      <c r="AL24" s="24"/>
      <c r="AM24" s="116" t="str">
        <f>=IFERROR(ROUND(AL24/FB_Kurs_6,2),0)</f>
      </c>
      <c r="AN24" s="115" t="str">
        <f>=ROUND(AL24+AG24,2)</f>
      </c>
      <c r="AO24" s="143" t="str">
        <f>=ROUND(AM24+AH24,2)</f>
      </c>
      <c r="AR24" s="148" t="str">
        <f>=IFERROR(INDEX(Budget_ID_Liste, ROW() - 18), "")</f>
      </c>
      <c r="AS24" s="24"/>
      <c r="AT24" s="116" t="str">
        <f>=IFERROR(ROUND(AS24/FB_Kurs_7,2),0)</f>
      </c>
      <c r="AU24" s="115" t="str">
        <f>=ROUND(AS24+AN24,2)</f>
      </c>
      <c r="AV24" s="143" t="str">
        <f>=ROUND(AT24+AO24,2)</f>
      </c>
      <c r="AY24" s="148" t="str">
        <f>=IFERROR(INDEX(Budget_ID_Liste, ROW() - 18), "")</f>
      </c>
      <c r="AZ24" s="24"/>
      <c r="BA24" s="116" t="str">
        <f>=IFERROR(ROUND(AZ24/FB_Kurs_8,2),0)</f>
      </c>
      <c r="BB24" s="115" t="str">
        <f>=ROUND(AZ24+AU24,2)</f>
      </c>
      <c r="BC24" s="143" t="str">
        <f>=ROUND(BA24+AV24,2)</f>
      </c>
      <c r="BF24" s="148" t="str">
        <f>=IFERROR(INDEX(Budget_ID_Liste, ROW() - 18), "")</f>
      </c>
      <c r="BG24" s="24"/>
      <c r="BH24" s="116" t="str">
        <f>=IFERROR(ROUND(BG24/FB_Kurs_9,2),0)</f>
      </c>
      <c r="BI24" s="115" t="str">
        <f>=ROUND(BG24+BB24,2)</f>
      </c>
      <c r="BJ24" s="143" t="str">
        <f>=ROUND(BH24+BC24,2)</f>
      </c>
      <c r="BM24" s="148" t="str">
        <f>=IFERROR(INDEX(Budget_ID_Liste, ROW() - 18), "")</f>
      </c>
      <c r="BN24" s="24"/>
      <c r="BO24" s="116" t="str">
        <f>=IFERROR(ROUND(BN24/FB_Kurs_10,2),0)</f>
      </c>
      <c r="BP24" s="115" t="str">
        <f>=ROUND(BN24+BI24,2)</f>
      </c>
      <c r="BQ24" s="143" t="str">
        <f>=ROUND(BO24+BJ24,2)</f>
      </c>
      <c r="BT24" s="148" t="str">
        <f>=IFERROR(INDEX(Budget_ID_Liste, ROW() - 18), "")</f>
      </c>
      <c r="BU24" s="24"/>
      <c r="BV24" s="116" t="str">
        <f>=IFERROR(ROUND(BU24/FB_Kurs_11,2),0)</f>
      </c>
      <c r="BW24" s="115" t="str">
        <f>=ROUND(BU24+BP24,2)</f>
      </c>
      <c r="BX24" s="143" t="str">
        <f>=ROUND(BV24+BQ24,2)</f>
      </c>
      <c r="CA24" s="148" t="str">
        <f>=IFERROR(INDEX(Budget_ID_Liste, ROW() - 18), "")</f>
      </c>
      <c r="CB24" s="24"/>
      <c r="CC24" s="116" t="str">
        <f>=IFERROR(ROUND(CB24/FB_Kurs_12,2),0)</f>
      </c>
      <c r="CD24" s="115" t="str">
        <f>=ROUND(CB24+BW24,2)</f>
      </c>
      <c r="CE24" s="143" t="str">
        <f>=ROUND(CC24+BX24,2)</f>
      </c>
      <c r="CH24" s="148" t="str">
        <f>=IFERROR(INDEX(Budget_ID_Liste, ROW() - 18), "")</f>
      </c>
      <c r="CI24" s="24"/>
      <c r="CJ24" s="116" t="str">
        <f>=IFERROR(ROUND(CI24/FB_Kurs_13,2),0)</f>
      </c>
      <c r="CK24" s="115" t="str">
        <f>=ROUND(CI24+CD24,2)</f>
      </c>
      <c r="CL24" s="143" t="str">
        <f>=ROUND(CJ24+CE24,2)</f>
      </c>
      <c r="CO24" s="148" t="str">
        <f>=IFERROR(INDEX(Budget_ID_Liste, ROW() - 18), "")</f>
      </c>
      <c r="CP24" s="24"/>
      <c r="CQ24" s="116" t="str">
        <f>=IFERROR(ROUND(CP24/FB_Kurs_14,2),0)</f>
      </c>
      <c r="CR24" s="115" t="str">
        <f>=ROUND(CP24+CK24,2)</f>
      </c>
      <c r="CS24" s="143" t="str">
        <f>=ROUND(CQ24+CL24,2)</f>
      </c>
      <c r="CV24" s="148" t="str">
        <f>=IFERROR(INDEX(Budget_ID_Liste, ROW() - 18), "")</f>
      </c>
      <c r="CW24" s="24"/>
      <c r="CX24" s="116" t="str">
        <f>=IFERROR(ROUND(CW24/FB_Kurs_15,2),0)</f>
      </c>
      <c r="CY24" s="115" t="str">
        <f>=ROUND(CW24+CR24,2)</f>
      </c>
      <c r="CZ24" s="143" t="str">
        <f>=ROUND(CX24+CS24,2)</f>
      </c>
      <c r="DC24" s="148" t="str">
        <f>=IFERROR(INDEX(Budget_ID_Liste, ROW() - 18), "")</f>
      </c>
      <c r="DD24" s="24"/>
      <c r="DE24" s="116" t="str">
        <f>=IFERROR(ROUND(DD24/FB_Kurs_16,2),0)</f>
      </c>
      <c r="DF24" s="115" t="str">
        <f>=ROUND(DD24+CY24,2)</f>
      </c>
      <c r="DG24" s="143" t="str">
        <f>=ROUND(DE24+CZ24,2)</f>
      </c>
      <c r="DJ24" s="148" t="str">
        <f>=IFERROR(INDEX(Budget_ID_Liste, ROW() - 18), "")</f>
      </c>
      <c r="DK24" s="24"/>
      <c r="DL24" s="116" t="str">
        <f>=IFERROR(ROUND(DK24/FB_Kurs_17,2),0)</f>
      </c>
      <c r="DM24" s="115" t="str">
        <f>=ROUND(DK24+DF24,2)</f>
      </c>
      <c r="DN24" s="143" t="str">
        <f>=ROUND(DL24+DG24,2)</f>
      </c>
      <c r="DQ24" s="148" t="str">
        <f>=IFERROR(INDEX(Budget_ID_Liste, ROW() - 18), "")</f>
      </c>
      <c r="DR24" s="24"/>
      <c r="DS24" s="116" t="str">
        <f>=IFERROR(ROUND(DR24/FB_Kurs_18,2),0)</f>
      </c>
      <c r="DT24" s="115" t="str">
        <f>=ROUND(DR24+DM24,2)</f>
      </c>
      <c r="DU24" s="143" t="str">
        <f>=ROUND(DS24+DN24,2)</f>
      </c>
    </row>
    <row r="25">
      <c r="B25" s="148" t="str">
        <f>=IFERROR(INDEX(Budget_ID_Liste, ROW() - 18), "")</f>
      </c>
      <c r="C25" s="24"/>
      <c r="D25" s="116" t="str">
        <f>=IFERROR(ROUND(C25/FB_Kurs_1,2),0)</f>
      </c>
      <c r="E25" s="115" t="str">
        <f>=ROUND(C25,2)</f>
      </c>
      <c r="F25" s="143" t="str">
        <f>=ROUND(D25,2)</f>
      </c>
      <c r="I25" s="148" t="str">
        <f>=IFERROR(INDEX(Budget_ID_Liste, ROW() - 18), "")</f>
      </c>
      <c r="J25" s="24"/>
      <c r="K25" s="116" t="str">
        <f>=IFERROR(ROUND(J25/FB_Kurs_2,2),0)</f>
      </c>
      <c r="L25" s="115" t="str">
        <f>=ROUND(J25+E25,2)</f>
      </c>
      <c r="M25" s="143" t="str">
        <f>=ROUND(K25+F25,2)</f>
      </c>
      <c r="P25" s="148" t="str">
        <f>=IFERROR(INDEX(Budget_ID_Liste, ROW() - 18), "")</f>
      </c>
      <c r="Q25" s="24"/>
      <c r="R25" s="116" t="str">
        <f>=IFERROR(ROUND(Q25/FB_Kurs_3,2),0)</f>
      </c>
      <c r="S25" s="115" t="str">
        <f>=ROUND(Q25+L25,2)</f>
      </c>
      <c r="T25" s="143" t="str">
        <f>=ROUND(R25+M25,2)</f>
      </c>
      <c r="W25" s="148" t="str">
        <f>=IFERROR(INDEX(Budget_ID_Liste, ROW() - 18), "")</f>
      </c>
      <c r="X25" s="24"/>
      <c r="Y25" s="116" t="str">
        <f>=IFERROR(ROUND(X25/FB_Kurs_4,2),0)</f>
      </c>
      <c r="Z25" s="115" t="str">
        <f>=ROUND(X25+S25,2)</f>
      </c>
      <c r="AA25" s="143" t="str">
        <f>=ROUND(Y25+T25,2)</f>
      </c>
      <c r="AD25" s="148" t="str">
        <f>=IFERROR(INDEX(Budget_ID_Liste, ROW() - 18), "")</f>
      </c>
      <c r="AE25" s="24"/>
      <c r="AF25" s="116" t="str">
        <f>=IFERROR(ROUND(AE25/FB_Kurs_5,2),0)</f>
      </c>
      <c r="AG25" s="115" t="str">
        <f>=ROUND(AE25+Z25,2)</f>
      </c>
      <c r="AH25" s="143" t="str">
        <f>=ROUND(AF25+AA25,2)</f>
      </c>
      <c r="AK25" s="148" t="str">
        <f>=IFERROR(INDEX(Budget_ID_Liste, ROW() - 18), "")</f>
      </c>
      <c r="AL25" s="24"/>
      <c r="AM25" s="116" t="str">
        <f>=IFERROR(ROUND(AL25/FB_Kurs_6,2),0)</f>
      </c>
      <c r="AN25" s="115" t="str">
        <f>=ROUND(AL25+AG25,2)</f>
      </c>
      <c r="AO25" s="143" t="str">
        <f>=ROUND(AM25+AH25,2)</f>
      </c>
      <c r="AR25" s="148" t="str">
        <f>=IFERROR(INDEX(Budget_ID_Liste, ROW() - 18), "")</f>
      </c>
      <c r="AS25" s="24"/>
      <c r="AT25" s="116" t="str">
        <f>=IFERROR(ROUND(AS25/FB_Kurs_7,2),0)</f>
      </c>
      <c r="AU25" s="115" t="str">
        <f>=ROUND(AS25+AN25,2)</f>
      </c>
      <c r="AV25" s="143" t="str">
        <f>=ROUND(AT25+AO25,2)</f>
      </c>
      <c r="AY25" s="148" t="str">
        <f>=IFERROR(INDEX(Budget_ID_Liste, ROW() - 18), "")</f>
      </c>
      <c r="AZ25" s="24"/>
      <c r="BA25" s="116" t="str">
        <f>=IFERROR(ROUND(AZ25/FB_Kurs_8,2),0)</f>
      </c>
      <c r="BB25" s="115" t="str">
        <f>=ROUND(AZ25+AU25,2)</f>
      </c>
      <c r="BC25" s="143" t="str">
        <f>=ROUND(BA25+AV25,2)</f>
      </c>
      <c r="BF25" s="148" t="str">
        <f>=IFERROR(INDEX(Budget_ID_Liste, ROW() - 18), "")</f>
      </c>
      <c r="BG25" s="24"/>
      <c r="BH25" s="116" t="str">
        <f>=IFERROR(ROUND(BG25/FB_Kurs_9,2),0)</f>
      </c>
      <c r="BI25" s="115" t="str">
        <f>=ROUND(BG25+BB25,2)</f>
      </c>
      <c r="BJ25" s="143" t="str">
        <f>=ROUND(BH25+BC25,2)</f>
      </c>
      <c r="BM25" s="148" t="str">
        <f>=IFERROR(INDEX(Budget_ID_Liste, ROW() - 18), "")</f>
      </c>
      <c r="BN25" s="24"/>
      <c r="BO25" s="116" t="str">
        <f>=IFERROR(ROUND(BN25/FB_Kurs_10,2),0)</f>
      </c>
      <c r="BP25" s="115" t="str">
        <f>=ROUND(BN25+BI25,2)</f>
      </c>
      <c r="BQ25" s="143" t="str">
        <f>=ROUND(BO25+BJ25,2)</f>
      </c>
      <c r="BT25" s="148" t="str">
        <f>=IFERROR(INDEX(Budget_ID_Liste, ROW() - 18), "")</f>
      </c>
      <c r="BU25" s="24"/>
      <c r="BV25" s="116" t="str">
        <f>=IFERROR(ROUND(BU25/FB_Kurs_11,2),0)</f>
      </c>
      <c r="BW25" s="115" t="str">
        <f>=ROUND(BU25+BP25,2)</f>
      </c>
      <c r="BX25" s="143" t="str">
        <f>=ROUND(BV25+BQ25,2)</f>
      </c>
      <c r="CA25" s="148" t="str">
        <f>=IFERROR(INDEX(Budget_ID_Liste, ROW() - 18), "")</f>
      </c>
      <c r="CB25" s="24"/>
      <c r="CC25" s="116" t="str">
        <f>=IFERROR(ROUND(CB25/FB_Kurs_12,2),0)</f>
      </c>
      <c r="CD25" s="115" t="str">
        <f>=ROUND(CB25+BW25,2)</f>
      </c>
      <c r="CE25" s="143" t="str">
        <f>=ROUND(CC25+BX25,2)</f>
      </c>
      <c r="CH25" s="148" t="str">
        <f>=IFERROR(INDEX(Budget_ID_Liste, ROW() - 18), "")</f>
      </c>
      <c r="CI25" s="24"/>
      <c r="CJ25" s="116" t="str">
        <f>=IFERROR(ROUND(CI25/FB_Kurs_13,2),0)</f>
      </c>
      <c r="CK25" s="115" t="str">
        <f>=ROUND(CI25+CD25,2)</f>
      </c>
      <c r="CL25" s="143" t="str">
        <f>=ROUND(CJ25+CE25,2)</f>
      </c>
      <c r="CO25" s="148" t="str">
        <f>=IFERROR(INDEX(Budget_ID_Liste, ROW() - 18), "")</f>
      </c>
      <c r="CP25" s="24"/>
      <c r="CQ25" s="116" t="str">
        <f>=IFERROR(ROUND(CP25/FB_Kurs_14,2),0)</f>
      </c>
      <c r="CR25" s="115" t="str">
        <f>=ROUND(CP25+CK25,2)</f>
      </c>
      <c r="CS25" s="143" t="str">
        <f>=ROUND(CQ25+CL25,2)</f>
      </c>
      <c r="CV25" s="148" t="str">
        <f>=IFERROR(INDEX(Budget_ID_Liste, ROW() - 18), "")</f>
      </c>
      <c r="CW25" s="24"/>
      <c r="CX25" s="116" t="str">
        <f>=IFERROR(ROUND(CW25/FB_Kurs_15,2),0)</f>
      </c>
      <c r="CY25" s="115" t="str">
        <f>=ROUND(CW25+CR25,2)</f>
      </c>
      <c r="CZ25" s="143" t="str">
        <f>=ROUND(CX25+CS25,2)</f>
      </c>
      <c r="DC25" s="148" t="str">
        <f>=IFERROR(INDEX(Budget_ID_Liste, ROW() - 18), "")</f>
      </c>
      <c r="DD25" s="24"/>
      <c r="DE25" s="116" t="str">
        <f>=IFERROR(ROUND(DD25/FB_Kurs_16,2),0)</f>
      </c>
      <c r="DF25" s="115" t="str">
        <f>=ROUND(DD25+CY25,2)</f>
      </c>
      <c r="DG25" s="143" t="str">
        <f>=ROUND(DE25+CZ25,2)</f>
      </c>
      <c r="DJ25" s="148" t="str">
        <f>=IFERROR(INDEX(Budget_ID_Liste, ROW() - 18), "")</f>
      </c>
      <c r="DK25" s="24"/>
      <c r="DL25" s="116" t="str">
        <f>=IFERROR(ROUND(DK25/FB_Kurs_17,2),0)</f>
      </c>
      <c r="DM25" s="115" t="str">
        <f>=ROUND(DK25+DF25,2)</f>
      </c>
      <c r="DN25" s="143" t="str">
        <f>=ROUND(DL25+DG25,2)</f>
      </c>
      <c r="DQ25" s="148" t="str">
        <f>=IFERROR(INDEX(Budget_ID_Liste, ROW() - 18), "")</f>
      </c>
      <c r="DR25" s="24"/>
      <c r="DS25" s="116" t="str">
        <f>=IFERROR(ROUND(DR25/FB_Kurs_18,2),0)</f>
      </c>
      <c r="DT25" s="115" t="str">
        <f>=ROUND(DR25+DM25,2)</f>
      </c>
      <c r="DU25" s="143" t="str">
        <f>=ROUND(DS25+DN25,2)</f>
      </c>
    </row>
    <row r="26">
      <c r="B26" s="148" t="str">
        <f>=IFERROR(INDEX(Budget_ID_Liste, ROW() - 18), "")</f>
      </c>
      <c r="C26" s="24"/>
      <c r="D26" s="116" t="str">
        <f>=IFERROR(ROUND(C26/FB_Kurs_1,2),0)</f>
      </c>
      <c r="E26" s="115" t="str">
        <f>=ROUND(C26,2)</f>
      </c>
      <c r="F26" s="143" t="str">
        <f>=ROUND(D26,2)</f>
      </c>
      <c r="I26" s="148" t="str">
        <f>=IFERROR(INDEX(Budget_ID_Liste, ROW() - 18), "")</f>
      </c>
      <c r="J26" s="24"/>
      <c r="K26" s="116" t="str">
        <f>=IFERROR(ROUND(J26/FB_Kurs_2,2),0)</f>
      </c>
      <c r="L26" s="115" t="str">
        <f>=ROUND(J26+E26,2)</f>
      </c>
      <c r="M26" s="143" t="str">
        <f>=ROUND(K26+F26,2)</f>
      </c>
      <c r="P26" s="148" t="str">
        <f>=IFERROR(INDEX(Budget_ID_Liste, ROW() - 18), "")</f>
      </c>
      <c r="Q26" s="24"/>
      <c r="R26" s="116" t="str">
        <f>=IFERROR(ROUND(Q26/FB_Kurs_3,2),0)</f>
      </c>
      <c r="S26" s="115" t="str">
        <f>=ROUND(Q26+L26,2)</f>
      </c>
      <c r="T26" s="143" t="str">
        <f>=ROUND(R26+M26,2)</f>
      </c>
      <c r="W26" s="148" t="str">
        <f>=IFERROR(INDEX(Budget_ID_Liste, ROW() - 18), "")</f>
      </c>
      <c r="X26" s="24"/>
      <c r="Y26" s="116" t="str">
        <f>=IFERROR(ROUND(X26/FB_Kurs_4,2),0)</f>
      </c>
      <c r="Z26" s="115" t="str">
        <f>=ROUND(X26+S26,2)</f>
      </c>
      <c r="AA26" s="143" t="str">
        <f>=ROUND(Y26+T26,2)</f>
      </c>
      <c r="AD26" s="148" t="str">
        <f>=IFERROR(INDEX(Budget_ID_Liste, ROW() - 18), "")</f>
      </c>
      <c r="AE26" s="24"/>
      <c r="AF26" s="116" t="str">
        <f>=IFERROR(ROUND(AE26/FB_Kurs_5,2),0)</f>
      </c>
      <c r="AG26" s="115" t="str">
        <f>=ROUND(AE26+Z26,2)</f>
      </c>
      <c r="AH26" s="143" t="str">
        <f>=ROUND(AF26+AA26,2)</f>
      </c>
      <c r="AK26" s="148" t="str">
        <f>=IFERROR(INDEX(Budget_ID_Liste, ROW() - 18), "")</f>
      </c>
      <c r="AL26" s="24"/>
      <c r="AM26" s="116" t="str">
        <f>=IFERROR(ROUND(AL26/FB_Kurs_6,2),0)</f>
      </c>
      <c r="AN26" s="115" t="str">
        <f>=ROUND(AL26+AG26,2)</f>
      </c>
      <c r="AO26" s="143" t="str">
        <f>=ROUND(AM26+AH26,2)</f>
      </c>
      <c r="AR26" s="148" t="str">
        <f>=IFERROR(INDEX(Budget_ID_Liste, ROW() - 18), "")</f>
      </c>
      <c r="AS26" s="24"/>
      <c r="AT26" s="116" t="str">
        <f>=IFERROR(ROUND(AS26/FB_Kurs_7,2),0)</f>
      </c>
      <c r="AU26" s="115" t="str">
        <f>=ROUND(AS26+AN26,2)</f>
      </c>
      <c r="AV26" s="143" t="str">
        <f>=ROUND(AT26+AO26,2)</f>
      </c>
      <c r="AY26" s="148" t="str">
        <f>=IFERROR(INDEX(Budget_ID_Liste, ROW() - 18), "")</f>
      </c>
      <c r="AZ26" s="24"/>
      <c r="BA26" s="116" t="str">
        <f>=IFERROR(ROUND(AZ26/FB_Kurs_8,2),0)</f>
      </c>
      <c r="BB26" s="115" t="str">
        <f>=ROUND(AZ26+AU26,2)</f>
      </c>
      <c r="BC26" s="143" t="str">
        <f>=ROUND(BA26+AV26,2)</f>
      </c>
      <c r="BF26" s="148" t="str">
        <f>=IFERROR(INDEX(Budget_ID_Liste, ROW() - 18), "")</f>
      </c>
      <c r="BG26" s="24"/>
      <c r="BH26" s="116" t="str">
        <f>=IFERROR(ROUND(BG26/FB_Kurs_9,2),0)</f>
      </c>
      <c r="BI26" s="115" t="str">
        <f>=ROUND(BG26+BB26,2)</f>
      </c>
      <c r="BJ26" s="143" t="str">
        <f>=ROUND(BH26+BC26,2)</f>
      </c>
      <c r="BM26" s="148" t="str">
        <f>=IFERROR(INDEX(Budget_ID_Liste, ROW() - 18), "")</f>
      </c>
      <c r="BN26" s="24"/>
      <c r="BO26" s="116" t="str">
        <f>=IFERROR(ROUND(BN26/FB_Kurs_10,2),0)</f>
      </c>
      <c r="BP26" s="115" t="str">
        <f>=ROUND(BN26+BI26,2)</f>
      </c>
      <c r="BQ26" s="143" t="str">
        <f>=ROUND(BO26+BJ26,2)</f>
      </c>
      <c r="BT26" s="148" t="str">
        <f>=IFERROR(INDEX(Budget_ID_Liste, ROW() - 18), "")</f>
      </c>
      <c r="BU26" s="24"/>
      <c r="BV26" s="116" t="str">
        <f>=IFERROR(ROUND(BU26/FB_Kurs_11,2),0)</f>
      </c>
      <c r="BW26" s="115" t="str">
        <f>=ROUND(BU26+BP26,2)</f>
      </c>
      <c r="BX26" s="143" t="str">
        <f>=ROUND(BV26+BQ26,2)</f>
      </c>
      <c r="CA26" s="148" t="str">
        <f>=IFERROR(INDEX(Budget_ID_Liste, ROW() - 18), "")</f>
      </c>
      <c r="CB26" s="24"/>
      <c r="CC26" s="116" t="str">
        <f>=IFERROR(ROUND(CB26/FB_Kurs_12,2),0)</f>
      </c>
      <c r="CD26" s="115" t="str">
        <f>=ROUND(CB26+BW26,2)</f>
      </c>
      <c r="CE26" s="143" t="str">
        <f>=ROUND(CC26+BX26,2)</f>
      </c>
      <c r="CH26" s="148" t="str">
        <f>=IFERROR(INDEX(Budget_ID_Liste, ROW() - 18), "")</f>
      </c>
      <c r="CI26" s="24"/>
      <c r="CJ26" s="116" t="str">
        <f>=IFERROR(ROUND(CI26/FB_Kurs_13,2),0)</f>
      </c>
      <c r="CK26" s="115" t="str">
        <f>=ROUND(CI26+CD26,2)</f>
      </c>
      <c r="CL26" s="143" t="str">
        <f>=ROUND(CJ26+CE26,2)</f>
      </c>
      <c r="CO26" s="148" t="str">
        <f>=IFERROR(INDEX(Budget_ID_Liste, ROW() - 18), "")</f>
      </c>
      <c r="CP26" s="24"/>
      <c r="CQ26" s="116" t="str">
        <f>=IFERROR(ROUND(CP26/FB_Kurs_14,2),0)</f>
      </c>
      <c r="CR26" s="115" t="str">
        <f>=ROUND(CP26+CK26,2)</f>
      </c>
      <c r="CS26" s="143" t="str">
        <f>=ROUND(CQ26+CL26,2)</f>
      </c>
      <c r="CV26" s="148" t="str">
        <f>=IFERROR(INDEX(Budget_ID_Liste, ROW() - 18), "")</f>
      </c>
      <c r="CW26" s="24"/>
      <c r="CX26" s="116" t="str">
        <f>=IFERROR(ROUND(CW26/FB_Kurs_15,2),0)</f>
      </c>
      <c r="CY26" s="115" t="str">
        <f>=ROUND(CW26+CR26,2)</f>
      </c>
      <c r="CZ26" s="143" t="str">
        <f>=ROUND(CX26+CS26,2)</f>
      </c>
      <c r="DC26" s="148" t="str">
        <f>=IFERROR(INDEX(Budget_ID_Liste, ROW() - 18), "")</f>
      </c>
      <c r="DD26" s="24"/>
      <c r="DE26" s="116" t="str">
        <f>=IFERROR(ROUND(DD26/FB_Kurs_16,2),0)</f>
      </c>
      <c r="DF26" s="115" t="str">
        <f>=ROUND(DD26+CY26,2)</f>
      </c>
      <c r="DG26" s="143" t="str">
        <f>=ROUND(DE26+CZ26,2)</f>
      </c>
      <c r="DJ26" s="148" t="str">
        <f>=IFERROR(INDEX(Budget_ID_Liste, ROW() - 18), "")</f>
      </c>
      <c r="DK26" s="24"/>
      <c r="DL26" s="116" t="str">
        <f>=IFERROR(ROUND(DK26/FB_Kurs_17,2),0)</f>
      </c>
      <c r="DM26" s="115" t="str">
        <f>=ROUND(DK26+DF26,2)</f>
      </c>
      <c r="DN26" s="143" t="str">
        <f>=ROUND(DL26+DG26,2)</f>
      </c>
      <c r="DQ26" s="148" t="str">
        <f>=IFERROR(INDEX(Budget_ID_Liste, ROW() - 18), "")</f>
      </c>
      <c r="DR26" s="24"/>
      <c r="DS26" s="116" t="str">
        <f>=IFERROR(ROUND(DR26/FB_Kurs_18,2),0)</f>
      </c>
      <c r="DT26" s="115" t="str">
        <f>=ROUND(DR26+DM26,2)</f>
      </c>
      <c r="DU26" s="143" t="str">
        <f>=ROUND(DS26+DN26,2)</f>
      </c>
    </row>
    <row r="27">
      <c r="B27" s="149" t="s">
        <v>287</v>
      </c>
      <c r="C27" s="123" t="str">
        <f>=ROUND(SUBTOTAL(109,$C$19:$C$26),2)</f>
      </c>
      <c r="D27" s="124" t="str">
        <f>=ROUND(SUBTOTAL(109,$D$19:$D$26),2)</f>
      </c>
      <c r="E27" s="123" t="str">
        <f>=ROUND(SUBTOTAL(109,$E$19:$E$26),2)</f>
      </c>
      <c r="F27" s="150" t="str">
        <f>=ROUND(SUBTOTAL(109,$F$19:$F$26),2)</f>
      </c>
      <c r="I27" s="149" t="s">
        <v>287</v>
      </c>
      <c r="J27" s="123" t="str">
        <f>=ROUND(SUBTOTAL(109,$J$19:$J$26),2)</f>
      </c>
      <c r="K27" s="124" t="str">
        <f>=ROUND(SUBTOTAL(109,$K$19:$K$26),2)</f>
      </c>
      <c r="L27" s="123" t="str">
        <f>=ROUND(SUBTOTAL(109,$L$19:$L$26),2)</f>
      </c>
      <c r="M27" s="150" t="str">
        <f>=ROUND(SUBTOTAL(109,$M$19:$M$26),2)</f>
      </c>
      <c r="P27" s="149" t="s">
        <v>287</v>
      </c>
      <c r="Q27" s="123" t="str">
        <f>=ROUND(SUBTOTAL(109,$Q$19:$Q$26),2)</f>
      </c>
      <c r="R27" s="124" t="str">
        <f>=ROUND(SUBTOTAL(109,$R$19:$R$26),2)</f>
      </c>
      <c r="S27" s="123" t="str">
        <f>=ROUND(SUBTOTAL(109,$S$19:$S$26),2)</f>
      </c>
      <c r="T27" s="150" t="str">
        <f>=ROUND(SUBTOTAL(109,$T$19:$T$26),2)</f>
      </c>
      <c r="W27" s="149" t="s">
        <v>287</v>
      </c>
      <c r="X27" s="123" t="str">
        <f>=ROUND(SUBTOTAL(109,$X$19:$X$26),2)</f>
      </c>
      <c r="Y27" s="124" t="str">
        <f>=ROUND(SUBTOTAL(109,$Y$19:$Y$26),2)</f>
      </c>
      <c r="Z27" s="123" t="str">
        <f>=ROUND(SUBTOTAL(109,$Z$19:$Z$26),2)</f>
      </c>
      <c r="AA27" s="150" t="str">
        <f>=ROUND(SUBTOTAL(109,$AA$19:$AA$26),2)</f>
      </c>
      <c r="AD27" s="149" t="s">
        <v>287</v>
      </c>
      <c r="AE27" s="123" t="str">
        <f>=ROUND(SUBTOTAL(109,$AE$19:$AE$26),2)</f>
      </c>
      <c r="AF27" s="124" t="str">
        <f>=ROUND(SUBTOTAL(109,$AF$19:$AF$26),2)</f>
      </c>
      <c r="AG27" s="123" t="str">
        <f>=ROUND(SUBTOTAL(109,$AG$19:$AG$26),2)</f>
      </c>
      <c r="AH27" s="150" t="str">
        <f>=ROUND(SUBTOTAL(109,$AH$19:$AH$26),2)</f>
      </c>
      <c r="AK27" s="149" t="s">
        <v>287</v>
      </c>
      <c r="AL27" s="123" t="str">
        <f>=ROUND(SUBTOTAL(109,$AL$19:$AL$26),2)</f>
      </c>
      <c r="AM27" s="124" t="str">
        <f>=ROUND(SUBTOTAL(109,$AM$19:$AM$26),2)</f>
      </c>
      <c r="AN27" s="123" t="str">
        <f>=ROUND(SUBTOTAL(109,$AN$19:$AN$26),2)</f>
      </c>
      <c r="AO27" s="150" t="str">
        <f>=ROUND(SUBTOTAL(109,$AO$19:$AO$26),2)</f>
      </c>
      <c r="AR27" s="149" t="s">
        <v>287</v>
      </c>
      <c r="AS27" s="123" t="str">
        <f>=ROUND(SUBTOTAL(109,$AS$19:$AS$26),2)</f>
      </c>
      <c r="AT27" s="124" t="str">
        <f>=ROUND(SUBTOTAL(109,$AT$19:$AT$26),2)</f>
      </c>
      <c r="AU27" s="123" t="str">
        <f>=ROUND(SUBTOTAL(109,$AU$19:$AU$26),2)</f>
      </c>
      <c r="AV27" s="150" t="str">
        <f>=ROUND(SUBTOTAL(109,$AV$19:$AV$26),2)</f>
      </c>
      <c r="AY27" s="149" t="s">
        <v>287</v>
      </c>
      <c r="AZ27" s="123" t="str">
        <f>=ROUND(SUBTOTAL(109,$AZ$19:$AZ$26),2)</f>
      </c>
      <c r="BA27" s="124" t="str">
        <f>=ROUND(SUBTOTAL(109,$BA$19:$BA$26),2)</f>
      </c>
      <c r="BB27" s="123" t="str">
        <f>=ROUND(SUBTOTAL(109,$BB$19:$BB$26),2)</f>
      </c>
      <c r="BC27" s="150" t="str">
        <f>=ROUND(SUBTOTAL(109,$BC$19:$BC$26),2)</f>
      </c>
      <c r="BF27" s="149" t="s">
        <v>287</v>
      </c>
      <c r="BG27" s="123" t="str">
        <f>=ROUND(SUBTOTAL(109,$BG$19:$BG$26),2)</f>
      </c>
      <c r="BH27" s="124" t="str">
        <f>=ROUND(SUBTOTAL(109,$BH$19:$BH$26),2)</f>
      </c>
      <c r="BI27" s="123" t="str">
        <f>=ROUND(SUBTOTAL(109,$BI$19:$BI$26),2)</f>
      </c>
      <c r="BJ27" s="150" t="str">
        <f>=ROUND(SUBTOTAL(109,$BJ$19:$BJ$26),2)</f>
      </c>
      <c r="BM27" s="149" t="s">
        <v>287</v>
      </c>
      <c r="BN27" s="123" t="str">
        <f>=ROUND(SUBTOTAL(109,$BN$19:$BN$26),2)</f>
      </c>
      <c r="BO27" s="124" t="str">
        <f>=ROUND(SUBTOTAL(109,$BO$19:$BO$26),2)</f>
      </c>
      <c r="BP27" s="123" t="str">
        <f>=ROUND(SUBTOTAL(109,$BP$19:$BP$26),2)</f>
      </c>
      <c r="BQ27" s="150" t="str">
        <f>=ROUND(SUBTOTAL(109,$BQ$19:$BQ$26),2)</f>
      </c>
      <c r="BT27" s="149" t="s">
        <v>287</v>
      </c>
      <c r="BU27" s="123" t="str">
        <f>=ROUND(SUBTOTAL(109,$BU$19:$BU$26),2)</f>
      </c>
      <c r="BV27" s="124" t="str">
        <f>=ROUND(SUBTOTAL(109,$BV$19:$BV$26),2)</f>
      </c>
      <c r="BW27" s="123" t="str">
        <f>=ROUND(SUBTOTAL(109,$BW$19:$BW$26),2)</f>
      </c>
      <c r="BX27" s="150" t="str">
        <f>=ROUND(SUBTOTAL(109,$BX$19:$BX$26),2)</f>
      </c>
      <c r="CA27" s="149" t="s">
        <v>287</v>
      </c>
      <c r="CB27" s="123" t="str">
        <f>=ROUND(SUBTOTAL(109,$CB$19:$CB$26),2)</f>
      </c>
      <c r="CC27" s="124" t="str">
        <f>=ROUND(SUBTOTAL(109,$CC$19:$CC$26),2)</f>
      </c>
      <c r="CD27" s="123" t="str">
        <f>=ROUND(SUBTOTAL(109,$CD$19:$CD$26),2)</f>
      </c>
      <c r="CE27" s="150" t="str">
        <f>=ROUND(SUBTOTAL(109,$CE$19:$CE$26),2)</f>
      </c>
      <c r="CH27" s="149" t="s">
        <v>287</v>
      </c>
      <c r="CI27" s="123" t="str">
        <f>=ROUND(SUBTOTAL(109,$CI$19:$CI$26),2)</f>
      </c>
      <c r="CJ27" s="124" t="str">
        <f>=ROUND(SUBTOTAL(109,$CJ$19:$CJ$26),2)</f>
      </c>
      <c r="CK27" s="123" t="str">
        <f>=ROUND(SUBTOTAL(109,$CK$19:$CK$26),2)</f>
      </c>
      <c r="CL27" s="150" t="str">
        <f>=ROUND(SUBTOTAL(109,$CL$19:$CL$26),2)</f>
      </c>
      <c r="CO27" s="149" t="s">
        <v>287</v>
      </c>
      <c r="CP27" s="123" t="str">
        <f>=ROUND(SUBTOTAL(109,$CP$19:$CP$26),2)</f>
      </c>
      <c r="CQ27" s="124" t="str">
        <f>=ROUND(SUBTOTAL(109,$CQ$19:$CQ$26),2)</f>
      </c>
      <c r="CR27" s="123" t="str">
        <f>=ROUND(SUBTOTAL(109,$CR$19:$CR$26),2)</f>
      </c>
      <c r="CS27" s="150" t="str">
        <f>=ROUND(SUBTOTAL(109,$CS$19:$CS$26),2)</f>
      </c>
      <c r="CV27" s="149" t="s">
        <v>287</v>
      </c>
      <c r="CW27" s="123" t="str">
        <f>=ROUND(SUBTOTAL(109,$CW$19:$CW$26),2)</f>
      </c>
      <c r="CX27" s="124" t="str">
        <f>=ROUND(SUBTOTAL(109,$CX$19:$CX$26),2)</f>
      </c>
      <c r="CY27" s="123" t="str">
        <f>=ROUND(SUBTOTAL(109,$CY$19:$CY$26),2)</f>
      </c>
      <c r="CZ27" s="150" t="str">
        <f>=ROUND(SUBTOTAL(109,$CZ$19:$CZ$26),2)</f>
      </c>
      <c r="DC27" s="149" t="s">
        <v>287</v>
      </c>
      <c r="DD27" s="123" t="str">
        <f>=ROUND(SUBTOTAL(109,$DD$19:$DD$26),2)</f>
      </c>
      <c r="DE27" s="124" t="str">
        <f>=ROUND(SUBTOTAL(109,$DE$19:$DE$26),2)</f>
      </c>
      <c r="DF27" s="123" t="str">
        <f>=ROUND(SUBTOTAL(109,$DF$19:$DF$26),2)</f>
      </c>
      <c r="DG27" s="150" t="str">
        <f>=ROUND(SUBTOTAL(109,$DG$19:$DG$26),2)</f>
      </c>
      <c r="DJ27" s="149" t="s">
        <v>287</v>
      </c>
      <c r="DK27" s="123" t="str">
        <f>=ROUND(SUBTOTAL(109,$DK$19:$DK$26),2)</f>
      </c>
      <c r="DL27" s="124" t="str">
        <f>=ROUND(SUBTOTAL(109,$DL$19:$DL$26),2)</f>
      </c>
      <c r="DM27" s="123" t="str">
        <f>=ROUND(SUBTOTAL(109,$DM$19:$DM$26),2)</f>
      </c>
      <c r="DN27" s="150" t="str">
        <f>=ROUND(SUBTOTAL(109,$DN$19:$DN$26),2)</f>
      </c>
      <c r="DQ27" s="149" t="s">
        <v>287</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288</v>
      </c>
      <c r="C29" s="125" t="str">
        <f>=ROUND(IFERROR(C16-$C$27,""),2)</f>
      </c>
      <c r="D29" s="126" t="str">
        <f>=ROUND(IFERROR(D16-$D$27,""),2)</f>
      </c>
      <c r="E29" s="125" t="str">
        <f>=ROUND(IFERROR(E16-E27,""),2)</f>
      </c>
      <c r="F29" s="151" t="str">
        <f>=ROUND(IFERROR(F16-F27,""),2)</f>
      </c>
      <c r="I29" s="137" t="s">
        <v>288</v>
      </c>
      <c r="J29" s="125" t="str">
        <f>=ROUND(IFERROR(J16-$J$27,""),2)</f>
      </c>
      <c r="K29" s="126" t="str">
        <f>=ROUND(IFERROR(K16-$K$27,""),2)</f>
      </c>
      <c r="L29" s="125" t="str">
        <f>=ROUND(IFERROR(L16-L27,""),2)</f>
      </c>
      <c r="M29" s="151" t="str">
        <f>=ROUND(IFERROR(M16-M27,""),2)</f>
      </c>
      <c r="P29" s="137" t="s">
        <v>288</v>
      </c>
      <c r="Q29" s="125" t="str">
        <f>=ROUND(IFERROR(Q16-$Q$27,""),2)</f>
      </c>
      <c r="R29" s="126" t="str">
        <f>=ROUND(IFERROR(R16-$R$27,""),2)</f>
      </c>
      <c r="S29" s="125" t="str">
        <f>=ROUND(IFERROR(S16-S27,""),2)</f>
      </c>
      <c r="T29" s="151" t="str">
        <f>=ROUND(IFERROR(T16-T27,""),2)</f>
      </c>
      <c r="W29" s="137" t="s">
        <v>288</v>
      </c>
      <c r="X29" s="125" t="str">
        <f>=ROUND(IFERROR(X16-$X$27,""),2)</f>
      </c>
      <c r="Y29" s="126" t="str">
        <f>=ROUND(IFERROR(Y16-$Y$27,""),2)</f>
      </c>
      <c r="Z29" s="125" t="str">
        <f>=ROUND(IFERROR(Z16-Z27,""),2)</f>
      </c>
      <c r="AA29" s="151" t="str">
        <f>=ROUND(IFERROR(AA16-AA27,""),2)</f>
      </c>
      <c r="AD29" s="137" t="s">
        <v>288</v>
      </c>
      <c r="AE29" s="125" t="str">
        <f>=ROUND(IFERROR(AE16-$AE$27,""),2)</f>
      </c>
      <c r="AF29" s="126" t="str">
        <f>=ROUND(IFERROR(AF16-$AF$27,""),2)</f>
      </c>
      <c r="AG29" s="125" t="str">
        <f>=ROUND(IFERROR(AG16-AG27,""),2)</f>
      </c>
      <c r="AH29" s="151" t="str">
        <f>=ROUND(IFERROR(AH16-AH27,""),2)</f>
      </c>
      <c r="AK29" s="137" t="s">
        <v>288</v>
      </c>
      <c r="AL29" s="125" t="str">
        <f>=ROUND(IFERROR(AL16-$AL$27,""),2)</f>
      </c>
      <c r="AM29" s="126" t="str">
        <f>=ROUND(IFERROR(AM16-$AM$27,""),2)</f>
      </c>
      <c r="AN29" s="125" t="str">
        <f>=ROUND(IFERROR(AN16-AN27,""),2)</f>
      </c>
      <c r="AO29" s="151" t="str">
        <f>=ROUND(IFERROR(AO16-AO27,""),2)</f>
      </c>
      <c r="AR29" s="137" t="s">
        <v>288</v>
      </c>
      <c r="AS29" s="125" t="str">
        <f>=ROUND(IFERROR(AS16-$AS$27,""),2)</f>
      </c>
      <c r="AT29" s="126" t="str">
        <f>=ROUND(IFERROR(AT16-$AT$27,""),2)</f>
      </c>
      <c r="AU29" s="125" t="str">
        <f>=ROUND(IFERROR(AU16-AU27,""),2)</f>
      </c>
      <c r="AV29" s="151" t="str">
        <f>=ROUND(IFERROR(AV16-AV27,""),2)</f>
      </c>
      <c r="AY29" s="137" t="s">
        <v>288</v>
      </c>
      <c r="AZ29" s="125" t="str">
        <f>=ROUND(IFERROR(AZ16-$AZ$27,""),2)</f>
      </c>
      <c r="BA29" s="126" t="str">
        <f>=ROUND(IFERROR(BA16-$BA$27,""),2)</f>
      </c>
      <c r="BB29" s="125" t="str">
        <f>=ROUND(IFERROR(BB16-BB27,""),2)</f>
      </c>
      <c r="BC29" s="151" t="str">
        <f>=ROUND(IFERROR(BC16-BC27,""),2)</f>
      </c>
      <c r="BF29" s="137" t="s">
        <v>288</v>
      </c>
      <c r="BG29" s="125" t="str">
        <f>=ROUND(IFERROR(BG16-$BG$27,""),2)</f>
      </c>
      <c r="BH29" s="126" t="str">
        <f>=ROUND(IFERROR(BH16-$BH$27,""),2)</f>
      </c>
      <c r="BI29" s="125" t="str">
        <f>=ROUND(IFERROR(BI16-BI27,""),2)</f>
      </c>
      <c r="BJ29" s="151" t="str">
        <f>=ROUND(IFERROR(BJ16-BJ27,""),2)</f>
      </c>
      <c r="BM29" s="137" t="s">
        <v>288</v>
      </c>
      <c r="BN29" s="125" t="str">
        <f>=ROUND(IFERROR(BN16-$BN$27,""),2)</f>
      </c>
      <c r="BO29" s="126" t="str">
        <f>=ROUND(IFERROR(BO16-$BO$27,""),2)</f>
      </c>
      <c r="BP29" s="125" t="str">
        <f>=ROUND(IFERROR(BP16-BP27,""),2)</f>
      </c>
      <c r="BQ29" s="151" t="str">
        <f>=ROUND(IFERROR(BQ16-BQ27,""),2)</f>
      </c>
      <c r="BT29" s="137" t="s">
        <v>288</v>
      </c>
      <c r="BU29" s="125" t="str">
        <f>=ROUND(IFERROR(BU16-$BU$27,""),2)</f>
      </c>
      <c r="BV29" s="126" t="str">
        <f>=ROUND(IFERROR(BV16-$BV$27,""),2)</f>
      </c>
      <c r="BW29" s="125" t="str">
        <f>=ROUND(IFERROR(BW16-BW27,""),2)</f>
      </c>
      <c r="BX29" s="151" t="str">
        <f>=ROUND(IFERROR(BX16-BX27,""),2)</f>
      </c>
      <c r="CA29" s="137" t="s">
        <v>288</v>
      </c>
      <c r="CB29" s="125" t="str">
        <f>=ROUND(IFERROR(CB16-$CB$27,""),2)</f>
      </c>
      <c r="CC29" s="126" t="str">
        <f>=ROUND(IFERROR(CC16-$CC$27,""),2)</f>
      </c>
      <c r="CD29" s="125" t="str">
        <f>=ROUND(IFERROR(CD16-CD27,""),2)</f>
      </c>
      <c r="CE29" s="151" t="str">
        <f>=ROUND(IFERROR(CE16-CE27,""),2)</f>
      </c>
      <c r="CH29" s="137" t="s">
        <v>288</v>
      </c>
      <c r="CI29" s="125" t="str">
        <f>=ROUND(IFERROR(CI16-$CI$27,""),2)</f>
      </c>
      <c r="CJ29" s="126" t="str">
        <f>=ROUND(IFERROR(CJ16-$CJ$27,""),2)</f>
      </c>
      <c r="CK29" s="125" t="str">
        <f>=ROUND(IFERROR(CK16-CK27,""),2)</f>
      </c>
      <c r="CL29" s="151" t="str">
        <f>=ROUND(IFERROR(CL16-CL27,""),2)</f>
      </c>
      <c r="CO29" s="137" t="s">
        <v>288</v>
      </c>
      <c r="CP29" s="125" t="str">
        <f>=ROUND(IFERROR(CP16-$CP$27,""),2)</f>
      </c>
      <c r="CQ29" s="126" t="str">
        <f>=ROUND(IFERROR(CQ16-$CQ$27,""),2)</f>
      </c>
      <c r="CR29" s="125" t="str">
        <f>=ROUND(IFERROR(CR16-CR27,""),2)</f>
      </c>
      <c r="CS29" s="151" t="str">
        <f>=ROUND(IFERROR(CS16-CS27,""),2)</f>
      </c>
      <c r="CV29" s="137" t="s">
        <v>288</v>
      </c>
      <c r="CW29" s="125" t="str">
        <f>=ROUND(IFERROR(CW16-$CW$27,""),2)</f>
      </c>
      <c r="CX29" s="126" t="str">
        <f>=ROUND(IFERROR(CX16-$CX$27,""),2)</f>
      </c>
      <c r="CY29" s="125" t="str">
        <f>=ROUND(IFERROR(CY16-CY27,""),2)</f>
      </c>
      <c r="CZ29" s="151" t="str">
        <f>=ROUND(IFERROR(CZ16-CZ27,""),2)</f>
      </c>
      <c r="DC29" s="137" t="s">
        <v>288</v>
      </c>
      <c r="DD29" s="125" t="str">
        <f>=ROUND(IFERROR(DD16-$DD$27,""),2)</f>
      </c>
      <c r="DE29" s="126" t="str">
        <f>=ROUND(IFERROR(DE16-$DE$27,""),2)</f>
      </c>
      <c r="DF29" s="125" t="str">
        <f>=ROUND(IFERROR(DF16-DF27,""),2)</f>
      </c>
      <c r="DG29" s="151" t="str">
        <f>=ROUND(IFERROR(DG16-DG27,""),2)</f>
      </c>
      <c r="DJ29" s="137" t="s">
        <v>288</v>
      </c>
      <c r="DK29" s="125" t="str">
        <f>=ROUND(IFERROR(DK16-$DK$27,""),2)</f>
      </c>
      <c r="DL29" s="126" t="str">
        <f>=ROUND(IFERROR(DL16-$DL$27,""),2)</f>
      </c>
      <c r="DM29" s="125" t="str">
        <f>=ROUND(IFERROR(DM16-DM27,""),2)</f>
      </c>
      <c r="DN29" s="151" t="str">
        <f>=ROUND(IFERROR(DN16-DN27,""),2)</f>
      </c>
      <c r="DQ29" s="137" t="s">
        <v>288</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289</v>
      </c>
      <c r="F31" s="48"/>
      <c r="I31" s="152" t="s">
        <v>289</v>
      </c>
      <c r="M31" s="48"/>
      <c r="P31" s="152" t="s">
        <v>289</v>
      </c>
      <c r="T31" s="48"/>
      <c r="W31" s="152" t="s">
        <v>289</v>
      </c>
      <c r="AA31" s="48"/>
      <c r="AD31" s="152" t="s">
        <v>289</v>
      </c>
      <c r="AH31" s="48"/>
      <c r="AK31" s="152" t="s">
        <v>289</v>
      </c>
      <c r="AO31" s="48"/>
      <c r="AR31" s="152" t="s">
        <v>289</v>
      </c>
      <c r="AV31" s="48"/>
      <c r="AY31" s="152" t="s">
        <v>289</v>
      </c>
      <c r="BC31" s="48"/>
      <c r="BF31" s="152" t="s">
        <v>289</v>
      </c>
      <c r="BJ31" s="48"/>
      <c r="BM31" s="152" t="s">
        <v>289</v>
      </c>
      <c r="BQ31" s="48"/>
      <c r="BT31" s="152" t="s">
        <v>289</v>
      </c>
      <c r="BX31" s="48"/>
      <c r="CA31" s="152" t="s">
        <v>289</v>
      </c>
      <c r="CE31" s="48"/>
      <c r="CH31" s="152" t="s">
        <v>289</v>
      </c>
      <c r="CL31" s="48"/>
      <c r="CO31" s="152" t="s">
        <v>289</v>
      </c>
      <c r="CS31" s="48"/>
      <c r="CV31" s="152" t="s">
        <v>289</v>
      </c>
      <c r="CZ31" s="48"/>
      <c r="DC31" s="152" t="s">
        <v>289</v>
      </c>
      <c r="DG31" s="48"/>
      <c r="DJ31" s="152" t="s">
        <v>289</v>
      </c>
      <c r="DN31" s="48"/>
      <c r="DQ31" s="152" t="s">
        <v>289</v>
      </c>
      <c r="DU31" s="48"/>
    </row>
    <row r="32">
      <c r="B32" s="153" t="s">
        <v>290</v>
      </c>
      <c r="C32" s="128"/>
      <c r="D32" s="129" t="str">
        <f>=IF(C32=0, 0, IF(ROUND(SUM(C33:C34), 2)=0, ROUND(D29 - 0, 2), ROUND(C32 / ROUND(SUM(C32:C34), 2) * D29, 2)))</f>
      </c>
      <c r="F32" s="48"/>
      <c r="I32" s="153" t="s">
        <v>290</v>
      </c>
      <c r="J32" s="128"/>
      <c r="K32" s="129" t="str">
        <f>=IF(J32=0, 0, IF(ROUND(SUM(J33:J34), 2)=0, ROUND(K29 - 0, 2), ROUND(J32 / ROUND(SUM(J32:J34), 2) * K29, 2)))</f>
      </c>
      <c r="M32" s="48"/>
      <c r="P32" s="153" t="s">
        <v>290</v>
      </c>
      <c r="Q32" s="128"/>
      <c r="R32" s="129" t="str">
        <f>=IF(Q32=0, 0, IF(ROUND(SUM(Q33:Q34), 2)=0, ROUND(R29 - 0, 2), ROUND(Q32 / ROUND(SUM(Q32:Q34), 2) * R29, 2)))</f>
      </c>
      <c r="T32" s="48"/>
      <c r="W32" s="153" t="s">
        <v>290</v>
      </c>
      <c r="X32" s="128"/>
      <c r="Y32" s="129" t="str">
        <f>=IF(X32=0, 0, IF(ROUND(SUM(X33:X34), 2)=0, ROUND(Y29 - 0, 2), ROUND(X32 / ROUND(SUM(X32:X34), 2) * Y29, 2)))</f>
      </c>
      <c r="AA32" s="48"/>
      <c r="AD32" s="153" t="s">
        <v>290</v>
      </c>
      <c r="AE32" s="128"/>
      <c r="AF32" s="129" t="str">
        <f>=IF(AE32=0, 0, IF(ROUND(SUM(AE33:AE34), 2)=0, ROUND(AF29 - 0, 2), ROUND(AE32 / ROUND(SUM(AE32:AE34), 2) * AF29, 2)))</f>
      </c>
      <c r="AH32" s="48"/>
      <c r="AK32" s="153" t="s">
        <v>290</v>
      </c>
      <c r="AL32" s="128"/>
      <c r="AM32" s="129" t="str">
        <f>=IF(AL32=0, 0, IF(ROUND(SUM(AL33:AL34), 2)=0, ROUND(AM29 - 0, 2), ROUND(AL32 / ROUND(SUM(AL32:AL34), 2) * AM29, 2)))</f>
      </c>
      <c r="AO32" s="48"/>
      <c r="AR32" s="153" t="s">
        <v>290</v>
      </c>
      <c r="AS32" s="128"/>
      <c r="AT32" s="129" t="str">
        <f>=IF(AS32=0, 0, IF(ROUND(SUM(AS33:AS34), 2)=0, ROUND(AT29 - 0, 2), ROUND(AS32 / ROUND(SUM(AS32:AS34), 2) * AT29, 2)))</f>
      </c>
      <c r="AV32" s="48"/>
      <c r="AY32" s="153" t="s">
        <v>290</v>
      </c>
      <c r="AZ32" s="128"/>
      <c r="BA32" s="129" t="str">
        <f>=IF(AZ32=0, 0, IF(ROUND(SUM(AZ33:AZ34), 2)=0, ROUND(BA29 - 0, 2), ROUND(AZ32 / ROUND(SUM(AZ32:AZ34), 2) * BA29, 2)))</f>
      </c>
      <c r="BC32" s="48"/>
      <c r="BF32" s="153" t="s">
        <v>290</v>
      </c>
      <c r="BG32" s="128"/>
      <c r="BH32" s="129" t="str">
        <f>=IF(BG32=0, 0, IF(ROUND(SUM(BG33:BG34), 2)=0, ROUND(BH29 - 0, 2), ROUND(BG32 / ROUND(SUM(BG32:BG34), 2) * BH29, 2)))</f>
      </c>
      <c r="BJ32" s="48"/>
      <c r="BM32" s="153" t="s">
        <v>290</v>
      </c>
      <c r="BN32" s="128"/>
      <c r="BO32" s="129" t="str">
        <f>=IF(BN32=0, 0, IF(ROUND(SUM(BN33:BN34), 2)=0, ROUND(BO29 - 0, 2), ROUND(BN32 / ROUND(SUM(BN32:BN34), 2) * BO29, 2)))</f>
      </c>
      <c r="BQ32" s="48"/>
      <c r="BT32" s="153" t="s">
        <v>290</v>
      </c>
      <c r="BU32" s="128"/>
      <c r="BV32" s="129" t="str">
        <f>=IF(BU32=0, 0, IF(ROUND(SUM(BU33:BU34), 2)=0, ROUND(BV29 - 0, 2), ROUND(BU32 / ROUND(SUM(BU32:BU34), 2) * BV29, 2)))</f>
      </c>
      <c r="BX32" s="48"/>
      <c r="CA32" s="153" t="s">
        <v>290</v>
      </c>
      <c r="CB32" s="128"/>
      <c r="CC32" s="129" t="str">
        <f>=IF(CB32=0, 0, IF(ROUND(SUM(CB33:CB34), 2)=0, ROUND(CC29 - 0, 2), ROUND(CB32 / ROUND(SUM(CB32:CB34), 2) * CC29, 2)))</f>
      </c>
      <c r="CE32" s="48"/>
      <c r="CH32" s="153" t="s">
        <v>290</v>
      </c>
      <c r="CI32" s="128"/>
      <c r="CJ32" s="129" t="str">
        <f>=IF(CI32=0, 0, IF(ROUND(SUM(CI33:CI34), 2)=0, ROUND(CJ29 - 0, 2), ROUND(CI32 / ROUND(SUM(CI32:CI34), 2) * CJ29, 2)))</f>
      </c>
      <c r="CL32" s="48"/>
      <c r="CO32" s="153" t="s">
        <v>290</v>
      </c>
      <c r="CP32" s="128"/>
      <c r="CQ32" s="129" t="str">
        <f>=IF(CP32=0, 0, IF(ROUND(SUM(CP33:CP34), 2)=0, ROUND(CQ29 - 0, 2), ROUND(CP32 / ROUND(SUM(CP32:CP34), 2) * CQ29, 2)))</f>
      </c>
      <c r="CS32" s="48"/>
      <c r="CV32" s="153" t="s">
        <v>290</v>
      </c>
      <c r="CW32" s="128"/>
      <c r="CX32" s="129" t="str">
        <f>=IF(CW32=0, 0, IF(ROUND(SUM(CW33:CW34), 2)=0, ROUND(CX29 - 0, 2), ROUND(CW32 / ROUND(SUM(CW32:CW34), 2) * CX29, 2)))</f>
      </c>
      <c r="CZ32" s="48"/>
      <c r="DC32" s="153" t="s">
        <v>290</v>
      </c>
      <c r="DD32" s="128"/>
      <c r="DE32" s="129" t="str">
        <f>=IF(DD32=0, 0, IF(ROUND(SUM(DD33:DD34), 2)=0, ROUND(DE29 - 0, 2), ROUND(DD32 / ROUND(SUM(DD32:DD34), 2) * DE29, 2)))</f>
      </c>
      <c r="DG32" s="48"/>
      <c r="DJ32" s="153" t="s">
        <v>290</v>
      </c>
      <c r="DK32" s="128"/>
      <c r="DL32" s="129" t="str">
        <f>=IF(DK32=0, 0, IF(ROUND(SUM(DK33:DK34), 2)=0, ROUND(DL29 - 0, 2), ROUND(DK32 / ROUND(SUM(DK32:DK34), 2) * DL29, 2)))</f>
      </c>
      <c r="DN32" s="48"/>
      <c r="DQ32" s="153" t="s">
        <v>290</v>
      </c>
      <c r="DR32" s="128"/>
      <c r="DS32" s="129" t="str">
        <f>=IF(DR32=0, 0, IF(ROUND(SUM(DR33:DR34), 2)=0, ROUND(DS29 - 0, 2), ROUND(DR32 / ROUND(SUM(DR32:DR34), 2) * DS29, 2)))</f>
      </c>
      <c r="DU32" s="48"/>
    </row>
    <row r="33">
      <c r="B33" s="153" t="s">
        <v>291</v>
      </c>
      <c r="C33" s="128"/>
      <c r="D33" s="129" t="str">
        <f>=IF(C33=0, 0, IF(ROUND(SUM(C34:C34), 2)=0, ROUND(D29 - SUM(D32:D32), 2), ROUND(C33 / ROUND(SUM(C32:C34), 2) * D29, 2)))</f>
      </c>
      <c r="F33" s="48"/>
      <c r="I33" s="153" t="s">
        <v>291</v>
      </c>
      <c r="J33" s="128"/>
      <c r="K33" s="129" t="str">
        <f>=IF(J33=0, 0, IF(ROUND(SUM(J34:J34), 2)=0, ROUND(K29 - SUM(K32:K32), 2), ROUND(J33 / ROUND(SUM(J32:J34), 2) * K29, 2)))</f>
      </c>
      <c r="M33" s="48"/>
      <c r="P33" s="153" t="s">
        <v>291</v>
      </c>
      <c r="Q33" s="128"/>
      <c r="R33" s="129" t="str">
        <f>=IF(Q33=0, 0, IF(ROUND(SUM(Q34:Q34), 2)=0, ROUND(R29 - SUM(R32:R32), 2), ROUND(Q33 / ROUND(SUM(Q32:Q34), 2) * R29, 2)))</f>
      </c>
      <c r="T33" s="48"/>
      <c r="W33" s="153" t="s">
        <v>291</v>
      </c>
      <c r="X33" s="128"/>
      <c r="Y33" s="129" t="str">
        <f>=IF(X33=0, 0, IF(ROUND(SUM(X34:X34), 2)=0, ROUND(Y29 - SUM(Y32:Y32), 2), ROUND(X33 / ROUND(SUM(X32:X34), 2) * Y29, 2)))</f>
      </c>
      <c r="AA33" s="48"/>
      <c r="AD33" s="153" t="s">
        <v>291</v>
      </c>
      <c r="AE33" s="128"/>
      <c r="AF33" s="129" t="str">
        <f>=IF(AE33=0, 0, IF(ROUND(SUM(AE34:AE34), 2)=0, ROUND(AF29 - SUM(AF32:AF32), 2), ROUND(AE33 / ROUND(SUM(AE32:AE34), 2) * AF29, 2)))</f>
      </c>
      <c r="AH33" s="48"/>
      <c r="AK33" s="153" t="s">
        <v>291</v>
      </c>
      <c r="AL33" s="128"/>
      <c r="AM33" s="129" t="str">
        <f>=IF(AL33=0, 0, IF(ROUND(SUM(AL34:AL34), 2)=0, ROUND(AM29 - SUM(AM32:AM32), 2), ROUND(AL33 / ROUND(SUM(AL32:AL34), 2) * AM29, 2)))</f>
      </c>
      <c r="AO33" s="48"/>
      <c r="AR33" s="153" t="s">
        <v>291</v>
      </c>
      <c r="AS33" s="128"/>
      <c r="AT33" s="129" t="str">
        <f>=IF(AS33=0, 0, IF(ROUND(SUM(AS34:AS34), 2)=0, ROUND(AT29 - SUM(AT32:AT32), 2), ROUND(AS33 / ROUND(SUM(AS32:AS34), 2) * AT29, 2)))</f>
      </c>
      <c r="AV33" s="48"/>
      <c r="AY33" s="153" t="s">
        <v>291</v>
      </c>
      <c r="AZ33" s="128"/>
      <c r="BA33" s="129" t="str">
        <f>=IF(AZ33=0, 0, IF(ROUND(SUM(AZ34:AZ34), 2)=0, ROUND(BA29 - SUM(BA32:BA32), 2), ROUND(AZ33 / ROUND(SUM(AZ32:AZ34), 2) * BA29, 2)))</f>
      </c>
      <c r="BC33" s="48"/>
      <c r="BF33" s="153" t="s">
        <v>291</v>
      </c>
      <c r="BG33" s="128"/>
      <c r="BH33" s="129" t="str">
        <f>=IF(BG33=0, 0, IF(ROUND(SUM(BG34:BG34), 2)=0, ROUND(BH29 - SUM(BH32:BH32), 2), ROUND(BG33 / ROUND(SUM(BG32:BG34), 2) * BH29, 2)))</f>
      </c>
      <c r="BJ33" s="48"/>
      <c r="BM33" s="153" t="s">
        <v>291</v>
      </c>
      <c r="BN33" s="128"/>
      <c r="BO33" s="129" t="str">
        <f>=IF(BN33=0, 0, IF(ROUND(SUM(BN34:BN34), 2)=0, ROUND(BO29 - SUM(BO32:BO32), 2), ROUND(BN33 / ROUND(SUM(BN32:BN34), 2) * BO29, 2)))</f>
      </c>
      <c r="BQ33" s="48"/>
      <c r="BT33" s="153" t="s">
        <v>291</v>
      </c>
      <c r="BU33" s="128"/>
      <c r="BV33" s="129" t="str">
        <f>=IF(BU33=0, 0, IF(ROUND(SUM(BU34:BU34), 2)=0, ROUND(BV29 - SUM(BV32:BV32), 2), ROUND(BU33 / ROUND(SUM(BU32:BU34), 2) * BV29, 2)))</f>
      </c>
      <c r="BX33" s="48"/>
      <c r="CA33" s="153" t="s">
        <v>291</v>
      </c>
      <c r="CB33" s="128"/>
      <c r="CC33" s="129" t="str">
        <f>=IF(CB33=0, 0, IF(ROUND(SUM(CB34:CB34), 2)=0, ROUND(CC29 - SUM(CC32:CC32), 2), ROUND(CB33 / ROUND(SUM(CB32:CB34), 2) * CC29, 2)))</f>
      </c>
      <c r="CE33" s="48"/>
      <c r="CH33" s="153" t="s">
        <v>291</v>
      </c>
      <c r="CI33" s="128"/>
      <c r="CJ33" s="129" t="str">
        <f>=IF(CI33=0, 0, IF(ROUND(SUM(CI34:CI34), 2)=0, ROUND(CJ29 - SUM(CJ32:CJ32), 2), ROUND(CI33 / ROUND(SUM(CI32:CI34), 2) * CJ29, 2)))</f>
      </c>
      <c r="CL33" s="48"/>
      <c r="CO33" s="153" t="s">
        <v>291</v>
      </c>
      <c r="CP33" s="128"/>
      <c r="CQ33" s="129" t="str">
        <f>=IF(CP33=0, 0, IF(ROUND(SUM(CP34:CP34), 2)=0, ROUND(CQ29 - SUM(CQ32:CQ32), 2), ROUND(CP33 / ROUND(SUM(CP32:CP34), 2) * CQ29, 2)))</f>
      </c>
      <c r="CS33" s="48"/>
      <c r="CV33" s="153" t="s">
        <v>291</v>
      </c>
      <c r="CW33" s="128"/>
      <c r="CX33" s="129" t="str">
        <f>=IF(CW33=0, 0, IF(ROUND(SUM(CW34:CW34), 2)=0, ROUND(CX29 - SUM(CX32:CX32), 2), ROUND(CW33 / ROUND(SUM(CW32:CW34), 2) * CX29, 2)))</f>
      </c>
      <c r="CZ33" s="48"/>
      <c r="DC33" s="153" t="s">
        <v>291</v>
      </c>
      <c r="DD33" s="128"/>
      <c r="DE33" s="129" t="str">
        <f>=IF(DD33=0, 0, IF(ROUND(SUM(DD34:DD34), 2)=0, ROUND(DE29 - SUM(DE32:DE32), 2), ROUND(DD33 / ROUND(SUM(DD32:DD34), 2) * DE29, 2)))</f>
      </c>
      <c r="DG33" s="48"/>
      <c r="DJ33" s="153" t="s">
        <v>291</v>
      </c>
      <c r="DK33" s="128"/>
      <c r="DL33" s="129" t="str">
        <f>=IF(DK33=0, 0, IF(ROUND(SUM(DK34:DK34), 2)=0, ROUND(DL29 - SUM(DL32:DL32), 2), ROUND(DK33 / ROUND(SUM(DK32:DK34), 2) * DL29, 2)))</f>
      </c>
      <c r="DN33" s="48"/>
      <c r="DQ33" s="153" t="s">
        <v>291</v>
      </c>
      <c r="DR33" s="128"/>
      <c r="DS33" s="129" t="str">
        <f>=IF(DR33=0, 0, IF(ROUND(SUM(DR34:DR34), 2)=0, ROUND(DS29 - SUM(DS32:DS32), 2), ROUND(DR33 / ROUND(SUM(DR32:DR34), 2) * DS29, 2)))</f>
      </c>
      <c r="DU33" s="48"/>
    </row>
    <row r="34">
      <c r="B34" s="153" t="s">
        <v>292</v>
      </c>
      <c r="C34" s="128"/>
      <c r="D34" s="129" t="str">
        <f>=IF(C34=0, 0, ROUND(D29 - SUM(D32:D33), 2))</f>
      </c>
      <c r="F34" s="48"/>
      <c r="I34" s="153" t="s">
        <v>292</v>
      </c>
      <c r="J34" s="128"/>
      <c r="K34" s="129" t="str">
        <f>=IF(J34=0, 0, ROUND(K29 - SUM(K32:K33), 2))</f>
      </c>
      <c r="M34" s="48"/>
      <c r="P34" s="153" t="s">
        <v>292</v>
      </c>
      <c r="Q34" s="128"/>
      <c r="R34" s="129" t="str">
        <f>=IF(Q34=0, 0, ROUND(R29 - SUM(R32:R33), 2))</f>
      </c>
      <c r="T34" s="48"/>
      <c r="W34" s="153" t="s">
        <v>292</v>
      </c>
      <c r="X34" s="128"/>
      <c r="Y34" s="129" t="str">
        <f>=IF(X34=0, 0, ROUND(Y29 - SUM(Y32:Y33), 2))</f>
      </c>
      <c r="AA34" s="48"/>
      <c r="AD34" s="153" t="s">
        <v>292</v>
      </c>
      <c r="AE34" s="128"/>
      <c r="AF34" s="129" t="str">
        <f>=IF(AE34=0, 0, ROUND(AF29 - SUM(AF32:AF33), 2))</f>
      </c>
      <c r="AH34" s="48"/>
      <c r="AK34" s="153" t="s">
        <v>292</v>
      </c>
      <c r="AL34" s="128"/>
      <c r="AM34" s="129" t="str">
        <f>=IF(AL34=0, 0, ROUND(AM29 - SUM(AM32:AM33), 2))</f>
      </c>
      <c r="AO34" s="48"/>
      <c r="AR34" s="153" t="s">
        <v>292</v>
      </c>
      <c r="AS34" s="128"/>
      <c r="AT34" s="129" t="str">
        <f>=IF(AS34=0, 0, ROUND(AT29 - SUM(AT32:AT33), 2))</f>
      </c>
      <c r="AV34" s="48"/>
      <c r="AY34" s="153" t="s">
        <v>292</v>
      </c>
      <c r="AZ34" s="128"/>
      <c r="BA34" s="129" t="str">
        <f>=IF(AZ34=0, 0, ROUND(BA29 - SUM(BA32:BA33), 2))</f>
      </c>
      <c r="BC34" s="48"/>
      <c r="BF34" s="153" t="s">
        <v>292</v>
      </c>
      <c r="BG34" s="128"/>
      <c r="BH34" s="129" t="str">
        <f>=IF(BG34=0, 0, ROUND(BH29 - SUM(BH32:BH33), 2))</f>
      </c>
      <c r="BJ34" s="48"/>
      <c r="BM34" s="153" t="s">
        <v>292</v>
      </c>
      <c r="BN34" s="128"/>
      <c r="BO34" s="129" t="str">
        <f>=IF(BN34=0, 0, ROUND(BO29 - SUM(BO32:BO33), 2))</f>
      </c>
      <c r="BQ34" s="48"/>
      <c r="BT34" s="153" t="s">
        <v>292</v>
      </c>
      <c r="BU34" s="128"/>
      <c r="BV34" s="129" t="str">
        <f>=IF(BU34=0, 0, ROUND(BV29 - SUM(BV32:BV33), 2))</f>
      </c>
      <c r="BX34" s="48"/>
      <c r="CA34" s="153" t="s">
        <v>292</v>
      </c>
      <c r="CB34" s="128"/>
      <c r="CC34" s="129" t="str">
        <f>=IF(CB34=0, 0, ROUND(CC29 - SUM(CC32:CC33), 2))</f>
      </c>
      <c r="CE34" s="48"/>
      <c r="CH34" s="153" t="s">
        <v>292</v>
      </c>
      <c r="CI34" s="128"/>
      <c r="CJ34" s="129" t="str">
        <f>=IF(CI34=0, 0, ROUND(CJ29 - SUM(CJ32:CJ33), 2))</f>
      </c>
      <c r="CL34" s="48"/>
      <c r="CO34" s="153" t="s">
        <v>292</v>
      </c>
      <c r="CP34" s="128"/>
      <c r="CQ34" s="129" t="str">
        <f>=IF(CP34=0, 0, ROUND(CQ29 - SUM(CQ32:CQ33), 2))</f>
      </c>
      <c r="CS34" s="48"/>
      <c r="CV34" s="153" t="s">
        <v>292</v>
      </c>
      <c r="CW34" s="128"/>
      <c r="CX34" s="129" t="str">
        <f>=IF(CW34=0, 0, ROUND(CX29 - SUM(CX32:CX33), 2))</f>
      </c>
      <c r="CZ34" s="48"/>
      <c r="DC34" s="153" t="s">
        <v>292</v>
      </c>
      <c r="DD34" s="128"/>
      <c r="DE34" s="129" t="str">
        <f>=IF(DD34=0, 0, ROUND(DE29 - SUM(DE32:DE33), 2))</f>
      </c>
      <c r="DG34" s="48"/>
      <c r="DJ34" s="153" t="s">
        <v>292</v>
      </c>
      <c r="DK34" s="128"/>
      <c r="DL34" s="129" t="str">
        <f>=IF(DK34=0, 0, ROUND(DL29 - SUM(DL32:DL33), 2))</f>
      </c>
      <c r="DN34" s="48"/>
      <c r="DQ34" s="153" t="s">
        <v>292</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293</v>
      </c>
      <c r="C36" s="155" t="str">
        <f>=ROUND(IFERROR(C29-SUM(C32:C34),""),2)</f>
      </c>
      <c r="D36" s="156" t="str">
        <f>=ROUND(IFERROR(D29-SUM(D32:D34),""),2)</f>
      </c>
      <c r="E36" s="157"/>
      <c r="F36" s="158"/>
      <c r="I36" s="154" t="s">
        <v>293</v>
      </c>
      <c r="J36" s="155" t="str">
        <f>=ROUND(IFERROR(J29-SUM(J32:J34),""),2)</f>
      </c>
      <c r="K36" s="156" t="str">
        <f>=ROUND(IFERROR(K29-SUM(K32:K34),""),2)</f>
      </c>
      <c r="L36" s="157"/>
      <c r="M36" s="158"/>
      <c r="P36" s="154" t="s">
        <v>293</v>
      </c>
      <c r="Q36" s="155" t="str">
        <f>=ROUND(IFERROR(Q29-SUM(Q32:Q34),""),2)</f>
      </c>
      <c r="R36" s="156" t="str">
        <f>=ROUND(IFERROR(R29-SUM(R32:R34),""),2)</f>
      </c>
      <c r="S36" s="157"/>
      <c r="T36" s="158"/>
      <c r="W36" s="154" t="s">
        <v>293</v>
      </c>
      <c r="X36" s="155" t="str">
        <f>=ROUND(IFERROR(X29-SUM(X32:X34),""),2)</f>
      </c>
      <c r="Y36" s="156" t="str">
        <f>=ROUND(IFERROR(Y29-SUM(Y32:Y34),""),2)</f>
      </c>
      <c r="Z36" s="157"/>
      <c r="AA36" s="158"/>
      <c r="AD36" s="154" t="s">
        <v>293</v>
      </c>
      <c r="AE36" s="155" t="str">
        <f>=ROUND(IFERROR(AE29-SUM(AE32:AE34),""),2)</f>
      </c>
      <c r="AF36" s="156" t="str">
        <f>=ROUND(IFERROR(AF29-SUM(AF32:AF34),""),2)</f>
      </c>
      <c r="AG36" s="157"/>
      <c r="AH36" s="158"/>
      <c r="AK36" s="154" t="s">
        <v>293</v>
      </c>
      <c r="AL36" s="155" t="str">
        <f>=ROUND(IFERROR(AL29-SUM(AL32:AL34),""),2)</f>
      </c>
      <c r="AM36" s="156" t="str">
        <f>=ROUND(IFERROR(AM29-SUM(AM32:AM34),""),2)</f>
      </c>
      <c r="AN36" s="157"/>
      <c r="AO36" s="158"/>
      <c r="AR36" s="154" t="s">
        <v>293</v>
      </c>
      <c r="AS36" s="155" t="str">
        <f>=ROUND(IFERROR(AS29-SUM(AS32:AS34),""),2)</f>
      </c>
      <c r="AT36" s="156" t="str">
        <f>=ROUND(IFERROR(AT29-SUM(AT32:AT34),""),2)</f>
      </c>
      <c r="AU36" s="157"/>
      <c r="AV36" s="158"/>
      <c r="AY36" s="154" t="s">
        <v>293</v>
      </c>
      <c r="AZ36" s="155" t="str">
        <f>=ROUND(IFERROR(AZ29-SUM(AZ32:AZ34),""),2)</f>
      </c>
      <c r="BA36" s="156" t="str">
        <f>=ROUND(IFERROR(BA29-SUM(BA32:BA34),""),2)</f>
      </c>
      <c r="BB36" s="157"/>
      <c r="BC36" s="158"/>
      <c r="BF36" s="154" t="s">
        <v>293</v>
      </c>
      <c r="BG36" s="155" t="str">
        <f>=ROUND(IFERROR(BG29-SUM(BG32:BG34),""),2)</f>
      </c>
      <c r="BH36" s="156" t="str">
        <f>=ROUND(IFERROR(BH29-SUM(BH32:BH34),""),2)</f>
      </c>
      <c r="BI36" s="157"/>
      <c r="BJ36" s="158"/>
      <c r="BM36" s="154" t="s">
        <v>293</v>
      </c>
      <c r="BN36" s="155" t="str">
        <f>=ROUND(IFERROR(BN29-SUM(BN32:BN34),""),2)</f>
      </c>
      <c r="BO36" s="156" t="str">
        <f>=ROUND(IFERROR(BO29-SUM(BO32:BO34),""),2)</f>
      </c>
      <c r="BP36" s="157"/>
      <c r="BQ36" s="158"/>
      <c r="BT36" s="154" t="s">
        <v>293</v>
      </c>
      <c r="BU36" s="155" t="str">
        <f>=ROUND(IFERROR(BU29-SUM(BU32:BU34),""),2)</f>
      </c>
      <c r="BV36" s="156" t="str">
        <f>=ROUND(IFERROR(BV29-SUM(BV32:BV34),""),2)</f>
      </c>
      <c r="BW36" s="157"/>
      <c r="BX36" s="158"/>
      <c r="CA36" s="154" t="s">
        <v>293</v>
      </c>
      <c r="CB36" s="155" t="str">
        <f>=ROUND(IFERROR(CB29-SUM(CB32:CB34),""),2)</f>
      </c>
      <c r="CC36" s="156" t="str">
        <f>=ROUND(IFERROR(CC29-SUM(CC32:CC34),""),2)</f>
      </c>
      <c r="CD36" s="157"/>
      <c r="CE36" s="158"/>
      <c r="CH36" s="154" t="s">
        <v>293</v>
      </c>
      <c r="CI36" s="155" t="str">
        <f>=ROUND(IFERROR(CI29-SUM(CI32:CI34),""),2)</f>
      </c>
      <c r="CJ36" s="156" t="str">
        <f>=ROUND(IFERROR(CJ29-SUM(CJ32:CJ34),""),2)</f>
      </c>
      <c r="CK36" s="157"/>
      <c r="CL36" s="158"/>
      <c r="CO36" s="154" t="s">
        <v>293</v>
      </c>
      <c r="CP36" s="155" t="str">
        <f>=ROUND(IFERROR(CP29-SUM(CP32:CP34),""),2)</f>
      </c>
      <c r="CQ36" s="156" t="str">
        <f>=ROUND(IFERROR(CQ29-SUM(CQ32:CQ34),""),2)</f>
      </c>
      <c r="CR36" s="157"/>
      <c r="CS36" s="158"/>
      <c r="CV36" s="154" t="s">
        <v>293</v>
      </c>
      <c r="CW36" s="155" t="str">
        <f>=ROUND(IFERROR(CW29-SUM(CW32:CW34),""),2)</f>
      </c>
      <c r="CX36" s="156" t="str">
        <f>=ROUND(IFERROR(CX29-SUM(CX32:CX34),""),2)</f>
      </c>
      <c r="CY36" s="157"/>
      <c r="CZ36" s="158"/>
      <c r="DC36" s="154" t="s">
        <v>293</v>
      </c>
      <c r="DD36" s="155" t="str">
        <f>=ROUND(IFERROR(DD29-SUM(DD32:DD34),""),2)</f>
      </c>
      <c r="DE36" s="156" t="str">
        <f>=ROUND(IFERROR(DE29-SUM(DE32:DE34),""),2)</f>
      </c>
      <c r="DF36" s="157"/>
      <c r="DG36" s="158"/>
      <c r="DJ36" s="154" t="s">
        <v>293</v>
      </c>
      <c r="DK36" s="155" t="str">
        <f>=ROUND(IFERROR(DK29-SUM(DK32:DK34),""),2)</f>
      </c>
      <c r="DL36" s="156" t="str">
        <f>=ROUND(IFERROR(DL29-SUM(DL32:DL34),""),2)</f>
      </c>
      <c r="DM36" s="157"/>
      <c r="DN36" s="158"/>
      <c r="DQ36" s="154" t="s">
        <v>293</v>
      </c>
      <c r="DR36" s="155" t="str">
        <f>=ROUND(IFERROR(DR29-SUM(DR32:DR34),""),2)</f>
      </c>
      <c r="DS36" s="156" t="str">
        <f>=ROUND(IFERROR(DS29-SUM(DS32:DS34),""),2)</f>
      </c>
      <c r="DT36" s="157"/>
      <c r="DU36" s="158"/>
    </row>
    <row r="39">
      <c r="B39" s="104" t="s">
        <v>294</v>
      </c>
      <c r="I39" s="104" t="s">
        <v>294</v>
      </c>
      <c r="P39" s="104" t="s">
        <v>294</v>
      </c>
      <c r="W39" s="104" t="s">
        <v>294</v>
      </c>
      <c r="AD39" s="104" t="s">
        <v>294</v>
      </c>
      <c r="AK39" s="104" t="s">
        <v>294</v>
      </c>
      <c r="AR39" s="104" t="s">
        <v>294</v>
      </c>
      <c r="AY39" s="104" t="s">
        <v>294</v>
      </c>
      <c r="BF39" s="104" t="s">
        <v>294</v>
      </c>
      <c r="BM39" s="104" t="s">
        <v>294</v>
      </c>
      <c r="BT39" s="104" t="s">
        <v>294</v>
      </c>
      <c r="CA39" s="104" t="s">
        <v>294</v>
      </c>
      <c r="CH39" s="104" t="s">
        <v>294</v>
      </c>
      <c r="CO39" s="104" t="s">
        <v>294</v>
      </c>
      <c r="CV39" s="104" t="s">
        <v>294</v>
      </c>
      <c r="DC39" s="104" t="s">
        <v>294</v>
      </c>
      <c r="DJ39" s="104" t="s">
        <v>294</v>
      </c>
      <c r="DQ39" s="104" t="s">
        <v>294</v>
      </c>
    </row>
    <row r="40">
      <c r="B40" s="120" t="s">
        <v>295</v>
      </c>
      <c r="C40" s="120" t="s">
        <v>296</v>
      </c>
      <c r="D40" s="120" t="s">
        <v>274</v>
      </c>
      <c r="E40" s="120" t="s">
        <v>275</v>
      </c>
      <c r="F40" s="120" t="s">
        <v>297</v>
      </c>
      <c r="I40" s="120" t="s">
        <v>295</v>
      </c>
      <c r="J40" s="120" t="s">
        <v>296</v>
      </c>
      <c r="K40" s="120" t="s">
        <v>274</v>
      </c>
      <c r="L40" s="120" t="s">
        <v>275</v>
      </c>
      <c r="M40" s="120" t="s">
        <v>297</v>
      </c>
      <c r="P40" s="120" t="s">
        <v>295</v>
      </c>
      <c r="Q40" s="120" t="s">
        <v>296</v>
      </c>
      <c r="R40" s="120" t="s">
        <v>274</v>
      </c>
      <c r="S40" s="120" t="s">
        <v>275</v>
      </c>
      <c r="T40" s="120" t="s">
        <v>297</v>
      </c>
      <c r="W40" s="120" t="s">
        <v>295</v>
      </c>
      <c r="X40" s="120" t="s">
        <v>296</v>
      </c>
      <c r="Y40" s="120" t="s">
        <v>274</v>
      </c>
      <c r="Z40" s="120" t="s">
        <v>275</v>
      </c>
      <c r="AA40" s="120" t="s">
        <v>297</v>
      </c>
      <c r="AD40" s="120" t="s">
        <v>295</v>
      </c>
      <c r="AE40" s="120" t="s">
        <v>296</v>
      </c>
      <c r="AF40" s="120" t="s">
        <v>274</v>
      </c>
      <c r="AG40" s="120" t="s">
        <v>275</v>
      </c>
      <c r="AH40" s="120" t="s">
        <v>297</v>
      </c>
      <c r="AK40" s="120" t="s">
        <v>295</v>
      </c>
      <c r="AL40" s="120" t="s">
        <v>296</v>
      </c>
      <c r="AM40" s="120" t="s">
        <v>274</v>
      </c>
      <c r="AN40" s="120" t="s">
        <v>275</v>
      </c>
      <c r="AO40" s="120" t="s">
        <v>297</v>
      </c>
      <c r="AR40" s="120" t="s">
        <v>295</v>
      </c>
      <c r="AS40" s="120" t="s">
        <v>296</v>
      </c>
      <c r="AT40" s="120" t="s">
        <v>274</v>
      </c>
      <c r="AU40" s="120" t="s">
        <v>275</v>
      </c>
      <c r="AV40" s="120" t="s">
        <v>297</v>
      </c>
      <c r="AY40" s="120" t="s">
        <v>295</v>
      </c>
      <c r="AZ40" s="120" t="s">
        <v>296</v>
      </c>
      <c r="BA40" s="120" t="s">
        <v>274</v>
      </c>
      <c r="BB40" s="120" t="s">
        <v>275</v>
      </c>
      <c r="BC40" s="120" t="s">
        <v>297</v>
      </c>
      <c r="BF40" s="120" t="s">
        <v>295</v>
      </c>
      <c r="BG40" s="120" t="s">
        <v>296</v>
      </c>
      <c r="BH40" s="120" t="s">
        <v>274</v>
      </c>
      <c r="BI40" s="120" t="s">
        <v>275</v>
      </c>
      <c r="BJ40" s="120" t="s">
        <v>297</v>
      </c>
      <c r="BM40" s="120" t="s">
        <v>295</v>
      </c>
      <c r="BN40" s="120" t="s">
        <v>296</v>
      </c>
      <c r="BO40" s="120" t="s">
        <v>274</v>
      </c>
      <c r="BP40" s="120" t="s">
        <v>275</v>
      </c>
      <c r="BQ40" s="120" t="s">
        <v>297</v>
      </c>
      <c r="BT40" s="120" t="s">
        <v>295</v>
      </c>
      <c r="BU40" s="120" t="s">
        <v>296</v>
      </c>
      <c r="BV40" s="120" t="s">
        <v>274</v>
      </c>
      <c r="BW40" s="120" t="s">
        <v>275</v>
      </c>
      <c r="BX40" s="120" t="s">
        <v>297</v>
      </c>
      <c r="CA40" s="120" t="s">
        <v>295</v>
      </c>
      <c r="CB40" s="120" t="s">
        <v>296</v>
      </c>
      <c r="CC40" s="120" t="s">
        <v>274</v>
      </c>
      <c r="CD40" s="120" t="s">
        <v>275</v>
      </c>
      <c r="CE40" s="120" t="s">
        <v>297</v>
      </c>
      <c r="CH40" s="120" t="s">
        <v>295</v>
      </c>
      <c r="CI40" s="120" t="s">
        <v>296</v>
      </c>
      <c r="CJ40" s="120" t="s">
        <v>274</v>
      </c>
      <c r="CK40" s="120" t="s">
        <v>275</v>
      </c>
      <c r="CL40" s="120" t="s">
        <v>297</v>
      </c>
      <c r="CO40" s="120" t="s">
        <v>295</v>
      </c>
      <c r="CP40" s="120" t="s">
        <v>296</v>
      </c>
      <c r="CQ40" s="120" t="s">
        <v>274</v>
      </c>
      <c r="CR40" s="120" t="s">
        <v>275</v>
      </c>
      <c r="CS40" s="120" t="s">
        <v>297</v>
      </c>
      <c r="CV40" s="120" t="s">
        <v>295</v>
      </c>
      <c r="CW40" s="120" t="s">
        <v>296</v>
      </c>
      <c r="CX40" s="120" t="s">
        <v>274</v>
      </c>
      <c r="CY40" s="120" t="s">
        <v>275</v>
      </c>
      <c r="CZ40" s="120" t="s">
        <v>297</v>
      </c>
      <c r="DC40" s="120" t="s">
        <v>295</v>
      </c>
      <c r="DD40" s="120" t="s">
        <v>296</v>
      </c>
      <c r="DE40" s="120" t="s">
        <v>274</v>
      </c>
      <c r="DF40" s="120" t="s">
        <v>275</v>
      </c>
      <c r="DG40" s="120" t="s">
        <v>297</v>
      </c>
      <c r="DJ40" s="120" t="s">
        <v>295</v>
      </c>
      <c r="DK40" s="120" t="s">
        <v>296</v>
      </c>
      <c r="DL40" s="120" t="s">
        <v>274</v>
      </c>
      <c r="DM40" s="120" t="s">
        <v>275</v>
      </c>
      <c r="DN40" s="120" t="s">
        <v>297</v>
      </c>
      <c r="DQ40" s="120" t="s">
        <v>295</v>
      </c>
      <c r="DR40" s="120" t="s">
        <v>296</v>
      </c>
      <c r="DS40" s="120" t="s">
        <v>274</v>
      </c>
      <c r="DT40" s="120" t="s">
        <v>275</v>
      </c>
      <c r="DU40" s="120" t="s">
        <v>297</v>
      </c>
    </row>
    <row r="41">
      <c r="B41" s="159" t="s">
        <v>298</v>
      </c>
      <c r="C41" s="160" t="s">
        <v>158</v>
      </c>
      <c r="D41" s="161" t="str">
        <f>=ROUND(C11,2)</f>
      </c>
      <c r="E41" s="162" t="str">
        <f>=ROUND(D11,2)</f>
      </c>
      <c r="F41" s="163" t="str">
        <f>=ROUND(IFERROR(D41/E41,0),6)</f>
      </c>
      <c r="I41" s="159" t="s">
        <v>306</v>
      </c>
      <c r="J41" s="160" t="s">
        <v>158</v>
      </c>
      <c r="K41" s="161" t="str">
        <f>=ROUND(J11,2)</f>
      </c>
      <c r="L41" s="162" t="str">
        <f>=ROUND(K11,2)</f>
      </c>
      <c r="M41" s="163" t="str">
        <f>=ROUND(IFERROR(K41/L41,0),6)</f>
      </c>
      <c r="P41" s="159" t="s">
        <v>306</v>
      </c>
      <c r="Q41" s="160" t="s">
        <v>158</v>
      </c>
      <c r="R41" s="161" t="str">
        <f>=ROUND(Q11,2)</f>
      </c>
      <c r="S41" s="162" t="str">
        <f>=ROUND(R11,2)</f>
      </c>
      <c r="T41" s="163" t="str">
        <f>=ROUND(IFERROR(R41/S41,0),6)</f>
      </c>
      <c r="W41" s="159" t="s">
        <v>306</v>
      </c>
      <c r="X41" s="160" t="s">
        <v>158</v>
      </c>
      <c r="Y41" s="161" t="str">
        <f>=ROUND(X11,2)</f>
      </c>
      <c r="Z41" s="162" t="str">
        <f>=ROUND(Y11,2)</f>
      </c>
      <c r="AA41" s="163" t="str">
        <f>=ROUND(IFERROR(Y41/Z41,0),6)</f>
      </c>
      <c r="AD41" s="159" t="s">
        <v>306</v>
      </c>
      <c r="AE41" s="160" t="s">
        <v>158</v>
      </c>
      <c r="AF41" s="161" t="str">
        <f>=ROUND(AE11,2)</f>
      </c>
      <c r="AG41" s="162" t="str">
        <f>=ROUND(AF11,2)</f>
      </c>
      <c r="AH41" s="163" t="str">
        <f>=ROUND(IFERROR(AF41/AG41,0),6)</f>
      </c>
      <c r="AK41" s="159" t="s">
        <v>306</v>
      </c>
      <c r="AL41" s="160" t="s">
        <v>158</v>
      </c>
      <c r="AM41" s="161" t="str">
        <f>=ROUND(AL11,2)</f>
      </c>
      <c r="AN41" s="162" t="str">
        <f>=ROUND(AM11,2)</f>
      </c>
      <c r="AO41" s="163" t="str">
        <f>=ROUND(IFERROR(AM41/AN41,0),6)</f>
      </c>
      <c r="AR41" s="159" t="s">
        <v>306</v>
      </c>
      <c r="AS41" s="160" t="s">
        <v>158</v>
      </c>
      <c r="AT41" s="161" t="str">
        <f>=ROUND(AS11,2)</f>
      </c>
      <c r="AU41" s="162" t="str">
        <f>=ROUND(AT11,2)</f>
      </c>
      <c r="AV41" s="163" t="str">
        <f>=ROUND(IFERROR(AT41/AU41,0),6)</f>
      </c>
      <c r="AY41" s="159" t="s">
        <v>306</v>
      </c>
      <c r="AZ41" s="160" t="s">
        <v>158</v>
      </c>
      <c r="BA41" s="161" t="str">
        <f>=ROUND(AZ11,2)</f>
      </c>
      <c r="BB41" s="162" t="str">
        <f>=ROUND(BA11,2)</f>
      </c>
      <c r="BC41" s="163" t="str">
        <f>=ROUND(IFERROR(BA41/BB41,0),6)</f>
      </c>
      <c r="BF41" s="159" t="s">
        <v>306</v>
      </c>
      <c r="BG41" s="160" t="s">
        <v>158</v>
      </c>
      <c r="BH41" s="161" t="str">
        <f>=ROUND(BG11,2)</f>
      </c>
      <c r="BI41" s="162" t="str">
        <f>=ROUND(BH11,2)</f>
      </c>
      <c r="BJ41" s="163" t="str">
        <f>=ROUND(IFERROR(BH41/BI41,0),6)</f>
      </c>
      <c r="BM41" s="159" t="s">
        <v>306</v>
      </c>
      <c r="BN41" s="160" t="s">
        <v>158</v>
      </c>
      <c r="BO41" s="161" t="str">
        <f>=ROUND(BN11,2)</f>
      </c>
      <c r="BP41" s="162" t="str">
        <f>=ROUND(BO11,2)</f>
      </c>
      <c r="BQ41" s="163" t="str">
        <f>=ROUND(IFERROR(BO41/BP41,0),6)</f>
      </c>
      <c r="BT41" s="159" t="s">
        <v>306</v>
      </c>
      <c r="BU41" s="160" t="s">
        <v>158</v>
      </c>
      <c r="BV41" s="161" t="str">
        <f>=ROUND(BU11,2)</f>
      </c>
      <c r="BW41" s="162" t="str">
        <f>=ROUND(BV11,2)</f>
      </c>
      <c r="BX41" s="163" t="str">
        <f>=ROUND(IFERROR(BV41/BW41,0),6)</f>
      </c>
      <c r="CA41" s="159" t="s">
        <v>306</v>
      </c>
      <c r="CB41" s="160" t="s">
        <v>158</v>
      </c>
      <c r="CC41" s="161" t="str">
        <f>=ROUND(CB11,2)</f>
      </c>
      <c r="CD41" s="162" t="str">
        <f>=ROUND(CC11,2)</f>
      </c>
      <c r="CE41" s="163" t="str">
        <f>=ROUND(IFERROR(CC41/CD41,0),6)</f>
      </c>
      <c r="CH41" s="159" t="s">
        <v>306</v>
      </c>
      <c r="CI41" s="160" t="s">
        <v>158</v>
      </c>
      <c r="CJ41" s="161" t="str">
        <f>=ROUND(CI11,2)</f>
      </c>
      <c r="CK41" s="162" t="str">
        <f>=ROUND(CJ11,2)</f>
      </c>
      <c r="CL41" s="163" t="str">
        <f>=ROUND(IFERROR(CJ41/CK41,0),6)</f>
      </c>
      <c r="CO41" s="159" t="s">
        <v>306</v>
      </c>
      <c r="CP41" s="160" t="s">
        <v>158</v>
      </c>
      <c r="CQ41" s="161" t="str">
        <f>=ROUND(CP11,2)</f>
      </c>
      <c r="CR41" s="162" t="str">
        <f>=ROUND(CQ11,2)</f>
      </c>
      <c r="CS41" s="163" t="str">
        <f>=ROUND(IFERROR(CQ41/CR41,0),6)</f>
      </c>
      <c r="CV41" s="159" t="s">
        <v>306</v>
      </c>
      <c r="CW41" s="160" t="s">
        <v>158</v>
      </c>
      <c r="CX41" s="161" t="str">
        <f>=ROUND(CW11,2)</f>
      </c>
      <c r="CY41" s="162" t="str">
        <f>=ROUND(CX11,2)</f>
      </c>
      <c r="CZ41" s="163" t="str">
        <f>=ROUND(IFERROR(CX41/CY41,0),6)</f>
      </c>
      <c r="DC41" s="159" t="s">
        <v>306</v>
      </c>
      <c r="DD41" s="160" t="s">
        <v>158</v>
      </c>
      <c r="DE41" s="161" t="str">
        <f>=ROUND(DD11,2)</f>
      </c>
      <c r="DF41" s="162" t="str">
        <f>=ROUND(DE11,2)</f>
      </c>
      <c r="DG41" s="163" t="str">
        <f>=ROUND(IFERROR(DE41/DF41,0),6)</f>
      </c>
      <c r="DJ41" s="159" t="s">
        <v>306</v>
      </c>
      <c r="DK41" s="160" t="s">
        <v>158</v>
      </c>
      <c r="DL41" s="161" t="str">
        <f>=ROUND(DK11,2)</f>
      </c>
      <c r="DM41" s="162" t="str">
        <f>=ROUND(DL11,2)</f>
      </c>
      <c r="DN41" s="163" t="str">
        <f>=ROUND(IFERROR(DL41/DM41,0),6)</f>
      </c>
      <c r="DQ41" s="159" t="s">
        <v>306</v>
      </c>
      <c r="DR41" s="160" t="s">
        <v>158</v>
      </c>
      <c r="DS41" s="161" t="str">
        <f>=ROUND(DR11,2)</f>
      </c>
      <c r="DT41" s="162" t="str">
        <f>=ROUND(DS11,2)</f>
      </c>
      <c r="DU41" s="163" t="str">
        <f>=ROUND(IFERROR(DS41/DT41,0),6)</f>
      </c>
    </row>
    <row r="42">
      <c r="B42" s="164" t="s">
        <v>199</v>
      </c>
      <c r="C42" s="165" t="s">
        <v>299</v>
      </c>
      <c r="D42" s="166"/>
      <c r="E42" s="167"/>
      <c r="F42" s="168" t="str">
        <f>=ROUND(IFERROR(D42/E42,0),6)</f>
      </c>
      <c r="I42" s="164" t="s">
        <v>199</v>
      </c>
      <c r="J42" s="165" t="s">
        <v>299</v>
      </c>
      <c r="K42" s="166"/>
      <c r="L42" s="167"/>
      <c r="M42" s="168" t="str">
        <f>=ROUND(IFERROR(K42/L42,0),6)</f>
      </c>
      <c r="P42" s="164" t="s">
        <v>199</v>
      </c>
      <c r="Q42" s="165" t="s">
        <v>299</v>
      </c>
      <c r="R42" s="166"/>
      <c r="S42" s="167"/>
      <c r="T42" s="168" t="str">
        <f>=ROUND(IFERROR(R42/S42,0),6)</f>
      </c>
      <c r="W42" s="164" t="s">
        <v>199</v>
      </c>
      <c r="X42" s="165" t="s">
        <v>299</v>
      </c>
      <c r="Y42" s="166"/>
      <c r="Z42" s="167"/>
      <c r="AA42" s="168" t="str">
        <f>=ROUND(IFERROR(Y42/Z42,0),6)</f>
      </c>
      <c r="AD42" s="164" t="s">
        <v>199</v>
      </c>
      <c r="AE42" s="165" t="s">
        <v>299</v>
      </c>
      <c r="AF42" s="166"/>
      <c r="AG42" s="167"/>
      <c r="AH42" s="168" t="str">
        <f>=ROUND(IFERROR(AF42/AG42,0),6)</f>
      </c>
      <c r="AK42" s="164" t="s">
        <v>199</v>
      </c>
      <c r="AL42" s="165" t="s">
        <v>299</v>
      </c>
      <c r="AM42" s="166"/>
      <c r="AN42" s="167"/>
      <c r="AO42" s="168" t="str">
        <f>=ROUND(IFERROR(AM42/AN42,0),6)</f>
      </c>
      <c r="AR42" s="164" t="s">
        <v>199</v>
      </c>
      <c r="AS42" s="165" t="s">
        <v>299</v>
      </c>
      <c r="AT42" s="166"/>
      <c r="AU42" s="167"/>
      <c r="AV42" s="168" t="str">
        <f>=ROUND(IFERROR(AT42/AU42,0),6)</f>
      </c>
      <c r="AY42" s="164" t="s">
        <v>199</v>
      </c>
      <c r="AZ42" s="165" t="s">
        <v>299</v>
      </c>
      <c r="BA42" s="166"/>
      <c r="BB42" s="167"/>
      <c r="BC42" s="168" t="str">
        <f>=ROUND(IFERROR(BA42/BB42,0),6)</f>
      </c>
      <c r="BF42" s="164" t="s">
        <v>199</v>
      </c>
      <c r="BG42" s="165" t="s">
        <v>299</v>
      </c>
      <c r="BH42" s="166"/>
      <c r="BI42" s="167"/>
      <c r="BJ42" s="168" t="str">
        <f>=ROUND(IFERROR(BH42/BI42,0),6)</f>
      </c>
      <c r="BM42" s="164" t="s">
        <v>199</v>
      </c>
      <c r="BN42" s="165" t="s">
        <v>299</v>
      </c>
      <c r="BO42" s="166"/>
      <c r="BP42" s="167"/>
      <c r="BQ42" s="168" t="str">
        <f>=ROUND(IFERROR(BO42/BP42,0),6)</f>
      </c>
      <c r="BT42" s="164" t="s">
        <v>199</v>
      </c>
      <c r="BU42" s="165" t="s">
        <v>299</v>
      </c>
      <c r="BV42" s="166"/>
      <c r="BW42" s="167"/>
      <c r="BX42" s="168" t="str">
        <f>=ROUND(IFERROR(BV42/BW42,0),6)</f>
      </c>
      <c r="CA42" s="164" t="s">
        <v>199</v>
      </c>
      <c r="CB42" s="165" t="s">
        <v>299</v>
      </c>
      <c r="CC42" s="166"/>
      <c r="CD42" s="167"/>
      <c r="CE42" s="168" t="str">
        <f>=ROUND(IFERROR(CC42/CD42,0),6)</f>
      </c>
      <c r="CH42" s="164" t="s">
        <v>199</v>
      </c>
      <c r="CI42" s="165" t="s">
        <v>299</v>
      </c>
      <c r="CJ42" s="166"/>
      <c r="CK42" s="167"/>
      <c r="CL42" s="168" t="str">
        <f>=ROUND(IFERROR(CJ42/CK42,0),6)</f>
      </c>
      <c r="CO42" s="164" t="s">
        <v>199</v>
      </c>
      <c r="CP42" s="165" t="s">
        <v>299</v>
      </c>
      <c r="CQ42" s="166"/>
      <c r="CR42" s="167"/>
      <c r="CS42" s="168" t="str">
        <f>=ROUND(IFERROR(CQ42/CR42,0),6)</f>
      </c>
      <c r="CV42" s="164" t="s">
        <v>199</v>
      </c>
      <c r="CW42" s="165" t="s">
        <v>299</v>
      </c>
      <c r="CX42" s="166"/>
      <c r="CY42" s="167"/>
      <c r="CZ42" s="168" t="str">
        <f>=ROUND(IFERROR(CX42/CY42,0),6)</f>
      </c>
      <c r="DC42" s="164" t="s">
        <v>199</v>
      </c>
      <c r="DD42" s="165" t="s">
        <v>299</v>
      </c>
      <c r="DE42" s="166"/>
      <c r="DF42" s="167"/>
      <c r="DG42" s="168" t="str">
        <f>=ROUND(IFERROR(DE42/DF42,0),6)</f>
      </c>
      <c r="DJ42" s="164" t="s">
        <v>199</v>
      </c>
      <c r="DK42" s="165" t="s">
        <v>299</v>
      </c>
      <c r="DL42" s="166"/>
      <c r="DM42" s="167"/>
      <c r="DN42" s="168" t="str">
        <f>=ROUND(IFERROR(DL42/DM42,0),6)</f>
      </c>
      <c r="DQ42" s="164" t="s">
        <v>199</v>
      </c>
      <c r="DR42" s="165" t="s">
        <v>299</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300</v>
      </c>
      <c r="C46" s="170" t="s">
        <v>271</v>
      </c>
      <c r="D46" s="171" t="str">
        <f>=ROUND(SUBTOTAL(109,$D$41:$D$45),2)</f>
      </c>
      <c r="E46" s="172" t="str">
        <f>=ROUND(SUBTOTAL(109,$E$41:$E$45),2)</f>
      </c>
      <c r="F46" s="173" t="str">
        <f>=ROUND(IFERROR(D46/E46,0),6)</f>
      </c>
      <c r="I46" s="169" t="s">
        <v>300</v>
      </c>
      <c r="J46" s="170" t="s">
        <v>271</v>
      </c>
      <c r="K46" s="171" t="str">
        <f>=ROUND(SUBTOTAL(109,$K$41:$K$45),2)</f>
      </c>
      <c r="L46" s="172" t="str">
        <f>=ROUND(SUBTOTAL(109,$L$41:$L$45),2)</f>
      </c>
      <c r="M46" s="173" t="str">
        <f>=ROUND(IFERROR(K46/L46,0),6)</f>
      </c>
      <c r="P46" s="169" t="s">
        <v>300</v>
      </c>
      <c r="Q46" s="170" t="s">
        <v>271</v>
      </c>
      <c r="R46" s="171" t="str">
        <f>=ROUND(SUBTOTAL(109,$R$41:$R$45),2)</f>
      </c>
      <c r="S46" s="172" t="str">
        <f>=ROUND(SUBTOTAL(109,$S$41:$S$45),2)</f>
      </c>
      <c r="T46" s="173" t="str">
        <f>=ROUND(IFERROR(R46/S46,0),6)</f>
      </c>
      <c r="W46" s="169" t="s">
        <v>300</v>
      </c>
      <c r="X46" s="170" t="s">
        <v>271</v>
      </c>
      <c r="Y46" s="171" t="str">
        <f>=ROUND(SUBTOTAL(109,$Y$41:$Y$45),2)</f>
      </c>
      <c r="Z46" s="172" t="str">
        <f>=ROUND(SUBTOTAL(109,$Z$41:$Z$45),2)</f>
      </c>
      <c r="AA46" s="173" t="str">
        <f>=ROUND(IFERROR(Y46/Z46,0),6)</f>
      </c>
      <c r="AD46" s="169" t="s">
        <v>300</v>
      </c>
      <c r="AE46" s="170" t="s">
        <v>271</v>
      </c>
      <c r="AF46" s="171" t="str">
        <f>=ROUND(SUBTOTAL(109,$AF$41:$AF$45),2)</f>
      </c>
      <c r="AG46" s="172" t="str">
        <f>=ROUND(SUBTOTAL(109,$AG$41:$AG$45),2)</f>
      </c>
      <c r="AH46" s="173" t="str">
        <f>=ROUND(IFERROR(AF46/AG46,0),6)</f>
      </c>
      <c r="AK46" s="169" t="s">
        <v>300</v>
      </c>
      <c r="AL46" s="170" t="s">
        <v>271</v>
      </c>
      <c r="AM46" s="171" t="str">
        <f>=ROUND(SUBTOTAL(109,$AM$41:$AM$45),2)</f>
      </c>
      <c r="AN46" s="172" t="str">
        <f>=ROUND(SUBTOTAL(109,$AN$41:$AN$45),2)</f>
      </c>
      <c r="AO46" s="173" t="str">
        <f>=ROUND(IFERROR(AM46/AN46,0),6)</f>
      </c>
      <c r="AR46" s="169" t="s">
        <v>300</v>
      </c>
      <c r="AS46" s="170" t="s">
        <v>271</v>
      </c>
      <c r="AT46" s="171" t="str">
        <f>=ROUND(SUBTOTAL(109,$AT$41:$AT$45),2)</f>
      </c>
      <c r="AU46" s="172" t="str">
        <f>=ROUND(SUBTOTAL(109,$AU$41:$AU$45),2)</f>
      </c>
      <c r="AV46" s="173" t="str">
        <f>=ROUND(IFERROR(AT46/AU46,0),6)</f>
      </c>
      <c r="AY46" s="169" t="s">
        <v>300</v>
      </c>
      <c r="AZ46" s="170" t="s">
        <v>271</v>
      </c>
      <c r="BA46" s="171" t="str">
        <f>=ROUND(SUBTOTAL(109,$BA$41:$BA$45),2)</f>
      </c>
      <c r="BB46" s="172" t="str">
        <f>=ROUND(SUBTOTAL(109,$BB$41:$BB$45),2)</f>
      </c>
      <c r="BC46" s="173" t="str">
        <f>=ROUND(IFERROR(BA46/BB46,0),6)</f>
      </c>
      <c r="BF46" s="169" t="s">
        <v>300</v>
      </c>
      <c r="BG46" s="170" t="s">
        <v>271</v>
      </c>
      <c r="BH46" s="171" t="str">
        <f>=ROUND(SUBTOTAL(109,$BH$41:$BH$45),2)</f>
      </c>
      <c r="BI46" s="172" t="str">
        <f>=ROUND(SUBTOTAL(109,$BI$41:$BI$45),2)</f>
      </c>
      <c r="BJ46" s="173" t="str">
        <f>=ROUND(IFERROR(BH46/BI46,0),6)</f>
      </c>
      <c r="BM46" s="169" t="s">
        <v>300</v>
      </c>
      <c r="BN46" s="170" t="s">
        <v>271</v>
      </c>
      <c r="BO46" s="171" t="str">
        <f>=ROUND(SUBTOTAL(109,$BO$41:$BO$45),2)</f>
      </c>
      <c r="BP46" s="172" t="str">
        <f>=ROUND(SUBTOTAL(109,$BP$41:$BP$45),2)</f>
      </c>
      <c r="BQ46" s="173" t="str">
        <f>=ROUND(IFERROR(BO46/BP46,0),6)</f>
      </c>
      <c r="BT46" s="169" t="s">
        <v>300</v>
      </c>
      <c r="BU46" s="170" t="s">
        <v>271</v>
      </c>
      <c r="BV46" s="171" t="str">
        <f>=ROUND(SUBTOTAL(109,$BV$41:$BV$45),2)</f>
      </c>
      <c r="BW46" s="172" t="str">
        <f>=ROUND(SUBTOTAL(109,$BW$41:$BW$45),2)</f>
      </c>
      <c r="BX46" s="173" t="str">
        <f>=ROUND(IFERROR(BV46/BW46,0),6)</f>
      </c>
      <c r="CA46" s="169" t="s">
        <v>300</v>
      </c>
      <c r="CB46" s="170" t="s">
        <v>271</v>
      </c>
      <c r="CC46" s="171" t="str">
        <f>=ROUND(SUBTOTAL(109,$CC$41:$CC$45),2)</f>
      </c>
      <c r="CD46" s="172" t="str">
        <f>=ROUND(SUBTOTAL(109,$CD$41:$CD$45),2)</f>
      </c>
      <c r="CE46" s="173" t="str">
        <f>=ROUND(IFERROR(CC46/CD46,0),6)</f>
      </c>
      <c r="CH46" s="169" t="s">
        <v>300</v>
      </c>
      <c r="CI46" s="170" t="s">
        <v>271</v>
      </c>
      <c r="CJ46" s="171" t="str">
        <f>=ROUND(SUBTOTAL(109,$CJ$41:$CJ$45),2)</f>
      </c>
      <c r="CK46" s="172" t="str">
        <f>=ROUND(SUBTOTAL(109,$CK$41:$CK$45),2)</f>
      </c>
      <c r="CL46" s="173" t="str">
        <f>=ROUND(IFERROR(CJ46/CK46,0),6)</f>
      </c>
      <c r="CO46" s="169" t="s">
        <v>300</v>
      </c>
      <c r="CP46" s="170" t="s">
        <v>271</v>
      </c>
      <c r="CQ46" s="171" t="str">
        <f>=ROUND(SUBTOTAL(109,$CQ$41:$CQ$45),2)</f>
      </c>
      <c r="CR46" s="172" t="str">
        <f>=ROUND(SUBTOTAL(109,$CR$41:$CR$45),2)</f>
      </c>
      <c r="CS46" s="173" t="str">
        <f>=ROUND(IFERROR(CQ46/CR46,0),6)</f>
      </c>
      <c r="CV46" s="169" t="s">
        <v>300</v>
      </c>
      <c r="CW46" s="170" t="s">
        <v>271</v>
      </c>
      <c r="CX46" s="171" t="str">
        <f>=ROUND(SUBTOTAL(109,$CX$41:$CX$45),2)</f>
      </c>
      <c r="CY46" s="172" t="str">
        <f>=ROUND(SUBTOTAL(109,$CY$41:$CY$45),2)</f>
      </c>
      <c r="CZ46" s="173" t="str">
        <f>=ROUND(IFERROR(CX46/CY46,0),6)</f>
      </c>
      <c r="DC46" s="169" t="s">
        <v>300</v>
      </c>
      <c r="DD46" s="170" t="s">
        <v>271</v>
      </c>
      <c r="DE46" s="171" t="str">
        <f>=ROUND(SUBTOTAL(109,$DE$41:$DE$45),2)</f>
      </c>
      <c r="DF46" s="172" t="str">
        <f>=ROUND(SUBTOTAL(109,$DF$41:$DF$45),2)</f>
      </c>
      <c r="DG46" s="173" t="str">
        <f>=ROUND(IFERROR(DE46/DF46,0),6)</f>
      </c>
      <c r="DJ46" s="169" t="s">
        <v>300</v>
      </c>
      <c r="DK46" s="170" t="s">
        <v>271</v>
      </c>
      <c r="DL46" s="171" t="str">
        <f>=ROUND(SUBTOTAL(109,$DL$41:$DL$45),2)</f>
      </c>
      <c r="DM46" s="172" t="str">
        <f>=ROUND(SUBTOTAL(109,$DM$41:$DM$45),2)</f>
      </c>
      <c r="DN46" s="173" t="str">
        <f>=ROUND(IFERROR(DL46/DM46,0),6)</f>
      </c>
      <c r="DQ46" s="169" t="s">
        <v>300</v>
      </c>
      <c r="DR46" s="170" t="s">
        <v>271</v>
      </c>
      <c r="DS46" s="171" t="str">
        <f>=ROUND(SUBTOTAL(109,$DS$41:$DS$45),2)</f>
      </c>
      <c r="DT46" s="172" t="str">
        <f>=ROUND(SUBTOTAL(109,$DT$41:$DT$45),2)</f>
      </c>
      <c r="DU46" s="173" t="str">
        <f>=ROUND(IFERROR(DS46/DT46,0),6)</f>
      </c>
    </row>
    <row r="48">
      <c r="B48" s="104" t="s">
        <v>301</v>
      </c>
      <c r="I48" s="104" t="s">
        <v>301</v>
      </c>
      <c r="P48" s="104" t="s">
        <v>301</v>
      </c>
      <c r="W48" s="104" t="s">
        <v>301</v>
      </c>
      <c r="AD48" s="104" t="s">
        <v>301</v>
      </c>
      <c r="AK48" s="104" t="s">
        <v>301</v>
      </c>
      <c r="AR48" s="104" t="s">
        <v>301</v>
      </c>
      <c r="AY48" s="104" t="s">
        <v>301</v>
      </c>
      <c r="BF48" s="104" t="s">
        <v>301</v>
      </c>
      <c r="BM48" s="104" t="s">
        <v>301</v>
      </c>
      <c r="BT48" s="104" t="s">
        <v>301</v>
      </c>
      <c r="CA48" s="104" t="s">
        <v>301</v>
      </c>
      <c r="CH48" s="104" t="s">
        <v>301</v>
      </c>
      <c r="CO48" s="104" t="s">
        <v>301</v>
      </c>
      <c r="CV48" s="104" t="s">
        <v>301</v>
      </c>
      <c r="DC48" s="104" t="s">
        <v>301</v>
      </c>
      <c r="DJ48" s="104" t="s">
        <v>301</v>
      </c>
      <c r="DQ48" s="104" t="s">
        <v>301</v>
      </c>
    </row>
    <row r="49">
      <c r="B49" s="120" t="s">
        <v>295</v>
      </c>
      <c r="C49" s="120" t="s">
        <v>296</v>
      </c>
      <c r="D49" s="120" t="s">
        <v>274</v>
      </c>
      <c r="E49" s="120" t="s">
        <v>275</v>
      </c>
      <c r="F49" s="120" t="s">
        <v>297</v>
      </c>
      <c r="I49" s="120" t="s">
        <v>295</v>
      </c>
      <c r="J49" s="120" t="s">
        <v>296</v>
      </c>
      <c r="K49" s="120" t="s">
        <v>274</v>
      </c>
      <c r="L49" s="120" t="s">
        <v>275</v>
      </c>
      <c r="M49" s="120" t="s">
        <v>297</v>
      </c>
      <c r="P49" s="120" t="s">
        <v>295</v>
      </c>
      <c r="Q49" s="120" t="s">
        <v>296</v>
      </c>
      <c r="R49" s="120" t="s">
        <v>274</v>
      </c>
      <c r="S49" s="120" t="s">
        <v>275</v>
      </c>
      <c r="T49" s="120" t="s">
        <v>297</v>
      </c>
      <c r="W49" s="120" t="s">
        <v>295</v>
      </c>
      <c r="X49" s="120" t="s">
        <v>296</v>
      </c>
      <c r="Y49" s="120" t="s">
        <v>274</v>
      </c>
      <c r="Z49" s="120" t="s">
        <v>275</v>
      </c>
      <c r="AA49" s="120" t="s">
        <v>297</v>
      </c>
      <c r="AD49" s="120" t="s">
        <v>295</v>
      </c>
      <c r="AE49" s="120" t="s">
        <v>296</v>
      </c>
      <c r="AF49" s="120" t="s">
        <v>274</v>
      </c>
      <c r="AG49" s="120" t="s">
        <v>275</v>
      </c>
      <c r="AH49" s="120" t="s">
        <v>297</v>
      </c>
      <c r="AK49" s="120" t="s">
        <v>295</v>
      </c>
      <c r="AL49" s="120" t="s">
        <v>296</v>
      </c>
      <c r="AM49" s="120" t="s">
        <v>274</v>
      </c>
      <c r="AN49" s="120" t="s">
        <v>275</v>
      </c>
      <c r="AO49" s="120" t="s">
        <v>297</v>
      </c>
      <c r="AR49" s="120" t="s">
        <v>295</v>
      </c>
      <c r="AS49" s="120" t="s">
        <v>296</v>
      </c>
      <c r="AT49" s="120" t="s">
        <v>274</v>
      </c>
      <c r="AU49" s="120" t="s">
        <v>275</v>
      </c>
      <c r="AV49" s="120" t="s">
        <v>297</v>
      </c>
      <c r="AY49" s="120" t="s">
        <v>295</v>
      </c>
      <c r="AZ49" s="120" t="s">
        <v>296</v>
      </c>
      <c r="BA49" s="120" t="s">
        <v>274</v>
      </c>
      <c r="BB49" s="120" t="s">
        <v>275</v>
      </c>
      <c r="BC49" s="120" t="s">
        <v>297</v>
      </c>
      <c r="BF49" s="120" t="s">
        <v>295</v>
      </c>
      <c r="BG49" s="120" t="s">
        <v>296</v>
      </c>
      <c r="BH49" s="120" t="s">
        <v>274</v>
      </c>
      <c r="BI49" s="120" t="s">
        <v>275</v>
      </c>
      <c r="BJ49" s="120" t="s">
        <v>297</v>
      </c>
      <c r="BM49" s="120" t="s">
        <v>295</v>
      </c>
      <c r="BN49" s="120" t="s">
        <v>296</v>
      </c>
      <c r="BO49" s="120" t="s">
        <v>274</v>
      </c>
      <c r="BP49" s="120" t="s">
        <v>275</v>
      </c>
      <c r="BQ49" s="120" t="s">
        <v>297</v>
      </c>
      <c r="BT49" s="120" t="s">
        <v>295</v>
      </c>
      <c r="BU49" s="120" t="s">
        <v>296</v>
      </c>
      <c r="BV49" s="120" t="s">
        <v>274</v>
      </c>
      <c r="BW49" s="120" t="s">
        <v>275</v>
      </c>
      <c r="BX49" s="120" t="s">
        <v>297</v>
      </c>
      <c r="CA49" s="120" t="s">
        <v>295</v>
      </c>
      <c r="CB49" s="120" t="s">
        <v>296</v>
      </c>
      <c r="CC49" s="120" t="s">
        <v>274</v>
      </c>
      <c r="CD49" s="120" t="s">
        <v>275</v>
      </c>
      <c r="CE49" s="120" t="s">
        <v>297</v>
      </c>
      <c r="CH49" s="120" t="s">
        <v>295</v>
      </c>
      <c r="CI49" s="120" t="s">
        <v>296</v>
      </c>
      <c r="CJ49" s="120" t="s">
        <v>274</v>
      </c>
      <c r="CK49" s="120" t="s">
        <v>275</v>
      </c>
      <c r="CL49" s="120" t="s">
        <v>297</v>
      </c>
      <c r="CO49" s="120" t="s">
        <v>295</v>
      </c>
      <c r="CP49" s="120" t="s">
        <v>296</v>
      </c>
      <c r="CQ49" s="120" t="s">
        <v>274</v>
      </c>
      <c r="CR49" s="120" t="s">
        <v>275</v>
      </c>
      <c r="CS49" s="120" t="s">
        <v>297</v>
      </c>
      <c r="CV49" s="120" t="s">
        <v>295</v>
      </c>
      <c r="CW49" s="120" t="s">
        <v>296</v>
      </c>
      <c r="CX49" s="120" t="s">
        <v>274</v>
      </c>
      <c r="CY49" s="120" t="s">
        <v>275</v>
      </c>
      <c r="CZ49" s="120" t="s">
        <v>297</v>
      </c>
      <c r="DC49" s="120" t="s">
        <v>295</v>
      </c>
      <c r="DD49" s="120" t="s">
        <v>296</v>
      </c>
      <c r="DE49" s="120" t="s">
        <v>274</v>
      </c>
      <c r="DF49" s="120" t="s">
        <v>275</v>
      </c>
      <c r="DG49" s="120" t="s">
        <v>297</v>
      </c>
      <c r="DJ49" s="120" t="s">
        <v>295</v>
      </c>
      <c r="DK49" s="120" t="s">
        <v>296</v>
      </c>
      <c r="DL49" s="120" t="s">
        <v>274</v>
      </c>
      <c r="DM49" s="120" t="s">
        <v>275</v>
      </c>
      <c r="DN49" s="120" t="s">
        <v>297</v>
      </c>
      <c r="DQ49" s="120" t="s">
        <v>295</v>
      </c>
      <c r="DR49" s="120" t="s">
        <v>296</v>
      </c>
      <c r="DS49" s="120" t="s">
        <v>274</v>
      </c>
      <c r="DT49" s="120" t="s">
        <v>275</v>
      </c>
      <c r="DU49" s="120" t="s">
        <v>297</v>
      </c>
    </row>
    <row r="50">
      <c r="B50" s="164" t="s">
        <v>194</v>
      </c>
      <c r="C50" s="165" t="s">
        <v>302</v>
      </c>
      <c r="D50" s="166"/>
      <c r="E50" s="174" t="str">
        <f>=IFERROR(ROUND(D50/$C$8,2),0)</f>
      </c>
      <c r="F50" s="168" t="str">
        <f>=ROUND(IFERROR(D50/E50,0),6)</f>
      </c>
      <c r="I50" s="164" t="s">
        <v>194</v>
      </c>
      <c r="J50" s="165" t="s">
        <v>302</v>
      </c>
      <c r="K50" s="166"/>
      <c r="L50" s="174" t="str">
        <f>=IFERROR(ROUND(K50/$J$8,2),0)</f>
      </c>
      <c r="M50" s="168" t="str">
        <f>=ROUND(IFERROR(K50/L50,0),6)</f>
      </c>
      <c r="P50" s="164" t="s">
        <v>194</v>
      </c>
      <c r="Q50" s="165" t="s">
        <v>302</v>
      </c>
      <c r="R50" s="166"/>
      <c r="S50" s="174" t="str">
        <f>=IFERROR(ROUND(R50/$Q$8,2),0)</f>
      </c>
      <c r="T50" s="168" t="str">
        <f>=ROUND(IFERROR(R50/S50,0),6)</f>
      </c>
      <c r="W50" s="164" t="s">
        <v>194</v>
      </c>
      <c r="X50" s="165" t="s">
        <v>302</v>
      </c>
      <c r="Y50" s="166"/>
      <c r="Z50" s="174" t="str">
        <f>=IFERROR(ROUND(Y50/$X$8,2),0)</f>
      </c>
      <c r="AA50" s="168" t="str">
        <f>=ROUND(IFERROR(Y50/Z50,0),6)</f>
      </c>
      <c r="AD50" s="164" t="s">
        <v>194</v>
      </c>
      <c r="AE50" s="165" t="s">
        <v>302</v>
      </c>
      <c r="AF50" s="166"/>
      <c r="AG50" s="174" t="str">
        <f>=IFERROR(ROUND(AF50/$AE$8,2),0)</f>
      </c>
      <c r="AH50" s="168" t="str">
        <f>=ROUND(IFERROR(AF50/AG50,0),6)</f>
      </c>
      <c r="AK50" s="164" t="s">
        <v>194</v>
      </c>
      <c r="AL50" s="165" t="s">
        <v>302</v>
      </c>
      <c r="AM50" s="166"/>
      <c r="AN50" s="174" t="str">
        <f>=IFERROR(ROUND(AM50/$AL$8,2),0)</f>
      </c>
      <c r="AO50" s="168" t="str">
        <f>=ROUND(IFERROR(AM50/AN50,0),6)</f>
      </c>
      <c r="AR50" s="164" t="s">
        <v>194</v>
      </c>
      <c r="AS50" s="165" t="s">
        <v>302</v>
      </c>
      <c r="AT50" s="166"/>
      <c r="AU50" s="174" t="str">
        <f>=IFERROR(ROUND(AT50/$AS$8,2),0)</f>
      </c>
      <c r="AV50" s="168" t="str">
        <f>=ROUND(IFERROR(AT50/AU50,0),6)</f>
      </c>
      <c r="AY50" s="164" t="s">
        <v>194</v>
      </c>
      <c r="AZ50" s="165" t="s">
        <v>302</v>
      </c>
      <c r="BA50" s="166"/>
      <c r="BB50" s="174" t="str">
        <f>=IFERROR(ROUND(BA50/$AZ$8,2),0)</f>
      </c>
      <c r="BC50" s="168" t="str">
        <f>=ROUND(IFERROR(BA50/BB50,0),6)</f>
      </c>
      <c r="BF50" s="164" t="s">
        <v>194</v>
      </c>
      <c r="BG50" s="165" t="s">
        <v>302</v>
      </c>
      <c r="BH50" s="166"/>
      <c r="BI50" s="174" t="str">
        <f>=IFERROR(ROUND(BH50/$BG$8,2),0)</f>
      </c>
      <c r="BJ50" s="168" t="str">
        <f>=ROUND(IFERROR(BH50/BI50,0),6)</f>
      </c>
      <c r="BM50" s="164" t="s">
        <v>194</v>
      </c>
      <c r="BN50" s="165" t="s">
        <v>302</v>
      </c>
      <c r="BO50" s="166"/>
      <c r="BP50" s="174" t="str">
        <f>=IFERROR(ROUND(BO50/$BN$8,2),0)</f>
      </c>
      <c r="BQ50" s="168" t="str">
        <f>=ROUND(IFERROR(BO50/BP50,0),6)</f>
      </c>
      <c r="BT50" s="164" t="s">
        <v>194</v>
      </c>
      <c r="BU50" s="165" t="s">
        <v>302</v>
      </c>
      <c r="BV50" s="166"/>
      <c r="BW50" s="174" t="str">
        <f>=IFERROR(ROUND(BV50/$BU$8,2),0)</f>
      </c>
      <c r="BX50" s="168" t="str">
        <f>=ROUND(IFERROR(BV50/BW50,0),6)</f>
      </c>
      <c r="CA50" s="164" t="s">
        <v>194</v>
      </c>
      <c r="CB50" s="165" t="s">
        <v>302</v>
      </c>
      <c r="CC50" s="166"/>
      <c r="CD50" s="174" t="str">
        <f>=IFERROR(ROUND(CC50/$CB$8,2),0)</f>
      </c>
      <c r="CE50" s="168" t="str">
        <f>=ROUND(IFERROR(CC50/CD50,0),6)</f>
      </c>
      <c r="CH50" s="164" t="s">
        <v>194</v>
      </c>
      <c r="CI50" s="165" t="s">
        <v>302</v>
      </c>
      <c r="CJ50" s="166"/>
      <c r="CK50" s="174" t="str">
        <f>=IFERROR(ROUND(CJ50/$CI$8,2),0)</f>
      </c>
      <c r="CL50" s="168" t="str">
        <f>=ROUND(IFERROR(CJ50/CK50,0),6)</f>
      </c>
      <c r="CO50" s="164" t="s">
        <v>194</v>
      </c>
      <c r="CP50" s="165" t="s">
        <v>302</v>
      </c>
      <c r="CQ50" s="166"/>
      <c r="CR50" s="174" t="str">
        <f>=IFERROR(ROUND(CQ50/$CP$8,2),0)</f>
      </c>
      <c r="CS50" s="168" t="str">
        <f>=ROUND(IFERROR(CQ50/CR50,0),6)</f>
      </c>
      <c r="CV50" s="164" t="s">
        <v>194</v>
      </c>
      <c r="CW50" s="165" t="s">
        <v>302</v>
      </c>
      <c r="CX50" s="166"/>
      <c r="CY50" s="174" t="str">
        <f>=IFERROR(ROUND(CX50/$CW$8,2),0)</f>
      </c>
      <c r="CZ50" s="168" t="str">
        <f>=ROUND(IFERROR(CX50/CY50,0),6)</f>
      </c>
      <c r="DC50" s="164" t="s">
        <v>194</v>
      </c>
      <c r="DD50" s="165" t="s">
        <v>302</v>
      </c>
      <c r="DE50" s="166"/>
      <c r="DF50" s="174" t="str">
        <f>=IFERROR(ROUND(DE50/$DD$8,2),0)</f>
      </c>
      <c r="DG50" s="168" t="str">
        <f>=ROUND(IFERROR(DE50/DF50,0),6)</f>
      </c>
      <c r="DJ50" s="164" t="s">
        <v>194</v>
      </c>
      <c r="DK50" s="165" t="s">
        <v>302</v>
      </c>
      <c r="DL50" s="166"/>
      <c r="DM50" s="174" t="str">
        <f>=IFERROR(ROUND(DL50/$DK$8,2),0)</f>
      </c>
      <c r="DN50" s="168" t="str">
        <f>=ROUND(IFERROR(DL50/DM50,0),6)</f>
      </c>
      <c r="DQ50" s="164" t="s">
        <v>194</v>
      </c>
      <c r="DR50" s="165" t="s">
        <v>302</v>
      </c>
      <c r="DS50" s="166"/>
      <c r="DT50" s="174" t="str">
        <f>=IFERROR(ROUND(DS50/$DR$8,2),0)</f>
      </c>
      <c r="DU50" s="168" t="str">
        <f>=ROUND(IFERROR(DS50/DT50,0),6)</f>
      </c>
    </row>
    <row r="51">
      <c r="B51" s="164" t="s">
        <v>279</v>
      </c>
      <c r="C51" s="165" t="s">
        <v>158</v>
      </c>
      <c r="D51" s="166"/>
      <c r="E51" s="174" t="str">
        <f>=IFERROR(ROUND(D51/$C$8,2),0)</f>
      </c>
      <c r="F51" s="168" t="str">
        <f>=ROUND(IFERROR(D51/E51,0),6)</f>
      </c>
      <c r="I51" s="164" t="s">
        <v>279</v>
      </c>
      <c r="J51" s="165" t="s">
        <v>158</v>
      </c>
      <c r="K51" s="166"/>
      <c r="L51" s="174" t="str">
        <f>=IFERROR(ROUND(K51/$J$8,2),0)</f>
      </c>
      <c r="M51" s="168" t="str">
        <f>=ROUND(IFERROR(K51/L51,0),6)</f>
      </c>
      <c r="P51" s="164" t="s">
        <v>279</v>
      </c>
      <c r="Q51" s="165" t="s">
        <v>158</v>
      </c>
      <c r="R51" s="166"/>
      <c r="S51" s="174" t="str">
        <f>=IFERROR(ROUND(R51/$Q$8,2),0)</f>
      </c>
      <c r="T51" s="168" t="str">
        <f>=ROUND(IFERROR(R51/S51,0),6)</f>
      </c>
      <c r="W51" s="164" t="s">
        <v>279</v>
      </c>
      <c r="X51" s="165" t="s">
        <v>158</v>
      </c>
      <c r="Y51" s="166"/>
      <c r="Z51" s="174" t="str">
        <f>=IFERROR(ROUND(Y51/$X$8,2),0)</f>
      </c>
      <c r="AA51" s="168" t="str">
        <f>=ROUND(IFERROR(Y51/Z51,0),6)</f>
      </c>
      <c r="AD51" s="164" t="s">
        <v>279</v>
      </c>
      <c r="AE51" s="165" t="s">
        <v>158</v>
      </c>
      <c r="AF51" s="166"/>
      <c r="AG51" s="174" t="str">
        <f>=IFERROR(ROUND(AF51/$AE$8,2),0)</f>
      </c>
      <c r="AH51" s="168" t="str">
        <f>=ROUND(IFERROR(AF51/AG51,0),6)</f>
      </c>
      <c r="AK51" s="164" t="s">
        <v>279</v>
      </c>
      <c r="AL51" s="165" t="s">
        <v>158</v>
      </c>
      <c r="AM51" s="166"/>
      <c r="AN51" s="174" t="str">
        <f>=IFERROR(ROUND(AM51/$AL$8,2),0)</f>
      </c>
      <c r="AO51" s="168" t="str">
        <f>=ROUND(IFERROR(AM51/AN51,0),6)</f>
      </c>
      <c r="AR51" s="164" t="s">
        <v>279</v>
      </c>
      <c r="AS51" s="165" t="s">
        <v>158</v>
      </c>
      <c r="AT51" s="166"/>
      <c r="AU51" s="174" t="str">
        <f>=IFERROR(ROUND(AT51/$AS$8,2),0)</f>
      </c>
      <c r="AV51" s="168" t="str">
        <f>=ROUND(IFERROR(AT51/AU51,0),6)</f>
      </c>
      <c r="AY51" s="164" t="s">
        <v>279</v>
      </c>
      <c r="AZ51" s="165" t="s">
        <v>158</v>
      </c>
      <c r="BA51" s="166"/>
      <c r="BB51" s="174" t="str">
        <f>=IFERROR(ROUND(BA51/$AZ$8,2),0)</f>
      </c>
      <c r="BC51" s="168" t="str">
        <f>=ROUND(IFERROR(BA51/BB51,0),6)</f>
      </c>
      <c r="BF51" s="164" t="s">
        <v>279</v>
      </c>
      <c r="BG51" s="165" t="s">
        <v>158</v>
      </c>
      <c r="BH51" s="166"/>
      <c r="BI51" s="174" t="str">
        <f>=IFERROR(ROUND(BH51/$BG$8,2),0)</f>
      </c>
      <c r="BJ51" s="168" t="str">
        <f>=ROUND(IFERROR(BH51/BI51,0),6)</f>
      </c>
      <c r="BM51" s="164" t="s">
        <v>279</v>
      </c>
      <c r="BN51" s="165" t="s">
        <v>158</v>
      </c>
      <c r="BO51" s="166"/>
      <c r="BP51" s="174" t="str">
        <f>=IFERROR(ROUND(BO51/$BN$8,2),0)</f>
      </c>
      <c r="BQ51" s="168" t="str">
        <f>=ROUND(IFERROR(BO51/BP51,0),6)</f>
      </c>
      <c r="BT51" s="164" t="s">
        <v>279</v>
      </c>
      <c r="BU51" s="165" t="s">
        <v>158</v>
      </c>
      <c r="BV51" s="166"/>
      <c r="BW51" s="174" t="str">
        <f>=IFERROR(ROUND(BV51/$BU$8,2),0)</f>
      </c>
      <c r="BX51" s="168" t="str">
        <f>=ROUND(IFERROR(BV51/BW51,0),6)</f>
      </c>
      <c r="CA51" s="164" t="s">
        <v>279</v>
      </c>
      <c r="CB51" s="165" t="s">
        <v>158</v>
      </c>
      <c r="CC51" s="166"/>
      <c r="CD51" s="174" t="str">
        <f>=IFERROR(ROUND(CC51/$CB$8,2),0)</f>
      </c>
      <c r="CE51" s="168" t="str">
        <f>=ROUND(IFERROR(CC51/CD51,0),6)</f>
      </c>
      <c r="CH51" s="164" t="s">
        <v>279</v>
      </c>
      <c r="CI51" s="165" t="s">
        <v>158</v>
      </c>
      <c r="CJ51" s="166"/>
      <c r="CK51" s="174" t="str">
        <f>=IFERROR(ROUND(CJ51/$CI$8,2),0)</f>
      </c>
      <c r="CL51" s="168" t="str">
        <f>=ROUND(IFERROR(CJ51/CK51,0),6)</f>
      </c>
      <c r="CO51" s="164" t="s">
        <v>279</v>
      </c>
      <c r="CP51" s="165" t="s">
        <v>158</v>
      </c>
      <c r="CQ51" s="166"/>
      <c r="CR51" s="174" t="str">
        <f>=IFERROR(ROUND(CQ51/$CP$8,2),0)</f>
      </c>
      <c r="CS51" s="168" t="str">
        <f>=ROUND(IFERROR(CQ51/CR51,0),6)</f>
      </c>
      <c r="CV51" s="164" t="s">
        <v>279</v>
      </c>
      <c r="CW51" s="165" t="s">
        <v>158</v>
      </c>
      <c r="CX51" s="166"/>
      <c r="CY51" s="174" t="str">
        <f>=IFERROR(ROUND(CX51/$CW$8,2),0)</f>
      </c>
      <c r="CZ51" s="168" t="str">
        <f>=ROUND(IFERROR(CX51/CY51,0),6)</f>
      </c>
      <c r="DC51" s="164" t="s">
        <v>279</v>
      </c>
      <c r="DD51" s="165" t="s">
        <v>158</v>
      </c>
      <c r="DE51" s="166"/>
      <c r="DF51" s="174" t="str">
        <f>=IFERROR(ROUND(DE51/$DD$8,2),0)</f>
      </c>
      <c r="DG51" s="168" t="str">
        <f>=ROUND(IFERROR(DE51/DF51,0),6)</f>
      </c>
      <c r="DJ51" s="164" t="s">
        <v>279</v>
      </c>
      <c r="DK51" s="165" t="s">
        <v>158</v>
      </c>
      <c r="DL51" s="166"/>
      <c r="DM51" s="174" t="str">
        <f>=IFERROR(ROUND(DL51/$DK$8,2),0)</f>
      </c>
      <c r="DN51" s="168" t="str">
        <f>=ROUND(IFERROR(DL51/DM51,0),6)</f>
      </c>
      <c r="DQ51" s="164" t="s">
        <v>279</v>
      </c>
      <c r="DR51" s="165" t="s">
        <v>158</v>
      </c>
      <c r="DS51" s="166"/>
      <c r="DT51" s="174" t="str">
        <f>=IFERROR(ROUND(DS51/$DR$8,2),0)</f>
      </c>
      <c r="DU51" s="168" t="str">
        <f>=ROUND(IFERROR(DS51/DT51,0),6)</f>
      </c>
    </row>
    <row r="52">
      <c r="B52" s="164" t="s">
        <v>280</v>
      </c>
      <c r="C52" s="165" t="s">
        <v>290</v>
      </c>
      <c r="D52" s="166"/>
      <c r="E52" s="174" t="str">
        <f>=IFERROR(ROUND(D52/$C$8,2),0)</f>
      </c>
      <c r="F52" s="168" t="str">
        <f>=ROUND(IFERROR(D52/E52,0),6)</f>
      </c>
      <c r="I52" s="164" t="s">
        <v>280</v>
      </c>
      <c r="J52" s="165" t="s">
        <v>290</v>
      </c>
      <c r="K52" s="166"/>
      <c r="L52" s="174" t="str">
        <f>=IFERROR(ROUND(K52/$J$8,2),0)</f>
      </c>
      <c r="M52" s="168" t="str">
        <f>=ROUND(IFERROR(K52/L52,0),6)</f>
      </c>
      <c r="P52" s="164" t="s">
        <v>280</v>
      </c>
      <c r="Q52" s="165" t="s">
        <v>290</v>
      </c>
      <c r="R52" s="166"/>
      <c r="S52" s="174" t="str">
        <f>=IFERROR(ROUND(R52/$Q$8,2),0)</f>
      </c>
      <c r="T52" s="168" t="str">
        <f>=ROUND(IFERROR(R52/S52,0),6)</f>
      </c>
      <c r="W52" s="164" t="s">
        <v>280</v>
      </c>
      <c r="X52" s="165" t="s">
        <v>290</v>
      </c>
      <c r="Y52" s="166"/>
      <c r="Z52" s="174" t="str">
        <f>=IFERROR(ROUND(Y52/$X$8,2),0)</f>
      </c>
      <c r="AA52" s="168" t="str">
        <f>=ROUND(IFERROR(Y52/Z52,0),6)</f>
      </c>
      <c r="AD52" s="164" t="s">
        <v>280</v>
      </c>
      <c r="AE52" s="165" t="s">
        <v>290</v>
      </c>
      <c r="AF52" s="166"/>
      <c r="AG52" s="174" t="str">
        <f>=IFERROR(ROUND(AF52/$AE$8,2),0)</f>
      </c>
      <c r="AH52" s="168" t="str">
        <f>=ROUND(IFERROR(AF52/AG52,0),6)</f>
      </c>
      <c r="AK52" s="164" t="s">
        <v>280</v>
      </c>
      <c r="AL52" s="165" t="s">
        <v>290</v>
      </c>
      <c r="AM52" s="166"/>
      <c r="AN52" s="174" t="str">
        <f>=IFERROR(ROUND(AM52/$AL$8,2),0)</f>
      </c>
      <c r="AO52" s="168" t="str">
        <f>=ROUND(IFERROR(AM52/AN52,0),6)</f>
      </c>
      <c r="AR52" s="164" t="s">
        <v>280</v>
      </c>
      <c r="AS52" s="165" t="s">
        <v>290</v>
      </c>
      <c r="AT52" s="166"/>
      <c r="AU52" s="174" t="str">
        <f>=IFERROR(ROUND(AT52/$AS$8,2),0)</f>
      </c>
      <c r="AV52" s="168" t="str">
        <f>=ROUND(IFERROR(AT52/AU52,0),6)</f>
      </c>
      <c r="AY52" s="164" t="s">
        <v>280</v>
      </c>
      <c r="AZ52" s="165" t="s">
        <v>290</v>
      </c>
      <c r="BA52" s="166"/>
      <c r="BB52" s="174" t="str">
        <f>=IFERROR(ROUND(BA52/$AZ$8,2),0)</f>
      </c>
      <c r="BC52" s="168" t="str">
        <f>=ROUND(IFERROR(BA52/BB52,0),6)</f>
      </c>
      <c r="BF52" s="164" t="s">
        <v>280</v>
      </c>
      <c r="BG52" s="165" t="s">
        <v>290</v>
      </c>
      <c r="BH52" s="166"/>
      <c r="BI52" s="174" t="str">
        <f>=IFERROR(ROUND(BH52/$BG$8,2),0)</f>
      </c>
      <c r="BJ52" s="168" t="str">
        <f>=ROUND(IFERROR(BH52/BI52,0),6)</f>
      </c>
      <c r="BM52" s="164" t="s">
        <v>280</v>
      </c>
      <c r="BN52" s="165" t="s">
        <v>290</v>
      </c>
      <c r="BO52" s="166"/>
      <c r="BP52" s="174" t="str">
        <f>=IFERROR(ROUND(BO52/$BN$8,2),0)</f>
      </c>
      <c r="BQ52" s="168" t="str">
        <f>=ROUND(IFERROR(BO52/BP52,0),6)</f>
      </c>
      <c r="BT52" s="164" t="s">
        <v>280</v>
      </c>
      <c r="BU52" s="165" t="s">
        <v>290</v>
      </c>
      <c r="BV52" s="166"/>
      <c r="BW52" s="174" t="str">
        <f>=IFERROR(ROUND(BV52/$BU$8,2),0)</f>
      </c>
      <c r="BX52" s="168" t="str">
        <f>=ROUND(IFERROR(BV52/BW52,0),6)</f>
      </c>
      <c r="CA52" s="164" t="s">
        <v>280</v>
      </c>
      <c r="CB52" s="165" t="s">
        <v>290</v>
      </c>
      <c r="CC52" s="166"/>
      <c r="CD52" s="174" t="str">
        <f>=IFERROR(ROUND(CC52/$CB$8,2),0)</f>
      </c>
      <c r="CE52" s="168" t="str">
        <f>=ROUND(IFERROR(CC52/CD52,0),6)</f>
      </c>
      <c r="CH52" s="164" t="s">
        <v>280</v>
      </c>
      <c r="CI52" s="165" t="s">
        <v>290</v>
      </c>
      <c r="CJ52" s="166"/>
      <c r="CK52" s="174" t="str">
        <f>=IFERROR(ROUND(CJ52/$CI$8,2),0)</f>
      </c>
      <c r="CL52" s="168" t="str">
        <f>=ROUND(IFERROR(CJ52/CK52,0),6)</f>
      </c>
      <c r="CO52" s="164" t="s">
        <v>280</v>
      </c>
      <c r="CP52" s="165" t="s">
        <v>290</v>
      </c>
      <c r="CQ52" s="166"/>
      <c r="CR52" s="174" t="str">
        <f>=IFERROR(ROUND(CQ52/$CP$8,2),0)</f>
      </c>
      <c r="CS52" s="168" t="str">
        <f>=ROUND(IFERROR(CQ52/CR52,0),6)</f>
      </c>
      <c r="CV52" s="164" t="s">
        <v>280</v>
      </c>
      <c r="CW52" s="165" t="s">
        <v>290</v>
      </c>
      <c r="CX52" s="166"/>
      <c r="CY52" s="174" t="str">
        <f>=IFERROR(ROUND(CX52/$CW$8,2),0)</f>
      </c>
      <c r="CZ52" s="168" t="str">
        <f>=ROUND(IFERROR(CX52/CY52,0),6)</f>
      </c>
      <c r="DC52" s="164" t="s">
        <v>280</v>
      </c>
      <c r="DD52" s="165" t="s">
        <v>290</v>
      </c>
      <c r="DE52" s="166"/>
      <c r="DF52" s="174" t="str">
        <f>=IFERROR(ROUND(DE52/$DD$8,2),0)</f>
      </c>
      <c r="DG52" s="168" t="str">
        <f>=ROUND(IFERROR(DE52/DF52,0),6)</f>
      </c>
      <c r="DJ52" s="164" t="s">
        <v>280</v>
      </c>
      <c r="DK52" s="165" t="s">
        <v>290</v>
      </c>
      <c r="DL52" s="166"/>
      <c r="DM52" s="174" t="str">
        <f>=IFERROR(ROUND(DL52/$DK$8,2),0)</f>
      </c>
      <c r="DN52" s="168" t="str">
        <f>=ROUND(IFERROR(DL52/DM52,0),6)</f>
      </c>
      <c r="DQ52" s="164" t="s">
        <v>280</v>
      </c>
      <c r="DR52" s="165" t="s">
        <v>290</v>
      </c>
      <c r="DS52" s="166"/>
      <c r="DT52" s="174" t="str">
        <f>=IFERROR(ROUND(DS52/$DR$8,2),0)</f>
      </c>
      <c r="DU52" s="168" t="str">
        <f>=ROUND(IFERROR(DS52/DT52,0),6)</f>
      </c>
    </row>
    <row r="53">
      <c r="B53" s="164" t="s">
        <v>158</v>
      </c>
      <c r="C53" s="165" t="s">
        <v>158</v>
      </c>
      <c r="D53" s="166"/>
      <c r="E53" s="174" t="str">
        <f>=IFERROR(ROUND(D53/$C$8,2),0)</f>
      </c>
      <c r="F53" s="168" t="str">
        <f>=ROUND(IFERROR(D53/E53,0),6)</f>
      </c>
      <c r="I53" s="164" t="s">
        <v>158</v>
      </c>
      <c r="J53" s="165" t="s">
        <v>158</v>
      </c>
      <c r="K53" s="166"/>
      <c r="L53" s="174" t="str">
        <f>=IFERROR(ROUND(K53/$J$8,2),0)</f>
      </c>
      <c r="M53" s="168" t="str">
        <f>=ROUND(IFERROR(K53/L53,0),6)</f>
      </c>
      <c r="P53" s="164" t="s">
        <v>158</v>
      </c>
      <c r="Q53" s="165" t="s">
        <v>158</v>
      </c>
      <c r="R53" s="166"/>
      <c r="S53" s="174" t="str">
        <f>=IFERROR(ROUND(R53/$Q$8,2),0)</f>
      </c>
      <c r="T53" s="168" t="str">
        <f>=ROUND(IFERROR(R53/S53,0),6)</f>
      </c>
      <c r="W53" s="164" t="s">
        <v>158</v>
      </c>
      <c r="X53" s="165" t="s">
        <v>158</v>
      </c>
      <c r="Y53" s="166"/>
      <c r="Z53" s="174" t="str">
        <f>=IFERROR(ROUND(Y53/$X$8,2),0)</f>
      </c>
      <c r="AA53" s="168" t="str">
        <f>=ROUND(IFERROR(Y53/Z53,0),6)</f>
      </c>
      <c r="AD53" s="164" t="s">
        <v>158</v>
      </c>
      <c r="AE53" s="165" t="s">
        <v>158</v>
      </c>
      <c r="AF53" s="166"/>
      <c r="AG53" s="174" t="str">
        <f>=IFERROR(ROUND(AF53/$AE$8,2),0)</f>
      </c>
      <c r="AH53" s="168" t="str">
        <f>=ROUND(IFERROR(AF53/AG53,0),6)</f>
      </c>
      <c r="AK53" s="164" t="s">
        <v>158</v>
      </c>
      <c r="AL53" s="165" t="s">
        <v>158</v>
      </c>
      <c r="AM53" s="166"/>
      <c r="AN53" s="174" t="str">
        <f>=IFERROR(ROUND(AM53/$AL$8,2),0)</f>
      </c>
      <c r="AO53" s="168" t="str">
        <f>=ROUND(IFERROR(AM53/AN53,0),6)</f>
      </c>
      <c r="AR53" s="164" t="s">
        <v>158</v>
      </c>
      <c r="AS53" s="165" t="s">
        <v>158</v>
      </c>
      <c r="AT53" s="166"/>
      <c r="AU53" s="174" t="str">
        <f>=IFERROR(ROUND(AT53/$AS$8,2),0)</f>
      </c>
      <c r="AV53" s="168" t="str">
        <f>=ROUND(IFERROR(AT53/AU53,0),6)</f>
      </c>
      <c r="AY53" s="164" t="s">
        <v>158</v>
      </c>
      <c r="AZ53" s="165" t="s">
        <v>158</v>
      </c>
      <c r="BA53" s="166"/>
      <c r="BB53" s="174" t="str">
        <f>=IFERROR(ROUND(BA53/$AZ$8,2),0)</f>
      </c>
      <c r="BC53" s="168" t="str">
        <f>=ROUND(IFERROR(BA53/BB53,0),6)</f>
      </c>
      <c r="BF53" s="164" t="s">
        <v>158</v>
      </c>
      <c r="BG53" s="165" t="s">
        <v>158</v>
      </c>
      <c r="BH53" s="166"/>
      <c r="BI53" s="174" t="str">
        <f>=IFERROR(ROUND(BH53/$BG$8,2),0)</f>
      </c>
      <c r="BJ53" s="168" t="str">
        <f>=ROUND(IFERROR(BH53/BI53,0),6)</f>
      </c>
      <c r="BM53" s="164" t="s">
        <v>158</v>
      </c>
      <c r="BN53" s="165" t="s">
        <v>158</v>
      </c>
      <c r="BO53" s="166"/>
      <c r="BP53" s="174" t="str">
        <f>=IFERROR(ROUND(BO53/$BN$8,2),0)</f>
      </c>
      <c r="BQ53" s="168" t="str">
        <f>=ROUND(IFERROR(BO53/BP53,0),6)</f>
      </c>
      <c r="BT53" s="164" t="s">
        <v>158</v>
      </c>
      <c r="BU53" s="165" t="s">
        <v>158</v>
      </c>
      <c r="BV53" s="166"/>
      <c r="BW53" s="174" t="str">
        <f>=IFERROR(ROUND(BV53/$BU$8,2),0)</f>
      </c>
      <c r="BX53" s="168" t="str">
        <f>=ROUND(IFERROR(BV53/BW53,0),6)</f>
      </c>
      <c r="CA53" s="164" t="s">
        <v>158</v>
      </c>
      <c r="CB53" s="165" t="s">
        <v>158</v>
      </c>
      <c r="CC53" s="166"/>
      <c r="CD53" s="174" t="str">
        <f>=IFERROR(ROUND(CC53/$CB$8,2),0)</f>
      </c>
      <c r="CE53" s="168" t="str">
        <f>=ROUND(IFERROR(CC53/CD53,0),6)</f>
      </c>
      <c r="CH53" s="164" t="s">
        <v>158</v>
      </c>
      <c r="CI53" s="165" t="s">
        <v>158</v>
      </c>
      <c r="CJ53" s="166"/>
      <c r="CK53" s="174" t="str">
        <f>=IFERROR(ROUND(CJ53/$CI$8,2),0)</f>
      </c>
      <c r="CL53" s="168" t="str">
        <f>=ROUND(IFERROR(CJ53/CK53,0),6)</f>
      </c>
      <c r="CO53" s="164" t="s">
        <v>158</v>
      </c>
      <c r="CP53" s="165" t="s">
        <v>158</v>
      </c>
      <c r="CQ53" s="166"/>
      <c r="CR53" s="174" t="str">
        <f>=IFERROR(ROUND(CQ53/$CP$8,2),0)</f>
      </c>
      <c r="CS53" s="168" t="str">
        <f>=ROUND(IFERROR(CQ53/CR53,0),6)</f>
      </c>
      <c r="CV53" s="164" t="s">
        <v>158</v>
      </c>
      <c r="CW53" s="165" t="s">
        <v>158</v>
      </c>
      <c r="CX53" s="166"/>
      <c r="CY53" s="174" t="str">
        <f>=IFERROR(ROUND(CX53/$CW$8,2),0)</f>
      </c>
      <c r="CZ53" s="168" t="str">
        <f>=ROUND(IFERROR(CX53/CY53,0),6)</f>
      </c>
      <c r="DC53" s="164" t="s">
        <v>158</v>
      </c>
      <c r="DD53" s="165" t="s">
        <v>158</v>
      </c>
      <c r="DE53" s="166"/>
      <c r="DF53" s="174" t="str">
        <f>=IFERROR(ROUND(DE53/$DD$8,2),0)</f>
      </c>
      <c r="DG53" s="168" t="str">
        <f>=ROUND(IFERROR(DE53/DF53,0),6)</f>
      </c>
      <c r="DJ53" s="164" t="s">
        <v>158</v>
      </c>
      <c r="DK53" s="165" t="s">
        <v>158</v>
      </c>
      <c r="DL53" s="166"/>
      <c r="DM53" s="174" t="str">
        <f>=IFERROR(ROUND(DL53/$DK$8,2),0)</f>
      </c>
      <c r="DN53" s="168" t="str">
        <f>=ROUND(IFERROR(DL53/DM53,0),6)</f>
      </c>
      <c r="DQ53" s="164" t="s">
        <v>158</v>
      </c>
      <c r="DR53" s="165" t="s">
        <v>158</v>
      </c>
      <c r="DS53" s="166"/>
      <c r="DT53" s="174" t="str">
        <f>=IFERROR(ROUND(DS53/$DR$8,2),0)</f>
      </c>
      <c r="DU53" s="168" t="str">
        <f>=ROUND(IFERROR(DS53/DT53,0),6)</f>
      </c>
    </row>
    <row r="54">
      <c r="B54" s="164" t="s">
        <v>158</v>
      </c>
      <c r="C54" s="165" t="s">
        <v>158</v>
      </c>
      <c r="D54" s="166"/>
      <c r="E54" s="174" t="str">
        <f>=IFERROR(ROUND(D54/$C$8,2),0)</f>
      </c>
      <c r="F54" s="168" t="str">
        <f>=ROUND(IFERROR(D54/E54,0),6)</f>
      </c>
      <c r="I54" s="164" t="s">
        <v>158</v>
      </c>
      <c r="J54" s="165" t="s">
        <v>158</v>
      </c>
      <c r="K54" s="166"/>
      <c r="L54" s="174" t="str">
        <f>=IFERROR(ROUND(K54/$J$8,2),0)</f>
      </c>
      <c r="M54" s="168" t="str">
        <f>=ROUND(IFERROR(K54/L54,0),6)</f>
      </c>
      <c r="P54" s="164" t="s">
        <v>158</v>
      </c>
      <c r="Q54" s="165" t="s">
        <v>158</v>
      </c>
      <c r="R54" s="166"/>
      <c r="S54" s="174" t="str">
        <f>=IFERROR(ROUND(R54/$Q$8,2),0)</f>
      </c>
      <c r="T54" s="168" t="str">
        <f>=ROUND(IFERROR(R54/S54,0),6)</f>
      </c>
      <c r="W54" s="164" t="s">
        <v>158</v>
      </c>
      <c r="X54" s="165" t="s">
        <v>158</v>
      </c>
      <c r="Y54" s="166"/>
      <c r="Z54" s="174" t="str">
        <f>=IFERROR(ROUND(Y54/$X$8,2),0)</f>
      </c>
      <c r="AA54" s="168" t="str">
        <f>=ROUND(IFERROR(Y54/Z54,0),6)</f>
      </c>
      <c r="AD54" s="164" t="s">
        <v>158</v>
      </c>
      <c r="AE54" s="165" t="s">
        <v>158</v>
      </c>
      <c r="AF54" s="166"/>
      <c r="AG54" s="174" t="str">
        <f>=IFERROR(ROUND(AF54/$AE$8,2),0)</f>
      </c>
      <c r="AH54" s="168" t="str">
        <f>=ROUND(IFERROR(AF54/AG54,0),6)</f>
      </c>
      <c r="AK54" s="164" t="s">
        <v>158</v>
      </c>
      <c r="AL54" s="165" t="s">
        <v>158</v>
      </c>
      <c r="AM54" s="166"/>
      <c r="AN54" s="174" t="str">
        <f>=IFERROR(ROUND(AM54/$AL$8,2),0)</f>
      </c>
      <c r="AO54" s="168" t="str">
        <f>=ROUND(IFERROR(AM54/AN54,0),6)</f>
      </c>
      <c r="AR54" s="164" t="s">
        <v>158</v>
      </c>
      <c r="AS54" s="165" t="s">
        <v>158</v>
      </c>
      <c r="AT54" s="166"/>
      <c r="AU54" s="174" t="str">
        <f>=IFERROR(ROUND(AT54/$AS$8,2),0)</f>
      </c>
      <c r="AV54" s="168" t="str">
        <f>=ROUND(IFERROR(AT54/AU54,0),6)</f>
      </c>
      <c r="AY54" s="164" t="s">
        <v>158</v>
      </c>
      <c r="AZ54" s="165" t="s">
        <v>158</v>
      </c>
      <c r="BA54" s="166"/>
      <c r="BB54" s="174" t="str">
        <f>=IFERROR(ROUND(BA54/$AZ$8,2),0)</f>
      </c>
      <c r="BC54" s="168" t="str">
        <f>=ROUND(IFERROR(BA54/BB54,0),6)</f>
      </c>
      <c r="BF54" s="164" t="s">
        <v>158</v>
      </c>
      <c r="BG54" s="165" t="s">
        <v>158</v>
      </c>
      <c r="BH54" s="166"/>
      <c r="BI54" s="174" t="str">
        <f>=IFERROR(ROUND(BH54/$BG$8,2),0)</f>
      </c>
      <c r="BJ54" s="168" t="str">
        <f>=ROUND(IFERROR(BH54/BI54,0),6)</f>
      </c>
      <c r="BM54" s="164" t="s">
        <v>158</v>
      </c>
      <c r="BN54" s="165" t="s">
        <v>158</v>
      </c>
      <c r="BO54" s="166"/>
      <c r="BP54" s="174" t="str">
        <f>=IFERROR(ROUND(BO54/$BN$8,2),0)</f>
      </c>
      <c r="BQ54" s="168" t="str">
        <f>=ROUND(IFERROR(BO54/BP54,0),6)</f>
      </c>
      <c r="BT54" s="164" t="s">
        <v>158</v>
      </c>
      <c r="BU54" s="165" t="s">
        <v>158</v>
      </c>
      <c r="BV54" s="166"/>
      <c r="BW54" s="174" t="str">
        <f>=IFERROR(ROUND(BV54/$BU$8,2),0)</f>
      </c>
      <c r="BX54" s="168" t="str">
        <f>=ROUND(IFERROR(BV54/BW54,0),6)</f>
      </c>
      <c r="CA54" s="164" t="s">
        <v>158</v>
      </c>
      <c r="CB54" s="165" t="s">
        <v>158</v>
      </c>
      <c r="CC54" s="166"/>
      <c r="CD54" s="174" t="str">
        <f>=IFERROR(ROUND(CC54/$CB$8,2),0)</f>
      </c>
      <c r="CE54" s="168" t="str">
        <f>=ROUND(IFERROR(CC54/CD54,0),6)</f>
      </c>
      <c r="CH54" s="164" t="s">
        <v>158</v>
      </c>
      <c r="CI54" s="165" t="s">
        <v>158</v>
      </c>
      <c r="CJ54" s="166"/>
      <c r="CK54" s="174" t="str">
        <f>=IFERROR(ROUND(CJ54/$CI$8,2),0)</f>
      </c>
      <c r="CL54" s="168" t="str">
        <f>=ROUND(IFERROR(CJ54/CK54,0),6)</f>
      </c>
      <c r="CO54" s="164" t="s">
        <v>158</v>
      </c>
      <c r="CP54" s="165" t="s">
        <v>158</v>
      </c>
      <c r="CQ54" s="166"/>
      <c r="CR54" s="174" t="str">
        <f>=IFERROR(ROUND(CQ54/$CP$8,2),0)</f>
      </c>
      <c r="CS54" s="168" t="str">
        <f>=ROUND(IFERROR(CQ54/CR54,0),6)</f>
      </c>
      <c r="CV54" s="164" t="s">
        <v>158</v>
      </c>
      <c r="CW54" s="165" t="s">
        <v>158</v>
      </c>
      <c r="CX54" s="166"/>
      <c r="CY54" s="174" t="str">
        <f>=IFERROR(ROUND(CX54/$CW$8,2),0)</f>
      </c>
      <c r="CZ54" s="168" t="str">
        <f>=ROUND(IFERROR(CX54/CY54,0),6)</f>
      </c>
      <c r="DC54" s="164" t="s">
        <v>158</v>
      </c>
      <c r="DD54" s="165" t="s">
        <v>158</v>
      </c>
      <c r="DE54" s="166"/>
      <c r="DF54" s="174" t="str">
        <f>=IFERROR(ROUND(DE54/$DD$8,2),0)</f>
      </c>
      <c r="DG54" s="168" t="str">
        <f>=ROUND(IFERROR(DE54/DF54,0),6)</f>
      </c>
      <c r="DJ54" s="164" t="s">
        <v>158</v>
      </c>
      <c r="DK54" s="165" t="s">
        <v>158</v>
      </c>
      <c r="DL54" s="166"/>
      <c r="DM54" s="174" t="str">
        <f>=IFERROR(ROUND(DL54/$DK$8,2),0)</f>
      </c>
      <c r="DN54" s="168" t="str">
        <f>=ROUND(IFERROR(DL54/DM54,0),6)</f>
      </c>
      <c r="DQ54" s="164" t="s">
        <v>158</v>
      </c>
      <c r="DR54" s="165" t="s">
        <v>158</v>
      </c>
      <c r="DS54" s="166"/>
      <c r="DT54" s="174" t="str">
        <f>=IFERROR(ROUND(DS54/$DR$8,2),0)</f>
      </c>
      <c r="DU54" s="168" t="str">
        <f>=ROUND(IFERROR(DS54/DT54,0),6)</f>
      </c>
    </row>
    <row r="55">
      <c r="B55" s="164" t="s">
        <v>158</v>
      </c>
      <c r="C55" s="165" t="s">
        <v>158</v>
      </c>
      <c r="D55" s="166"/>
      <c r="E55" s="174" t="str">
        <f>=IFERROR(ROUND(D55/$C$8,2),0)</f>
      </c>
      <c r="F55" s="168" t="str">
        <f>=ROUND(IFERROR(D55/E55,0),6)</f>
      </c>
      <c r="I55" s="164" t="s">
        <v>158</v>
      </c>
      <c r="J55" s="165" t="s">
        <v>158</v>
      </c>
      <c r="K55" s="166"/>
      <c r="L55" s="174" t="str">
        <f>=IFERROR(ROUND(K55/$J$8,2),0)</f>
      </c>
      <c r="M55" s="168" t="str">
        <f>=ROUND(IFERROR(K55/L55,0),6)</f>
      </c>
      <c r="P55" s="164" t="s">
        <v>158</v>
      </c>
      <c r="Q55" s="165" t="s">
        <v>158</v>
      </c>
      <c r="R55" s="166"/>
      <c r="S55" s="174" t="str">
        <f>=IFERROR(ROUND(R55/$Q$8,2),0)</f>
      </c>
      <c r="T55" s="168" t="str">
        <f>=ROUND(IFERROR(R55/S55,0),6)</f>
      </c>
      <c r="W55" s="164" t="s">
        <v>158</v>
      </c>
      <c r="X55" s="165" t="s">
        <v>158</v>
      </c>
      <c r="Y55" s="166"/>
      <c r="Z55" s="174" t="str">
        <f>=IFERROR(ROUND(Y55/$X$8,2),0)</f>
      </c>
      <c r="AA55" s="168" t="str">
        <f>=ROUND(IFERROR(Y55/Z55,0),6)</f>
      </c>
      <c r="AD55" s="164" t="s">
        <v>158</v>
      </c>
      <c r="AE55" s="165" t="s">
        <v>158</v>
      </c>
      <c r="AF55" s="166"/>
      <c r="AG55" s="174" t="str">
        <f>=IFERROR(ROUND(AF55/$AE$8,2),0)</f>
      </c>
      <c r="AH55" s="168" t="str">
        <f>=ROUND(IFERROR(AF55/AG55,0),6)</f>
      </c>
      <c r="AK55" s="164" t="s">
        <v>158</v>
      </c>
      <c r="AL55" s="165" t="s">
        <v>158</v>
      </c>
      <c r="AM55" s="166"/>
      <c r="AN55" s="174" t="str">
        <f>=IFERROR(ROUND(AM55/$AL$8,2),0)</f>
      </c>
      <c r="AO55" s="168" t="str">
        <f>=ROUND(IFERROR(AM55/AN55,0),6)</f>
      </c>
      <c r="AR55" s="164" t="s">
        <v>158</v>
      </c>
      <c r="AS55" s="165" t="s">
        <v>158</v>
      </c>
      <c r="AT55" s="166"/>
      <c r="AU55" s="174" t="str">
        <f>=IFERROR(ROUND(AT55/$AS$8,2),0)</f>
      </c>
      <c r="AV55" s="168" t="str">
        <f>=ROUND(IFERROR(AT55/AU55,0),6)</f>
      </c>
      <c r="AY55" s="164" t="s">
        <v>158</v>
      </c>
      <c r="AZ55" s="165" t="s">
        <v>158</v>
      </c>
      <c r="BA55" s="166"/>
      <c r="BB55" s="174" t="str">
        <f>=IFERROR(ROUND(BA55/$AZ$8,2),0)</f>
      </c>
      <c r="BC55" s="168" t="str">
        <f>=ROUND(IFERROR(BA55/BB55,0),6)</f>
      </c>
      <c r="BF55" s="164" t="s">
        <v>158</v>
      </c>
      <c r="BG55" s="165" t="s">
        <v>158</v>
      </c>
      <c r="BH55" s="166"/>
      <c r="BI55" s="174" t="str">
        <f>=IFERROR(ROUND(BH55/$BG$8,2),0)</f>
      </c>
      <c r="BJ55" s="168" t="str">
        <f>=ROUND(IFERROR(BH55/BI55,0),6)</f>
      </c>
      <c r="BM55" s="164" t="s">
        <v>158</v>
      </c>
      <c r="BN55" s="165" t="s">
        <v>158</v>
      </c>
      <c r="BO55" s="166"/>
      <c r="BP55" s="174" t="str">
        <f>=IFERROR(ROUND(BO55/$BN$8,2),0)</f>
      </c>
      <c r="BQ55" s="168" t="str">
        <f>=ROUND(IFERROR(BO55/BP55,0),6)</f>
      </c>
      <c r="BT55" s="164" t="s">
        <v>158</v>
      </c>
      <c r="BU55" s="165" t="s">
        <v>158</v>
      </c>
      <c r="BV55" s="166"/>
      <c r="BW55" s="174" t="str">
        <f>=IFERROR(ROUND(BV55/$BU$8,2),0)</f>
      </c>
      <c r="BX55" s="168" t="str">
        <f>=ROUND(IFERROR(BV55/BW55,0),6)</f>
      </c>
      <c r="CA55" s="164" t="s">
        <v>158</v>
      </c>
      <c r="CB55" s="165" t="s">
        <v>158</v>
      </c>
      <c r="CC55" s="166"/>
      <c r="CD55" s="174" t="str">
        <f>=IFERROR(ROUND(CC55/$CB$8,2),0)</f>
      </c>
      <c r="CE55" s="168" t="str">
        <f>=ROUND(IFERROR(CC55/CD55,0),6)</f>
      </c>
      <c r="CH55" s="164" t="s">
        <v>158</v>
      </c>
      <c r="CI55" s="165" t="s">
        <v>158</v>
      </c>
      <c r="CJ55" s="166"/>
      <c r="CK55" s="174" t="str">
        <f>=IFERROR(ROUND(CJ55/$CI$8,2),0)</f>
      </c>
      <c r="CL55" s="168" t="str">
        <f>=ROUND(IFERROR(CJ55/CK55,0),6)</f>
      </c>
      <c r="CO55" s="164" t="s">
        <v>158</v>
      </c>
      <c r="CP55" s="165" t="s">
        <v>158</v>
      </c>
      <c r="CQ55" s="166"/>
      <c r="CR55" s="174" t="str">
        <f>=IFERROR(ROUND(CQ55/$CP$8,2),0)</f>
      </c>
      <c r="CS55" s="168" t="str">
        <f>=ROUND(IFERROR(CQ55/CR55,0),6)</f>
      </c>
      <c r="CV55" s="164" t="s">
        <v>158</v>
      </c>
      <c r="CW55" s="165" t="s">
        <v>158</v>
      </c>
      <c r="CX55" s="166"/>
      <c r="CY55" s="174" t="str">
        <f>=IFERROR(ROUND(CX55/$CW$8,2),0)</f>
      </c>
      <c r="CZ55" s="168" t="str">
        <f>=ROUND(IFERROR(CX55/CY55,0),6)</f>
      </c>
      <c r="DC55" s="164" t="s">
        <v>158</v>
      </c>
      <c r="DD55" s="165" t="s">
        <v>158</v>
      </c>
      <c r="DE55" s="166"/>
      <c r="DF55" s="174" t="str">
        <f>=IFERROR(ROUND(DE55/$DD$8,2),0)</f>
      </c>
      <c r="DG55" s="168" t="str">
        <f>=ROUND(IFERROR(DE55/DF55,0),6)</f>
      </c>
      <c r="DJ55" s="164" t="s">
        <v>158</v>
      </c>
      <c r="DK55" s="165" t="s">
        <v>158</v>
      </c>
      <c r="DL55" s="166"/>
      <c r="DM55" s="174" t="str">
        <f>=IFERROR(ROUND(DL55/$DK$8,2),0)</f>
      </c>
      <c r="DN55" s="168" t="str">
        <f>=ROUND(IFERROR(DL55/DM55,0),6)</f>
      </c>
      <c r="DQ55" s="164" t="s">
        <v>158</v>
      </c>
      <c r="DR55" s="165" t="s">
        <v>158</v>
      </c>
      <c r="DS55" s="166"/>
      <c r="DT55" s="174" t="str">
        <f>=IFERROR(ROUND(DS55/$DR$8,2),0)</f>
      </c>
      <c r="DU55" s="168" t="str">
        <f>=ROUND(IFERROR(DS55/DT55,0),6)</f>
      </c>
    </row>
    <row r="56">
      <c r="B56" s="169" t="s">
        <v>303</v>
      </c>
      <c r="C56" s="170" t="s">
        <v>271</v>
      </c>
      <c r="D56" s="171" t="str">
        <f>=ROUND(SUBTOTAL(109,$D$50:$D$55),2)</f>
      </c>
      <c r="E56" s="172" t="str">
        <f>=ROUND(SUBTOTAL(109,$E$50:$E$55),2)</f>
      </c>
      <c r="F56" s="173" t="str">
        <f>=ROUND(IFERROR(D56/E56,0),6)</f>
      </c>
      <c r="I56" s="169" t="s">
        <v>303</v>
      </c>
      <c r="J56" s="170" t="s">
        <v>271</v>
      </c>
      <c r="K56" s="171" t="str">
        <f>=ROUND(SUBTOTAL(109,$K$50:$K$55),2)</f>
      </c>
      <c r="L56" s="172" t="str">
        <f>=ROUND(SUBTOTAL(109,$L$50:$L$55),2)</f>
      </c>
      <c r="M56" s="173" t="str">
        <f>=ROUND(IFERROR(K56/L56,0),6)</f>
      </c>
      <c r="P56" s="169" t="s">
        <v>303</v>
      </c>
      <c r="Q56" s="170" t="s">
        <v>271</v>
      </c>
      <c r="R56" s="171" t="str">
        <f>=ROUND(SUBTOTAL(109,$R$50:$R$55),2)</f>
      </c>
      <c r="S56" s="172" t="str">
        <f>=ROUND(SUBTOTAL(109,$S$50:$S$55),2)</f>
      </c>
      <c r="T56" s="173" t="str">
        <f>=ROUND(IFERROR(R56/S56,0),6)</f>
      </c>
      <c r="W56" s="169" t="s">
        <v>303</v>
      </c>
      <c r="X56" s="170" t="s">
        <v>271</v>
      </c>
      <c r="Y56" s="171" t="str">
        <f>=ROUND(SUBTOTAL(109,$Y$50:$Y$55),2)</f>
      </c>
      <c r="Z56" s="172" t="str">
        <f>=ROUND(SUBTOTAL(109,$Z$50:$Z$55),2)</f>
      </c>
      <c r="AA56" s="173" t="str">
        <f>=ROUND(IFERROR(Y56/Z56,0),6)</f>
      </c>
      <c r="AD56" s="169" t="s">
        <v>303</v>
      </c>
      <c r="AE56" s="170" t="s">
        <v>271</v>
      </c>
      <c r="AF56" s="171" t="str">
        <f>=ROUND(SUBTOTAL(109,$AF$50:$AF$55),2)</f>
      </c>
      <c r="AG56" s="172" t="str">
        <f>=ROUND(SUBTOTAL(109,$AG$50:$AG$55),2)</f>
      </c>
      <c r="AH56" s="173" t="str">
        <f>=ROUND(IFERROR(AF56/AG56,0),6)</f>
      </c>
      <c r="AK56" s="169" t="s">
        <v>303</v>
      </c>
      <c r="AL56" s="170" t="s">
        <v>271</v>
      </c>
      <c r="AM56" s="171" t="str">
        <f>=ROUND(SUBTOTAL(109,$AM$50:$AM$55),2)</f>
      </c>
      <c r="AN56" s="172" t="str">
        <f>=ROUND(SUBTOTAL(109,$AN$50:$AN$55),2)</f>
      </c>
      <c r="AO56" s="173" t="str">
        <f>=ROUND(IFERROR(AM56/AN56,0),6)</f>
      </c>
      <c r="AR56" s="169" t="s">
        <v>303</v>
      </c>
      <c r="AS56" s="170" t="s">
        <v>271</v>
      </c>
      <c r="AT56" s="171" t="str">
        <f>=ROUND(SUBTOTAL(109,$AT$50:$AT$55),2)</f>
      </c>
      <c r="AU56" s="172" t="str">
        <f>=ROUND(SUBTOTAL(109,$AU$50:$AU$55),2)</f>
      </c>
      <c r="AV56" s="173" t="str">
        <f>=ROUND(IFERROR(AT56/AU56,0),6)</f>
      </c>
      <c r="AY56" s="169" t="s">
        <v>303</v>
      </c>
      <c r="AZ56" s="170" t="s">
        <v>271</v>
      </c>
      <c r="BA56" s="171" t="str">
        <f>=ROUND(SUBTOTAL(109,$BA$50:$BA$55),2)</f>
      </c>
      <c r="BB56" s="172" t="str">
        <f>=ROUND(SUBTOTAL(109,$BB$50:$BB$55),2)</f>
      </c>
      <c r="BC56" s="173" t="str">
        <f>=ROUND(IFERROR(BA56/BB56,0),6)</f>
      </c>
      <c r="BF56" s="169" t="s">
        <v>303</v>
      </c>
      <c r="BG56" s="170" t="s">
        <v>271</v>
      </c>
      <c r="BH56" s="171" t="str">
        <f>=ROUND(SUBTOTAL(109,$BH$50:$BH$55),2)</f>
      </c>
      <c r="BI56" s="172" t="str">
        <f>=ROUND(SUBTOTAL(109,$BI$50:$BI$55),2)</f>
      </c>
      <c r="BJ56" s="173" t="str">
        <f>=ROUND(IFERROR(BH56/BI56,0),6)</f>
      </c>
      <c r="BM56" s="169" t="s">
        <v>303</v>
      </c>
      <c r="BN56" s="170" t="s">
        <v>271</v>
      </c>
      <c r="BO56" s="171" t="str">
        <f>=ROUND(SUBTOTAL(109,$BO$50:$BO$55),2)</f>
      </c>
      <c r="BP56" s="172" t="str">
        <f>=ROUND(SUBTOTAL(109,$BP$50:$BP$55),2)</f>
      </c>
      <c r="BQ56" s="173" t="str">
        <f>=ROUND(IFERROR(BO56/BP56,0),6)</f>
      </c>
      <c r="BT56" s="169" t="s">
        <v>303</v>
      </c>
      <c r="BU56" s="170" t="s">
        <v>271</v>
      </c>
      <c r="BV56" s="171" t="str">
        <f>=ROUND(SUBTOTAL(109,$BV$50:$BV$55),2)</f>
      </c>
      <c r="BW56" s="172" t="str">
        <f>=ROUND(SUBTOTAL(109,$BW$50:$BW$55),2)</f>
      </c>
      <c r="BX56" s="173" t="str">
        <f>=ROUND(IFERROR(BV56/BW56,0),6)</f>
      </c>
      <c r="CA56" s="169" t="s">
        <v>303</v>
      </c>
      <c r="CB56" s="170" t="s">
        <v>271</v>
      </c>
      <c r="CC56" s="171" t="str">
        <f>=ROUND(SUBTOTAL(109,$CC$50:$CC$55),2)</f>
      </c>
      <c r="CD56" s="172" t="str">
        <f>=ROUND(SUBTOTAL(109,$CD$50:$CD$55),2)</f>
      </c>
      <c r="CE56" s="173" t="str">
        <f>=ROUND(IFERROR(CC56/CD56,0),6)</f>
      </c>
      <c r="CH56" s="169" t="s">
        <v>303</v>
      </c>
      <c r="CI56" s="170" t="s">
        <v>271</v>
      </c>
      <c r="CJ56" s="171" t="str">
        <f>=ROUND(SUBTOTAL(109,$CJ$50:$CJ$55),2)</f>
      </c>
      <c r="CK56" s="172" t="str">
        <f>=ROUND(SUBTOTAL(109,$CK$50:$CK$55),2)</f>
      </c>
      <c r="CL56" s="173" t="str">
        <f>=ROUND(IFERROR(CJ56/CK56,0),6)</f>
      </c>
      <c r="CO56" s="169" t="s">
        <v>303</v>
      </c>
      <c r="CP56" s="170" t="s">
        <v>271</v>
      </c>
      <c r="CQ56" s="171" t="str">
        <f>=ROUND(SUBTOTAL(109,$CQ$50:$CQ$55),2)</f>
      </c>
      <c r="CR56" s="172" t="str">
        <f>=ROUND(SUBTOTAL(109,$CR$50:$CR$55),2)</f>
      </c>
      <c r="CS56" s="173" t="str">
        <f>=ROUND(IFERROR(CQ56/CR56,0),6)</f>
      </c>
      <c r="CV56" s="169" t="s">
        <v>303</v>
      </c>
      <c r="CW56" s="170" t="s">
        <v>271</v>
      </c>
      <c r="CX56" s="171" t="str">
        <f>=ROUND(SUBTOTAL(109,$CX$50:$CX$55),2)</f>
      </c>
      <c r="CY56" s="172" t="str">
        <f>=ROUND(SUBTOTAL(109,$CY$50:$CY$55),2)</f>
      </c>
      <c r="CZ56" s="173" t="str">
        <f>=ROUND(IFERROR(CX56/CY56,0),6)</f>
      </c>
      <c r="DC56" s="169" t="s">
        <v>303</v>
      </c>
      <c r="DD56" s="170" t="s">
        <v>271</v>
      </c>
      <c r="DE56" s="171" t="str">
        <f>=ROUND(SUBTOTAL(109,$DE$50:$DE$55),2)</f>
      </c>
      <c r="DF56" s="172" t="str">
        <f>=ROUND(SUBTOTAL(109,$DF$50:$DF$55),2)</f>
      </c>
      <c r="DG56" s="173" t="str">
        <f>=ROUND(IFERROR(DE56/DF56,0),6)</f>
      </c>
      <c r="DJ56" s="169" t="s">
        <v>303</v>
      </c>
      <c r="DK56" s="170" t="s">
        <v>271</v>
      </c>
      <c r="DL56" s="171" t="str">
        <f>=ROUND(SUBTOTAL(109,$DL$50:$DL$55),2)</f>
      </c>
      <c r="DM56" s="172" t="str">
        <f>=ROUND(SUBTOTAL(109,$DM$50:$DM$55),2)</f>
      </c>
      <c r="DN56" s="173" t="str">
        <f>=ROUND(IFERROR(DL56/DM56,0),6)</f>
      </c>
      <c r="DQ56" s="169" t="s">
        <v>303</v>
      </c>
      <c r="DR56" s="170" t="s">
        <v>271</v>
      </c>
      <c r="DS56" s="171" t="str">
        <f>=ROUND(SUBTOTAL(109,$DS$50:$DS$55),2)</f>
      </c>
      <c r="DT56" s="172" t="str">
        <f>=ROUND(SUBTOTAL(109,$DT$50:$DT$55),2)</f>
      </c>
      <c r="DU56" s="173" t="str">
        <f>=ROUND(IFERROR(DS56/DT56,0),6)</f>
      </c>
    </row>
  </sheetData>
  <mergeCells count="288">
    <mergeCell ref="B4:B4"/>
    <mergeCell ref="C4:D4"/>
    <mergeCell ref="B5:B5"/>
    <mergeCell ref="C5:D5"/>
    <mergeCell ref="B6:B6"/>
    <mergeCell ref="C6:D6"/>
    <mergeCell ref="B7:B7"/>
    <mergeCell ref="C7:D7"/>
    <mergeCell ref="B8:B8"/>
    <mergeCell ref="C8:D8"/>
    <mergeCell ref="B9:F9"/>
    <mergeCell ref="B17:F17"/>
    <mergeCell ref="B29:B29"/>
    <mergeCell ref="B31:B31"/>
    <mergeCell ref="B39:B39"/>
    <mergeCell ref="B48:B48"/>
    <mergeCell ref="I4:I4"/>
    <mergeCell ref="J4:K4"/>
    <mergeCell ref="I5:I5"/>
    <mergeCell ref="J5:K5"/>
    <mergeCell ref="I6:I6"/>
    <mergeCell ref="J6:K6"/>
    <mergeCell ref="I7:I7"/>
    <mergeCell ref="J7:K7"/>
    <mergeCell ref="I8:I8"/>
    <mergeCell ref="J8:K8"/>
    <mergeCell ref="I9:M9"/>
    <mergeCell ref="I17:M17"/>
    <mergeCell ref="I29:I29"/>
    <mergeCell ref="I31:I31"/>
    <mergeCell ref="I39:I39"/>
    <mergeCell ref="I48:I48"/>
    <mergeCell ref="P4:P4"/>
    <mergeCell ref="Q4:R4"/>
    <mergeCell ref="P5:P5"/>
    <mergeCell ref="Q5:R5"/>
    <mergeCell ref="P6:P6"/>
    <mergeCell ref="Q6:R6"/>
    <mergeCell ref="P7:P7"/>
    <mergeCell ref="Q7:R7"/>
    <mergeCell ref="P8:P8"/>
    <mergeCell ref="Q8:R8"/>
    <mergeCell ref="P9:T9"/>
    <mergeCell ref="P17:T17"/>
    <mergeCell ref="P29:P29"/>
    <mergeCell ref="P31:P31"/>
    <mergeCell ref="P39:P39"/>
    <mergeCell ref="P48:P48"/>
    <mergeCell ref="W4:W4"/>
    <mergeCell ref="X4:Y4"/>
    <mergeCell ref="W5:W5"/>
    <mergeCell ref="X5:Y5"/>
    <mergeCell ref="W6:W6"/>
    <mergeCell ref="X6:Y6"/>
    <mergeCell ref="W7:W7"/>
    <mergeCell ref="X7:Y7"/>
    <mergeCell ref="W8:W8"/>
    <mergeCell ref="X8:Y8"/>
    <mergeCell ref="W9:AA9"/>
    <mergeCell ref="W17:AA17"/>
    <mergeCell ref="W29:W29"/>
    <mergeCell ref="W31:W31"/>
    <mergeCell ref="W39:W39"/>
    <mergeCell ref="W48:W48"/>
    <mergeCell ref="AD4:AD4"/>
    <mergeCell ref="AE4:AF4"/>
    <mergeCell ref="AD5:AD5"/>
    <mergeCell ref="AE5:AF5"/>
    <mergeCell ref="AD6:AD6"/>
    <mergeCell ref="AE6:AF6"/>
    <mergeCell ref="AD7:AD7"/>
    <mergeCell ref="AE7:AF7"/>
    <mergeCell ref="AD8:AD8"/>
    <mergeCell ref="AE8:AF8"/>
    <mergeCell ref="AD9:AH9"/>
    <mergeCell ref="AD17:AH17"/>
    <mergeCell ref="AD29:AD29"/>
    <mergeCell ref="AD31:AD31"/>
    <mergeCell ref="AD39:AD39"/>
    <mergeCell ref="AD48:AD48"/>
    <mergeCell ref="AK4:AK4"/>
    <mergeCell ref="AL4:AM4"/>
    <mergeCell ref="AK5:AK5"/>
    <mergeCell ref="AL5:AM5"/>
    <mergeCell ref="AK6:AK6"/>
    <mergeCell ref="AL6:AM6"/>
    <mergeCell ref="AK7:AK7"/>
    <mergeCell ref="AL7:AM7"/>
    <mergeCell ref="AK8:AK8"/>
    <mergeCell ref="AL8:AM8"/>
    <mergeCell ref="AK9:AO9"/>
    <mergeCell ref="AK17:AO17"/>
    <mergeCell ref="AK29:AK29"/>
    <mergeCell ref="AK31:AK31"/>
    <mergeCell ref="AK39:AK39"/>
    <mergeCell ref="AK48:AK48"/>
    <mergeCell ref="AR4:AR4"/>
    <mergeCell ref="AS4:AT4"/>
    <mergeCell ref="AR5:AR5"/>
    <mergeCell ref="AS5:AT5"/>
    <mergeCell ref="AR6:AR6"/>
    <mergeCell ref="AS6:AT6"/>
    <mergeCell ref="AR7:AR7"/>
    <mergeCell ref="AS7:AT7"/>
    <mergeCell ref="AR8:AR8"/>
    <mergeCell ref="AS8:AT8"/>
    <mergeCell ref="AR9:AV9"/>
    <mergeCell ref="AR17:AV17"/>
    <mergeCell ref="AR29:AR29"/>
    <mergeCell ref="AR31:AR31"/>
    <mergeCell ref="AR39:AR39"/>
    <mergeCell ref="AR48:AR48"/>
    <mergeCell ref="AY4:AY4"/>
    <mergeCell ref="AZ4:BA4"/>
    <mergeCell ref="AY5:AY5"/>
    <mergeCell ref="AZ5:BA5"/>
    <mergeCell ref="AY6:AY6"/>
    <mergeCell ref="AZ6:BA6"/>
    <mergeCell ref="AY7:AY7"/>
    <mergeCell ref="AZ7:BA7"/>
    <mergeCell ref="AY8:AY8"/>
    <mergeCell ref="AZ8:BA8"/>
    <mergeCell ref="AY9:BC9"/>
    <mergeCell ref="AY17:BC17"/>
    <mergeCell ref="AY29:AY29"/>
    <mergeCell ref="AY31:AY31"/>
    <mergeCell ref="AY39:AY39"/>
    <mergeCell ref="AY48:AY48"/>
    <mergeCell ref="BF4:BF4"/>
    <mergeCell ref="BG4:BH4"/>
    <mergeCell ref="BF5:BF5"/>
    <mergeCell ref="BG5:BH5"/>
    <mergeCell ref="BF6:BF6"/>
    <mergeCell ref="BG6:BH6"/>
    <mergeCell ref="BF7:BF7"/>
    <mergeCell ref="BG7:BH7"/>
    <mergeCell ref="BF8:BF8"/>
    <mergeCell ref="BG8:BH8"/>
    <mergeCell ref="BF9:BJ9"/>
    <mergeCell ref="BF17:BJ17"/>
    <mergeCell ref="BF29:BF29"/>
    <mergeCell ref="BF31:BF31"/>
    <mergeCell ref="BF39:BF39"/>
    <mergeCell ref="BF48:BF48"/>
    <mergeCell ref="BM4:BM4"/>
    <mergeCell ref="BN4:BO4"/>
    <mergeCell ref="BM5:BM5"/>
    <mergeCell ref="BN5:BO5"/>
    <mergeCell ref="BM6:BM6"/>
    <mergeCell ref="BN6:BO6"/>
    <mergeCell ref="BM7:BM7"/>
    <mergeCell ref="BN7:BO7"/>
    <mergeCell ref="BM8:BM8"/>
    <mergeCell ref="BN8:BO8"/>
    <mergeCell ref="BM9:BQ9"/>
    <mergeCell ref="BM17:BQ17"/>
    <mergeCell ref="BM29:BM29"/>
    <mergeCell ref="BM31:BM31"/>
    <mergeCell ref="BM39:BM39"/>
    <mergeCell ref="BM48:BM48"/>
    <mergeCell ref="BT4:BT4"/>
    <mergeCell ref="BU4:BV4"/>
    <mergeCell ref="BT5:BT5"/>
    <mergeCell ref="BU5:BV5"/>
    <mergeCell ref="BT6:BT6"/>
    <mergeCell ref="BU6:BV6"/>
    <mergeCell ref="BT7:BT7"/>
    <mergeCell ref="BU7:BV7"/>
    <mergeCell ref="BT8:BT8"/>
    <mergeCell ref="BU8:BV8"/>
    <mergeCell ref="BT9:BX9"/>
    <mergeCell ref="BT17:BX17"/>
    <mergeCell ref="BT29:BT29"/>
    <mergeCell ref="BT31:BT31"/>
    <mergeCell ref="BT39:BT39"/>
    <mergeCell ref="BT48:BT48"/>
    <mergeCell ref="CA4:CA4"/>
    <mergeCell ref="CB4:CC4"/>
    <mergeCell ref="CA5:CA5"/>
    <mergeCell ref="CB5:CC5"/>
    <mergeCell ref="CA6:CA6"/>
    <mergeCell ref="CB6:CC6"/>
    <mergeCell ref="CA7:CA7"/>
    <mergeCell ref="CB7:CC7"/>
    <mergeCell ref="CA8:CA8"/>
    <mergeCell ref="CB8:CC8"/>
    <mergeCell ref="CA9:CE9"/>
    <mergeCell ref="CA17:CE17"/>
    <mergeCell ref="CA29:CA29"/>
    <mergeCell ref="CA31:CA31"/>
    <mergeCell ref="CA39:CA39"/>
    <mergeCell ref="CA48:CA48"/>
    <mergeCell ref="CH4:CH4"/>
    <mergeCell ref="CI4:CJ4"/>
    <mergeCell ref="CH5:CH5"/>
    <mergeCell ref="CI5:CJ5"/>
    <mergeCell ref="CH6:CH6"/>
    <mergeCell ref="CI6:CJ6"/>
    <mergeCell ref="CH7:CH7"/>
    <mergeCell ref="CI7:CJ7"/>
    <mergeCell ref="CH8:CH8"/>
    <mergeCell ref="CI8:CJ8"/>
    <mergeCell ref="CH9:CL9"/>
    <mergeCell ref="CH17:CL17"/>
    <mergeCell ref="CH29:CH29"/>
    <mergeCell ref="CH31:CH31"/>
    <mergeCell ref="CH39:CH39"/>
    <mergeCell ref="CH48:CH48"/>
    <mergeCell ref="CO4:CO4"/>
    <mergeCell ref="CP4:CQ4"/>
    <mergeCell ref="CO5:CO5"/>
    <mergeCell ref="CP5:CQ5"/>
    <mergeCell ref="CO6:CO6"/>
    <mergeCell ref="CP6:CQ6"/>
    <mergeCell ref="CO7:CO7"/>
    <mergeCell ref="CP7:CQ7"/>
    <mergeCell ref="CO8:CO8"/>
    <mergeCell ref="CP8:CQ8"/>
    <mergeCell ref="CO9:CS9"/>
    <mergeCell ref="CO17:CS17"/>
    <mergeCell ref="CO29:CO29"/>
    <mergeCell ref="CO31:CO31"/>
    <mergeCell ref="CO39:CO39"/>
    <mergeCell ref="CO48:CO48"/>
    <mergeCell ref="CV4:CV4"/>
    <mergeCell ref="CW4:CX4"/>
    <mergeCell ref="CV5:CV5"/>
    <mergeCell ref="CW5:CX5"/>
    <mergeCell ref="CV6:CV6"/>
    <mergeCell ref="CW6:CX6"/>
    <mergeCell ref="CV7:CV7"/>
    <mergeCell ref="CW7:CX7"/>
    <mergeCell ref="CV8:CV8"/>
    <mergeCell ref="CW8:CX8"/>
    <mergeCell ref="CV9:CZ9"/>
    <mergeCell ref="CV17:CZ17"/>
    <mergeCell ref="CV29:CV29"/>
    <mergeCell ref="CV31:CV31"/>
    <mergeCell ref="CV39:CV39"/>
    <mergeCell ref="CV48:CV48"/>
    <mergeCell ref="DC4:DC4"/>
    <mergeCell ref="DD4:DE4"/>
    <mergeCell ref="DC5:DC5"/>
    <mergeCell ref="DD5:DE5"/>
    <mergeCell ref="DC6:DC6"/>
    <mergeCell ref="DD6:DE6"/>
    <mergeCell ref="DC7:DC7"/>
    <mergeCell ref="DD7:DE7"/>
    <mergeCell ref="DC8:DC8"/>
    <mergeCell ref="DD8:DE8"/>
    <mergeCell ref="DC9:DG9"/>
    <mergeCell ref="DC17:DG17"/>
    <mergeCell ref="DC29:DC29"/>
    <mergeCell ref="DC31:DC31"/>
    <mergeCell ref="DC39:DC39"/>
    <mergeCell ref="DC48:DC48"/>
    <mergeCell ref="DJ4:DJ4"/>
    <mergeCell ref="DK4:DL4"/>
    <mergeCell ref="DJ5:DJ5"/>
    <mergeCell ref="DK5:DL5"/>
    <mergeCell ref="DJ6:DJ6"/>
    <mergeCell ref="DK6:DL6"/>
    <mergeCell ref="DJ7:DJ7"/>
    <mergeCell ref="DK7:DL7"/>
    <mergeCell ref="DJ8:DJ8"/>
    <mergeCell ref="DK8:DL8"/>
    <mergeCell ref="DJ9:DN9"/>
    <mergeCell ref="DJ17:DN17"/>
    <mergeCell ref="DJ29:DJ29"/>
    <mergeCell ref="DJ31:DJ31"/>
    <mergeCell ref="DJ39:DJ39"/>
    <mergeCell ref="DJ48:DJ48"/>
    <mergeCell ref="DQ4:DQ4"/>
    <mergeCell ref="DR4:DS4"/>
    <mergeCell ref="DQ5:DQ5"/>
    <mergeCell ref="DR5:DS5"/>
    <mergeCell ref="DQ6:DQ6"/>
    <mergeCell ref="DR6:DS6"/>
    <mergeCell ref="DQ7:DQ7"/>
    <mergeCell ref="DR7:DS7"/>
    <mergeCell ref="DQ8:DQ8"/>
    <mergeCell ref="DR8:DS8"/>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304</v>
      </c>
      <c r="I3" s="175" t="s">
        <v>304</v>
      </c>
      <c r="M3" s="175" t="s">
        <v>304</v>
      </c>
      <c r="Q3" s="175" t="s">
        <v>304</v>
      </c>
      <c r="U3" s="175" t="s">
        <v>304</v>
      </c>
      <c r="Y3" s="175" t="s">
        <v>304</v>
      </c>
      <c r="AC3" s="175" t="s">
        <v>304</v>
      </c>
      <c r="AG3" s="175" t="s">
        <v>304</v>
      </c>
      <c r="AK3" s="175" t="s">
        <v>304</v>
      </c>
      <c r="AO3" s="175" t="s">
        <v>304</v>
      </c>
      <c r="AS3" s="175" t="s">
        <v>304</v>
      </c>
      <c r="AW3" s="175" t="s">
        <v>304</v>
      </c>
      <c r="BA3" s="175" t="s">
        <v>304</v>
      </c>
      <c r="BE3" s="175" t="s">
        <v>304</v>
      </c>
      <c r="BI3" s="175" t="s">
        <v>304</v>
      </c>
      <c r="BM3" s="175" t="s">
        <v>304</v>
      </c>
      <c r="BQ3" s="175" t="s">
        <v>304</v>
      </c>
    </row>
    <row r="4">
      <c r="B4" s="104" t="s">
        <v>267</v>
      </c>
      <c r="C4" s="176" t="s">
        <v>226</v>
      </c>
      <c r="D4" s="176"/>
      <c r="F4" s="104" t="s">
        <v>267</v>
      </c>
      <c r="G4" s="176" t="s">
        <v>227</v>
      </c>
      <c r="H4" s="176"/>
      <c r="J4" s="104" t="s">
        <v>267</v>
      </c>
      <c r="K4" s="176" t="s">
        <v>228</v>
      </c>
      <c r="L4" s="176"/>
      <c r="N4" s="104" t="s">
        <v>267</v>
      </c>
      <c r="O4" s="176" t="s">
        <v>229</v>
      </c>
      <c r="P4" s="176"/>
      <c r="R4" s="104" t="s">
        <v>267</v>
      </c>
      <c r="S4" s="176" t="s">
        <v>230</v>
      </c>
      <c r="T4" s="176"/>
      <c r="V4" s="104" t="s">
        <v>267</v>
      </c>
      <c r="W4" s="176" t="s">
        <v>231</v>
      </c>
      <c r="X4" s="176"/>
      <c r="Z4" s="104" t="s">
        <v>267</v>
      </c>
      <c r="AA4" s="176" t="s">
        <v>232</v>
      </c>
      <c r="AB4" s="176"/>
      <c r="AD4" s="104" t="s">
        <v>267</v>
      </c>
      <c r="AE4" s="176" t="s">
        <v>233</v>
      </c>
      <c r="AF4" s="176"/>
      <c r="AH4" s="104" t="s">
        <v>267</v>
      </c>
      <c r="AI4" s="176" t="s">
        <v>234</v>
      </c>
      <c r="AJ4" s="176"/>
      <c r="AL4" s="104" t="s">
        <v>267</v>
      </c>
      <c r="AM4" s="176" t="s">
        <v>235</v>
      </c>
      <c r="AN4" s="176"/>
      <c r="AP4" s="104" t="s">
        <v>267</v>
      </c>
      <c r="AQ4" s="176" t="s">
        <v>236</v>
      </c>
      <c r="AR4" s="176"/>
      <c r="AT4" s="104" t="s">
        <v>267</v>
      </c>
      <c r="AU4" s="176" t="s">
        <v>237</v>
      </c>
      <c r="AV4" s="176"/>
      <c r="AX4" s="104" t="s">
        <v>267</v>
      </c>
      <c r="AY4" s="176" t="s">
        <v>238</v>
      </c>
      <c r="AZ4" s="176"/>
      <c r="BB4" s="104" t="s">
        <v>267</v>
      </c>
      <c r="BC4" s="176" t="s">
        <v>239</v>
      </c>
      <c r="BD4" s="176"/>
      <c r="BF4" s="104" t="s">
        <v>267</v>
      </c>
      <c r="BG4" s="176" t="s">
        <v>240</v>
      </c>
      <c r="BH4" s="176"/>
      <c r="BJ4" s="104" t="s">
        <v>267</v>
      </c>
      <c r="BK4" s="176" t="s">
        <v>241</v>
      </c>
      <c r="BL4" s="176"/>
      <c r="BN4" s="104" t="s">
        <v>267</v>
      </c>
      <c r="BO4" s="176" t="s">
        <v>242</v>
      </c>
      <c r="BP4" s="176"/>
      <c r="BR4" s="104" t="s">
        <v>267</v>
      </c>
      <c r="BS4" s="176" t="s">
        <v>243</v>
      </c>
      <c r="BT4" s="176"/>
    </row>
    <row r="5">
      <c r="B5" s="104" t="s">
        <v>268</v>
      </c>
      <c r="C5" s="107"/>
      <c r="D5" s="107"/>
      <c r="F5" s="104" t="s">
        <v>268</v>
      </c>
      <c r="G5" s="107"/>
      <c r="H5" s="107"/>
      <c r="J5" s="104" t="s">
        <v>268</v>
      </c>
      <c r="K5" s="107"/>
      <c r="L5" s="107"/>
      <c r="N5" s="104" t="s">
        <v>268</v>
      </c>
      <c r="O5" s="107"/>
      <c r="P5" s="107"/>
      <c r="R5" s="104" t="s">
        <v>268</v>
      </c>
      <c r="S5" s="107"/>
      <c r="T5" s="107"/>
      <c r="V5" s="104" t="s">
        <v>268</v>
      </c>
      <c r="W5" s="107"/>
      <c r="X5" s="107"/>
      <c r="Z5" s="104" t="s">
        <v>268</v>
      </c>
      <c r="AA5" s="107"/>
      <c r="AB5" s="107"/>
      <c r="AD5" s="104" t="s">
        <v>268</v>
      </c>
      <c r="AE5" s="107"/>
      <c r="AF5" s="107"/>
      <c r="AH5" s="104" t="s">
        <v>268</v>
      </c>
      <c r="AI5" s="107"/>
      <c r="AJ5" s="107"/>
      <c r="AL5" s="104" t="s">
        <v>268</v>
      </c>
      <c r="AM5" s="107"/>
      <c r="AN5" s="107"/>
      <c r="AP5" s="104" t="s">
        <v>268</v>
      </c>
      <c r="AQ5" s="107"/>
      <c r="AR5" s="107"/>
      <c r="AT5" s="104" t="s">
        <v>268</v>
      </c>
      <c r="AU5" s="107"/>
      <c r="AV5" s="107"/>
      <c r="AX5" s="104" t="s">
        <v>268</v>
      </c>
      <c r="AY5" s="107"/>
      <c r="AZ5" s="107"/>
      <c r="BB5" s="104" t="s">
        <v>268</v>
      </c>
      <c r="BC5" s="107"/>
      <c r="BD5" s="107"/>
      <c r="BF5" s="104" t="s">
        <v>268</v>
      </c>
      <c r="BG5" s="107"/>
      <c r="BH5" s="107"/>
      <c r="BJ5" s="104" t="s">
        <v>268</v>
      </c>
      <c r="BK5" s="107"/>
      <c r="BL5" s="107"/>
      <c r="BN5" s="104" t="s">
        <v>268</v>
      </c>
      <c r="BO5" s="107"/>
      <c r="BP5" s="107"/>
      <c r="BR5" s="104" t="s">
        <v>268</v>
      </c>
      <c r="BS5" s="107"/>
      <c r="BT5" s="107"/>
    </row>
    <row r="6">
      <c r="B6" s="104" t="s">
        <v>269</v>
      </c>
      <c r="C6" s="107"/>
      <c r="D6" s="107"/>
      <c r="F6" s="104" t="s">
        <v>269</v>
      </c>
      <c r="G6" s="107"/>
      <c r="H6" s="107"/>
      <c r="J6" s="104" t="s">
        <v>269</v>
      </c>
      <c r="K6" s="107"/>
      <c r="L6" s="107"/>
      <c r="N6" s="104" t="s">
        <v>269</v>
      </c>
      <c r="O6" s="107"/>
      <c r="P6" s="107"/>
      <c r="R6" s="104" t="s">
        <v>269</v>
      </c>
      <c r="S6" s="107"/>
      <c r="T6" s="107"/>
      <c r="V6" s="104" t="s">
        <v>269</v>
      </c>
      <c r="W6" s="107"/>
      <c r="X6" s="107"/>
      <c r="Z6" s="104" t="s">
        <v>269</v>
      </c>
      <c r="AA6" s="107"/>
      <c r="AB6" s="107"/>
      <c r="AD6" s="104" t="s">
        <v>269</v>
      </c>
      <c r="AE6" s="107"/>
      <c r="AF6" s="107"/>
      <c r="AH6" s="104" t="s">
        <v>269</v>
      </c>
      <c r="AI6" s="107"/>
      <c r="AJ6" s="107"/>
      <c r="AL6" s="104" t="s">
        <v>269</v>
      </c>
      <c r="AM6" s="107"/>
      <c r="AN6" s="107"/>
      <c r="AP6" s="104" t="s">
        <v>269</v>
      </c>
      <c r="AQ6" s="107"/>
      <c r="AR6" s="107"/>
      <c r="AT6" s="104" t="s">
        <v>269</v>
      </c>
      <c r="AU6" s="107"/>
      <c r="AV6" s="107"/>
      <c r="AX6" s="104" t="s">
        <v>269</v>
      </c>
      <c r="AY6" s="107"/>
      <c r="AZ6" s="107"/>
      <c r="BB6" s="104" t="s">
        <v>269</v>
      </c>
      <c r="BC6" s="107"/>
      <c r="BD6" s="107"/>
      <c r="BF6" s="104" t="s">
        <v>269</v>
      </c>
      <c r="BG6" s="107"/>
      <c r="BH6" s="107"/>
      <c r="BJ6" s="104" t="s">
        <v>269</v>
      </c>
      <c r="BK6" s="107"/>
      <c r="BL6" s="107"/>
      <c r="BN6" s="104" t="s">
        <v>269</v>
      </c>
      <c r="BO6" s="107"/>
      <c r="BP6" s="107"/>
      <c r="BR6" s="104" t="s">
        <v>269</v>
      </c>
      <c r="BS6" s="107"/>
      <c r="BT6" s="107"/>
    </row>
    <row r="7">
      <c r="B7" s="104" t="s">
        <v>270</v>
      </c>
      <c r="C7" s="177" t="str">
        <f>=IF(OR(C5="",C6=""),"",DATEDIF(C5,C6,"m")+1)</f>
      </c>
      <c r="D7" s="177"/>
      <c r="F7" s="104" t="s">
        <v>270</v>
      </c>
      <c r="G7" s="177" t="str">
        <f>=IF(OR(G5="",G6=""),"",DATEDIF(G5,G6,"m")+1)</f>
      </c>
      <c r="H7" s="177"/>
      <c r="J7" s="104" t="s">
        <v>270</v>
      </c>
      <c r="K7" s="177" t="str">
        <f>=IF(OR(K5="",K6=""),"",DATEDIF(K5,K6,"m")+1)</f>
      </c>
      <c r="L7" s="177"/>
      <c r="N7" s="104" t="s">
        <v>270</v>
      </c>
      <c r="O7" s="177" t="str">
        <f>=IF(OR(O5="",O6=""),"",DATEDIF(O5,O6,"m")+1)</f>
      </c>
      <c r="P7" s="177"/>
      <c r="R7" s="104" t="s">
        <v>270</v>
      </c>
      <c r="S7" s="177" t="str">
        <f>=IF(OR(S5="",S6=""),"",DATEDIF(S5,S6,"m")+1)</f>
      </c>
      <c r="T7" s="177"/>
      <c r="V7" s="104" t="s">
        <v>270</v>
      </c>
      <c r="W7" s="177" t="str">
        <f>=IF(OR(W5="",W6=""),"",DATEDIF(W5,W6,"m")+1)</f>
      </c>
      <c r="X7" s="177"/>
      <c r="Z7" s="104" t="s">
        <v>270</v>
      </c>
      <c r="AA7" s="177" t="str">
        <f>=IF(OR(AA5="",AA6=""),"",DATEDIF(AA5,AA6,"m")+1)</f>
      </c>
      <c r="AB7" s="177"/>
      <c r="AD7" s="104" t="s">
        <v>270</v>
      </c>
      <c r="AE7" s="177" t="str">
        <f>=IF(OR(AE5="",AE6=""),"",DATEDIF(AE5,AE6,"m")+1)</f>
      </c>
      <c r="AF7" s="177"/>
      <c r="AH7" s="104" t="s">
        <v>270</v>
      </c>
      <c r="AI7" s="177" t="str">
        <f>=IF(OR(AI5="",AI6=""),"",DATEDIF(AI5,AI6,"m")+1)</f>
      </c>
      <c r="AJ7" s="177"/>
      <c r="AL7" s="104" t="s">
        <v>270</v>
      </c>
      <c r="AM7" s="177" t="str">
        <f>=IF(OR(AM5="",AM6=""),"",DATEDIF(AM5,AM6,"m")+1)</f>
      </c>
      <c r="AN7" s="177"/>
      <c r="AP7" s="104" t="s">
        <v>270</v>
      </c>
      <c r="AQ7" s="177" t="str">
        <f>=IF(OR(AQ5="",AQ6=""),"",DATEDIF(AQ5,AQ6,"m")+1)</f>
      </c>
      <c r="AR7" s="177"/>
      <c r="AT7" s="104" t="s">
        <v>270</v>
      </c>
      <c r="AU7" s="177" t="str">
        <f>=IF(OR(AU5="",AU6=""),"",DATEDIF(AU5,AU6,"m")+1)</f>
      </c>
      <c r="AV7" s="177"/>
      <c r="AX7" s="104" t="s">
        <v>270</v>
      </c>
      <c r="AY7" s="177" t="str">
        <f>=IF(OR(AY5="",AY6=""),"",DATEDIF(AY5,AY6,"m")+1)</f>
      </c>
      <c r="AZ7" s="177"/>
      <c r="BB7" s="104" t="s">
        <v>270</v>
      </c>
      <c r="BC7" s="177" t="str">
        <f>=IF(OR(BC5="",BC6=""),"",DATEDIF(BC5,BC6,"m")+1)</f>
      </c>
      <c r="BD7" s="177"/>
      <c r="BF7" s="104" t="s">
        <v>270</v>
      </c>
      <c r="BG7" s="177" t="str">
        <f>=IF(OR(BG5="",BG6=""),"",DATEDIF(BG5,BG6,"m")+1)</f>
      </c>
      <c r="BH7" s="177"/>
      <c r="BJ7" s="104" t="s">
        <v>270</v>
      </c>
      <c r="BK7" s="177" t="str">
        <f>=IF(OR(BK5="",BK6=""),"",DATEDIF(BK5,BK6,"m")+1)</f>
      </c>
      <c r="BL7" s="177"/>
      <c r="BN7" s="104" t="s">
        <v>270</v>
      </c>
      <c r="BO7" s="177" t="str">
        <f>=IF(OR(BO5="",BO6=""),"",DATEDIF(BO5,BO6,"m")+1)</f>
      </c>
      <c r="BP7" s="177"/>
      <c r="BR7" s="104" t="s">
        <v>270</v>
      </c>
      <c r="BS7" s="177" t="str">
        <f>=IF(OR(BS5="",BS6=""),"",DATEDIF(BS5,BS6,"m")+1)</f>
      </c>
      <c r="BT7" s="177"/>
    </row>
    <row r="8">
      <c r="B8" s="104" t="s">
        <v>307</v>
      </c>
      <c r="C8" s="178"/>
      <c r="D8" s="178"/>
      <c r="F8" s="104" t="s">
        <v>307</v>
      </c>
      <c r="G8" s="178"/>
      <c r="H8" s="178"/>
      <c r="J8" s="104" t="s">
        <v>307</v>
      </c>
      <c r="K8" s="178"/>
      <c r="L8" s="178"/>
      <c r="N8" s="104" t="s">
        <v>307</v>
      </c>
      <c r="O8" s="178"/>
      <c r="P8" s="178"/>
      <c r="R8" s="104" t="s">
        <v>307</v>
      </c>
      <c r="S8" s="178"/>
      <c r="T8" s="178"/>
      <c r="V8" s="104" t="s">
        <v>307</v>
      </c>
      <c r="W8" s="178"/>
      <c r="X8" s="178"/>
      <c r="Z8" s="104" t="s">
        <v>307</v>
      </c>
      <c r="AA8" s="178"/>
      <c r="AB8" s="178"/>
      <c r="AD8" s="104" t="s">
        <v>307</v>
      </c>
      <c r="AE8" s="178"/>
      <c r="AF8" s="178"/>
      <c r="AH8" s="104" t="s">
        <v>307</v>
      </c>
      <c r="AI8" s="178"/>
      <c r="AJ8" s="178"/>
      <c r="AL8" s="104" t="s">
        <v>307</v>
      </c>
      <c r="AM8" s="178"/>
      <c r="AN8" s="178"/>
      <c r="AP8" s="104" t="s">
        <v>307</v>
      </c>
      <c r="AQ8" s="178"/>
      <c r="AR8" s="178"/>
      <c r="AT8" s="104" t="s">
        <v>307</v>
      </c>
      <c r="AU8" s="178"/>
      <c r="AV8" s="178"/>
      <c r="AX8" s="104" t="s">
        <v>307</v>
      </c>
      <c r="AY8" s="178"/>
      <c r="AZ8" s="178"/>
      <c r="BB8" s="104" t="s">
        <v>307</v>
      </c>
      <c r="BC8" s="178"/>
      <c r="BD8" s="178"/>
      <c r="BF8" s="104" t="s">
        <v>307</v>
      </c>
      <c r="BG8" s="178"/>
      <c r="BH8" s="178"/>
      <c r="BJ8" s="104" t="s">
        <v>307</v>
      </c>
      <c r="BK8" s="178"/>
      <c r="BL8" s="178"/>
      <c r="BN8" s="104" t="s">
        <v>307</v>
      </c>
      <c r="BO8" s="178"/>
      <c r="BP8" s="178"/>
      <c r="BR8" s="104" t="s">
        <v>307</v>
      </c>
      <c r="BS8" s="178"/>
      <c r="BT8" s="178"/>
    </row>
    <row r="9">
      <c r="B9" s="179" t="s">
        <v>202</v>
      </c>
      <c r="C9" s="179" t="s">
        <v>308</v>
      </c>
      <c r="D9" s="179" t="s">
        <v>309</v>
      </c>
      <c r="F9" s="179" t="s">
        <v>202</v>
      </c>
      <c r="G9" s="179" t="s">
        <v>308</v>
      </c>
      <c r="H9" s="179" t="s">
        <v>309</v>
      </c>
      <c r="J9" s="179" t="s">
        <v>202</v>
      </c>
      <c r="K9" s="179" t="s">
        <v>308</v>
      </c>
      <c r="L9" s="179" t="s">
        <v>309</v>
      </c>
      <c r="N9" s="179" t="s">
        <v>202</v>
      </c>
      <c r="O9" s="179" t="s">
        <v>308</v>
      </c>
      <c r="P9" s="179" t="s">
        <v>309</v>
      </c>
      <c r="R9" s="179" t="s">
        <v>202</v>
      </c>
      <c r="S9" s="179" t="s">
        <v>308</v>
      </c>
      <c r="T9" s="179" t="s">
        <v>309</v>
      </c>
      <c r="V9" s="179" t="s">
        <v>202</v>
      </c>
      <c r="W9" s="179" t="s">
        <v>308</v>
      </c>
      <c r="X9" s="179" t="s">
        <v>309</v>
      </c>
      <c r="Z9" s="179" t="s">
        <v>202</v>
      </c>
      <c r="AA9" s="179" t="s">
        <v>308</v>
      </c>
      <c r="AB9" s="179" t="s">
        <v>309</v>
      </c>
      <c r="AD9" s="179" t="s">
        <v>202</v>
      </c>
      <c r="AE9" s="179" t="s">
        <v>308</v>
      </c>
      <c r="AF9" s="179" t="s">
        <v>309</v>
      </c>
      <c r="AH9" s="179" t="s">
        <v>202</v>
      </c>
      <c r="AI9" s="179" t="s">
        <v>308</v>
      </c>
      <c r="AJ9" s="179" t="s">
        <v>309</v>
      </c>
      <c r="AL9" s="179" t="s">
        <v>202</v>
      </c>
      <c r="AM9" s="179" t="s">
        <v>308</v>
      </c>
      <c r="AN9" s="179" t="s">
        <v>309</v>
      </c>
      <c r="AP9" s="179" t="s">
        <v>202</v>
      </c>
      <c r="AQ9" s="179" t="s">
        <v>308</v>
      </c>
      <c r="AR9" s="179" t="s">
        <v>309</v>
      </c>
      <c r="AT9" s="179" t="s">
        <v>202</v>
      </c>
      <c r="AU9" s="179" t="s">
        <v>308</v>
      </c>
      <c r="AV9" s="179" t="s">
        <v>309</v>
      </c>
      <c r="AX9" s="179" t="s">
        <v>202</v>
      </c>
      <c r="AY9" s="179" t="s">
        <v>308</v>
      </c>
      <c r="AZ9" s="179" t="s">
        <v>309</v>
      </c>
      <c r="BB9" s="179" t="s">
        <v>202</v>
      </c>
      <c r="BC9" s="179" t="s">
        <v>308</v>
      </c>
      <c r="BD9" s="179" t="s">
        <v>309</v>
      </c>
      <c r="BF9" s="179" t="s">
        <v>202</v>
      </c>
      <c r="BG9" s="179" t="s">
        <v>308</v>
      </c>
      <c r="BH9" s="179" t="s">
        <v>309</v>
      </c>
      <c r="BJ9" s="179" t="s">
        <v>202</v>
      </c>
      <c r="BK9" s="179" t="s">
        <v>308</v>
      </c>
      <c r="BL9" s="179" t="s">
        <v>309</v>
      </c>
      <c r="BN9" s="179" t="s">
        <v>202</v>
      </c>
      <c r="BO9" s="179" t="s">
        <v>308</v>
      </c>
      <c r="BP9" s="179" t="s">
        <v>309</v>
      </c>
      <c r="BR9" s="179" t="s">
        <v>202</v>
      </c>
      <c r="BS9" s="179" t="s">
        <v>308</v>
      </c>
      <c r="BT9" s="179" t="s">
        <v>309</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310</v>
      </c>
      <c r="C18" s="183" t="str">
        <f>=ROUND(SUBTOTAL(109,MA_1[Angefordert (LC)]),2)</f>
      </c>
      <c r="D18" s="184" t="str">
        <f>=ROUND(SUBTOTAL(109,MA_1[Angefordert (EUR)]),2)</f>
      </c>
      <c r="F18" s="182" t="s">
        <v>310</v>
      </c>
      <c r="G18" s="183" t="str">
        <f>=ROUND(SUBTOTAL(109,MA_2[Angefordert (LC)]),2)</f>
      </c>
      <c r="H18" s="184" t="str">
        <f>=ROUND(SUBTOTAL(109,MA_2[Angefordert (EUR)]),2)</f>
      </c>
      <c r="J18" s="182" t="s">
        <v>310</v>
      </c>
      <c r="K18" s="183" t="str">
        <f>=ROUND(SUBTOTAL(109,MA_3[Angefordert (LC)]),2)</f>
      </c>
      <c r="L18" s="184" t="str">
        <f>=ROUND(SUBTOTAL(109,MA_3[Angefordert (EUR)]),2)</f>
      </c>
      <c r="N18" s="182" t="s">
        <v>310</v>
      </c>
      <c r="O18" s="183" t="str">
        <f>=ROUND(SUBTOTAL(109,MA_4[Angefordert (LC)]),2)</f>
      </c>
      <c r="P18" s="184" t="str">
        <f>=ROUND(SUBTOTAL(109,MA_4[Angefordert (EUR)]),2)</f>
      </c>
      <c r="R18" s="182" t="s">
        <v>310</v>
      </c>
      <c r="S18" s="183" t="str">
        <f>=ROUND(SUBTOTAL(109,MA_5[Angefordert (LC)]),2)</f>
      </c>
      <c r="T18" s="184" t="str">
        <f>=ROUND(SUBTOTAL(109,MA_5[Angefordert (EUR)]),2)</f>
      </c>
      <c r="V18" s="182" t="s">
        <v>310</v>
      </c>
      <c r="W18" s="183" t="str">
        <f>=ROUND(SUBTOTAL(109,MA_6[Angefordert (LC)]),2)</f>
      </c>
      <c r="X18" s="184" t="str">
        <f>=ROUND(SUBTOTAL(109,MA_6[Angefordert (EUR)]),2)</f>
      </c>
      <c r="Z18" s="182" t="s">
        <v>310</v>
      </c>
      <c r="AA18" s="183" t="str">
        <f>=ROUND(SUBTOTAL(109,MA_7[Angefordert (LC)]),2)</f>
      </c>
      <c r="AB18" s="184" t="str">
        <f>=ROUND(SUBTOTAL(109,MA_7[Angefordert (EUR)]),2)</f>
      </c>
      <c r="AD18" s="182" t="s">
        <v>310</v>
      </c>
      <c r="AE18" s="183" t="str">
        <f>=ROUND(SUBTOTAL(109,MA_8[Angefordert (LC)]),2)</f>
      </c>
      <c r="AF18" s="184" t="str">
        <f>=ROUND(SUBTOTAL(109,MA_8[Angefordert (EUR)]),2)</f>
      </c>
      <c r="AH18" s="182" t="s">
        <v>310</v>
      </c>
      <c r="AI18" s="183" t="str">
        <f>=ROUND(SUBTOTAL(109,MA_9[Angefordert (LC)]),2)</f>
      </c>
      <c r="AJ18" s="184" t="str">
        <f>=ROUND(SUBTOTAL(109,MA_9[Angefordert (EUR)]),2)</f>
      </c>
      <c r="AL18" s="182" t="s">
        <v>310</v>
      </c>
      <c r="AM18" s="183" t="str">
        <f>=ROUND(SUBTOTAL(109,MA_10[Angefordert (LC)]),2)</f>
      </c>
      <c r="AN18" s="184" t="str">
        <f>=ROUND(SUBTOTAL(109,MA_10[Angefordert (EUR)]),2)</f>
      </c>
      <c r="AP18" s="182" t="s">
        <v>310</v>
      </c>
      <c r="AQ18" s="183" t="str">
        <f>=ROUND(SUBTOTAL(109,MA_11[Angefordert (LC)]),2)</f>
      </c>
      <c r="AR18" s="184" t="str">
        <f>=ROUND(SUBTOTAL(109,MA_11[Angefordert (EUR)]),2)</f>
      </c>
      <c r="AT18" s="182" t="s">
        <v>310</v>
      </c>
      <c r="AU18" s="183" t="str">
        <f>=ROUND(SUBTOTAL(109,MA_12[Angefordert (LC)]),2)</f>
      </c>
      <c r="AV18" s="184" t="str">
        <f>=ROUND(SUBTOTAL(109,MA_12[Angefordert (EUR)]),2)</f>
      </c>
      <c r="AX18" s="182" t="s">
        <v>310</v>
      </c>
      <c r="AY18" s="183" t="str">
        <f>=ROUND(SUBTOTAL(109,MA_13[Angefordert (LC)]),2)</f>
      </c>
      <c r="AZ18" s="184" t="str">
        <f>=ROUND(SUBTOTAL(109,MA_13[Angefordert (EUR)]),2)</f>
      </c>
      <c r="BB18" s="182" t="s">
        <v>310</v>
      </c>
      <c r="BC18" s="183" t="str">
        <f>=ROUND(SUBTOTAL(109,MA_14[Angefordert (LC)]),2)</f>
      </c>
      <c r="BD18" s="184" t="str">
        <f>=ROUND(SUBTOTAL(109,MA_14[Angefordert (EUR)]),2)</f>
      </c>
      <c r="BF18" s="182" t="s">
        <v>310</v>
      </c>
      <c r="BG18" s="183" t="str">
        <f>=ROUND(SUBTOTAL(109,MA_15[Angefordert (LC)]),2)</f>
      </c>
      <c r="BH18" s="184" t="str">
        <f>=ROUND(SUBTOTAL(109,MA_15[Angefordert (EUR)]),2)</f>
      </c>
      <c r="BJ18" s="182" t="s">
        <v>310</v>
      </c>
      <c r="BK18" s="183" t="str">
        <f>=ROUND(SUBTOTAL(109,MA_16[Angefordert (LC)]),2)</f>
      </c>
      <c r="BL18" s="184" t="str">
        <f>=ROUND(SUBTOTAL(109,MA_16[Angefordert (EUR)]),2)</f>
      </c>
      <c r="BN18" s="182" t="s">
        <v>310</v>
      </c>
      <c r="BO18" s="183" t="str">
        <f>=ROUND(SUBTOTAL(109,MA_17[Angefordert (LC)]),2)</f>
      </c>
      <c r="BP18" s="184" t="str">
        <f>=ROUND(SUBTOTAL(109,MA_17[Angefordert (EUR)]),2)</f>
      </c>
      <c r="BR18" s="182" t="s">
        <v>310</v>
      </c>
      <c r="BS18" s="183" t="str">
        <f>=ROUND(SUBTOTAL(109,MA_18[Angefordert (LC)]),2)</f>
      </c>
      <c r="BT18" s="184" t="str">
        <f>=ROUND(SUBTOTAL(109,MA_18[Angefordert (EUR)]),2)</f>
      </c>
    </row>
    <row r="20">
      <c r="B20" t="s">
        <v>311</v>
      </c>
      <c r="C20" s="185" t="str">
        <f>=ROUND($C$18,2)</f>
      </c>
      <c r="D20" s="186" t="str">
        <f>=ROUND($D$18,2)</f>
      </c>
      <c r="F20" t="s">
        <v>311</v>
      </c>
      <c r="G20" s="185" t="str">
        <f>=ROUND($G$18,2)</f>
      </c>
      <c r="H20" s="186" t="str">
        <f>=ROUND($H$18,2)</f>
      </c>
      <c r="J20" t="s">
        <v>311</v>
      </c>
      <c r="K20" s="185" t="str">
        <f>=ROUND($K$18,2)</f>
      </c>
      <c r="L20" s="186" t="str">
        <f>=ROUND($L$18,2)</f>
      </c>
      <c r="N20" t="s">
        <v>311</v>
      </c>
      <c r="O20" s="185" t="str">
        <f>=ROUND($O$18,2)</f>
      </c>
      <c r="P20" s="186" t="str">
        <f>=ROUND($P$18,2)</f>
      </c>
      <c r="R20" t="s">
        <v>311</v>
      </c>
      <c r="S20" s="185" t="str">
        <f>=ROUND($S$18,2)</f>
      </c>
      <c r="T20" s="186" t="str">
        <f>=ROUND($T$18,2)</f>
      </c>
      <c r="V20" t="s">
        <v>311</v>
      </c>
      <c r="W20" s="185" t="str">
        <f>=ROUND($W$18,2)</f>
      </c>
      <c r="X20" s="186" t="str">
        <f>=ROUND($X$18,2)</f>
      </c>
      <c r="Z20" t="s">
        <v>311</v>
      </c>
      <c r="AA20" s="185" t="str">
        <f>=ROUND($AA$18,2)</f>
      </c>
      <c r="AB20" s="186" t="str">
        <f>=ROUND($AB$18,2)</f>
      </c>
      <c r="AD20" t="s">
        <v>311</v>
      </c>
      <c r="AE20" s="185" t="str">
        <f>=ROUND($AE$18,2)</f>
      </c>
      <c r="AF20" s="186" t="str">
        <f>=ROUND($AF$18,2)</f>
      </c>
      <c r="AH20" t="s">
        <v>311</v>
      </c>
      <c r="AI20" s="185" t="str">
        <f>=ROUND($AI$18,2)</f>
      </c>
      <c r="AJ20" s="186" t="str">
        <f>=ROUND($AJ$18,2)</f>
      </c>
      <c r="AL20" t="s">
        <v>311</v>
      </c>
      <c r="AM20" s="185" t="str">
        <f>=ROUND($AM$18,2)</f>
      </c>
      <c r="AN20" s="186" t="str">
        <f>=ROUND($AN$18,2)</f>
      </c>
      <c r="AP20" t="s">
        <v>311</v>
      </c>
      <c r="AQ20" s="185" t="str">
        <f>=ROUND($AQ$18,2)</f>
      </c>
      <c r="AR20" s="186" t="str">
        <f>=ROUND($AR$18,2)</f>
      </c>
      <c r="AT20" t="s">
        <v>311</v>
      </c>
      <c r="AU20" s="185" t="str">
        <f>=ROUND($AU$18,2)</f>
      </c>
      <c r="AV20" s="186" t="str">
        <f>=ROUND($AV$18,2)</f>
      </c>
      <c r="AX20" t="s">
        <v>311</v>
      </c>
      <c r="AY20" s="185" t="str">
        <f>=ROUND($AY$18,2)</f>
      </c>
      <c r="AZ20" s="186" t="str">
        <f>=ROUND($AZ$18,2)</f>
      </c>
      <c r="BB20" t="s">
        <v>311</v>
      </c>
      <c r="BC20" s="185" t="str">
        <f>=ROUND($BC$18,2)</f>
      </c>
      <c r="BD20" s="186" t="str">
        <f>=ROUND($BD$18,2)</f>
      </c>
      <c r="BF20" t="s">
        <v>311</v>
      </c>
      <c r="BG20" s="185" t="str">
        <f>=ROUND($BG$18,2)</f>
      </c>
      <c r="BH20" s="186" t="str">
        <f>=ROUND($BH$18,2)</f>
      </c>
      <c r="BJ20" t="s">
        <v>311</v>
      </c>
      <c r="BK20" s="185" t="str">
        <f>=ROUND($BK$18,2)</f>
      </c>
      <c r="BL20" s="186" t="str">
        <f>=ROUND($BL$18,2)</f>
      </c>
      <c r="BN20" t="s">
        <v>311</v>
      </c>
      <c r="BO20" s="185" t="str">
        <f>=ROUND($BO$18,2)</f>
      </c>
      <c r="BP20" s="186" t="str">
        <f>=ROUND($BP$18,2)</f>
      </c>
      <c r="BR20" t="s">
        <v>311</v>
      </c>
      <c r="BS20" s="185" t="str">
        <f>=ROUND($BS$18,2)</f>
      </c>
      <c r="BT20" s="186" t="str">
        <f>=ROUND($BT$18,2)</f>
      </c>
    </row>
    <row r="21">
      <c r="B21" t="s">
        <v>312</v>
      </c>
      <c r="C21" s="24"/>
      <c r="D21" s="181" t="str">
        <f>=IFERROR(ROUND($C$21/$C$8,2),0)</f>
      </c>
      <c r="F21" t="s">
        <v>312</v>
      </c>
      <c r="G21" s="24"/>
      <c r="H21" s="181" t="str">
        <f>=IFERROR(ROUND($G$21/$G$8,2),0)</f>
      </c>
      <c r="J21" t="s">
        <v>312</v>
      </c>
      <c r="K21" s="24"/>
      <c r="L21" s="181" t="str">
        <f>=IFERROR(ROUND($K$21/$K$8,2),0)</f>
      </c>
      <c r="N21" t="s">
        <v>312</v>
      </c>
      <c r="O21" s="24"/>
      <c r="P21" s="181" t="str">
        <f>=IFERROR(ROUND($O$21/$O$8,2),0)</f>
      </c>
      <c r="R21" t="s">
        <v>312</v>
      </c>
      <c r="S21" s="24"/>
      <c r="T21" s="181" t="str">
        <f>=IFERROR(ROUND($S$21/$S$8,2),0)</f>
      </c>
      <c r="V21" t="s">
        <v>312</v>
      </c>
      <c r="W21" s="24"/>
      <c r="X21" s="181" t="str">
        <f>=IFERROR(ROUND($W$21/$W$8,2),0)</f>
      </c>
      <c r="Z21" t="s">
        <v>312</v>
      </c>
      <c r="AA21" s="24"/>
      <c r="AB21" s="181" t="str">
        <f>=IFERROR(ROUND($AA$21/$AA$8,2),0)</f>
      </c>
      <c r="AD21" t="s">
        <v>312</v>
      </c>
      <c r="AE21" s="24"/>
      <c r="AF21" s="181" t="str">
        <f>=IFERROR(ROUND($AE$21/$AE$8,2),0)</f>
      </c>
      <c r="AH21" t="s">
        <v>312</v>
      </c>
      <c r="AI21" s="24"/>
      <c r="AJ21" s="181" t="str">
        <f>=IFERROR(ROUND($AI$21/$AI$8,2),0)</f>
      </c>
      <c r="AL21" t="s">
        <v>312</v>
      </c>
      <c r="AM21" s="24"/>
      <c r="AN21" s="181" t="str">
        <f>=IFERROR(ROUND($AM$21/$AM$8,2),0)</f>
      </c>
      <c r="AP21" t="s">
        <v>312</v>
      </c>
      <c r="AQ21" s="24"/>
      <c r="AR21" s="181" t="str">
        <f>=IFERROR(ROUND($AQ$21/$AQ$8,2),0)</f>
      </c>
      <c r="AT21" t="s">
        <v>312</v>
      </c>
      <c r="AU21" s="24"/>
      <c r="AV21" s="181" t="str">
        <f>=IFERROR(ROUND($AU$21/$AU$8,2),0)</f>
      </c>
      <c r="AX21" t="s">
        <v>312</v>
      </c>
      <c r="AY21" s="24"/>
      <c r="AZ21" s="181" t="str">
        <f>=IFERROR(ROUND($AY$21/$AY$8,2),0)</f>
      </c>
      <c r="BB21" t="s">
        <v>312</v>
      </c>
      <c r="BC21" s="24"/>
      <c r="BD21" s="181" t="str">
        <f>=IFERROR(ROUND($BC$21/$BC$8,2),0)</f>
      </c>
      <c r="BF21" t="s">
        <v>312</v>
      </c>
      <c r="BG21" s="24"/>
      <c r="BH21" s="181" t="str">
        <f>=IFERROR(ROUND($BG$21/$BG$8,2),0)</f>
      </c>
      <c r="BJ21" t="s">
        <v>312</v>
      </c>
      <c r="BK21" s="24"/>
      <c r="BL21" s="181" t="str">
        <f>=IFERROR(ROUND($BK$21/$BK$8,2),0)</f>
      </c>
      <c r="BN21" t="s">
        <v>312</v>
      </c>
      <c r="BO21" s="24"/>
      <c r="BP21" s="181" t="str">
        <f>=IFERROR(ROUND($BO$21/$BO$8,2),0)</f>
      </c>
      <c r="BR21" t="s">
        <v>312</v>
      </c>
      <c r="BS21" s="24"/>
      <c r="BT21" s="181" t="str">
        <f>=IFERROR(ROUND($BS$21/$BS$8,2),0)</f>
      </c>
    </row>
    <row r="22">
      <c r="B22" t="s">
        <v>313</v>
      </c>
      <c r="C22" s="24"/>
      <c r="D22" s="181" t="str">
        <f>=IFERROR(ROUND($C$22/$C$8,2),0)</f>
      </c>
      <c r="F22" t="s">
        <v>313</v>
      </c>
      <c r="G22" s="24"/>
      <c r="H22" s="181" t="str">
        <f>=IFERROR(ROUND($G$22/$G$8,2),0)</f>
      </c>
      <c r="J22" t="s">
        <v>313</v>
      </c>
      <c r="K22" s="24"/>
      <c r="L22" s="181" t="str">
        <f>=IFERROR(ROUND($K$22/$K$8,2),0)</f>
      </c>
      <c r="N22" t="s">
        <v>313</v>
      </c>
      <c r="O22" s="24"/>
      <c r="P22" s="181" t="str">
        <f>=IFERROR(ROUND($O$22/$O$8,2),0)</f>
      </c>
      <c r="R22" t="s">
        <v>313</v>
      </c>
      <c r="S22" s="24"/>
      <c r="T22" s="181" t="str">
        <f>=IFERROR(ROUND($S$22/$S$8,2),0)</f>
      </c>
      <c r="V22" t="s">
        <v>313</v>
      </c>
      <c r="W22" s="24"/>
      <c r="X22" s="181" t="str">
        <f>=IFERROR(ROUND($W$22/$W$8,2),0)</f>
      </c>
      <c r="Z22" t="s">
        <v>313</v>
      </c>
      <c r="AA22" s="24"/>
      <c r="AB22" s="181" t="str">
        <f>=IFERROR(ROUND($AA$22/$AA$8,2),0)</f>
      </c>
      <c r="AD22" t="s">
        <v>313</v>
      </c>
      <c r="AE22" s="24"/>
      <c r="AF22" s="181" t="str">
        <f>=IFERROR(ROUND($AE$22/$AE$8,2),0)</f>
      </c>
      <c r="AH22" t="s">
        <v>313</v>
      </c>
      <c r="AI22" s="24"/>
      <c r="AJ22" s="181" t="str">
        <f>=IFERROR(ROUND($AI$22/$AI$8,2),0)</f>
      </c>
      <c r="AL22" t="s">
        <v>313</v>
      </c>
      <c r="AM22" s="24"/>
      <c r="AN22" s="181" t="str">
        <f>=IFERROR(ROUND($AM$22/$AM$8,2),0)</f>
      </c>
      <c r="AP22" t="s">
        <v>313</v>
      </c>
      <c r="AQ22" s="24"/>
      <c r="AR22" s="181" t="str">
        <f>=IFERROR(ROUND($AQ$22/$AQ$8,2),0)</f>
      </c>
      <c r="AT22" t="s">
        <v>313</v>
      </c>
      <c r="AU22" s="24"/>
      <c r="AV22" s="181" t="str">
        <f>=IFERROR(ROUND($AU$22/$AU$8,2),0)</f>
      </c>
      <c r="AX22" t="s">
        <v>313</v>
      </c>
      <c r="AY22" s="24"/>
      <c r="AZ22" s="181" t="str">
        <f>=IFERROR(ROUND($AY$22/$AY$8,2),0)</f>
      </c>
      <c r="BB22" t="s">
        <v>313</v>
      </c>
      <c r="BC22" s="24"/>
      <c r="BD22" s="181" t="str">
        <f>=IFERROR(ROUND($BC$22/$BC$8,2),0)</f>
      </c>
      <c r="BF22" t="s">
        <v>313</v>
      </c>
      <c r="BG22" s="24"/>
      <c r="BH22" s="181" t="str">
        <f>=IFERROR(ROUND($BG$22/$BG$8,2),0)</f>
      </c>
      <c r="BJ22" t="s">
        <v>313</v>
      </c>
      <c r="BK22" s="24"/>
      <c r="BL22" s="181" t="str">
        <f>=IFERROR(ROUND($BK$22/$BK$8,2),0)</f>
      </c>
      <c r="BN22" t="s">
        <v>313</v>
      </c>
      <c r="BO22" s="24"/>
      <c r="BP22" s="181" t="str">
        <f>=IFERROR(ROUND($BO$22/$BO$8,2),0)</f>
      </c>
      <c r="BR22" t="s">
        <v>313</v>
      </c>
      <c r="BS22" s="24"/>
      <c r="BT22" s="181" t="str">
        <f>=IFERROR(ROUND($BS$22/$BS$8,2),0)</f>
      </c>
    </row>
    <row r="23">
      <c r="B23" t="s">
        <v>314</v>
      </c>
      <c r="C23" s="187" t="str">
        <f>=ROUND(IF(Saldovortrag_LW="",0,Saldovortrag_LW),2)</f>
      </c>
      <c r="D23" s="181" t="str">
        <f>=IFERROR(ROUND($C$23/$C$8,2),0)</f>
      </c>
      <c r="F23" t="s">
        <v>316</v>
      </c>
      <c r="G23" s="187" t="str">
        <f>=ROUND(IFERROR(FB_SaldoLC_1,0),2)</f>
      </c>
      <c r="H23" s="181" t="str">
        <f>=IFERROR(ROUND($G$23/$G$8,2),0)</f>
      </c>
      <c r="J23" t="s">
        <v>316</v>
      </c>
      <c r="K23" s="187" t="str">
        <f>=ROUND(IFERROR(FB_SaldoLC_2,0),2)</f>
      </c>
      <c r="L23" s="181" t="str">
        <f>=IFERROR(ROUND($K$23/$K$8,2),0)</f>
      </c>
      <c r="N23" t="s">
        <v>316</v>
      </c>
      <c r="O23" s="187" t="str">
        <f>=ROUND(IFERROR(FB_SaldoLC_3,0),2)</f>
      </c>
      <c r="P23" s="181" t="str">
        <f>=IFERROR(ROUND($O$23/$O$8,2),0)</f>
      </c>
      <c r="R23" t="s">
        <v>316</v>
      </c>
      <c r="S23" s="187" t="str">
        <f>=ROUND(IFERROR(FB_SaldoLC_4,0),2)</f>
      </c>
      <c r="T23" s="181" t="str">
        <f>=IFERROR(ROUND($S$23/$S$8,2),0)</f>
      </c>
      <c r="V23" t="s">
        <v>316</v>
      </c>
      <c r="W23" s="187" t="str">
        <f>=ROUND(IFERROR(FB_SaldoLC_5,0),2)</f>
      </c>
      <c r="X23" s="181" t="str">
        <f>=IFERROR(ROUND($W$23/$W$8,2),0)</f>
      </c>
      <c r="Z23" t="s">
        <v>316</v>
      </c>
      <c r="AA23" s="187" t="str">
        <f>=ROUND(IFERROR(FB_SaldoLC_6,0),2)</f>
      </c>
      <c r="AB23" s="181" t="str">
        <f>=IFERROR(ROUND($AA$23/$AA$8,2),0)</f>
      </c>
      <c r="AD23" t="s">
        <v>316</v>
      </c>
      <c r="AE23" s="187" t="str">
        <f>=ROUND(IFERROR(FB_SaldoLC_7,0),2)</f>
      </c>
      <c r="AF23" s="181" t="str">
        <f>=IFERROR(ROUND($AE$23/$AE$8,2),0)</f>
      </c>
      <c r="AH23" t="s">
        <v>316</v>
      </c>
      <c r="AI23" s="187" t="str">
        <f>=ROUND(IFERROR(FB_SaldoLC_8,0),2)</f>
      </c>
      <c r="AJ23" s="181" t="str">
        <f>=IFERROR(ROUND($AI$23/$AI$8,2),0)</f>
      </c>
      <c r="AL23" t="s">
        <v>316</v>
      </c>
      <c r="AM23" s="187" t="str">
        <f>=ROUND(IFERROR(FB_SaldoLC_9,0),2)</f>
      </c>
      <c r="AN23" s="181" t="str">
        <f>=IFERROR(ROUND($AM$23/$AM$8,2),0)</f>
      </c>
      <c r="AP23" t="s">
        <v>316</v>
      </c>
      <c r="AQ23" s="187" t="str">
        <f>=ROUND(IFERROR(FB_SaldoLC_10,0),2)</f>
      </c>
      <c r="AR23" s="181" t="str">
        <f>=IFERROR(ROUND($AQ$23/$AQ$8,2),0)</f>
      </c>
      <c r="AT23" t="s">
        <v>316</v>
      </c>
      <c r="AU23" s="187" t="str">
        <f>=ROUND(IFERROR(FB_SaldoLC_11,0),2)</f>
      </c>
      <c r="AV23" s="181" t="str">
        <f>=IFERROR(ROUND($AU$23/$AU$8,2),0)</f>
      </c>
      <c r="AX23" t="s">
        <v>316</v>
      </c>
      <c r="AY23" s="187" t="str">
        <f>=ROUND(IFERROR(FB_SaldoLC_12,0),2)</f>
      </c>
      <c r="AZ23" s="181" t="str">
        <f>=IFERROR(ROUND($AY$23/$AY$8,2),0)</f>
      </c>
      <c r="BB23" t="s">
        <v>316</v>
      </c>
      <c r="BC23" s="187" t="str">
        <f>=ROUND(IFERROR(FB_SaldoLC_13,0),2)</f>
      </c>
      <c r="BD23" s="181" t="str">
        <f>=IFERROR(ROUND($BC$23/$BC$8,2),0)</f>
      </c>
      <c r="BF23" t="s">
        <v>316</v>
      </c>
      <c r="BG23" s="187" t="str">
        <f>=ROUND(IFERROR(FB_SaldoLC_14,0),2)</f>
      </c>
      <c r="BH23" s="181" t="str">
        <f>=IFERROR(ROUND($BG$23/$BG$8,2),0)</f>
      </c>
      <c r="BJ23" t="s">
        <v>316</v>
      </c>
      <c r="BK23" s="187" t="str">
        <f>=ROUND(IFERROR(FB_SaldoLC_15,0),2)</f>
      </c>
      <c r="BL23" s="181" t="str">
        <f>=IFERROR(ROUND($BK$23/$BK$8,2),0)</f>
      </c>
      <c r="BN23" t="s">
        <v>316</v>
      </c>
      <c r="BO23" s="187" t="str">
        <f>=ROUND(IFERROR(FB_SaldoLC_16,0),2)</f>
      </c>
      <c r="BP23" s="181" t="str">
        <f>=IFERROR(ROUND($BO$23/$BO$8,2),0)</f>
      </c>
      <c r="BR23" t="s">
        <v>316</v>
      </c>
      <c r="BS23" s="187" t="str">
        <f>=ROUND(IFERROR(FB_SaldoLC_17,0),2)</f>
      </c>
      <c r="BT23" s="181" t="str">
        <f>=IFERROR(ROUND($BS$23/$BS$8,2),0)</f>
      </c>
    </row>
    <row r="25">
      <c r="B25" s="188" t="s">
        <v>315</v>
      </c>
      <c r="C25" s="189" t="str">
        <f>=IFERROR(ROUND($C$18-$C$21-$C$22-$C$23,2),0)</f>
      </c>
      <c r="D25" s="190" t="str">
        <f>=IFERROR(ROUND($D$18-$D$21-$D$22-$D$23,2),0)</f>
      </c>
      <c r="F25" s="188" t="s">
        <v>315</v>
      </c>
      <c r="G25" s="189" t="str">
        <f>=IFERROR(ROUND($G$18-$G$21-$G$22-$G$23,2),0)</f>
      </c>
      <c r="H25" s="190" t="str">
        <f>=IFERROR(ROUND($H$18-$H$21-$H$22-$H$23,2),0)</f>
      </c>
      <c r="J25" s="188" t="s">
        <v>315</v>
      </c>
      <c r="K25" s="189" t="str">
        <f>=IFERROR(ROUND($K$18-$K$21-$K$22-$K$23,2),0)</f>
      </c>
      <c r="L25" s="190" t="str">
        <f>=IFERROR(ROUND($L$18-$L$21-$L$22-$L$23,2),0)</f>
      </c>
      <c r="N25" s="188" t="s">
        <v>315</v>
      </c>
      <c r="O25" s="189" t="str">
        <f>=IFERROR(ROUND($O$18-$O$21-$O$22-$O$23,2),0)</f>
      </c>
      <c r="P25" s="190" t="str">
        <f>=IFERROR(ROUND($P$18-$P$21-$P$22-$P$23,2),0)</f>
      </c>
      <c r="R25" s="188" t="s">
        <v>315</v>
      </c>
      <c r="S25" s="189" t="str">
        <f>=IFERROR(ROUND($S$18-$S$21-$S$22-$S$23,2),0)</f>
      </c>
      <c r="T25" s="190" t="str">
        <f>=IFERROR(ROUND($T$18-$T$21-$T$22-$T$23,2),0)</f>
      </c>
      <c r="V25" s="188" t="s">
        <v>315</v>
      </c>
      <c r="W25" s="189" t="str">
        <f>=IFERROR(ROUND($W$18-$W$21-$W$22-$W$23,2),0)</f>
      </c>
      <c r="X25" s="190" t="str">
        <f>=IFERROR(ROUND($X$18-$X$21-$X$22-$X$23,2),0)</f>
      </c>
      <c r="Z25" s="188" t="s">
        <v>315</v>
      </c>
      <c r="AA25" s="189" t="str">
        <f>=IFERROR(ROUND($AA$18-$AA$21-$AA$22-$AA$23,2),0)</f>
      </c>
      <c r="AB25" s="190" t="str">
        <f>=IFERROR(ROUND($AB$18-$AB$21-$AB$22-$AB$23,2),0)</f>
      </c>
      <c r="AD25" s="188" t="s">
        <v>315</v>
      </c>
      <c r="AE25" s="189" t="str">
        <f>=IFERROR(ROUND($AE$18-$AE$21-$AE$22-$AE$23,2),0)</f>
      </c>
      <c r="AF25" s="190" t="str">
        <f>=IFERROR(ROUND($AF$18-$AF$21-$AF$22-$AF$23,2),0)</f>
      </c>
      <c r="AH25" s="188" t="s">
        <v>315</v>
      </c>
      <c r="AI25" s="189" t="str">
        <f>=IFERROR(ROUND($AI$18-$AI$21-$AI$22-$AI$23,2),0)</f>
      </c>
      <c r="AJ25" s="190" t="str">
        <f>=IFERROR(ROUND($AJ$18-$AJ$21-$AJ$22-$AJ$23,2),0)</f>
      </c>
      <c r="AL25" s="188" t="s">
        <v>315</v>
      </c>
      <c r="AM25" s="189" t="str">
        <f>=IFERROR(ROUND($AM$18-$AM$21-$AM$22-$AM$23,2),0)</f>
      </c>
      <c r="AN25" s="190" t="str">
        <f>=IFERROR(ROUND($AN$18-$AN$21-$AN$22-$AN$23,2),0)</f>
      </c>
      <c r="AP25" s="188" t="s">
        <v>315</v>
      </c>
      <c r="AQ25" s="189" t="str">
        <f>=IFERROR(ROUND($AQ$18-$AQ$21-$AQ$22-$AQ$23,2),0)</f>
      </c>
      <c r="AR25" s="190" t="str">
        <f>=IFERROR(ROUND($AR$18-$AR$21-$AR$22-$AR$23,2),0)</f>
      </c>
      <c r="AT25" s="188" t="s">
        <v>315</v>
      </c>
      <c r="AU25" s="189" t="str">
        <f>=IFERROR(ROUND($AU$18-$AU$21-$AU$22-$AU$23,2),0)</f>
      </c>
      <c r="AV25" s="190" t="str">
        <f>=IFERROR(ROUND($AV$18-$AV$21-$AV$22-$AV$23,2),0)</f>
      </c>
      <c r="AX25" s="188" t="s">
        <v>315</v>
      </c>
      <c r="AY25" s="189" t="str">
        <f>=IFERROR(ROUND($AY$18-$AY$21-$AY$22-$AY$23,2),0)</f>
      </c>
      <c r="AZ25" s="190" t="str">
        <f>=IFERROR(ROUND($AZ$18-$AZ$21-$AZ$22-$AZ$23,2),0)</f>
      </c>
      <c r="BB25" s="188" t="s">
        <v>315</v>
      </c>
      <c r="BC25" s="189" t="str">
        <f>=IFERROR(ROUND($BC$18-$BC$21-$BC$22-$BC$23,2),0)</f>
      </c>
      <c r="BD25" s="190" t="str">
        <f>=IFERROR(ROUND($BD$18-$BD$21-$BD$22-$BD$23,2),0)</f>
      </c>
      <c r="BF25" s="188" t="s">
        <v>315</v>
      </c>
      <c r="BG25" s="189" t="str">
        <f>=IFERROR(ROUND($BG$18-$BG$21-$BG$22-$BG$23,2),0)</f>
      </c>
      <c r="BH25" s="190" t="str">
        <f>=IFERROR(ROUND($BH$18-$BH$21-$BH$22-$BH$23,2),0)</f>
      </c>
      <c r="BJ25" s="188" t="s">
        <v>315</v>
      </c>
      <c r="BK25" s="189" t="str">
        <f>=IFERROR(ROUND($BK$18-$BK$21-$BK$22-$BK$23,2),0)</f>
      </c>
      <c r="BL25" s="190" t="str">
        <f>=IFERROR(ROUND($BL$18-$BL$21-$BL$22-$BL$23,2),0)</f>
      </c>
      <c r="BN25" s="188" t="s">
        <v>315</v>
      </c>
      <c r="BO25" s="189" t="str">
        <f>=IFERROR(ROUND($BO$18-$BO$21-$BO$22-$BO$23,2),0)</f>
      </c>
      <c r="BP25" s="190" t="str">
        <f>=IFERROR(ROUND($BP$18-$BP$21-$BP$22-$BP$23,2),0)</f>
      </c>
      <c r="BR25" s="188" t="s">
        <v>315</v>
      </c>
      <c r="BS25" s="189" t="str">
        <f>=IFERROR(ROUND($BS$18-$BS$21-$BS$22-$BS$23,2),0)</f>
      </c>
      <c r="BT25" s="190"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1" t="s">
        <v>317</v>
      </c>
      <c r="C2" s="191"/>
      <c r="D2" s="191"/>
      <c r="E2" s="191"/>
      <c r="F2" s="191"/>
      <c r="G2" s="191"/>
      <c r="H2" s="191"/>
      <c r="I2" s="191"/>
      <c r="J2" s="191"/>
    </row>
    <row r="3" ht="18" customHeight="true">
      <c r="B3" s="192" t="s">
        <v>318</v>
      </c>
      <c r="C3" s="192"/>
      <c r="D3" s="192"/>
      <c r="E3" s="192"/>
      <c r="F3" s="192"/>
      <c r="G3" s="192"/>
      <c r="H3" s="192"/>
      <c r="I3" s="192"/>
      <c r="J3" s="192"/>
    </row>
    <row r="5" ht="22" customHeight="true">
      <c r="B5" s="193" t="s">
        <v>319</v>
      </c>
      <c r="C5" s="193"/>
      <c r="D5" s="193"/>
      <c r="E5" s="193"/>
      <c r="F5" s="193"/>
      <c r="G5" s="193"/>
      <c r="H5" s="193"/>
      <c r="I5" s="193"/>
      <c r="J5" s="193"/>
      <c r="L5" s="201" t="str">
        <f>=IF(F11=0,"Aktuelle Mittelanforderung (keine gewählt)","Aktuelle Mittelanforderung – Periode "&amp;F10&amp;" (#"&amp;F11&amp;")")</f>
      </c>
      <c r="M5" s="202"/>
      <c r="N5" s="203"/>
      <c r="AD5" t="str">
        <f>=IFERROR(SUMPRODUCT('Daten'!$BA$1:$BA$18,('Daten'!$BB$1:$BB$18=F10)*('Daten'!$BD$1:$BD$18=F11)),0)</f>
      </c>
    </row>
    <row r="6">
      <c r="B6" s="194" t="s">
        <v>320</v>
      </c>
      <c r="C6" s="194"/>
      <c r="D6" s="194"/>
      <c r="E6" s="194"/>
      <c r="F6" s="194"/>
      <c r="G6" s="194"/>
      <c r="H6" s="194"/>
      <c r="I6" s="194"/>
      <c r="J6" s="194"/>
      <c r="L6" s="315" t="s">
        <v>267</v>
      </c>
      <c r="M6" s="307" t="str">
        <f>=IFERROR(CHOOSE($AD$5,'IV. MA'!$C$4,'IV. MA'!$G$4,'IV. MA'!$K$4,'IV. MA'!$O$4,'IV. MA'!$S$4,'IV. MA'!$W$4,'IV. MA'!$AA$4,'IV. MA'!$AE$4,'IV. MA'!$AI$4,'IV. MA'!$AM$4,'IV. MA'!$AQ$4,'IV. MA'!$AU$4,'IV. MA'!$AY$4,'IV. MA'!$BC$4,'IV. MA'!$BG$4,'IV. MA'!$BK$4,'IV. MA'!$BO$4,'IV. MA'!$BS$4),"")</f>
      </c>
      <c r="N6" s="316"/>
    </row>
    <row r="7">
      <c r="L7" s="315" t="s">
        <v>268</v>
      </c>
      <c r="M7" s="308" t="str">
        <f>=IFERROR(CHOOSE($AD$5,'IV. MA'!$C$5,'IV. MA'!$G$5,'IV. MA'!$K$5,'IV. MA'!$O$5,'IV. MA'!$S$5,'IV. MA'!$W$5,'IV. MA'!$AA$5,'IV. MA'!$AE$5,'IV. MA'!$AI$5,'IV. MA'!$AM$5,'IV. MA'!$AQ$5,'IV. MA'!$AU$5,'IV. MA'!$AY$5,'IV. MA'!$BC$5,'IV. MA'!$BG$5,'IV. MA'!$BK$5,'IV. MA'!$BO$5,'IV. MA'!$BS$5),"")</f>
      </c>
      <c r="N7" s="317"/>
    </row>
    <row r="8" ht="22" customHeight="true">
      <c r="C8" s="201" t="s">
        <v>321</v>
      </c>
      <c r="D8" s="202"/>
      <c r="E8" s="202"/>
      <c r="F8" s="202"/>
      <c r="G8" s="202"/>
      <c r="H8" s="202"/>
      <c r="I8" s="203"/>
      <c r="L8" s="315" t="s">
        <v>269</v>
      </c>
      <c r="M8" s="308" t="str">
        <f>=IFERROR(CHOOSE($AD$5,'IV. MA'!$C$6,'IV. MA'!$G$6,'IV. MA'!$K$6,'IV. MA'!$O$6,'IV. MA'!$S$6,'IV. MA'!$W$6,'IV. MA'!$AA$6,'IV. MA'!$AE$6,'IV. MA'!$AI$6,'IV. MA'!$AM$6,'IV. MA'!$AQ$6,'IV. MA'!$AU$6,'IV. MA'!$AY$6,'IV. MA'!$BC$6,'IV. MA'!$BG$6,'IV. MA'!$BK$6,'IV. MA'!$BO$6,'IV. MA'!$BS$6),"")</f>
      </c>
      <c r="N8" s="317"/>
    </row>
    <row r="9">
      <c r="C9" s="204" t="s">
        <v>322</v>
      </c>
      <c r="D9" s="196"/>
      <c r="E9" s="196"/>
      <c r="F9" s="33" t="s">
        <v>323</v>
      </c>
      <c r="G9" s="33"/>
      <c r="H9" s="33"/>
      <c r="I9" s="205"/>
      <c r="L9" s="315" t="s">
        <v>270</v>
      </c>
      <c r="M9" s="309" t="str">
        <f>=IFERROR(CHOOSE($AD$5,'IV. MA'!$C$7,'IV. MA'!$G$7,'IV. MA'!$K$7,'IV. MA'!$O$7,'IV. MA'!$S$7,'IV. MA'!$W$7,'IV. MA'!$AA$7,'IV. MA'!$AE$7,'IV. MA'!$AI$7,'IV. MA'!$AM$7,'IV. MA'!$AQ$7,'IV. MA'!$AU$7,'IV. MA'!$AY$7,'IV. MA'!$BC$7,'IV. MA'!$BG$7,'IV. MA'!$BK$7,'IV. MA'!$BO$7,'IV. MA'!$BS$7),"")</f>
      </c>
      <c r="N9" s="318"/>
    </row>
    <row r="10">
      <c r="C10" s="204" t="s">
        <v>324</v>
      </c>
      <c r="D10" s="196"/>
      <c r="E10" s="196"/>
      <c r="F10" s="197" t="str">
        <f>=F82+1</f>
        <v>0</v>
      </c>
      <c r="G10" s="197"/>
      <c r="H10" s="197"/>
      <c r="I10" s="206"/>
      <c r="L10" s="315" t="s">
        <v>307</v>
      </c>
      <c r="M10" s="310" t="str">
        <f>=IFERROR(CHOOSE($AD$5,'IV. MA'!$C$8,'IV. MA'!$G$8,'IV. MA'!$K$8,'IV. MA'!$O$8,'IV. MA'!$S$8,'IV. MA'!$W$8,'IV. MA'!$AA$8,'IV. MA'!$AE$8,'IV. MA'!$AI$8,'IV. MA'!$AM$8,'IV. MA'!$AQ$8,'IV. MA'!$AU$8,'IV. MA'!$AY$8,'IV. MA'!$BC$8,'IV. MA'!$BG$8,'IV. MA'!$BK$8,'IV. MA'!$BO$8,'IV. MA'!$BS$8),"")</f>
      </c>
      <c r="N10" s="319"/>
    </row>
    <row r="11">
      <c r="C11" s="204" t="s">
        <v>325</v>
      </c>
      <c r="D11" s="196"/>
      <c r="E11" s="196"/>
      <c r="F11" s="197" t="str">
        <f>=IF(F9="Neuste MA",IFERROR(SUMPRODUCT(MAX(('Daten'!$BB$1:$BB$18=F10)*('Daten'!$BC$1:$BC$18=1)*'Daten'!$BD$1:$BD$18)),0),IFERROR(VALUE(MID(F9,FIND("(#",F9)+2,FIND(")",F9)-FIND("(#",F9)-2)),0))</f>
      </c>
      <c r="G11" s="197"/>
      <c r="H11" s="197"/>
      <c r="I11" s="207"/>
      <c r="L11" s="47"/>
      <c r="N11" s="48"/>
    </row>
    <row r="12">
      <c r="C12" s="208" t="s">
        <v>326</v>
      </c>
      <c r="D12" s="198"/>
      <c r="E12" s="198"/>
      <c r="F12" s="198"/>
      <c r="G12" s="198"/>
      <c r="H12" s="198"/>
      <c r="I12" s="209"/>
      <c r="L12" s="320" t="s">
        <v>202</v>
      </c>
      <c r="M12" s="179" t="s">
        <v>308</v>
      </c>
      <c r="N12" s="321" t="s">
        <v>309</v>
      </c>
    </row>
    <row r="13">
      <c r="C13" s="210" t="str">
        <f>=IF(1&lt;=F11,"Periode "&amp;F10&amp;" (#1)","")</f>
      </c>
      <c r="D13" s="199"/>
      <c r="E13" s="199"/>
      <c r="F13" s="200" t="str">
        <f>=IF(1&lt;=F11,IFERROR(SUMIFS('Daten'!$BF$1:$BF$18,'Daten'!$BB$1:$BB$18,F10,'Daten'!$BD$1:$BD$18,1),0),"")</f>
      </c>
      <c r="G13" s="200"/>
      <c r="H13" s="181" t="str">
        <f>=IF(1&lt;=F11,IFERROR(SUMIFS('Daten'!$BG$1:$BG$18,'Daten'!$BB$1:$BB$18,F10,'Daten'!$BD$1:$BD$18,1),0),"")</f>
      </c>
      <c r="I13" s="211"/>
      <c r="L13" s="142" t="s">
        <v>205</v>
      </c>
      <c r="M13" s="115" t="str">
        <f>=IFERROR(CHOOSE($AD$5,'IV. MA'!$C$10,'IV. MA'!$G$10,'IV. MA'!$K$10,'IV. MA'!$O$10,'IV. MA'!$S$10,'IV. MA'!$W$10,'IV. MA'!$AA$10,'IV. MA'!$AE$10,'IV. MA'!$AI$10,'IV. MA'!$AM$10,'IV. MA'!$AQ$10,'IV. MA'!$AU$10,'IV. MA'!$AY$10,'IV. MA'!$BC$10,'IV. MA'!$BG$10,'IV. MA'!$BK$10,'IV. MA'!$BO$10,'IV. MA'!$BS$10),"")</f>
      </c>
      <c r="N13" s="143" t="str">
        <f>=IFERROR(CHOOSE($AD$5,'IV. MA'!$D$10,'IV. MA'!$H$10,'IV. MA'!$L$10,'IV. MA'!$P$10,'IV. MA'!$T$10,'IV. MA'!$X$10,'IV. MA'!$AB$10,'IV. MA'!$AF$10,'IV. MA'!$AJ$10,'IV. MA'!$AN$10,'IV. MA'!$AR$10,'IV. MA'!$AV$10,'IV. MA'!$AZ$10,'IV. MA'!$BD$10,'IV. MA'!$BH$10,'IV. MA'!$BL$10,'IV. MA'!$BP$10,'IV. MA'!$BT$10),"")</f>
      </c>
    </row>
    <row r="14">
      <c r="C14" s="210" t="str">
        <f>=IF(2&lt;=F11,"Periode "&amp;F10&amp;" (#2)","")</f>
      </c>
      <c r="D14" s="199"/>
      <c r="E14" s="199"/>
      <c r="F14" s="200" t="str">
        <f>=IF(2&lt;=F11,IFERROR(SUMIFS('Daten'!$BF$1:$BF$18,'Daten'!$BB$1:$BB$18,F10,'Daten'!$BD$1:$BD$18,2),0),"")</f>
      </c>
      <c r="G14" s="200"/>
      <c r="H14" s="181" t="str">
        <f>=IF(2&lt;=F11,IFERROR(SUMIFS('Daten'!$BG$1:$BG$18,'Daten'!$BB$1:$BB$18,F10,'Daten'!$BD$1:$BD$18,2),0),"")</f>
      </c>
      <c r="I14" s="211"/>
      <c r="L14" s="142" t="s">
        <v>206</v>
      </c>
      <c r="M14" s="115" t="str">
        <f>=IFERROR(CHOOSE($AD$5,'IV. MA'!$C$11,'IV. MA'!$G$11,'IV. MA'!$K$11,'IV. MA'!$O$11,'IV. MA'!$S$11,'IV. MA'!$W$11,'IV. MA'!$AA$11,'IV. MA'!$AE$11,'IV. MA'!$AI$11,'IV. MA'!$AM$11,'IV. MA'!$AQ$11,'IV. MA'!$AU$11,'IV. MA'!$AY$11,'IV. MA'!$BC$11,'IV. MA'!$BG$11,'IV. MA'!$BK$11,'IV. MA'!$BO$11,'IV. MA'!$BS$11),"")</f>
      </c>
      <c r="N14" s="143" t="str">
        <f>=IFERROR(CHOOSE($AD$5,'IV. MA'!$D$11,'IV. MA'!$H$11,'IV. MA'!$L$11,'IV. MA'!$P$11,'IV. MA'!$T$11,'IV. MA'!$X$11,'IV. MA'!$AB$11,'IV. MA'!$AF$11,'IV. MA'!$AJ$11,'IV. MA'!$AN$11,'IV. MA'!$AR$11,'IV. MA'!$AV$11,'IV. MA'!$AZ$11,'IV. MA'!$BD$11,'IV. MA'!$BH$11,'IV. MA'!$BL$11,'IV. MA'!$BP$11,'IV. MA'!$BT$11),"")</f>
      </c>
    </row>
    <row r="15">
      <c r="C15" s="210" t="str">
        <f>=IF(3&lt;=F11,"Periode "&amp;F10&amp;" (#3)","")</f>
      </c>
      <c r="D15" s="199"/>
      <c r="E15" s="199"/>
      <c r="F15" s="200" t="str">
        <f>=IF(3&lt;=F11,IFERROR(SUMIFS('Daten'!$BF$1:$BF$18,'Daten'!$BB$1:$BB$18,F10,'Daten'!$BD$1:$BD$18,3),0),"")</f>
      </c>
      <c r="G15" s="200"/>
      <c r="H15" s="181" t="str">
        <f>=IF(3&lt;=F11,IFERROR(SUMIFS('Daten'!$BG$1:$BG$18,'Daten'!$BB$1:$BB$18,F10,'Daten'!$BD$1:$BD$18,3),0),"")</f>
      </c>
      <c r="I15" s="211"/>
      <c r="L15" s="142" t="s">
        <v>207</v>
      </c>
      <c r="M15" s="115" t="str">
        <f>=IFERROR(CHOOSE($AD$5,'IV. MA'!$C$12,'IV. MA'!$G$12,'IV. MA'!$K$12,'IV. MA'!$O$12,'IV. MA'!$S$12,'IV. MA'!$W$12,'IV. MA'!$AA$12,'IV. MA'!$AE$12,'IV. MA'!$AI$12,'IV. MA'!$AM$12,'IV. MA'!$AQ$12,'IV. MA'!$AU$12,'IV. MA'!$AY$12,'IV. MA'!$BC$12,'IV. MA'!$BG$12,'IV. MA'!$BK$12,'IV. MA'!$BO$12,'IV. MA'!$BS$12),"")</f>
      </c>
      <c r="N15" s="143" t="str">
        <f>=IFERROR(CHOOSE($AD$5,'IV. MA'!$D$12,'IV. MA'!$H$12,'IV. MA'!$L$12,'IV. MA'!$P$12,'IV. MA'!$T$12,'IV. MA'!$X$12,'IV. MA'!$AB$12,'IV. MA'!$AF$12,'IV. MA'!$AJ$12,'IV. MA'!$AN$12,'IV. MA'!$AR$12,'IV. MA'!$AV$12,'IV. MA'!$AZ$12,'IV. MA'!$BD$12,'IV. MA'!$BH$12,'IV. MA'!$BL$12,'IV. MA'!$BP$12,'IV. MA'!$BT$12),"")</f>
      </c>
    </row>
    <row r="16">
      <c r="C16" s="210" t="str">
        <f>=IF(4&lt;=F11,"Periode "&amp;F10&amp;" (#4)","")</f>
      </c>
      <c r="D16" s="199"/>
      <c r="E16" s="199"/>
      <c r="F16" s="200" t="str">
        <f>=IF(4&lt;=F11,IFERROR(SUMIFS('Daten'!$BF$1:$BF$18,'Daten'!$BB$1:$BB$18,F10,'Daten'!$BD$1:$BD$18,4),0),"")</f>
      </c>
      <c r="G16" s="200"/>
      <c r="H16" s="181" t="str">
        <f>=IF(4&lt;=F11,IFERROR(SUMIFS('Daten'!$BG$1:$BG$18,'Daten'!$BB$1:$BB$18,F10,'Daten'!$BD$1:$BD$18,4),0),"")</f>
      </c>
      <c r="I16" s="211"/>
      <c r="L16" s="142" t="s">
        <v>208</v>
      </c>
      <c r="M16" s="115" t="str">
        <f>=IFERROR(CHOOSE($AD$5,'IV. MA'!$C$13,'IV. MA'!$G$13,'IV. MA'!$K$13,'IV. MA'!$O$13,'IV. MA'!$S$13,'IV. MA'!$W$13,'IV. MA'!$AA$13,'IV. MA'!$AE$13,'IV. MA'!$AI$13,'IV. MA'!$AM$13,'IV. MA'!$AQ$13,'IV. MA'!$AU$13,'IV. MA'!$AY$13,'IV. MA'!$BC$13,'IV. MA'!$BG$13,'IV. MA'!$BK$13,'IV. MA'!$BO$13,'IV. MA'!$BS$13),"")</f>
      </c>
      <c r="N16" s="143" t="str">
        <f>=IFERROR(CHOOSE($AD$5,'IV. MA'!$D$13,'IV. MA'!$H$13,'IV. MA'!$L$13,'IV. MA'!$P$13,'IV. MA'!$T$13,'IV. MA'!$X$13,'IV. MA'!$AB$13,'IV. MA'!$AF$13,'IV. MA'!$AJ$13,'IV. MA'!$AN$13,'IV. MA'!$AR$13,'IV. MA'!$AV$13,'IV. MA'!$AZ$13,'IV. MA'!$BD$13,'IV. MA'!$BH$13,'IV. MA'!$BL$13,'IV. MA'!$BP$13,'IV. MA'!$BT$13),"")</f>
      </c>
    </row>
    <row r="17">
      <c r="C17" s="210" t="str">
        <f>=IF(5&lt;=F11,"Periode "&amp;F10&amp;" (#5)","")</f>
      </c>
      <c r="D17" s="199"/>
      <c r="E17" s="199"/>
      <c r="F17" s="200" t="str">
        <f>=IF(5&lt;=F11,IFERROR(SUMIFS('Daten'!$BF$1:$BF$18,'Daten'!$BB$1:$BB$18,F10,'Daten'!$BD$1:$BD$18,5),0),"")</f>
      </c>
      <c r="G17" s="200"/>
      <c r="H17" s="181" t="str">
        <f>=IF(5&lt;=F11,IFERROR(SUMIFS('Daten'!$BG$1:$BG$18,'Daten'!$BB$1:$BB$18,F10,'Daten'!$BD$1:$BD$18,5),0),"")</f>
      </c>
      <c r="I17" s="211"/>
      <c r="L17" s="142" t="s">
        <v>209</v>
      </c>
      <c r="M17" s="115" t="str">
        <f>=IFERROR(CHOOSE($AD$5,'IV. MA'!$C$14,'IV. MA'!$G$14,'IV. MA'!$K$14,'IV. MA'!$O$14,'IV. MA'!$S$14,'IV. MA'!$W$14,'IV. MA'!$AA$14,'IV. MA'!$AE$14,'IV. MA'!$AI$14,'IV. MA'!$AM$14,'IV. MA'!$AQ$14,'IV. MA'!$AU$14,'IV. MA'!$AY$14,'IV. MA'!$BC$14,'IV. MA'!$BG$14,'IV. MA'!$BK$14,'IV. MA'!$BO$14,'IV. MA'!$BS$14),"")</f>
      </c>
      <c r="N17" s="143" t="str">
        <f>=IFERROR(CHOOSE($AD$5,'IV. MA'!$D$14,'IV. MA'!$H$14,'IV. MA'!$L$14,'IV. MA'!$P$14,'IV. MA'!$T$14,'IV. MA'!$X$14,'IV. MA'!$AB$14,'IV. MA'!$AF$14,'IV. MA'!$AJ$14,'IV. MA'!$AN$14,'IV. MA'!$AR$14,'IV. MA'!$AV$14,'IV. MA'!$AZ$14,'IV. MA'!$BD$14,'IV. MA'!$BH$14,'IV. MA'!$BL$14,'IV. MA'!$BP$14,'IV. MA'!$BT$14),"")</f>
      </c>
    </row>
    <row r="18">
      <c r="C18" s="212" t="str">
        <f>=IF(6&lt;=F11,"Periode "&amp;F10&amp;" (#6)","")</f>
      </c>
      <c r="D18" s="213"/>
      <c r="E18" s="213"/>
      <c r="F18" s="214" t="str">
        <f>=IF(6&lt;=F11,IFERROR(SUMIFS('Daten'!$BF$1:$BF$18,'Daten'!$BB$1:$BB$18,F10,'Daten'!$BD$1:$BD$18,6),0),"")</f>
      </c>
      <c r="G18" s="214"/>
      <c r="H18" s="215" t="str">
        <f>=IF(6&lt;=F11,IFERROR(SUMIFS('Daten'!$BG$1:$BG$18,'Daten'!$BB$1:$BB$18,F10,'Daten'!$BD$1:$BD$18,6),0),"")</f>
      </c>
      <c r="I18" s="216"/>
      <c r="L18" s="142" t="s">
        <v>210</v>
      </c>
      <c r="M18" s="115" t="str">
        <f>=IFERROR(CHOOSE($AD$5,'IV. MA'!$C$15,'IV. MA'!$G$15,'IV. MA'!$K$15,'IV. MA'!$O$15,'IV. MA'!$S$15,'IV. MA'!$W$15,'IV. MA'!$AA$15,'IV. MA'!$AE$15,'IV. MA'!$AI$15,'IV. MA'!$AM$15,'IV. MA'!$AQ$15,'IV. MA'!$AU$15,'IV. MA'!$AY$15,'IV. MA'!$BC$15,'IV. MA'!$BG$15,'IV. MA'!$BK$15,'IV. MA'!$BO$15,'IV. MA'!$BS$15),"")</f>
      </c>
      <c r="N18" s="143" t="str">
        <f>=IFERROR(CHOOSE($AD$5,'IV. MA'!$D$15,'IV. MA'!$H$15,'IV. MA'!$L$15,'IV. MA'!$P$15,'IV. MA'!$T$15,'IV. MA'!$X$15,'IV. MA'!$AB$15,'IV. MA'!$AF$15,'IV. MA'!$AJ$15,'IV. MA'!$AN$15,'IV. MA'!$AR$15,'IV. MA'!$AV$15,'IV. MA'!$AZ$15,'IV. MA'!$BD$15,'IV. MA'!$BH$15,'IV. MA'!$BL$15,'IV. MA'!$BP$15,'IV. MA'!$BT$15),"")</f>
      </c>
    </row>
    <row r="19">
      <c r="L19" s="142" t="s">
        <v>211</v>
      </c>
      <c r="M19" s="115" t="str">
        <f>=IFERROR(CHOOSE($AD$5,'IV. MA'!$C$16,'IV. MA'!$G$16,'IV. MA'!$K$16,'IV. MA'!$O$16,'IV. MA'!$S$16,'IV. MA'!$W$16,'IV. MA'!$AA$16,'IV. MA'!$AE$16,'IV. MA'!$AI$16,'IV. MA'!$AM$16,'IV. MA'!$AQ$16,'IV. MA'!$AU$16,'IV. MA'!$AY$16,'IV. MA'!$BC$16,'IV. MA'!$BG$16,'IV. MA'!$BK$16,'IV. MA'!$BO$16,'IV. MA'!$BS$16),"")</f>
      </c>
      <c r="N19" s="143" t="str">
        <f>=IFERROR(CHOOSE($AD$5,'IV. MA'!$D$16,'IV. MA'!$H$16,'IV. MA'!$L$16,'IV. MA'!$P$16,'IV. MA'!$T$16,'IV. MA'!$X$16,'IV. MA'!$AB$16,'IV. MA'!$AF$16,'IV. MA'!$AJ$16,'IV. MA'!$AN$16,'IV. MA'!$AR$16,'IV. MA'!$AV$16,'IV. MA'!$AZ$16,'IV. MA'!$BD$16,'IV. MA'!$BH$16,'IV. MA'!$BL$16,'IV. MA'!$BP$16,'IV. MA'!$BT$16),"")</f>
      </c>
    </row>
    <row r="20" ht="22" customHeight="true">
      <c r="B20" s="18" t="s">
        <v>327</v>
      </c>
      <c r="C20" s="18"/>
      <c r="D20" s="18"/>
      <c r="E20" s="18"/>
      <c r="F20" s="18"/>
      <c r="G20" s="18"/>
      <c r="H20" s="18"/>
      <c r="I20" s="18"/>
      <c r="J20" s="18"/>
      <c r="L20" s="142" t="s">
        <v>212</v>
      </c>
      <c r="M20" s="115" t="str">
        <f>=IFERROR(CHOOSE($AD$5,'IV. MA'!$C$17,'IV. MA'!$G$17,'IV. MA'!$K$17,'IV. MA'!$O$17,'IV. MA'!$S$17,'IV. MA'!$W$17,'IV. MA'!$AA$17,'IV. MA'!$AE$17,'IV. MA'!$AI$17,'IV. MA'!$AM$17,'IV. MA'!$AQ$17,'IV. MA'!$AU$17,'IV. MA'!$AY$17,'IV. MA'!$BC$17,'IV. MA'!$BG$17,'IV. MA'!$BK$17,'IV. MA'!$BO$17,'IV. MA'!$BS$17),"")</f>
      </c>
      <c r="N20" s="143" t="str">
        <f>=IFERROR(CHOOSE($AD$5,'IV. MA'!$D$17,'IV. MA'!$H$17,'IV. MA'!$L$17,'IV. MA'!$P$17,'IV. MA'!$T$17,'IV. MA'!$X$17,'IV. MA'!$AB$17,'IV. MA'!$AF$17,'IV. MA'!$AJ$17,'IV. MA'!$AN$17,'IV. MA'!$AR$17,'IV. MA'!$AV$17,'IV. MA'!$AZ$17,'IV. MA'!$BD$17,'IV. MA'!$BH$17,'IV. MA'!$BL$17,'IV. MA'!$BP$17,'IV. MA'!$BT$17),"")</f>
      </c>
    </row>
    <row r="21">
      <c r="L21" s="322" t="s">
        <v>310</v>
      </c>
      <c r="M21" s="242"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328</v>
      </c>
      <c r="C22" s="224"/>
      <c r="D22" s="225" t="str">
        <f>=IFERROR(ROUND(KMW_Mittel_EUR,2),0)</f>
      </c>
      <c r="F22" s="230" t="s">
        <v>333</v>
      </c>
      <c r="G22" s="231"/>
      <c r="H22" s="231"/>
      <c r="I22" s="232"/>
      <c r="L22" s="47"/>
      <c r="N22" s="48"/>
    </row>
    <row r="23">
      <c r="B23" s="204" t="s">
        <v>329</v>
      </c>
      <c r="C23" s="196"/>
      <c r="D23" s="226" t="str">
        <f>=IFERROR(ROUND(Kosten_Reserve_EUR,2),0)</f>
      </c>
      <c r="F23" s="233" t="s">
        <v>334</v>
      </c>
      <c r="G23" s="196" t="s">
        <v>335</v>
      </c>
      <c r="H23" s="196"/>
      <c r="I23" s="234" t="str">
        <f>=IFERROR(ROUND(Saldovortrag_EUR,2),0)</f>
      </c>
      <c r="L23" s="142" t="s">
        <v>311</v>
      </c>
      <c r="M23" s="115" t="str">
        <f>=IFERROR(CHOOSE($AD$5,'IV. MA'!$C$20,'IV. MA'!$G$20,'IV. MA'!$K$20,'IV. MA'!$O$20,'IV. MA'!$S$20,'IV. MA'!$W$20,'IV. MA'!$AA$20,'IV. MA'!$AE$20,'IV. MA'!$AI$20,'IV. MA'!$AM$20,'IV. MA'!$AQ$20,'IV. MA'!$AU$20,'IV. MA'!$AY$20,'IV. MA'!$BC$20,'IV. MA'!$BG$20,'IV. MA'!$BK$20,'IV. MA'!$BO$20,'IV. MA'!$BS$20),"")</f>
      </c>
      <c r="N23" s="143" t="str">
        <f>=IFERROR(CHOOSE($AD$5,'IV. MA'!$D$20,'IV. MA'!$H$20,'IV. MA'!$L$20,'IV. MA'!$P$20,'IV. MA'!$T$20,'IV. MA'!$X$20,'IV. MA'!$AB$20,'IV. MA'!$AF$20,'IV. MA'!$AJ$20,'IV. MA'!$AN$20,'IV. MA'!$AR$20,'IV. MA'!$AV$20,'IV. MA'!$AZ$20,'IV. MA'!$BD$20,'IV. MA'!$BH$20,'IV. MA'!$BL$20,'IV. MA'!$BP$20,'IV. MA'!$BT$20),"")</f>
      </c>
    </row>
    <row r="24">
      <c r="B24" s="204" t="s">
        <v>330</v>
      </c>
      <c r="C24" s="196"/>
      <c r="D24" s="226" t="str">
        <f>=ROUND($D$22-$D$23,2)</f>
      </c>
      <c r="F24" s="233" t="s">
        <v>334</v>
      </c>
      <c r="G24" s="196" t="s">
        <v>336</v>
      </c>
      <c r="H24" s="196"/>
      <c r="I24" s="234" t="str">
        <f>=I90</f>
        <v>0</v>
      </c>
      <c r="L24" s="142" t="s">
        <v>380</v>
      </c>
      <c r="M24" s="115" t="str">
        <f>=IFERROR(CHOOSE($AD$5,'IV. MA'!$C$21,'IV. MA'!$G$21,'IV. MA'!$K$21,'IV. MA'!$O$21,'IV. MA'!$S$21,'IV. MA'!$W$21,'IV. MA'!$AA$21,'IV. MA'!$AE$21,'IV. MA'!$AI$21,'IV. MA'!$AM$21,'IV. MA'!$AQ$21,'IV. MA'!$AU$21,'IV. MA'!$AY$21,'IV. MA'!$BC$21,'IV. MA'!$BG$21,'IV. MA'!$BK$21,'IV. MA'!$BO$21,'IV. MA'!$BS$21),"")</f>
      </c>
      <c r="N24" s="143" t="str">
        <f>=IFERROR(CHOOSE($AD$5,'IV. MA'!$D$21,'IV. MA'!$H$21,'IV. MA'!$L$21,'IV. MA'!$P$21,'IV. MA'!$T$21,'IV. MA'!$X$21,'IV. MA'!$AB$21,'IV. MA'!$AF$21,'IV. MA'!$AJ$21,'IV. MA'!$AN$21,'IV. MA'!$AR$21,'IV. MA'!$AV$21,'IV. MA'!$AZ$21,'IV. MA'!$BD$21,'IV. MA'!$BH$21,'IV. MA'!$BL$21,'IV. MA'!$BP$21,'IV. MA'!$BT$21),"")</f>
      </c>
    </row>
    <row r="25">
      <c r="B25" s="204" t="s">
        <v>331</v>
      </c>
      <c r="C25" s="196"/>
      <c r="D25" s="226" t="str">
        <f>=IFERROR(ROUND(SUBTOTAL(109,TblKMWMittel[Betrag]),2),0)</f>
      </c>
      <c r="F25" s="233" t="s">
        <v>334</v>
      </c>
      <c r="G25" s="196" t="s">
        <v>337</v>
      </c>
      <c r="H25" s="196"/>
      <c r="I25" s="234" t="str">
        <f>=ROUND(MAX(0,MAX(0,(SUM($G$99:$G$102)-$G$101)+SUMIFS('Daten'!$BH$1:$BH$18,'Daten'!$BB$1:$BB$18,F10,'Daten'!$BD$1:$BD$18,"&lt;="&amp;F11,'Daten'!$BD$1:$BD$18,"&gt;=1")-(SUM($H$99:$H$102)-$H$101))-I90),2)</f>
        <v>0</v>
      </c>
      <c r="L25" s="142" t="s">
        <v>381</v>
      </c>
      <c r="M25" s="115" t="str">
        <f>=IFERROR(CHOOSE($AD$5,'IV. MA'!$C$22,'IV. MA'!$G$22,'IV. MA'!$K$22,'IV. MA'!$O$22,'IV. MA'!$S$22,'IV. MA'!$W$22,'IV. MA'!$AA$22,'IV. MA'!$AE$22,'IV. MA'!$AI$22,'IV. MA'!$AM$22,'IV. MA'!$AQ$22,'IV. MA'!$AU$22,'IV. MA'!$AY$22,'IV. MA'!$BC$22,'IV. MA'!$BG$22,'IV. MA'!$BK$22,'IV. MA'!$BO$22,'IV. MA'!$BS$22),"")</f>
      </c>
      <c r="N25" s="143" t="str">
        <f>=IFERROR(CHOOSE($AD$5,'IV. MA'!$D$22,'IV. MA'!$H$22,'IV. MA'!$L$22,'IV. MA'!$P$22,'IV. MA'!$T$22,'IV. MA'!$X$22,'IV. MA'!$AB$22,'IV. MA'!$AF$22,'IV. MA'!$AJ$22,'IV. MA'!$AN$22,'IV. MA'!$AR$22,'IV. MA'!$AV$22,'IV. MA'!$AZ$22,'IV. MA'!$BD$22,'IV. MA'!$BH$22,'IV. MA'!$BL$22,'IV. MA'!$BP$22,'IV. MA'!$BT$22),"")</f>
      </c>
    </row>
    <row r="26">
      <c r="B26" s="227" t="s">
        <v>332</v>
      </c>
      <c r="C26" s="228"/>
      <c r="D26" s="229" t="str">
        <f>=ROUND($D$24-$D$25,2)</f>
      </c>
      <c r="F26" s="47"/>
      <c r="G26" s="218" t="s">
        <v>338</v>
      </c>
      <c r="H26" s="218"/>
      <c r="I26" s="235" t="str">
        <f>=ROUND(IF($F$23="Abzug",MAX(0,$I$23),0)+IF($F$24="Abzug",MAX(0,$I$24),0)+IF($F$25="Abzug",MAX(0,$I$25),0),2)</f>
      </c>
      <c r="L26" s="142" t="str">
        <f>=IFERROR(CHOOSE($AD$5,'IV. MA'!$B$23,'IV. MA'!$F$23,'IV. MA'!$J$23,'IV. MA'!$N$23,'IV. MA'!$R$23,'IV. MA'!$V$23,'IV. MA'!$Z$23,'IV. MA'!$AD$23,'IV. MA'!$AH$23,'IV. MA'!$AL$23,'IV. MA'!$AP$23,'IV. MA'!$AT$23,'IV. MA'!$AX$23,'IV. MA'!$BB$23,'IV. MA'!$BF$23,'IV. MA'!$BJ$23,'IV. MA'!$BN$23,'IV. MA'!$BR$23),"")</f>
      </c>
      <c r="M26" s="115" t="str">
        <f>=IFERROR(CHOOSE($AD$5,'IV. MA'!$C$23,'IV. MA'!$G$23,'IV. MA'!$K$23,'IV. MA'!$O$23,'IV. MA'!$S$23,'IV. MA'!$W$23,'IV. MA'!$AA$23,'IV. MA'!$AE$23,'IV. MA'!$AI$23,'IV. MA'!$AM$23,'IV. MA'!$AQ$23,'IV. MA'!$AU$23,'IV. MA'!$AY$23,'IV. MA'!$BC$23,'IV. MA'!$BG$23,'IV. MA'!$BK$23,'IV. MA'!$BO$23,'IV. MA'!$BS$23),"")</f>
      </c>
      <c r="N26" s="143" t="str">
        <f>=IFERROR(CHOOSE($AD$5,'IV. MA'!$D$23,'IV. MA'!$H$23,'IV. MA'!$L$23,'IV. MA'!$P$23,'IV. MA'!$T$23,'IV. MA'!$X$23,'IV. MA'!$AB$23,'IV. MA'!$AF$23,'IV. MA'!$AJ$23,'IV. MA'!$AN$23,'IV. MA'!$AR$23,'IV. MA'!$AV$23,'IV. MA'!$AZ$23,'IV. MA'!$BD$23,'IV. MA'!$BH$23,'IV. MA'!$BL$23,'IV. MA'!$BP$23,'IV. MA'!$BT$23),"")</f>
      </c>
    </row>
    <row r="27">
      <c r="F27" s="236"/>
      <c r="G27" s="228" t="s">
        <v>339</v>
      </c>
      <c r="H27" s="228"/>
      <c r="I27" s="229" t="str">
        <f>=ROUND($D$26-$I$26,2)</f>
      </c>
      <c r="L27" s="47"/>
      <c r="N27" s="48"/>
    </row>
    <row r="28">
      <c r="L28" s="323" t="s">
        <v>315</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340</v>
      </c>
      <c r="C29" s="224"/>
      <c r="D29" s="237">
        <v>0</v>
      </c>
      <c r="F29" s="223" t="s">
        <v>340</v>
      </c>
      <c r="G29" s="224"/>
      <c r="H29" s="224"/>
      <c r="I29" s="237">
        <v>0</v>
      </c>
    </row>
    <row r="30">
      <c r="B30" s="227" t="s">
        <v>341</v>
      </c>
      <c r="C30" s="228"/>
      <c r="D30" s="229" t="str">
        <f>=ROUND($D$26-MAX(0,$D$29),2)</f>
      </c>
      <c r="F30" s="227" t="s">
        <v>342</v>
      </c>
      <c r="G30" s="228"/>
      <c r="H30" s="228"/>
      <c r="I30" s="229" t="str">
        <f>=ROUND($I$27-MAX(0,$I$29),2)</f>
      </c>
    </row>
    <row r="32">
      <c r="B32" s="223" t="s">
        <v>343</v>
      </c>
      <c r="C32" s="224"/>
      <c r="D32" s="237">
        <v>0</v>
      </c>
      <c r="F32" s="223" t="s">
        <v>343</v>
      </c>
      <c r="G32" s="224"/>
      <c r="H32" s="224"/>
      <c r="I32" s="237">
        <v>0</v>
      </c>
    </row>
    <row r="33">
      <c r="B33" s="227" t="s">
        <v>341</v>
      </c>
      <c r="C33" s="228"/>
      <c r="D33" s="229" t="str">
        <f>=ROUND($D$26-MAX(0,$D$29)-MAX(0,$D$32),2)</f>
      </c>
      <c r="F33" s="227" t="s">
        <v>342</v>
      </c>
      <c r="G33" s="228"/>
      <c r="H33" s="228"/>
      <c r="I33" s="229" t="str">
        <f>=ROUND($I$27-MAX(0,$I$29)-MAX(0,$I$32),2)</f>
      </c>
    </row>
    <row r="36" ht="22" customHeight="true">
      <c r="B36" s="18" t="s">
        <v>344</v>
      </c>
      <c r="C36" s="18"/>
      <c r="D36" s="18"/>
      <c r="E36" s="18"/>
      <c r="F36" s="18"/>
      <c r="G36" s="18"/>
      <c r="H36" s="18"/>
      <c r="I36" s="18"/>
      <c r="J36" s="18"/>
    </row>
    <row r="38">
      <c r="B38" s="223" t="s">
        <v>158</v>
      </c>
      <c r="C38" s="224"/>
      <c r="D38" s="245" t="s">
        <v>345</v>
      </c>
      <c r="E38" s="246" t="s">
        <v>346</v>
      </c>
    </row>
    <row r="39">
      <c r="B39" s="204" t="s">
        <v>347</v>
      </c>
      <c r="C39" s="196"/>
      <c r="D39" s="239" t="str">
        <f>=F10</f>
      </c>
      <c r="E39" s="247"/>
    </row>
    <row r="40">
      <c r="B40" s="204" t="s">
        <v>348</v>
      </c>
      <c r="C40" s="196"/>
      <c r="D40" s="240" t="str">
        <f>=IFERROR(ROUND(SUMIFS('Daten'!$BF$1:$BF$18,'Daten'!$BB$1:$BB$18,F10,'Daten'!$BD$1:$BD$18,"&lt;="&amp;F11,'Daten'!$BD$1:$BD$18,"&gt;=1"),2),0)</f>
      </c>
      <c r="E40" s="226" t="str">
        <f>=IFERROR(ROUND(SUMIFS('Daten'!$BG$1:$BG$18,'Daten'!$BB$1:$BB$18,F10,'Daten'!$BD$1:$BD$18,"&lt;="&amp;F11,'Daten'!$BD$1:$BD$18,"&gt;=1"),2),0)</f>
      </c>
    </row>
    <row r="41">
      <c r="B41" s="204" t="s">
        <v>349</v>
      </c>
      <c r="C41" s="196"/>
      <c r="D41" s="33" t="s">
        <v>189</v>
      </c>
      <c r="E41" s="205"/>
    </row>
    <row r="42">
      <c r="B42" s="204" t="s">
        <v>350</v>
      </c>
      <c r="C42" s="196"/>
      <c r="D42" s="240" t="str">
        <f>=IFERROR(ROUND(CHOOSE(MATCH($D$41,{"Jahr 1";"Jahr 2";"Jahr 3"},0),SUBTOTAL(109,TblBudgetAusgaben[Jahr 1]),SUBTOTAL(109,TblBudgetAusgaben[Jahr 2]),SUBTOTAL(109,TblBudgetAusgaben[Jahr 3])),2),0)</f>
      </c>
      <c r="E42" s="226" t="str">
        <f>=IFERROR(ROUND($D$42/IFERROR(INDIRECT("MA_Kurs_"&amp;F10),0),2),0)</f>
      </c>
    </row>
    <row r="43">
      <c r="B43" s="204" t="s">
        <v>351</v>
      </c>
      <c r="C43" s="196"/>
      <c r="D43" s="241">
        <v>8</v>
      </c>
      <c r="E43" s="248"/>
    </row>
    <row r="44">
      <c r="B44" s="204" t="s">
        <v>352</v>
      </c>
      <c r="C44" s="196"/>
      <c r="D44" s="241">
        <v>12</v>
      </c>
      <c r="E44" s="249"/>
    </row>
    <row r="45">
      <c r="B45" s="204" t="s">
        <v>353</v>
      </c>
      <c r="C45" s="196"/>
      <c r="D45" s="241">
        <v>6</v>
      </c>
      <c r="E45" s="250"/>
    </row>
    <row r="46">
      <c r="B46" s="251" t="s">
        <v>354</v>
      </c>
      <c r="C46" s="218"/>
      <c r="D46" s="242" t="str">
        <f>=IFERROR(ROUND($D$42*$D$43/$D$44,2),0)</f>
      </c>
      <c r="E46" s="235" t="str">
        <f>=IFERROR(ROUND($E$42*$D$43/$D$44,2),0)</f>
      </c>
    </row>
    <row r="47">
      <c r="B47" s="251" t="s">
        <v>355</v>
      </c>
      <c r="C47" s="218"/>
      <c r="D47" s="243" t="str">
        <f>=IF($D$40&lt;=$D$46,"OK","ÜBERSCHRITTEN")</f>
      </c>
      <c r="E47" s="252" t="str">
        <f>=IF($E$40&lt;=$E$46,"OK","ÜBERSCHRITTEN")</f>
      </c>
    </row>
    <row r="48">
      <c r="B48" s="204" t="s">
        <v>356</v>
      </c>
      <c r="C48" s="196"/>
      <c r="D48" s="240" t="str">
        <f>=ROUND(MAX(0,$D$40-$D$46),2)</f>
      </c>
      <c r="E48" s="226" t="str">
        <f>=ROUND(MAX(0,$E$40-$E$46),2)</f>
      </c>
    </row>
    <row r="49">
      <c r="B49" s="253" t="s">
        <v>357</v>
      </c>
      <c r="C49" s="254"/>
      <c r="D49" s="255" t="str">
        <f>=IFERROR($D$40/$D$46,0)</f>
      </c>
      <c r="E49" s="256" t="str">
        <f>=IFERROR($E$40/$E$46,0)</f>
      </c>
    </row>
    <row r="51" ht="22" customHeight="true">
      <c r="B51" s="18" t="s">
        <v>358</v>
      </c>
      <c r="C51" s="18"/>
      <c r="D51" s="18"/>
      <c r="E51" s="18"/>
      <c r="F51" s="18"/>
      <c r="G51" s="18"/>
      <c r="H51" s="18"/>
      <c r="I51" s="18"/>
      <c r="J51" s="18"/>
    </row>
    <row r="53" ht="28" customHeight="true">
      <c r="B53" s="263" t="s">
        <v>359</v>
      </c>
      <c r="C53" s="264" t="s">
        <v>360</v>
      </c>
      <c r="D53" s="264" t="s">
        <v>361</v>
      </c>
      <c r="E53" s="264" t="s">
        <v>362</v>
      </c>
      <c r="F53" s="264" t="s">
        <v>363</v>
      </c>
      <c r="G53" s="264" t="s">
        <v>364</v>
      </c>
      <c r="H53" s="264" t="s">
        <v>365</v>
      </c>
      <c r="I53" s="264" t="s">
        <v>366</v>
      </c>
      <c r="J53" s="265" t="s">
        <v>367</v>
      </c>
    </row>
    <row r="54">
      <c r="B54" s="266" t="s">
        <v>194</v>
      </c>
      <c r="C54" s="240" t="str">
        <f>=IFERROR(ROUND(SUMIFS('Daten'!$BU$1:$BU$198,'Daten'!$BT$1:$BT$198,"Eigenmittel",'Daten'!$BR$1:$BR$198,F10,'Daten'!$BS$1:$BS$198,"&lt;="&amp;F11,'Daten'!$BS$1:$BS$198,"&gt;=1"),2),0)</f>
      </c>
      <c r="D54" s="240" t="str">
        <f>=IFERROR(ROUND(Eigenmittel_LW,2),0)</f>
      </c>
      <c r="E54" s="200" t="str">
        <f>=ROUND(IFERROR($C$54-$D$54,0),2)</f>
      </c>
      <c r="F54" s="258" t="str">
        <f>=ROUND(IFERROR(($C$54/$D$54)-1,0),4)</f>
      </c>
      <c r="G54" s="217" t="str">
        <f>=IFERROR(ROUND(SUMIFS('Daten'!$BV$1:$BV$198,'Daten'!$BT$1:$BT$198,"Eigenmittel",'Daten'!$BR$1:$BR$198,F10,'Daten'!$BS$1:$BS$198,"&lt;="&amp;F11,'Daten'!$BS$1:$BS$198,"&gt;=1"),2),0)</f>
      </c>
      <c r="H54" s="217" t="str">
        <f>=IFERROR(ROUND(Eigenmittel_EUR,2),0)</f>
      </c>
      <c r="I54" s="181" t="str">
        <f>=ROUND(IFERROR($G$54-$H$54,0),2)</f>
      </c>
      <c r="J54" s="267" t="str">
        <f>=ROUND(IFERROR(($G$54/$H$54)-1,0),4)</f>
      </c>
    </row>
    <row r="55">
      <c r="B55" s="266" t="s">
        <v>279</v>
      </c>
      <c r="C55" s="240" t="str">
        <f>=IFERROR(ROUND(SUMIFS('Daten'!$BU$1:$BU$198,'Daten'!$BT$1:$BT$198,"Drittmittel",'Daten'!$BR$1:$BR$198,F10,'Daten'!$BS$1:$BS$198,"&lt;="&amp;F11,'Daten'!$BS$1:$BS$198,"&gt;=1"),2),0)</f>
      </c>
      <c r="D55" s="240" t="str">
        <f>=IFERROR(ROUND(Drittmittel_LW,2),0)</f>
      </c>
      <c r="E55" s="200" t="str">
        <f>=ROUND(IFERROR($C$55-$D$55,0),2)</f>
      </c>
      <c r="F55" s="258" t="str">
        <f>=ROUND(IFERROR(($C$55/$D$55)-1,0),4)</f>
      </c>
      <c r="G55" s="217" t="str">
        <f>=IFERROR(ROUND(SUMIFS('Daten'!$BV$1:$BV$198,'Daten'!$BT$1:$BT$198,"Drittmittel",'Daten'!$BR$1:$BR$198,F10,'Daten'!$BS$1:$BS$198,"&lt;="&amp;F11,'Daten'!$BS$1:$BS$198,"&gt;=1"),2),0)</f>
      </c>
      <c r="H55" s="217" t="str">
        <f>=IFERROR(ROUND(Drittmittel_EUR,2),0)</f>
      </c>
      <c r="I55" s="181" t="str">
        <f>=ROUND(IFERROR($G$55-$H$55,0),2)</f>
      </c>
      <c r="J55" s="268" t="str">
        <f>=ROUND(IFERROR(($G$55/$H$55)-1,0),4)</f>
      </c>
    </row>
    <row r="56">
      <c r="B56" s="266" t="s">
        <v>199</v>
      </c>
      <c r="C56" s="240" t="str">
        <f>=IFERROR(ROUND(SUMIFS('Daten'!$BU$1:$BU$198,'Daten'!$BT$1:$BT$198,"KMW-Mittel",'Daten'!$BR$1:$BR$198,F10,'Daten'!$BS$1:$BS$198,"&lt;="&amp;F11,'Daten'!$BS$1:$BS$198,"&gt;=1"),2),0)</f>
      </c>
      <c r="D56" s="240" t="str">
        <f>=IFERROR(ROUND(KMW_Mittel_LW,2),0)</f>
      </c>
      <c r="E56" s="200" t="str">
        <f>=ROUND(IFERROR($C$56-$D$56,0),2)</f>
      </c>
      <c r="F56" s="258" t="str">
        <f>=ROUND(IFERROR(($C$56/$D$56)-1,0),4)</f>
      </c>
      <c r="G56" s="217" t="str">
        <f>=IFERROR(ROUND(SUMIFS('Daten'!$BV$1:$BV$198,'Daten'!$BT$1:$BT$198,"KMW-Mittel",'Daten'!$BR$1:$BR$198,F10,'Daten'!$BS$1:$BS$198,"&lt;="&amp;F11,'Daten'!$BS$1:$BS$198,"&gt;=1"),2),0)</f>
      </c>
      <c r="H56" s="217" t="str">
        <f>=IFERROR(ROUND(KMW_Mittel_EUR,2),0)</f>
      </c>
      <c r="I56" s="181" t="str">
        <f>=ROUND(IFERROR($G$56-$H$56,0),2)</f>
      </c>
      <c r="J56" s="269" t="str">
        <f>=ROUND(IFERROR(($G$56/$H$56)-1,0),4)</f>
      </c>
    </row>
    <row r="57">
      <c r="B57" s="266" t="s">
        <v>280</v>
      </c>
      <c r="C57" s="240" t="str">
        <f>=IFERROR(ROUND(SUMIFS('Daten'!$BU$1:$BU$198,'Daten'!$BT$1:$BT$198,"Zinsertraege",'Daten'!$BR$1:$BR$198,F10,'Daten'!$BS$1:$BS$198,"&lt;="&amp;F11,'Daten'!$BS$1:$BS$198,"&gt;=1"),2),0)</f>
      </c>
      <c r="D57" s="240" t="str">
        <f>=IFERROR(ROUND(0,2),0)</f>
      </c>
      <c r="E57" s="200" t="str">
        <f>=ROUND(IFERROR($C$57-$D$57,0),2)</f>
      </c>
      <c r="F57" s="258" t="str">
        <f>=ROUND(IFERROR(($C$57/$D$57)-1,0),4)</f>
      </c>
      <c r="G57" s="217" t="str">
        <f>=IFERROR(ROUND(SUMIFS('Daten'!$BV$1:$BV$198,'Daten'!$BT$1:$BT$198,"Zinsertraege",'Daten'!$BR$1:$BR$198,F10,'Daten'!$BS$1:$BS$198,"&lt;="&amp;F11,'Daten'!$BS$1:$BS$198,"&gt;=1"),2),0)</f>
      </c>
      <c r="H57" s="217" t="str">
        <f>=IFERROR(ROUND(0,2),0)</f>
      </c>
      <c r="I57" s="181" t="str">
        <f>=ROUND(IFERROR($G$57-$H$57,0),2)</f>
      </c>
      <c r="J57" s="270" t="str">
        <f>=ROUND(IFERROR(($G$57/$H$57)-1,0),4)</f>
      </c>
    </row>
    <row r="58" ht="20" customHeight="true">
      <c r="B58" s="271" t="s">
        <v>266</v>
      </c>
      <c r="C58" s="272" t="str">
        <f>=ROUND(SUM($C$54:$C$57),2)</f>
      </c>
      <c r="D58" s="272" t="str">
        <f>=ROUND(SUM($D$54:$D$57),2)</f>
      </c>
      <c r="E58" s="272" t="str">
        <f>=ROUND(SUM($E$54:$E$57),2)</f>
      </c>
      <c r="F58" s="273" t="str">
        <f>=ROUND(IFERROR(($C$58/$D$58)-1,0),4)</f>
      </c>
      <c r="G58" s="274" t="str">
        <f>=ROUND(SUM($G$54:$G$57),2)</f>
      </c>
      <c r="H58" s="274" t="str">
        <f>=ROUND(SUM($H$54:$H$57),2)</f>
      </c>
      <c r="I58" s="274" t="str">
        <f>=ROUND(SUM($I$54:$I$57),2)</f>
      </c>
      <c r="J58" s="275" t="str">
        <f>=ROUND(IFERROR(($G$58/$H$58)-1,0),4)</f>
      </c>
    </row>
    <row r="60" ht="22" customHeight="true">
      <c r="B60" s="18" t="s">
        <v>368</v>
      </c>
      <c r="C60" s="18"/>
      <c r="D60" s="18"/>
      <c r="E60" s="18"/>
      <c r="F60" s="18"/>
      <c r="G60" s="18"/>
      <c r="H60" s="18"/>
      <c r="I60" s="18"/>
      <c r="J60" s="18"/>
    </row>
    <row r="62" ht="28" customHeight="true">
      <c r="B62" s="263" t="s">
        <v>359</v>
      </c>
      <c r="C62" s="264" t="s">
        <v>360</v>
      </c>
      <c r="D62" s="264" t="s">
        <v>361</v>
      </c>
      <c r="E62" s="264" t="s">
        <v>362</v>
      </c>
      <c r="F62" s="264" t="s">
        <v>363</v>
      </c>
      <c r="G62" s="264" t="s">
        <v>364</v>
      </c>
      <c r="H62" s="264" t="s">
        <v>365</v>
      </c>
      <c r="I62" s="264" t="s">
        <v>366</v>
      </c>
      <c r="J62" s="265" t="s">
        <v>367</v>
      </c>
    </row>
    <row r="63">
      <c r="B63" s="266" t="s">
        <v>205</v>
      </c>
      <c r="C63" s="240" t="str">
        <f>=IFERROR(ROUND(SUMIFS('Daten'!$BU$1:$BU$198,'Daten'!$BT$1:$BT$198,"Bauausgaben",'Daten'!$BR$1:$BR$198,F10,'Daten'!$BS$1:$BS$198,"&lt;="&amp;F11,'Daten'!$BS$1:$BS$198,"&gt;=1"),2),0)</f>
      </c>
      <c r="D63" s="240" t="str">
        <f>=IFERROR(ROUND(Kosten_Bauausgaben_LW,2),0)</f>
      </c>
      <c r="E63" s="200" t="str">
        <f>=ROUND(IFERROR($C$63-$D$63,0),2)</f>
      </c>
      <c r="F63" s="258" t="str">
        <f>=ROUND(IFERROR(($C$63/$D$63)-1,0),4)</f>
      </c>
      <c r="G63" s="217" t="str">
        <f>=IFERROR(ROUND(SUMIFS('Daten'!$BV$1:$BV$198,'Daten'!$BT$1:$BT$198,"Bauausgaben",'Daten'!$BR$1:$BR$198,F10,'Daten'!$BS$1:$BS$198,"&lt;="&amp;F11,'Daten'!$BS$1:$BS$198,"&gt;=1"),2),0)</f>
      </c>
      <c r="H63" s="217" t="str">
        <f>=IFERROR(ROUND(Kosten_Bauausgaben_EUR,2),0)</f>
      </c>
      <c r="I63" s="181" t="str">
        <f>=ROUND(IFERROR($G$63-$H$63,0),2)</f>
      </c>
      <c r="J63" s="276" t="str">
        <f>=ROUND(IFERROR(($G$63/$H$63)-1,0),4)</f>
      </c>
    </row>
    <row r="64">
      <c r="B64" s="266" t="s">
        <v>206</v>
      </c>
      <c r="C64" s="240" t="str">
        <f>=IFERROR(ROUND(SUMIFS('Daten'!$BU$1:$BU$198,'Daten'!$BT$1:$BT$198,"Investitionen",'Daten'!$BR$1:$BR$198,F10,'Daten'!$BS$1:$BS$198,"&lt;="&amp;F11,'Daten'!$BS$1:$BS$198,"&gt;=1"),2),0)</f>
      </c>
      <c r="D64" s="240" t="str">
        <f>=IFERROR(ROUND(Kosten_Investitionen_LW,2),0)</f>
      </c>
      <c r="E64" s="200" t="str">
        <f>=ROUND(IFERROR($C$64-$D$64,0),2)</f>
      </c>
      <c r="F64" s="258" t="str">
        <f>=ROUND(IFERROR(($C$64/$D$64)-1,0),4)</f>
      </c>
      <c r="G64" s="217" t="str">
        <f>=IFERROR(ROUND(SUMIFS('Daten'!$BV$1:$BV$198,'Daten'!$BT$1:$BT$198,"Investitionen",'Daten'!$BR$1:$BR$198,F10,'Daten'!$BS$1:$BS$198,"&lt;="&amp;F11,'Daten'!$BS$1:$BS$198,"&gt;=1"),2),0)</f>
      </c>
      <c r="H64" s="217" t="str">
        <f>=IFERROR(ROUND(Kosten_Investitionen_EUR,2),0)</f>
      </c>
      <c r="I64" s="181" t="str">
        <f>=ROUND(IFERROR($G$64-$H$64,0),2)</f>
      </c>
      <c r="J64" s="277" t="str">
        <f>=ROUND(IFERROR(($G$64/$H$64)-1,0),4)</f>
      </c>
    </row>
    <row r="65">
      <c r="B65" s="266" t="s">
        <v>207</v>
      </c>
      <c r="C65" s="240" t="str">
        <f>=IFERROR(ROUND(SUMIFS('Daten'!$BU$1:$BU$198,'Daten'!$BT$1:$BT$198,"Personalkosten",'Daten'!$BR$1:$BR$198,F10,'Daten'!$BS$1:$BS$198,"&lt;="&amp;F11,'Daten'!$BS$1:$BS$198,"&gt;=1"),2),0)</f>
      </c>
      <c r="D65" s="240" t="str">
        <f>=IFERROR(ROUND(Kosten_Personalkosten_LW,2),0)</f>
      </c>
      <c r="E65" s="200" t="str">
        <f>=ROUND(IFERROR($C$65-$D$65,0),2)</f>
      </c>
      <c r="F65" s="258" t="str">
        <f>=ROUND(IFERROR(($C$65/$D$65)-1,0),4)</f>
      </c>
      <c r="G65" s="217" t="str">
        <f>=IFERROR(ROUND(SUMIFS('Daten'!$BV$1:$BV$198,'Daten'!$BT$1:$BT$198,"Personalkosten",'Daten'!$BR$1:$BR$198,F10,'Daten'!$BS$1:$BS$198,"&lt;="&amp;F11,'Daten'!$BS$1:$BS$198,"&gt;=1"),2),0)</f>
      </c>
      <c r="H65" s="217" t="str">
        <f>=IFERROR(ROUND(Kosten_Personalkosten_EUR,2),0)</f>
      </c>
      <c r="I65" s="181" t="str">
        <f>=ROUND(IFERROR($G$65-$H$65,0),2)</f>
      </c>
      <c r="J65" s="278" t="str">
        <f>=ROUND(IFERROR(($G$65/$H$65)-1,0),4)</f>
      </c>
    </row>
    <row r="66">
      <c r="B66" s="266" t="s">
        <v>208</v>
      </c>
      <c r="C66" s="240" t="str">
        <f>=IFERROR(ROUND(SUMIFS('Daten'!$BU$1:$BU$198,'Daten'!$BT$1:$BT$198,"Projektaktivitaeten",'Daten'!$BR$1:$BR$198,F10,'Daten'!$BS$1:$BS$198,"&lt;="&amp;F11,'Daten'!$BS$1:$BS$198,"&gt;=1"),2),0)</f>
      </c>
      <c r="D66" s="240" t="str">
        <f>=IFERROR(ROUND(Kosten_Projektaktivitaeten_LW,2),0)</f>
      </c>
      <c r="E66" s="200" t="str">
        <f>=ROUND(IFERROR($C$66-$D$66,0),2)</f>
      </c>
      <c r="F66" s="258" t="str">
        <f>=ROUND(IFERROR(($C$66/$D$66)-1,0),4)</f>
      </c>
      <c r="G66" s="217" t="str">
        <f>=IFERROR(ROUND(SUMIFS('Daten'!$BV$1:$BV$198,'Daten'!$BT$1:$BT$198,"Projektaktivitaeten",'Daten'!$BR$1:$BR$198,F10,'Daten'!$BS$1:$BS$198,"&lt;="&amp;F11,'Daten'!$BS$1:$BS$198,"&gt;=1"),2),0)</f>
      </c>
      <c r="H66" s="217" t="str">
        <f>=IFERROR(ROUND(Kosten_Projektaktivitaeten_EUR,2),0)</f>
      </c>
      <c r="I66" s="181" t="str">
        <f>=ROUND(IFERROR($G$66-$H$66,0),2)</f>
      </c>
      <c r="J66" s="279" t="str">
        <f>=ROUND(IFERROR(($G$66/$H$66)-1,0),4)</f>
      </c>
    </row>
    <row r="67">
      <c r="B67" s="266" t="s">
        <v>209</v>
      </c>
      <c r="C67" s="240" t="str">
        <f>=IFERROR(ROUND(SUMIFS('Daten'!$BU$1:$BU$198,'Daten'!$BT$1:$BT$198,"Projektverwaltung",'Daten'!$BR$1:$BR$198,F10,'Daten'!$BS$1:$BS$198,"&lt;="&amp;F11,'Daten'!$BS$1:$BS$198,"&gt;=1"),2),0)</f>
      </c>
      <c r="D67" s="240" t="str">
        <f>=IFERROR(ROUND(Kosten_Projektverwaltung_LW,2),0)</f>
      </c>
      <c r="E67" s="200" t="str">
        <f>=ROUND(IFERROR($C$67-$D$67,0),2)</f>
      </c>
      <c r="F67" s="258" t="str">
        <f>=ROUND(IFERROR(($C$67/$D$67)-1,0),4)</f>
      </c>
      <c r="G67" s="217" t="str">
        <f>=IFERROR(ROUND(SUMIFS('Daten'!$BV$1:$BV$198,'Daten'!$BT$1:$BT$198,"Projektverwaltung",'Daten'!$BR$1:$BR$198,F10,'Daten'!$BS$1:$BS$198,"&lt;="&amp;F11,'Daten'!$BS$1:$BS$198,"&gt;=1"),2),0)</f>
      </c>
      <c r="H67" s="217" t="str">
        <f>=IFERROR(ROUND(Kosten_Projektverwaltung_EUR,2),0)</f>
      </c>
      <c r="I67" s="181" t="str">
        <f>=ROUND(IFERROR($G$67-$H$67,0),2)</f>
      </c>
      <c r="J67" s="280" t="str">
        <f>=ROUND(IFERROR(($G$67/$H$67)-1,0),4)</f>
      </c>
    </row>
    <row r="68">
      <c r="B68" s="266" t="s">
        <v>210</v>
      </c>
      <c r="C68" s="240" t="str">
        <f>=IFERROR(ROUND(SUMIFS('Daten'!$BU$1:$BU$198,'Daten'!$BT$1:$BT$198,"Evaluierung",'Daten'!$BR$1:$BR$198,F10,'Daten'!$BS$1:$BS$198,"&lt;="&amp;F11,'Daten'!$BS$1:$BS$198,"&gt;=1"),2),0)</f>
      </c>
      <c r="D68" s="240" t="str">
        <f>=IFERROR(ROUND(Kosten_Evaluierung_LW,2),0)</f>
      </c>
      <c r="E68" s="200" t="str">
        <f>=ROUND(IFERROR($C$68-$D$68,0),2)</f>
      </c>
      <c r="F68" s="258" t="str">
        <f>=ROUND(IFERROR(($C$68/$D$68)-1,0),4)</f>
      </c>
      <c r="G68" s="217" t="str">
        <f>=IFERROR(ROUND(SUMIFS('Daten'!$BV$1:$BV$198,'Daten'!$BT$1:$BT$198,"Evaluierung",'Daten'!$BR$1:$BR$198,F10,'Daten'!$BS$1:$BS$198,"&lt;="&amp;F11,'Daten'!$BS$1:$BS$198,"&gt;=1"),2),0)</f>
      </c>
      <c r="H68" s="217" t="str">
        <f>=IFERROR(ROUND(Kosten_Evaluierung_EUR,2),0)</f>
      </c>
      <c r="I68" s="181" t="str">
        <f>=ROUND(IFERROR($G$68-$H$68,0),2)</f>
      </c>
      <c r="J68" s="281" t="str">
        <f>=ROUND(IFERROR(($G$68/$H$68)-1,0),4)</f>
      </c>
    </row>
    <row r="69">
      <c r="B69" s="266" t="s">
        <v>211</v>
      </c>
      <c r="C69" s="240" t="str">
        <f>=IFERROR(ROUND(SUMIFS('Daten'!$BU$1:$BU$198,'Daten'!$BT$1:$BT$198,"Audit",'Daten'!$BR$1:$BR$198,F10,'Daten'!$BS$1:$BS$198,"&lt;="&amp;F11,'Daten'!$BS$1:$BS$198,"&gt;=1"),2),0)</f>
      </c>
      <c r="D69" s="240" t="str">
        <f>=IFERROR(ROUND(Kosten_Audit_LW,2),0)</f>
      </c>
      <c r="E69" s="200" t="str">
        <f>=ROUND(IFERROR($C$69-$D$69,0),2)</f>
      </c>
      <c r="F69" s="258" t="str">
        <f>=ROUND(IFERROR(($C$69/$D$69)-1,0),4)</f>
      </c>
      <c r="G69" s="217" t="str">
        <f>=IFERROR(ROUND(SUMIFS('Daten'!$BV$1:$BV$198,'Daten'!$BT$1:$BT$198,"Audit",'Daten'!$BR$1:$BR$198,F10,'Daten'!$BS$1:$BS$198,"&lt;="&amp;F11,'Daten'!$BS$1:$BS$198,"&gt;=1"),2),0)</f>
      </c>
      <c r="H69" s="217" t="str">
        <f>=IFERROR(ROUND(Kosten_Audit_EUR,2),0)</f>
      </c>
      <c r="I69" s="181" t="str">
        <f>=ROUND(IFERROR($G$69-$H$69,0),2)</f>
      </c>
      <c r="J69" s="282" t="str">
        <f>=ROUND(IFERROR(($G$69/$H$69)-1,0),4)</f>
      </c>
    </row>
    <row r="70">
      <c r="B70" s="266" t="s">
        <v>212</v>
      </c>
      <c r="C70" s="240" t="str">
        <f>=IFERROR(ROUND(SUMIFS('Daten'!$BU$1:$BU$198,'Daten'!$BT$1:$BT$198,"Reserve",'Daten'!$BR$1:$BR$198,F10,'Daten'!$BS$1:$BS$198,"&lt;="&amp;F11,'Daten'!$BS$1:$BS$198,"&gt;=1"),2),0)</f>
      </c>
      <c r="D70" s="240" t="str">
        <f>=IFERROR(ROUND(Kosten_Reserve_LW,2),0)</f>
      </c>
      <c r="E70" s="200" t="str">
        <f>=ROUND(IFERROR($C$70-$D$70,0),2)</f>
      </c>
      <c r="F70" s="258" t="str">
        <f>=ROUND(IFERROR(($C$70/$D$70)-1,0),4)</f>
      </c>
      <c r="G70" s="217" t="str">
        <f>=IFERROR(ROUND(SUMIFS('Daten'!$BV$1:$BV$198,'Daten'!$BT$1:$BT$198,"Reserve",'Daten'!$BR$1:$BR$198,F10,'Daten'!$BS$1:$BS$198,"&lt;="&amp;F11,'Daten'!$BS$1:$BS$198,"&gt;=1"),2),0)</f>
      </c>
      <c r="H70" s="217" t="str">
        <f>=IFERROR(ROUND(Kosten_Reserve_EUR,2),0)</f>
      </c>
      <c r="I70" s="181" t="str">
        <f>=ROUND(IFERROR($G$70-$H$70,0),2)</f>
      </c>
      <c r="J70" s="283" t="str">
        <f>=ROUND(IFERROR(($G$70/$H$70)-1,0),4)</f>
      </c>
    </row>
    <row r="71" ht="20" customHeight="true">
      <c r="B71" s="271" t="s">
        <v>266</v>
      </c>
      <c r="C71" s="272" t="str">
        <f>=ROUND(SUM($C$63:$C$70),2)</f>
      </c>
      <c r="D71" s="272" t="str">
        <f>=ROUND(SUM($D$63:$D$70),2)</f>
      </c>
      <c r="E71" s="272" t="str">
        <f>=ROUND(SUM($E$63:$E$70),2)</f>
      </c>
      <c r="F71" s="284" t="str">
        <f>=ROUND(IFERROR(($C$71/$D$71)-1,0),4)</f>
      </c>
      <c r="G71" s="274" t="str">
        <f>=ROUND(SUM($G$63:$G$70),2)</f>
      </c>
      <c r="H71" s="274" t="str">
        <f>=ROUND(SUM($H$63:$H$70),2)</f>
      </c>
      <c r="I71" s="274" t="str">
        <f>=ROUND(SUM($I$63:$I$70),2)</f>
      </c>
      <c r="J71" s="285" t="str">
        <f>=ROUND(IFERROR(($G$71/$H$71)-1,0),4)</f>
      </c>
    </row>
    <row r="77" ht="22" customHeight="true">
      <c r="B77" s="193" t="s">
        <v>369</v>
      </c>
      <c r="C77" s="193"/>
      <c r="D77" s="193"/>
      <c r="E77" s="193"/>
      <c r="F77" s="193"/>
      <c r="G77" s="193"/>
      <c r="H77" s="193"/>
      <c r="I77" s="193"/>
      <c r="J77" s="193"/>
      <c r="L77" s="201" t="str">
        <f>=IF(F82=0,"Aktueller Finanzbericht (keiner gewählt)","Aktueller Finanzbericht – Periode "&amp;F82)</f>
      </c>
      <c r="M77" s="202"/>
      <c r="N77" s="202"/>
      <c r="O77" s="202"/>
      <c r="P77" s="203"/>
    </row>
    <row r="78">
      <c r="B78" s="194" t="s">
        <v>370</v>
      </c>
      <c r="C78" s="194"/>
      <c r="D78" s="194"/>
      <c r="E78" s="194"/>
      <c r="F78" s="194"/>
      <c r="G78" s="194"/>
      <c r="H78" s="194"/>
      <c r="I78" s="194"/>
      <c r="J78" s="194"/>
      <c r="L78" s="315" t="s">
        <v>267</v>
      </c>
      <c r="M78" s="326" t="str">
        <f>=IFERROR(CHOOSE(F82,'III.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6"/>
      <c r="O78" s="326"/>
      <c r="P78" s="337"/>
    </row>
    <row r="79">
      <c r="L79" s="315" t="s">
        <v>268</v>
      </c>
      <c r="M79" s="327" t="str">
        <f>=IFERROR(CHOOSE(F82,'III.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7"/>
      <c r="O79" s="327"/>
      <c r="P79" s="338"/>
    </row>
    <row r="80" ht="22" customHeight="true">
      <c r="C80" s="201" t="s">
        <v>371</v>
      </c>
      <c r="D80" s="202"/>
      <c r="E80" s="202"/>
      <c r="F80" s="202"/>
      <c r="G80" s="202"/>
      <c r="H80" s="202"/>
      <c r="I80" s="203"/>
      <c r="L80" s="315" t="s">
        <v>269</v>
      </c>
      <c r="M80" s="327" t="str">
        <f>=IFERROR(CHOOSE(F82,'III.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7"/>
      <c r="O80" s="327"/>
      <c r="P80" s="338"/>
    </row>
    <row r="81">
      <c r="C81" s="204" t="s">
        <v>322</v>
      </c>
      <c r="D81" s="196"/>
      <c r="E81" s="196"/>
      <c r="F81" s="33" t="s">
        <v>372</v>
      </c>
      <c r="G81" s="33"/>
      <c r="H81" s="33"/>
      <c r="I81" s="205"/>
      <c r="L81" s="315" t="s">
        <v>270</v>
      </c>
      <c r="M81" s="328" t="str">
        <f>=IFERROR(CHOOSE(F82,'III.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8"/>
      <c r="O81" s="328"/>
      <c r="P81" s="339"/>
    </row>
    <row r="82">
      <c r="C82" s="204" t="s">
        <v>373</v>
      </c>
      <c r="D82" s="196"/>
      <c r="E82" s="196"/>
      <c r="F82" s="197" t="str">
        <f>=IF(F81="Neuester FB",IFERROR(SUMPRODUCT(MAX(('Daten'!$BK$1:$BK$18=1)*'Daten'!$BJ$1:$BJ$18)),0),IF(LEFT(F81,8)="Periode ",IFERROR(VALUE(TRIM(MID(F81,9,5))),0),0))</f>
      </c>
      <c r="G82" s="197"/>
      <c r="H82" s="197"/>
      <c r="I82" s="286"/>
      <c r="L82" s="315" t="s">
        <v>271</v>
      </c>
      <c r="M82" s="329" t="str">
        <f>=IFERROR(CHOOSE(F82,'III.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29"/>
      <c r="O82" s="329"/>
      <c r="P82" s="340"/>
    </row>
    <row r="83">
      <c r="C83" s="204" t="s">
        <v>374</v>
      </c>
      <c r="D83" s="196"/>
      <c r="E83" s="196"/>
      <c r="F83" s="240" t="str">
        <f>=IFERROR(ROUND(INDIRECT("FB_SaldoLC_"&amp;F82),2),0)</f>
      </c>
      <c r="G83" s="240"/>
      <c r="H83" s="240"/>
      <c r="I83" s="287"/>
      <c r="L83" s="47"/>
      <c r="P83" s="48"/>
    </row>
    <row r="84">
      <c r="C84" s="253" t="s">
        <v>171</v>
      </c>
      <c r="D84" s="254"/>
      <c r="E84" s="254"/>
      <c r="F84" s="288" t="str">
        <f>=IFERROR(ROUND(INDIRECT("FB_SaldoEUR_"&amp;F82),2),0)</f>
      </c>
      <c r="G84" s="288"/>
      <c r="H84" s="288"/>
      <c r="I84" s="289"/>
      <c r="L84" s="341" t="s">
        <v>272</v>
      </c>
      <c r="M84" s="330"/>
      <c r="N84" s="330"/>
      <c r="O84" s="330"/>
      <c r="P84" s="342"/>
    </row>
    <row r="85" ht="26" customHeight="true">
      <c r="L85" s="343" t="s">
        <v>273</v>
      </c>
      <c r="M85" s="331" t="s">
        <v>274</v>
      </c>
      <c r="N85" s="331" t="s">
        <v>275</v>
      </c>
      <c r="O85" s="331" t="s">
        <v>276</v>
      </c>
      <c r="P85" s="344" t="s">
        <v>277</v>
      </c>
    </row>
    <row r="86" ht="22" customHeight="true">
      <c r="B86" s="18" t="s">
        <v>375</v>
      </c>
      <c r="C86" s="18"/>
      <c r="D86" s="18"/>
      <c r="E86" s="18"/>
      <c r="F86" s="18"/>
      <c r="G86" s="18"/>
      <c r="H86" s="18"/>
      <c r="I86" s="18"/>
      <c r="J86" s="18"/>
      <c r="L86" s="142" t="str">
        <f>=IFERROR(CHOOSE(F82,'III.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5" t="str">
        <f>=IFERROR(CHOOSE(F82,'III.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6" t="str">
        <f>=IFERROR(CHOOSE(F82,'III.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5" t="str">
        <f>=IFERROR(CHOOSE(F82,'III.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3" t="str">
        <f>=IFERROR(CHOOSE(F82,'III.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L87" s="142" t="s">
        <v>194</v>
      </c>
      <c r="M87" s="115" t="str">
        <f>=IFERROR(CHOOSE(F82,'III.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6" t="str">
        <f>=IFERROR(CHOOSE(F82,'III.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5" t="str">
        <f>=IFERROR(CHOOSE(F82,'III.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3" t="str">
        <f>=IFERROR(CHOOSE(F82,'III.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23" t="s">
        <v>328</v>
      </c>
      <c r="C88" s="224"/>
      <c r="D88" s="225" t="str">
        <f>=IFERROR(ROUND(KMW_Mittel_EUR,2),0)</f>
      </c>
      <c r="F88" s="230" t="s">
        <v>333</v>
      </c>
      <c r="G88" s="231"/>
      <c r="H88" s="231"/>
      <c r="I88" s="232"/>
      <c r="L88" s="142" t="s">
        <v>279</v>
      </c>
      <c r="M88" s="115" t="str">
        <f>=IFERROR(CHOOSE(F82,'III.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6" t="str">
        <f>=IFERROR(CHOOSE(F82,'III.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5" t="str">
        <f>=IFERROR(CHOOSE(F82,'III.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3" t="str">
        <f>=IFERROR(CHOOSE(F82,'III.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4" t="s">
        <v>329</v>
      </c>
      <c r="C89" s="196"/>
      <c r="D89" s="226" t="str">
        <f>=IFERROR(ROUND(Kosten_Reserve_EUR,2),0)</f>
      </c>
      <c r="F89" s="233" t="s">
        <v>334</v>
      </c>
      <c r="G89" s="196" t="s">
        <v>335</v>
      </c>
      <c r="H89" s="196"/>
      <c r="I89" s="234" t="str">
        <f>=IFERROR(ROUND(Saldovortrag_EUR,2),0)</f>
      </c>
      <c r="L89" s="142" t="s">
        <v>199</v>
      </c>
      <c r="M89" s="115" t="str">
        <f>=IFERROR(CHOOSE(F82,'III.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6" t="str">
        <f>=IFERROR(CHOOSE(F82,'III.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5" t="str">
        <f>=IFERROR(CHOOSE(F82,'III.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3" t="str">
        <f>=IFERROR(CHOOSE(F82,'III.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04" t="s">
        <v>330</v>
      </c>
      <c r="C90" s="196"/>
      <c r="D90" s="226" t="str">
        <f>=ROUND($D$88-$D$89,2)</f>
      </c>
      <c r="F90" s="233" t="s">
        <v>334</v>
      </c>
      <c r="G90" s="196" t="s">
        <v>336</v>
      </c>
      <c r="H90" s="196"/>
      <c r="I90" s="234" t="str">
        <f>=IFERROR(ROUND(MAX(0,(SUM($G$99:$G$102)-$G$101)-(SUM($H$99:$H$102)-$H$101)),2),0)</f>
        <v>0</v>
      </c>
      <c r="L90" s="142" t="s">
        <v>280</v>
      </c>
      <c r="M90" s="115" t="str">
        <f>=IFERROR(CHOOSE(F82,'III.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6" t="str">
        <f>=IFERROR(CHOOSE(F82,'III.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5" t="str">
        <f>=IFERROR(CHOOSE(F82,'III.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3" t="str">
        <f>=IFERROR(CHOOSE(F82,'III.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B91" s="204" t="s">
        <v>331</v>
      </c>
      <c r="C91" s="196"/>
      <c r="D91" s="226" t="str">
        <f>=IFERROR(ROUND(SUBTOTAL(109,TblKMWMittel[Betrag]),2),0)</f>
      </c>
      <c r="F91" s="47"/>
      <c r="G91" s="218" t="s">
        <v>338</v>
      </c>
      <c r="H91" s="218"/>
      <c r="I91" s="235" t="str">
        <f>=ROUND(IF($F$89="Abzug",MAX(0,$I$89),0)+IF($F$90="Abzug",MAX(0,$I$90),0),2)</f>
      </c>
      <c r="L91" s="345" t="s">
        <v>281</v>
      </c>
      <c r="M91" s="333" t="str">
        <f>=IFERROR(CHOOSE(F82,'III.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4" t="str">
        <f>=IFERROR(CHOOSE(F82,'III.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3" t="str">
        <f>=IFERROR(CHOOSE(F82,'III.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6" t="str">
        <f>=IFERROR(CHOOSE(F82,'III.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B92" s="227" t="s">
        <v>332</v>
      </c>
      <c r="C92" s="228"/>
      <c r="D92" s="229" t="str">
        <f>=ROUND($D$90-$D$91,2)</f>
      </c>
      <c r="F92" s="236"/>
      <c r="G92" s="228" t="s">
        <v>339</v>
      </c>
      <c r="H92" s="228"/>
      <c r="I92" s="229" t="str">
        <f>=ROUND($D$92-$I$91,2)</f>
      </c>
      <c r="L92" s="341" t="s">
        <v>282</v>
      </c>
      <c r="M92" s="330"/>
      <c r="N92" s="330"/>
      <c r="O92" s="330"/>
      <c r="P92" s="342"/>
    </row>
    <row r="93" ht="26" customHeight="true">
      <c r="L93" s="343" t="s">
        <v>203</v>
      </c>
      <c r="M93" s="331" t="s">
        <v>283</v>
      </c>
      <c r="N93" s="331" t="s">
        <v>284</v>
      </c>
      <c r="O93" s="331" t="s">
        <v>285</v>
      </c>
      <c r="P93" s="344" t="s">
        <v>286</v>
      </c>
    </row>
    <row r="94">
      <c r="L94" s="142" t="str">
        <f>=IFERROR(CHOOSE(F82,'III.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5" t="str">
        <f>=IFERROR(CHOOSE(F82,'III.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6" t="str">
        <f>=IFERROR(CHOOSE(F82,'III.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5" t="str">
        <f>=IFERROR(CHOOSE(F82,'III.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3" t="str">
        <f>=IFERROR(CHOOSE(F82,'III.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2" t="str">
        <f>=IFERROR(CHOOSE(F82,'III.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5" t="str">
        <f>=IFERROR(CHOOSE(F82,'III.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6" t="str">
        <f>=IFERROR(CHOOSE(F82,'III.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5" t="str">
        <f>=IFERROR(CHOOSE(F82,'III.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3" t="str">
        <f>=IFERROR(CHOOSE(F82,'III.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2" customHeight="true">
      <c r="B96" s="18" t="s">
        <v>376</v>
      </c>
      <c r="C96" s="18"/>
      <c r="D96" s="18"/>
      <c r="E96" s="18"/>
      <c r="F96" s="18"/>
      <c r="G96" s="18"/>
      <c r="H96" s="18"/>
      <c r="I96" s="18"/>
      <c r="J96" s="18"/>
      <c r="L96" s="142" t="str">
        <f>=IFERROR(CHOOSE(F82,'III.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5" t="str">
        <f>=IFERROR(CHOOSE(F82,'III.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6" t="str">
        <f>=IFERROR(CHOOSE(F82,'III.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5" t="str">
        <f>=IFERROR(CHOOSE(F82,'III.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3" t="str">
        <f>=IFERROR(CHOOSE(F82,'III.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L97" s="142" t="str">
        <f>=IFERROR(CHOOSE(F82,'III.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5" t="str">
        <f>=IFERROR(CHOOSE(F82,'III.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6" t="str">
        <f>=IFERROR(CHOOSE(F82,'III.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5" t="str">
        <f>=IFERROR(CHOOSE(F82,'III.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3" t="str">
        <f>=IFERROR(CHOOSE(F82,'III.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ht="28" customHeight="true">
      <c r="B98" s="263" t="s">
        <v>359</v>
      </c>
      <c r="C98" s="264" t="s">
        <v>377</v>
      </c>
      <c r="D98" s="264" t="s">
        <v>361</v>
      </c>
      <c r="E98" s="264" t="s">
        <v>362</v>
      </c>
      <c r="F98" s="264" t="s">
        <v>363</v>
      </c>
      <c r="G98" s="264" t="s">
        <v>378</v>
      </c>
      <c r="H98" s="264" t="s">
        <v>365</v>
      </c>
      <c r="I98" s="264" t="s">
        <v>366</v>
      </c>
      <c r="J98" s="265" t="s">
        <v>367</v>
      </c>
      <c r="L98" s="142" t="str">
        <f>=IFERROR(CHOOSE(F82,'III.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5" t="str">
        <f>=IFERROR(CHOOSE(F82,'III.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6" t="str">
        <f>=IFERROR(CHOOSE(F82,'III.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5" t="str">
        <f>=IFERROR(CHOOSE(F82,'III.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3" t="str">
        <f>=IFERROR(CHOOSE(F82,'III.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6" t="s">
        <v>194</v>
      </c>
      <c r="C99" s="240" t="str">
        <f>=IFERROR(ROUND(CHOOSE(F82,'III.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40" t="str">
        <f>=IFERROR(ROUND(Eigenmittel_LW,2),0)</f>
      </c>
      <c r="E99" s="200" t="str">
        <f>=ROUND(IFERROR($C$99-$D$99,0),2)</f>
      </c>
      <c r="F99" s="258" t="str">
        <f>=ROUND(IFERROR(($C$99/$D$99)-1,0),4)</f>
      </c>
      <c r="G99" s="217" t="str">
        <f>=IFERROR(ROUND(CHOOSE(F82,'III.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7" t="str">
        <f>=IFERROR(ROUND(Eigenmittel_EUR,2),0)</f>
      </c>
      <c r="I99" s="181" t="str">
        <f>=ROUND(IFERROR($G$99-$H$99,0),2)</f>
      </c>
      <c r="J99" s="290" t="str">
        <f>=ROUND(IFERROR(($G$99/$H$99)-1,0),4)</f>
      </c>
      <c r="L99" s="142" t="str">
        <f>=IFERROR(CHOOSE(F82,'III.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5" t="str">
        <f>=IFERROR(CHOOSE(F82,'III.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6" t="str">
        <f>=IFERROR(CHOOSE(F82,'III.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5" t="str">
        <f>=IFERROR(CHOOSE(F82,'III.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3" t="str">
        <f>=IFERROR(CHOOSE(F82,'III.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6" t="s">
        <v>279</v>
      </c>
      <c r="C100" s="240" t="str">
        <f>=IFERROR(ROUND(CHOOSE(F82,'III.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40" t="str">
        <f>=IFERROR(ROUND(Drittmittel_LW,2),0)</f>
      </c>
      <c r="E100" s="200" t="str">
        <f>=ROUND(IFERROR($C$100-$D$100,0),2)</f>
      </c>
      <c r="F100" s="258" t="str">
        <f>=ROUND(IFERROR(($C$100/$D$100)-1,0),4)</f>
      </c>
      <c r="G100" s="217" t="str">
        <f>=IFERROR(ROUND(CHOOSE(F82,'III.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7" t="str">
        <f>=IFERROR(ROUND(Drittmittel_EUR,2),0)</f>
      </c>
      <c r="I100" s="181" t="str">
        <f>=ROUND(IFERROR($G$100-$H$100,0),2)</f>
      </c>
      <c r="J100" s="291" t="str">
        <f>=ROUND(IFERROR(($G$100/$H$100)-1,0),4)</f>
      </c>
      <c r="L100" s="142" t="str">
        <f>=IFERROR(CHOOSE(F82,'III.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5" t="str">
        <f>=IFERROR(CHOOSE(F82,'III.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6" t="str">
        <f>=IFERROR(CHOOSE(F82,'III.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5" t="str">
        <f>=IFERROR(CHOOSE(F82,'III.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3" t="str">
        <f>=IFERROR(CHOOSE(F82,'III.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c r="B101" s="266" t="s">
        <v>199</v>
      </c>
      <c r="C101" s="240" t="str">
        <f>=IFERROR(ROUND(CHOOSE(F82,'III.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40" t="str">
        <f>=IFERROR(ROUND(KMW_Mittel_LW,2),0)</f>
      </c>
      <c r="E101" s="200" t="str">
        <f>=ROUND(IFERROR($C$101-$D$101,0),2)</f>
      </c>
      <c r="F101" s="258" t="str">
        <f>=ROUND(IFERROR(($C$101/$D$101)-1,0),4)</f>
      </c>
      <c r="G101" s="217" t="str">
        <f>=IFERROR(ROUND(CHOOSE(F82,'III.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7" t="str">
        <f>=IFERROR(ROUND(KMW_Mittel_EUR,2),0)</f>
      </c>
      <c r="I101" s="181" t="str">
        <f>=ROUND(IFERROR($G$101-$H$101,0),2)</f>
      </c>
      <c r="J101" s="292" t="str">
        <f>=ROUND(IFERROR(($G$101/$H$101)-1,0),4)</f>
      </c>
      <c r="L101" s="142" t="str">
        <f>=IFERROR(CHOOSE(F82,'III.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5" t="str">
        <f>=IFERROR(CHOOSE(F82,'III.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6" t="str">
        <f>=IFERROR(CHOOSE(F82,'III.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5" t="str">
        <f>=IFERROR(CHOOSE(F82,'III.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3" t="str">
        <f>=IFERROR(CHOOSE(F82,'III.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B102" s="266" t="s">
        <v>280</v>
      </c>
      <c r="C102" s="240" t="str">
        <f>=IFERROR(ROUND(CHOOSE(F82,'III.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40" t="str">
        <f>=IFERROR(ROUND(0,2),0)</f>
      </c>
      <c r="E102" s="200" t="str">
        <f>=ROUND(IFERROR($C$102-$D$102,0),2)</f>
      </c>
      <c r="F102" s="258" t="str">
        <f>=ROUND(IFERROR(($C$102/$D$102)-1,0),4)</f>
      </c>
      <c r="G102" s="217" t="str">
        <f>=IFERROR(ROUND(CHOOSE(F82,'III.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7" t="str">
        <f>=IFERROR(ROUND(0,2),0)</f>
      </c>
      <c r="I102" s="181" t="str">
        <f>=ROUND(IFERROR($G$102-$H$102,0),2)</f>
      </c>
      <c r="J102" s="293" t="str">
        <f>=ROUND(IFERROR(($G$102/$H$102)-1,0),4)</f>
      </c>
      <c r="L102" s="345" t="s">
        <v>287</v>
      </c>
      <c r="M102" s="333" t="str">
        <f>=IFERROR(CHOOSE(F82,'III.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334" t="str">
        <f>=IFERROR(CHOOSE(F82,'III.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333" t="str">
        <f>=IFERROR(CHOOSE(F82,'III.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346" t="str">
        <f>=IFERROR(CHOOSE(F82,'III.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0" customHeight="true">
      <c r="B103" s="271" t="s">
        <v>266</v>
      </c>
      <c r="C103" s="272" t="str">
        <f>=ROUND(SUM($C$99:$C$102),2)</f>
      </c>
      <c r="D103" s="272" t="str">
        <f>=ROUND(SUM($D$99:$D$102),2)</f>
      </c>
      <c r="E103" s="272" t="str">
        <f>=ROUND(SUM($E$99:$E$102),2)</f>
      </c>
      <c r="F103" s="294" t="str">
        <f>=ROUND(IFERROR(($C$103/$D$103)-1,0),4)</f>
      </c>
      <c r="G103" s="274" t="str">
        <f>=ROUND(SUM($G$99:$G$102),2)</f>
      </c>
      <c r="H103" s="274" t="str">
        <f>=ROUND(SUM($H$99:$H$102),2)</f>
      </c>
      <c r="I103" s="274" t="str">
        <f>=ROUND(SUM($I$99:$I$102),2)</f>
      </c>
      <c r="J103" s="295" t="str">
        <f>=ROUND(IFERROR(($G$103/$H$103)-1,0),4)</f>
      </c>
      <c r="L103" s="47"/>
      <c r="P103" s="48"/>
    </row>
    <row r="104">
      <c r="L104" s="347" t="s">
        <v>288</v>
      </c>
      <c r="M104" s="348" t="str">
        <f>=IFERROR(CHOOSE(F82,'III.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49" t="str">
        <f>=IFERROR(CHOOSE(F82,'III.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48" t="str">
        <f>=IFERROR(CHOOSE(F82,'III.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50" t="str">
        <f>=IFERROR(CHOOSE(F82,'III.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2" customHeight="true">
      <c r="B105" s="18" t="s">
        <v>379</v>
      </c>
      <c r="C105" s="18"/>
      <c r="D105" s="18"/>
      <c r="E105" s="18"/>
      <c r="F105" s="18"/>
      <c r="G105" s="18"/>
      <c r="H105" s="18"/>
      <c r="I105" s="18"/>
      <c r="J105" s="18"/>
    </row>
    <row r="107" ht="28" customHeight="true">
      <c r="B107" s="263" t="s">
        <v>359</v>
      </c>
      <c r="C107" s="264" t="s">
        <v>377</v>
      </c>
      <c r="D107" s="264" t="s">
        <v>361</v>
      </c>
      <c r="E107" s="264" t="s">
        <v>362</v>
      </c>
      <c r="F107" s="264" t="s">
        <v>363</v>
      </c>
      <c r="G107" s="264" t="s">
        <v>378</v>
      </c>
      <c r="H107" s="264" t="s">
        <v>365</v>
      </c>
      <c r="I107" s="264" t="s">
        <v>366</v>
      </c>
      <c r="J107" s="265" t="s">
        <v>367</v>
      </c>
    </row>
    <row r="108">
      <c r="B108" s="266" t="s">
        <v>205</v>
      </c>
      <c r="C108" s="240" t="str">
        <f>=IFERROR(ROUND(CHOOSE(F82,'III.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8" s="240" t="str">
        <f>=IFERROR(ROUND(Kosten_Bauausgaben_LW,2),0)</f>
      </c>
      <c r="E108" s="200" t="str">
        <f>=ROUND(IFERROR($C$108-$D$108,0),2)</f>
      </c>
      <c r="F108" s="258" t="str">
        <f>=ROUND(IFERROR(($C$108/$D$108)-1,0),4)</f>
      </c>
      <c r="G108" s="217" t="str">
        <f>=IFERROR(ROUND(CHOOSE(F82,'III.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8" s="217" t="str">
        <f>=IFERROR(ROUND(Kosten_Bauausgaben_EUR,2),0)</f>
      </c>
      <c r="I108" s="181" t="str">
        <f>=ROUND(IFERROR($G$108-$H$108,0),2)</f>
      </c>
      <c r="J108" s="296" t="str">
        <f>=ROUND(IFERROR(($G$108/$H$108)-1,0),4)</f>
      </c>
    </row>
    <row r="109">
      <c r="B109" s="266" t="s">
        <v>206</v>
      </c>
      <c r="C109" s="240" t="str">
        <f>=IFERROR(ROUND(CHOOSE(F82,'III.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9" s="240" t="str">
        <f>=IFERROR(ROUND(Kosten_Investitionen_LW,2),0)</f>
      </c>
      <c r="E109" s="200" t="str">
        <f>=ROUND(IFERROR($C$109-$D$109,0),2)</f>
      </c>
      <c r="F109" s="258" t="str">
        <f>=ROUND(IFERROR(($C$109/$D$109)-1,0),4)</f>
      </c>
      <c r="G109" s="217" t="str">
        <f>=IFERROR(ROUND(CHOOSE(F82,'III.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9" s="217" t="str">
        <f>=IFERROR(ROUND(Kosten_Investitionen_EUR,2),0)</f>
      </c>
      <c r="I109" s="181" t="str">
        <f>=ROUND(IFERROR($G$109-$H$109,0),2)</f>
      </c>
      <c r="J109" s="297" t="str">
        <f>=ROUND(IFERROR(($G$109/$H$109)-1,0),4)</f>
      </c>
    </row>
    <row r="110">
      <c r="B110" s="266" t="s">
        <v>207</v>
      </c>
      <c r="C110" s="240" t="str">
        <f>=IFERROR(ROUND(CHOOSE(F82,'III.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10" s="240" t="str">
        <f>=IFERROR(ROUND(Kosten_Personalkosten_LW,2),0)</f>
      </c>
      <c r="E110" s="200" t="str">
        <f>=ROUND(IFERROR($C$110-$D$110,0),2)</f>
      </c>
      <c r="F110" s="258" t="str">
        <f>=ROUND(IFERROR(($C$110/$D$110)-1,0),4)</f>
      </c>
      <c r="G110" s="217" t="str">
        <f>=IFERROR(ROUND(CHOOSE(F82,'III.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10" s="217" t="str">
        <f>=IFERROR(ROUND(Kosten_Personalkosten_EUR,2),0)</f>
      </c>
      <c r="I110" s="181" t="str">
        <f>=ROUND(IFERROR($G$110-$H$110,0),2)</f>
      </c>
      <c r="J110" s="298" t="str">
        <f>=ROUND(IFERROR(($G$110/$H$110)-1,0),4)</f>
      </c>
    </row>
    <row r="111">
      <c r="B111" s="266" t="s">
        <v>208</v>
      </c>
      <c r="C111" s="240" t="str">
        <f>=IFERROR(ROUND(CHOOSE(F82,'III.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11" s="240" t="str">
        <f>=IFERROR(ROUND(Kosten_Projektaktivitaeten_LW,2),0)</f>
      </c>
      <c r="E111" s="200" t="str">
        <f>=ROUND(IFERROR($C$111-$D$111,0),2)</f>
      </c>
      <c r="F111" s="258" t="str">
        <f>=ROUND(IFERROR(($C$111/$D$111)-1,0),4)</f>
      </c>
      <c r="G111" s="217" t="str">
        <f>=IFERROR(ROUND(CHOOSE(F82,'III.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11" s="217" t="str">
        <f>=IFERROR(ROUND(Kosten_Projektaktivitaeten_EUR,2),0)</f>
      </c>
      <c r="I111" s="181" t="str">
        <f>=ROUND(IFERROR($G$111-$H$111,0),2)</f>
      </c>
      <c r="J111" s="299" t="str">
        <f>=ROUND(IFERROR(($G$111/$H$111)-1,0),4)</f>
      </c>
    </row>
    <row r="112">
      <c r="B112" s="266" t="s">
        <v>209</v>
      </c>
      <c r="C112" s="240" t="str">
        <f>=IFERROR(ROUND(CHOOSE(F82,'III.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2" s="240" t="str">
        <f>=IFERROR(ROUND(Kosten_Projektverwaltung_LW,2),0)</f>
      </c>
      <c r="E112" s="200" t="str">
        <f>=ROUND(IFERROR($C$112-$D$112,0),2)</f>
      </c>
      <c r="F112" s="258" t="str">
        <f>=ROUND(IFERROR(($C$112/$D$112)-1,0),4)</f>
      </c>
      <c r="G112" s="217" t="str">
        <f>=IFERROR(ROUND(CHOOSE(F82,'III.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2" s="217" t="str">
        <f>=IFERROR(ROUND(Kosten_Projektverwaltung_EUR,2),0)</f>
      </c>
      <c r="I112" s="181" t="str">
        <f>=ROUND(IFERROR($G$112-$H$112,0),2)</f>
      </c>
      <c r="J112" s="300" t="str">
        <f>=ROUND(IFERROR(($G$112/$H$112)-1,0),4)</f>
      </c>
    </row>
    <row r="113">
      <c r="B113" s="266" t="s">
        <v>210</v>
      </c>
      <c r="C113" s="240" t="str">
        <f>=IFERROR(ROUND(CHOOSE(F82,'III.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3" s="240" t="str">
        <f>=IFERROR(ROUND(Kosten_Evaluierung_LW,2),0)</f>
      </c>
      <c r="E113" s="200" t="str">
        <f>=ROUND(IFERROR($C$113-$D$113,0),2)</f>
      </c>
      <c r="F113" s="258" t="str">
        <f>=ROUND(IFERROR(($C$113/$D$113)-1,0),4)</f>
      </c>
      <c r="G113" s="217" t="str">
        <f>=IFERROR(ROUND(CHOOSE(F82,'III.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3" s="217" t="str">
        <f>=IFERROR(ROUND(Kosten_Evaluierung_EUR,2),0)</f>
      </c>
      <c r="I113" s="181" t="str">
        <f>=ROUND(IFERROR($G$113-$H$113,0),2)</f>
      </c>
      <c r="J113" s="301" t="str">
        <f>=ROUND(IFERROR(($G$113/$H$113)-1,0),4)</f>
      </c>
    </row>
    <row r="114">
      <c r="B114" s="266" t="s">
        <v>211</v>
      </c>
      <c r="C114" s="240" t="str">
        <f>=IFERROR(ROUND(CHOOSE(F82,'III.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4" s="240" t="str">
        <f>=IFERROR(ROUND(Kosten_Audit_LW,2),0)</f>
      </c>
      <c r="E114" s="200" t="str">
        <f>=ROUND(IFERROR($C$114-$D$114,0),2)</f>
      </c>
      <c r="F114" s="258" t="str">
        <f>=ROUND(IFERROR(($C$114/$D$114)-1,0),4)</f>
      </c>
      <c r="G114" s="217" t="str">
        <f>=IFERROR(ROUND(CHOOSE(F82,'III.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4" s="217" t="str">
        <f>=IFERROR(ROUND(Kosten_Audit_EUR,2),0)</f>
      </c>
      <c r="I114" s="181" t="str">
        <f>=ROUND(IFERROR($G$114-$H$114,0),2)</f>
      </c>
      <c r="J114" s="302" t="str">
        <f>=ROUND(IFERROR(($G$114/$H$114)-1,0),4)</f>
      </c>
    </row>
    <row r="115">
      <c r="B115" s="266" t="s">
        <v>212</v>
      </c>
      <c r="C115" s="240" t="str">
        <f>=IFERROR(ROUND(CHOOSE(F82,'III.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5" s="240" t="str">
        <f>=IFERROR(ROUND(Kosten_Reserve_LW,2),0)</f>
      </c>
      <c r="E115" s="200" t="str">
        <f>=ROUND(IFERROR($C$115-$D$115,0),2)</f>
      </c>
      <c r="F115" s="258" t="str">
        <f>=ROUND(IFERROR(($C$115/$D$115)-1,0),4)</f>
      </c>
      <c r="G115" s="217" t="str">
        <f>=IFERROR(ROUND(CHOOSE(F82,'III.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5" s="217" t="str">
        <f>=IFERROR(ROUND(Kosten_Reserve_EUR,2),0)</f>
      </c>
      <c r="I115" s="181" t="str">
        <f>=ROUND(IFERROR($G$115-$H$115,0),2)</f>
      </c>
      <c r="J115" s="303" t="str">
        <f>=ROUND(IFERROR(($G$115/$H$115)-1,0),4)</f>
      </c>
    </row>
    <row r="116" ht="20" customHeight="true">
      <c r="B116" s="271" t="s">
        <v>266</v>
      </c>
      <c r="C116" s="272" t="str">
        <f>=ROUND(SUM($C$108:$C$115),2)</f>
      </c>
      <c r="D116" s="272" t="str">
        <f>=ROUND(SUM($D$108:$D$115),2)</f>
      </c>
      <c r="E116" s="272" t="str">
        <f>=ROUND(SUM($E$108:$E$115),2)</f>
      </c>
      <c r="F116" s="304" t="str">
        <f>=ROUND(IFERROR(($C$116/$D$116)-1,0),4)</f>
      </c>
      <c r="G116" s="274" t="str">
        <f>=ROUND(SUM($G$108:$G$115),2)</f>
      </c>
      <c r="H116" s="274" t="str">
        <f>=ROUND(SUM($H$108:$H$115),2)</f>
      </c>
      <c r="I116" s="274" t="str">
        <f>=ROUND(SUM($I$108:$I$115),2)</f>
      </c>
      <c r="J116" s="305" t="str">
        <f>=ROUND(IFERROR(($G$116/$H$116)-1,0),4)</f>
      </c>
    </row>
  </sheetData>
  <mergeCells count="108">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I80"/>
    <mergeCell ref="C81:E81"/>
    <mergeCell ref="F81:I81"/>
    <mergeCell ref="C82:E82"/>
    <mergeCell ref="F82:I82"/>
    <mergeCell ref="C83:E83"/>
    <mergeCell ref="F83:I83"/>
    <mergeCell ref="C84:E84"/>
    <mergeCell ref="F84:I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E13">
    <cfRule type="expression" dxfId="9" priority="1">
      <formula>$C$13&lt;&gt;""</formula>
    </cfRule>
  </conditionalFormatting>
  <conditionalFormatting sqref="F13:G13">
    <cfRule type="expression" dxfId="10" priority="2">
      <formula>$C$13&lt;&gt;""</formula>
    </cfRule>
  </conditionalFormatting>
  <conditionalFormatting sqref="H13:I13">
    <cfRule type="expression" dxfId="11" priority="3">
      <formula>$C$13&lt;&gt;""</formula>
    </cfRule>
  </conditionalFormatting>
  <conditionalFormatting sqref="C14:E14">
    <cfRule type="expression" dxfId="9" priority="4">
      <formula>$C$14&lt;&gt;""</formula>
    </cfRule>
  </conditionalFormatting>
  <conditionalFormatting sqref="F14:G14">
    <cfRule type="expression" dxfId="10" priority="5">
      <formula>$C$14&lt;&gt;""</formula>
    </cfRule>
  </conditionalFormatting>
  <conditionalFormatting sqref="H14:I14">
    <cfRule type="expression" dxfId="11" priority="6">
      <formula>$C$14&lt;&gt;""</formula>
    </cfRule>
  </conditionalFormatting>
  <conditionalFormatting sqref="C15:E15">
    <cfRule type="expression" dxfId="9" priority="7">
      <formula>$C$15&lt;&gt;""</formula>
    </cfRule>
  </conditionalFormatting>
  <conditionalFormatting sqref="F15:G15">
    <cfRule type="expression" dxfId="10" priority="8">
      <formula>$C$15&lt;&gt;""</formula>
    </cfRule>
  </conditionalFormatting>
  <conditionalFormatting sqref="H15:I15">
    <cfRule type="expression" dxfId="11" priority="9">
      <formula>$C$15&lt;&gt;""</formula>
    </cfRule>
  </conditionalFormatting>
  <conditionalFormatting sqref="C16:E16">
    <cfRule type="expression" dxfId="9" priority="10">
      <formula>$C$16&lt;&gt;""</formula>
    </cfRule>
  </conditionalFormatting>
  <conditionalFormatting sqref="F16:G16">
    <cfRule type="expression" dxfId="10" priority="11">
      <formula>$C$16&lt;&gt;""</formula>
    </cfRule>
  </conditionalFormatting>
  <conditionalFormatting sqref="H16:I16">
    <cfRule type="expression" dxfId="11" priority="12">
      <formula>$C$16&lt;&gt;""</formula>
    </cfRule>
  </conditionalFormatting>
  <conditionalFormatting sqref="C17:E17">
    <cfRule type="expression" dxfId="9" priority="13">
      <formula>$C$17&lt;&gt;""</formula>
    </cfRule>
  </conditionalFormatting>
  <conditionalFormatting sqref="F17:G17">
    <cfRule type="expression" dxfId="10" priority="14">
      <formula>$C$17&lt;&gt;""</formula>
    </cfRule>
  </conditionalFormatting>
  <conditionalFormatting sqref="H17:I17">
    <cfRule type="expression" dxfId="11" priority="15">
      <formula>$C$17&lt;&gt;""</formula>
    </cfRule>
  </conditionalFormatting>
  <conditionalFormatting sqref="C18:E18">
    <cfRule type="expression" dxfId="9" priority="16">
      <formula>$C$18&lt;&gt;""</formula>
    </cfRule>
  </conditionalFormatting>
  <conditionalFormatting sqref="F18:G18">
    <cfRule type="expression" dxfId="10" priority="17">
      <formula>$C$18&lt;&gt;""</formula>
    </cfRule>
  </conditionalFormatting>
  <conditionalFormatting sqref="H18:I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8:F115">
    <cfRule type="expression" dxfId="16" priority="29">
      <formula>F108&gt;0.2</formula>
    </cfRule>
  </conditionalFormatting>
  <conditionalFormatting sqref="F108:F115">
    <cfRule type="expression" dxfId="17" priority="30">
      <formula>AND(F108&gt;=0.1,F108&lt;=0.2)</formula>
    </cfRule>
  </conditionalFormatting>
  <conditionalFormatting sqref="J108:J115">
    <cfRule type="expression" dxfId="16" priority="31">
      <formula>J108&gt;0.2</formula>
    </cfRule>
  </conditionalFormatting>
  <conditionalFormatting sqref="J108:J115">
    <cfRule type="expression" dxfId="17" priority="32">
      <formula>AND(J108&gt;=0.1,J108&lt;=0.2)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F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51" t="s">
        <v>382</v>
      </c>
      <c r="I1" s="351" t="s">
        <v>383</v>
      </c>
      <c r="O1" s="351" t="s">
        <v>384</v>
      </c>
      <c r="U1" s="351" t="s">
        <v>385</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AUSWERTUNG'!F82+1)*($BC$1:$BC$18=1),""))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235</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279</v>
      </c>
      <c r="BU10" t="str">
        <f>=IFERROR('IV. MA'!C22,0)</f>
      </c>
      <c r="BV10" t="str">
        <f>=IFERROR('IV. MA'!D22,0)</f>
      </c>
    </row>
    <row r="11">
      <c r="A11" t="s">
        <v>236</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237</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238</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206</v>
      </c>
      <c r="BU13" t="str">
        <f>=IFERROR('IV. MA'!G11,0)</f>
      </c>
      <c r="BV13" t="str">
        <f>=IFERROR('IV. MA'!H11,0)</f>
      </c>
    </row>
    <row r="14">
      <c r="A14" t="s">
        <v>239</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207</v>
      </c>
      <c r="BU14" t="str">
        <f>=IFERROR('IV. MA'!G12,0)</f>
      </c>
      <c r="BV14" t="str">
        <f>=IFERROR('IV. MA'!H12,0)</f>
      </c>
    </row>
    <row r="15">
      <c r="A15" t="s">
        <v>240</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208</v>
      </c>
      <c r="BU15" t="str">
        <f>=IFERROR('IV. MA'!G13,0)</f>
      </c>
      <c r="BV15" t="str">
        <f>=IFERROR('IV. MA'!H13,0)</f>
      </c>
    </row>
    <row r="16">
      <c r="A16" t="s">
        <v>241</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209</v>
      </c>
      <c r="BU16" t="str">
        <f>=IFERROR('IV. MA'!G14,0)</f>
      </c>
      <c r="BV16" t="str">
        <f>=IFERROR('IV. MA'!H14,0)</f>
      </c>
    </row>
    <row r="17">
      <c r="A17" t="s">
        <v>242</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210</v>
      </c>
      <c r="BU17" t="str">
        <f>=IFERROR('IV. MA'!G15,0)</f>
      </c>
      <c r="BV17" t="str">
        <f>=IFERROR('IV. MA'!H15,0)</f>
      </c>
    </row>
    <row r="18">
      <c r="A18" t="s">
        <v>243</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211</v>
      </c>
      <c r="BU18" t="str">
        <f>=IFERROR('IV. MA'!G16,0)</f>
      </c>
      <c r="BV18" t="str">
        <f>=IFERROR('IV. MA'!H16,0)</f>
      </c>
    </row>
    <row r="19">
      <c r="BR19" t="str">
        <f>=$BB$2</f>
      </c>
      <c r="BS19" t="str">
        <f>=$BD$2</f>
      </c>
      <c r="BT19" t="s">
        <v>212</v>
      </c>
      <c r="BU19" t="str">
        <f>=IFERROR('IV. MA'!G17,0)</f>
      </c>
      <c r="BV19" t="str">
        <f>=IFERROR('IV. MA'!H17,0)</f>
      </c>
    </row>
    <row r="20">
      <c r="BR20" t="str">
        <f>=$BB$2</f>
      </c>
      <c r="BS20" t="str">
        <f>=$BD$2</f>
      </c>
      <c r="BT20" t="s">
        <v>194</v>
      </c>
      <c r="BU20" t="str">
        <f>=IFERROR('IV. MA'!G21,0)</f>
      </c>
      <c r="BV20" t="str">
        <f>=IFERROR('IV. MA'!H21,0)</f>
      </c>
    </row>
    <row r="21">
      <c r="BR21" t="str">
        <f>=$BB$2</f>
      </c>
      <c r="BS21" t="str">
        <f>=$BD$2</f>
      </c>
      <c r="BT21" t="s">
        <v>279</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206</v>
      </c>
      <c r="BU24" t="str">
        <f>=IFERROR('IV. MA'!K11,0)</f>
      </c>
      <c r="BV24" t="str">
        <f>=IFERROR('IV. MA'!L11,0)</f>
      </c>
    </row>
    <row r="25">
      <c r="BR25" t="str">
        <f>=$BB$3</f>
      </c>
      <c r="BS25" t="str">
        <f>=$BD$3</f>
      </c>
      <c r="BT25" t="s">
        <v>207</v>
      </c>
      <c r="BU25" t="str">
        <f>=IFERROR('IV. MA'!K12,0)</f>
      </c>
      <c r="BV25" t="str">
        <f>=IFERROR('IV. MA'!L12,0)</f>
      </c>
    </row>
    <row r="26">
      <c r="BR26" t="str">
        <f>=$BB$3</f>
      </c>
      <c r="BS26" t="str">
        <f>=$BD$3</f>
      </c>
      <c r="BT26" t="s">
        <v>208</v>
      </c>
      <c r="BU26" t="str">
        <f>=IFERROR('IV. MA'!K13,0)</f>
      </c>
      <c r="BV26" t="str">
        <f>=IFERROR('IV. MA'!L13,0)</f>
      </c>
    </row>
    <row r="27">
      <c r="BR27" t="str">
        <f>=$BB$3</f>
      </c>
      <c r="BS27" t="str">
        <f>=$BD$3</f>
      </c>
      <c r="BT27" t="s">
        <v>209</v>
      </c>
      <c r="BU27" t="str">
        <f>=IFERROR('IV. MA'!K14,0)</f>
      </c>
      <c r="BV27" t="str">
        <f>=IFERROR('IV. MA'!L14,0)</f>
      </c>
    </row>
    <row r="28">
      <c r="BR28" t="str">
        <f>=$BB$3</f>
      </c>
      <c r="BS28" t="str">
        <f>=$BD$3</f>
      </c>
      <c r="BT28" t="s">
        <v>210</v>
      </c>
      <c r="BU28" t="str">
        <f>=IFERROR('IV. MA'!K15,0)</f>
      </c>
      <c r="BV28" t="str">
        <f>=IFERROR('IV. MA'!L15,0)</f>
      </c>
    </row>
    <row r="29">
      <c r="BR29" t="str">
        <f>=$BB$3</f>
      </c>
      <c r="BS29" t="str">
        <f>=$BD$3</f>
      </c>
      <c r="BT29" t="s">
        <v>211</v>
      </c>
      <c r="BU29" t="str">
        <f>=IFERROR('IV. MA'!K16,0)</f>
      </c>
      <c r="BV29" t="str">
        <f>=IFERROR('IV. MA'!L16,0)</f>
      </c>
    </row>
    <row r="30">
      <c r="BR30" t="str">
        <f>=$BB$3</f>
      </c>
      <c r="BS30" t="str">
        <f>=$BD$3</f>
      </c>
      <c r="BT30" t="s">
        <v>212</v>
      </c>
      <c r="BU30" t="str">
        <f>=IFERROR('IV. MA'!K17,0)</f>
      </c>
      <c r="BV30" t="str">
        <f>=IFERROR('IV. MA'!L17,0)</f>
      </c>
    </row>
    <row r="31">
      <c r="BR31" t="str">
        <f>=$BB$3</f>
      </c>
      <c r="BS31" t="str">
        <f>=$BD$3</f>
      </c>
      <c r="BT31" t="s">
        <v>194</v>
      </c>
      <c r="BU31" t="str">
        <f>=IFERROR('IV. MA'!K21,0)</f>
      </c>
      <c r="BV31" t="str">
        <f>=IFERROR('IV. MA'!L21,0)</f>
      </c>
    </row>
    <row r="32">
      <c r="BR32" t="str">
        <f>=$BB$3</f>
      </c>
      <c r="BS32" t="str">
        <f>=$BD$3</f>
      </c>
      <c r="BT32" t="s">
        <v>279</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206</v>
      </c>
      <c r="BU35" t="str">
        <f>=IFERROR('IV. MA'!O11,0)</f>
      </c>
      <c r="BV35" t="str">
        <f>=IFERROR('IV. MA'!P11,0)</f>
      </c>
    </row>
    <row r="36">
      <c r="BR36" t="str">
        <f>=$BB$4</f>
      </c>
      <c r="BS36" t="str">
        <f>=$BD$4</f>
      </c>
      <c r="BT36" t="s">
        <v>207</v>
      </c>
      <c r="BU36" t="str">
        <f>=IFERROR('IV. MA'!O12,0)</f>
      </c>
      <c r="BV36" t="str">
        <f>=IFERROR('IV. MA'!P12,0)</f>
      </c>
    </row>
    <row r="37">
      <c r="BR37" t="str">
        <f>=$BB$4</f>
      </c>
      <c r="BS37" t="str">
        <f>=$BD$4</f>
      </c>
      <c r="BT37" t="s">
        <v>208</v>
      </c>
      <c r="BU37" t="str">
        <f>=IFERROR('IV. MA'!O13,0)</f>
      </c>
      <c r="BV37" t="str">
        <f>=IFERROR('IV. MA'!P13,0)</f>
      </c>
    </row>
    <row r="38">
      <c r="BR38" t="str">
        <f>=$BB$4</f>
      </c>
      <c r="BS38" t="str">
        <f>=$BD$4</f>
      </c>
      <c r="BT38" t="s">
        <v>209</v>
      </c>
      <c r="BU38" t="str">
        <f>=IFERROR('IV. MA'!O14,0)</f>
      </c>
      <c r="BV38" t="str">
        <f>=IFERROR('IV. MA'!P14,0)</f>
      </c>
    </row>
    <row r="39">
      <c r="BR39" t="str">
        <f>=$BB$4</f>
      </c>
      <c r="BS39" t="str">
        <f>=$BD$4</f>
      </c>
      <c r="BT39" t="s">
        <v>210</v>
      </c>
      <c r="BU39" t="str">
        <f>=IFERROR('IV. MA'!O15,0)</f>
      </c>
      <c r="BV39" t="str">
        <f>=IFERROR('IV. MA'!P15,0)</f>
      </c>
    </row>
    <row r="40">
      <c r="BR40" t="str">
        <f>=$BB$4</f>
      </c>
      <c r="BS40" t="str">
        <f>=$BD$4</f>
      </c>
      <c r="BT40" t="s">
        <v>211</v>
      </c>
      <c r="BU40" t="str">
        <f>=IFERROR('IV. MA'!O16,0)</f>
      </c>
      <c r="BV40" t="str">
        <f>=IFERROR('IV. MA'!P16,0)</f>
      </c>
    </row>
    <row r="41">
      <c r="BR41" t="str">
        <f>=$BB$4</f>
      </c>
      <c r="BS41" t="str">
        <f>=$BD$4</f>
      </c>
      <c r="BT41" t="s">
        <v>212</v>
      </c>
      <c r="BU41" t="str">
        <f>=IFERROR('IV. MA'!O17,0)</f>
      </c>
      <c r="BV41" t="str">
        <f>=IFERROR('IV. MA'!P17,0)</f>
      </c>
    </row>
    <row r="42">
      <c r="BR42" t="str">
        <f>=$BB$4</f>
      </c>
      <c r="BS42" t="str">
        <f>=$BD$4</f>
      </c>
      <c r="BT42" t="s">
        <v>194</v>
      </c>
      <c r="BU42" t="str">
        <f>=IFERROR('IV. MA'!O21,0)</f>
      </c>
      <c r="BV42" t="str">
        <f>=IFERROR('IV. MA'!P21,0)</f>
      </c>
    </row>
    <row r="43">
      <c r="BR43" t="str">
        <f>=$BB$4</f>
      </c>
      <c r="BS43" t="str">
        <f>=$BD$4</f>
      </c>
      <c r="BT43" t="s">
        <v>279</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206</v>
      </c>
      <c r="BU46" t="str">
        <f>=IFERROR('IV. MA'!S11,0)</f>
      </c>
      <c r="BV46" t="str">
        <f>=IFERROR('IV. MA'!T11,0)</f>
      </c>
    </row>
    <row r="47">
      <c r="BR47" t="str">
        <f>=$BB$5</f>
      </c>
      <c r="BS47" t="str">
        <f>=$BD$5</f>
      </c>
      <c r="BT47" t="s">
        <v>207</v>
      </c>
      <c r="BU47" t="str">
        <f>=IFERROR('IV. MA'!S12,0)</f>
      </c>
      <c r="BV47" t="str">
        <f>=IFERROR('IV. MA'!T12,0)</f>
      </c>
    </row>
    <row r="48">
      <c r="BR48" t="str">
        <f>=$BB$5</f>
      </c>
      <c r="BS48" t="str">
        <f>=$BD$5</f>
      </c>
      <c r="BT48" t="s">
        <v>208</v>
      </c>
      <c r="BU48" t="str">
        <f>=IFERROR('IV. MA'!S13,0)</f>
      </c>
      <c r="BV48" t="str">
        <f>=IFERROR('IV. MA'!T13,0)</f>
      </c>
    </row>
    <row r="49">
      <c r="BR49" t="str">
        <f>=$BB$5</f>
      </c>
      <c r="BS49" t="str">
        <f>=$BD$5</f>
      </c>
      <c r="BT49" t="s">
        <v>209</v>
      </c>
      <c r="BU49" t="str">
        <f>=IFERROR('IV. MA'!S14,0)</f>
      </c>
      <c r="BV49" t="str">
        <f>=IFERROR('IV. MA'!T14,0)</f>
      </c>
    </row>
    <row r="50">
      <c r="BR50" t="str">
        <f>=$BB$5</f>
      </c>
      <c r="BS50" t="str">
        <f>=$BD$5</f>
      </c>
      <c r="BT50" t="s">
        <v>210</v>
      </c>
      <c r="BU50" t="str">
        <f>=IFERROR('IV. MA'!S15,0)</f>
      </c>
      <c r="BV50" t="str">
        <f>=IFERROR('IV. MA'!T15,0)</f>
      </c>
    </row>
    <row r="51">
      <c r="BR51" t="str">
        <f>=$BB$5</f>
      </c>
      <c r="BS51" t="str">
        <f>=$BD$5</f>
      </c>
      <c r="BT51" t="s">
        <v>211</v>
      </c>
      <c r="BU51" t="str">
        <f>=IFERROR('IV. MA'!S16,0)</f>
      </c>
      <c r="BV51" t="str">
        <f>=IFERROR('IV. MA'!T16,0)</f>
      </c>
    </row>
    <row r="52">
      <c r="BR52" t="str">
        <f>=$BB$5</f>
      </c>
      <c r="BS52" t="str">
        <f>=$BD$5</f>
      </c>
      <c r="BT52" t="s">
        <v>212</v>
      </c>
      <c r="BU52" t="str">
        <f>=IFERROR('IV. MA'!S17,0)</f>
      </c>
      <c r="BV52" t="str">
        <f>=IFERROR('IV. MA'!T17,0)</f>
      </c>
    </row>
    <row r="53">
      <c r="BR53" t="str">
        <f>=$BB$5</f>
      </c>
      <c r="BS53" t="str">
        <f>=$BD$5</f>
      </c>
      <c r="BT53" t="s">
        <v>194</v>
      </c>
      <c r="BU53" t="str">
        <f>=IFERROR('IV. MA'!S21,0)</f>
      </c>
      <c r="BV53" t="str">
        <f>=IFERROR('IV. MA'!T21,0)</f>
      </c>
    </row>
    <row r="54">
      <c r="BR54" t="str">
        <f>=$BB$5</f>
      </c>
      <c r="BS54" t="str">
        <f>=$BD$5</f>
      </c>
      <c r="BT54" t="s">
        <v>279</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206</v>
      </c>
      <c r="BU57" t="str">
        <f>=IFERROR('IV. MA'!W11,0)</f>
      </c>
      <c r="BV57" t="str">
        <f>=IFERROR('IV. MA'!X11,0)</f>
      </c>
    </row>
    <row r="58">
      <c r="BR58" t="str">
        <f>=$BB$6</f>
      </c>
      <c r="BS58" t="str">
        <f>=$BD$6</f>
      </c>
      <c r="BT58" t="s">
        <v>207</v>
      </c>
      <c r="BU58" t="str">
        <f>=IFERROR('IV. MA'!W12,0)</f>
      </c>
      <c r="BV58" t="str">
        <f>=IFERROR('IV. MA'!X12,0)</f>
      </c>
    </row>
    <row r="59">
      <c r="BR59" t="str">
        <f>=$BB$6</f>
      </c>
      <c r="BS59" t="str">
        <f>=$BD$6</f>
      </c>
      <c r="BT59" t="s">
        <v>208</v>
      </c>
      <c r="BU59" t="str">
        <f>=IFERROR('IV. MA'!W13,0)</f>
      </c>
      <c r="BV59" t="str">
        <f>=IFERROR('IV. MA'!X13,0)</f>
      </c>
    </row>
    <row r="60">
      <c r="BR60" t="str">
        <f>=$BB$6</f>
      </c>
      <c r="BS60" t="str">
        <f>=$BD$6</f>
      </c>
      <c r="BT60" t="s">
        <v>209</v>
      </c>
      <c r="BU60" t="str">
        <f>=IFERROR('IV. MA'!W14,0)</f>
      </c>
      <c r="BV60" t="str">
        <f>=IFERROR('IV. MA'!X14,0)</f>
      </c>
    </row>
    <row r="61">
      <c r="BR61" t="str">
        <f>=$BB$6</f>
      </c>
      <c r="BS61" t="str">
        <f>=$BD$6</f>
      </c>
      <c r="BT61" t="s">
        <v>210</v>
      </c>
      <c r="BU61" t="str">
        <f>=IFERROR('IV. MA'!W15,0)</f>
      </c>
      <c r="BV61" t="str">
        <f>=IFERROR('IV. MA'!X15,0)</f>
      </c>
    </row>
    <row r="62">
      <c r="BR62" t="str">
        <f>=$BB$6</f>
      </c>
      <c r="BS62" t="str">
        <f>=$BD$6</f>
      </c>
      <c r="BT62" t="s">
        <v>211</v>
      </c>
      <c r="BU62" t="str">
        <f>=IFERROR('IV. MA'!W16,0)</f>
      </c>
      <c r="BV62" t="str">
        <f>=IFERROR('IV. MA'!X16,0)</f>
      </c>
    </row>
    <row r="63">
      <c r="BR63" t="str">
        <f>=$BB$6</f>
      </c>
      <c r="BS63" t="str">
        <f>=$BD$6</f>
      </c>
      <c r="BT63" t="s">
        <v>212</v>
      </c>
      <c r="BU63" t="str">
        <f>=IFERROR('IV. MA'!W17,0)</f>
      </c>
      <c r="BV63" t="str">
        <f>=IFERROR('IV. MA'!X17,0)</f>
      </c>
    </row>
    <row r="64">
      <c r="BR64" t="str">
        <f>=$BB$6</f>
      </c>
      <c r="BS64" t="str">
        <f>=$BD$6</f>
      </c>
      <c r="BT64" t="s">
        <v>194</v>
      </c>
      <c r="BU64" t="str">
        <f>=IFERROR('IV. MA'!W21,0)</f>
      </c>
      <c r="BV64" t="str">
        <f>=IFERROR('IV. MA'!X21,0)</f>
      </c>
    </row>
    <row r="65">
      <c r="BR65" t="str">
        <f>=$BB$6</f>
      </c>
      <c r="BS65" t="str">
        <f>=$BD$6</f>
      </c>
      <c r="BT65" t="s">
        <v>279</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206</v>
      </c>
      <c r="BU68" t="str">
        <f>=IFERROR('IV. MA'!AA11,0)</f>
      </c>
      <c r="BV68" t="str">
        <f>=IFERROR('IV. MA'!AB11,0)</f>
      </c>
    </row>
    <row r="69">
      <c r="BR69" t="str">
        <f>=$BB$7</f>
      </c>
      <c r="BS69" t="str">
        <f>=$BD$7</f>
      </c>
      <c r="BT69" t="s">
        <v>207</v>
      </c>
      <c r="BU69" t="str">
        <f>=IFERROR('IV. MA'!AA12,0)</f>
      </c>
      <c r="BV69" t="str">
        <f>=IFERROR('IV. MA'!AB12,0)</f>
      </c>
    </row>
    <row r="70">
      <c r="BR70" t="str">
        <f>=$BB$7</f>
      </c>
      <c r="BS70" t="str">
        <f>=$BD$7</f>
      </c>
      <c r="BT70" t="s">
        <v>208</v>
      </c>
      <c r="BU70" t="str">
        <f>=IFERROR('IV. MA'!AA13,0)</f>
      </c>
      <c r="BV70" t="str">
        <f>=IFERROR('IV. MA'!AB13,0)</f>
      </c>
    </row>
    <row r="71">
      <c r="BR71" t="str">
        <f>=$BB$7</f>
      </c>
      <c r="BS71" t="str">
        <f>=$BD$7</f>
      </c>
      <c r="BT71" t="s">
        <v>209</v>
      </c>
      <c r="BU71" t="str">
        <f>=IFERROR('IV. MA'!AA14,0)</f>
      </c>
      <c r="BV71" t="str">
        <f>=IFERROR('IV. MA'!AB14,0)</f>
      </c>
    </row>
    <row r="72">
      <c r="BR72" t="str">
        <f>=$BB$7</f>
      </c>
      <c r="BS72" t="str">
        <f>=$BD$7</f>
      </c>
      <c r="BT72" t="s">
        <v>210</v>
      </c>
      <c r="BU72" t="str">
        <f>=IFERROR('IV. MA'!AA15,0)</f>
      </c>
      <c r="BV72" t="str">
        <f>=IFERROR('IV. MA'!AB15,0)</f>
      </c>
    </row>
    <row r="73">
      <c r="BR73" t="str">
        <f>=$BB$7</f>
      </c>
      <c r="BS73" t="str">
        <f>=$BD$7</f>
      </c>
      <c r="BT73" t="s">
        <v>211</v>
      </c>
      <c r="BU73" t="str">
        <f>=IFERROR('IV. MA'!AA16,0)</f>
      </c>
      <c r="BV73" t="str">
        <f>=IFERROR('IV. MA'!AB16,0)</f>
      </c>
    </row>
    <row r="74">
      <c r="BR74" t="str">
        <f>=$BB$7</f>
      </c>
      <c r="BS74" t="str">
        <f>=$BD$7</f>
      </c>
      <c r="BT74" t="s">
        <v>212</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279</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206</v>
      </c>
      <c r="BU79" t="str">
        <f>=IFERROR('IV. MA'!AE11,0)</f>
      </c>
      <c r="BV79" t="str">
        <f>=IFERROR('IV. MA'!AF11,0)</f>
      </c>
    </row>
    <row r="80">
      <c r="BR80" t="str">
        <f>=$BB$8</f>
      </c>
      <c r="BS80" t="str">
        <f>=$BD$8</f>
      </c>
      <c r="BT80" t="s">
        <v>207</v>
      </c>
      <c r="BU80" t="str">
        <f>=IFERROR('IV. MA'!AE12,0)</f>
      </c>
      <c r="BV80" t="str">
        <f>=IFERROR('IV. MA'!AF12,0)</f>
      </c>
    </row>
    <row r="81">
      <c r="BR81" t="str">
        <f>=$BB$8</f>
      </c>
      <c r="BS81" t="str">
        <f>=$BD$8</f>
      </c>
      <c r="BT81" t="s">
        <v>208</v>
      </c>
      <c r="BU81" t="str">
        <f>=IFERROR('IV. MA'!AE13,0)</f>
      </c>
      <c r="BV81" t="str">
        <f>=IFERROR('IV. MA'!AF13,0)</f>
      </c>
    </row>
    <row r="82">
      <c r="BR82" t="str">
        <f>=$BB$8</f>
      </c>
      <c r="BS82" t="str">
        <f>=$BD$8</f>
      </c>
      <c r="BT82" t="s">
        <v>209</v>
      </c>
      <c r="BU82" t="str">
        <f>=IFERROR('IV. MA'!AE14,0)</f>
      </c>
      <c r="BV82" t="str">
        <f>=IFERROR('IV. MA'!AF14,0)</f>
      </c>
    </row>
    <row r="83">
      <c r="BR83" t="str">
        <f>=$BB$8</f>
      </c>
      <c r="BS83" t="str">
        <f>=$BD$8</f>
      </c>
      <c r="BT83" t="s">
        <v>210</v>
      </c>
      <c r="BU83" t="str">
        <f>=IFERROR('IV. MA'!AE15,0)</f>
      </c>
      <c r="BV83" t="str">
        <f>=IFERROR('IV. MA'!AF15,0)</f>
      </c>
    </row>
    <row r="84">
      <c r="BR84" t="str">
        <f>=$BB$8</f>
      </c>
      <c r="BS84" t="str">
        <f>=$BD$8</f>
      </c>
      <c r="BT84" t="s">
        <v>211</v>
      </c>
      <c r="BU84" t="str">
        <f>=IFERROR('IV. MA'!AE16,0)</f>
      </c>
      <c r="BV84" t="str">
        <f>=IFERROR('IV. MA'!AF16,0)</f>
      </c>
    </row>
    <row r="85">
      <c r="BR85" t="str">
        <f>=$BB$8</f>
      </c>
      <c r="BS85" t="str">
        <f>=$BD$8</f>
      </c>
      <c r="BT85" t="s">
        <v>212</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279</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206</v>
      </c>
      <c r="BU90" t="str">
        <f>=IFERROR('IV. MA'!AI11,0)</f>
      </c>
      <c r="BV90" t="str">
        <f>=IFERROR('IV. MA'!AJ11,0)</f>
      </c>
    </row>
    <row r="91">
      <c r="BR91" t="str">
        <f>=$BB$9</f>
      </c>
      <c r="BS91" t="str">
        <f>=$BD$9</f>
      </c>
      <c r="BT91" t="s">
        <v>207</v>
      </c>
      <c r="BU91" t="str">
        <f>=IFERROR('IV. MA'!AI12,0)</f>
      </c>
      <c r="BV91" t="str">
        <f>=IFERROR('IV. MA'!AJ12,0)</f>
      </c>
    </row>
    <row r="92">
      <c r="BR92" t="str">
        <f>=$BB$9</f>
      </c>
      <c r="BS92" t="str">
        <f>=$BD$9</f>
      </c>
      <c r="BT92" t="s">
        <v>208</v>
      </c>
      <c r="BU92" t="str">
        <f>=IFERROR('IV. MA'!AI13,0)</f>
      </c>
      <c r="BV92" t="str">
        <f>=IFERROR('IV. MA'!AJ13,0)</f>
      </c>
    </row>
    <row r="93">
      <c r="BR93" t="str">
        <f>=$BB$9</f>
      </c>
      <c r="BS93" t="str">
        <f>=$BD$9</f>
      </c>
      <c r="BT93" t="s">
        <v>209</v>
      </c>
      <c r="BU93" t="str">
        <f>=IFERROR('IV. MA'!AI14,0)</f>
      </c>
      <c r="BV93" t="str">
        <f>=IFERROR('IV. MA'!AJ14,0)</f>
      </c>
    </row>
    <row r="94">
      <c r="BR94" t="str">
        <f>=$BB$9</f>
      </c>
      <c r="BS94" t="str">
        <f>=$BD$9</f>
      </c>
      <c r="BT94" t="s">
        <v>210</v>
      </c>
      <c r="BU94" t="str">
        <f>=IFERROR('IV. MA'!AI15,0)</f>
      </c>
      <c r="BV94" t="str">
        <f>=IFERROR('IV. MA'!AJ15,0)</f>
      </c>
    </row>
    <row r="95">
      <c r="BR95" t="str">
        <f>=$BB$9</f>
      </c>
      <c r="BS95" t="str">
        <f>=$BD$9</f>
      </c>
      <c r="BT95" t="s">
        <v>211</v>
      </c>
      <c r="BU95" t="str">
        <f>=IFERROR('IV. MA'!AI16,0)</f>
      </c>
      <c r="BV95" t="str">
        <f>=IFERROR('IV. MA'!AJ16,0)</f>
      </c>
    </row>
    <row r="96">
      <c r="BR96" t="str">
        <f>=$BB$9</f>
      </c>
      <c r="BS96" t="str">
        <f>=$BD$9</f>
      </c>
      <c r="BT96" t="s">
        <v>212</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279</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206</v>
      </c>
      <c r="BU101" t="str">
        <f>=IFERROR('IV. MA'!AM11,0)</f>
      </c>
      <c r="BV101" t="str">
        <f>=IFERROR('IV. MA'!AN11,0)</f>
      </c>
    </row>
    <row r="102">
      <c r="BR102" t="str">
        <f>=$BB$10</f>
      </c>
      <c r="BS102" t="str">
        <f>=$BD$10</f>
      </c>
      <c r="BT102" t="s">
        <v>207</v>
      </c>
      <c r="BU102" t="str">
        <f>=IFERROR('IV. MA'!AM12,0)</f>
      </c>
      <c r="BV102" t="str">
        <f>=IFERROR('IV. MA'!AN12,0)</f>
      </c>
    </row>
    <row r="103">
      <c r="BR103" t="str">
        <f>=$BB$10</f>
      </c>
      <c r="BS103" t="str">
        <f>=$BD$10</f>
      </c>
      <c r="BT103" t="s">
        <v>208</v>
      </c>
      <c r="BU103" t="str">
        <f>=IFERROR('IV. MA'!AM13,0)</f>
      </c>
      <c r="BV103" t="str">
        <f>=IFERROR('IV. MA'!AN13,0)</f>
      </c>
    </row>
    <row r="104">
      <c r="BR104" t="str">
        <f>=$BB$10</f>
      </c>
      <c r="BS104" t="str">
        <f>=$BD$10</f>
      </c>
      <c r="BT104" t="s">
        <v>209</v>
      </c>
      <c r="BU104" t="str">
        <f>=IFERROR('IV. MA'!AM14,0)</f>
      </c>
      <c r="BV104" t="str">
        <f>=IFERROR('IV. MA'!AN14,0)</f>
      </c>
    </row>
    <row r="105">
      <c r="BR105" t="str">
        <f>=$BB$10</f>
      </c>
      <c r="BS105" t="str">
        <f>=$BD$10</f>
      </c>
      <c r="BT105" t="s">
        <v>210</v>
      </c>
      <c r="BU105" t="str">
        <f>=IFERROR('IV. MA'!AM15,0)</f>
      </c>
      <c r="BV105" t="str">
        <f>=IFERROR('IV. MA'!AN15,0)</f>
      </c>
    </row>
    <row r="106">
      <c r="BR106" t="str">
        <f>=$BB$10</f>
      </c>
      <c r="BS106" t="str">
        <f>=$BD$10</f>
      </c>
      <c r="BT106" t="s">
        <v>211</v>
      </c>
      <c r="BU106" t="str">
        <f>=IFERROR('IV. MA'!AM16,0)</f>
      </c>
      <c r="BV106" t="str">
        <f>=IFERROR('IV. MA'!AN16,0)</f>
      </c>
    </row>
    <row r="107">
      <c r="BR107" t="str">
        <f>=$BB$10</f>
      </c>
      <c r="BS107" t="str">
        <f>=$BD$10</f>
      </c>
      <c r="BT107" t="s">
        <v>212</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279</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206</v>
      </c>
      <c r="BU112" t="str">
        <f>=IFERROR('IV. MA'!AQ11,0)</f>
      </c>
      <c r="BV112" t="str">
        <f>=IFERROR('IV. MA'!AR11,0)</f>
      </c>
    </row>
    <row r="113">
      <c r="BR113" t="str">
        <f>=$BB$11</f>
      </c>
      <c r="BS113" t="str">
        <f>=$BD$11</f>
      </c>
      <c r="BT113" t="s">
        <v>207</v>
      </c>
      <c r="BU113" t="str">
        <f>=IFERROR('IV. MA'!AQ12,0)</f>
      </c>
      <c r="BV113" t="str">
        <f>=IFERROR('IV. MA'!AR12,0)</f>
      </c>
    </row>
    <row r="114">
      <c r="BR114" t="str">
        <f>=$BB$11</f>
      </c>
      <c r="BS114" t="str">
        <f>=$BD$11</f>
      </c>
      <c r="BT114" t="s">
        <v>208</v>
      </c>
      <c r="BU114" t="str">
        <f>=IFERROR('IV. MA'!AQ13,0)</f>
      </c>
      <c r="BV114" t="str">
        <f>=IFERROR('IV. MA'!AR13,0)</f>
      </c>
    </row>
    <row r="115">
      <c r="BR115" t="str">
        <f>=$BB$11</f>
      </c>
      <c r="BS115" t="str">
        <f>=$BD$11</f>
      </c>
      <c r="BT115" t="s">
        <v>209</v>
      </c>
      <c r="BU115" t="str">
        <f>=IFERROR('IV. MA'!AQ14,0)</f>
      </c>
      <c r="BV115" t="str">
        <f>=IFERROR('IV. MA'!AR14,0)</f>
      </c>
    </row>
    <row r="116">
      <c r="BR116" t="str">
        <f>=$BB$11</f>
      </c>
      <c r="BS116" t="str">
        <f>=$BD$11</f>
      </c>
      <c r="BT116" t="s">
        <v>210</v>
      </c>
      <c r="BU116" t="str">
        <f>=IFERROR('IV. MA'!AQ15,0)</f>
      </c>
      <c r="BV116" t="str">
        <f>=IFERROR('IV. MA'!AR15,0)</f>
      </c>
    </row>
    <row r="117">
      <c r="BR117" t="str">
        <f>=$BB$11</f>
      </c>
      <c r="BS117" t="str">
        <f>=$BD$11</f>
      </c>
      <c r="BT117" t="s">
        <v>211</v>
      </c>
      <c r="BU117" t="str">
        <f>=IFERROR('IV. MA'!AQ16,0)</f>
      </c>
      <c r="BV117" t="str">
        <f>=IFERROR('IV. MA'!AR16,0)</f>
      </c>
    </row>
    <row r="118">
      <c r="BR118" t="str">
        <f>=$BB$11</f>
      </c>
      <c r="BS118" t="str">
        <f>=$BD$11</f>
      </c>
      <c r="BT118" t="s">
        <v>212</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279</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206</v>
      </c>
      <c r="BU123" t="str">
        <f>=IFERROR('IV. MA'!AU11,0)</f>
      </c>
      <c r="BV123" t="str">
        <f>=IFERROR('IV. MA'!AV11,0)</f>
      </c>
    </row>
    <row r="124">
      <c r="BR124" t="str">
        <f>=$BB$12</f>
      </c>
      <c r="BS124" t="str">
        <f>=$BD$12</f>
      </c>
      <c r="BT124" t="s">
        <v>207</v>
      </c>
      <c r="BU124" t="str">
        <f>=IFERROR('IV. MA'!AU12,0)</f>
      </c>
      <c r="BV124" t="str">
        <f>=IFERROR('IV. MA'!AV12,0)</f>
      </c>
    </row>
    <row r="125">
      <c r="BR125" t="str">
        <f>=$BB$12</f>
      </c>
      <c r="BS125" t="str">
        <f>=$BD$12</f>
      </c>
      <c r="BT125" t="s">
        <v>208</v>
      </c>
      <c r="BU125" t="str">
        <f>=IFERROR('IV. MA'!AU13,0)</f>
      </c>
      <c r="BV125" t="str">
        <f>=IFERROR('IV. MA'!AV13,0)</f>
      </c>
    </row>
    <row r="126">
      <c r="BR126" t="str">
        <f>=$BB$12</f>
      </c>
      <c r="BS126" t="str">
        <f>=$BD$12</f>
      </c>
      <c r="BT126" t="s">
        <v>209</v>
      </c>
      <c r="BU126" t="str">
        <f>=IFERROR('IV. MA'!AU14,0)</f>
      </c>
      <c r="BV126" t="str">
        <f>=IFERROR('IV. MA'!AV14,0)</f>
      </c>
    </row>
    <row r="127">
      <c r="BR127" t="str">
        <f>=$BB$12</f>
      </c>
      <c r="BS127" t="str">
        <f>=$BD$12</f>
      </c>
      <c r="BT127" t="s">
        <v>210</v>
      </c>
      <c r="BU127" t="str">
        <f>=IFERROR('IV. MA'!AU15,0)</f>
      </c>
      <c r="BV127" t="str">
        <f>=IFERROR('IV. MA'!AV15,0)</f>
      </c>
    </row>
    <row r="128">
      <c r="BR128" t="str">
        <f>=$BB$12</f>
      </c>
      <c r="BS128" t="str">
        <f>=$BD$12</f>
      </c>
      <c r="BT128" t="s">
        <v>211</v>
      </c>
      <c r="BU128" t="str">
        <f>=IFERROR('IV. MA'!AU16,0)</f>
      </c>
      <c r="BV128" t="str">
        <f>=IFERROR('IV. MA'!AV16,0)</f>
      </c>
    </row>
    <row r="129">
      <c r="BR129" t="str">
        <f>=$BB$12</f>
      </c>
      <c r="BS129" t="str">
        <f>=$BD$12</f>
      </c>
      <c r="BT129" t="s">
        <v>212</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279</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206</v>
      </c>
      <c r="BU134" t="str">
        <f>=IFERROR('IV. MA'!AY11,0)</f>
      </c>
      <c r="BV134" t="str">
        <f>=IFERROR('IV. MA'!AZ11,0)</f>
      </c>
    </row>
    <row r="135">
      <c r="BR135" t="str">
        <f>=$BB$13</f>
      </c>
      <c r="BS135" t="str">
        <f>=$BD$13</f>
      </c>
      <c r="BT135" t="s">
        <v>207</v>
      </c>
      <c r="BU135" t="str">
        <f>=IFERROR('IV. MA'!AY12,0)</f>
      </c>
      <c r="BV135" t="str">
        <f>=IFERROR('IV. MA'!AZ12,0)</f>
      </c>
    </row>
    <row r="136">
      <c r="BR136" t="str">
        <f>=$BB$13</f>
      </c>
      <c r="BS136" t="str">
        <f>=$BD$13</f>
      </c>
      <c r="BT136" t="s">
        <v>208</v>
      </c>
      <c r="BU136" t="str">
        <f>=IFERROR('IV. MA'!AY13,0)</f>
      </c>
      <c r="BV136" t="str">
        <f>=IFERROR('IV. MA'!AZ13,0)</f>
      </c>
    </row>
    <row r="137">
      <c r="BR137" t="str">
        <f>=$BB$13</f>
      </c>
      <c r="BS137" t="str">
        <f>=$BD$13</f>
      </c>
      <c r="BT137" t="s">
        <v>209</v>
      </c>
      <c r="BU137" t="str">
        <f>=IFERROR('IV. MA'!AY14,0)</f>
      </c>
      <c r="BV137" t="str">
        <f>=IFERROR('IV. MA'!AZ14,0)</f>
      </c>
    </row>
    <row r="138">
      <c r="BR138" t="str">
        <f>=$BB$13</f>
      </c>
      <c r="BS138" t="str">
        <f>=$BD$13</f>
      </c>
      <c r="BT138" t="s">
        <v>210</v>
      </c>
      <c r="BU138" t="str">
        <f>=IFERROR('IV. MA'!AY15,0)</f>
      </c>
      <c r="BV138" t="str">
        <f>=IFERROR('IV. MA'!AZ15,0)</f>
      </c>
    </row>
    <row r="139">
      <c r="BR139" t="str">
        <f>=$BB$13</f>
      </c>
      <c r="BS139" t="str">
        <f>=$BD$13</f>
      </c>
      <c r="BT139" t="s">
        <v>211</v>
      </c>
      <c r="BU139" t="str">
        <f>=IFERROR('IV. MA'!AY16,0)</f>
      </c>
      <c r="BV139" t="str">
        <f>=IFERROR('IV. MA'!AZ16,0)</f>
      </c>
    </row>
    <row r="140">
      <c r="BR140" t="str">
        <f>=$BB$13</f>
      </c>
      <c r="BS140" t="str">
        <f>=$BD$13</f>
      </c>
      <c r="BT140" t="s">
        <v>212</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279</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206</v>
      </c>
      <c r="BU145" t="str">
        <f>=IFERROR('IV. MA'!BC11,0)</f>
      </c>
      <c r="BV145" t="str">
        <f>=IFERROR('IV. MA'!BD11,0)</f>
      </c>
    </row>
    <row r="146">
      <c r="BR146" t="str">
        <f>=$BB$14</f>
      </c>
      <c r="BS146" t="str">
        <f>=$BD$14</f>
      </c>
      <c r="BT146" t="s">
        <v>207</v>
      </c>
      <c r="BU146" t="str">
        <f>=IFERROR('IV. MA'!BC12,0)</f>
      </c>
      <c r="BV146" t="str">
        <f>=IFERROR('IV. MA'!BD12,0)</f>
      </c>
    </row>
    <row r="147">
      <c r="BR147" t="str">
        <f>=$BB$14</f>
      </c>
      <c r="BS147" t="str">
        <f>=$BD$14</f>
      </c>
      <c r="BT147" t="s">
        <v>208</v>
      </c>
      <c r="BU147" t="str">
        <f>=IFERROR('IV. MA'!BC13,0)</f>
      </c>
      <c r="BV147" t="str">
        <f>=IFERROR('IV. MA'!BD13,0)</f>
      </c>
    </row>
    <row r="148">
      <c r="BR148" t="str">
        <f>=$BB$14</f>
      </c>
      <c r="BS148" t="str">
        <f>=$BD$14</f>
      </c>
      <c r="BT148" t="s">
        <v>209</v>
      </c>
      <c r="BU148" t="str">
        <f>=IFERROR('IV. MA'!BC14,0)</f>
      </c>
      <c r="BV148" t="str">
        <f>=IFERROR('IV. MA'!BD14,0)</f>
      </c>
    </row>
    <row r="149">
      <c r="BR149" t="str">
        <f>=$BB$14</f>
      </c>
      <c r="BS149" t="str">
        <f>=$BD$14</f>
      </c>
      <c r="BT149" t="s">
        <v>210</v>
      </c>
      <c r="BU149" t="str">
        <f>=IFERROR('IV. MA'!BC15,0)</f>
      </c>
      <c r="BV149" t="str">
        <f>=IFERROR('IV. MA'!BD15,0)</f>
      </c>
    </row>
    <row r="150">
      <c r="BR150" t="str">
        <f>=$BB$14</f>
      </c>
      <c r="BS150" t="str">
        <f>=$BD$14</f>
      </c>
      <c r="BT150" t="s">
        <v>211</v>
      </c>
      <c r="BU150" t="str">
        <f>=IFERROR('IV. MA'!BC16,0)</f>
      </c>
      <c r="BV150" t="str">
        <f>=IFERROR('IV. MA'!BD16,0)</f>
      </c>
    </row>
    <row r="151">
      <c r="BR151" t="str">
        <f>=$BB$14</f>
      </c>
      <c r="BS151" t="str">
        <f>=$BD$14</f>
      </c>
      <c r="BT151" t="s">
        <v>212</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279</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206</v>
      </c>
      <c r="BU156" t="str">
        <f>=IFERROR('IV. MA'!BG11,0)</f>
      </c>
      <c r="BV156" t="str">
        <f>=IFERROR('IV. MA'!BH11,0)</f>
      </c>
    </row>
    <row r="157">
      <c r="BR157" t="str">
        <f>=$BB$15</f>
      </c>
      <c r="BS157" t="str">
        <f>=$BD$15</f>
      </c>
      <c r="BT157" t="s">
        <v>207</v>
      </c>
      <c r="BU157" t="str">
        <f>=IFERROR('IV. MA'!BG12,0)</f>
      </c>
      <c r="BV157" t="str">
        <f>=IFERROR('IV. MA'!BH12,0)</f>
      </c>
    </row>
    <row r="158">
      <c r="BR158" t="str">
        <f>=$BB$15</f>
      </c>
      <c r="BS158" t="str">
        <f>=$BD$15</f>
      </c>
      <c r="BT158" t="s">
        <v>208</v>
      </c>
      <c r="BU158" t="str">
        <f>=IFERROR('IV. MA'!BG13,0)</f>
      </c>
      <c r="BV158" t="str">
        <f>=IFERROR('IV. MA'!BH13,0)</f>
      </c>
    </row>
    <row r="159">
      <c r="BR159" t="str">
        <f>=$BB$15</f>
      </c>
      <c r="BS159" t="str">
        <f>=$BD$15</f>
      </c>
      <c r="BT159" t="s">
        <v>209</v>
      </c>
      <c r="BU159" t="str">
        <f>=IFERROR('IV. MA'!BG14,0)</f>
      </c>
      <c r="BV159" t="str">
        <f>=IFERROR('IV. MA'!BH14,0)</f>
      </c>
    </row>
    <row r="160">
      <c r="BR160" t="str">
        <f>=$BB$15</f>
      </c>
      <c r="BS160" t="str">
        <f>=$BD$15</f>
      </c>
      <c r="BT160" t="s">
        <v>210</v>
      </c>
      <c r="BU160" t="str">
        <f>=IFERROR('IV. MA'!BG15,0)</f>
      </c>
      <c r="BV160" t="str">
        <f>=IFERROR('IV. MA'!BH15,0)</f>
      </c>
    </row>
    <row r="161">
      <c r="BR161" t="str">
        <f>=$BB$15</f>
      </c>
      <c r="BS161" t="str">
        <f>=$BD$15</f>
      </c>
      <c r="BT161" t="s">
        <v>211</v>
      </c>
      <c r="BU161" t="str">
        <f>=IFERROR('IV. MA'!BG16,0)</f>
      </c>
      <c r="BV161" t="str">
        <f>=IFERROR('IV. MA'!BH16,0)</f>
      </c>
    </row>
    <row r="162">
      <c r="BR162" t="str">
        <f>=$BB$15</f>
      </c>
      <c r="BS162" t="str">
        <f>=$BD$15</f>
      </c>
      <c r="BT162" t="s">
        <v>212</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279</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206</v>
      </c>
      <c r="BU167" t="str">
        <f>=IFERROR('IV. MA'!BK11,0)</f>
      </c>
      <c r="BV167" t="str">
        <f>=IFERROR('IV. MA'!BL11,0)</f>
      </c>
    </row>
    <row r="168">
      <c r="BR168" t="str">
        <f>=$BB$16</f>
      </c>
      <c r="BS168" t="str">
        <f>=$BD$16</f>
      </c>
      <c r="BT168" t="s">
        <v>207</v>
      </c>
      <c r="BU168" t="str">
        <f>=IFERROR('IV. MA'!BK12,0)</f>
      </c>
      <c r="BV168" t="str">
        <f>=IFERROR('IV. MA'!BL12,0)</f>
      </c>
    </row>
    <row r="169">
      <c r="BR169" t="str">
        <f>=$BB$16</f>
      </c>
      <c r="BS169" t="str">
        <f>=$BD$16</f>
      </c>
      <c r="BT169" t="s">
        <v>208</v>
      </c>
      <c r="BU169" t="str">
        <f>=IFERROR('IV. MA'!BK13,0)</f>
      </c>
      <c r="BV169" t="str">
        <f>=IFERROR('IV. MA'!BL13,0)</f>
      </c>
    </row>
    <row r="170">
      <c r="BR170" t="str">
        <f>=$BB$16</f>
      </c>
      <c r="BS170" t="str">
        <f>=$BD$16</f>
      </c>
      <c r="BT170" t="s">
        <v>209</v>
      </c>
      <c r="BU170" t="str">
        <f>=IFERROR('IV. MA'!BK14,0)</f>
      </c>
      <c r="BV170" t="str">
        <f>=IFERROR('IV. MA'!BL14,0)</f>
      </c>
    </row>
    <row r="171">
      <c r="BR171" t="str">
        <f>=$BB$16</f>
      </c>
      <c r="BS171" t="str">
        <f>=$BD$16</f>
      </c>
      <c r="BT171" t="s">
        <v>210</v>
      </c>
      <c r="BU171" t="str">
        <f>=IFERROR('IV. MA'!BK15,0)</f>
      </c>
      <c r="BV171" t="str">
        <f>=IFERROR('IV. MA'!BL15,0)</f>
      </c>
    </row>
    <row r="172">
      <c r="BR172" t="str">
        <f>=$BB$16</f>
      </c>
      <c r="BS172" t="str">
        <f>=$BD$16</f>
      </c>
      <c r="BT172" t="s">
        <v>211</v>
      </c>
      <c r="BU172" t="str">
        <f>=IFERROR('IV. MA'!BK16,0)</f>
      </c>
      <c r="BV172" t="str">
        <f>=IFERROR('IV. MA'!BL16,0)</f>
      </c>
    </row>
    <row r="173">
      <c r="BR173" t="str">
        <f>=$BB$16</f>
      </c>
      <c r="BS173" t="str">
        <f>=$BD$16</f>
      </c>
      <c r="BT173" t="s">
        <v>212</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279</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206</v>
      </c>
      <c r="BU178" t="str">
        <f>=IFERROR('IV. MA'!BO11,0)</f>
      </c>
      <c r="BV178" t="str">
        <f>=IFERROR('IV. MA'!BP11,0)</f>
      </c>
    </row>
    <row r="179">
      <c r="BR179" t="str">
        <f>=$BB$17</f>
      </c>
      <c r="BS179" t="str">
        <f>=$BD$17</f>
      </c>
      <c r="BT179" t="s">
        <v>207</v>
      </c>
      <c r="BU179" t="str">
        <f>=IFERROR('IV. MA'!BO12,0)</f>
      </c>
      <c r="BV179" t="str">
        <f>=IFERROR('IV. MA'!BP12,0)</f>
      </c>
    </row>
    <row r="180">
      <c r="BR180" t="str">
        <f>=$BB$17</f>
      </c>
      <c r="BS180" t="str">
        <f>=$BD$17</f>
      </c>
      <c r="BT180" t="s">
        <v>208</v>
      </c>
      <c r="BU180" t="str">
        <f>=IFERROR('IV. MA'!BO13,0)</f>
      </c>
      <c r="BV180" t="str">
        <f>=IFERROR('IV. MA'!BP13,0)</f>
      </c>
    </row>
    <row r="181">
      <c r="BR181" t="str">
        <f>=$BB$17</f>
      </c>
      <c r="BS181" t="str">
        <f>=$BD$17</f>
      </c>
      <c r="BT181" t="s">
        <v>209</v>
      </c>
      <c r="BU181" t="str">
        <f>=IFERROR('IV. MA'!BO14,0)</f>
      </c>
      <c r="BV181" t="str">
        <f>=IFERROR('IV. MA'!BP14,0)</f>
      </c>
    </row>
    <row r="182">
      <c r="BR182" t="str">
        <f>=$BB$17</f>
      </c>
      <c r="BS182" t="str">
        <f>=$BD$17</f>
      </c>
      <c r="BT182" t="s">
        <v>210</v>
      </c>
      <c r="BU182" t="str">
        <f>=IFERROR('IV. MA'!BO15,0)</f>
      </c>
      <c r="BV182" t="str">
        <f>=IFERROR('IV. MA'!BP15,0)</f>
      </c>
    </row>
    <row r="183">
      <c r="BR183" t="str">
        <f>=$BB$17</f>
      </c>
      <c r="BS183" t="str">
        <f>=$BD$17</f>
      </c>
      <c r="BT183" t="s">
        <v>211</v>
      </c>
      <c r="BU183" t="str">
        <f>=IFERROR('IV. MA'!BO16,0)</f>
      </c>
      <c r="BV183" t="str">
        <f>=IFERROR('IV. MA'!BP16,0)</f>
      </c>
    </row>
    <row r="184">
      <c r="BR184" t="str">
        <f>=$BB$17</f>
      </c>
      <c r="BS184" t="str">
        <f>=$BD$17</f>
      </c>
      <c r="BT184" t="s">
        <v>212</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279</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206</v>
      </c>
      <c r="BU189" t="str">
        <f>=IFERROR('IV. MA'!BS11,0)</f>
      </c>
      <c r="BV189" t="str">
        <f>=IFERROR('IV. MA'!BT11,0)</f>
      </c>
    </row>
    <row r="190">
      <c r="BR190" t="str">
        <f>=$BB$18</f>
      </c>
      <c r="BS190" t="str">
        <f>=$BD$18</f>
      </c>
      <c r="BT190" t="s">
        <v>207</v>
      </c>
      <c r="BU190" t="str">
        <f>=IFERROR('IV. MA'!BS12,0)</f>
      </c>
      <c r="BV190" t="str">
        <f>=IFERROR('IV. MA'!BT12,0)</f>
      </c>
    </row>
    <row r="191">
      <c r="BR191" t="str">
        <f>=$BB$18</f>
      </c>
      <c r="BS191" t="str">
        <f>=$BD$18</f>
      </c>
      <c r="BT191" t="s">
        <v>208</v>
      </c>
      <c r="BU191" t="str">
        <f>=IFERROR('IV. MA'!BS13,0)</f>
      </c>
      <c r="BV191" t="str">
        <f>=IFERROR('IV. MA'!BT13,0)</f>
      </c>
    </row>
    <row r="192">
      <c r="BR192" t="str">
        <f>=$BB$18</f>
      </c>
      <c r="BS192" t="str">
        <f>=$BD$18</f>
      </c>
      <c r="BT192" t="s">
        <v>209</v>
      </c>
      <c r="BU192" t="str">
        <f>=IFERROR('IV. MA'!BS14,0)</f>
      </c>
      <c r="BV192" t="str">
        <f>=IFERROR('IV. MA'!BT14,0)</f>
      </c>
    </row>
    <row r="193">
      <c r="BR193" t="str">
        <f>=$BB$18</f>
      </c>
      <c r="BS193" t="str">
        <f>=$BD$18</f>
      </c>
      <c r="BT193" t="s">
        <v>210</v>
      </c>
      <c r="BU193" t="str">
        <f>=IFERROR('IV. MA'!BS15,0)</f>
      </c>
      <c r="BV193" t="str">
        <f>=IFERROR('IV. MA'!BT15,0)</f>
      </c>
    </row>
    <row r="194">
      <c r="BR194" t="str">
        <f>=$BB$18</f>
      </c>
      <c r="BS194" t="str">
        <f>=$BD$18</f>
      </c>
      <c r="BT194" t="s">
        <v>211</v>
      </c>
      <c r="BU194" t="str">
        <f>=IFERROR('IV. MA'!BS16,0)</f>
      </c>
      <c r="BV194" t="str">
        <f>=IFERROR('IV. MA'!BT16,0)</f>
      </c>
    </row>
    <row r="195">
      <c r="BR195" t="str">
        <f>=$BB$18</f>
      </c>
      <c r="BS195" t="str">
        <f>=$BD$18</f>
      </c>
      <c r="BT195" t="s">
        <v>212</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279</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