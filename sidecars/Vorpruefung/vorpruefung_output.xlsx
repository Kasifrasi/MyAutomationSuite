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 name="FB_Kurs_1">'I. Budget'!$C$7</definedName>
    <definedName name="FB_SaldoLC_1">'I. Budget'!$C$29</definedName>
    <definedName name="FB_SaldoEUR_1">'I. Budget'!$D$29</definedName>
    <definedName name="FB_Kurs_2">'I. Budget'!$J$7</definedName>
    <definedName name="FB_SaldoLC_2">'I. Budget'!$J$29</definedName>
    <definedName name="FB_SaldoEUR_2">'I. Budget'!$K$29</definedName>
    <definedName name="FB_Kurs_3">'I. Budget'!$Q$7</definedName>
    <definedName name="FB_SaldoLC_3">'I. Budget'!$Q$29</definedName>
    <definedName name="FB_SaldoEUR_3">'I. Budget'!$R$29</definedName>
    <definedName name="FB_Kurs_4">'I. Budget'!$X$7</definedName>
    <definedName name="FB_SaldoLC_4">'I. Budget'!$X$29</definedName>
    <definedName name="FB_SaldoEUR_4">'I. Budget'!$Y$29</definedName>
    <definedName name="FB_Kurs_5">'I. Budget'!$AE$7</definedName>
    <definedName name="FB_SaldoLC_5">'I. Budget'!$AE$29</definedName>
    <definedName name="FB_SaldoEUR_5">'I. Budget'!$AF$29</definedName>
    <definedName name="FB_Kurs_6">'I. Budget'!$AL$7</definedName>
    <definedName name="FB_SaldoLC_6">'I. Budget'!$AL$29</definedName>
    <definedName name="FB_SaldoEUR_6">'I. Budget'!$AM$29</definedName>
    <definedName name="FB_Kurs_7">'I. Budget'!$AS$7</definedName>
    <definedName name="FB_SaldoLC_7">'I. Budget'!$AS$29</definedName>
    <definedName name="FB_SaldoEUR_7">'I. Budget'!$AT$29</definedName>
    <definedName name="FB_Kurs_8">'I. Budget'!$AZ$7</definedName>
    <definedName name="FB_SaldoLC_8">'I. Budget'!$AZ$29</definedName>
    <definedName name="FB_SaldoEUR_8">'I. Budget'!$BA$29</definedName>
    <definedName name="FB_Kurs_9">'I. Budget'!$BG$7</definedName>
    <definedName name="FB_SaldoLC_9">'I. Budget'!$BG$29</definedName>
    <definedName name="FB_SaldoEUR_9">'I. Budget'!$BH$29</definedName>
    <definedName name="FB_Kurs_10">'I. Budget'!$BN$7</definedName>
    <definedName name="FB_SaldoLC_10">'I. Budget'!$BN$29</definedName>
    <definedName name="FB_SaldoEUR_10">'I. Budget'!$BO$29</definedName>
    <definedName name="FB_Kurs_11">'I. Budget'!$BU$7</definedName>
    <definedName name="FB_SaldoLC_11">'I. Budget'!$BU$29</definedName>
    <definedName name="FB_SaldoEUR_11">'I. Budget'!$BV$29</definedName>
    <definedName name="FB_Kurs_12">'I. Budget'!$CB$7</definedName>
    <definedName name="FB_SaldoLC_12">'I. Budget'!$CB$29</definedName>
    <definedName name="FB_SaldoEUR_12">'I. Budget'!$CC$29</definedName>
    <definedName name="FB_Kurs_13">'I. Budget'!$CI$7</definedName>
    <definedName name="FB_SaldoLC_13">'I. Budget'!$CI$29</definedName>
    <definedName name="FB_SaldoEUR_13">'I. Budget'!$CJ$29</definedName>
    <definedName name="FB_Kurs_14">'I. Budget'!$CP$7</definedName>
    <definedName name="FB_SaldoLC_14">'I. Budget'!$CP$29</definedName>
    <definedName name="FB_SaldoEUR_14">'I. Budget'!$CQ$29</definedName>
    <definedName name="FB_Kurs_15">'I. Budget'!$CW$7</definedName>
    <definedName name="FB_SaldoLC_15">'I. Budget'!$CW$29</definedName>
    <definedName name="FB_SaldoEUR_15">'I. Budget'!$CX$29</definedName>
    <definedName name="FB_Kurs_16">'I. Budget'!$DD$7</definedName>
    <definedName name="FB_SaldoLC_16">'I. Budget'!$DD$29</definedName>
    <definedName name="FB_SaldoEUR_16">'I. Budget'!$DE$29</definedName>
    <definedName name="FB_Kurs_17">'I. Budget'!$DK$7</definedName>
    <definedName name="FB_SaldoLC_17">'I. Budget'!$DK$29</definedName>
    <definedName name="FB_SaldoEUR_17">'I. Budget'!$DL$29</definedName>
    <definedName name="FB_Kurs_18">'I. Budget'!$DR$7</definedName>
    <definedName name="FB_SaldoLC_18">'I. Budget'!$DR$29</definedName>
    <definedName name="FB_SaldoEUR_18">'I. Budget'!$DS$29</definedName>
  </definedNames>
  <calcPr calcId="122211"/>
</workbook>
</file>

<file path=xl/sharedStrings.xml><?xml version="1.0" encoding="utf-8"?>
<sst xmlns="http://schemas.openxmlformats.org/spreadsheetml/2006/main" count="305" uniqueCount="305">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</sst>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6">
    <numFmt numFmtId="164" formatCode="dd.mm.yyyy"/>
    <numFmt numFmtId="165" formatCode="0.0000"/>
    <numFmt numFmtId="166" formatCode="#,##0.00"/>
    <numFmt numFmtId="167" formatCode="#,##0.00&quot; €&quot;"/>
    <numFmt numFmtId="168" formatCode="0.000000"/>
    <numFmt numFmtId="169" formatCode="@"/>
  </numFmts>
  <fonts count="20">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s>
  <fills count="10">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s>
  <borders count="48">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left style="medium">
        <color rgb="FF808080"/>
      </left>
      <bottom style="thin">
        <color rgb="FFD3D3D3"/>
      </bottom>
    </border>
  </borders>
  <cellStyleXfs count="1">
    <xf numFmtId="0" fontId="0" fillId="0" borderId="0"/>
  </cellStyleXfs>
  <cellXfs count="175">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0" fontId="3" fillId="0" borderId="24" xfId="0" applyFont="true" applyBorder="true" applyAlignment="true">
      <alignment horizontal="left" vertical="center"/>
    </xf>
    <xf numFmtId="0" fontId="3" fillId="0" borderId="47"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7">
  <autoFilter ref="B18:F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xml><?xml version="1.0" encoding="utf-8"?>
<table xmlns="http://schemas.openxmlformats.org/spreadsheetml/2006/main" id="5" name="Einnahmen_1" displayName="Einnahmen_1" ref="B40:F46">
  <autoFilter ref="B40:F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6.xml><?xml version="1.0" encoding="utf-8"?>
<table xmlns="http://schemas.openxmlformats.org/spreadsheetml/2006/main" id="6" name="Einnahmen_WK_1" displayName="Einnahmen_WK_1" ref="B49:F56">
  <autoFilter ref="B49:F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7.xml><?xml version="1.0" encoding="utf-8"?>
<table xmlns="http://schemas.openxmlformats.org/spreadsheetml/2006/main" id="7" name="Ausgaben_2" displayName="Ausgaben_2" ref="I18:M27">
  <autoFilter ref="I18:M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8.xml><?xml version="1.0" encoding="utf-8"?>
<table xmlns="http://schemas.openxmlformats.org/spreadsheetml/2006/main" id="8" name="Einnahmen_2" displayName="Einnahmen_2" ref="I40:M46">
  <autoFilter ref="I40:M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9.xml><?xml version="1.0" encoding="utf-8"?>
<table xmlns="http://schemas.openxmlformats.org/spreadsheetml/2006/main" id="9" name="Einnahmen_WK_2" displayName="Einnahmen_WK_2" ref="I49:M56">
  <autoFilter ref="I49:M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0.xml><?xml version="1.0" encoding="utf-8"?>
<table xmlns="http://schemas.openxmlformats.org/spreadsheetml/2006/main" id="10" name="Ausgaben_3" displayName="Ausgaben_3" ref="P18:T27">
  <autoFilter ref="P18:T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1.xml><?xml version="1.0" encoding="utf-8"?>
<table xmlns="http://schemas.openxmlformats.org/spreadsheetml/2006/main" id="11" name="Einnahmen_3" displayName="Einnahmen_3" ref="P40:T46">
  <autoFilter ref="P40:T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2.xml><?xml version="1.0" encoding="utf-8"?>
<table xmlns="http://schemas.openxmlformats.org/spreadsheetml/2006/main" id="12" name="Einnahmen_WK_3" displayName="Einnahmen_WK_3" ref="P49:T56">
  <autoFilter ref="P49:T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3.xml><?xml version="1.0" encoding="utf-8"?>
<table xmlns="http://schemas.openxmlformats.org/spreadsheetml/2006/main" id="13" name="Ausgaben_4" displayName="Ausgaben_4" ref="W18:AA27">
  <autoFilter ref="W18:AA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4.xml><?xml version="1.0" encoding="utf-8"?>
<table xmlns="http://schemas.openxmlformats.org/spreadsheetml/2006/main" id="14" name="Einnahmen_4" displayName="Einnahmen_4" ref="W40:AA46">
  <autoFilter ref="W40:AA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5.xml><?xml version="1.0" encoding="utf-8"?>
<table xmlns="http://schemas.openxmlformats.org/spreadsheetml/2006/main" id="15" name="Einnahmen_WK_4" displayName="Einnahmen_WK_4" ref="W49:AA56">
  <autoFilter ref="W49:AA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6.xml><?xml version="1.0" encoding="utf-8"?>
<table xmlns="http://schemas.openxmlformats.org/spreadsheetml/2006/main" id="16" name="Ausgaben_5" displayName="Ausgaben_5" ref="AD18:AH27">
  <autoFilter ref="AD18:AH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7.xml><?xml version="1.0" encoding="utf-8"?>
<table xmlns="http://schemas.openxmlformats.org/spreadsheetml/2006/main" id="17" name="Einnahmen_5" displayName="Einnahmen_5" ref="AD40:AH46">
  <autoFilter ref="AD40:AH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8.xml><?xml version="1.0" encoding="utf-8"?>
<table xmlns="http://schemas.openxmlformats.org/spreadsheetml/2006/main" id="18" name="Einnahmen_WK_5" displayName="Einnahmen_WK_5" ref="AD49:AH56">
  <autoFilter ref="AD49:AH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9.xml><?xml version="1.0" encoding="utf-8"?>
<table xmlns="http://schemas.openxmlformats.org/spreadsheetml/2006/main" id="19" name="Ausgaben_6" displayName="Ausgaben_6" ref="AK18:AO27">
  <autoFilter ref="AK18:AO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0.xml><?xml version="1.0" encoding="utf-8"?>
<table xmlns="http://schemas.openxmlformats.org/spreadsheetml/2006/main" id="20" name="Einnahmen_6" displayName="Einnahmen_6" ref="AK40:AO46">
  <autoFilter ref="AK40:AO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1.xml><?xml version="1.0" encoding="utf-8"?>
<table xmlns="http://schemas.openxmlformats.org/spreadsheetml/2006/main" id="21" name="Einnahmen_WK_6" displayName="Einnahmen_WK_6" ref="AK49:AO56">
  <autoFilter ref="AK49:AO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2.xml><?xml version="1.0" encoding="utf-8"?>
<table xmlns="http://schemas.openxmlformats.org/spreadsheetml/2006/main" id="22" name="Ausgaben_7" displayName="Ausgaben_7" ref="AR18:AV27">
  <autoFilter ref="AR18:AV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3.xml><?xml version="1.0" encoding="utf-8"?>
<table xmlns="http://schemas.openxmlformats.org/spreadsheetml/2006/main" id="23" name="Einnahmen_7" displayName="Einnahmen_7" ref="AR40:AV46">
  <autoFilter ref="AR40:AV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4.xml><?xml version="1.0" encoding="utf-8"?>
<table xmlns="http://schemas.openxmlformats.org/spreadsheetml/2006/main" id="24" name="Einnahmen_WK_7" displayName="Einnahmen_WK_7" ref="AR49:AV56">
  <autoFilter ref="AR49:AV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5.xml><?xml version="1.0" encoding="utf-8"?>
<table xmlns="http://schemas.openxmlformats.org/spreadsheetml/2006/main" id="25" name="Ausgaben_8" displayName="Ausgaben_8" ref="AY18:BC27">
  <autoFilter ref="AY18:BC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6.xml><?xml version="1.0" encoding="utf-8"?>
<table xmlns="http://schemas.openxmlformats.org/spreadsheetml/2006/main" id="26" name="Einnahmen_8" displayName="Einnahmen_8" ref="AY40:BC46">
  <autoFilter ref="AY40:BC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7.xml><?xml version="1.0" encoding="utf-8"?>
<table xmlns="http://schemas.openxmlformats.org/spreadsheetml/2006/main" id="27" name="Einnahmen_WK_8" displayName="Einnahmen_WK_8" ref="AY49:BC56">
  <autoFilter ref="AY49:BC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8.xml><?xml version="1.0" encoding="utf-8"?>
<table xmlns="http://schemas.openxmlformats.org/spreadsheetml/2006/main" id="28" name="Ausgaben_9" displayName="Ausgaben_9" ref="BF18:BJ27">
  <autoFilter ref="BF18:BJ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9.xml><?xml version="1.0" encoding="utf-8"?>
<table xmlns="http://schemas.openxmlformats.org/spreadsheetml/2006/main" id="29" name="Einnahmen_9" displayName="Einnahmen_9" ref="BF40:BJ46">
  <autoFilter ref="BF40:BJ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0.xml><?xml version="1.0" encoding="utf-8"?>
<table xmlns="http://schemas.openxmlformats.org/spreadsheetml/2006/main" id="30" name="Einnahmen_WK_9" displayName="Einnahmen_WK_9" ref="BF49:BJ56">
  <autoFilter ref="BF49:BJ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1.xml><?xml version="1.0" encoding="utf-8"?>
<table xmlns="http://schemas.openxmlformats.org/spreadsheetml/2006/main" id="31" name="Ausgaben_10" displayName="Ausgaben_10" ref="BM18:BQ27">
  <autoFilter ref="BM18:BQ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2.xml><?xml version="1.0" encoding="utf-8"?>
<table xmlns="http://schemas.openxmlformats.org/spreadsheetml/2006/main" id="32" name="Einnahmen_10" displayName="Einnahmen_10" ref="BM40:BQ46">
  <autoFilter ref="BM40:BQ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3.xml><?xml version="1.0" encoding="utf-8"?>
<table xmlns="http://schemas.openxmlformats.org/spreadsheetml/2006/main" id="33" name="Einnahmen_WK_10" displayName="Einnahmen_WK_10" ref="BM49:BQ56">
  <autoFilter ref="BM49:BQ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4.xml><?xml version="1.0" encoding="utf-8"?>
<table xmlns="http://schemas.openxmlformats.org/spreadsheetml/2006/main" id="34" name="Ausgaben_11" displayName="Ausgaben_11" ref="BT18:BX27">
  <autoFilter ref="BT18:BX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5.xml><?xml version="1.0" encoding="utf-8"?>
<table xmlns="http://schemas.openxmlformats.org/spreadsheetml/2006/main" id="35" name="Einnahmen_11" displayName="Einnahmen_11" ref="BT40:BX46">
  <autoFilter ref="BT40:BX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6.xml><?xml version="1.0" encoding="utf-8"?>
<table xmlns="http://schemas.openxmlformats.org/spreadsheetml/2006/main" id="36" name="Einnahmen_WK_11" displayName="Einnahmen_WK_11" ref="BT49:BX56">
  <autoFilter ref="BT49:BX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7.xml><?xml version="1.0" encoding="utf-8"?>
<table xmlns="http://schemas.openxmlformats.org/spreadsheetml/2006/main" id="37" name="Ausgaben_12" displayName="Ausgaben_12" ref="CA18:CE27">
  <autoFilter ref="CA18:CE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8.xml><?xml version="1.0" encoding="utf-8"?>
<table xmlns="http://schemas.openxmlformats.org/spreadsheetml/2006/main" id="38" name="Einnahmen_12" displayName="Einnahmen_12" ref="CA40:CE46">
  <autoFilter ref="CA40:CE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9.xml><?xml version="1.0" encoding="utf-8"?>
<table xmlns="http://schemas.openxmlformats.org/spreadsheetml/2006/main" id="39" name="Einnahmen_WK_12" displayName="Einnahmen_WK_12" ref="CA49:CE56">
  <autoFilter ref="CA49:CE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0.xml><?xml version="1.0" encoding="utf-8"?>
<table xmlns="http://schemas.openxmlformats.org/spreadsheetml/2006/main" id="40" name="Ausgaben_13" displayName="Ausgaben_13" ref="CH18:CL27">
  <autoFilter ref="CH18:CL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1.xml><?xml version="1.0" encoding="utf-8"?>
<table xmlns="http://schemas.openxmlformats.org/spreadsheetml/2006/main" id="41" name="Einnahmen_13" displayName="Einnahmen_13" ref="CH40:CL46">
  <autoFilter ref="CH40:CL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2.xml><?xml version="1.0" encoding="utf-8"?>
<table xmlns="http://schemas.openxmlformats.org/spreadsheetml/2006/main" id="42" name="Einnahmen_WK_13" displayName="Einnahmen_WK_13" ref="CH49:CL56">
  <autoFilter ref="CH49:CL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3.xml><?xml version="1.0" encoding="utf-8"?>
<table xmlns="http://schemas.openxmlformats.org/spreadsheetml/2006/main" id="43" name="Ausgaben_14" displayName="Ausgaben_14" ref="CO18:CS27">
  <autoFilter ref="CO18:CS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4.xml><?xml version="1.0" encoding="utf-8"?>
<table xmlns="http://schemas.openxmlformats.org/spreadsheetml/2006/main" id="44" name="Einnahmen_14" displayName="Einnahmen_14" ref="CO40:CS46">
  <autoFilter ref="CO40:CS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5.xml><?xml version="1.0" encoding="utf-8"?>
<table xmlns="http://schemas.openxmlformats.org/spreadsheetml/2006/main" id="45" name="Einnahmen_WK_14" displayName="Einnahmen_WK_14" ref="CO49:CS56">
  <autoFilter ref="CO49:CS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6.xml><?xml version="1.0" encoding="utf-8"?>
<table xmlns="http://schemas.openxmlformats.org/spreadsheetml/2006/main" id="46" name="Ausgaben_15" displayName="Ausgaben_15" ref="CV18:CZ27">
  <autoFilter ref="CV18:CZ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7.xml><?xml version="1.0" encoding="utf-8"?>
<table xmlns="http://schemas.openxmlformats.org/spreadsheetml/2006/main" id="47" name="Einnahmen_15" displayName="Einnahmen_15" ref="CV40:CZ46">
  <autoFilter ref="CV40:CZ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8.xml><?xml version="1.0" encoding="utf-8"?>
<table xmlns="http://schemas.openxmlformats.org/spreadsheetml/2006/main" id="48" name="Einnahmen_WK_15" displayName="Einnahmen_WK_15" ref="CV49:CZ56">
  <autoFilter ref="CV49:CZ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9.xml><?xml version="1.0" encoding="utf-8"?>
<table xmlns="http://schemas.openxmlformats.org/spreadsheetml/2006/main" id="49" name="Ausgaben_16" displayName="Ausgaben_16" ref="DC18:DG27">
  <autoFilter ref="DC18:DG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0.xml><?xml version="1.0" encoding="utf-8"?>
<table xmlns="http://schemas.openxmlformats.org/spreadsheetml/2006/main" id="50" name="Einnahmen_16" displayName="Einnahmen_16" ref="DC40:DG46">
  <autoFilter ref="DC40:DG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1.xml><?xml version="1.0" encoding="utf-8"?>
<table xmlns="http://schemas.openxmlformats.org/spreadsheetml/2006/main" id="51" name="Einnahmen_WK_16" displayName="Einnahmen_WK_16" ref="DC49:DG56">
  <autoFilter ref="DC49:DG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2.xml><?xml version="1.0" encoding="utf-8"?>
<table xmlns="http://schemas.openxmlformats.org/spreadsheetml/2006/main" id="52" name="Ausgaben_17" displayName="Ausgaben_17" ref="DJ18:DN27">
  <autoFilter ref="DJ18:DN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3.xml><?xml version="1.0" encoding="utf-8"?>
<table xmlns="http://schemas.openxmlformats.org/spreadsheetml/2006/main" id="53" name="Einnahmen_17" displayName="Einnahmen_17" ref="DJ40:DN46">
  <autoFilter ref="DJ40:DN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4.xml><?xml version="1.0" encoding="utf-8"?>
<table xmlns="http://schemas.openxmlformats.org/spreadsheetml/2006/main" id="54" name="Einnahmen_WK_17" displayName="Einnahmen_WK_17" ref="DJ49:DN56">
  <autoFilter ref="DJ49:DN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5.xml><?xml version="1.0" encoding="utf-8"?>
<table xmlns="http://schemas.openxmlformats.org/spreadsheetml/2006/main" id="55" name="Ausgaben_18" displayName="Ausgaben_18" ref="DQ18:DU27">
  <autoFilter ref="DQ18:DU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6.xml><?xml version="1.0" encoding="utf-8"?>
<table xmlns="http://schemas.openxmlformats.org/spreadsheetml/2006/main" id="56" name="Einnahmen_18" displayName="Einnahmen_18" ref="DQ40:DU46">
  <autoFilter ref="DQ40:DU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7.xml><?xml version="1.0" encoding="utf-8"?>
<table xmlns="http://schemas.openxmlformats.org/spreadsheetml/2006/main" id="57" name="Einnahmen_WK_18" displayName="Einnahmen_WK_18" ref="DQ49:DU56">
  <autoFilter ref="DQ49:DU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5">
      <c r="B5" s="133" t="s">
        <v>267</v>
      </c>
      <c r="C5" s="134" t="s">
        <v>226</v>
      </c>
      <c r="D5" s="134"/>
      <c r="E5" s="135"/>
      <c r="F5" s="136"/>
      <c r="H5" s="174" t="s">
        <v>302</v>
      </c>
      <c r="I5" s="133" t="s">
        <v>267</v>
      </c>
      <c r="J5" s="134" t="s">
        <v>227</v>
      </c>
      <c r="K5" s="134"/>
      <c r="L5" s="135"/>
      <c r="M5" s="136"/>
      <c r="O5" s="174" t="s">
        <v>302</v>
      </c>
      <c r="P5" s="133" t="s">
        <v>267</v>
      </c>
      <c r="Q5" s="134" t="s">
        <v>228</v>
      </c>
      <c r="R5" s="134"/>
      <c r="S5" s="135"/>
      <c r="T5" s="136"/>
      <c r="V5" s="174" t="s">
        <v>302</v>
      </c>
      <c r="W5" s="133" t="s">
        <v>267</v>
      </c>
      <c r="X5" s="134" t="s">
        <v>229</v>
      </c>
      <c r="Y5" s="134"/>
      <c r="Z5" s="135"/>
      <c r="AA5" s="136"/>
      <c r="AC5" s="174" t="s">
        <v>302</v>
      </c>
      <c r="AD5" s="133" t="s">
        <v>267</v>
      </c>
      <c r="AE5" s="134" t="s">
        <v>230</v>
      </c>
      <c r="AF5" s="134"/>
      <c r="AG5" s="135"/>
      <c r="AH5" s="136"/>
      <c r="AJ5" s="174" t="s">
        <v>302</v>
      </c>
      <c r="AK5" s="133" t="s">
        <v>267</v>
      </c>
      <c r="AL5" s="134" t="s">
        <v>231</v>
      </c>
      <c r="AM5" s="134"/>
      <c r="AN5" s="135"/>
      <c r="AO5" s="136"/>
      <c r="AQ5" s="174" t="s">
        <v>302</v>
      </c>
      <c r="AR5" s="133" t="s">
        <v>267</v>
      </c>
      <c r="AS5" s="134" t="s">
        <v>232</v>
      </c>
      <c r="AT5" s="134"/>
      <c r="AU5" s="135"/>
      <c r="AV5" s="136"/>
      <c r="AX5" s="174" t="s">
        <v>302</v>
      </c>
      <c r="AY5" s="133" t="s">
        <v>267</v>
      </c>
      <c r="AZ5" s="134" t="s">
        <v>233</v>
      </c>
      <c r="BA5" s="134"/>
      <c r="BB5" s="135"/>
      <c r="BC5" s="136"/>
      <c r="BE5" s="174" t="s">
        <v>302</v>
      </c>
      <c r="BF5" s="133" t="s">
        <v>267</v>
      </c>
      <c r="BG5" s="134" t="s">
        <v>234</v>
      </c>
      <c r="BH5" s="134"/>
      <c r="BI5" s="135"/>
      <c r="BJ5" s="136"/>
      <c r="BL5" s="174" t="s">
        <v>302</v>
      </c>
      <c r="BM5" s="133" t="s">
        <v>267</v>
      </c>
      <c r="BN5" s="134" t="s">
        <v>235</v>
      </c>
      <c r="BO5" s="134"/>
      <c r="BP5" s="135"/>
      <c r="BQ5" s="136"/>
      <c r="BS5" s="174" t="s">
        <v>302</v>
      </c>
      <c r="BT5" s="133" t="s">
        <v>267</v>
      </c>
      <c r="BU5" s="134" t="s">
        <v>236</v>
      </c>
      <c r="BV5" s="134"/>
      <c r="BW5" s="135"/>
      <c r="BX5" s="136"/>
      <c r="BZ5" s="174" t="s">
        <v>302</v>
      </c>
      <c r="CA5" s="133" t="s">
        <v>267</v>
      </c>
      <c r="CB5" s="134" t="s">
        <v>237</v>
      </c>
      <c r="CC5" s="134"/>
      <c r="CD5" s="135"/>
      <c r="CE5" s="136"/>
      <c r="CG5" s="174" t="s">
        <v>302</v>
      </c>
      <c r="CH5" s="133" t="s">
        <v>267</v>
      </c>
      <c r="CI5" s="134" t="s">
        <v>238</v>
      </c>
      <c r="CJ5" s="134"/>
      <c r="CK5" s="135"/>
      <c r="CL5" s="136"/>
      <c r="CN5" s="174" t="s">
        <v>302</v>
      </c>
      <c r="CO5" s="133" t="s">
        <v>267</v>
      </c>
      <c r="CP5" s="134" t="s">
        <v>239</v>
      </c>
      <c r="CQ5" s="134"/>
      <c r="CR5" s="135"/>
      <c r="CS5" s="136"/>
      <c r="CU5" s="174" t="s">
        <v>302</v>
      </c>
      <c r="CV5" s="133" t="s">
        <v>267</v>
      </c>
      <c r="CW5" s="134" t="s">
        <v>240</v>
      </c>
      <c r="CX5" s="134"/>
      <c r="CY5" s="135"/>
      <c r="CZ5" s="136"/>
      <c r="DB5" s="174" t="s">
        <v>302</v>
      </c>
      <c r="DC5" s="133" t="s">
        <v>267</v>
      </c>
      <c r="DD5" s="134" t="s">
        <v>241</v>
      </c>
      <c r="DE5" s="134"/>
      <c r="DF5" s="135"/>
      <c r="DG5" s="136"/>
      <c r="DI5" s="174" t="s">
        <v>302</v>
      </c>
      <c r="DJ5" s="133" t="s">
        <v>267</v>
      </c>
      <c r="DK5" s="134" t="s">
        <v>242</v>
      </c>
      <c r="DL5" s="134"/>
      <c r="DM5" s="135"/>
      <c r="DN5" s="136"/>
      <c r="DP5" s="174" t="s">
        <v>302</v>
      </c>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=ROUND(IFERROR(Einnahmen_1[[#Totals],[Kurs]],0),6)</f>
        <v>158</v>
      </c>
      <c r="D7" s="110"/>
      <c r="F7" s="48"/>
      <c r="I7" s="137" t="s">
        <v>269</v>
      </c>
      <c r="J7" s="110" t="str">
        <f>=ROUND(IFERROR(Einnahmen_2[[#Totals],[Kurs]],0),6)</f>
        <v>158</v>
      </c>
      <c r="K7" s="110"/>
      <c r="M7" s="48"/>
      <c r="P7" s="137" t="s">
        <v>269</v>
      </c>
      <c r="Q7" s="110" t="str">
        <f>=ROUND(IFERROR(Einnahmen_3[[#Totals],[Kurs]],0),6)</f>
        <v>158</v>
      </c>
      <c r="R7" s="110"/>
      <c r="T7" s="48"/>
      <c r="W7" s="137" t="s">
        <v>269</v>
      </c>
      <c r="X7" s="110" t="str">
        <f>=ROUND(IFERROR(Einnahmen_4[[#Totals],[Kurs]],0),6)</f>
        <v>158</v>
      </c>
      <c r="Y7" s="110"/>
      <c r="AA7" s="48"/>
      <c r="AD7" s="137" t="s">
        <v>269</v>
      </c>
      <c r="AE7" s="110" t="str">
        <f>=ROUND(IFERROR(Einnahmen_5[[#Totals],[Kurs]],0),6)</f>
        <v>158</v>
      </c>
      <c r="AF7" s="110"/>
      <c r="AH7" s="48"/>
      <c r="AK7" s="137" t="s">
        <v>269</v>
      </c>
      <c r="AL7" s="110" t="str">
        <f>=ROUND(IFERROR(Einnahmen_6[[#Totals],[Kurs]],0),6)</f>
        <v>158</v>
      </c>
      <c r="AM7" s="110"/>
      <c r="AO7" s="48"/>
      <c r="AR7" s="137" t="s">
        <v>269</v>
      </c>
      <c r="AS7" s="110" t="str">
        <f>=ROUND(IFERROR(Einnahmen_7[[#Totals],[Kurs]],0),6)</f>
        <v>158</v>
      </c>
      <c r="AT7" s="110"/>
      <c r="AV7" s="48"/>
      <c r="AY7" s="137" t="s">
        <v>269</v>
      </c>
      <c r="AZ7" s="110" t="str">
        <f>=ROUND(IFERROR(Einnahmen_8[[#Totals],[Kurs]],0),6)</f>
        <v>158</v>
      </c>
      <c r="BA7" s="110"/>
      <c r="BC7" s="48"/>
      <c r="BF7" s="137" t="s">
        <v>269</v>
      </c>
      <c r="BG7" s="110" t="str">
        <f>=ROUND(IFERROR(Einnahmen_9[[#Totals],[Kurs]],0),6)</f>
        <v>158</v>
      </c>
      <c r="BH7" s="110"/>
      <c r="BJ7" s="48"/>
      <c r="BM7" s="137" t="s">
        <v>269</v>
      </c>
      <c r="BN7" s="110" t="str">
        <f>=ROUND(IFERROR(Einnahmen_10[[#Totals],[Kurs]],0),6)</f>
        <v>158</v>
      </c>
      <c r="BO7" s="110"/>
      <c r="BQ7" s="48"/>
      <c r="BT7" s="137" t="s">
        <v>269</v>
      </c>
      <c r="BU7" s="110" t="str">
        <f>=ROUND(IFERROR(Einnahmen_11[[#Totals],[Kurs]],0),6)</f>
        <v>158</v>
      </c>
      <c r="BV7" s="110"/>
      <c r="BX7" s="48"/>
      <c r="CA7" s="137" t="s">
        <v>269</v>
      </c>
      <c r="CB7" s="110" t="str">
        <f>=ROUND(IFERROR(Einnahmen_12[[#Totals],[Kurs]],0),6)</f>
        <v>158</v>
      </c>
      <c r="CC7" s="110"/>
      <c r="CE7" s="48"/>
      <c r="CH7" s="137" t="s">
        <v>269</v>
      </c>
      <c r="CI7" s="110" t="str">
        <f>=ROUND(IFERROR(Einnahmen_13[[#Totals],[Kurs]],0),6)</f>
        <v>158</v>
      </c>
      <c r="CJ7" s="110"/>
      <c r="CL7" s="48"/>
      <c r="CO7" s="137" t="s">
        <v>269</v>
      </c>
      <c r="CP7" s="110" t="str">
        <f>=ROUND(IFERROR(Einnahmen_14[[#Totals],[Kurs]],0),6)</f>
        <v>158</v>
      </c>
      <c r="CQ7" s="110"/>
      <c r="CS7" s="48"/>
      <c r="CV7" s="137" t="s">
        <v>269</v>
      </c>
      <c r="CW7" s="110" t="str">
        <f>=ROUND(IFERROR(Einnahmen_15[[#Totals],[Kurs]],0),6)</f>
        <v>158</v>
      </c>
      <c r="CX7" s="110"/>
      <c r="CZ7" s="48"/>
      <c r="DC7" s="137" t="s">
        <v>269</v>
      </c>
      <c r="DD7" s="110" t="str">
        <f>=ROUND(IFERROR(Einnahmen_16[[#Totals],[Kurs]],0),6)</f>
        <v>158</v>
      </c>
      <c r="DE7" s="110"/>
      <c r="DG7" s="48"/>
      <c r="DJ7" s="137" t="s">
        <v>269</v>
      </c>
      <c r="DK7" s="110" t="str">
        <f>=ROUND(IFERROR(Einnahmen_17[[#Totals],[Kurs]],0),6)</f>
        <v>158</v>
      </c>
      <c r="DL7" s="110"/>
      <c r="DN7" s="48"/>
      <c r="DQ7" s="137" t="s">
        <v>269</v>
      </c>
      <c r="DR7" s="110" t="str">
        <f>=ROUND(IFERROR(Einnahmen_18[[#Totals],[Kurs]],0),6)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=ROUND(IF(Saldovortrag_LW="",0,Saldovortrag_LW),2)</f>
      </c>
      <c r="E11" s="115" t="str">
        <f>=ROUND(IF(Saldovortrag_EUR="",0,Saldovortrag_EUR),2)</f>
      </c>
      <c r="F11" s="143"/>
      <c r="I11" s="142" t="s">
        <v>303</v>
      </c>
      <c r="J11" s="115" t="str">
        <f>=ROUND(FB_SaldoLC_1,2)</f>
      </c>
      <c r="K11" s="116" t="str">
        <f>=ROUND(FB_SaldoLC_1,2)</f>
      </c>
      <c r="L11" s="115" t="str">
        <f>=ROUND(FB_SaldoEUR_1,2)</f>
      </c>
      <c r="M11" s="143"/>
      <c r="P11" s="142" t="s">
        <v>303</v>
      </c>
      <c r="Q11" s="115" t="str">
        <f>=ROUND(FB_SaldoLC_2,2)</f>
      </c>
      <c r="R11" s="116" t="str">
        <f>=ROUND(FB_SaldoLC_2,2)</f>
      </c>
      <c r="S11" s="115" t="str">
        <f>=ROUND(FB_SaldoEUR_2,2)</f>
      </c>
      <c r="T11" s="143"/>
      <c r="W11" s="142" t="s">
        <v>303</v>
      </c>
      <c r="X11" s="115" t="str">
        <f>=ROUND(FB_SaldoLC_3,2)</f>
      </c>
      <c r="Y11" s="116" t="str">
        <f>=ROUND(FB_SaldoLC_3,2)</f>
      </c>
      <c r="Z11" s="115" t="str">
        <f>=ROUND(FB_SaldoEUR_3,2)</f>
      </c>
      <c r="AA11" s="143"/>
      <c r="AD11" s="142" t="s">
        <v>303</v>
      </c>
      <c r="AE11" s="115" t="str">
        <f>=ROUND(FB_SaldoLC_4,2)</f>
      </c>
      <c r="AF11" s="116" t="str">
        <f>=ROUND(FB_SaldoLC_4,2)</f>
      </c>
      <c r="AG11" s="115" t="str">
        <f>=ROUND(FB_SaldoEUR_4,2)</f>
      </c>
      <c r="AH11" s="143"/>
      <c r="AK11" s="142" t="s">
        <v>303</v>
      </c>
      <c r="AL11" s="115" t="str">
        <f>=ROUND(FB_SaldoLC_5,2)</f>
      </c>
      <c r="AM11" s="116" t="str">
        <f>=ROUND(FB_SaldoLC_5,2)</f>
      </c>
      <c r="AN11" s="115" t="str">
        <f>=ROUND(FB_SaldoEUR_5,2)</f>
      </c>
      <c r="AO11" s="143"/>
      <c r="AR11" s="142" t="s">
        <v>303</v>
      </c>
      <c r="AS11" s="115" t="str">
        <f>=ROUND(FB_SaldoLC_6,2)</f>
      </c>
      <c r="AT11" s="116" t="str">
        <f>=ROUND(FB_SaldoLC_6,2)</f>
      </c>
      <c r="AU11" s="115" t="str">
        <f>=ROUND(FB_SaldoEUR_6,2)</f>
      </c>
      <c r="AV11" s="143"/>
      <c r="AY11" s="142" t="s">
        <v>303</v>
      </c>
      <c r="AZ11" s="115" t="str">
        <f>=ROUND(FB_SaldoLC_7,2)</f>
      </c>
      <c r="BA11" s="116" t="str">
        <f>=ROUND(FB_SaldoLC_7,2)</f>
      </c>
      <c r="BB11" s="115" t="str">
        <f>=ROUND(FB_SaldoEUR_7,2)</f>
      </c>
      <c r="BC11" s="143"/>
      <c r="BF11" s="142" t="s">
        <v>303</v>
      </c>
      <c r="BG11" s="115" t="str">
        <f>=ROUND(FB_SaldoLC_8,2)</f>
      </c>
      <c r="BH11" s="116" t="str">
        <f>=ROUND(FB_SaldoLC_8,2)</f>
      </c>
      <c r="BI11" s="115" t="str">
        <f>=ROUND(FB_SaldoEUR_8,2)</f>
      </c>
      <c r="BJ11" s="143"/>
      <c r="BM11" s="142" t="s">
        <v>303</v>
      </c>
      <c r="BN11" s="115" t="str">
        <f>=ROUND(FB_SaldoLC_9,2)</f>
      </c>
      <c r="BO11" s="116" t="str">
        <f>=ROUND(FB_SaldoLC_9,2)</f>
      </c>
      <c r="BP11" s="115" t="str">
        <f>=ROUND(FB_SaldoEUR_9,2)</f>
      </c>
      <c r="BQ11" s="143"/>
      <c r="BT11" s="142" t="s">
        <v>303</v>
      </c>
      <c r="BU11" s="115" t="str">
        <f>=ROUND(FB_SaldoLC_10,2)</f>
      </c>
      <c r="BV11" s="116" t="str">
        <f>=ROUND(FB_SaldoLC_10,2)</f>
      </c>
      <c r="BW11" s="115" t="str">
        <f>=ROUND(FB_SaldoEUR_10,2)</f>
      </c>
      <c r="BX11" s="143"/>
      <c r="CA11" s="142" t="s">
        <v>303</v>
      </c>
      <c r="CB11" s="115" t="str">
        <f>=ROUND(FB_SaldoLC_11,2)</f>
      </c>
      <c r="CC11" s="116" t="str">
        <f>=ROUND(FB_SaldoLC_11,2)</f>
      </c>
      <c r="CD11" s="115" t="str">
        <f>=ROUND(FB_SaldoEUR_11,2)</f>
      </c>
      <c r="CE11" s="143"/>
      <c r="CH11" s="142" t="s">
        <v>303</v>
      </c>
      <c r="CI11" s="115" t="str">
        <f>=ROUND(FB_SaldoLC_12,2)</f>
      </c>
      <c r="CJ11" s="116" t="str">
        <f>=ROUND(FB_SaldoLC_12,2)</f>
      </c>
      <c r="CK11" s="115" t="str">
        <f>=ROUND(FB_SaldoEUR_12,2)</f>
      </c>
      <c r="CL11" s="143"/>
      <c r="CO11" s="142" t="s">
        <v>303</v>
      </c>
      <c r="CP11" s="115" t="str">
        <f>=ROUND(FB_SaldoLC_13,2)</f>
      </c>
      <c r="CQ11" s="116" t="str">
        <f>=ROUND(FB_SaldoLC_13,2)</f>
      </c>
      <c r="CR11" s="115" t="str">
        <f>=ROUND(FB_SaldoEUR_13,2)</f>
      </c>
      <c r="CS11" s="143"/>
      <c r="CV11" s="142" t="s">
        <v>303</v>
      </c>
      <c r="CW11" s="115" t="str">
        <f>=ROUND(FB_SaldoLC_14,2)</f>
      </c>
      <c r="CX11" s="116" t="str">
        <f>=ROUND(FB_SaldoLC_14,2)</f>
      </c>
      <c r="CY11" s="115" t="str">
        <f>=ROUND(FB_SaldoEUR_14,2)</f>
      </c>
      <c r="CZ11" s="143"/>
      <c r="DC11" s="142" t="s">
        <v>303</v>
      </c>
      <c r="DD11" s="115" t="str">
        <f>=ROUND(FB_SaldoLC_15,2)</f>
      </c>
      <c r="DE11" s="116" t="str">
        <f>=ROUND(FB_SaldoLC_15,2)</f>
      </c>
      <c r="DF11" s="115" t="str">
        <f>=ROUND(FB_SaldoEUR_15,2)</f>
      </c>
      <c r="DG11" s="143"/>
      <c r="DJ11" s="142" t="s">
        <v>303</v>
      </c>
      <c r="DK11" s="115" t="str">
        <f>=ROUND(FB_SaldoLC_16,2)</f>
      </c>
      <c r="DL11" s="116" t="str">
        <f>=ROUND(FB_SaldoLC_16,2)</f>
      </c>
      <c r="DM11" s="115" t="str">
        <f>=ROUND(FB_SaldoEUR_16,2)</f>
      </c>
      <c r="DN11" s="143"/>
      <c r="DQ11" s="142" t="s">
        <v>303</v>
      </c>
      <c r="DR11" s="115" t="str">
        <f>=ROUND(FB_SaldoLC_17,2)</f>
      </c>
      <c r="DS11" s="116" t="str">
        <f>=ROUND(FB_SaldoLC_17,2)</f>
      </c>
      <c r="DT11" s="115" t="str">
        <f>=ROUND(FB_SaldoEUR_17,2)</f>
      </c>
      <c r="DU11" s="143"/>
    </row>
    <row r="12">
      <c r="B12" s="142" t="s">
        <v>194</v>
      </c>
      <c r="C12" s="115" t="str">
        <f>=ROUND(SUMIF(Einnahmen_1[Typ],"Eigenmittel",Einnahmen_1[Einnahmen (LC)])+SUMIF(Einnahmen_WK_1[Typ],"Eigenmittel",Einnahmen_WK_1[Einnahmen (LC)]),2)</f>
      </c>
      <c r="D12" s="116" t="str">
        <f>=ROUND(SUMIF(Einnahmen_1[Typ],"Eigenmittel",Einnahmen_1[Einnahmen (LC)])+SUMIF(Einnahmen_WK_1[Typ],"Eigenmittel",Einnahmen_WK_1[Einnahmen (LC)]),2)</f>
      </c>
      <c r="E12" s="115" t="str">
        <f>=ROUND(SUMIF(Einnahmen_1[Typ],"Eigenmittel",Einnahmen_1[Einnahmen (EUR)])+SUMIF(Einnahmen_WK_1[Typ],"Eigenmittel",Einnahmen_WK_1[Einnahmen (EUR)]),2)</f>
      </c>
      <c r="F12" s="143"/>
      <c r="I12" s="142" t="s">
        <v>194</v>
      </c>
      <c r="J12" s="115" t="str">
        <f>=ROUND(SUMIF(Einnahmen_2[Typ],"Eigenmittel",Einnahmen_2[Einnahmen (LC)])+SUMIF(Einnahmen_WK_2[Typ],"Eigenmittel",Einnahmen_WK_2[Einnahmen (LC)]),2)</f>
      </c>
      <c r="K12" s="116" t="str">
        <f>=IFERROR(ROUND(E12 + J12, 2), J12)</f>
      </c>
      <c r="L12" s="115" t="str">
        <f>=IFERROR(ROUND(F12 + K12, 2), K12)</f>
      </c>
      <c r="M12" s="143"/>
      <c r="P12" s="142" t="s">
        <v>194</v>
      </c>
      <c r="Q12" s="115" t="str">
        <f>=ROUND(SUMIF(Einnahmen_3[Typ],"Eigenmittel",Einnahmen_3[Einnahmen (LC)])+SUMIF(Einnahmen_WK_3[Typ],"Eigenmittel",Einnahmen_WK_3[Einnahmen (LC)]),2)</f>
      </c>
      <c r="R12" s="116" t="str">
        <f>=IFERROR(ROUND(L12 + Q12, 2), Q12)</f>
      </c>
      <c r="S12" s="115" t="str">
        <f>=IFERROR(ROUND(M12 + R12, 2), R12)</f>
      </c>
      <c r="T12" s="143"/>
      <c r="W12" s="142" t="s">
        <v>194</v>
      </c>
      <c r="X12" s="115" t="str">
        <f>=ROUND(SUMIF(Einnahmen_4[Typ],"Eigenmittel",Einnahmen_4[Einnahmen (LC)])+SUMIF(Einnahmen_WK_4[Typ],"Eigenmittel",Einnahmen_WK_4[Einnahmen (LC)]),2)</f>
      </c>
      <c r="Y12" s="116" t="str">
        <f>=IFERROR(ROUND(S12 + X12, 2), X12)</f>
      </c>
      <c r="Z12" s="115" t="str">
        <f>=IFERROR(ROUND(T12 + Y12, 2), Y12)</f>
      </c>
      <c r="AA12" s="143"/>
      <c r="AD12" s="142" t="s">
        <v>194</v>
      </c>
      <c r="AE12" s="115" t="str">
        <f>=ROUND(SUMIF(Einnahmen_5[Typ],"Eigenmittel",Einnahmen_5[Einnahmen (LC)])+SUMIF(Einnahmen_WK_5[Typ],"Eigenmittel",Einnahmen_WK_5[Einnahmen (LC)]),2)</f>
      </c>
      <c r="AF12" s="116" t="str">
        <f>=IFERROR(ROUND(Z12 + AE12, 2), AE12)</f>
      </c>
      <c r="AG12" s="115" t="str">
        <f>=IFERROR(ROUND(AA12 + AF12, 2), AF12)</f>
      </c>
      <c r="AH12" s="143"/>
      <c r="AK12" s="142" t="s">
        <v>194</v>
      </c>
      <c r="AL12" s="115" t="str">
        <f>=ROUND(SUMIF(Einnahmen_6[Typ],"Eigenmittel",Einnahmen_6[Einnahmen (LC)])+SUMIF(Einnahmen_WK_6[Typ],"Eigenmittel",Einnahmen_WK_6[Einnahmen (LC)]),2)</f>
      </c>
      <c r="AM12" s="116" t="str">
        <f>=IFERROR(ROUND(AG12 + AL12, 2), AL12)</f>
      </c>
      <c r="AN12" s="115" t="str">
        <f>=IFERROR(ROUND(AH12 + AM12, 2), AM12)</f>
      </c>
      <c r="AO12" s="143"/>
      <c r="AR12" s="142" t="s">
        <v>194</v>
      </c>
      <c r="AS12" s="115" t="str">
        <f>=ROUND(SUMIF(Einnahmen_7[Typ],"Eigenmittel",Einnahmen_7[Einnahmen (LC)])+SUMIF(Einnahmen_WK_7[Typ],"Eigenmittel",Einnahmen_WK_7[Einnahmen (LC)]),2)</f>
      </c>
      <c r="AT12" s="116" t="str">
        <f>=IFERROR(ROUND(AN12 + AS12, 2), AS12)</f>
      </c>
      <c r="AU12" s="115" t="str">
        <f>=IFERROR(ROUND(AO12 + AT12, 2), AT12)</f>
      </c>
      <c r="AV12" s="143"/>
      <c r="AY12" s="142" t="s">
        <v>194</v>
      </c>
      <c r="AZ12" s="115" t="str">
        <f>=ROUND(SUMIF(Einnahmen_8[Typ],"Eigenmittel",Einnahmen_8[Einnahmen (LC)])+SUMIF(Einnahmen_WK_8[Typ],"Eigenmittel",Einnahmen_WK_8[Einnahmen (LC)]),2)</f>
      </c>
      <c r="BA12" s="116" t="str">
        <f>=IFERROR(ROUND(AU12 + AZ12, 2), AZ12)</f>
      </c>
      <c r="BB12" s="115" t="str">
        <f>=IFERROR(ROUND(AV12 + BA12, 2), BA12)</f>
      </c>
      <c r="BC12" s="143"/>
      <c r="BF12" s="142" t="s">
        <v>194</v>
      </c>
      <c r="BG12" s="115" t="str">
        <f>=ROUND(SUMIF(Einnahmen_9[Typ],"Eigenmittel",Einnahmen_9[Einnahmen (LC)])+SUMIF(Einnahmen_WK_9[Typ],"Eigenmittel",Einnahmen_WK_9[Einnahmen (LC)]),2)</f>
      </c>
      <c r="BH12" s="116" t="str">
        <f>=IFERROR(ROUND(BB12 + BG12, 2), BG12)</f>
      </c>
      <c r="BI12" s="115" t="str">
        <f>=IFERROR(ROUND(BC12 + BH12, 2), BH12)</f>
      </c>
      <c r="BJ12" s="143"/>
      <c r="BM12" s="142" t="s">
        <v>194</v>
      </c>
      <c r="BN12" s="115" t="str">
        <f>=ROUND(SUMIF(Einnahmen_10[Typ],"Eigenmittel",Einnahmen_10[Einnahmen (LC)])+SUMIF(Einnahmen_WK_10[Typ],"Eigenmittel",Einnahmen_WK_10[Einnahmen (LC)]),2)</f>
      </c>
      <c r="BO12" s="116" t="str">
        <f>=IFERROR(ROUND(BI12 + BN12, 2), BN12)</f>
      </c>
      <c r="BP12" s="115" t="str">
        <f>=IFERROR(ROUND(BJ12 + BO12, 2), BO12)</f>
      </c>
      <c r="BQ12" s="143"/>
      <c r="BT12" s="142" t="s">
        <v>194</v>
      </c>
      <c r="BU12" s="115" t="str">
        <f>=ROUND(SUMIF(Einnahmen_11[Typ],"Eigenmittel",Einnahmen_11[Einnahmen (LC)])+SUMIF(Einnahmen_WK_11[Typ],"Eigenmittel",Einnahmen_WK_11[Einnahmen (LC)]),2)</f>
      </c>
      <c r="BV12" s="116" t="str">
        <f>=IFERROR(ROUND(BP12 + BU12, 2), BU12)</f>
      </c>
      <c r="BW12" s="115" t="str">
        <f>=IFERROR(ROUND(BQ12 + BV12, 2), BV12)</f>
      </c>
      <c r="BX12" s="143"/>
      <c r="CA12" s="142" t="s">
        <v>194</v>
      </c>
      <c r="CB12" s="115" t="str">
        <f>=ROUND(SUMIF(Einnahmen_12[Typ],"Eigenmittel",Einnahmen_12[Einnahmen (LC)])+SUMIF(Einnahmen_WK_12[Typ],"Eigenmittel",Einnahmen_WK_12[Einnahmen (LC)]),2)</f>
      </c>
      <c r="CC12" s="116" t="str">
        <f>=IFERROR(ROUND(BW12 + CB12, 2), CB12)</f>
      </c>
      <c r="CD12" s="115" t="str">
        <f>=IFERROR(ROUND(BX12 + CC12, 2), CC12)</f>
      </c>
      <c r="CE12" s="143"/>
      <c r="CH12" s="142" t="s">
        <v>194</v>
      </c>
      <c r="CI12" s="115" t="str">
        <f>=ROUND(SUMIF(Einnahmen_13[Typ],"Eigenmittel",Einnahmen_13[Einnahmen (LC)])+SUMIF(Einnahmen_WK_13[Typ],"Eigenmittel",Einnahmen_WK_13[Einnahmen (LC)]),2)</f>
      </c>
      <c r="CJ12" s="116" t="str">
        <f>=IFERROR(ROUND(CD12 + CI12, 2), CI12)</f>
      </c>
      <c r="CK12" s="115" t="str">
        <f>=IFERROR(ROUND(CE12 + CJ12, 2), CJ12)</f>
      </c>
      <c r="CL12" s="143"/>
      <c r="CO12" s="142" t="s">
        <v>194</v>
      </c>
      <c r="CP12" s="115" t="str">
        <f>=ROUND(SUMIF(Einnahmen_14[Typ],"Eigenmittel",Einnahmen_14[Einnahmen (LC)])+SUMIF(Einnahmen_WK_14[Typ],"Eigenmittel",Einnahmen_WK_14[Einnahmen (LC)]),2)</f>
      </c>
      <c r="CQ12" s="116" t="str">
        <f>=IFERROR(ROUND(CK12 + CP12, 2), CP12)</f>
      </c>
      <c r="CR12" s="115" t="str">
        <f>=IFERROR(ROUND(CL12 + CQ12, 2), CQ12)</f>
      </c>
      <c r="CS12" s="143"/>
      <c r="CV12" s="142" t="s">
        <v>194</v>
      </c>
      <c r="CW12" s="115" t="str">
        <f>=ROUND(SUMIF(Einnahmen_15[Typ],"Eigenmittel",Einnahmen_15[Einnahmen (LC)])+SUMIF(Einnahmen_WK_15[Typ],"Eigenmittel",Einnahmen_WK_15[Einnahmen (LC)]),2)</f>
      </c>
      <c r="CX12" s="116" t="str">
        <f>=IFERROR(ROUND(CR12 + CW12, 2), CW12)</f>
      </c>
      <c r="CY12" s="115" t="str">
        <f>=IFERROR(ROUND(CS12 + CX12, 2), CX12)</f>
      </c>
      <c r="CZ12" s="143"/>
      <c r="DC12" s="142" t="s">
        <v>194</v>
      </c>
      <c r="DD12" s="115" t="str">
        <f>=ROUND(SUMIF(Einnahmen_16[Typ],"Eigenmittel",Einnahmen_16[Einnahmen (LC)])+SUMIF(Einnahmen_WK_16[Typ],"Eigenmittel",Einnahmen_WK_16[Einnahmen (LC)]),2)</f>
      </c>
      <c r="DE12" s="116" t="str">
        <f>=IFERROR(ROUND(CY12 + DD12, 2), DD12)</f>
      </c>
      <c r="DF12" s="115" t="str">
        <f>=IFERROR(ROUND(CZ12 + DE12, 2), DE12)</f>
      </c>
      <c r="DG12" s="143"/>
      <c r="DJ12" s="142" t="s">
        <v>194</v>
      </c>
      <c r="DK12" s="115" t="str">
        <f>=ROUND(SUMIF(Einnahmen_17[Typ],"Eigenmittel",Einnahmen_17[Einnahmen (LC)])+SUMIF(Einnahmen_WK_17[Typ],"Eigenmittel",Einnahmen_WK_17[Einnahmen (LC)]),2)</f>
      </c>
      <c r="DL12" s="116" t="str">
        <f>=IFERROR(ROUND(DF12 + DK12, 2), DK12)</f>
      </c>
      <c r="DM12" s="115" t="str">
        <f>=IFERROR(ROUND(DG12 + DL12, 2), DL12)</f>
      </c>
      <c r="DN12" s="143"/>
      <c r="DQ12" s="142" t="s">
        <v>194</v>
      </c>
      <c r="DR12" s="115" t="str">
        <f>=ROUND(SUMIF(Einnahmen_18[Typ],"Eigenmittel",Einnahmen_18[Einnahmen (LC)])+SUMIF(Einnahmen_WK_18[Typ],"Eigenmittel",Einnahmen_WK_18[Einnahmen (LC)]),2)</f>
      </c>
      <c r="DS12" s="116" t="str">
        <f>=IFERROR(ROUND(DM12 + DR12, 2), DR12)</f>
      </c>
      <c r="DT12" s="115" t="str">
        <f>=IFERROR(ROUND(DN12 + DS12, 2), DS12)</f>
      </c>
      <c r="DU12" s="143"/>
    </row>
    <row r="13">
      <c r="B13" s="142" t="s">
        <v>277</v>
      </c>
      <c r="C13" s="115" t="str">
        <f>=ROUND(SUMIF(Einnahmen_1[Typ],"Drittmittel",Einnahmen_1[Einnahmen (LC)])+SUMIF(Einnahmen_WK_1[Typ],"Drittmittel",Einnahmen_WK_1[Einnahmen (LC)]),2)</f>
      </c>
      <c r="D13" s="116" t="str">
        <f>=ROUND(SUMIF(Einnahmen_1[Typ],"Drittmittel",Einnahmen_1[Einnahmen (LC)])+SUMIF(Einnahmen_WK_1[Typ],"Drittmittel",Einnahmen_WK_1[Einnahmen (LC)]),2)</f>
      </c>
      <c r="E13" s="115" t="str">
        <f>=ROUND(SUMIF(Einnahmen_1[Typ],"Drittmittel",Einnahmen_1[Einnahmen (EUR)])+SUMIF(Einnahmen_WK_1[Typ],"Drittmittel",Einnahmen_WK_1[Einnahmen (EUR)]),2)</f>
      </c>
      <c r="F13" s="143"/>
      <c r="I13" s="142" t="s">
        <v>277</v>
      </c>
      <c r="J13" s="115" t="str">
        <f>=ROUND(SUMIF(Einnahmen_2[Typ],"Drittmittel",Einnahmen_2[Einnahmen (LC)])+SUMIF(Einnahmen_WK_2[Typ],"Drittmittel",Einnahmen_WK_2[Einnahmen (LC)]),2)</f>
      </c>
      <c r="K13" s="116" t="str">
        <f>=IFERROR(ROUND(E13 + J13, 2), J13)</f>
      </c>
      <c r="L13" s="115" t="str">
        <f>=IFERROR(ROUND(F13 + K13, 2), K13)</f>
      </c>
      <c r="M13" s="143"/>
      <c r="P13" s="142" t="s">
        <v>277</v>
      </c>
      <c r="Q13" s="115" t="str">
        <f>=ROUND(SUMIF(Einnahmen_3[Typ],"Drittmittel",Einnahmen_3[Einnahmen (LC)])+SUMIF(Einnahmen_WK_3[Typ],"Drittmittel",Einnahmen_WK_3[Einnahmen (LC)]),2)</f>
      </c>
      <c r="R13" s="116" t="str">
        <f>=IFERROR(ROUND(L13 + Q13, 2), Q13)</f>
      </c>
      <c r="S13" s="115" t="str">
        <f>=IFERROR(ROUND(M13 + R13, 2), R13)</f>
      </c>
      <c r="T13" s="143"/>
      <c r="W13" s="142" t="s">
        <v>277</v>
      </c>
      <c r="X13" s="115" t="str">
        <f>=ROUND(SUMIF(Einnahmen_4[Typ],"Drittmittel",Einnahmen_4[Einnahmen (LC)])+SUMIF(Einnahmen_WK_4[Typ],"Drittmittel",Einnahmen_WK_4[Einnahmen (LC)]),2)</f>
      </c>
      <c r="Y13" s="116" t="str">
        <f>=IFERROR(ROUND(S13 + X13, 2), X13)</f>
      </c>
      <c r="Z13" s="115" t="str">
        <f>=IFERROR(ROUND(T13 + Y13, 2), Y13)</f>
      </c>
      <c r="AA13" s="143"/>
      <c r="AD13" s="142" t="s">
        <v>277</v>
      </c>
      <c r="AE13" s="115" t="str">
        <f>=ROUND(SUMIF(Einnahmen_5[Typ],"Drittmittel",Einnahmen_5[Einnahmen (LC)])+SUMIF(Einnahmen_WK_5[Typ],"Drittmittel",Einnahmen_WK_5[Einnahmen (LC)]),2)</f>
      </c>
      <c r="AF13" s="116" t="str">
        <f>=IFERROR(ROUND(Z13 + AE13, 2), AE13)</f>
      </c>
      <c r="AG13" s="115" t="str">
        <f>=IFERROR(ROUND(AA13 + AF13, 2), AF13)</f>
      </c>
      <c r="AH13" s="143"/>
      <c r="AK13" s="142" t="s">
        <v>277</v>
      </c>
      <c r="AL13" s="115" t="str">
        <f>=ROUND(SUMIF(Einnahmen_6[Typ],"Drittmittel",Einnahmen_6[Einnahmen (LC)])+SUMIF(Einnahmen_WK_6[Typ],"Drittmittel",Einnahmen_WK_6[Einnahmen (LC)]),2)</f>
      </c>
      <c r="AM13" s="116" t="str">
        <f>=IFERROR(ROUND(AG13 + AL13, 2), AL13)</f>
      </c>
      <c r="AN13" s="115" t="str">
        <f>=IFERROR(ROUND(AH13 + AM13, 2), AM13)</f>
      </c>
      <c r="AO13" s="143"/>
      <c r="AR13" s="142" t="s">
        <v>277</v>
      </c>
      <c r="AS13" s="115" t="str">
        <f>=ROUND(SUMIF(Einnahmen_7[Typ],"Drittmittel",Einnahmen_7[Einnahmen (LC)])+SUMIF(Einnahmen_WK_7[Typ],"Drittmittel",Einnahmen_WK_7[Einnahmen (LC)]),2)</f>
      </c>
      <c r="AT13" s="116" t="str">
        <f>=IFERROR(ROUND(AN13 + AS13, 2), AS13)</f>
      </c>
      <c r="AU13" s="115" t="str">
        <f>=IFERROR(ROUND(AO13 + AT13, 2), AT13)</f>
      </c>
      <c r="AV13" s="143"/>
      <c r="AY13" s="142" t="s">
        <v>277</v>
      </c>
      <c r="AZ13" s="115" t="str">
        <f>=ROUND(SUMIF(Einnahmen_8[Typ],"Drittmittel",Einnahmen_8[Einnahmen (LC)])+SUMIF(Einnahmen_WK_8[Typ],"Drittmittel",Einnahmen_WK_8[Einnahmen (LC)]),2)</f>
      </c>
      <c r="BA13" s="116" t="str">
        <f>=IFERROR(ROUND(AU13 + AZ13, 2), AZ13)</f>
      </c>
      <c r="BB13" s="115" t="str">
        <f>=IFERROR(ROUND(AV13 + BA13, 2), BA13)</f>
      </c>
      <c r="BC13" s="143"/>
      <c r="BF13" s="142" t="s">
        <v>277</v>
      </c>
      <c r="BG13" s="115" t="str">
        <f>=ROUND(SUMIF(Einnahmen_9[Typ],"Drittmittel",Einnahmen_9[Einnahmen (LC)])+SUMIF(Einnahmen_WK_9[Typ],"Drittmittel",Einnahmen_WK_9[Einnahmen (LC)]),2)</f>
      </c>
      <c r="BH13" s="116" t="str">
        <f>=IFERROR(ROUND(BB13 + BG13, 2), BG13)</f>
      </c>
      <c r="BI13" s="115" t="str">
        <f>=IFERROR(ROUND(BC13 + BH13, 2), BH13)</f>
      </c>
      <c r="BJ13" s="143"/>
      <c r="BM13" s="142" t="s">
        <v>277</v>
      </c>
      <c r="BN13" s="115" t="str">
        <f>=ROUND(SUMIF(Einnahmen_10[Typ],"Drittmittel",Einnahmen_10[Einnahmen (LC)])+SUMIF(Einnahmen_WK_10[Typ],"Drittmittel",Einnahmen_WK_10[Einnahmen (LC)]),2)</f>
      </c>
      <c r="BO13" s="116" t="str">
        <f>=IFERROR(ROUND(BI13 + BN13, 2), BN13)</f>
      </c>
      <c r="BP13" s="115" t="str">
        <f>=IFERROR(ROUND(BJ13 + BO13, 2), BO13)</f>
      </c>
      <c r="BQ13" s="143"/>
      <c r="BT13" s="142" t="s">
        <v>277</v>
      </c>
      <c r="BU13" s="115" t="str">
        <f>=ROUND(SUMIF(Einnahmen_11[Typ],"Drittmittel",Einnahmen_11[Einnahmen (LC)])+SUMIF(Einnahmen_WK_11[Typ],"Drittmittel",Einnahmen_WK_11[Einnahmen (LC)]),2)</f>
      </c>
      <c r="BV13" s="116" t="str">
        <f>=IFERROR(ROUND(BP13 + BU13, 2), BU13)</f>
      </c>
      <c r="BW13" s="115" t="str">
        <f>=IFERROR(ROUND(BQ13 + BV13, 2), BV13)</f>
      </c>
      <c r="BX13" s="143"/>
      <c r="CA13" s="142" t="s">
        <v>277</v>
      </c>
      <c r="CB13" s="115" t="str">
        <f>=ROUND(SUMIF(Einnahmen_12[Typ],"Drittmittel",Einnahmen_12[Einnahmen (LC)])+SUMIF(Einnahmen_WK_12[Typ],"Drittmittel",Einnahmen_WK_12[Einnahmen (LC)]),2)</f>
      </c>
      <c r="CC13" s="116" t="str">
        <f>=IFERROR(ROUND(BW13 + CB13, 2), CB13)</f>
      </c>
      <c r="CD13" s="115" t="str">
        <f>=IFERROR(ROUND(BX13 + CC13, 2), CC13)</f>
      </c>
      <c r="CE13" s="143"/>
      <c r="CH13" s="142" t="s">
        <v>277</v>
      </c>
      <c r="CI13" s="115" t="str">
        <f>=ROUND(SUMIF(Einnahmen_13[Typ],"Drittmittel",Einnahmen_13[Einnahmen (LC)])+SUMIF(Einnahmen_WK_13[Typ],"Drittmittel",Einnahmen_WK_13[Einnahmen (LC)]),2)</f>
      </c>
      <c r="CJ13" s="116" t="str">
        <f>=IFERROR(ROUND(CD13 + CI13, 2), CI13)</f>
      </c>
      <c r="CK13" s="115" t="str">
        <f>=IFERROR(ROUND(CE13 + CJ13, 2), CJ13)</f>
      </c>
      <c r="CL13" s="143"/>
      <c r="CO13" s="142" t="s">
        <v>277</v>
      </c>
      <c r="CP13" s="115" t="str">
        <f>=ROUND(SUMIF(Einnahmen_14[Typ],"Drittmittel",Einnahmen_14[Einnahmen (LC)])+SUMIF(Einnahmen_WK_14[Typ],"Drittmittel",Einnahmen_WK_14[Einnahmen (LC)]),2)</f>
      </c>
      <c r="CQ13" s="116" t="str">
        <f>=IFERROR(ROUND(CK13 + CP13, 2), CP13)</f>
      </c>
      <c r="CR13" s="115" t="str">
        <f>=IFERROR(ROUND(CL13 + CQ13, 2), CQ13)</f>
      </c>
      <c r="CS13" s="143"/>
      <c r="CV13" s="142" t="s">
        <v>277</v>
      </c>
      <c r="CW13" s="115" t="str">
        <f>=ROUND(SUMIF(Einnahmen_15[Typ],"Drittmittel",Einnahmen_15[Einnahmen (LC)])+SUMIF(Einnahmen_WK_15[Typ],"Drittmittel",Einnahmen_WK_15[Einnahmen (LC)]),2)</f>
      </c>
      <c r="CX13" s="116" t="str">
        <f>=IFERROR(ROUND(CR13 + CW13, 2), CW13)</f>
      </c>
      <c r="CY13" s="115" t="str">
        <f>=IFERROR(ROUND(CS13 + CX13, 2), CX13)</f>
      </c>
      <c r="CZ13" s="143"/>
      <c r="DC13" s="142" t="s">
        <v>277</v>
      </c>
      <c r="DD13" s="115" t="str">
        <f>=ROUND(SUMIF(Einnahmen_16[Typ],"Drittmittel",Einnahmen_16[Einnahmen (LC)])+SUMIF(Einnahmen_WK_16[Typ],"Drittmittel",Einnahmen_WK_16[Einnahmen (LC)]),2)</f>
      </c>
      <c r="DE13" s="116" t="str">
        <f>=IFERROR(ROUND(CY13 + DD13, 2), DD13)</f>
      </c>
      <c r="DF13" s="115" t="str">
        <f>=IFERROR(ROUND(CZ13 + DE13, 2), DE13)</f>
      </c>
      <c r="DG13" s="143"/>
      <c r="DJ13" s="142" t="s">
        <v>277</v>
      </c>
      <c r="DK13" s="115" t="str">
        <f>=ROUND(SUMIF(Einnahmen_17[Typ],"Drittmittel",Einnahmen_17[Einnahmen (LC)])+SUMIF(Einnahmen_WK_17[Typ],"Drittmittel",Einnahmen_WK_17[Einnahmen (LC)]),2)</f>
      </c>
      <c r="DL13" s="116" t="str">
        <f>=IFERROR(ROUND(DF13 + DK13, 2), DK13)</f>
      </c>
      <c r="DM13" s="115" t="str">
        <f>=IFERROR(ROUND(DG13 + DL13, 2), DL13)</f>
      </c>
      <c r="DN13" s="143"/>
      <c r="DQ13" s="142" t="s">
        <v>277</v>
      </c>
      <c r="DR13" s="115" t="str">
        <f>=ROUND(SUMIF(Einnahmen_18[Typ],"Drittmittel",Einnahmen_18[Einnahmen (LC)])+SUMIF(Einnahmen_WK_18[Typ],"Drittmittel",Einnahmen_WK_18[Einnahmen (LC)]),2)</f>
      </c>
      <c r="DS13" s="116" t="str">
        <f>=IFERROR(ROUND(DM13 + DR13, 2), DR13)</f>
      </c>
      <c r="DT13" s="115" t="str">
        <f>=IFERROR(ROUND(DN13 + DS13, 2), DS13)</f>
      </c>
      <c r="DU13" s="143"/>
    </row>
    <row r="14">
      <c r="B14" s="142" t="s">
        <v>199</v>
      </c>
      <c r="C14" s="115" t="str">
        <f>=ROUND(SUMIF(Einnahmen_1[Typ],"KMW-Mittel",Einnahmen_1[Einnahmen (LC)])+SUMIF(Einnahmen_WK_1[Typ],"KMW-Mittel",Einnahmen_WK_1[Einnahmen (LC)]),2)</f>
      </c>
      <c r="D14" s="116" t="str">
        <f>=ROUND(SUMIF(Einnahmen_1[Typ],"KMW-Mittel",Einnahmen_1[Einnahmen (LC)])+SUMIF(Einnahmen_WK_1[Typ],"KMW-Mittel",Einnahmen_WK_1[Einnahmen (LC)]),2)</f>
      </c>
      <c r="E14" s="115" t="str">
        <f>=ROUND(SUMIF(Einnahmen_1[Typ],"KMW-Mittel",Einnahmen_1[Einnahmen (EUR)])+SUMIF(Einnahmen_WK_1[Typ],"KMW-Mittel",Einnahmen_WK_1[Einnahmen (EUR)]),2)</f>
      </c>
      <c r="F14" s="143"/>
      <c r="I14" s="142" t="s">
        <v>199</v>
      </c>
      <c r="J14" s="115" t="str">
        <f>=ROUND(SUMIF(Einnahmen_2[Typ],"KMW-Mittel",Einnahmen_2[Einnahmen (LC)])+SUMIF(Einnahmen_WK_2[Typ],"KMW-Mittel",Einnahmen_WK_2[Einnahmen (LC)]),2)</f>
      </c>
      <c r="K14" s="116" t="str">
        <f>=IFERROR(ROUND(E14 + J14, 2), J14)</f>
      </c>
      <c r="L14" s="115" t="str">
        <f>=IFERROR(ROUND(F14 + K14, 2), K14)</f>
      </c>
      <c r="M14" s="143"/>
      <c r="P14" s="142" t="s">
        <v>199</v>
      </c>
      <c r="Q14" s="115" t="str">
        <f>=ROUND(SUMIF(Einnahmen_3[Typ],"KMW-Mittel",Einnahmen_3[Einnahmen (LC)])+SUMIF(Einnahmen_WK_3[Typ],"KMW-Mittel",Einnahmen_WK_3[Einnahmen (LC)]),2)</f>
      </c>
      <c r="R14" s="116" t="str">
        <f>=IFERROR(ROUND(L14 + Q14, 2), Q14)</f>
      </c>
      <c r="S14" s="115" t="str">
        <f>=IFERROR(ROUND(M14 + R14, 2), R14)</f>
      </c>
      <c r="T14" s="143"/>
      <c r="W14" s="142" t="s">
        <v>199</v>
      </c>
      <c r="X14" s="115" t="str">
        <f>=ROUND(SUMIF(Einnahmen_4[Typ],"KMW-Mittel",Einnahmen_4[Einnahmen (LC)])+SUMIF(Einnahmen_WK_4[Typ],"KMW-Mittel",Einnahmen_WK_4[Einnahmen (LC)]),2)</f>
      </c>
      <c r="Y14" s="116" t="str">
        <f>=IFERROR(ROUND(S14 + X14, 2), X14)</f>
      </c>
      <c r="Z14" s="115" t="str">
        <f>=IFERROR(ROUND(T14 + Y14, 2), Y14)</f>
      </c>
      <c r="AA14" s="143"/>
      <c r="AD14" s="142" t="s">
        <v>199</v>
      </c>
      <c r="AE14" s="115" t="str">
        <f>=ROUND(SUMIF(Einnahmen_5[Typ],"KMW-Mittel",Einnahmen_5[Einnahmen (LC)])+SUMIF(Einnahmen_WK_5[Typ],"KMW-Mittel",Einnahmen_WK_5[Einnahmen (LC)]),2)</f>
      </c>
      <c r="AF14" s="116" t="str">
        <f>=IFERROR(ROUND(Z14 + AE14, 2), AE14)</f>
      </c>
      <c r="AG14" s="115" t="str">
        <f>=IFERROR(ROUND(AA14 + AF14, 2), AF14)</f>
      </c>
      <c r="AH14" s="143"/>
      <c r="AK14" s="142" t="s">
        <v>199</v>
      </c>
      <c r="AL14" s="115" t="str">
        <f>=ROUND(SUMIF(Einnahmen_6[Typ],"KMW-Mittel",Einnahmen_6[Einnahmen (LC)])+SUMIF(Einnahmen_WK_6[Typ],"KMW-Mittel",Einnahmen_WK_6[Einnahmen (LC)]),2)</f>
      </c>
      <c r="AM14" s="116" t="str">
        <f>=IFERROR(ROUND(AG14 + AL14, 2), AL14)</f>
      </c>
      <c r="AN14" s="115" t="str">
        <f>=IFERROR(ROUND(AH14 + AM14, 2), AM14)</f>
      </c>
      <c r="AO14" s="143"/>
      <c r="AR14" s="142" t="s">
        <v>199</v>
      </c>
      <c r="AS14" s="115" t="str">
        <f>=ROUND(SUMIF(Einnahmen_7[Typ],"KMW-Mittel",Einnahmen_7[Einnahmen (LC)])+SUMIF(Einnahmen_WK_7[Typ],"KMW-Mittel",Einnahmen_WK_7[Einnahmen (LC)]),2)</f>
      </c>
      <c r="AT14" s="116" t="str">
        <f>=IFERROR(ROUND(AN14 + AS14, 2), AS14)</f>
      </c>
      <c r="AU14" s="115" t="str">
        <f>=IFERROR(ROUND(AO14 + AT14, 2), AT14)</f>
      </c>
      <c r="AV14" s="143"/>
      <c r="AY14" s="142" t="s">
        <v>199</v>
      </c>
      <c r="AZ14" s="115" t="str">
        <f>=ROUND(SUMIF(Einnahmen_8[Typ],"KMW-Mittel",Einnahmen_8[Einnahmen (LC)])+SUMIF(Einnahmen_WK_8[Typ],"KMW-Mittel",Einnahmen_WK_8[Einnahmen (LC)]),2)</f>
      </c>
      <c r="BA14" s="116" t="str">
        <f>=IFERROR(ROUND(AU14 + AZ14, 2), AZ14)</f>
      </c>
      <c r="BB14" s="115" t="str">
        <f>=IFERROR(ROUND(AV14 + BA14, 2), BA14)</f>
      </c>
      <c r="BC14" s="143"/>
      <c r="BF14" s="142" t="s">
        <v>199</v>
      </c>
      <c r="BG14" s="115" t="str">
        <f>=ROUND(SUMIF(Einnahmen_9[Typ],"KMW-Mittel",Einnahmen_9[Einnahmen (LC)])+SUMIF(Einnahmen_WK_9[Typ],"KMW-Mittel",Einnahmen_WK_9[Einnahmen (LC)]),2)</f>
      </c>
      <c r="BH14" s="116" t="str">
        <f>=IFERROR(ROUND(BB14 + BG14, 2), BG14)</f>
      </c>
      <c r="BI14" s="115" t="str">
        <f>=IFERROR(ROUND(BC14 + BH14, 2), BH14)</f>
      </c>
      <c r="BJ14" s="143"/>
      <c r="BM14" s="142" t="s">
        <v>199</v>
      </c>
      <c r="BN14" s="115" t="str">
        <f>=ROUND(SUMIF(Einnahmen_10[Typ],"KMW-Mittel",Einnahmen_10[Einnahmen (LC)])+SUMIF(Einnahmen_WK_10[Typ],"KMW-Mittel",Einnahmen_WK_10[Einnahmen (LC)]),2)</f>
      </c>
      <c r="BO14" s="116" t="str">
        <f>=IFERROR(ROUND(BI14 + BN14, 2), BN14)</f>
      </c>
      <c r="BP14" s="115" t="str">
        <f>=IFERROR(ROUND(BJ14 + BO14, 2), BO14)</f>
      </c>
      <c r="BQ14" s="143"/>
      <c r="BT14" s="142" t="s">
        <v>199</v>
      </c>
      <c r="BU14" s="115" t="str">
        <f>=ROUND(SUMIF(Einnahmen_11[Typ],"KMW-Mittel",Einnahmen_11[Einnahmen (LC)])+SUMIF(Einnahmen_WK_11[Typ],"KMW-Mittel",Einnahmen_WK_11[Einnahmen (LC)]),2)</f>
      </c>
      <c r="BV14" s="116" t="str">
        <f>=IFERROR(ROUND(BP14 + BU14, 2), BU14)</f>
      </c>
      <c r="BW14" s="115" t="str">
        <f>=IFERROR(ROUND(BQ14 + BV14, 2), BV14)</f>
      </c>
      <c r="BX14" s="143"/>
      <c r="CA14" s="142" t="s">
        <v>199</v>
      </c>
      <c r="CB14" s="115" t="str">
        <f>=ROUND(SUMIF(Einnahmen_12[Typ],"KMW-Mittel",Einnahmen_12[Einnahmen (LC)])+SUMIF(Einnahmen_WK_12[Typ],"KMW-Mittel",Einnahmen_WK_12[Einnahmen (LC)]),2)</f>
      </c>
      <c r="CC14" s="116" t="str">
        <f>=IFERROR(ROUND(BW14 + CB14, 2), CB14)</f>
      </c>
      <c r="CD14" s="115" t="str">
        <f>=IFERROR(ROUND(BX14 + CC14, 2), CC14)</f>
      </c>
      <c r="CE14" s="143"/>
      <c r="CH14" s="142" t="s">
        <v>199</v>
      </c>
      <c r="CI14" s="115" t="str">
        <f>=ROUND(SUMIF(Einnahmen_13[Typ],"KMW-Mittel",Einnahmen_13[Einnahmen (LC)])+SUMIF(Einnahmen_WK_13[Typ],"KMW-Mittel",Einnahmen_WK_13[Einnahmen (LC)]),2)</f>
      </c>
      <c r="CJ14" s="116" t="str">
        <f>=IFERROR(ROUND(CD14 + CI14, 2), CI14)</f>
      </c>
      <c r="CK14" s="115" t="str">
        <f>=IFERROR(ROUND(CE14 + CJ14, 2), CJ14)</f>
      </c>
      <c r="CL14" s="143"/>
      <c r="CO14" s="142" t="s">
        <v>199</v>
      </c>
      <c r="CP14" s="115" t="str">
        <f>=ROUND(SUMIF(Einnahmen_14[Typ],"KMW-Mittel",Einnahmen_14[Einnahmen (LC)])+SUMIF(Einnahmen_WK_14[Typ],"KMW-Mittel",Einnahmen_WK_14[Einnahmen (LC)]),2)</f>
      </c>
      <c r="CQ14" s="116" t="str">
        <f>=IFERROR(ROUND(CK14 + CP14, 2), CP14)</f>
      </c>
      <c r="CR14" s="115" t="str">
        <f>=IFERROR(ROUND(CL14 + CQ14, 2), CQ14)</f>
      </c>
      <c r="CS14" s="143"/>
      <c r="CV14" s="142" t="s">
        <v>199</v>
      </c>
      <c r="CW14" s="115" t="str">
        <f>=ROUND(SUMIF(Einnahmen_15[Typ],"KMW-Mittel",Einnahmen_15[Einnahmen (LC)])+SUMIF(Einnahmen_WK_15[Typ],"KMW-Mittel",Einnahmen_WK_15[Einnahmen (LC)]),2)</f>
      </c>
      <c r="CX14" s="116" t="str">
        <f>=IFERROR(ROUND(CR14 + CW14, 2), CW14)</f>
      </c>
      <c r="CY14" s="115" t="str">
        <f>=IFERROR(ROUND(CS14 + CX14, 2), CX14)</f>
      </c>
      <c r="CZ14" s="143"/>
      <c r="DC14" s="142" t="s">
        <v>199</v>
      </c>
      <c r="DD14" s="115" t="str">
        <f>=ROUND(SUMIF(Einnahmen_16[Typ],"KMW-Mittel",Einnahmen_16[Einnahmen (LC)])+SUMIF(Einnahmen_WK_16[Typ],"KMW-Mittel",Einnahmen_WK_16[Einnahmen (LC)]),2)</f>
      </c>
      <c r="DE14" s="116" t="str">
        <f>=IFERROR(ROUND(CY14 + DD14, 2), DD14)</f>
      </c>
      <c r="DF14" s="115" t="str">
        <f>=IFERROR(ROUND(CZ14 + DE14, 2), DE14)</f>
      </c>
      <c r="DG14" s="143"/>
      <c r="DJ14" s="142" t="s">
        <v>199</v>
      </c>
      <c r="DK14" s="115" t="str">
        <f>=ROUND(SUMIF(Einnahmen_17[Typ],"KMW-Mittel",Einnahmen_17[Einnahmen (LC)])+SUMIF(Einnahmen_WK_17[Typ],"KMW-Mittel",Einnahmen_WK_17[Einnahmen (LC)]),2)</f>
      </c>
      <c r="DL14" s="116" t="str">
        <f>=IFERROR(ROUND(DF14 + DK14, 2), DK14)</f>
      </c>
      <c r="DM14" s="115" t="str">
        <f>=IFERROR(ROUND(DG14 + DL14, 2), DL14)</f>
      </c>
      <c r="DN14" s="143"/>
      <c r="DQ14" s="142" t="s">
        <v>199</v>
      </c>
      <c r="DR14" s="115" t="str">
        <f>=ROUND(SUMIF(Einnahmen_18[Typ],"KMW-Mittel",Einnahmen_18[Einnahmen (LC)])+SUMIF(Einnahmen_WK_18[Typ],"KMW-Mittel",Einnahmen_WK_18[Einnahmen (LC)]),2)</f>
      </c>
      <c r="DS14" s="116" t="str">
        <f>=IFERROR(ROUND(DM14 + DR14, 2), DR14)</f>
      </c>
      <c r="DT14" s="115" t="str">
        <f>=IFERROR(ROUND(DN14 + DS14, 2), DS14)</f>
      </c>
      <c r="DU14" s="143"/>
    </row>
    <row r="15">
      <c r="B15" s="142" t="s">
        <v>278</v>
      </c>
      <c r="C15" s="115" t="str">
        <f>=ROUND(SUMIF(Einnahmen_1[Typ],"Zinsertraege",Einnahmen_1[Einnahmen (LC)])+SUMIF(Einnahmen_WK_1[Typ],"Zinsertraege",Einnahmen_WK_1[Einnahmen (LC)]),2)</f>
      </c>
      <c r="D15" s="116" t="str">
        <f>=ROUND(SUMIF(Einnahmen_1[Typ],"Zinsertraege",Einnahmen_1[Einnahmen (LC)])+SUMIF(Einnahmen_WK_1[Typ],"Zinsertraege",Einnahmen_WK_1[Einnahmen (LC)]),2)</f>
      </c>
      <c r="E15" s="115" t="str">
        <f>=ROUND(SUMIF(Einnahmen_1[Typ],"Zinsertraege",Einnahmen_1[Einnahmen (EUR)])+SUMIF(Einnahmen_WK_1[Typ],"Zinsertraege",Einnahmen_WK_1[Einnahmen (EUR)]),2)</f>
      </c>
      <c r="F15" s="143"/>
      <c r="I15" s="142" t="s">
        <v>278</v>
      </c>
      <c r="J15" s="115" t="str">
        <f>=ROUND(SUMIF(Einnahmen_2[Typ],"Zinsertraege",Einnahmen_2[Einnahmen (LC)])+SUMIF(Einnahmen_WK_2[Typ],"Zinsertraege",Einnahmen_WK_2[Einnahmen (LC)]),2)</f>
      </c>
      <c r="K15" s="116" t="str">
        <f>=IFERROR(ROUND(E15 + J15, 2), J15)</f>
      </c>
      <c r="L15" s="115" t="str">
        <f>=IFERROR(ROUND(F15 + K15, 2), K15)</f>
      </c>
      <c r="M15" s="143"/>
      <c r="P15" s="142" t="s">
        <v>278</v>
      </c>
      <c r="Q15" s="115" t="str">
        <f>=ROUND(SUMIF(Einnahmen_3[Typ],"Zinsertraege",Einnahmen_3[Einnahmen (LC)])+SUMIF(Einnahmen_WK_3[Typ],"Zinsertraege",Einnahmen_WK_3[Einnahmen (LC)]),2)</f>
      </c>
      <c r="R15" s="116" t="str">
        <f>=IFERROR(ROUND(L15 + Q15, 2), Q15)</f>
      </c>
      <c r="S15" s="115" t="str">
        <f>=IFERROR(ROUND(M15 + R15, 2), R15)</f>
      </c>
      <c r="T15" s="143"/>
      <c r="W15" s="142" t="s">
        <v>278</v>
      </c>
      <c r="X15" s="115" t="str">
        <f>=ROUND(SUMIF(Einnahmen_4[Typ],"Zinsertraege",Einnahmen_4[Einnahmen (LC)])+SUMIF(Einnahmen_WK_4[Typ],"Zinsertraege",Einnahmen_WK_4[Einnahmen (LC)]),2)</f>
      </c>
      <c r="Y15" s="116" t="str">
        <f>=IFERROR(ROUND(S15 + X15, 2), X15)</f>
      </c>
      <c r="Z15" s="115" t="str">
        <f>=IFERROR(ROUND(T15 + Y15, 2), Y15)</f>
      </c>
      <c r="AA15" s="143"/>
      <c r="AD15" s="142" t="s">
        <v>278</v>
      </c>
      <c r="AE15" s="115" t="str">
        <f>=ROUND(SUMIF(Einnahmen_5[Typ],"Zinsertraege",Einnahmen_5[Einnahmen (LC)])+SUMIF(Einnahmen_WK_5[Typ],"Zinsertraege",Einnahmen_WK_5[Einnahmen (LC)]),2)</f>
      </c>
      <c r="AF15" s="116" t="str">
        <f>=IFERROR(ROUND(Z15 + AE15, 2), AE15)</f>
      </c>
      <c r="AG15" s="115" t="str">
        <f>=IFERROR(ROUND(AA15 + AF15, 2), AF15)</f>
      </c>
      <c r="AH15" s="143"/>
      <c r="AK15" s="142" t="s">
        <v>278</v>
      </c>
      <c r="AL15" s="115" t="str">
        <f>=ROUND(SUMIF(Einnahmen_6[Typ],"Zinsertraege",Einnahmen_6[Einnahmen (LC)])+SUMIF(Einnahmen_WK_6[Typ],"Zinsertraege",Einnahmen_WK_6[Einnahmen (LC)]),2)</f>
      </c>
      <c r="AM15" s="116" t="str">
        <f>=IFERROR(ROUND(AG15 + AL15, 2), AL15)</f>
      </c>
      <c r="AN15" s="115" t="str">
        <f>=IFERROR(ROUND(AH15 + AM15, 2), AM15)</f>
      </c>
      <c r="AO15" s="143"/>
      <c r="AR15" s="142" t="s">
        <v>278</v>
      </c>
      <c r="AS15" s="115" t="str">
        <f>=ROUND(SUMIF(Einnahmen_7[Typ],"Zinsertraege",Einnahmen_7[Einnahmen (LC)])+SUMIF(Einnahmen_WK_7[Typ],"Zinsertraege",Einnahmen_WK_7[Einnahmen (LC)]),2)</f>
      </c>
      <c r="AT15" s="116" t="str">
        <f>=IFERROR(ROUND(AN15 + AS15, 2), AS15)</f>
      </c>
      <c r="AU15" s="115" t="str">
        <f>=IFERROR(ROUND(AO15 + AT15, 2), AT15)</f>
      </c>
      <c r="AV15" s="143"/>
      <c r="AY15" s="142" t="s">
        <v>278</v>
      </c>
      <c r="AZ15" s="115" t="str">
        <f>=ROUND(SUMIF(Einnahmen_8[Typ],"Zinsertraege",Einnahmen_8[Einnahmen (LC)])+SUMIF(Einnahmen_WK_8[Typ],"Zinsertraege",Einnahmen_WK_8[Einnahmen (LC)]),2)</f>
      </c>
      <c r="BA15" s="116" t="str">
        <f>=IFERROR(ROUND(AU15 + AZ15, 2), AZ15)</f>
      </c>
      <c r="BB15" s="115" t="str">
        <f>=IFERROR(ROUND(AV15 + BA15, 2), BA15)</f>
      </c>
      <c r="BC15" s="143"/>
      <c r="BF15" s="142" t="s">
        <v>278</v>
      </c>
      <c r="BG15" s="115" t="str">
        <f>=ROUND(SUMIF(Einnahmen_9[Typ],"Zinsertraege",Einnahmen_9[Einnahmen (LC)])+SUMIF(Einnahmen_WK_9[Typ],"Zinsertraege",Einnahmen_WK_9[Einnahmen (LC)]),2)</f>
      </c>
      <c r="BH15" s="116" t="str">
        <f>=IFERROR(ROUND(BB15 + BG15, 2), BG15)</f>
      </c>
      <c r="BI15" s="115" t="str">
        <f>=IFERROR(ROUND(BC15 + BH15, 2), BH15)</f>
      </c>
      <c r="BJ15" s="143"/>
      <c r="BM15" s="142" t="s">
        <v>278</v>
      </c>
      <c r="BN15" s="115" t="str">
        <f>=ROUND(SUMIF(Einnahmen_10[Typ],"Zinsertraege",Einnahmen_10[Einnahmen (LC)])+SUMIF(Einnahmen_WK_10[Typ],"Zinsertraege",Einnahmen_WK_10[Einnahmen (LC)]),2)</f>
      </c>
      <c r="BO15" s="116" t="str">
        <f>=IFERROR(ROUND(BI15 + BN15, 2), BN15)</f>
      </c>
      <c r="BP15" s="115" t="str">
        <f>=IFERROR(ROUND(BJ15 + BO15, 2), BO15)</f>
      </c>
      <c r="BQ15" s="143"/>
      <c r="BT15" s="142" t="s">
        <v>278</v>
      </c>
      <c r="BU15" s="115" t="str">
        <f>=ROUND(SUMIF(Einnahmen_11[Typ],"Zinsertraege",Einnahmen_11[Einnahmen (LC)])+SUMIF(Einnahmen_WK_11[Typ],"Zinsertraege",Einnahmen_WK_11[Einnahmen (LC)]),2)</f>
      </c>
      <c r="BV15" s="116" t="str">
        <f>=IFERROR(ROUND(BP15 + BU15, 2), BU15)</f>
      </c>
      <c r="BW15" s="115" t="str">
        <f>=IFERROR(ROUND(BQ15 + BV15, 2), BV15)</f>
      </c>
      <c r="BX15" s="143"/>
      <c r="CA15" s="142" t="s">
        <v>278</v>
      </c>
      <c r="CB15" s="115" t="str">
        <f>=ROUND(SUMIF(Einnahmen_12[Typ],"Zinsertraege",Einnahmen_12[Einnahmen (LC)])+SUMIF(Einnahmen_WK_12[Typ],"Zinsertraege",Einnahmen_WK_12[Einnahmen (LC)]),2)</f>
      </c>
      <c r="CC15" s="116" t="str">
        <f>=IFERROR(ROUND(BW15 + CB15, 2), CB15)</f>
      </c>
      <c r="CD15" s="115" t="str">
        <f>=IFERROR(ROUND(BX15 + CC15, 2), CC15)</f>
      </c>
      <c r="CE15" s="143"/>
      <c r="CH15" s="142" t="s">
        <v>278</v>
      </c>
      <c r="CI15" s="115" t="str">
        <f>=ROUND(SUMIF(Einnahmen_13[Typ],"Zinsertraege",Einnahmen_13[Einnahmen (LC)])+SUMIF(Einnahmen_WK_13[Typ],"Zinsertraege",Einnahmen_WK_13[Einnahmen (LC)]),2)</f>
      </c>
      <c r="CJ15" s="116" t="str">
        <f>=IFERROR(ROUND(CD15 + CI15, 2), CI15)</f>
      </c>
      <c r="CK15" s="115" t="str">
        <f>=IFERROR(ROUND(CE15 + CJ15, 2), CJ15)</f>
      </c>
      <c r="CL15" s="143"/>
      <c r="CO15" s="142" t="s">
        <v>278</v>
      </c>
      <c r="CP15" s="115" t="str">
        <f>=ROUND(SUMIF(Einnahmen_14[Typ],"Zinsertraege",Einnahmen_14[Einnahmen (LC)])+SUMIF(Einnahmen_WK_14[Typ],"Zinsertraege",Einnahmen_WK_14[Einnahmen (LC)]),2)</f>
      </c>
      <c r="CQ15" s="116" t="str">
        <f>=IFERROR(ROUND(CK15 + CP15, 2), CP15)</f>
      </c>
      <c r="CR15" s="115" t="str">
        <f>=IFERROR(ROUND(CL15 + CQ15, 2), CQ15)</f>
      </c>
      <c r="CS15" s="143"/>
      <c r="CV15" s="142" t="s">
        <v>278</v>
      </c>
      <c r="CW15" s="115" t="str">
        <f>=ROUND(SUMIF(Einnahmen_15[Typ],"Zinsertraege",Einnahmen_15[Einnahmen (LC)])+SUMIF(Einnahmen_WK_15[Typ],"Zinsertraege",Einnahmen_WK_15[Einnahmen (LC)]),2)</f>
      </c>
      <c r="CX15" s="116" t="str">
        <f>=IFERROR(ROUND(CR15 + CW15, 2), CW15)</f>
      </c>
      <c r="CY15" s="115" t="str">
        <f>=IFERROR(ROUND(CS15 + CX15, 2), CX15)</f>
      </c>
      <c r="CZ15" s="143"/>
      <c r="DC15" s="142" t="s">
        <v>278</v>
      </c>
      <c r="DD15" s="115" t="str">
        <f>=ROUND(SUMIF(Einnahmen_16[Typ],"Zinsertraege",Einnahmen_16[Einnahmen (LC)])+SUMIF(Einnahmen_WK_16[Typ],"Zinsertraege",Einnahmen_WK_16[Einnahmen (LC)]),2)</f>
      </c>
      <c r="DE15" s="116" t="str">
        <f>=IFERROR(ROUND(CY15 + DD15, 2), DD15)</f>
      </c>
      <c r="DF15" s="115" t="str">
        <f>=IFERROR(ROUND(CZ15 + DE15, 2), DE15)</f>
      </c>
      <c r="DG15" s="143"/>
      <c r="DJ15" s="142" t="s">
        <v>278</v>
      </c>
      <c r="DK15" s="115" t="str">
        <f>=ROUND(SUMIF(Einnahmen_17[Typ],"Zinsertraege",Einnahmen_17[Einnahmen (LC)])+SUMIF(Einnahmen_WK_17[Typ],"Zinsertraege",Einnahmen_WK_17[Einnahmen (LC)]),2)</f>
      </c>
      <c r="DL15" s="116" t="str">
        <f>=IFERROR(ROUND(DF15 + DK15, 2), DK15)</f>
      </c>
      <c r="DM15" s="115" t="str">
        <f>=IFERROR(ROUND(DG15 + DL15, 2), DL15)</f>
      </c>
      <c r="DN15" s="143"/>
      <c r="DQ15" s="142" t="s">
        <v>278</v>
      </c>
      <c r="DR15" s="115" t="str">
        <f>=ROUND(SUMIF(Einnahmen_18[Typ],"Zinsertraege",Einnahmen_18[Einnahmen (LC)])+SUMIF(Einnahmen_WK_18[Typ],"Zinsertraege",Einnahmen_WK_18[Einnahmen (LC)]),2)</f>
      </c>
      <c r="DS15" s="116" t="str">
        <f>=IFERROR(ROUND(DM15 + DR15, 2), DR15)</f>
      </c>
      <c r="DT15" s="115" t="str">
        <f>=IFERROR(ROUND(DN15 + DS15, 2), DS15)</f>
      </c>
      <c r="DU15" s="143"/>
    </row>
    <row r="16">
      <c r="B16" s="144" t="s">
        <v>279</v>
      </c>
      <c r="C16" s="118" t="str">
        <f>=ROUND(SUM(C11:C15),2)</f>
      </c>
      <c r="D16" s="119" t="str">
        <f>=ROUND(SUM(D11:D15),2)</f>
      </c>
      <c r="E16" s="118" t="str">
        <f>=ROUND(SUM(D11:D15),2)</f>
      </c>
      <c r="F16" s="145" t="str">
        <f>=ROUND(SUM(E11:E15),2)</f>
      </c>
      <c r="I16" s="144" t="s">
        <v>279</v>
      </c>
      <c r="J16" s="118" t="str">
        <f>=ROUND(SUM(J11:J15),2)</f>
      </c>
      <c r="K16" s="119" t="str">
        <f>=ROUND(SUM(K11:K15),2)</f>
      </c>
      <c r="L16" s="118" t="str">
        <f>=ROUND(SUM(K11:K15),2)</f>
      </c>
      <c r="M16" s="145" t="str">
        <f>=ROUND(SUM(L11:L15),2)</f>
      </c>
      <c r="P16" s="144" t="s">
        <v>279</v>
      </c>
      <c r="Q16" s="118" t="str">
        <f>=ROUND(SUM(Q11:Q15),2)</f>
      </c>
      <c r="R16" s="119" t="str">
        <f>=ROUND(SUM(R11:R15),2)</f>
      </c>
      <c r="S16" s="118" t="str">
        <f>=ROUND(SUM(R11:R15),2)</f>
      </c>
      <c r="T16" s="145" t="str">
        <f>=ROUND(SUM(S11:S15),2)</f>
      </c>
      <c r="W16" s="144" t="s">
        <v>279</v>
      </c>
      <c r="X16" s="118" t="str">
        <f>=ROUND(SUM(X11:X15),2)</f>
      </c>
      <c r="Y16" s="119" t="str">
        <f>=ROUND(SUM(Y11:Y15),2)</f>
      </c>
      <c r="Z16" s="118" t="str">
        <f>=ROUND(SUM(Y11:Y15),2)</f>
      </c>
      <c r="AA16" s="145" t="str">
        <f>=ROUND(SUM(Z11:Z15),2)</f>
      </c>
      <c r="AD16" s="144" t="s">
        <v>279</v>
      </c>
      <c r="AE16" s="118" t="str">
        <f>=ROUND(SUM(AE11:AE15),2)</f>
      </c>
      <c r="AF16" s="119" t="str">
        <f>=ROUND(SUM(AF11:AF15),2)</f>
      </c>
      <c r="AG16" s="118" t="str">
        <f>=ROUND(SUM(AF11:AF15),2)</f>
      </c>
      <c r="AH16" s="145" t="str">
        <f>=ROUND(SUM(AG11:AG15),2)</f>
      </c>
      <c r="AK16" s="144" t="s">
        <v>279</v>
      </c>
      <c r="AL16" s="118" t="str">
        <f>=ROUND(SUM(AL11:AL15),2)</f>
      </c>
      <c r="AM16" s="119" t="str">
        <f>=ROUND(SUM(AM11:AM15),2)</f>
      </c>
      <c r="AN16" s="118" t="str">
        <f>=ROUND(SUM(AM11:AM15),2)</f>
      </c>
      <c r="AO16" s="145" t="str">
        <f>=ROUND(SUM(AN11:AN15),2)</f>
      </c>
      <c r="AR16" s="144" t="s">
        <v>279</v>
      </c>
      <c r="AS16" s="118" t="str">
        <f>=ROUND(SUM(AS11:AS15),2)</f>
      </c>
      <c r="AT16" s="119" t="str">
        <f>=ROUND(SUM(AT11:AT15),2)</f>
      </c>
      <c r="AU16" s="118" t="str">
        <f>=ROUND(SUM(AT11:AT15),2)</f>
      </c>
      <c r="AV16" s="145" t="str">
        <f>=ROUND(SUM(AU11:AU15),2)</f>
      </c>
      <c r="AY16" s="144" t="s">
        <v>279</v>
      </c>
      <c r="AZ16" s="118" t="str">
        <f>=ROUND(SUM(AZ11:AZ15),2)</f>
      </c>
      <c r="BA16" s="119" t="str">
        <f>=ROUND(SUM(BA11:BA15),2)</f>
      </c>
      <c r="BB16" s="118" t="str">
        <f>=ROUND(SUM(BA11:BA15),2)</f>
      </c>
      <c r="BC16" s="145" t="str">
        <f>=ROUND(SUM(BB11:BB15),2)</f>
      </c>
      <c r="BF16" s="144" t="s">
        <v>279</v>
      </c>
      <c r="BG16" s="118" t="str">
        <f>=ROUND(SUM(BG11:BG15),2)</f>
      </c>
      <c r="BH16" s="119" t="str">
        <f>=ROUND(SUM(BH11:BH15),2)</f>
      </c>
      <c r="BI16" s="118" t="str">
        <f>=ROUND(SUM(BH11:BH15),2)</f>
      </c>
      <c r="BJ16" s="145" t="str">
        <f>=ROUND(SUM(BI11:BI15),2)</f>
      </c>
      <c r="BM16" s="144" t="s">
        <v>279</v>
      </c>
      <c r="BN16" s="118" t="str">
        <f>=ROUND(SUM(BN11:BN15),2)</f>
      </c>
      <c r="BO16" s="119" t="str">
        <f>=ROUND(SUM(BO11:BO15),2)</f>
      </c>
      <c r="BP16" s="118" t="str">
        <f>=ROUND(SUM(BO11:BO15),2)</f>
      </c>
      <c r="BQ16" s="145" t="str">
        <f>=ROUND(SUM(BP11:BP15),2)</f>
      </c>
      <c r="BT16" s="144" t="s">
        <v>279</v>
      </c>
      <c r="BU16" s="118" t="str">
        <f>=ROUND(SUM(BU11:BU15),2)</f>
      </c>
      <c r="BV16" s="119" t="str">
        <f>=ROUND(SUM(BV11:BV15),2)</f>
      </c>
      <c r="BW16" s="118" t="str">
        <f>=ROUND(SUM(BV11:BV15),2)</f>
      </c>
      <c r="BX16" s="145" t="str">
        <f>=ROUND(SUM(BW11:BW15),2)</f>
      </c>
      <c r="CA16" s="144" t="s">
        <v>279</v>
      </c>
      <c r="CB16" s="118" t="str">
        <f>=ROUND(SUM(CB11:CB15),2)</f>
      </c>
      <c r="CC16" s="119" t="str">
        <f>=ROUND(SUM(CC11:CC15),2)</f>
      </c>
      <c r="CD16" s="118" t="str">
        <f>=ROUND(SUM(CC11:CC15),2)</f>
      </c>
      <c r="CE16" s="145" t="str">
        <f>=ROUND(SUM(CD11:CD15),2)</f>
      </c>
      <c r="CH16" s="144" t="s">
        <v>279</v>
      </c>
      <c r="CI16" s="118" t="str">
        <f>=ROUND(SUM(CI11:CI15),2)</f>
      </c>
      <c r="CJ16" s="119" t="str">
        <f>=ROUND(SUM(CJ11:CJ15),2)</f>
      </c>
      <c r="CK16" s="118" t="str">
        <f>=ROUND(SUM(CJ11:CJ15),2)</f>
      </c>
      <c r="CL16" s="145" t="str">
        <f>=ROUND(SUM(CK11:CK15),2)</f>
      </c>
      <c r="CO16" s="144" t="s">
        <v>279</v>
      </c>
      <c r="CP16" s="118" t="str">
        <f>=ROUND(SUM(CP11:CP15),2)</f>
      </c>
      <c r="CQ16" s="119" t="str">
        <f>=ROUND(SUM(CQ11:CQ15),2)</f>
      </c>
      <c r="CR16" s="118" t="str">
        <f>=ROUND(SUM(CQ11:CQ15),2)</f>
      </c>
      <c r="CS16" s="145" t="str">
        <f>=ROUND(SUM(CR11:CR15),2)</f>
      </c>
      <c r="CV16" s="144" t="s">
        <v>279</v>
      </c>
      <c r="CW16" s="118" t="str">
        <f>=ROUND(SUM(CW11:CW15),2)</f>
      </c>
      <c r="CX16" s="119" t="str">
        <f>=ROUND(SUM(CX11:CX15),2)</f>
      </c>
      <c r="CY16" s="118" t="str">
        <f>=ROUND(SUM(CX11:CX15),2)</f>
      </c>
      <c r="CZ16" s="145" t="str">
        <f>=ROUND(SUM(CY11:CY15),2)</f>
      </c>
      <c r="DC16" s="144" t="s">
        <v>279</v>
      </c>
      <c r="DD16" s="118" t="str">
        <f>=ROUND(SUM(DD11:DD15),2)</f>
      </c>
      <c r="DE16" s="119" t="str">
        <f>=ROUND(SUM(DE11:DE15),2)</f>
      </c>
      <c r="DF16" s="118" t="str">
        <f>=ROUND(SUM(DE11:DE15),2)</f>
      </c>
      <c r="DG16" s="145" t="str">
        <f>=ROUND(SUM(DF11:DF15),2)</f>
      </c>
      <c r="DJ16" s="144" t="s">
        <v>279</v>
      </c>
      <c r="DK16" s="118" t="str">
        <f>=ROUND(SUM(DK11:DK15),2)</f>
      </c>
      <c r="DL16" s="119" t="str">
        <f>=ROUND(SUM(DL11:DL15),2)</f>
      </c>
      <c r="DM16" s="118" t="str">
        <f>=ROUND(SUM(DL11:DL15),2)</f>
      </c>
      <c r="DN16" s="145" t="str">
        <f>=ROUND(SUM(DM11:DM15),2)</f>
      </c>
      <c r="DQ16" s="144" t="s">
        <v>279</v>
      </c>
      <c r="DR16" s="118" t="str">
        <f>=ROUND(SUM(DR11:DR15),2)</f>
      </c>
      <c r="DS16" s="119" t="str">
        <f>=ROUND(SUM(DS11:DS15),2)</f>
      </c>
      <c r="DT16" s="118" t="str">
        <f>=ROUND(SUM(DS11:DS15),2)</f>
      </c>
      <c r="DU16" s="145" t="str">
        <f>=ROUND(SUM(DT11:DT15),2)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ROW(Ausgaben_1[#Headers])), "")</f>
      </c>
      <c r="C19" s="24"/>
      <c r="D19" s="116" t="str">
        <f>=IFERROR(ROUND([@[Ausgaben (LC)]]/FB_Kurs_1,2),0)</f>
      </c>
      <c r="E19" s="115" t="str">
        <f>=IFERROR([@[Ausgaben (LC)]], 0)</f>
      </c>
      <c r="F19" s="143" t="str">
        <f>=IFERROR([@[Ausgaben (EUR)]], 0)</f>
      </c>
      <c r="I19" s="148" t="str">
        <f>=IFERROR(INDEX(Budget_ID_Liste, ROW() - ROW(Ausgaben_2[#Headers])), "")</f>
      </c>
      <c r="J19" s="24"/>
      <c r="K19" s="116" t="str">
        <f>=IFERROR(ROUND([@[Ausgaben (LC)]]/FB_Kurs_2,2),0)</f>
      </c>
      <c r="L19" s="115" t="str">
        <f>=IFERROR([@[Ausgaben (LC)]] + SUMIFS(Ausgaben_1[Kum. Ausgaben (LC)], Ausgaben_1[ID], [@ID]), [@[Ausgaben (LC)]])</f>
      </c>
      <c r="M19" s="143" t="str">
        <f>=IFERROR([@[Ausgaben (EUR)]] + SUMIFS(Ausgaben_1[Kum. Ausgaben (EUR)], Ausgaben_1[ID], [@ID]), [@[Ausgaben (EUR)]])</f>
      </c>
      <c r="P19" s="148" t="str">
        <f>=IFERROR(INDEX(Budget_ID_Liste, ROW() - ROW(Ausgaben_3[#Headers])), "")</f>
      </c>
      <c r="Q19" s="24"/>
      <c r="R19" s="116" t="str">
        <f>=IFERROR(ROUND([@[Ausgaben (LC)]]/FB_Kurs_3,2),0)</f>
      </c>
      <c r="S19" s="115" t="str">
        <f>=IFERROR([@[Ausgaben (LC)]] + SUMIFS(Ausgaben_2[Kum. Ausgaben (LC)], Ausgaben_2[ID], [@ID]), [@[Ausgaben (LC)]])</f>
      </c>
      <c r="T19" s="143" t="str">
        <f>=IFERROR([@[Ausgaben (EUR)]] + SUMIFS(Ausgaben_2[Kum. Ausgaben (EUR)], Ausgaben_2[ID], [@ID]), [@[Ausgaben (EUR)]])</f>
      </c>
      <c r="W19" s="148" t="str">
        <f>=IFERROR(INDEX(Budget_ID_Liste, ROW() - ROW(Ausgaben_4[#Headers])), "")</f>
      </c>
      <c r="X19" s="24"/>
      <c r="Y19" s="116" t="str">
        <f>=IFERROR(ROUND([@[Ausgaben (LC)]]/FB_Kurs_4,2),0)</f>
      </c>
      <c r="Z19" s="115" t="str">
        <f>=IFERROR([@[Ausgaben (LC)]] + SUMIFS(Ausgaben_3[Kum. Ausgaben (LC)], Ausgaben_3[ID], [@ID]), [@[Ausgaben (LC)]])</f>
      </c>
      <c r="AA19" s="143" t="str">
        <f>=IFERROR([@[Ausgaben (EUR)]] + SUMIFS(Ausgaben_3[Kum. Ausgaben (EUR)], Ausgaben_3[ID], [@ID]), [@[Ausgaben (EUR)]])</f>
      </c>
      <c r="AD19" s="148" t="str">
        <f>=IFERROR(INDEX(Budget_ID_Liste, ROW() - ROW(Ausgaben_5[#Headers])), "")</f>
      </c>
      <c r="AE19" s="24"/>
      <c r="AF19" s="116" t="str">
        <f>=IFERROR(ROUND([@[Ausgaben (LC)]]/FB_Kurs_5,2),0)</f>
      </c>
      <c r="AG19" s="115" t="str">
        <f>=IFERROR([@[Ausgaben (LC)]] + SUMIFS(Ausgaben_4[Kum. Ausgaben (LC)], Ausgaben_4[ID], [@ID]), [@[Ausgaben (LC)]])</f>
      </c>
      <c r="AH19" s="143" t="str">
        <f>=IFERROR([@[Ausgaben (EUR)]] + SUMIFS(Ausgaben_4[Kum. Ausgaben (EUR)], Ausgaben_4[ID], [@ID]), [@[Ausgaben (EUR)]])</f>
      </c>
      <c r="AK19" s="148" t="str">
        <f>=IFERROR(INDEX(Budget_ID_Liste, ROW() - ROW(Ausgaben_6[#Headers])), "")</f>
      </c>
      <c r="AL19" s="24"/>
      <c r="AM19" s="116" t="str">
        <f>=IFERROR(ROUND([@[Ausgaben (LC)]]/FB_Kurs_6,2),0)</f>
      </c>
      <c r="AN19" s="115" t="str">
        <f>=IFERROR([@[Ausgaben (LC)]] + SUMIFS(Ausgaben_5[Kum. Ausgaben (LC)], Ausgaben_5[ID], [@ID]), [@[Ausgaben (LC)]])</f>
      </c>
      <c r="AO19" s="143" t="str">
        <f>=IFERROR([@[Ausgaben (EUR)]] + SUMIFS(Ausgaben_5[Kum. Ausgaben (EUR)], Ausgaben_5[ID], [@ID]), [@[Ausgaben (EUR)]])</f>
      </c>
      <c r="AR19" s="148" t="str">
        <f>=IFERROR(INDEX(Budget_ID_Liste, ROW() - ROW(Ausgaben_7[#Headers])), "")</f>
      </c>
      <c r="AS19" s="24"/>
      <c r="AT19" s="116" t="str">
        <f>=IFERROR(ROUND([@[Ausgaben (LC)]]/FB_Kurs_7,2),0)</f>
      </c>
      <c r="AU19" s="115" t="str">
        <f>=IFERROR([@[Ausgaben (LC)]] + SUMIFS(Ausgaben_6[Kum. Ausgaben (LC)], Ausgaben_6[ID], [@ID]), [@[Ausgaben (LC)]])</f>
      </c>
      <c r="AV19" s="143" t="str">
        <f>=IFERROR([@[Ausgaben (EUR)]] + SUMIFS(Ausgaben_6[Kum. Ausgaben (EUR)], Ausgaben_6[ID], [@ID]), [@[Ausgaben (EUR)]])</f>
      </c>
      <c r="AY19" s="148" t="str">
        <f>=IFERROR(INDEX(Budget_ID_Liste, ROW() - ROW(Ausgaben_8[#Headers])), "")</f>
      </c>
      <c r="AZ19" s="24"/>
      <c r="BA19" s="116" t="str">
        <f>=IFERROR(ROUND([@[Ausgaben (LC)]]/FB_Kurs_8,2),0)</f>
      </c>
      <c r="BB19" s="115" t="str">
        <f>=IFERROR([@[Ausgaben (LC)]] + SUMIFS(Ausgaben_7[Kum. Ausgaben (LC)], Ausgaben_7[ID], [@ID]), [@[Ausgaben (LC)]])</f>
      </c>
      <c r="BC19" s="143" t="str">
        <f>=IFERROR([@[Ausgaben (EUR)]] + SUMIFS(Ausgaben_7[Kum. Ausgaben (EUR)], Ausgaben_7[ID], [@ID]), [@[Ausgaben (EUR)]])</f>
      </c>
      <c r="BF19" s="148" t="str">
        <f>=IFERROR(INDEX(Budget_ID_Liste, ROW() - ROW(Ausgaben_9[#Headers])), "")</f>
      </c>
      <c r="BG19" s="24"/>
      <c r="BH19" s="116" t="str">
        <f>=IFERROR(ROUND([@[Ausgaben (LC)]]/FB_Kurs_9,2),0)</f>
      </c>
      <c r="BI19" s="115" t="str">
        <f>=IFERROR([@[Ausgaben (LC)]] + SUMIFS(Ausgaben_8[Kum. Ausgaben (LC)], Ausgaben_8[ID], [@ID]), [@[Ausgaben (LC)]])</f>
      </c>
      <c r="BJ19" s="143" t="str">
        <f>=IFERROR([@[Ausgaben (EUR)]] + SUMIFS(Ausgaben_8[Kum. Ausgaben (EUR)], Ausgaben_8[ID], [@ID]), [@[Ausgaben (EUR)]])</f>
      </c>
      <c r="BM19" s="148" t="str">
        <f>=IFERROR(INDEX(Budget_ID_Liste, ROW() - ROW(Ausgaben_10[#Headers])), "")</f>
      </c>
      <c r="BN19" s="24"/>
      <c r="BO19" s="116" t="str">
        <f>=IFERROR(ROUND([@[Ausgaben (LC)]]/FB_Kurs_10,2),0)</f>
      </c>
      <c r="BP19" s="115" t="str">
        <f>=IFERROR([@[Ausgaben (LC)]] + SUMIFS(Ausgaben_9[Kum. Ausgaben (LC)], Ausgaben_9[ID], [@ID]), [@[Ausgaben (LC)]])</f>
      </c>
      <c r="BQ19" s="143" t="str">
        <f>=IFERROR([@[Ausgaben (EUR)]] + SUMIFS(Ausgaben_9[Kum. Ausgaben (EUR)], Ausgaben_9[ID], [@ID]), [@[Ausgaben (EUR)]])</f>
      </c>
      <c r="BT19" s="148" t="str">
        <f>=IFERROR(INDEX(Budget_ID_Liste, ROW() - ROW(Ausgaben_11[#Headers])), "")</f>
      </c>
      <c r="BU19" s="24"/>
      <c r="BV19" s="116" t="str">
        <f>=IFERROR(ROUND([@[Ausgaben (LC)]]/FB_Kurs_11,2),0)</f>
      </c>
      <c r="BW19" s="115" t="str">
        <f>=IFERROR([@[Ausgaben (LC)]] + SUMIFS(Ausgaben_10[Kum. Ausgaben (LC)], Ausgaben_10[ID], [@ID]), [@[Ausgaben (LC)]])</f>
      </c>
      <c r="BX19" s="143" t="str">
        <f>=IFERROR([@[Ausgaben (EUR)]] + SUMIFS(Ausgaben_10[Kum. Ausgaben (EUR)], Ausgaben_10[ID], [@ID]), [@[Ausgaben (EUR)]])</f>
      </c>
      <c r="CA19" s="148" t="str">
        <f>=IFERROR(INDEX(Budget_ID_Liste, ROW() - ROW(Ausgaben_12[#Headers])), "")</f>
      </c>
      <c r="CB19" s="24"/>
      <c r="CC19" s="116" t="str">
        <f>=IFERROR(ROUND([@[Ausgaben (LC)]]/FB_Kurs_12,2),0)</f>
      </c>
      <c r="CD19" s="115" t="str">
        <f>=IFERROR([@[Ausgaben (LC)]] + SUMIFS(Ausgaben_11[Kum. Ausgaben (LC)], Ausgaben_11[ID], [@ID]), [@[Ausgaben (LC)]])</f>
      </c>
      <c r="CE19" s="143" t="str">
        <f>=IFERROR([@[Ausgaben (EUR)]] + SUMIFS(Ausgaben_11[Kum. Ausgaben (EUR)], Ausgaben_11[ID], [@ID]), [@[Ausgaben (EUR)]])</f>
      </c>
      <c r="CH19" s="148" t="str">
        <f>=IFERROR(INDEX(Budget_ID_Liste, ROW() - ROW(Ausgaben_13[#Headers])), "")</f>
      </c>
      <c r="CI19" s="24"/>
      <c r="CJ19" s="116" t="str">
        <f>=IFERROR(ROUND([@[Ausgaben (LC)]]/FB_Kurs_13,2),0)</f>
      </c>
      <c r="CK19" s="115" t="str">
        <f>=IFERROR([@[Ausgaben (LC)]] + SUMIFS(Ausgaben_12[Kum. Ausgaben (LC)], Ausgaben_12[ID], [@ID]), [@[Ausgaben (LC)]])</f>
      </c>
      <c r="CL19" s="143" t="str">
        <f>=IFERROR([@[Ausgaben (EUR)]] + SUMIFS(Ausgaben_12[Kum. Ausgaben (EUR)], Ausgaben_12[ID], [@ID]), [@[Ausgaben (EUR)]])</f>
      </c>
      <c r="CO19" s="148" t="str">
        <f>=IFERROR(INDEX(Budget_ID_Liste, ROW() - ROW(Ausgaben_14[#Headers])), "")</f>
      </c>
      <c r="CP19" s="24"/>
      <c r="CQ19" s="116" t="str">
        <f>=IFERROR(ROUND([@[Ausgaben (LC)]]/FB_Kurs_14,2),0)</f>
      </c>
      <c r="CR19" s="115" t="str">
        <f>=IFERROR([@[Ausgaben (LC)]] + SUMIFS(Ausgaben_13[Kum. Ausgaben (LC)], Ausgaben_13[ID], [@ID]), [@[Ausgaben (LC)]])</f>
      </c>
      <c r="CS19" s="143" t="str">
        <f>=IFERROR([@[Ausgaben (EUR)]] + SUMIFS(Ausgaben_13[Kum. Ausgaben (EUR)], Ausgaben_13[ID], [@ID]), [@[Ausgaben (EUR)]])</f>
      </c>
      <c r="CV19" s="148" t="str">
        <f>=IFERROR(INDEX(Budget_ID_Liste, ROW() - ROW(Ausgaben_15[#Headers])), "")</f>
      </c>
      <c r="CW19" s="24"/>
      <c r="CX19" s="116" t="str">
        <f>=IFERROR(ROUND([@[Ausgaben (LC)]]/FB_Kurs_15,2),0)</f>
      </c>
      <c r="CY19" s="115" t="str">
        <f>=IFERROR([@[Ausgaben (LC)]] + SUMIFS(Ausgaben_14[Kum. Ausgaben (LC)], Ausgaben_14[ID], [@ID]), [@[Ausgaben (LC)]])</f>
      </c>
      <c r="CZ19" s="143" t="str">
        <f>=IFERROR([@[Ausgaben (EUR)]] + SUMIFS(Ausgaben_14[Kum. Ausgaben (EUR)], Ausgaben_14[ID], [@ID]), [@[Ausgaben (EUR)]])</f>
      </c>
      <c r="DC19" s="148" t="str">
        <f>=IFERROR(INDEX(Budget_ID_Liste, ROW() - ROW(Ausgaben_16[#Headers])), "")</f>
      </c>
      <c r="DD19" s="24"/>
      <c r="DE19" s="116" t="str">
        <f>=IFERROR(ROUND([@[Ausgaben (LC)]]/FB_Kurs_16,2),0)</f>
      </c>
      <c r="DF19" s="115" t="str">
        <f>=IFERROR([@[Ausgaben (LC)]] + SUMIFS(Ausgaben_15[Kum. Ausgaben (LC)], Ausgaben_15[ID], [@ID]), [@[Ausgaben (LC)]])</f>
      </c>
      <c r="DG19" s="143" t="str">
        <f>=IFERROR([@[Ausgaben (EUR)]] + SUMIFS(Ausgaben_15[Kum. Ausgaben (EUR)], Ausgaben_15[ID], [@ID]), [@[Ausgaben (EUR)]])</f>
      </c>
      <c r="DJ19" s="148" t="str">
        <f>=IFERROR(INDEX(Budget_ID_Liste, ROW() - ROW(Ausgaben_17[#Headers])), "")</f>
      </c>
      <c r="DK19" s="24"/>
      <c r="DL19" s="116" t="str">
        <f>=IFERROR(ROUND([@[Ausgaben (LC)]]/FB_Kurs_17,2),0)</f>
      </c>
      <c r="DM19" s="115" t="str">
        <f>=IFERROR([@[Ausgaben (LC)]] + SUMIFS(Ausgaben_16[Kum. Ausgaben (LC)], Ausgaben_16[ID], [@ID]), [@[Ausgaben (LC)]])</f>
      </c>
      <c r="DN19" s="143" t="str">
        <f>=IFERROR([@[Ausgaben (EUR)]] + SUMIFS(Ausgaben_16[Kum. Ausgaben (EUR)], Ausgaben_16[ID], [@ID]), [@[Ausgaben (EUR)]])</f>
      </c>
      <c r="DQ19" s="148" t="str">
        <f>=IFERROR(INDEX(Budget_ID_Liste, ROW() - ROW(Ausgaben_18[#Headers])), "")</f>
      </c>
      <c r="DR19" s="24"/>
      <c r="DS19" s="116" t="str">
        <f>=IFERROR(ROUND([@[Ausgaben (LC)]]/FB_Kurs_18,2),0)</f>
      </c>
      <c r="DT19" s="115" t="str">
        <f>=IFERROR([@[Ausgaben (LC)]] + SUMIFS(Ausgaben_17[Kum. Ausgaben (LC)], Ausgaben_17[ID], [@ID]), [@[Ausgaben (LC)]])</f>
      </c>
      <c r="DU19" s="143" t="str">
        <f>=IFERROR([@[Ausgaben (EUR)]] + SUMIFS(Ausgaben_17[Kum. Ausgaben (EUR)], Ausgaben_17[ID], [@ID]), [@[Ausgaben (EUR)]])</f>
      </c>
    </row>
    <row r="20">
      <c r="B20" s="148" t="str">
        <f>=IFERROR(INDEX(Budget_ID_Liste, ROW() - ROW(Ausgaben_1[#Headers])), "")</f>
      </c>
      <c r="C20" s="24"/>
      <c r="D20" s="116" t="str">
        <f>=IFERROR(ROUND([@[Ausgaben (LC)]]/FB_Kurs_1,2),0)</f>
      </c>
      <c r="E20" s="115" t="str">
        <f>=IFERROR([@[Ausgaben (LC)]], 0)</f>
      </c>
      <c r="F20" s="143" t="str">
        <f>=IFERROR([@[Ausgaben (EUR)]], 0)</f>
      </c>
      <c r="I20" s="148" t="str">
        <f>=IFERROR(INDEX(Budget_ID_Liste, ROW() - ROW(Ausgaben_2[#Headers])), "")</f>
      </c>
      <c r="J20" s="24"/>
      <c r="K20" s="116" t="str">
        <f>=IFERROR(ROUND([@[Ausgaben (LC)]]/FB_Kurs_2,2),0)</f>
      </c>
      <c r="L20" s="115" t="str">
        <f>=IFERROR([@[Ausgaben (LC)]] + SUMIFS(Ausgaben_1[Kum. Ausgaben (LC)], Ausgaben_1[ID], [@ID]), [@[Ausgaben (LC)]])</f>
      </c>
      <c r="M20" s="143" t="str">
        <f>=IFERROR([@[Ausgaben (EUR)]] + SUMIFS(Ausgaben_1[Kum. Ausgaben (EUR)], Ausgaben_1[ID], [@ID]), [@[Ausgaben (EUR)]])</f>
      </c>
      <c r="P20" s="148" t="str">
        <f>=IFERROR(INDEX(Budget_ID_Liste, ROW() - ROW(Ausgaben_3[#Headers])), "")</f>
      </c>
      <c r="Q20" s="24"/>
      <c r="R20" s="116" t="str">
        <f>=IFERROR(ROUND([@[Ausgaben (LC)]]/FB_Kurs_3,2),0)</f>
      </c>
      <c r="S20" s="115" t="str">
        <f>=IFERROR([@[Ausgaben (LC)]] + SUMIFS(Ausgaben_2[Kum. Ausgaben (LC)], Ausgaben_2[ID], [@ID]), [@[Ausgaben (LC)]])</f>
      </c>
      <c r="T20" s="143" t="str">
        <f>=IFERROR([@[Ausgaben (EUR)]] + SUMIFS(Ausgaben_2[Kum. Ausgaben (EUR)], Ausgaben_2[ID], [@ID]), [@[Ausgaben (EUR)]])</f>
      </c>
      <c r="W20" s="148" t="str">
        <f>=IFERROR(INDEX(Budget_ID_Liste, ROW() - ROW(Ausgaben_4[#Headers])), "")</f>
      </c>
      <c r="X20" s="24"/>
      <c r="Y20" s="116" t="str">
        <f>=IFERROR(ROUND([@[Ausgaben (LC)]]/FB_Kurs_4,2),0)</f>
      </c>
      <c r="Z20" s="115" t="str">
        <f>=IFERROR([@[Ausgaben (LC)]] + SUMIFS(Ausgaben_3[Kum. Ausgaben (LC)], Ausgaben_3[ID], [@ID]), [@[Ausgaben (LC)]])</f>
      </c>
      <c r="AA20" s="143" t="str">
        <f>=IFERROR([@[Ausgaben (EUR)]] + SUMIFS(Ausgaben_3[Kum. Ausgaben (EUR)], Ausgaben_3[ID], [@ID]), [@[Ausgaben (EUR)]])</f>
      </c>
      <c r="AD20" s="148" t="str">
        <f>=IFERROR(INDEX(Budget_ID_Liste, ROW() - ROW(Ausgaben_5[#Headers])), "")</f>
      </c>
      <c r="AE20" s="24"/>
      <c r="AF20" s="116" t="str">
        <f>=IFERROR(ROUND([@[Ausgaben (LC)]]/FB_Kurs_5,2),0)</f>
      </c>
      <c r="AG20" s="115" t="str">
        <f>=IFERROR([@[Ausgaben (LC)]] + SUMIFS(Ausgaben_4[Kum. Ausgaben (LC)], Ausgaben_4[ID], [@ID]), [@[Ausgaben (LC)]])</f>
      </c>
      <c r="AH20" s="143" t="str">
        <f>=IFERROR([@[Ausgaben (EUR)]] + SUMIFS(Ausgaben_4[Kum. Ausgaben (EUR)], Ausgaben_4[ID], [@ID]), [@[Ausgaben (EUR)]])</f>
      </c>
      <c r="AK20" s="148" t="str">
        <f>=IFERROR(INDEX(Budget_ID_Liste, ROW() - ROW(Ausgaben_6[#Headers])), "")</f>
      </c>
      <c r="AL20" s="24"/>
      <c r="AM20" s="116" t="str">
        <f>=IFERROR(ROUND([@[Ausgaben (LC)]]/FB_Kurs_6,2),0)</f>
      </c>
      <c r="AN20" s="115" t="str">
        <f>=IFERROR([@[Ausgaben (LC)]] + SUMIFS(Ausgaben_5[Kum. Ausgaben (LC)], Ausgaben_5[ID], [@ID]), [@[Ausgaben (LC)]])</f>
      </c>
      <c r="AO20" s="143" t="str">
        <f>=IFERROR([@[Ausgaben (EUR)]] + SUMIFS(Ausgaben_5[Kum. Ausgaben (EUR)], Ausgaben_5[ID], [@ID]), [@[Ausgaben (EUR)]])</f>
      </c>
      <c r="AR20" s="148" t="str">
        <f>=IFERROR(INDEX(Budget_ID_Liste, ROW() - ROW(Ausgaben_7[#Headers])), "")</f>
      </c>
      <c r="AS20" s="24"/>
      <c r="AT20" s="116" t="str">
        <f>=IFERROR(ROUND([@[Ausgaben (LC)]]/FB_Kurs_7,2),0)</f>
      </c>
      <c r="AU20" s="115" t="str">
        <f>=IFERROR([@[Ausgaben (LC)]] + SUMIFS(Ausgaben_6[Kum. Ausgaben (LC)], Ausgaben_6[ID], [@ID]), [@[Ausgaben (LC)]])</f>
      </c>
      <c r="AV20" s="143" t="str">
        <f>=IFERROR([@[Ausgaben (EUR)]] + SUMIFS(Ausgaben_6[Kum. Ausgaben (EUR)], Ausgaben_6[ID], [@ID]), [@[Ausgaben (EUR)]])</f>
      </c>
      <c r="AY20" s="148" t="str">
        <f>=IFERROR(INDEX(Budget_ID_Liste, ROW() - ROW(Ausgaben_8[#Headers])), "")</f>
      </c>
      <c r="AZ20" s="24"/>
      <c r="BA20" s="116" t="str">
        <f>=IFERROR(ROUND([@[Ausgaben (LC)]]/FB_Kurs_8,2),0)</f>
      </c>
      <c r="BB20" s="115" t="str">
        <f>=IFERROR([@[Ausgaben (LC)]] + SUMIFS(Ausgaben_7[Kum. Ausgaben (LC)], Ausgaben_7[ID], [@ID]), [@[Ausgaben (LC)]])</f>
      </c>
      <c r="BC20" s="143" t="str">
        <f>=IFERROR([@[Ausgaben (EUR)]] + SUMIFS(Ausgaben_7[Kum. Ausgaben (EUR)], Ausgaben_7[ID], [@ID]), [@[Ausgaben (EUR)]])</f>
      </c>
      <c r="BF20" s="148" t="str">
        <f>=IFERROR(INDEX(Budget_ID_Liste, ROW() - ROW(Ausgaben_9[#Headers])), "")</f>
      </c>
      <c r="BG20" s="24"/>
      <c r="BH20" s="116" t="str">
        <f>=IFERROR(ROUND([@[Ausgaben (LC)]]/FB_Kurs_9,2),0)</f>
      </c>
      <c r="BI20" s="115" t="str">
        <f>=IFERROR([@[Ausgaben (LC)]] + SUMIFS(Ausgaben_8[Kum. Ausgaben (LC)], Ausgaben_8[ID], [@ID]), [@[Ausgaben (LC)]])</f>
      </c>
      <c r="BJ20" s="143" t="str">
        <f>=IFERROR([@[Ausgaben (EUR)]] + SUMIFS(Ausgaben_8[Kum. Ausgaben (EUR)], Ausgaben_8[ID], [@ID]), [@[Ausgaben (EUR)]])</f>
      </c>
      <c r="BM20" s="148" t="str">
        <f>=IFERROR(INDEX(Budget_ID_Liste, ROW() - ROW(Ausgaben_10[#Headers])), "")</f>
      </c>
      <c r="BN20" s="24"/>
      <c r="BO20" s="116" t="str">
        <f>=IFERROR(ROUND([@[Ausgaben (LC)]]/FB_Kurs_10,2),0)</f>
      </c>
      <c r="BP20" s="115" t="str">
        <f>=IFERROR([@[Ausgaben (LC)]] + SUMIFS(Ausgaben_9[Kum. Ausgaben (LC)], Ausgaben_9[ID], [@ID]), [@[Ausgaben (LC)]])</f>
      </c>
      <c r="BQ20" s="143" t="str">
        <f>=IFERROR([@[Ausgaben (EUR)]] + SUMIFS(Ausgaben_9[Kum. Ausgaben (EUR)], Ausgaben_9[ID], [@ID]), [@[Ausgaben (EUR)]])</f>
      </c>
      <c r="BT20" s="148" t="str">
        <f>=IFERROR(INDEX(Budget_ID_Liste, ROW() - ROW(Ausgaben_11[#Headers])), "")</f>
      </c>
      <c r="BU20" s="24"/>
      <c r="BV20" s="116" t="str">
        <f>=IFERROR(ROUND([@[Ausgaben (LC)]]/FB_Kurs_11,2),0)</f>
      </c>
      <c r="BW20" s="115" t="str">
        <f>=IFERROR([@[Ausgaben (LC)]] + SUMIFS(Ausgaben_10[Kum. Ausgaben (LC)], Ausgaben_10[ID], [@ID]), [@[Ausgaben (LC)]])</f>
      </c>
      <c r="BX20" s="143" t="str">
        <f>=IFERROR([@[Ausgaben (EUR)]] + SUMIFS(Ausgaben_10[Kum. Ausgaben (EUR)], Ausgaben_10[ID], [@ID]), [@[Ausgaben (EUR)]])</f>
      </c>
      <c r="CA20" s="148" t="str">
        <f>=IFERROR(INDEX(Budget_ID_Liste, ROW() - ROW(Ausgaben_12[#Headers])), "")</f>
      </c>
      <c r="CB20" s="24"/>
      <c r="CC20" s="116" t="str">
        <f>=IFERROR(ROUND([@[Ausgaben (LC)]]/FB_Kurs_12,2),0)</f>
      </c>
      <c r="CD20" s="115" t="str">
        <f>=IFERROR([@[Ausgaben (LC)]] + SUMIFS(Ausgaben_11[Kum. Ausgaben (LC)], Ausgaben_11[ID], [@ID]), [@[Ausgaben (LC)]])</f>
      </c>
      <c r="CE20" s="143" t="str">
        <f>=IFERROR([@[Ausgaben (EUR)]] + SUMIFS(Ausgaben_11[Kum. Ausgaben (EUR)], Ausgaben_11[ID], [@ID]), [@[Ausgaben (EUR)]])</f>
      </c>
      <c r="CH20" s="148" t="str">
        <f>=IFERROR(INDEX(Budget_ID_Liste, ROW() - ROW(Ausgaben_13[#Headers])), "")</f>
      </c>
      <c r="CI20" s="24"/>
      <c r="CJ20" s="116" t="str">
        <f>=IFERROR(ROUND([@[Ausgaben (LC)]]/FB_Kurs_13,2),0)</f>
      </c>
      <c r="CK20" s="115" t="str">
        <f>=IFERROR([@[Ausgaben (LC)]] + SUMIFS(Ausgaben_12[Kum. Ausgaben (LC)], Ausgaben_12[ID], [@ID]), [@[Ausgaben (LC)]])</f>
      </c>
      <c r="CL20" s="143" t="str">
        <f>=IFERROR([@[Ausgaben (EUR)]] + SUMIFS(Ausgaben_12[Kum. Ausgaben (EUR)], Ausgaben_12[ID], [@ID]), [@[Ausgaben (EUR)]])</f>
      </c>
      <c r="CO20" s="148" t="str">
        <f>=IFERROR(INDEX(Budget_ID_Liste, ROW() - ROW(Ausgaben_14[#Headers])), "")</f>
      </c>
      <c r="CP20" s="24"/>
      <c r="CQ20" s="116" t="str">
        <f>=IFERROR(ROUND([@[Ausgaben (LC)]]/FB_Kurs_14,2),0)</f>
      </c>
      <c r="CR20" s="115" t="str">
        <f>=IFERROR([@[Ausgaben (LC)]] + SUMIFS(Ausgaben_13[Kum. Ausgaben (LC)], Ausgaben_13[ID], [@ID]), [@[Ausgaben (LC)]])</f>
      </c>
      <c r="CS20" s="143" t="str">
        <f>=IFERROR([@[Ausgaben (EUR)]] + SUMIFS(Ausgaben_13[Kum. Ausgaben (EUR)], Ausgaben_13[ID], [@ID]), [@[Ausgaben (EUR)]])</f>
      </c>
      <c r="CV20" s="148" t="str">
        <f>=IFERROR(INDEX(Budget_ID_Liste, ROW() - ROW(Ausgaben_15[#Headers])), "")</f>
      </c>
      <c r="CW20" s="24"/>
      <c r="CX20" s="116" t="str">
        <f>=IFERROR(ROUND([@[Ausgaben (LC)]]/FB_Kurs_15,2),0)</f>
      </c>
      <c r="CY20" s="115" t="str">
        <f>=IFERROR([@[Ausgaben (LC)]] + SUMIFS(Ausgaben_14[Kum. Ausgaben (LC)], Ausgaben_14[ID], [@ID]), [@[Ausgaben (LC)]])</f>
      </c>
      <c r="CZ20" s="143" t="str">
        <f>=IFERROR([@[Ausgaben (EUR)]] + SUMIFS(Ausgaben_14[Kum. Ausgaben (EUR)], Ausgaben_14[ID], [@ID]), [@[Ausgaben (EUR)]])</f>
      </c>
      <c r="DC20" s="148" t="str">
        <f>=IFERROR(INDEX(Budget_ID_Liste, ROW() - ROW(Ausgaben_16[#Headers])), "")</f>
      </c>
      <c r="DD20" s="24"/>
      <c r="DE20" s="116" t="str">
        <f>=IFERROR(ROUND([@[Ausgaben (LC)]]/FB_Kurs_16,2),0)</f>
      </c>
      <c r="DF20" s="115" t="str">
        <f>=IFERROR([@[Ausgaben (LC)]] + SUMIFS(Ausgaben_15[Kum. Ausgaben (LC)], Ausgaben_15[ID], [@ID]), [@[Ausgaben (LC)]])</f>
      </c>
      <c r="DG20" s="143" t="str">
        <f>=IFERROR([@[Ausgaben (EUR)]] + SUMIFS(Ausgaben_15[Kum. Ausgaben (EUR)], Ausgaben_15[ID], [@ID]), [@[Ausgaben (EUR)]])</f>
      </c>
      <c r="DJ20" s="148" t="str">
        <f>=IFERROR(INDEX(Budget_ID_Liste, ROW() - ROW(Ausgaben_17[#Headers])), "")</f>
      </c>
      <c r="DK20" s="24"/>
      <c r="DL20" s="116" t="str">
        <f>=IFERROR(ROUND([@[Ausgaben (LC)]]/FB_Kurs_17,2),0)</f>
      </c>
      <c r="DM20" s="115" t="str">
        <f>=IFERROR([@[Ausgaben (LC)]] + SUMIFS(Ausgaben_16[Kum. Ausgaben (LC)], Ausgaben_16[ID], [@ID]), [@[Ausgaben (LC)]])</f>
      </c>
      <c r="DN20" s="143" t="str">
        <f>=IFERROR([@[Ausgaben (EUR)]] + SUMIFS(Ausgaben_16[Kum. Ausgaben (EUR)], Ausgaben_16[ID], [@ID]), [@[Ausgaben (EUR)]])</f>
      </c>
      <c r="DQ20" s="148" t="str">
        <f>=IFERROR(INDEX(Budget_ID_Liste, ROW() - ROW(Ausgaben_18[#Headers])), "")</f>
      </c>
      <c r="DR20" s="24"/>
      <c r="DS20" s="116" t="str">
        <f>=IFERROR(ROUND([@[Ausgaben (LC)]]/FB_Kurs_18,2),0)</f>
      </c>
      <c r="DT20" s="115" t="str">
        <f>=IFERROR([@[Ausgaben (LC)]] + SUMIFS(Ausgaben_17[Kum. Ausgaben (LC)], Ausgaben_17[ID], [@ID]), [@[Ausgaben (LC)]])</f>
      </c>
      <c r="DU20" s="143" t="str">
        <f>=IFERROR([@[Ausgaben (EUR)]] + SUMIFS(Ausgaben_17[Kum. Ausgaben (EUR)], Ausgaben_17[ID], [@ID]), [@[Ausgaben (EUR)]])</f>
      </c>
    </row>
    <row r="21">
      <c r="B21" s="148" t="str">
        <f>=IFERROR(INDEX(Budget_ID_Liste, ROW() - ROW(Ausgaben_1[#Headers])), "")</f>
      </c>
      <c r="C21" s="24"/>
      <c r="D21" s="116" t="str">
        <f>=IFERROR(ROUND([@[Ausgaben (LC)]]/FB_Kurs_1,2),0)</f>
      </c>
      <c r="E21" s="115" t="str">
        <f>=IFERROR([@[Ausgaben (LC)]], 0)</f>
      </c>
      <c r="F21" s="143" t="str">
        <f>=IFERROR([@[Ausgaben (EUR)]], 0)</f>
      </c>
      <c r="I21" s="148" t="str">
        <f>=IFERROR(INDEX(Budget_ID_Liste, ROW() - ROW(Ausgaben_2[#Headers])), "")</f>
      </c>
      <c r="J21" s="24"/>
      <c r="K21" s="116" t="str">
        <f>=IFERROR(ROUND([@[Ausgaben (LC)]]/FB_Kurs_2,2),0)</f>
      </c>
      <c r="L21" s="115" t="str">
        <f>=IFERROR([@[Ausgaben (LC)]] + SUMIFS(Ausgaben_1[Kum. Ausgaben (LC)], Ausgaben_1[ID], [@ID]), [@[Ausgaben (LC)]])</f>
      </c>
      <c r="M21" s="143" t="str">
        <f>=IFERROR([@[Ausgaben (EUR)]] + SUMIFS(Ausgaben_1[Kum. Ausgaben (EUR)], Ausgaben_1[ID], [@ID]), [@[Ausgaben (EUR)]])</f>
      </c>
      <c r="P21" s="148" t="str">
        <f>=IFERROR(INDEX(Budget_ID_Liste, ROW() - ROW(Ausgaben_3[#Headers])), "")</f>
      </c>
      <c r="Q21" s="24"/>
      <c r="R21" s="116" t="str">
        <f>=IFERROR(ROUND([@[Ausgaben (LC)]]/FB_Kurs_3,2),0)</f>
      </c>
      <c r="S21" s="115" t="str">
        <f>=IFERROR([@[Ausgaben (LC)]] + SUMIFS(Ausgaben_2[Kum. Ausgaben (LC)], Ausgaben_2[ID], [@ID]), [@[Ausgaben (LC)]])</f>
      </c>
      <c r="T21" s="143" t="str">
        <f>=IFERROR([@[Ausgaben (EUR)]] + SUMIFS(Ausgaben_2[Kum. Ausgaben (EUR)], Ausgaben_2[ID], [@ID]), [@[Ausgaben (EUR)]])</f>
      </c>
      <c r="W21" s="148" t="str">
        <f>=IFERROR(INDEX(Budget_ID_Liste, ROW() - ROW(Ausgaben_4[#Headers])), "")</f>
      </c>
      <c r="X21" s="24"/>
      <c r="Y21" s="116" t="str">
        <f>=IFERROR(ROUND([@[Ausgaben (LC)]]/FB_Kurs_4,2),0)</f>
      </c>
      <c r="Z21" s="115" t="str">
        <f>=IFERROR([@[Ausgaben (LC)]] + SUMIFS(Ausgaben_3[Kum. Ausgaben (LC)], Ausgaben_3[ID], [@ID]), [@[Ausgaben (LC)]])</f>
      </c>
      <c r="AA21" s="143" t="str">
        <f>=IFERROR([@[Ausgaben (EUR)]] + SUMIFS(Ausgaben_3[Kum. Ausgaben (EUR)], Ausgaben_3[ID], [@ID]), [@[Ausgaben (EUR)]])</f>
      </c>
      <c r="AD21" s="148" t="str">
        <f>=IFERROR(INDEX(Budget_ID_Liste, ROW() - ROW(Ausgaben_5[#Headers])), "")</f>
      </c>
      <c r="AE21" s="24"/>
      <c r="AF21" s="116" t="str">
        <f>=IFERROR(ROUND([@[Ausgaben (LC)]]/FB_Kurs_5,2),0)</f>
      </c>
      <c r="AG21" s="115" t="str">
        <f>=IFERROR([@[Ausgaben (LC)]] + SUMIFS(Ausgaben_4[Kum. Ausgaben (LC)], Ausgaben_4[ID], [@ID]), [@[Ausgaben (LC)]])</f>
      </c>
      <c r="AH21" s="143" t="str">
        <f>=IFERROR([@[Ausgaben (EUR)]] + SUMIFS(Ausgaben_4[Kum. Ausgaben (EUR)], Ausgaben_4[ID], [@ID]), [@[Ausgaben (EUR)]])</f>
      </c>
      <c r="AK21" s="148" t="str">
        <f>=IFERROR(INDEX(Budget_ID_Liste, ROW() - ROW(Ausgaben_6[#Headers])), "")</f>
      </c>
      <c r="AL21" s="24"/>
      <c r="AM21" s="116" t="str">
        <f>=IFERROR(ROUND([@[Ausgaben (LC)]]/FB_Kurs_6,2),0)</f>
      </c>
      <c r="AN21" s="115" t="str">
        <f>=IFERROR([@[Ausgaben (LC)]] + SUMIFS(Ausgaben_5[Kum. Ausgaben (LC)], Ausgaben_5[ID], [@ID]), [@[Ausgaben (LC)]])</f>
      </c>
      <c r="AO21" s="143" t="str">
        <f>=IFERROR([@[Ausgaben (EUR)]] + SUMIFS(Ausgaben_5[Kum. Ausgaben (EUR)], Ausgaben_5[ID], [@ID]), [@[Ausgaben (EUR)]])</f>
      </c>
      <c r="AR21" s="148" t="str">
        <f>=IFERROR(INDEX(Budget_ID_Liste, ROW() - ROW(Ausgaben_7[#Headers])), "")</f>
      </c>
      <c r="AS21" s="24"/>
      <c r="AT21" s="116" t="str">
        <f>=IFERROR(ROUND([@[Ausgaben (LC)]]/FB_Kurs_7,2),0)</f>
      </c>
      <c r="AU21" s="115" t="str">
        <f>=IFERROR([@[Ausgaben (LC)]] + SUMIFS(Ausgaben_6[Kum. Ausgaben (LC)], Ausgaben_6[ID], [@ID]), [@[Ausgaben (LC)]])</f>
      </c>
      <c r="AV21" s="143" t="str">
        <f>=IFERROR([@[Ausgaben (EUR)]] + SUMIFS(Ausgaben_6[Kum. Ausgaben (EUR)], Ausgaben_6[ID], [@ID]), [@[Ausgaben (EUR)]])</f>
      </c>
      <c r="AY21" s="148" t="str">
        <f>=IFERROR(INDEX(Budget_ID_Liste, ROW() - ROW(Ausgaben_8[#Headers])), "")</f>
      </c>
      <c r="AZ21" s="24"/>
      <c r="BA21" s="116" t="str">
        <f>=IFERROR(ROUND([@[Ausgaben (LC)]]/FB_Kurs_8,2),0)</f>
      </c>
      <c r="BB21" s="115" t="str">
        <f>=IFERROR([@[Ausgaben (LC)]] + SUMIFS(Ausgaben_7[Kum. Ausgaben (LC)], Ausgaben_7[ID], [@ID]), [@[Ausgaben (LC)]])</f>
      </c>
      <c r="BC21" s="143" t="str">
        <f>=IFERROR([@[Ausgaben (EUR)]] + SUMIFS(Ausgaben_7[Kum. Ausgaben (EUR)], Ausgaben_7[ID], [@ID]), [@[Ausgaben (EUR)]])</f>
      </c>
      <c r="BF21" s="148" t="str">
        <f>=IFERROR(INDEX(Budget_ID_Liste, ROW() - ROW(Ausgaben_9[#Headers])), "")</f>
      </c>
      <c r="BG21" s="24"/>
      <c r="BH21" s="116" t="str">
        <f>=IFERROR(ROUND([@[Ausgaben (LC)]]/FB_Kurs_9,2),0)</f>
      </c>
      <c r="BI21" s="115" t="str">
        <f>=IFERROR([@[Ausgaben (LC)]] + SUMIFS(Ausgaben_8[Kum. Ausgaben (LC)], Ausgaben_8[ID], [@ID]), [@[Ausgaben (LC)]])</f>
      </c>
      <c r="BJ21" s="143" t="str">
        <f>=IFERROR([@[Ausgaben (EUR)]] + SUMIFS(Ausgaben_8[Kum. Ausgaben (EUR)], Ausgaben_8[ID], [@ID]), [@[Ausgaben (EUR)]])</f>
      </c>
      <c r="BM21" s="148" t="str">
        <f>=IFERROR(INDEX(Budget_ID_Liste, ROW() - ROW(Ausgaben_10[#Headers])), "")</f>
      </c>
      <c r="BN21" s="24"/>
      <c r="BO21" s="116" t="str">
        <f>=IFERROR(ROUND([@[Ausgaben (LC)]]/FB_Kurs_10,2),0)</f>
      </c>
      <c r="BP21" s="115" t="str">
        <f>=IFERROR([@[Ausgaben (LC)]] + SUMIFS(Ausgaben_9[Kum. Ausgaben (LC)], Ausgaben_9[ID], [@ID]), [@[Ausgaben (LC)]])</f>
      </c>
      <c r="BQ21" s="143" t="str">
        <f>=IFERROR([@[Ausgaben (EUR)]] + SUMIFS(Ausgaben_9[Kum. Ausgaben (EUR)], Ausgaben_9[ID], [@ID]), [@[Ausgaben (EUR)]])</f>
      </c>
      <c r="BT21" s="148" t="str">
        <f>=IFERROR(INDEX(Budget_ID_Liste, ROW() - ROW(Ausgaben_11[#Headers])), "")</f>
      </c>
      <c r="BU21" s="24"/>
      <c r="BV21" s="116" t="str">
        <f>=IFERROR(ROUND([@[Ausgaben (LC)]]/FB_Kurs_11,2),0)</f>
      </c>
      <c r="BW21" s="115" t="str">
        <f>=IFERROR([@[Ausgaben (LC)]] + SUMIFS(Ausgaben_10[Kum. Ausgaben (LC)], Ausgaben_10[ID], [@ID]), [@[Ausgaben (LC)]])</f>
      </c>
      <c r="BX21" s="143" t="str">
        <f>=IFERROR([@[Ausgaben (EUR)]] + SUMIFS(Ausgaben_10[Kum. Ausgaben (EUR)], Ausgaben_10[ID], [@ID]), [@[Ausgaben (EUR)]])</f>
      </c>
      <c r="CA21" s="148" t="str">
        <f>=IFERROR(INDEX(Budget_ID_Liste, ROW() - ROW(Ausgaben_12[#Headers])), "")</f>
      </c>
      <c r="CB21" s="24"/>
      <c r="CC21" s="116" t="str">
        <f>=IFERROR(ROUND([@[Ausgaben (LC)]]/FB_Kurs_12,2),0)</f>
      </c>
      <c r="CD21" s="115" t="str">
        <f>=IFERROR([@[Ausgaben (LC)]] + SUMIFS(Ausgaben_11[Kum. Ausgaben (LC)], Ausgaben_11[ID], [@ID]), [@[Ausgaben (LC)]])</f>
      </c>
      <c r="CE21" s="143" t="str">
        <f>=IFERROR([@[Ausgaben (EUR)]] + SUMIFS(Ausgaben_11[Kum. Ausgaben (EUR)], Ausgaben_11[ID], [@ID]), [@[Ausgaben (EUR)]])</f>
      </c>
      <c r="CH21" s="148" t="str">
        <f>=IFERROR(INDEX(Budget_ID_Liste, ROW() - ROW(Ausgaben_13[#Headers])), "")</f>
      </c>
      <c r="CI21" s="24"/>
      <c r="CJ21" s="116" t="str">
        <f>=IFERROR(ROUND([@[Ausgaben (LC)]]/FB_Kurs_13,2),0)</f>
      </c>
      <c r="CK21" s="115" t="str">
        <f>=IFERROR([@[Ausgaben (LC)]] + SUMIFS(Ausgaben_12[Kum. Ausgaben (LC)], Ausgaben_12[ID], [@ID]), [@[Ausgaben (LC)]])</f>
      </c>
      <c r="CL21" s="143" t="str">
        <f>=IFERROR([@[Ausgaben (EUR)]] + SUMIFS(Ausgaben_12[Kum. Ausgaben (EUR)], Ausgaben_12[ID], [@ID]), [@[Ausgaben (EUR)]])</f>
      </c>
      <c r="CO21" s="148" t="str">
        <f>=IFERROR(INDEX(Budget_ID_Liste, ROW() - ROW(Ausgaben_14[#Headers])), "")</f>
      </c>
      <c r="CP21" s="24"/>
      <c r="CQ21" s="116" t="str">
        <f>=IFERROR(ROUND([@[Ausgaben (LC)]]/FB_Kurs_14,2),0)</f>
      </c>
      <c r="CR21" s="115" t="str">
        <f>=IFERROR([@[Ausgaben (LC)]] + SUMIFS(Ausgaben_13[Kum. Ausgaben (LC)], Ausgaben_13[ID], [@ID]), [@[Ausgaben (LC)]])</f>
      </c>
      <c r="CS21" s="143" t="str">
        <f>=IFERROR([@[Ausgaben (EUR)]] + SUMIFS(Ausgaben_13[Kum. Ausgaben (EUR)], Ausgaben_13[ID], [@ID]), [@[Ausgaben (EUR)]])</f>
      </c>
      <c r="CV21" s="148" t="str">
        <f>=IFERROR(INDEX(Budget_ID_Liste, ROW() - ROW(Ausgaben_15[#Headers])), "")</f>
      </c>
      <c r="CW21" s="24"/>
      <c r="CX21" s="116" t="str">
        <f>=IFERROR(ROUND([@[Ausgaben (LC)]]/FB_Kurs_15,2),0)</f>
      </c>
      <c r="CY21" s="115" t="str">
        <f>=IFERROR([@[Ausgaben (LC)]] + SUMIFS(Ausgaben_14[Kum. Ausgaben (LC)], Ausgaben_14[ID], [@ID]), [@[Ausgaben (LC)]])</f>
      </c>
      <c r="CZ21" s="143" t="str">
        <f>=IFERROR([@[Ausgaben (EUR)]] + SUMIFS(Ausgaben_14[Kum. Ausgaben (EUR)], Ausgaben_14[ID], [@ID]), [@[Ausgaben (EUR)]])</f>
      </c>
      <c r="DC21" s="148" t="str">
        <f>=IFERROR(INDEX(Budget_ID_Liste, ROW() - ROW(Ausgaben_16[#Headers])), "")</f>
      </c>
      <c r="DD21" s="24"/>
      <c r="DE21" s="116" t="str">
        <f>=IFERROR(ROUND([@[Ausgaben (LC)]]/FB_Kurs_16,2),0)</f>
      </c>
      <c r="DF21" s="115" t="str">
        <f>=IFERROR([@[Ausgaben (LC)]] + SUMIFS(Ausgaben_15[Kum. Ausgaben (LC)], Ausgaben_15[ID], [@ID]), [@[Ausgaben (LC)]])</f>
      </c>
      <c r="DG21" s="143" t="str">
        <f>=IFERROR([@[Ausgaben (EUR)]] + SUMIFS(Ausgaben_15[Kum. Ausgaben (EUR)], Ausgaben_15[ID], [@ID]), [@[Ausgaben (EUR)]])</f>
      </c>
      <c r="DJ21" s="148" t="str">
        <f>=IFERROR(INDEX(Budget_ID_Liste, ROW() - ROW(Ausgaben_17[#Headers])), "")</f>
      </c>
      <c r="DK21" s="24"/>
      <c r="DL21" s="116" t="str">
        <f>=IFERROR(ROUND([@[Ausgaben (LC)]]/FB_Kurs_17,2),0)</f>
      </c>
      <c r="DM21" s="115" t="str">
        <f>=IFERROR([@[Ausgaben (LC)]] + SUMIFS(Ausgaben_16[Kum. Ausgaben (LC)], Ausgaben_16[ID], [@ID]), [@[Ausgaben (LC)]])</f>
      </c>
      <c r="DN21" s="143" t="str">
        <f>=IFERROR([@[Ausgaben (EUR)]] + SUMIFS(Ausgaben_16[Kum. Ausgaben (EUR)], Ausgaben_16[ID], [@ID]), [@[Ausgaben (EUR)]])</f>
      </c>
      <c r="DQ21" s="148" t="str">
        <f>=IFERROR(INDEX(Budget_ID_Liste, ROW() - ROW(Ausgaben_18[#Headers])), "")</f>
      </c>
      <c r="DR21" s="24"/>
      <c r="DS21" s="116" t="str">
        <f>=IFERROR(ROUND([@[Ausgaben (LC)]]/FB_Kurs_18,2),0)</f>
      </c>
      <c r="DT21" s="115" t="str">
        <f>=IFERROR([@[Ausgaben (LC)]] + SUMIFS(Ausgaben_17[Kum. Ausgaben (LC)], Ausgaben_17[ID], [@ID]), [@[Ausgaben (LC)]])</f>
      </c>
      <c r="DU21" s="143" t="str">
        <f>=IFERROR([@[Ausgaben (EUR)]] + SUMIFS(Ausgaben_17[Kum. Ausgaben (EUR)], Ausgaben_17[ID], [@ID]), [@[Ausgaben (EUR)]])</f>
      </c>
    </row>
    <row r="22">
      <c r="B22" s="148" t="str">
        <f>=IFERROR(INDEX(Budget_ID_Liste, ROW() - ROW(Ausgaben_1[#Headers])), "")</f>
      </c>
      <c r="C22" s="24"/>
      <c r="D22" s="116" t="str">
        <f>=IFERROR(ROUND([@[Ausgaben (LC)]]/FB_Kurs_1,2),0)</f>
      </c>
      <c r="E22" s="115" t="str">
        <f>=IFERROR([@[Ausgaben (LC)]], 0)</f>
      </c>
      <c r="F22" s="143" t="str">
        <f>=IFERROR([@[Ausgaben (EUR)]], 0)</f>
      </c>
      <c r="I22" s="148" t="str">
        <f>=IFERROR(INDEX(Budget_ID_Liste, ROW() - ROW(Ausgaben_2[#Headers])), "")</f>
      </c>
      <c r="J22" s="24"/>
      <c r="K22" s="116" t="str">
        <f>=IFERROR(ROUND([@[Ausgaben (LC)]]/FB_Kurs_2,2),0)</f>
      </c>
      <c r="L22" s="115" t="str">
        <f>=IFERROR([@[Ausgaben (LC)]] + SUMIFS(Ausgaben_1[Kum. Ausgaben (LC)], Ausgaben_1[ID], [@ID]), [@[Ausgaben (LC)]])</f>
      </c>
      <c r="M22" s="143" t="str">
        <f>=IFERROR([@[Ausgaben (EUR)]] + SUMIFS(Ausgaben_1[Kum. Ausgaben (EUR)], Ausgaben_1[ID], [@ID]), [@[Ausgaben (EUR)]])</f>
      </c>
      <c r="P22" s="148" t="str">
        <f>=IFERROR(INDEX(Budget_ID_Liste, ROW() - ROW(Ausgaben_3[#Headers])), "")</f>
      </c>
      <c r="Q22" s="24"/>
      <c r="R22" s="116" t="str">
        <f>=IFERROR(ROUND([@[Ausgaben (LC)]]/FB_Kurs_3,2),0)</f>
      </c>
      <c r="S22" s="115" t="str">
        <f>=IFERROR([@[Ausgaben (LC)]] + SUMIFS(Ausgaben_2[Kum. Ausgaben (LC)], Ausgaben_2[ID], [@ID]), [@[Ausgaben (LC)]])</f>
      </c>
      <c r="T22" s="143" t="str">
        <f>=IFERROR([@[Ausgaben (EUR)]] + SUMIFS(Ausgaben_2[Kum. Ausgaben (EUR)], Ausgaben_2[ID], [@ID]), [@[Ausgaben (EUR)]])</f>
      </c>
      <c r="W22" s="148" t="str">
        <f>=IFERROR(INDEX(Budget_ID_Liste, ROW() - ROW(Ausgaben_4[#Headers])), "")</f>
      </c>
      <c r="X22" s="24"/>
      <c r="Y22" s="116" t="str">
        <f>=IFERROR(ROUND([@[Ausgaben (LC)]]/FB_Kurs_4,2),0)</f>
      </c>
      <c r="Z22" s="115" t="str">
        <f>=IFERROR([@[Ausgaben (LC)]] + SUMIFS(Ausgaben_3[Kum. Ausgaben (LC)], Ausgaben_3[ID], [@ID]), [@[Ausgaben (LC)]])</f>
      </c>
      <c r="AA22" s="143" t="str">
        <f>=IFERROR([@[Ausgaben (EUR)]] + SUMIFS(Ausgaben_3[Kum. Ausgaben (EUR)], Ausgaben_3[ID], [@ID]), [@[Ausgaben (EUR)]])</f>
      </c>
      <c r="AD22" s="148" t="str">
        <f>=IFERROR(INDEX(Budget_ID_Liste, ROW() - ROW(Ausgaben_5[#Headers])), "")</f>
      </c>
      <c r="AE22" s="24"/>
      <c r="AF22" s="116" t="str">
        <f>=IFERROR(ROUND([@[Ausgaben (LC)]]/FB_Kurs_5,2),0)</f>
      </c>
      <c r="AG22" s="115" t="str">
        <f>=IFERROR([@[Ausgaben (LC)]] + SUMIFS(Ausgaben_4[Kum. Ausgaben (LC)], Ausgaben_4[ID], [@ID]), [@[Ausgaben (LC)]])</f>
      </c>
      <c r="AH22" s="143" t="str">
        <f>=IFERROR([@[Ausgaben (EUR)]] + SUMIFS(Ausgaben_4[Kum. Ausgaben (EUR)], Ausgaben_4[ID], [@ID]), [@[Ausgaben (EUR)]])</f>
      </c>
      <c r="AK22" s="148" t="str">
        <f>=IFERROR(INDEX(Budget_ID_Liste, ROW() - ROW(Ausgaben_6[#Headers])), "")</f>
      </c>
      <c r="AL22" s="24"/>
      <c r="AM22" s="116" t="str">
        <f>=IFERROR(ROUND([@[Ausgaben (LC)]]/FB_Kurs_6,2),0)</f>
      </c>
      <c r="AN22" s="115" t="str">
        <f>=IFERROR([@[Ausgaben (LC)]] + SUMIFS(Ausgaben_5[Kum. Ausgaben (LC)], Ausgaben_5[ID], [@ID]), [@[Ausgaben (LC)]])</f>
      </c>
      <c r="AO22" s="143" t="str">
        <f>=IFERROR([@[Ausgaben (EUR)]] + SUMIFS(Ausgaben_5[Kum. Ausgaben (EUR)], Ausgaben_5[ID], [@ID]), [@[Ausgaben (EUR)]])</f>
      </c>
      <c r="AR22" s="148" t="str">
        <f>=IFERROR(INDEX(Budget_ID_Liste, ROW() - ROW(Ausgaben_7[#Headers])), "")</f>
      </c>
      <c r="AS22" s="24"/>
      <c r="AT22" s="116" t="str">
        <f>=IFERROR(ROUND([@[Ausgaben (LC)]]/FB_Kurs_7,2),0)</f>
      </c>
      <c r="AU22" s="115" t="str">
        <f>=IFERROR([@[Ausgaben (LC)]] + SUMIFS(Ausgaben_6[Kum. Ausgaben (LC)], Ausgaben_6[ID], [@ID]), [@[Ausgaben (LC)]])</f>
      </c>
      <c r="AV22" s="143" t="str">
        <f>=IFERROR([@[Ausgaben (EUR)]] + SUMIFS(Ausgaben_6[Kum. Ausgaben (EUR)], Ausgaben_6[ID], [@ID]), [@[Ausgaben (EUR)]])</f>
      </c>
      <c r="AY22" s="148" t="str">
        <f>=IFERROR(INDEX(Budget_ID_Liste, ROW() - ROW(Ausgaben_8[#Headers])), "")</f>
      </c>
      <c r="AZ22" s="24"/>
      <c r="BA22" s="116" t="str">
        <f>=IFERROR(ROUND([@[Ausgaben (LC)]]/FB_Kurs_8,2),0)</f>
      </c>
      <c r="BB22" s="115" t="str">
        <f>=IFERROR([@[Ausgaben (LC)]] + SUMIFS(Ausgaben_7[Kum. Ausgaben (LC)], Ausgaben_7[ID], [@ID]), [@[Ausgaben (LC)]])</f>
      </c>
      <c r="BC22" s="143" t="str">
        <f>=IFERROR([@[Ausgaben (EUR)]] + SUMIFS(Ausgaben_7[Kum. Ausgaben (EUR)], Ausgaben_7[ID], [@ID]), [@[Ausgaben (EUR)]])</f>
      </c>
      <c r="BF22" s="148" t="str">
        <f>=IFERROR(INDEX(Budget_ID_Liste, ROW() - ROW(Ausgaben_9[#Headers])), "")</f>
      </c>
      <c r="BG22" s="24"/>
      <c r="BH22" s="116" t="str">
        <f>=IFERROR(ROUND([@[Ausgaben (LC)]]/FB_Kurs_9,2),0)</f>
      </c>
      <c r="BI22" s="115" t="str">
        <f>=IFERROR([@[Ausgaben (LC)]] + SUMIFS(Ausgaben_8[Kum. Ausgaben (LC)], Ausgaben_8[ID], [@ID]), [@[Ausgaben (LC)]])</f>
      </c>
      <c r="BJ22" s="143" t="str">
        <f>=IFERROR([@[Ausgaben (EUR)]] + SUMIFS(Ausgaben_8[Kum. Ausgaben (EUR)], Ausgaben_8[ID], [@ID]), [@[Ausgaben (EUR)]])</f>
      </c>
      <c r="BM22" s="148" t="str">
        <f>=IFERROR(INDEX(Budget_ID_Liste, ROW() - ROW(Ausgaben_10[#Headers])), "")</f>
      </c>
      <c r="BN22" s="24"/>
      <c r="BO22" s="116" t="str">
        <f>=IFERROR(ROUND([@[Ausgaben (LC)]]/FB_Kurs_10,2),0)</f>
      </c>
      <c r="BP22" s="115" t="str">
        <f>=IFERROR([@[Ausgaben (LC)]] + SUMIFS(Ausgaben_9[Kum. Ausgaben (LC)], Ausgaben_9[ID], [@ID]), [@[Ausgaben (LC)]])</f>
      </c>
      <c r="BQ22" s="143" t="str">
        <f>=IFERROR([@[Ausgaben (EUR)]] + SUMIFS(Ausgaben_9[Kum. Ausgaben (EUR)], Ausgaben_9[ID], [@ID]), [@[Ausgaben (EUR)]])</f>
      </c>
      <c r="BT22" s="148" t="str">
        <f>=IFERROR(INDEX(Budget_ID_Liste, ROW() - ROW(Ausgaben_11[#Headers])), "")</f>
      </c>
      <c r="BU22" s="24"/>
      <c r="BV22" s="116" t="str">
        <f>=IFERROR(ROUND([@[Ausgaben (LC)]]/FB_Kurs_11,2),0)</f>
      </c>
      <c r="BW22" s="115" t="str">
        <f>=IFERROR([@[Ausgaben (LC)]] + SUMIFS(Ausgaben_10[Kum. Ausgaben (LC)], Ausgaben_10[ID], [@ID]), [@[Ausgaben (LC)]])</f>
      </c>
      <c r="BX22" s="143" t="str">
        <f>=IFERROR([@[Ausgaben (EUR)]] + SUMIFS(Ausgaben_10[Kum. Ausgaben (EUR)], Ausgaben_10[ID], [@ID]), [@[Ausgaben (EUR)]])</f>
      </c>
      <c r="CA22" s="148" t="str">
        <f>=IFERROR(INDEX(Budget_ID_Liste, ROW() - ROW(Ausgaben_12[#Headers])), "")</f>
      </c>
      <c r="CB22" s="24"/>
      <c r="CC22" s="116" t="str">
        <f>=IFERROR(ROUND([@[Ausgaben (LC)]]/FB_Kurs_12,2),0)</f>
      </c>
      <c r="CD22" s="115" t="str">
        <f>=IFERROR([@[Ausgaben (LC)]] + SUMIFS(Ausgaben_11[Kum. Ausgaben (LC)], Ausgaben_11[ID], [@ID]), [@[Ausgaben (LC)]])</f>
      </c>
      <c r="CE22" s="143" t="str">
        <f>=IFERROR([@[Ausgaben (EUR)]] + SUMIFS(Ausgaben_11[Kum. Ausgaben (EUR)], Ausgaben_11[ID], [@ID]), [@[Ausgaben (EUR)]])</f>
      </c>
      <c r="CH22" s="148" t="str">
        <f>=IFERROR(INDEX(Budget_ID_Liste, ROW() - ROW(Ausgaben_13[#Headers])), "")</f>
      </c>
      <c r="CI22" s="24"/>
      <c r="CJ22" s="116" t="str">
        <f>=IFERROR(ROUND([@[Ausgaben (LC)]]/FB_Kurs_13,2),0)</f>
      </c>
      <c r="CK22" s="115" t="str">
        <f>=IFERROR([@[Ausgaben (LC)]] + SUMIFS(Ausgaben_12[Kum. Ausgaben (LC)], Ausgaben_12[ID], [@ID]), [@[Ausgaben (LC)]])</f>
      </c>
      <c r="CL22" s="143" t="str">
        <f>=IFERROR([@[Ausgaben (EUR)]] + SUMIFS(Ausgaben_12[Kum. Ausgaben (EUR)], Ausgaben_12[ID], [@ID]), [@[Ausgaben (EUR)]])</f>
      </c>
      <c r="CO22" s="148" t="str">
        <f>=IFERROR(INDEX(Budget_ID_Liste, ROW() - ROW(Ausgaben_14[#Headers])), "")</f>
      </c>
      <c r="CP22" s="24"/>
      <c r="CQ22" s="116" t="str">
        <f>=IFERROR(ROUND([@[Ausgaben (LC)]]/FB_Kurs_14,2),0)</f>
      </c>
      <c r="CR22" s="115" t="str">
        <f>=IFERROR([@[Ausgaben (LC)]] + SUMIFS(Ausgaben_13[Kum. Ausgaben (LC)], Ausgaben_13[ID], [@ID]), [@[Ausgaben (LC)]])</f>
      </c>
      <c r="CS22" s="143" t="str">
        <f>=IFERROR([@[Ausgaben (EUR)]] + SUMIFS(Ausgaben_13[Kum. Ausgaben (EUR)], Ausgaben_13[ID], [@ID]), [@[Ausgaben (EUR)]])</f>
      </c>
      <c r="CV22" s="148" t="str">
        <f>=IFERROR(INDEX(Budget_ID_Liste, ROW() - ROW(Ausgaben_15[#Headers])), "")</f>
      </c>
      <c r="CW22" s="24"/>
      <c r="CX22" s="116" t="str">
        <f>=IFERROR(ROUND([@[Ausgaben (LC)]]/FB_Kurs_15,2),0)</f>
      </c>
      <c r="CY22" s="115" t="str">
        <f>=IFERROR([@[Ausgaben (LC)]] + SUMIFS(Ausgaben_14[Kum. Ausgaben (LC)], Ausgaben_14[ID], [@ID]), [@[Ausgaben (LC)]])</f>
      </c>
      <c r="CZ22" s="143" t="str">
        <f>=IFERROR([@[Ausgaben (EUR)]] + SUMIFS(Ausgaben_14[Kum. Ausgaben (EUR)], Ausgaben_14[ID], [@ID]), [@[Ausgaben (EUR)]])</f>
      </c>
      <c r="DC22" s="148" t="str">
        <f>=IFERROR(INDEX(Budget_ID_Liste, ROW() - ROW(Ausgaben_16[#Headers])), "")</f>
      </c>
      <c r="DD22" s="24"/>
      <c r="DE22" s="116" t="str">
        <f>=IFERROR(ROUND([@[Ausgaben (LC)]]/FB_Kurs_16,2),0)</f>
      </c>
      <c r="DF22" s="115" t="str">
        <f>=IFERROR([@[Ausgaben (LC)]] + SUMIFS(Ausgaben_15[Kum. Ausgaben (LC)], Ausgaben_15[ID], [@ID]), [@[Ausgaben (LC)]])</f>
      </c>
      <c r="DG22" s="143" t="str">
        <f>=IFERROR([@[Ausgaben (EUR)]] + SUMIFS(Ausgaben_15[Kum. Ausgaben (EUR)], Ausgaben_15[ID], [@ID]), [@[Ausgaben (EUR)]])</f>
      </c>
      <c r="DJ22" s="148" t="str">
        <f>=IFERROR(INDEX(Budget_ID_Liste, ROW() - ROW(Ausgaben_17[#Headers])), "")</f>
      </c>
      <c r="DK22" s="24"/>
      <c r="DL22" s="116" t="str">
        <f>=IFERROR(ROUND([@[Ausgaben (LC)]]/FB_Kurs_17,2),0)</f>
      </c>
      <c r="DM22" s="115" t="str">
        <f>=IFERROR([@[Ausgaben (LC)]] + SUMIFS(Ausgaben_16[Kum. Ausgaben (LC)], Ausgaben_16[ID], [@ID]), [@[Ausgaben (LC)]])</f>
      </c>
      <c r="DN22" s="143" t="str">
        <f>=IFERROR([@[Ausgaben (EUR)]] + SUMIFS(Ausgaben_16[Kum. Ausgaben (EUR)], Ausgaben_16[ID], [@ID]), [@[Ausgaben (EUR)]])</f>
      </c>
      <c r="DQ22" s="148" t="str">
        <f>=IFERROR(INDEX(Budget_ID_Liste, ROW() - ROW(Ausgaben_18[#Headers])), "")</f>
      </c>
      <c r="DR22" s="24"/>
      <c r="DS22" s="116" t="str">
        <f>=IFERROR(ROUND([@[Ausgaben (LC)]]/FB_Kurs_18,2),0)</f>
      </c>
      <c r="DT22" s="115" t="str">
        <f>=IFERROR([@[Ausgaben (LC)]] + SUMIFS(Ausgaben_17[Kum. Ausgaben (LC)], Ausgaben_17[ID], [@ID]), [@[Ausgaben (LC)]])</f>
      </c>
      <c r="DU22" s="143" t="str">
        <f>=IFERROR([@[Ausgaben (EUR)]] + SUMIFS(Ausgaben_17[Kum. Ausgaben (EUR)], Ausgaben_17[ID], [@ID]), [@[Ausgaben (EUR)]])</f>
      </c>
    </row>
    <row r="23">
      <c r="B23" s="148" t="str">
        <f>=IFERROR(INDEX(Budget_ID_Liste, ROW() - ROW(Ausgaben_1[#Headers])), "")</f>
      </c>
      <c r="C23" s="24"/>
      <c r="D23" s="116" t="str">
        <f>=IFERROR(ROUND([@[Ausgaben (LC)]]/FB_Kurs_1,2),0)</f>
      </c>
      <c r="E23" s="115" t="str">
        <f>=IFERROR([@[Ausgaben (LC)]], 0)</f>
      </c>
      <c r="F23" s="143" t="str">
        <f>=IFERROR([@[Ausgaben (EUR)]], 0)</f>
      </c>
      <c r="I23" s="148" t="str">
        <f>=IFERROR(INDEX(Budget_ID_Liste, ROW() - ROW(Ausgaben_2[#Headers])), "")</f>
      </c>
      <c r="J23" s="24"/>
      <c r="K23" s="116" t="str">
        <f>=IFERROR(ROUND([@[Ausgaben (LC)]]/FB_Kurs_2,2),0)</f>
      </c>
      <c r="L23" s="115" t="str">
        <f>=IFERROR([@[Ausgaben (LC)]] + SUMIFS(Ausgaben_1[Kum. Ausgaben (LC)], Ausgaben_1[ID], [@ID]), [@[Ausgaben (LC)]])</f>
      </c>
      <c r="M23" s="143" t="str">
        <f>=IFERROR([@[Ausgaben (EUR)]] + SUMIFS(Ausgaben_1[Kum. Ausgaben (EUR)], Ausgaben_1[ID], [@ID]), [@[Ausgaben (EUR)]])</f>
      </c>
      <c r="P23" s="148" t="str">
        <f>=IFERROR(INDEX(Budget_ID_Liste, ROW() - ROW(Ausgaben_3[#Headers])), "")</f>
      </c>
      <c r="Q23" s="24"/>
      <c r="R23" s="116" t="str">
        <f>=IFERROR(ROUND([@[Ausgaben (LC)]]/FB_Kurs_3,2),0)</f>
      </c>
      <c r="S23" s="115" t="str">
        <f>=IFERROR([@[Ausgaben (LC)]] + SUMIFS(Ausgaben_2[Kum. Ausgaben (LC)], Ausgaben_2[ID], [@ID]), [@[Ausgaben (LC)]])</f>
      </c>
      <c r="T23" s="143" t="str">
        <f>=IFERROR([@[Ausgaben (EUR)]] + SUMIFS(Ausgaben_2[Kum. Ausgaben (EUR)], Ausgaben_2[ID], [@ID]), [@[Ausgaben (EUR)]])</f>
      </c>
      <c r="W23" s="148" t="str">
        <f>=IFERROR(INDEX(Budget_ID_Liste, ROW() - ROW(Ausgaben_4[#Headers])), "")</f>
      </c>
      <c r="X23" s="24"/>
      <c r="Y23" s="116" t="str">
        <f>=IFERROR(ROUND([@[Ausgaben (LC)]]/FB_Kurs_4,2),0)</f>
      </c>
      <c r="Z23" s="115" t="str">
        <f>=IFERROR([@[Ausgaben (LC)]] + SUMIFS(Ausgaben_3[Kum. Ausgaben (LC)], Ausgaben_3[ID], [@ID]), [@[Ausgaben (LC)]])</f>
      </c>
      <c r="AA23" s="143" t="str">
        <f>=IFERROR([@[Ausgaben (EUR)]] + SUMIFS(Ausgaben_3[Kum. Ausgaben (EUR)], Ausgaben_3[ID], [@ID]), [@[Ausgaben (EUR)]])</f>
      </c>
      <c r="AD23" s="148" t="str">
        <f>=IFERROR(INDEX(Budget_ID_Liste, ROW() - ROW(Ausgaben_5[#Headers])), "")</f>
      </c>
      <c r="AE23" s="24"/>
      <c r="AF23" s="116" t="str">
        <f>=IFERROR(ROUND([@[Ausgaben (LC)]]/FB_Kurs_5,2),0)</f>
      </c>
      <c r="AG23" s="115" t="str">
        <f>=IFERROR([@[Ausgaben (LC)]] + SUMIFS(Ausgaben_4[Kum. Ausgaben (LC)], Ausgaben_4[ID], [@ID]), [@[Ausgaben (LC)]])</f>
      </c>
      <c r="AH23" s="143" t="str">
        <f>=IFERROR([@[Ausgaben (EUR)]] + SUMIFS(Ausgaben_4[Kum. Ausgaben (EUR)], Ausgaben_4[ID], [@ID]), [@[Ausgaben (EUR)]])</f>
      </c>
      <c r="AK23" s="148" t="str">
        <f>=IFERROR(INDEX(Budget_ID_Liste, ROW() - ROW(Ausgaben_6[#Headers])), "")</f>
      </c>
      <c r="AL23" s="24"/>
      <c r="AM23" s="116" t="str">
        <f>=IFERROR(ROUND([@[Ausgaben (LC)]]/FB_Kurs_6,2),0)</f>
      </c>
      <c r="AN23" s="115" t="str">
        <f>=IFERROR([@[Ausgaben (LC)]] + SUMIFS(Ausgaben_5[Kum. Ausgaben (LC)], Ausgaben_5[ID], [@ID]), [@[Ausgaben (LC)]])</f>
      </c>
      <c r="AO23" s="143" t="str">
        <f>=IFERROR([@[Ausgaben (EUR)]] + SUMIFS(Ausgaben_5[Kum. Ausgaben (EUR)], Ausgaben_5[ID], [@ID]), [@[Ausgaben (EUR)]])</f>
      </c>
      <c r="AR23" s="148" t="str">
        <f>=IFERROR(INDEX(Budget_ID_Liste, ROW() - ROW(Ausgaben_7[#Headers])), "")</f>
      </c>
      <c r="AS23" s="24"/>
      <c r="AT23" s="116" t="str">
        <f>=IFERROR(ROUND([@[Ausgaben (LC)]]/FB_Kurs_7,2),0)</f>
      </c>
      <c r="AU23" s="115" t="str">
        <f>=IFERROR([@[Ausgaben (LC)]] + SUMIFS(Ausgaben_6[Kum. Ausgaben (LC)], Ausgaben_6[ID], [@ID]), [@[Ausgaben (LC)]])</f>
      </c>
      <c r="AV23" s="143" t="str">
        <f>=IFERROR([@[Ausgaben (EUR)]] + SUMIFS(Ausgaben_6[Kum. Ausgaben (EUR)], Ausgaben_6[ID], [@ID]), [@[Ausgaben (EUR)]])</f>
      </c>
      <c r="AY23" s="148" t="str">
        <f>=IFERROR(INDEX(Budget_ID_Liste, ROW() - ROW(Ausgaben_8[#Headers])), "")</f>
      </c>
      <c r="AZ23" s="24"/>
      <c r="BA23" s="116" t="str">
        <f>=IFERROR(ROUND([@[Ausgaben (LC)]]/FB_Kurs_8,2),0)</f>
      </c>
      <c r="BB23" s="115" t="str">
        <f>=IFERROR([@[Ausgaben (LC)]] + SUMIFS(Ausgaben_7[Kum. Ausgaben (LC)], Ausgaben_7[ID], [@ID]), [@[Ausgaben (LC)]])</f>
      </c>
      <c r="BC23" s="143" t="str">
        <f>=IFERROR([@[Ausgaben (EUR)]] + SUMIFS(Ausgaben_7[Kum. Ausgaben (EUR)], Ausgaben_7[ID], [@ID]), [@[Ausgaben (EUR)]])</f>
      </c>
      <c r="BF23" s="148" t="str">
        <f>=IFERROR(INDEX(Budget_ID_Liste, ROW() - ROW(Ausgaben_9[#Headers])), "")</f>
      </c>
      <c r="BG23" s="24"/>
      <c r="BH23" s="116" t="str">
        <f>=IFERROR(ROUND([@[Ausgaben (LC)]]/FB_Kurs_9,2),0)</f>
      </c>
      <c r="BI23" s="115" t="str">
        <f>=IFERROR([@[Ausgaben (LC)]] + SUMIFS(Ausgaben_8[Kum. Ausgaben (LC)], Ausgaben_8[ID], [@ID]), [@[Ausgaben (LC)]])</f>
      </c>
      <c r="BJ23" s="143" t="str">
        <f>=IFERROR([@[Ausgaben (EUR)]] + SUMIFS(Ausgaben_8[Kum. Ausgaben (EUR)], Ausgaben_8[ID], [@ID]), [@[Ausgaben (EUR)]])</f>
      </c>
      <c r="BM23" s="148" t="str">
        <f>=IFERROR(INDEX(Budget_ID_Liste, ROW() - ROW(Ausgaben_10[#Headers])), "")</f>
      </c>
      <c r="BN23" s="24"/>
      <c r="BO23" s="116" t="str">
        <f>=IFERROR(ROUND([@[Ausgaben (LC)]]/FB_Kurs_10,2),0)</f>
      </c>
      <c r="BP23" s="115" t="str">
        <f>=IFERROR([@[Ausgaben (LC)]] + SUMIFS(Ausgaben_9[Kum. Ausgaben (LC)], Ausgaben_9[ID], [@ID]), [@[Ausgaben (LC)]])</f>
      </c>
      <c r="BQ23" s="143" t="str">
        <f>=IFERROR([@[Ausgaben (EUR)]] + SUMIFS(Ausgaben_9[Kum. Ausgaben (EUR)], Ausgaben_9[ID], [@ID]), [@[Ausgaben (EUR)]])</f>
      </c>
      <c r="BT23" s="148" t="str">
        <f>=IFERROR(INDEX(Budget_ID_Liste, ROW() - ROW(Ausgaben_11[#Headers])), "")</f>
      </c>
      <c r="BU23" s="24"/>
      <c r="BV23" s="116" t="str">
        <f>=IFERROR(ROUND([@[Ausgaben (LC)]]/FB_Kurs_11,2),0)</f>
      </c>
      <c r="BW23" s="115" t="str">
        <f>=IFERROR([@[Ausgaben (LC)]] + SUMIFS(Ausgaben_10[Kum. Ausgaben (LC)], Ausgaben_10[ID], [@ID]), [@[Ausgaben (LC)]])</f>
      </c>
      <c r="BX23" s="143" t="str">
        <f>=IFERROR([@[Ausgaben (EUR)]] + SUMIFS(Ausgaben_10[Kum. Ausgaben (EUR)], Ausgaben_10[ID], [@ID]), [@[Ausgaben (EUR)]])</f>
      </c>
      <c r="CA23" s="148" t="str">
        <f>=IFERROR(INDEX(Budget_ID_Liste, ROW() - ROW(Ausgaben_12[#Headers])), "")</f>
      </c>
      <c r="CB23" s="24"/>
      <c r="CC23" s="116" t="str">
        <f>=IFERROR(ROUND([@[Ausgaben (LC)]]/FB_Kurs_12,2),0)</f>
      </c>
      <c r="CD23" s="115" t="str">
        <f>=IFERROR([@[Ausgaben (LC)]] + SUMIFS(Ausgaben_11[Kum. Ausgaben (LC)], Ausgaben_11[ID], [@ID]), [@[Ausgaben (LC)]])</f>
      </c>
      <c r="CE23" s="143" t="str">
        <f>=IFERROR([@[Ausgaben (EUR)]] + SUMIFS(Ausgaben_11[Kum. Ausgaben (EUR)], Ausgaben_11[ID], [@ID]), [@[Ausgaben (EUR)]])</f>
      </c>
      <c r="CH23" s="148" t="str">
        <f>=IFERROR(INDEX(Budget_ID_Liste, ROW() - ROW(Ausgaben_13[#Headers])), "")</f>
      </c>
      <c r="CI23" s="24"/>
      <c r="CJ23" s="116" t="str">
        <f>=IFERROR(ROUND([@[Ausgaben (LC)]]/FB_Kurs_13,2),0)</f>
      </c>
      <c r="CK23" s="115" t="str">
        <f>=IFERROR([@[Ausgaben (LC)]] + SUMIFS(Ausgaben_12[Kum. Ausgaben (LC)], Ausgaben_12[ID], [@ID]), [@[Ausgaben (LC)]])</f>
      </c>
      <c r="CL23" s="143" t="str">
        <f>=IFERROR([@[Ausgaben (EUR)]] + SUMIFS(Ausgaben_12[Kum. Ausgaben (EUR)], Ausgaben_12[ID], [@ID]), [@[Ausgaben (EUR)]])</f>
      </c>
      <c r="CO23" s="148" t="str">
        <f>=IFERROR(INDEX(Budget_ID_Liste, ROW() - ROW(Ausgaben_14[#Headers])), "")</f>
      </c>
      <c r="CP23" s="24"/>
      <c r="CQ23" s="116" t="str">
        <f>=IFERROR(ROUND([@[Ausgaben (LC)]]/FB_Kurs_14,2),0)</f>
      </c>
      <c r="CR23" s="115" t="str">
        <f>=IFERROR([@[Ausgaben (LC)]] + SUMIFS(Ausgaben_13[Kum. Ausgaben (LC)], Ausgaben_13[ID], [@ID]), [@[Ausgaben (LC)]])</f>
      </c>
      <c r="CS23" s="143" t="str">
        <f>=IFERROR([@[Ausgaben (EUR)]] + SUMIFS(Ausgaben_13[Kum. Ausgaben (EUR)], Ausgaben_13[ID], [@ID]), [@[Ausgaben (EUR)]])</f>
      </c>
      <c r="CV23" s="148" t="str">
        <f>=IFERROR(INDEX(Budget_ID_Liste, ROW() - ROW(Ausgaben_15[#Headers])), "")</f>
      </c>
      <c r="CW23" s="24"/>
      <c r="CX23" s="116" t="str">
        <f>=IFERROR(ROUND([@[Ausgaben (LC)]]/FB_Kurs_15,2),0)</f>
      </c>
      <c r="CY23" s="115" t="str">
        <f>=IFERROR([@[Ausgaben (LC)]] + SUMIFS(Ausgaben_14[Kum. Ausgaben (LC)], Ausgaben_14[ID], [@ID]), [@[Ausgaben (LC)]])</f>
      </c>
      <c r="CZ23" s="143" t="str">
        <f>=IFERROR([@[Ausgaben (EUR)]] + SUMIFS(Ausgaben_14[Kum. Ausgaben (EUR)], Ausgaben_14[ID], [@ID]), [@[Ausgaben (EUR)]])</f>
      </c>
      <c r="DC23" s="148" t="str">
        <f>=IFERROR(INDEX(Budget_ID_Liste, ROW() - ROW(Ausgaben_16[#Headers])), "")</f>
      </c>
      <c r="DD23" s="24"/>
      <c r="DE23" s="116" t="str">
        <f>=IFERROR(ROUND([@[Ausgaben (LC)]]/FB_Kurs_16,2),0)</f>
      </c>
      <c r="DF23" s="115" t="str">
        <f>=IFERROR([@[Ausgaben (LC)]] + SUMIFS(Ausgaben_15[Kum. Ausgaben (LC)], Ausgaben_15[ID], [@ID]), [@[Ausgaben (LC)]])</f>
      </c>
      <c r="DG23" s="143" t="str">
        <f>=IFERROR([@[Ausgaben (EUR)]] + SUMIFS(Ausgaben_15[Kum. Ausgaben (EUR)], Ausgaben_15[ID], [@ID]), [@[Ausgaben (EUR)]])</f>
      </c>
      <c r="DJ23" s="148" t="str">
        <f>=IFERROR(INDEX(Budget_ID_Liste, ROW() - ROW(Ausgaben_17[#Headers])), "")</f>
      </c>
      <c r="DK23" s="24"/>
      <c r="DL23" s="116" t="str">
        <f>=IFERROR(ROUND([@[Ausgaben (LC)]]/FB_Kurs_17,2),0)</f>
      </c>
      <c r="DM23" s="115" t="str">
        <f>=IFERROR([@[Ausgaben (LC)]] + SUMIFS(Ausgaben_16[Kum. Ausgaben (LC)], Ausgaben_16[ID], [@ID]), [@[Ausgaben (LC)]])</f>
      </c>
      <c r="DN23" s="143" t="str">
        <f>=IFERROR([@[Ausgaben (EUR)]] + SUMIFS(Ausgaben_16[Kum. Ausgaben (EUR)], Ausgaben_16[ID], [@ID]), [@[Ausgaben (EUR)]])</f>
      </c>
      <c r="DQ23" s="148" t="str">
        <f>=IFERROR(INDEX(Budget_ID_Liste, ROW() - ROW(Ausgaben_18[#Headers])), "")</f>
      </c>
      <c r="DR23" s="24"/>
      <c r="DS23" s="116" t="str">
        <f>=IFERROR(ROUND([@[Ausgaben (LC)]]/FB_Kurs_18,2),0)</f>
      </c>
      <c r="DT23" s="115" t="str">
        <f>=IFERROR([@[Ausgaben (LC)]] + SUMIFS(Ausgaben_17[Kum. Ausgaben (LC)], Ausgaben_17[ID], [@ID]), [@[Ausgaben (LC)]])</f>
      </c>
      <c r="DU23" s="143" t="str">
        <f>=IFERROR([@[Ausgaben (EUR)]] + SUMIFS(Ausgaben_17[Kum. Ausgaben (EUR)], Ausgaben_17[ID], [@ID]), [@[Ausgaben (EUR)]])</f>
      </c>
    </row>
    <row r="24">
      <c r="B24" s="148" t="str">
        <f>=IFERROR(INDEX(Budget_ID_Liste, ROW() - ROW(Ausgaben_1[#Headers])), "")</f>
      </c>
      <c r="C24" s="24"/>
      <c r="D24" s="116" t="str">
        <f>=IFERROR(ROUND([@[Ausgaben (LC)]]/FB_Kurs_1,2),0)</f>
      </c>
      <c r="E24" s="115" t="str">
        <f>=IFERROR([@[Ausgaben (LC)]], 0)</f>
      </c>
      <c r="F24" s="143" t="str">
        <f>=IFERROR([@[Ausgaben (EUR)]], 0)</f>
      </c>
      <c r="I24" s="148" t="str">
        <f>=IFERROR(INDEX(Budget_ID_Liste, ROW() - ROW(Ausgaben_2[#Headers])), "")</f>
      </c>
      <c r="J24" s="24"/>
      <c r="K24" s="116" t="str">
        <f>=IFERROR(ROUND([@[Ausgaben (LC)]]/FB_Kurs_2,2),0)</f>
      </c>
      <c r="L24" s="115" t="str">
        <f>=IFERROR([@[Ausgaben (LC)]] + SUMIFS(Ausgaben_1[Kum. Ausgaben (LC)], Ausgaben_1[ID], [@ID]), [@[Ausgaben (LC)]])</f>
      </c>
      <c r="M24" s="143" t="str">
        <f>=IFERROR([@[Ausgaben (EUR)]] + SUMIFS(Ausgaben_1[Kum. Ausgaben (EUR)], Ausgaben_1[ID], [@ID]), [@[Ausgaben (EUR)]])</f>
      </c>
      <c r="P24" s="148" t="str">
        <f>=IFERROR(INDEX(Budget_ID_Liste, ROW() - ROW(Ausgaben_3[#Headers])), "")</f>
      </c>
      <c r="Q24" s="24"/>
      <c r="R24" s="116" t="str">
        <f>=IFERROR(ROUND([@[Ausgaben (LC)]]/FB_Kurs_3,2),0)</f>
      </c>
      <c r="S24" s="115" t="str">
        <f>=IFERROR([@[Ausgaben (LC)]] + SUMIFS(Ausgaben_2[Kum. Ausgaben (LC)], Ausgaben_2[ID], [@ID]), [@[Ausgaben (LC)]])</f>
      </c>
      <c r="T24" s="143" t="str">
        <f>=IFERROR([@[Ausgaben (EUR)]] + SUMIFS(Ausgaben_2[Kum. Ausgaben (EUR)], Ausgaben_2[ID], [@ID]), [@[Ausgaben (EUR)]])</f>
      </c>
      <c r="W24" s="148" t="str">
        <f>=IFERROR(INDEX(Budget_ID_Liste, ROW() - ROW(Ausgaben_4[#Headers])), "")</f>
      </c>
      <c r="X24" s="24"/>
      <c r="Y24" s="116" t="str">
        <f>=IFERROR(ROUND([@[Ausgaben (LC)]]/FB_Kurs_4,2),0)</f>
      </c>
      <c r="Z24" s="115" t="str">
        <f>=IFERROR([@[Ausgaben (LC)]] + SUMIFS(Ausgaben_3[Kum. Ausgaben (LC)], Ausgaben_3[ID], [@ID]), [@[Ausgaben (LC)]])</f>
      </c>
      <c r="AA24" s="143" t="str">
        <f>=IFERROR([@[Ausgaben (EUR)]] + SUMIFS(Ausgaben_3[Kum. Ausgaben (EUR)], Ausgaben_3[ID], [@ID]), [@[Ausgaben (EUR)]])</f>
      </c>
      <c r="AD24" s="148" t="str">
        <f>=IFERROR(INDEX(Budget_ID_Liste, ROW() - ROW(Ausgaben_5[#Headers])), "")</f>
      </c>
      <c r="AE24" s="24"/>
      <c r="AF24" s="116" t="str">
        <f>=IFERROR(ROUND([@[Ausgaben (LC)]]/FB_Kurs_5,2),0)</f>
      </c>
      <c r="AG24" s="115" t="str">
        <f>=IFERROR([@[Ausgaben (LC)]] + SUMIFS(Ausgaben_4[Kum. Ausgaben (LC)], Ausgaben_4[ID], [@ID]), [@[Ausgaben (LC)]])</f>
      </c>
      <c r="AH24" s="143" t="str">
        <f>=IFERROR([@[Ausgaben (EUR)]] + SUMIFS(Ausgaben_4[Kum. Ausgaben (EUR)], Ausgaben_4[ID], [@ID]), [@[Ausgaben (EUR)]])</f>
      </c>
      <c r="AK24" s="148" t="str">
        <f>=IFERROR(INDEX(Budget_ID_Liste, ROW() - ROW(Ausgaben_6[#Headers])), "")</f>
      </c>
      <c r="AL24" s="24"/>
      <c r="AM24" s="116" t="str">
        <f>=IFERROR(ROUND([@[Ausgaben (LC)]]/FB_Kurs_6,2),0)</f>
      </c>
      <c r="AN24" s="115" t="str">
        <f>=IFERROR([@[Ausgaben (LC)]] + SUMIFS(Ausgaben_5[Kum. Ausgaben (LC)], Ausgaben_5[ID], [@ID]), [@[Ausgaben (LC)]])</f>
      </c>
      <c r="AO24" s="143" t="str">
        <f>=IFERROR([@[Ausgaben (EUR)]] + SUMIFS(Ausgaben_5[Kum. Ausgaben (EUR)], Ausgaben_5[ID], [@ID]), [@[Ausgaben (EUR)]])</f>
      </c>
      <c r="AR24" s="148" t="str">
        <f>=IFERROR(INDEX(Budget_ID_Liste, ROW() - ROW(Ausgaben_7[#Headers])), "")</f>
      </c>
      <c r="AS24" s="24"/>
      <c r="AT24" s="116" t="str">
        <f>=IFERROR(ROUND([@[Ausgaben (LC)]]/FB_Kurs_7,2),0)</f>
      </c>
      <c r="AU24" s="115" t="str">
        <f>=IFERROR([@[Ausgaben (LC)]] + SUMIFS(Ausgaben_6[Kum. Ausgaben (LC)], Ausgaben_6[ID], [@ID]), [@[Ausgaben (LC)]])</f>
      </c>
      <c r="AV24" s="143" t="str">
        <f>=IFERROR([@[Ausgaben (EUR)]] + SUMIFS(Ausgaben_6[Kum. Ausgaben (EUR)], Ausgaben_6[ID], [@ID]), [@[Ausgaben (EUR)]])</f>
      </c>
      <c r="AY24" s="148" t="str">
        <f>=IFERROR(INDEX(Budget_ID_Liste, ROW() - ROW(Ausgaben_8[#Headers])), "")</f>
      </c>
      <c r="AZ24" s="24"/>
      <c r="BA24" s="116" t="str">
        <f>=IFERROR(ROUND([@[Ausgaben (LC)]]/FB_Kurs_8,2),0)</f>
      </c>
      <c r="BB24" s="115" t="str">
        <f>=IFERROR([@[Ausgaben (LC)]] + SUMIFS(Ausgaben_7[Kum. Ausgaben (LC)], Ausgaben_7[ID], [@ID]), [@[Ausgaben (LC)]])</f>
      </c>
      <c r="BC24" s="143" t="str">
        <f>=IFERROR([@[Ausgaben (EUR)]] + SUMIFS(Ausgaben_7[Kum. Ausgaben (EUR)], Ausgaben_7[ID], [@ID]), [@[Ausgaben (EUR)]])</f>
      </c>
      <c r="BF24" s="148" t="str">
        <f>=IFERROR(INDEX(Budget_ID_Liste, ROW() - ROW(Ausgaben_9[#Headers])), "")</f>
      </c>
      <c r="BG24" s="24"/>
      <c r="BH24" s="116" t="str">
        <f>=IFERROR(ROUND([@[Ausgaben (LC)]]/FB_Kurs_9,2),0)</f>
      </c>
      <c r="BI24" s="115" t="str">
        <f>=IFERROR([@[Ausgaben (LC)]] + SUMIFS(Ausgaben_8[Kum. Ausgaben (LC)], Ausgaben_8[ID], [@ID]), [@[Ausgaben (LC)]])</f>
      </c>
      <c r="BJ24" s="143" t="str">
        <f>=IFERROR([@[Ausgaben (EUR)]] + SUMIFS(Ausgaben_8[Kum. Ausgaben (EUR)], Ausgaben_8[ID], [@ID]), [@[Ausgaben (EUR)]])</f>
      </c>
      <c r="BM24" s="148" t="str">
        <f>=IFERROR(INDEX(Budget_ID_Liste, ROW() - ROW(Ausgaben_10[#Headers])), "")</f>
      </c>
      <c r="BN24" s="24"/>
      <c r="BO24" s="116" t="str">
        <f>=IFERROR(ROUND([@[Ausgaben (LC)]]/FB_Kurs_10,2),0)</f>
      </c>
      <c r="BP24" s="115" t="str">
        <f>=IFERROR([@[Ausgaben (LC)]] + SUMIFS(Ausgaben_9[Kum. Ausgaben (LC)], Ausgaben_9[ID], [@ID]), [@[Ausgaben (LC)]])</f>
      </c>
      <c r="BQ24" s="143" t="str">
        <f>=IFERROR([@[Ausgaben (EUR)]] + SUMIFS(Ausgaben_9[Kum. Ausgaben (EUR)], Ausgaben_9[ID], [@ID]), [@[Ausgaben (EUR)]])</f>
      </c>
      <c r="BT24" s="148" t="str">
        <f>=IFERROR(INDEX(Budget_ID_Liste, ROW() - ROW(Ausgaben_11[#Headers])), "")</f>
      </c>
      <c r="BU24" s="24"/>
      <c r="BV24" s="116" t="str">
        <f>=IFERROR(ROUND([@[Ausgaben (LC)]]/FB_Kurs_11,2),0)</f>
      </c>
      <c r="BW24" s="115" t="str">
        <f>=IFERROR([@[Ausgaben (LC)]] + SUMIFS(Ausgaben_10[Kum. Ausgaben (LC)], Ausgaben_10[ID], [@ID]), [@[Ausgaben (LC)]])</f>
      </c>
      <c r="BX24" s="143" t="str">
        <f>=IFERROR([@[Ausgaben (EUR)]] + SUMIFS(Ausgaben_10[Kum. Ausgaben (EUR)], Ausgaben_10[ID], [@ID]), [@[Ausgaben (EUR)]])</f>
      </c>
      <c r="CA24" s="148" t="str">
        <f>=IFERROR(INDEX(Budget_ID_Liste, ROW() - ROW(Ausgaben_12[#Headers])), "")</f>
      </c>
      <c r="CB24" s="24"/>
      <c r="CC24" s="116" t="str">
        <f>=IFERROR(ROUND([@[Ausgaben (LC)]]/FB_Kurs_12,2),0)</f>
      </c>
      <c r="CD24" s="115" t="str">
        <f>=IFERROR([@[Ausgaben (LC)]] + SUMIFS(Ausgaben_11[Kum. Ausgaben (LC)], Ausgaben_11[ID], [@ID]), [@[Ausgaben (LC)]])</f>
      </c>
      <c r="CE24" s="143" t="str">
        <f>=IFERROR([@[Ausgaben (EUR)]] + SUMIFS(Ausgaben_11[Kum. Ausgaben (EUR)], Ausgaben_11[ID], [@ID]), [@[Ausgaben (EUR)]])</f>
      </c>
      <c r="CH24" s="148" t="str">
        <f>=IFERROR(INDEX(Budget_ID_Liste, ROW() - ROW(Ausgaben_13[#Headers])), "")</f>
      </c>
      <c r="CI24" s="24"/>
      <c r="CJ24" s="116" t="str">
        <f>=IFERROR(ROUND([@[Ausgaben (LC)]]/FB_Kurs_13,2),0)</f>
      </c>
      <c r="CK24" s="115" t="str">
        <f>=IFERROR([@[Ausgaben (LC)]] + SUMIFS(Ausgaben_12[Kum. Ausgaben (LC)], Ausgaben_12[ID], [@ID]), [@[Ausgaben (LC)]])</f>
      </c>
      <c r="CL24" s="143" t="str">
        <f>=IFERROR([@[Ausgaben (EUR)]] + SUMIFS(Ausgaben_12[Kum. Ausgaben (EUR)], Ausgaben_12[ID], [@ID]), [@[Ausgaben (EUR)]])</f>
      </c>
      <c r="CO24" s="148" t="str">
        <f>=IFERROR(INDEX(Budget_ID_Liste, ROW() - ROW(Ausgaben_14[#Headers])), "")</f>
      </c>
      <c r="CP24" s="24"/>
      <c r="CQ24" s="116" t="str">
        <f>=IFERROR(ROUND([@[Ausgaben (LC)]]/FB_Kurs_14,2),0)</f>
      </c>
      <c r="CR24" s="115" t="str">
        <f>=IFERROR([@[Ausgaben (LC)]] + SUMIFS(Ausgaben_13[Kum. Ausgaben (LC)], Ausgaben_13[ID], [@ID]), [@[Ausgaben (LC)]])</f>
      </c>
      <c r="CS24" s="143" t="str">
        <f>=IFERROR([@[Ausgaben (EUR)]] + SUMIFS(Ausgaben_13[Kum. Ausgaben (EUR)], Ausgaben_13[ID], [@ID]), [@[Ausgaben (EUR)]])</f>
      </c>
      <c r="CV24" s="148" t="str">
        <f>=IFERROR(INDEX(Budget_ID_Liste, ROW() - ROW(Ausgaben_15[#Headers])), "")</f>
      </c>
      <c r="CW24" s="24"/>
      <c r="CX24" s="116" t="str">
        <f>=IFERROR(ROUND([@[Ausgaben (LC)]]/FB_Kurs_15,2),0)</f>
      </c>
      <c r="CY24" s="115" t="str">
        <f>=IFERROR([@[Ausgaben (LC)]] + SUMIFS(Ausgaben_14[Kum. Ausgaben (LC)], Ausgaben_14[ID], [@ID]), [@[Ausgaben (LC)]])</f>
      </c>
      <c r="CZ24" s="143" t="str">
        <f>=IFERROR([@[Ausgaben (EUR)]] + SUMIFS(Ausgaben_14[Kum. Ausgaben (EUR)], Ausgaben_14[ID], [@ID]), [@[Ausgaben (EUR)]])</f>
      </c>
      <c r="DC24" s="148" t="str">
        <f>=IFERROR(INDEX(Budget_ID_Liste, ROW() - ROW(Ausgaben_16[#Headers])), "")</f>
      </c>
      <c r="DD24" s="24"/>
      <c r="DE24" s="116" t="str">
        <f>=IFERROR(ROUND([@[Ausgaben (LC)]]/FB_Kurs_16,2),0)</f>
      </c>
      <c r="DF24" s="115" t="str">
        <f>=IFERROR([@[Ausgaben (LC)]] + SUMIFS(Ausgaben_15[Kum. Ausgaben (LC)], Ausgaben_15[ID], [@ID]), [@[Ausgaben (LC)]])</f>
      </c>
      <c r="DG24" s="143" t="str">
        <f>=IFERROR([@[Ausgaben (EUR)]] + SUMIFS(Ausgaben_15[Kum. Ausgaben (EUR)], Ausgaben_15[ID], [@ID]), [@[Ausgaben (EUR)]])</f>
      </c>
      <c r="DJ24" s="148" t="str">
        <f>=IFERROR(INDEX(Budget_ID_Liste, ROW() - ROW(Ausgaben_17[#Headers])), "")</f>
      </c>
      <c r="DK24" s="24"/>
      <c r="DL24" s="116" t="str">
        <f>=IFERROR(ROUND([@[Ausgaben (LC)]]/FB_Kurs_17,2),0)</f>
      </c>
      <c r="DM24" s="115" t="str">
        <f>=IFERROR([@[Ausgaben (LC)]] + SUMIFS(Ausgaben_16[Kum. Ausgaben (LC)], Ausgaben_16[ID], [@ID]), [@[Ausgaben (LC)]])</f>
      </c>
      <c r="DN24" s="143" t="str">
        <f>=IFERROR([@[Ausgaben (EUR)]] + SUMIFS(Ausgaben_16[Kum. Ausgaben (EUR)], Ausgaben_16[ID], [@ID]), [@[Ausgaben (EUR)]])</f>
      </c>
      <c r="DQ24" s="148" t="str">
        <f>=IFERROR(INDEX(Budget_ID_Liste, ROW() - ROW(Ausgaben_18[#Headers])), "")</f>
      </c>
      <c r="DR24" s="24"/>
      <c r="DS24" s="116" t="str">
        <f>=IFERROR(ROUND([@[Ausgaben (LC)]]/FB_Kurs_18,2),0)</f>
      </c>
      <c r="DT24" s="115" t="str">
        <f>=IFERROR([@[Ausgaben (LC)]] + SUMIFS(Ausgaben_17[Kum. Ausgaben (LC)], Ausgaben_17[ID], [@ID]), [@[Ausgaben (LC)]])</f>
      </c>
      <c r="DU24" s="143" t="str">
        <f>=IFERROR([@[Ausgaben (EUR)]] + SUMIFS(Ausgaben_17[Kum. Ausgaben (EUR)], Ausgaben_17[ID], [@ID]), [@[Ausgaben (EUR)]])</f>
      </c>
    </row>
    <row r="25">
      <c r="B25" s="148" t="str">
        <f>=IFERROR(INDEX(Budget_ID_Liste, ROW() - ROW(Ausgaben_1[#Headers])), "")</f>
      </c>
      <c r="C25" s="24"/>
      <c r="D25" s="116" t="str">
        <f>=IFERROR(ROUND([@[Ausgaben (LC)]]/FB_Kurs_1,2),0)</f>
      </c>
      <c r="E25" s="115" t="str">
        <f>=IFERROR([@[Ausgaben (LC)]], 0)</f>
      </c>
      <c r="F25" s="143" t="str">
        <f>=IFERROR([@[Ausgaben (EUR)]], 0)</f>
      </c>
      <c r="I25" s="148" t="str">
        <f>=IFERROR(INDEX(Budget_ID_Liste, ROW() - ROW(Ausgaben_2[#Headers])), "")</f>
      </c>
      <c r="J25" s="24"/>
      <c r="K25" s="116" t="str">
        <f>=IFERROR(ROUND([@[Ausgaben (LC)]]/FB_Kurs_2,2),0)</f>
      </c>
      <c r="L25" s="115" t="str">
        <f>=IFERROR([@[Ausgaben (LC)]] + SUMIFS(Ausgaben_1[Kum. Ausgaben (LC)], Ausgaben_1[ID], [@ID]), [@[Ausgaben (LC)]])</f>
      </c>
      <c r="M25" s="143" t="str">
        <f>=IFERROR([@[Ausgaben (EUR)]] + SUMIFS(Ausgaben_1[Kum. Ausgaben (EUR)], Ausgaben_1[ID], [@ID]), [@[Ausgaben (EUR)]])</f>
      </c>
      <c r="P25" s="148" t="str">
        <f>=IFERROR(INDEX(Budget_ID_Liste, ROW() - ROW(Ausgaben_3[#Headers])), "")</f>
      </c>
      <c r="Q25" s="24"/>
      <c r="R25" s="116" t="str">
        <f>=IFERROR(ROUND([@[Ausgaben (LC)]]/FB_Kurs_3,2),0)</f>
      </c>
      <c r="S25" s="115" t="str">
        <f>=IFERROR([@[Ausgaben (LC)]] + SUMIFS(Ausgaben_2[Kum. Ausgaben (LC)], Ausgaben_2[ID], [@ID]), [@[Ausgaben (LC)]])</f>
      </c>
      <c r="T25" s="143" t="str">
        <f>=IFERROR([@[Ausgaben (EUR)]] + SUMIFS(Ausgaben_2[Kum. Ausgaben (EUR)], Ausgaben_2[ID], [@ID]), [@[Ausgaben (EUR)]])</f>
      </c>
      <c r="W25" s="148" t="str">
        <f>=IFERROR(INDEX(Budget_ID_Liste, ROW() - ROW(Ausgaben_4[#Headers])), "")</f>
      </c>
      <c r="X25" s="24"/>
      <c r="Y25" s="116" t="str">
        <f>=IFERROR(ROUND([@[Ausgaben (LC)]]/FB_Kurs_4,2),0)</f>
      </c>
      <c r="Z25" s="115" t="str">
        <f>=IFERROR([@[Ausgaben (LC)]] + SUMIFS(Ausgaben_3[Kum. Ausgaben (LC)], Ausgaben_3[ID], [@ID]), [@[Ausgaben (LC)]])</f>
      </c>
      <c r="AA25" s="143" t="str">
        <f>=IFERROR([@[Ausgaben (EUR)]] + SUMIFS(Ausgaben_3[Kum. Ausgaben (EUR)], Ausgaben_3[ID], [@ID]), [@[Ausgaben (EUR)]])</f>
      </c>
      <c r="AD25" s="148" t="str">
        <f>=IFERROR(INDEX(Budget_ID_Liste, ROW() - ROW(Ausgaben_5[#Headers])), "")</f>
      </c>
      <c r="AE25" s="24"/>
      <c r="AF25" s="116" t="str">
        <f>=IFERROR(ROUND([@[Ausgaben (LC)]]/FB_Kurs_5,2),0)</f>
      </c>
      <c r="AG25" s="115" t="str">
        <f>=IFERROR([@[Ausgaben (LC)]] + SUMIFS(Ausgaben_4[Kum. Ausgaben (LC)], Ausgaben_4[ID], [@ID]), [@[Ausgaben (LC)]])</f>
      </c>
      <c r="AH25" s="143" t="str">
        <f>=IFERROR([@[Ausgaben (EUR)]] + SUMIFS(Ausgaben_4[Kum. Ausgaben (EUR)], Ausgaben_4[ID], [@ID]), [@[Ausgaben (EUR)]])</f>
      </c>
      <c r="AK25" s="148" t="str">
        <f>=IFERROR(INDEX(Budget_ID_Liste, ROW() - ROW(Ausgaben_6[#Headers])), "")</f>
      </c>
      <c r="AL25" s="24"/>
      <c r="AM25" s="116" t="str">
        <f>=IFERROR(ROUND([@[Ausgaben (LC)]]/FB_Kurs_6,2),0)</f>
      </c>
      <c r="AN25" s="115" t="str">
        <f>=IFERROR([@[Ausgaben (LC)]] + SUMIFS(Ausgaben_5[Kum. Ausgaben (LC)], Ausgaben_5[ID], [@ID]), [@[Ausgaben (LC)]])</f>
      </c>
      <c r="AO25" s="143" t="str">
        <f>=IFERROR([@[Ausgaben (EUR)]] + SUMIFS(Ausgaben_5[Kum. Ausgaben (EUR)], Ausgaben_5[ID], [@ID]), [@[Ausgaben (EUR)]])</f>
      </c>
      <c r="AR25" s="148" t="str">
        <f>=IFERROR(INDEX(Budget_ID_Liste, ROW() - ROW(Ausgaben_7[#Headers])), "")</f>
      </c>
      <c r="AS25" s="24"/>
      <c r="AT25" s="116" t="str">
        <f>=IFERROR(ROUND([@[Ausgaben (LC)]]/FB_Kurs_7,2),0)</f>
      </c>
      <c r="AU25" s="115" t="str">
        <f>=IFERROR([@[Ausgaben (LC)]] + SUMIFS(Ausgaben_6[Kum. Ausgaben (LC)], Ausgaben_6[ID], [@ID]), [@[Ausgaben (LC)]])</f>
      </c>
      <c r="AV25" s="143" t="str">
        <f>=IFERROR([@[Ausgaben (EUR)]] + SUMIFS(Ausgaben_6[Kum. Ausgaben (EUR)], Ausgaben_6[ID], [@ID]), [@[Ausgaben (EUR)]])</f>
      </c>
      <c r="AY25" s="148" t="str">
        <f>=IFERROR(INDEX(Budget_ID_Liste, ROW() - ROW(Ausgaben_8[#Headers])), "")</f>
      </c>
      <c r="AZ25" s="24"/>
      <c r="BA25" s="116" t="str">
        <f>=IFERROR(ROUND([@[Ausgaben (LC)]]/FB_Kurs_8,2),0)</f>
      </c>
      <c r="BB25" s="115" t="str">
        <f>=IFERROR([@[Ausgaben (LC)]] + SUMIFS(Ausgaben_7[Kum. Ausgaben (LC)], Ausgaben_7[ID], [@ID]), [@[Ausgaben (LC)]])</f>
      </c>
      <c r="BC25" s="143" t="str">
        <f>=IFERROR([@[Ausgaben (EUR)]] + SUMIFS(Ausgaben_7[Kum. Ausgaben (EUR)], Ausgaben_7[ID], [@ID]), [@[Ausgaben (EUR)]])</f>
      </c>
      <c r="BF25" s="148" t="str">
        <f>=IFERROR(INDEX(Budget_ID_Liste, ROW() - ROW(Ausgaben_9[#Headers])), "")</f>
      </c>
      <c r="BG25" s="24"/>
      <c r="BH25" s="116" t="str">
        <f>=IFERROR(ROUND([@[Ausgaben (LC)]]/FB_Kurs_9,2),0)</f>
      </c>
      <c r="BI25" s="115" t="str">
        <f>=IFERROR([@[Ausgaben (LC)]] + SUMIFS(Ausgaben_8[Kum. Ausgaben (LC)], Ausgaben_8[ID], [@ID]), [@[Ausgaben (LC)]])</f>
      </c>
      <c r="BJ25" s="143" t="str">
        <f>=IFERROR([@[Ausgaben (EUR)]] + SUMIFS(Ausgaben_8[Kum. Ausgaben (EUR)], Ausgaben_8[ID], [@ID]), [@[Ausgaben (EUR)]])</f>
      </c>
      <c r="BM25" s="148" t="str">
        <f>=IFERROR(INDEX(Budget_ID_Liste, ROW() - ROW(Ausgaben_10[#Headers])), "")</f>
      </c>
      <c r="BN25" s="24"/>
      <c r="BO25" s="116" t="str">
        <f>=IFERROR(ROUND([@[Ausgaben (LC)]]/FB_Kurs_10,2),0)</f>
      </c>
      <c r="BP25" s="115" t="str">
        <f>=IFERROR([@[Ausgaben (LC)]] + SUMIFS(Ausgaben_9[Kum. Ausgaben (LC)], Ausgaben_9[ID], [@ID]), [@[Ausgaben (LC)]])</f>
      </c>
      <c r="BQ25" s="143" t="str">
        <f>=IFERROR([@[Ausgaben (EUR)]] + SUMIFS(Ausgaben_9[Kum. Ausgaben (EUR)], Ausgaben_9[ID], [@ID]), [@[Ausgaben (EUR)]])</f>
      </c>
      <c r="BT25" s="148" t="str">
        <f>=IFERROR(INDEX(Budget_ID_Liste, ROW() - ROW(Ausgaben_11[#Headers])), "")</f>
      </c>
      <c r="BU25" s="24"/>
      <c r="BV25" s="116" t="str">
        <f>=IFERROR(ROUND([@[Ausgaben (LC)]]/FB_Kurs_11,2),0)</f>
      </c>
      <c r="BW25" s="115" t="str">
        <f>=IFERROR([@[Ausgaben (LC)]] + SUMIFS(Ausgaben_10[Kum. Ausgaben (LC)], Ausgaben_10[ID], [@ID]), [@[Ausgaben (LC)]])</f>
      </c>
      <c r="BX25" s="143" t="str">
        <f>=IFERROR([@[Ausgaben (EUR)]] + SUMIFS(Ausgaben_10[Kum. Ausgaben (EUR)], Ausgaben_10[ID], [@ID]), [@[Ausgaben (EUR)]])</f>
      </c>
      <c r="CA25" s="148" t="str">
        <f>=IFERROR(INDEX(Budget_ID_Liste, ROW() - ROW(Ausgaben_12[#Headers])), "")</f>
      </c>
      <c r="CB25" s="24"/>
      <c r="CC25" s="116" t="str">
        <f>=IFERROR(ROUND([@[Ausgaben (LC)]]/FB_Kurs_12,2),0)</f>
      </c>
      <c r="CD25" s="115" t="str">
        <f>=IFERROR([@[Ausgaben (LC)]] + SUMIFS(Ausgaben_11[Kum. Ausgaben (LC)], Ausgaben_11[ID], [@ID]), [@[Ausgaben (LC)]])</f>
      </c>
      <c r="CE25" s="143" t="str">
        <f>=IFERROR([@[Ausgaben (EUR)]] + SUMIFS(Ausgaben_11[Kum. Ausgaben (EUR)], Ausgaben_11[ID], [@ID]), [@[Ausgaben (EUR)]])</f>
      </c>
      <c r="CH25" s="148" t="str">
        <f>=IFERROR(INDEX(Budget_ID_Liste, ROW() - ROW(Ausgaben_13[#Headers])), "")</f>
      </c>
      <c r="CI25" s="24"/>
      <c r="CJ25" s="116" t="str">
        <f>=IFERROR(ROUND([@[Ausgaben (LC)]]/FB_Kurs_13,2),0)</f>
      </c>
      <c r="CK25" s="115" t="str">
        <f>=IFERROR([@[Ausgaben (LC)]] + SUMIFS(Ausgaben_12[Kum. Ausgaben (LC)], Ausgaben_12[ID], [@ID]), [@[Ausgaben (LC)]])</f>
      </c>
      <c r="CL25" s="143" t="str">
        <f>=IFERROR([@[Ausgaben (EUR)]] + SUMIFS(Ausgaben_12[Kum. Ausgaben (EUR)], Ausgaben_12[ID], [@ID]), [@[Ausgaben (EUR)]])</f>
      </c>
      <c r="CO25" s="148" t="str">
        <f>=IFERROR(INDEX(Budget_ID_Liste, ROW() - ROW(Ausgaben_14[#Headers])), "")</f>
      </c>
      <c r="CP25" s="24"/>
      <c r="CQ25" s="116" t="str">
        <f>=IFERROR(ROUND([@[Ausgaben (LC)]]/FB_Kurs_14,2),0)</f>
      </c>
      <c r="CR25" s="115" t="str">
        <f>=IFERROR([@[Ausgaben (LC)]] + SUMIFS(Ausgaben_13[Kum. Ausgaben (LC)], Ausgaben_13[ID], [@ID]), [@[Ausgaben (LC)]])</f>
      </c>
      <c r="CS25" s="143" t="str">
        <f>=IFERROR([@[Ausgaben (EUR)]] + SUMIFS(Ausgaben_13[Kum. Ausgaben (EUR)], Ausgaben_13[ID], [@ID]), [@[Ausgaben (EUR)]])</f>
      </c>
      <c r="CV25" s="148" t="str">
        <f>=IFERROR(INDEX(Budget_ID_Liste, ROW() - ROW(Ausgaben_15[#Headers])), "")</f>
      </c>
      <c r="CW25" s="24"/>
      <c r="CX25" s="116" t="str">
        <f>=IFERROR(ROUND([@[Ausgaben (LC)]]/FB_Kurs_15,2),0)</f>
      </c>
      <c r="CY25" s="115" t="str">
        <f>=IFERROR([@[Ausgaben (LC)]] + SUMIFS(Ausgaben_14[Kum. Ausgaben (LC)], Ausgaben_14[ID], [@ID]), [@[Ausgaben (LC)]])</f>
      </c>
      <c r="CZ25" s="143" t="str">
        <f>=IFERROR([@[Ausgaben (EUR)]] + SUMIFS(Ausgaben_14[Kum. Ausgaben (EUR)], Ausgaben_14[ID], [@ID]), [@[Ausgaben (EUR)]])</f>
      </c>
      <c r="DC25" s="148" t="str">
        <f>=IFERROR(INDEX(Budget_ID_Liste, ROW() - ROW(Ausgaben_16[#Headers])), "")</f>
      </c>
      <c r="DD25" s="24"/>
      <c r="DE25" s="116" t="str">
        <f>=IFERROR(ROUND([@[Ausgaben (LC)]]/FB_Kurs_16,2),0)</f>
      </c>
      <c r="DF25" s="115" t="str">
        <f>=IFERROR([@[Ausgaben (LC)]] + SUMIFS(Ausgaben_15[Kum. Ausgaben (LC)], Ausgaben_15[ID], [@ID]), [@[Ausgaben (LC)]])</f>
      </c>
      <c r="DG25" s="143" t="str">
        <f>=IFERROR([@[Ausgaben (EUR)]] + SUMIFS(Ausgaben_15[Kum. Ausgaben (EUR)], Ausgaben_15[ID], [@ID]), [@[Ausgaben (EUR)]])</f>
      </c>
      <c r="DJ25" s="148" t="str">
        <f>=IFERROR(INDEX(Budget_ID_Liste, ROW() - ROW(Ausgaben_17[#Headers])), "")</f>
      </c>
      <c r="DK25" s="24"/>
      <c r="DL25" s="116" t="str">
        <f>=IFERROR(ROUND([@[Ausgaben (LC)]]/FB_Kurs_17,2),0)</f>
      </c>
      <c r="DM25" s="115" t="str">
        <f>=IFERROR([@[Ausgaben (LC)]] + SUMIFS(Ausgaben_16[Kum. Ausgaben (LC)], Ausgaben_16[ID], [@ID]), [@[Ausgaben (LC)]])</f>
      </c>
      <c r="DN25" s="143" t="str">
        <f>=IFERROR([@[Ausgaben (EUR)]] + SUMIFS(Ausgaben_16[Kum. Ausgaben (EUR)], Ausgaben_16[ID], [@ID]), [@[Ausgaben (EUR)]])</f>
      </c>
      <c r="DQ25" s="148" t="str">
        <f>=IFERROR(INDEX(Budget_ID_Liste, ROW() - ROW(Ausgaben_18[#Headers])), "")</f>
      </c>
      <c r="DR25" s="24"/>
      <c r="DS25" s="116" t="str">
        <f>=IFERROR(ROUND([@[Ausgaben (LC)]]/FB_Kurs_18,2),0)</f>
      </c>
      <c r="DT25" s="115" t="str">
        <f>=IFERROR([@[Ausgaben (LC)]] + SUMIFS(Ausgaben_17[Kum. Ausgaben (LC)], Ausgaben_17[ID], [@ID]), [@[Ausgaben (LC)]])</f>
      </c>
      <c r="DU25" s="143" t="str">
        <f>=IFERROR([@[Ausgaben (EUR)]] + SUMIFS(Ausgaben_17[Kum. Ausgaben (EUR)], Ausgaben_17[ID], [@ID]), [@[Ausgaben (EUR)]])</f>
      </c>
    </row>
    <row r="26">
      <c r="B26" s="148" t="str">
        <f>=IFERROR(INDEX(Budget_ID_Liste, ROW() - ROW(Ausgaben_1[#Headers])), "")</f>
      </c>
      <c r="C26" s="24"/>
      <c r="D26" s="116" t="str">
        <f>=IFERROR(ROUND([@[Ausgaben (LC)]]/FB_Kurs_1,2),0)</f>
      </c>
      <c r="E26" s="115" t="str">
        <f>=IFERROR([@[Ausgaben (LC)]], 0)</f>
      </c>
      <c r="F26" s="143" t="str">
        <f>=IFERROR([@[Ausgaben (EUR)]], 0)</f>
      </c>
      <c r="I26" s="148" t="str">
        <f>=IFERROR(INDEX(Budget_ID_Liste, ROW() - ROW(Ausgaben_2[#Headers])), "")</f>
      </c>
      <c r="J26" s="24"/>
      <c r="K26" s="116" t="str">
        <f>=IFERROR(ROUND([@[Ausgaben (LC)]]/FB_Kurs_2,2),0)</f>
      </c>
      <c r="L26" s="115" t="str">
        <f>=IFERROR([@[Ausgaben (LC)]] + SUMIFS(Ausgaben_1[Kum. Ausgaben (LC)], Ausgaben_1[ID], [@ID]), [@[Ausgaben (LC)]])</f>
      </c>
      <c r="M26" s="143" t="str">
        <f>=IFERROR([@[Ausgaben (EUR)]] + SUMIFS(Ausgaben_1[Kum. Ausgaben (EUR)], Ausgaben_1[ID], [@ID]), [@[Ausgaben (EUR)]])</f>
      </c>
      <c r="P26" s="148" t="str">
        <f>=IFERROR(INDEX(Budget_ID_Liste, ROW() - ROW(Ausgaben_3[#Headers])), "")</f>
      </c>
      <c r="Q26" s="24"/>
      <c r="R26" s="116" t="str">
        <f>=IFERROR(ROUND([@[Ausgaben (LC)]]/FB_Kurs_3,2),0)</f>
      </c>
      <c r="S26" s="115" t="str">
        <f>=IFERROR([@[Ausgaben (LC)]] + SUMIFS(Ausgaben_2[Kum. Ausgaben (LC)], Ausgaben_2[ID], [@ID]), [@[Ausgaben (LC)]])</f>
      </c>
      <c r="T26" s="143" t="str">
        <f>=IFERROR([@[Ausgaben (EUR)]] + SUMIFS(Ausgaben_2[Kum. Ausgaben (EUR)], Ausgaben_2[ID], [@ID]), [@[Ausgaben (EUR)]])</f>
      </c>
      <c r="W26" s="148" t="str">
        <f>=IFERROR(INDEX(Budget_ID_Liste, ROW() - ROW(Ausgaben_4[#Headers])), "")</f>
      </c>
      <c r="X26" s="24"/>
      <c r="Y26" s="116" t="str">
        <f>=IFERROR(ROUND([@[Ausgaben (LC)]]/FB_Kurs_4,2),0)</f>
      </c>
      <c r="Z26" s="115" t="str">
        <f>=IFERROR([@[Ausgaben (LC)]] + SUMIFS(Ausgaben_3[Kum. Ausgaben (LC)], Ausgaben_3[ID], [@ID]), [@[Ausgaben (LC)]])</f>
      </c>
      <c r="AA26" s="143" t="str">
        <f>=IFERROR([@[Ausgaben (EUR)]] + SUMIFS(Ausgaben_3[Kum. Ausgaben (EUR)], Ausgaben_3[ID], [@ID]), [@[Ausgaben (EUR)]])</f>
      </c>
      <c r="AD26" s="148" t="str">
        <f>=IFERROR(INDEX(Budget_ID_Liste, ROW() - ROW(Ausgaben_5[#Headers])), "")</f>
      </c>
      <c r="AE26" s="24"/>
      <c r="AF26" s="116" t="str">
        <f>=IFERROR(ROUND([@[Ausgaben (LC)]]/FB_Kurs_5,2),0)</f>
      </c>
      <c r="AG26" s="115" t="str">
        <f>=IFERROR([@[Ausgaben (LC)]] + SUMIFS(Ausgaben_4[Kum. Ausgaben (LC)], Ausgaben_4[ID], [@ID]), [@[Ausgaben (LC)]])</f>
      </c>
      <c r="AH26" s="143" t="str">
        <f>=IFERROR([@[Ausgaben (EUR)]] + SUMIFS(Ausgaben_4[Kum. Ausgaben (EUR)], Ausgaben_4[ID], [@ID]), [@[Ausgaben (EUR)]])</f>
      </c>
      <c r="AK26" s="148" t="str">
        <f>=IFERROR(INDEX(Budget_ID_Liste, ROW() - ROW(Ausgaben_6[#Headers])), "")</f>
      </c>
      <c r="AL26" s="24"/>
      <c r="AM26" s="116" t="str">
        <f>=IFERROR(ROUND([@[Ausgaben (LC)]]/FB_Kurs_6,2),0)</f>
      </c>
      <c r="AN26" s="115" t="str">
        <f>=IFERROR([@[Ausgaben (LC)]] + SUMIFS(Ausgaben_5[Kum. Ausgaben (LC)], Ausgaben_5[ID], [@ID]), [@[Ausgaben (LC)]])</f>
      </c>
      <c r="AO26" s="143" t="str">
        <f>=IFERROR([@[Ausgaben (EUR)]] + SUMIFS(Ausgaben_5[Kum. Ausgaben (EUR)], Ausgaben_5[ID], [@ID]), [@[Ausgaben (EUR)]])</f>
      </c>
      <c r="AR26" s="148" t="str">
        <f>=IFERROR(INDEX(Budget_ID_Liste, ROW() - ROW(Ausgaben_7[#Headers])), "")</f>
      </c>
      <c r="AS26" s="24"/>
      <c r="AT26" s="116" t="str">
        <f>=IFERROR(ROUND([@[Ausgaben (LC)]]/FB_Kurs_7,2),0)</f>
      </c>
      <c r="AU26" s="115" t="str">
        <f>=IFERROR([@[Ausgaben (LC)]] + SUMIFS(Ausgaben_6[Kum. Ausgaben (LC)], Ausgaben_6[ID], [@ID]), [@[Ausgaben (LC)]])</f>
      </c>
      <c r="AV26" s="143" t="str">
        <f>=IFERROR([@[Ausgaben (EUR)]] + SUMIFS(Ausgaben_6[Kum. Ausgaben (EUR)], Ausgaben_6[ID], [@ID]), [@[Ausgaben (EUR)]])</f>
      </c>
      <c r="AY26" s="148" t="str">
        <f>=IFERROR(INDEX(Budget_ID_Liste, ROW() - ROW(Ausgaben_8[#Headers])), "")</f>
      </c>
      <c r="AZ26" s="24"/>
      <c r="BA26" s="116" t="str">
        <f>=IFERROR(ROUND([@[Ausgaben (LC)]]/FB_Kurs_8,2),0)</f>
      </c>
      <c r="BB26" s="115" t="str">
        <f>=IFERROR([@[Ausgaben (LC)]] + SUMIFS(Ausgaben_7[Kum. Ausgaben (LC)], Ausgaben_7[ID], [@ID]), [@[Ausgaben (LC)]])</f>
      </c>
      <c r="BC26" s="143" t="str">
        <f>=IFERROR([@[Ausgaben (EUR)]] + SUMIFS(Ausgaben_7[Kum. Ausgaben (EUR)], Ausgaben_7[ID], [@ID]), [@[Ausgaben (EUR)]])</f>
      </c>
      <c r="BF26" s="148" t="str">
        <f>=IFERROR(INDEX(Budget_ID_Liste, ROW() - ROW(Ausgaben_9[#Headers])), "")</f>
      </c>
      <c r="BG26" s="24"/>
      <c r="BH26" s="116" t="str">
        <f>=IFERROR(ROUND([@[Ausgaben (LC)]]/FB_Kurs_9,2),0)</f>
      </c>
      <c r="BI26" s="115" t="str">
        <f>=IFERROR([@[Ausgaben (LC)]] + SUMIFS(Ausgaben_8[Kum. Ausgaben (LC)], Ausgaben_8[ID], [@ID]), [@[Ausgaben (LC)]])</f>
      </c>
      <c r="BJ26" s="143" t="str">
        <f>=IFERROR([@[Ausgaben (EUR)]] + SUMIFS(Ausgaben_8[Kum. Ausgaben (EUR)], Ausgaben_8[ID], [@ID]), [@[Ausgaben (EUR)]])</f>
      </c>
      <c r="BM26" s="148" t="str">
        <f>=IFERROR(INDEX(Budget_ID_Liste, ROW() - ROW(Ausgaben_10[#Headers])), "")</f>
      </c>
      <c r="BN26" s="24"/>
      <c r="BO26" s="116" t="str">
        <f>=IFERROR(ROUND([@[Ausgaben (LC)]]/FB_Kurs_10,2),0)</f>
      </c>
      <c r="BP26" s="115" t="str">
        <f>=IFERROR([@[Ausgaben (LC)]] + SUMIFS(Ausgaben_9[Kum. Ausgaben (LC)], Ausgaben_9[ID], [@ID]), [@[Ausgaben (LC)]])</f>
      </c>
      <c r="BQ26" s="143" t="str">
        <f>=IFERROR([@[Ausgaben (EUR)]] + SUMIFS(Ausgaben_9[Kum. Ausgaben (EUR)], Ausgaben_9[ID], [@ID]), [@[Ausgaben (EUR)]])</f>
      </c>
      <c r="BT26" s="148" t="str">
        <f>=IFERROR(INDEX(Budget_ID_Liste, ROW() - ROW(Ausgaben_11[#Headers])), "")</f>
      </c>
      <c r="BU26" s="24"/>
      <c r="BV26" s="116" t="str">
        <f>=IFERROR(ROUND([@[Ausgaben (LC)]]/FB_Kurs_11,2),0)</f>
      </c>
      <c r="BW26" s="115" t="str">
        <f>=IFERROR([@[Ausgaben (LC)]] + SUMIFS(Ausgaben_10[Kum. Ausgaben (LC)], Ausgaben_10[ID], [@ID]), [@[Ausgaben (LC)]])</f>
      </c>
      <c r="BX26" s="143" t="str">
        <f>=IFERROR([@[Ausgaben (EUR)]] + SUMIFS(Ausgaben_10[Kum. Ausgaben (EUR)], Ausgaben_10[ID], [@ID]), [@[Ausgaben (EUR)]])</f>
      </c>
      <c r="CA26" s="148" t="str">
        <f>=IFERROR(INDEX(Budget_ID_Liste, ROW() - ROW(Ausgaben_12[#Headers])), "")</f>
      </c>
      <c r="CB26" s="24"/>
      <c r="CC26" s="116" t="str">
        <f>=IFERROR(ROUND([@[Ausgaben (LC)]]/FB_Kurs_12,2),0)</f>
      </c>
      <c r="CD26" s="115" t="str">
        <f>=IFERROR([@[Ausgaben (LC)]] + SUMIFS(Ausgaben_11[Kum. Ausgaben (LC)], Ausgaben_11[ID], [@ID]), [@[Ausgaben (LC)]])</f>
      </c>
      <c r="CE26" s="143" t="str">
        <f>=IFERROR([@[Ausgaben (EUR)]] + SUMIFS(Ausgaben_11[Kum. Ausgaben (EUR)], Ausgaben_11[ID], [@ID]), [@[Ausgaben (EUR)]])</f>
      </c>
      <c r="CH26" s="148" t="str">
        <f>=IFERROR(INDEX(Budget_ID_Liste, ROW() - ROW(Ausgaben_13[#Headers])), "")</f>
      </c>
      <c r="CI26" s="24"/>
      <c r="CJ26" s="116" t="str">
        <f>=IFERROR(ROUND([@[Ausgaben (LC)]]/FB_Kurs_13,2),0)</f>
      </c>
      <c r="CK26" s="115" t="str">
        <f>=IFERROR([@[Ausgaben (LC)]] + SUMIFS(Ausgaben_12[Kum. Ausgaben (LC)], Ausgaben_12[ID], [@ID]), [@[Ausgaben (LC)]])</f>
      </c>
      <c r="CL26" s="143" t="str">
        <f>=IFERROR([@[Ausgaben (EUR)]] + SUMIFS(Ausgaben_12[Kum. Ausgaben (EUR)], Ausgaben_12[ID], [@ID]), [@[Ausgaben (EUR)]])</f>
      </c>
      <c r="CO26" s="148" t="str">
        <f>=IFERROR(INDEX(Budget_ID_Liste, ROW() - ROW(Ausgaben_14[#Headers])), "")</f>
      </c>
      <c r="CP26" s="24"/>
      <c r="CQ26" s="116" t="str">
        <f>=IFERROR(ROUND([@[Ausgaben (LC)]]/FB_Kurs_14,2),0)</f>
      </c>
      <c r="CR26" s="115" t="str">
        <f>=IFERROR([@[Ausgaben (LC)]] + SUMIFS(Ausgaben_13[Kum. Ausgaben (LC)], Ausgaben_13[ID], [@ID]), [@[Ausgaben (LC)]])</f>
      </c>
      <c r="CS26" s="143" t="str">
        <f>=IFERROR([@[Ausgaben (EUR)]] + SUMIFS(Ausgaben_13[Kum. Ausgaben (EUR)], Ausgaben_13[ID], [@ID]), [@[Ausgaben (EUR)]])</f>
      </c>
      <c r="CV26" s="148" t="str">
        <f>=IFERROR(INDEX(Budget_ID_Liste, ROW() - ROW(Ausgaben_15[#Headers])), "")</f>
      </c>
      <c r="CW26" s="24"/>
      <c r="CX26" s="116" t="str">
        <f>=IFERROR(ROUND([@[Ausgaben (LC)]]/FB_Kurs_15,2),0)</f>
      </c>
      <c r="CY26" s="115" t="str">
        <f>=IFERROR([@[Ausgaben (LC)]] + SUMIFS(Ausgaben_14[Kum. Ausgaben (LC)], Ausgaben_14[ID], [@ID]), [@[Ausgaben (LC)]])</f>
      </c>
      <c r="CZ26" s="143" t="str">
        <f>=IFERROR([@[Ausgaben (EUR)]] + SUMIFS(Ausgaben_14[Kum. Ausgaben (EUR)], Ausgaben_14[ID], [@ID]), [@[Ausgaben (EUR)]])</f>
      </c>
      <c r="DC26" s="148" t="str">
        <f>=IFERROR(INDEX(Budget_ID_Liste, ROW() - ROW(Ausgaben_16[#Headers])), "")</f>
      </c>
      <c r="DD26" s="24"/>
      <c r="DE26" s="116" t="str">
        <f>=IFERROR(ROUND([@[Ausgaben (LC)]]/FB_Kurs_16,2),0)</f>
      </c>
      <c r="DF26" s="115" t="str">
        <f>=IFERROR([@[Ausgaben (LC)]] + SUMIFS(Ausgaben_15[Kum. Ausgaben (LC)], Ausgaben_15[ID], [@ID]), [@[Ausgaben (LC)]])</f>
      </c>
      <c r="DG26" s="143" t="str">
        <f>=IFERROR([@[Ausgaben (EUR)]] + SUMIFS(Ausgaben_15[Kum. Ausgaben (EUR)], Ausgaben_15[ID], [@ID]), [@[Ausgaben (EUR)]])</f>
      </c>
      <c r="DJ26" s="148" t="str">
        <f>=IFERROR(INDEX(Budget_ID_Liste, ROW() - ROW(Ausgaben_17[#Headers])), "")</f>
      </c>
      <c r="DK26" s="24"/>
      <c r="DL26" s="116" t="str">
        <f>=IFERROR(ROUND([@[Ausgaben (LC)]]/FB_Kurs_17,2),0)</f>
      </c>
      <c r="DM26" s="115" t="str">
        <f>=IFERROR([@[Ausgaben (LC)]] + SUMIFS(Ausgaben_16[Kum. Ausgaben (LC)], Ausgaben_16[ID], [@ID]), [@[Ausgaben (LC)]])</f>
      </c>
      <c r="DN26" s="143" t="str">
        <f>=IFERROR([@[Ausgaben (EUR)]] + SUMIFS(Ausgaben_16[Kum. Ausgaben (EUR)], Ausgaben_16[ID], [@ID]), [@[Ausgaben (EUR)]])</f>
      </c>
      <c r="DQ26" s="148" t="str">
        <f>=IFERROR(INDEX(Budget_ID_Liste, ROW() - ROW(Ausgaben_18[#Headers])), "")</f>
      </c>
      <c r="DR26" s="24"/>
      <c r="DS26" s="116" t="str">
        <f>=IFERROR(ROUND([@[Ausgaben (LC)]]/FB_Kurs_18,2),0)</f>
      </c>
      <c r="DT26" s="115" t="str">
        <f>=IFERROR([@[Ausgaben (LC)]] + SUMIFS(Ausgaben_17[Kum. Ausgaben (LC)], Ausgaben_17[ID], [@ID]), [@[Ausgaben (LC)]])</f>
      </c>
      <c r="DU26" s="143" t="str">
        <f>=IFERROR([@[Ausgaben (EUR)]] + SUMIFS(Ausgaben_17[Kum. Ausgaben (EUR)], Ausgaben_17[ID], [@ID]), [@[Ausgaben (EUR)]])</f>
      </c>
    </row>
    <row r="27">
      <c r="B27" s="149" t="s">
        <v>285</v>
      </c>
      <c r="C27" s="123" t="str">
        <f>=ROUND(SUBTOTAL(109,Ausgaben_1[Ausgaben (LC)]),2)</f>
      </c>
      <c r="D27" s="124" t="str">
        <f>=ROUND(SUBTOTAL(109,Ausgaben_1[Ausgaben (EUR)]),2)</f>
      </c>
      <c r="E27" s="123" t="str">
        <f>=ROUND(SUBTOTAL(109,Ausgaben_1[Kum. Ausgaben (LC)]),2)</f>
      </c>
      <c r="F27" s="150" t="str">
        <f>=ROUND(SUBTOTAL(109,Ausgaben_1[Kum. Ausgaben (EUR)]),2)</f>
      </c>
      <c r="I27" s="149" t="s">
        <v>285</v>
      </c>
      <c r="J27" s="123" t="str">
        <f>=ROUND(SUBTOTAL(109,Ausgaben_2[Ausgaben (LC)]),2)</f>
      </c>
      <c r="K27" s="124" t="str">
        <f>=ROUND(SUBTOTAL(109,Ausgaben_2[Ausgaben (EUR)]),2)</f>
      </c>
      <c r="L27" s="123" t="str">
        <f>=ROUND(SUBTOTAL(109,Ausgaben_2[Kum. Ausgaben (LC)]),2)</f>
      </c>
      <c r="M27" s="150" t="str">
        <f>=ROUND(SUBTOTAL(109,Ausgaben_2[Kum. Ausgaben (EUR)]),2)</f>
      </c>
      <c r="P27" s="149" t="s">
        <v>285</v>
      </c>
      <c r="Q27" s="123" t="str">
        <f>=ROUND(SUBTOTAL(109,Ausgaben_3[Ausgaben (LC)]),2)</f>
      </c>
      <c r="R27" s="124" t="str">
        <f>=ROUND(SUBTOTAL(109,Ausgaben_3[Ausgaben (EUR)]),2)</f>
      </c>
      <c r="S27" s="123" t="str">
        <f>=ROUND(SUBTOTAL(109,Ausgaben_3[Kum. Ausgaben (LC)]),2)</f>
      </c>
      <c r="T27" s="150" t="str">
        <f>=ROUND(SUBTOTAL(109,Ausgaben_3[Kum. Ausgaben (EUR)]),2)</f>
      </c>
      <c r="W27" s="149" t="s">
        <v>285</v>
      </c>
      <c r="X27" s="123" t="str">
        <f>=ROUND(SUBTOTAL(109,Ausgaben_4[Ausgaben (LC)]),2)</f>
      </c>
      <c r="Y27" s="124" t="str">
        <f>=ROUND(SUBTOTAL(109,Ausgaben_4[Ausgaben (EUR)]),2)</f>
      </c>
      <c r="Z27" s="123" t="str">
        <f>=ROUND(SUBTOTAL(109,Ausgaben_4[Kum. Ausgaben (LC)]),2)</f>
      </c>
      <c r="AA27" s="150" t="str">
        <f>=ROUND(SUBTOTAL(109,Ausgaben_4[Kum. Ausgaben (EUR)]),2)</f>
      </c>
      <c r="AD27" s="149" t="s">
        <v>285</v>
      </c>
      <c r="AE27" s="123" t="str">
        <f>=ROUND(SUBTOTAL(109,Ausgaben_5[Ausgaben (LC)]),2)</f>
      </c>
      <c r="AF27" s="124" t="str">
        <f>=ROUND(SUBTOTAL(109,Ausgaben_5[Ausgaben (EUR)]),2)</f>
      </c>
      <c r="AG27" s="123" t="str">
        <f>=ROUND(SUBTOTAL(109,Ausgaben_5[Kum. Ausgaben (LC)]),2)</f>
      </c>
      <c r="AH27" s="150" t="str">
        <f>=ROUND(SUBTOTAL(109,Ausgaben_5[Kum. Ausgaben (EUR)]),2)</f>
      </c>
      <c r="AK27" s="149" t="s">
        <v>285</v>
      </c>
      <c r="AL27" s="123" t="str">
        <f>=ROUND(SUBTOTAL(109,Ausgaben_6[Ausgaben (LC)]),2)</f>
      </c>
      <c r="AM27" s="124" t="str">
        <f>=ROUND(SUBTOTAL(109,Ausgaben_6[Ausgaben (EUR)]),2)</f>
      </c>
      <c r="AN27" s="123" t="str">
        <f>=ROUND(SUBTOTAL(109,Ausgaben_6[Kum. Ausgaben (LC)]),2)</f>
      </c>
      <c r="AO27" s="150" t="str">
        <f>=ROUND(SUBTOTAL(109,Ausgaben_6[Kum. Ausgaben (EUR)]),2)</f>
      </c>
      <c r="AR27" s="149" t="s">
        <v>285</v>
      </c>
      <c r="AS27" s="123" t="str">
        <f>=ROUND(SUBTOTAL(109,Ausgaben_7[Ausgaben (LC)]),2)</f>
      </c>
      <c r="AT27" s="124" t="str">
        <f>=ROUND(SUBTOTAL(109,Ausgaben_7[Ausgaben (EUR)]),2)</f>
      </c>
      <c r="AU27" s="123" t="str">
        <f>=ROUND(SUBTOTAL(109,Ausgaben_7[Kum. Ausgaben (LC)]),2)</f>
      </c>
      <c r="AV27" s="150" t="str">
        <f>=ROUND(SUBTOTAL(109,Ausgaben_7[Kum. Ausgaben (EUR)]),2)</f>
      </c>
      <c r="AY27" s="149" t="s">
        <v>285</v>
      </c>
      <c r="AZ27" s="123" t="str">
        <f>=ROUND(SUBTOTAL(109,Ausgaben_8[Ausgaben (LC)]),2)</f>
      </c>
      <c r="BA27" s="124" t="str">
        <f>=ROUND(SUBTOTAL(109,Ausgaben_8[Ausgaben (EUR)]),2)</f>
      </c>
      <c r="BB27" s="123" t="str">
        <f>=ROUND(SUBTOTAL(109,Ausgaben_8[Kum. Ausgaben (LC)]),2)</f>
      </c>
      <c r="BC27" s="150" t="str">
        <f>=ROUND(SUBTOTAL(109,Ausgaben_8[Kum. Ausgaben (EUR)]),2)</f>
      </c>
      <c r="BF27" s="149" t="s">
        <v>285</v>
      </c>
      <c r="BG27" s="123" t="str">
        <f>=ROUND(SUBTOTAL(109,Ausgaben_9[Ausgaben (LC)]),2)</f>
      </c>
      <c r="BH27" s="124" t="str">
        <f>=ROUND(SUBTOTAL(109,Ausgaben_9[Ausgaben (EUR)]),2)</f>
      </c>
      <c r="BI27" s="123" t="str">
        <f>=ROUND(SUBTOTAL(109,Ausgaben_9[Kum. Ausgaben (LC)]),2)</f>
      </c>
      <c r="BJ27" s="150" t="str">
        <f>=ROUND(SUBTOTAL(109,Ausgaben_9[Kum. Ausgaben (EUR)]),2)</f>
      </c>
      <c r="BM27" s="149" t="s">
        <v>285</v>
      </c>
      <c r="BN27" s="123" t="str">
        <f>=ROUND(SUBTOTAL(109,Ausgaben_10[Ausgaben (LC)]),2)</f>
      </c>
      <c r="BO27" s="124" t="str">
        <f>=ROUND(SUBTOTAL(109,Ausgaben_10[Ausgaben (EUR)]),2)</f>
      </c>
      <c r="BP27" s="123" t="str">
        <f>=ROUND(SUBTOTAL(109,Ausgaben_10[Kum. Ausgaben (LC)]),2)</f>
      </c>
      <c r="BQ27" s="150" t="str">
        <f>=ROUND(SUBTOTAL(109,Ausgaben_10[Kum. Ausgaben (EUR)]),2)</f>
      </c>
      <c r="BT27" s="149" t="s">
        <v>285</v>
      </c>
      <c r="BU27" s="123" t="str">
        <f>=ROUND(SUBTOTAL(109,Ausgaben_11[Ausgaben (LC)]),2)</f>
      </c>
      <c r="BV27" s="124" t="str">
        <f>=ROUND(SUBTOTAL(109,Ausgaben_11[Ausgaben (EUR)]),2)</f>
      </c>
      <c r="BW27" s="123" t="str">
        <f>=ROUND(SUBTOTAL(109,Ausgaben_11[Kum. Ausgaben (LC)]),2)</f>
      </c>
      <c r="BX27" s="150" t="str">
        <f>=ROUND(SUBTOTAL(109,Ausgaben_11[Kum. Ausgaben (EUR)]),2)</f>
      </c>
      <c r="CA27" s="149" t="s">
        <v>285</v>
      </c>
      <c r="CB27" s="123" t="str">
        <f>=ROUND(SUBTOTAL(109,Ausgaben_12[Ausgaben (LC)]),2)</f>
      </c>
      <c r="CC27" s="124" t="str">
        <f>=ROUND(SUBTOTAL(109,Ausgaben_12[Ausgaben (EUR)]),2)</f>
      </c>
      <c r="CD27" s="123" t="str">
        <f>=ROUND(SUBTOTAL(109,Ausgaben_12[Kum. Ausgaben (LC)]),2)</f>
      </c>
      <c r="CE27" s="150" t="str">
        <f>=ROUND(SUBTOTAL(109,Ausgaben_12[Kum. Ausgaben (EUR)]),2)</f>
      </c>
      <c r="CH27" s="149" t="s">
        <v>285</v>
      </c>
      <c r="CI27" s="123" t="str">
        <f>=ROUND(SUBTOTAL(109,Ausgaben_13[Ausgaben (LC)]),2)</f>
      </c>
      <c r="CJ27" s="124" t="str">
        <f>=ROUND(SUBTOTAL(109,Ausgaben_13[Ausgaben (EUR)]),2)</f>
      </c>
      <c r="CK27" s="123" t="str">
        <f>=ROUND(SUBTOTAL(109,Ausgaben_13[Kum. Ausgaben (LC)]),2)</f>
      </c>
      <c r="CL27" s="150" t="str">
        <f>=ROUND(SUBTOTAL(109,Ausgaben_13[Kum. Ausgaben (EUR)]),2)</f>
      </c>
      <c r="CO27" s="149" t="s">
        <v>285</v>
      </c>
      <c r="CP27" s="123" t="str">
        <f>=ROUND(SUBTOTAL(109,Ausgaben_14[Ausgaben (LC)]),2)</f>
      </c>
      <c r="CQ27" s="124" t="str">
        <f>=ROUND(SUBTOTAL(109,Ausgaben_14[Ausgaben (EUR)]),2)</f>
      </c>
      <c r="CR27" s="123" t="str">
        <f>=ROUND(SUBTOTAL(109,Ausgaben_14[Kum. Ausgaben (LC)]),2)</f>
      </c>
      <c r="CS27" s="150" t="str">
        <f>=ROUND(SUBTOTAL(109,Ausgaben_14[Kum. Ausgaben (EUR)]),2)</f>
      </c>
      <c r="CV27" s="149" t="s">
        <v>285</v>
      </c>
      <c r="CW27" s="123" t="str">
        <f>=ROUND(SUBTOTAL(109,Ausgaben_15[Ausgaben (LC)]),2)</f>
      </c>
      <c r="CX27" s="124" t="str">
        <f>=ROUND(SUBTOTAL(109,Ausgaben_15[Ausgaben (EUR)]),2)</f>
      </c>
      <c r="CY27" s="123" t="str">
        <f>=ROUND(SUBTOTAL(109,Ausgaben_15[Kum. Ausgaben (LC)]),2)</f>
      </c>
      <c r="CZ27" s="150" t="str">
        <f>=ROUND(SUBTOTAL(109,Ausgaben_15[Kum. Ausgaben (EUR)]),2)</f>
      </c>
      <c r="DC27" s="149" t="s">
        <v>285</v>
      </c>
      <c r="DD27" s="123" t="str">
        <f>=ROUND(SUBTOTAL(109,Ausgaben_16[Ausgaben (LC)]),2)</f>
      </c>
      <c r="DE27" s="124" t="str">
        <f>=ROUND(SUBTOTAL(109,Ausgaben_16[Ausgaben (EUR)]),2)</f>
      </c>
      <c r="DF27" s="123" t="str">
        <f>=ROUND(SUBTOTAL(109,Ausgaben_16[Kum. Ausgaben (LC)]),2)</f>
      </c>
      <c r="DG27" s="150" t="str">
        <f>=ROUND(SUBTOTAL(109,Ausgaben_16[Kum. Ausgaben (EUR)]),2)</f>
      </c>
      <c r="DJ27" s="149" t="s">
        <v>285</v>
      </c>
      <c r="DK27" s="123" t="str">
        <f>=ROUND(SUBTOTAL(109,Ausgaben_17[Ausgaben (LC)]),2)</f>
      </c>
      <c r="DL27" s="124" t="str">
        <f>=ROUND(SUBTOTAL(109,Ausgaben_17[Ausgaben (EUR)]),2)</f>
      </c>
      <c r="DM27" s="123" t="str">
        <f>=ROUND(SUBTOTAL(109,Ausgaben_17[Kum. Ausgaben (LC)]),2)</f>
      </c>
      <c r="DN27" s="150" t="str">
        <f>=ROUND(SUBTOTAL(109,Ausgaben_17[Kum. Ausgaben (EUR)]),2)</f>
      </c>
      <c r="DQ27" s="149" t="s">
        <v>285</v>
      </c>
      <c r="DR27" s="123" t="str">
        <f>=ROUND(SUBTOTAL(109,Ausgaben_18[Ausgaben (LC)]),2)</f>
      </c>
      <c r="DS27" s="124" t="str">
        <f>=ROUND(SUBTOTAL(109,Ausgaben_18[Ausgaben (EUR)]),2)</f>
      </c>
      <c r="DT27" s="123" t="str">
        <f>=ROUND(SUBTOTAL(109,Ausgaben_18[Kum. Ausgaben (LC)]),2)</f>
      </c>
      <c r="DU27" s="150" t="str">
        <f>=ROUND(SUBTOTAL(109,Ausgaben_18[Kum. Ausgaben (EUR)]),2)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5" t="str">
        <f>=ROUND(IFERROR(D16-E27,""),2)</f>
      </c>
      <c r="E29" s="126" t="str">
        <f>=ROUND(IFERROR(E16-F27,""),2)</f>
      </c>
      <c r="F29" s="48"/>
      <c r="I29" s="137" t="s">
        <v>286</v>
      </c>
      <c r="J29" s="125" t="str">
        <f>=ROUND(IFERROR(J16-$J$27,""),2)</f>
      </c>
      <c r="K29" s="125" t="str">
        <f>=ROUND(IFERROR(K16-L27,""),2)</f>
      </c>
      <c r="L29" s="126" t="str">
        <f>=ROUND(IFERROR(L16-M27,""),2)</f>
      </c>
      <c r="M29" s="48"/>
      <c r="P29" s="137" t="s">
        <v>286</v>
      </c>
      <c r="Q29" s="125" t="str">
        <f>=ROUND(IFERROR(Q16-$Q$27,""),2)</f>
      </c>
      <c r="R29" s="125" t="str">
        <f>=ROUND(IFERROR(R16-S27,""),2)</f>
      </c>
      <c r="S29" s="126" t="str">
        <f>=ROUND(IFERROR(S16-T27,""),2)</f>
      </c>
      <c r="T29" s="48"/>
      <c r="W29" s="137" t="s">
        <v>286</v>
      </c>
      <c r="X29" s="125" t="str">
        <f>=ROUND(IFERROR(X16-$X$27,""),2)</f>
      </c>
      <c r="Y29" s="125" t="str">
        <f>=ROUND(IFERROR(Y16-Z27,""),2)</f>
      </c>
      <c r="Z29" s="126" t="str">
        <f>=ROUND(IFERROR(Z16-AA27,""),2)</f>
      </c>
      <c r="AA29" s="48"/>
      <c r="AD29" s="137" t="s">
        <v>286</v>
      </c>
      <c r="AE29" s="125" t="str">
        <f>=ROUND(IFERROR(AE16-$AE$27,""),2)</f>
      </c>
      <c r="AF29" s="125" t="str">
        <f>=ROUND(IFERROR(AF16-AG27,""),2)</f>
      </c>
      <c r="AG29" s="126" t="str">
        <f>=ROUND(IFERROR(AG16-AH27,""),2)</f>
      </c>
      <c r="AH29" s="48"/>
      <c r="AK29" s="137" t="s">
        <v>286</v>
      </c>
      <c r="AL29" s="125" t="str">
        <f>=ROUND(IFERROR(AL16-$AL$27,""),2)</f>
      </c>
      <c r="AM29" s="125" t="str">
        <f>=ROUND(IFERROR(AM16-AN27,""),2)</f>
      </c>
      <c r="AN29" s="126" t="str">
        <f>=ROUND(IFERROR(AN16-AO27,""),2)</f>
      </c>
      <c r="AO29" s="48"/>
      <c r="AR29" s="137" t="s">
        <v>286</v>
      </c>
      <c r="AS29" s="125" t="str">
        <f>=ROUND(IFERROR(AS16-$AS$27,""),2)</f>
      </c>
      <c r="AT29" s="125" t="str">
        <f>=ROUND(IFERROR(AT16-AU27,""),2)</f>
      </c>
      <c r="AU29" s="126" t="str">
        <f>=ROUND(IFERROR(AU16-AV27,""),2)</f>
      </c>
      <c r="AV29" s="48"/>
      <c r="AY29" s="137" t="s">
        <v>286</v>
      </c>
      <c r="AZ29" s="125" t="str">
        <f>=ROUND(IFERROR(AZ16-$AZ$27,""),2)</f>
      </c>
      <c r="BA29" s="125" t="str">
        <f>=ROUND(IFERROR(BA16-BB27,""),2)</f>
      </c>
      <c r="BB29" s="126" t="str">
        <f>=ROUND(IFERROR(BB16-BC27,""),2)</f>
      </c>
      <c r="BC29" s="48"/>
      <c r="BF29" s="137" t="s">
        <v>286</v>
      </c>
      <c r="BG29" s="125" t="str">
        <f>=ROUND(IFERROR(BG16-$BG$27,""),2)</f>
      </c>
      <c r="BH29" s="125" t="str">
        <f>=ROUND(IFERROR(BH16-BI27,""),2)</f>
      </c>
      <c r="BI29" s="126" t="str">
        <f>=ROUND(IFERROR(BI16-BJ27,""),2)</f>
      </c>
      <c r="BJ29" s="48"/>
      <c r="BM29" s="137" t="s">
        <v>286</v>
      </c>
      <c r="BN29" s="125" t="str">
        <f>=ROUND(IFERROR(BN16-$BN$27,""),2)</f>
      </c>
      <c r="BO29" s="125" t="str">
        <f>=ROUND(IFERROR(BO16-BP27,""),2)</f>
      </c>
      <c r="BP29" s="126" t="str">
        <f>=ROUND(IFERROR(BP16-BQ27,""),2)</f>
      </c>
      <c r="BQ29" s="48"/>
      <c r="BT29" s="137" t="s">
        <v>286</v>
      </c>
      <c r="BU29" s="125" t="str">
        <f>=ROUND(IFERROR(BU16-$BU$27,""),2)</f>
      </c>
      <c r="BV29" s="125" t="str">
        <f>=ROUND(IFERROR(BV16-BW27,""),2)</f>
      </c>
      <c r="BW29" s="126" t="str">
        <f>=ROUND(IFERROR(BW16-BX27,""),2)</f>
      </c>
      <c r="BX29" s="48"/>
      <c r="CA29" s="137" t="s">
        <v>286</v>
      </c>
      <c r="CB29" s="125" t="str">
        <f>=ROUND(IFERROR(CB16-$CB$27,""),2)</f>
      </c>
      <c r="CC29" s="125" t="str">
        <f>=ROUND(IFERROR(CC16-CD27,""),2)</f>
      </c>
      <c r="CD29" s="126" t="str">
        <f>=ROUND(IFERROR(CD16-CE27,""),2)</f>
      </c>
      <c r="CE29" s="48"/>
      <c r="CH29" s="137" t="s">
        <v>286</v>
      </c>
      <c r="CI29" s="125" t="str">
        <f>=ROUND(IFERROR(CI16-$CI$27,""),2)</f>
      </c>
      <c r="CJ29" s="125" t="str">
        <f>=ROUND(IFERROR(CJ16-CK27,""),2)</f>
      </c>
      <c r="CK29" s="126" t="str">
        <f>=ROUND(IFERROR(CK16-CL27,""),2)</f>
      </c>
      <c r="CL29" s="48"/>
      <c r="CO29" s="137" t="s">
        <v>286</v>
      </c>
      <c r="CP29" s="125" t="str">
        <f>=ROUND(IFERROR(CP16-$CP$27,""),2)</f>
      </c>
      <c r="CQ29" s="125" t="str">
        <f>=ROUND(IFERROR(CQ16-CR27,""),2)</f>
      </c>
      <c r="CR29" s="126" t="str">
        <f>=ROUND(IFERROR(CR16-CS27,""),2)</f>
      </c>
      <c r="CS29" s="48"/>
      <c r="CV29" s="137" t="s">
        <v>286</v>
      </c>
      <c r="CW29" s="125" t="str">
        <f>=ROUND(IFERROR(CW16-$CW$27,""),2)</f>
      </c>
      <c r="CX29" s="125" t="str">
        <f>=ROUND(IFERROR(CX16-CY27,""),2)</f>
      </c>
      <c r="CY29" s="126" t="str">
        <f>=ROUND(IFERROR(CY16-CZ27,""),2)</f>
      </c>
      <c r="CZ29" s="48"/>
      <c r="DC29" s="137" t="s">
        <v>286</v>
      </c>
      <c r="DD29" s="125" t="str">
        <f>=ROUND(IFERROR(DD16-$DD$27,""),2)</f>
      </c>
      <c r="DE29" s="125" t="str">
        <f>=ROUND(IFERROR(DE16-DF27,""),2)</f>
      </c>
      <c r="DF29" s="126" t="str">
        <f>=ROUND(IFERROR(DF16-DG27,""),2)</f>
      </c>
      <c r="DG29" s="48"/>
      <c r="DJ29" s="137" t="s">
        <v>286</v>
      </c>
      <c r="DK29" s="125" t="str">
        <f>=ROUND(IFERROR(DK16-$DK$27,""),2)</f>
      </c>
      <c r="DL29" s="125" t="str">
        <f>=ROUND(IFERROR(DL16-DM27,""),2)</f>
      </c>
      <c r="DM29" s="126" t="str">
        <f>=ROUND(IFERROR(DM16-DN27,""),2)</f>
      </c>
      <c r="DN29" s="48"/>
      <c r="DQ29" s="137" t="s">
        <v>286</v>
      </c>
      <c r="DR29" s="125" t="str">
        <f>=ROUND(IFERROR(DR16-$DR$27,""),2)</f>
      </c>
      <c r="DS29" s="125" t="str">
        <f>=ROUND(IFERROR(DS16-DT27,""),2)</f>
      </c>
      <c r="DT29" s="126" t="str">
        <f>=ROUND(IFERROR(DT16-DU27,""),2)</f>
      </c>
      <c r="DU29" s="48"/>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1" t="s">
        <v>287</v>
      </c>
      <c r="F31" s="48"/>
      <c r="I31" s="151" t="s">
        <v>287</v>
      </c>
      <c r="M31" s="48"/>
      <c r="P31" s="151" t="s">
        <v>287</v>
      </c>
      <c r="T31" s="48"/>
      <c r="W31" s="151" t="s">
        <v>287</v>
      </c>
      <c r="AA31" s="48"/>
      <c r="AD31" s="151" t="s">
        <v>287</v>
      </c>
      <c r="AH31" s="48"/>
      <c r="AK31" s="151" t="s">
        <v>287</v>
      </c>
      <c r="AO31" s="48"/>
      <c r="AR31" s="151" t="s">
        <v>287</v>
      </c>
      <c r="AV31" s="48"/>
      <c r="AY31" s="151" t="s">
        <v>287</v>
      </c>
      <c r="BC31" s="48"/>
      <c r="BF31" s="151" t="s">
        <v>287</v>
      </c>
      <c r="BJ31" s="48"/>
      <c r="BM31" s="151" t="s">
        <v>287</v>
      </c>
      <c r="BQ31" s="48"/>
      <c r="BT31" s="151" t="s">
        <v>287</v>
      </c>
      <c r="BX31" s="48"/>
      <c r="CA31" s="151" t="s">
        <v>287</v>
      </c>
      <c r="CE31" s="48"/>
      <c r="CH31" s="151" t="s">
        <v>287</v>
      </c>
      <c r="CL31" s="48"/>
      <c r="CO31" s="151" t="s">
        <v>287</v>
      </c>
      <c r="CS31" s="48"/>
      <c r="CV31" s="151" t="s">
        <v>287</v>
      </c>
      <c r="CZ31" s="48"/>
      <c r="DC31" s="151" t="s">
        <v>287</v>
      </c>
      <c r="DG31" s="48"/>
      <c r="DJ31" s="151" t="s">
        <v>287</v>
      </c>
      <c r="DN31" s="48"/>
      <c r="DQ31" s="151" t="s">
        <v>287</v>
      </c>
      <c r="DU31" s="48"/>
    </row>
    <row r="32">
      <c r="B32" s="152" t="s">
        <v>288</v>
      </c>
      <c r="C32" s="128"/>
      <c r="D32" s="129" t="str">
        <f>=IF(C32=0, 0, IF(ROUND(SUM(C33:C34), 2)=0, ROUND(D29 - 0, 2), ROUND(C32 / ROUND(SUM(C32:C34), 2) * D29, 2)))</f>
      </c>
      <c r="F32" s="48"/>
      <c r="I32" s="152" t="s">
        <v>288</v>
      </c>
      <c r="J32" s="128"/>
      <c r="K32" s="129" t="str">
        <f>=IF(J32=0, 0, IF(ROUND(SUM(J33:J34), 2)=0, ROUND(K29 - 0, 2), ROUND(J32 / ROUND(SUM(J32:J34), 2) * K29, 2)))</f>
      </c>
      <c r="M32" s="48"/>
      <c r="P32" s="152" t="s">
        <v>288</v>
      </c>
      <c r="Q32" s="128"/>
      <c r="R32" s="129" t="str">
        <f>=IF(Q32=0, 0, IF(ROUND(SUM(Q33:Q34), 2)=0, ROUND(R29 - 0, 2), ROUND(Q32 / ROUND(SUM(Q32:Q34), 2) * R29, 2)))</f>
      </c>
      <c r="T32" s="48"/>
      <c r="W32" s="152" t="s">
        <v>288</v>
      </c>
      <c r="X32" s="128"/>
      <c r="Y32" s="129" t="str">
        <f>=IF(X32=0, 0, IF(ROUND(SUM(X33:X34), 2)=0, ROUND(Y29 - 0, 2), ROUND(X32 / ROUND(SUM(X32:X34), 2) * Y29, 2)))</f>
      </c>
      <c r="AA32" s="48"/>
      <c r="AD32" s="152" t="s">
        <v>288</v>
      </c>
      <c r="AE32" s="128"/>
      <c r="AF32" s="129" t="str">
        <f>=IF(AE32=0, 0, IF(ROUND(SUM(AE33:AE34), 2)=0, ROUND(AF29 - 0, 2), ROUND(AE32 / ROUND(SUM(AE32:AE34), 2) * AF29, 2)))</f>
      </c>
      <c r="AH32" s="48"/>
      <c r="AK32" s="152" t="s">
        <v>288</v>
      </c>
      <c r="AL32" s="128"/>
      <c r="AM32" s="129" t="str">
        <f>=IF(AL32=0, 0, IF(ROUND(SUM(AL33:AL34), 2)=0, ROUND(AM29 - 0, 2), ROUND(AL32 / ROUND(SUM(AL32:AL34), 2) * AM29, 2)))</f>
      </c>
      <c r="AO32" s="48"/>
      <c r="AR32" s="152" t="s">
        <v>288</v>
      </c>
      <c r="AS32" s="128"/>
      <c r="AT32" s="129" t="str">
        <f>=IF(AS32=0, 0, IF(ROUND(SUM(AS33:AS34), 2)=0, ROUND(AT29 - 0, 2), ROUND(AS32 / ROUND(SUM(AS32:AS34), 2) * AT29, 2)))</f>
      </c>
      <c r="AV32" s="48"/>
      <c r="AY32" s="152" t="s">
        <v>288</v>
      </c>
      <c r="AZ32" s="128"/>
      <c r="BA32" s="129" t="str">
        <f>=IF(AZ32=0, 0, IF(ROUND(SUM(AZ33:AZ34), 2)=0, ROUND(BA29 - 0, 2), ROUND(AZ32 / ROUND(SUM(AZ32:AZ34), 2) * BA29, 2)))</f>
      </c>
      <c r="BC32" s="48"/>
      <c r="BF32" s="152" t="s">
        <v>288</v>
      </c>
      <c r="BG32" s="128"/>
      <c r="BH32" s="129" t="str">
        <f>=IF(BG32=0, 0, IF(ROUND(SUM(BG33:BG34), 2)=0, ROUND(BH29 - 0, 2), ROUND(BG32 / ROUND(SUM(BG32:BG34), 2) * BH29, 2)))</f>
      </c>
      <c r="BJ32" s="48"/>
      <c r="BM32" s="152" t="s">
        <v>288</v>
      </c>
      <c r="BN32" s="128"/>
      <c r="BO32" s="129" t="str">
        <f>=IF(BN32=0, 0, IF(ROUND(SUM(BN33:BN34), 2)=0, ROUND(BO29 - 0, 2), ROUND(BN32 / ROUND(SUM(BN32:BN34), 2) * BO29, 2)))</f>
      </c>
      <c r="BQ32" s="48"/>
      <c r="BT32" s="152" t="s">
        <v>288</v>
      </c>
      <c r="BU32" s="128"/>
      <c r="BV32" s="129" t="str">
        <f>=IF(BU32=0, 0, IF(ROUND(SUM(BU33:BU34), 2)=0, ROUND(BV29 - 0, 2), ROUND(BU32 / ROUND(SUM(BU32:BU34), 2) * BV29, 2)))</f>
      </c>
      <c r="BX32" s="48"/>
      <c r="CA32" s="152" t="s">
        <v>288</v>
      </c>
      <c r="CB32" s="128"/>
      <c r="CC32" s="129" t="str">
        <f>=IF(CB32=0, 0, IF(ROUND(SUM(CB33:CB34), 2)=0, ROUND(CC29 - 0, 2), ROUND(CB32 / ROUND(SUM(CB32:CB34), 2) * CC29, 2)))</f>
      </c>
      <c r="CE32" s="48"/>
      <c r="CH32" s="152" t="s">
        <v>288</v>
      </c>
      <c r="CI32" s="128"/>
      <c r="CJ32" s="129" t="str">
        <f>=IF(CI32=0, 0, IF(ROUND(SUM(CI33:CI34), 2)=0, ROUND(CJ29 - 0, 2), ROUND(CI32 / ROUND(SUM(CI32:CI34), 2) * CJ29, 2)))</f>
      </c>
      <c r="CL32" s="48"/>
      <c r="CO32" s="152" t="s">
        <v>288</v>
      </c>
      <c r="CP32" s="128"/>
      <c r="CQ32" s="129" t="str">
        <f>=IF(CP32=0, 0, IF(ROUND(SUM(CP33:CP34), 2)=0, ROUND(CQ29 - 0, 2), ROUND(CP32 / ROUND(SUM(CP32:CP34), 2) * CQ29, 2)))</f>
      </c>
      <c r="CS32" s="48"/>
      <c r="CV32" s="152" t="s">
        <v>288</v>
      </c>
      <c r="CW32" s="128"/>
      <c r="CX32" s="129" t="str">
        <f>=IF(CW32=0, 0, IF(ROUND(SUM(CW33:CW34), 2)=0, ROUND(CX29 - 0, 2), ROUND(CW32 / ROUND(SUM(CW32:CW34), 2) * CX29, 2)))</f>
      </c>
      <c r="CZ32" s="48"/>
      <c r="DC32" s="152" t="s">
        <v>288</v>
      </c>
      <c r="DD32" s="128"/>
      <c r="DE32" s="129" t="str">
        <f>=IF(DD32=0, 0, IF(ROUND(SUM(DD33:DD34), 2)=0, ROUND(DE29 - 0, 2), ROUND(DD32 / ROUND(SUM(DD32:DD34), 2) * DE29, 2)))</f>
      </c>
      <c r="DG32" s="48"/>
      <c r="DJ32" s="152" t="s">
        <v>288</v>
      </c>
      <c r="DK32" s="128"/>
      <c r="DL32" s="129" t="str">
        <f>=IF(DK32=0, 0, IF(ROUND(SUM(DK33:DK34), 2)=0, ROUND(DL29 - 0, 2), ROUND(DK32 / ROUND(SUM(DK32:DK34), 2) * DL29, 2)))</f>
      </c>
      <c r="DN32" s="48"/>
      <c r="DQ32" s="152" t="s">
        <v>288</v>
      </c>
      <c r="DR32" s="128"/>
      <c r="DS32" s="129" t="str">
        <f>=IF(DR32=0, 0, IF(ROUND(SUM(DR33:DR34), 2)=0, ROUND(DS29 - 0, 2), ROUND(DR32 / ROUND(SUM(DR32:DR34), 2) * DS29, 2)))</f>
      </c>
      <c r="DU32" s="48"/>
    </row>
    <row r="33">
      <c r="B33" s="152" t="s">
        <v>289</v>
      </c>
      <c r="C33" s="128"/>
      <c r="D33" s="129" t="str">
        <f>=IF(C33=0, 0, IF(ROUND(SUM(C34:C34), 2)=0, ROUND(D29 - SUM(D32:D32), 2), ROUND(C33 / ROUND(SUM(C32:C34), 2) * D29, 2)))</f>
      </c>
      <c r="F33" s="48"/>
      <c r="I33" s="152" t="s">
        <v>289</v>
      </c>
      <c r="J33" s="128"/>
      <c r="K33" s="129" t="str">
        <f>=IF(J33=0, 0, IF(ROUND(SUM(J34:J34), 2)=0, ROUND(K29 - SUM(K32:K32), 2), ROUND(J33 / ROUND(SUM(J32:J34), 2) * K29, 2)))</f>
      </c>
      <c r="M33" s="48"/>
      <c r="P33" s="152" t="s">
        <v>289</v>
      </c>
      <c r="Q33" s="128"/>
      <c r="R33" s="129" t="str">
        <f>=IF(Q33=0, 0, IF(ROUND(SUM(Q34:Q34), 2)=0, ROUND(R29 - SUM(R32:R32), 2), ROUND(Q33 / ROUND(SUM(Q32:Q34), 2) * R29, 2)))</f>
      </c>
      <c r="T33" s="48"/>
      <c r="W33" s="152" t="s">
        <v>289</v>
      </c>
      <c r="X33" s="128"/>
      <c r="Y33" s="129" t="str">
        <f>=IF(X33=0, 0, IF(ROUND(SUM(X34:X34), 2)=0, ROUND(Y29 - SUM(Y32:Y32), 2), ROUND(X33 / ROUND(SUM(X32:X34), 2) * Y29, 2)))</f>
      </c>
      <c r="AA33" s="48"/>
      <c r="AD33" s="152" t="s">
        <v>289</v>
      </c>
      <c r="AE33" s="128"/>
      <c r="AF33" s="129" t="str">
        <f>=IF(AE33=0, 0, IF(ROUND(SUM(AE34:AE34), 2)=0, ROUND(AF29 - SUM(AF32:AF32), 2), ROUND(AE33 / ROUND(SUM(AE32:AE34), 2) * AF29, 2)))</f>
      </c>
      <c r="AH33" s="48"/>
      <c r="AK33" s="152" t="s">
        <v>289</v>
      </c>
      <c r="AL33" s="128"/>
      <c r="AM33" s="129" t="str">
        <f>=IF(AL33=0, 0, IF(ROUND(SUM(AL34:AL34), 2)=0, ROUND(AM29 - SUM(AM32:AM32), 2), ROUND(AL33 / ROUND(SUM(AL32:AL34), 2) * AM29, 2)))</f>
      </c>
      <c r="AO33" s="48"/>
      <c r="AR33" s="152" t="s">
        <v>289</v>
      </c>
      <c r="AS33" s="128"/>
      <c r="AT33" s="129" t="str">
        <f>=IF(AS33=0, 0, IF(ROUND(SUM(AS34:AS34), 2)=0, ROUND(AT29 - SUM(AT32:AT32), 2), ROUND(AS33 / ROUND(SUM(AS32:AS34), 2) * AT29, 2)))</f>
      </c>
      <c r="AV33" s="48"/>
      <c r="AY33" s="152" t="s">
        <v>289</v>
      </c>
      <c r="AZ33" s="128"/>
      <c r="BA33" s="129" t="str">
        <f>=IF(AZ33=0, 0, IF(ROUND(SUM(AZ34:AZ34), 2)=0, ROUND(BA29 - SUM(BA32:BA32), 2), ROUND(AZ33 / ROUND(SUM(AZ32:AZ34), 2) * BA29, 2)))</f>
      </c>
      <c r="BC33" s="48"/>
      <c r="BF33" s="152" t="s">
        <v>289</v>
      </c>
      <c r="BG33" s="128"/>
      <c r="BH33" s="129" t="str">
        <f>=IF(BG33=0, 0, IF(ROUND(SUM(BG34:BG34), 2)=0, ROUND(BH29 - SUM(BH32:BH32), 2), ROUND(BG33 / ROUND(SUM(BG32:BG34), 2) * BH29, 2)))</f>
      </c>
      <c r="BJ33" s="48"/>
      <c r="BM33" s="152" t="s">
        <v>289</v>
      </c>
      <c r="BN33" s="128"/>
      <c r="BO33" s="129" t="str">
        <f>=IF(BN33=0, 0, IF(ROUND(SUM(BN34:BN34), 2)=0, ROUND(BO29 - SUM(BO32:BO32), 2), ROUND(BN33 / ROUND(SUM(BN32:BN34), 2) * BO29, 2)))</f>
      </c>
      <c r="BQ33" s="48"/>
      <c r="BT33" s="152" t="s">
        <v>289</v>
      </c>
      <c r="BU33" s="128"/>
      <c r="BV33" s="129" t="str">
        <f>=IF(BU33=0, 0, IF(ROUND(SUM(BU34:BU34), 2)=0, ROUND(BV29 - SUM(BV32:BV32), 2), ROUND(BU33 / ROUND(SUM(BU32:BU34), 2) * BV29, 2)))</f>
      </c>
      <c r="BX33" s="48"/>
      <c r="CA33" s="152" t="s">
        <v>289</v>
      </c>
      <c r="CB33" s="128"/>
      <c r="CC33" s="129" t="str">
        <f>=IF(CB33=0, 0, IF(ROUND(SUM(CB34:CB34), 2)=0, ROUND(CC29 - SUM(CC32:CC32), 2), ROUND(CB33 / ROUND(SUM(CB32:CB34), 2) * CC29, 2)))</f>
      </c>
      <c r="CE33" s="48"/>
      <c r="CH33" s="152" t="s">
        <v>289</v>
      </c>
      <c r="CI33" s="128"/>
      <c r="CJ33" s="129" t="str">
        <f>=IF(CI33=0, 0, IF(ROUND(SUM(CI34:CI34), 2)=0, ROUND(CJ29 - SUM(CJ32:CJ32), 2), ROUND(CI33 / ROUND(SUM(CI32:CI34), 2) * CJ29, 2)))</f>
      </c>
      <c r="CL33" s="48"/>
      <c r="CO33" s="152" t="s">
        <v>289</v>
      </c>
      <c r="CP33" s="128"/>
      <c r="CQ33" s="129" t="str">
        <f>=IF(CP33=0, 0, IF(ROUND(SUM(CP34:CP34), 2)=0, ROUND(CQ29 - SUM(CQ32:CQ32), 2), ROUND(CP33 / ROUND(SUM(CP32:CP34), 2) * CQ29, 2)))</f>
      </c>
      <c r="CS33" s="48"/>
      <c r="CV33" s="152" t="s">
        <v>289</v>
      </c>
      <c r="CW33" s="128"/>
      <c r="CX33" s="129" t="str">
        <f>=IF(CW33=0, 0, IF(ROUND(SUM(CW34:CW34), 2)=0, ROUND(CX29 - SUM(CX32:CX32), 2), ROUND(CW33 / ROUND(SUM(CW32:CW34), 2) * CX29, 2)))</f>
      </c>
      <c r="CZ33" s="48"/>
      <c r="DC33" s="152" t="s">
        <v>289</v>
      </c>
      <c r="DD33" s="128"/>
      <c r="DE33" s="129" t="str">
        <f>=IF(DD33=0, 0, IF(ROUND(SUM(DD34:DD34), 2)=0, ROUND(DE29 - SUM(DE32:DE32), 2), ROUND(DD33 / ROUND(SUM(DD32:DD34), 2) * DE29, 2)))</f>
      </c>
      <c r="DG33" s="48"/>
      <c r="DJ33" s="152" t="s">
        <v>289</v>
      </c>
      <c r="DK33" s="128"/>
      <c r="DL33" s="129" t="str">
        <f>=IF(DK33=0, 0, IF(ROUND(SUM(DK34:DK34), 2)=0, ROUND(DL29 - SUM(DL32:DL32), 2), ROUND(DK33 / ROUND(SUM(DK32:DK34), 2) * DL29, 2)))</f>
      </c>
      <c r="DN33" s="48"/>
      <c r="DQ33" s="152" t="s">
        <v>289</v>
      </c>
      <c r="DR33" s="128"/>
      <c r="DS33" s="129" t="str">
        <f>=IF(DR33=0, 0, IF(ROUND(SUM(DR34:DR34), 2)=0, ROUND(DS29 - SUM(DS32:DS32), 2), ROUND(DR33 / ROUND(SUM(DR32:DR34), 2) * DS29, 2)))</f>
      </c>
      <c r="DU33" s="48"/>
    </row>
    <row r="34">
      <c r="B34" s="152" t="s">
        <v>290</v>
      </c>
      <c r="C34" s="128"/>
      <c r="D34" s="129" t="str">
        <f>=IF(C34=0, 0, ROUND(D29 - SUM(D32:D33), 2))</f>
      </c>
      <c r="F34" s="48"/>
      <c r="I34" s="152" t="s">
        <v>290</v>
      </c>
      <c r="J34" s="128"/>
      <c r="K34" s="129" t="str">
        <f>=IF(J34=0, 0, ROUND(K29 - SUM(K32:K33), 2))</f>
      </c>
      <c r="M34" s="48"/>
      <c r="P34" s="152" t="s">
        <v>290</v>
      </c>
      <c r="Q34" s="128"/>
      <c r="R34" s="129" t="str">
        <f>=IF(Q34=0, 0, ROUND(R29 - SUM(R32:R33), 2))</f>
      </c>
      <c r="T34" s="48"/>
      <c r="W34" s="152" t="s">
        <v>290</v>
      </c>
      <c r="X34" s="128"/>
      <c r="Y34" s="129" t="str">
        <f>=IF(X34=0, 0, ROUND(Y29 - SUM(Y32:Y33), 2))</f>
      </c>
      <c r="AA34" s="48"/>
      <c r="AD34" s="152" t="s">
        <v>290</v>
      </c>
      <c r="AE34" s="128"/>
      <c r="AF34" s="129" t="str">
        <f>=IF(AE34=0, 0, ROUND(AF29 - SUM(AF32:AF33), 2))</f>
      </c>
      <c r="AH34" s="48"/>
      <c r="AK34" s="152" t="s">
        <v>290</v>
      </c>
      <c r="AL34" s="128"/>
      <c r="AM34" s="129" t="str">
        <f>=IF(AL34=0, 0, ROUND(AM29 - SUM(AM32:AM33), 2))</f>
      </c>
      <c r="AO34" s="48"/>
      <c r="AR34" s="152" t="s">
        <v>290</v>
      </c>
      <c r="AS34" s="128"/>
      <c r="AT34" s="129" t="str">
        <f>=IF(AS34=0, 0, ROUND(AT29 - SUM(AT32:AT33), 2))</f>
      </c>
      <c r="AV34" s="48"/>
      <c r="AY34" s="152" t="s">
        <v>290</v>
      </c>
      <c r="AZ34" s="128"/>
      <c r="BA34" s="129" t="str">
        <f>=IF(AZ34=0, 0, ROUND(BA29 - SUM(BA32:BA33), 2))</f>
      </c>
      <c r="BC34" s="48"/>
      <c r="BF34" s="152" t="s">
        <v>290</v>
      </c>
      <c r="BG34" s="128"/>
      <c r="BH34" s="129" t="str">
        <f>=IF(BG34=0, 0, ROUND(BH29 - SUM(BH32:BH33), 2))</f>
      </c>
      <c r="BJ34" s="48"/>
      <c r="BM34" s="152" t="s">
        <v>290</v>
      </c>
      <c r="BN34" s="128"/>
      <c r="BO34" s="129" t="str">
        <f>=IF(BN34=0, 0, ROUND(BO29 - SUM(BO32:BO33), 2))</f>
      </c>
      <c r="BQ34" s="48"/>
      <c r="BT34" s="152" t="s">
        <v>290</v>
      </c>
      <c r="BU34" s="128"/>
      <c r="BV34" s="129" t="str">
        <f>=IF(BU34=0, 0, ROUND(BV29 - SUM(BV32:BV33), 2))</f>
      </c>
      <c r="BX34" s="48"/>
      <c r="CA34" s="152" t="s">
        <v>290</v>
      </c>
      <c r="CB34" s="128"/>
      <c r="CC34" s="129" t="str">
        <f>=IF(CB34=0, 0, ROUND(CC29 - SUM(CC32:CC33), 2))</f>
      </c>
      <c r="CE34" s="48"/>
      <c r="CH34" s="152" t="s">
        <v>290</v>
      </c>
      <c r="CI34" s="128"/>
      <c r="CJ34" s="129" t="str">
        <f>=IF(CI34=0, 0, ROUND(CJ29 - SUM(CJ32:CJ33), 2))</f>
      </c>
      <c r="CL34" s="48"/>
      <c r="CO34" s="152" t="s">
        <v>290</v>
      </c>
      <c r="CP34" s="128"/>
      <c r="CQ34" s="129" t="str">
        <f>=IF(CP34=0, 0, ROUND(CQ29 - SUM(CQ32:CQ33), 2))</f>
      </c>
      <c r="CS34" s="48"/>
      <c r="CV34" s="152" t="s">
        <v>290</v>
      </c>
      <c r="CW34" s="128"/>
      <c r="CX34" s="129" t="str">
        <f>=IF(CW34=0, 0, ROUND(CX29 - SUM(CX32:CX33), 2))</f>
      </c>
      <c r="CZ34" s="48"/>
      <c r="DC34" s="152" t="s">
        <v>290</v>
      </c>
      <c r="DD34" s="128"/>
      <c r="DE34" s="129" t="str">
        <f>=IF(DD34=0, 0, ROUND(DE29 - SUM(DE32:DE33), 2))</f>
      </c>
      <c r="DG34" s="48"/>
      <c r="DJ34" s="152" t="s">
        <v>290</v>
      </c>
      <c r="DK34" s="128"/>
      <c r="DL34" s="129" t="str">
        <f>=IF(DK34=0, 0, ROUND(DL29 - SUM(DL32:DL33), 2))</f>
      </c>
      <c r="DN34" s="48"/>
      <c r="DQ34" s="152"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3" t="s">
        <v>291</v>
      </c>
      <c r="C36" s="154" t="str">
        <f>=ROUND(IFERROR(C29-SUM(C32:C34),""),2)</f>
      </c>
      <c r="D36" s="155" t="str">
        <f>=ROUND(IFERROR(D29-SUM(D32:D34),""),2)</f>
      </c>
      <c r="E36" s="156"/>
      <c r="F36" s="157"/>
      <c r="I36" s="153" t="s">
        <v>291</v>
      </c>
      <c r="J36" s="154" t="str">
        <f>=ROUND(IFERROR(J29-SUM(J32:J34),""),2)</f>
      </c>
      <c r="K36" s="155" t="str">
        <f>=ROUND(IFERROR(K29-SUM(K32:K34),""),2)</f>
      </c>
      <c r="L36" s="156"/>
      <c r="M36" s="157"/>
      <c r="P36" s="153" t="s">
        <v>291</v>
      </c>
      <c r="Q36" s="154" t="str">
        <f>=ROUND(IFERROR(Q29-SUM(Q32:Q34),""),2)</f>
      </c>
      <c r="R36" s="155" t="str">
        <f>=ROUND(IFERROR(R29-SUM(R32:R34),""),2)</f>
      </c>
      <c r="S36" s="156"/>
      <c r="T36" s="157"/>
      <c r="W36" s="153" t="s">
        <v>291</v>
      </c>
      <c r="X36" s="154" t="str">
        <f>=ROUND(IFERROR(X29-SUM(X32:X34),""),2)</f>
      </c>
      <c r="Y36" s="155" t="str">
        <f>=ROUND(IFERROR(Y29-SUM(Y32:Y34),""),2)</f>
      </c>
      <c r="Z36" s="156"/>
      <c r="AA36" s="157"/>
      <c r="AD36" s="153" t="s">
        <v>291</v>
      </c>
      <c r="AE36" s="154" t="str">
        <f>=ROUND(IFERROR(AE29-SUM(AE32:AE34),""),2)</f>
      </c>
      <c r="AF36" s="155" t="str">
        <f>=ROUND(IFERROR(AF29-SUM(AF32:AF34),""),2)</f>
      </c>
      <c r="AG36" s="156"/>
      <c r="AH36" s="157"/>
      <c r="AK36" s="153" t="s">
        <v>291</v>
      </c>
      <c r="AL36" s="154" t="str">
        <f>=ROUND(IFERROR(AL29-SUM(AL32:AL34),""),2)</f>
      </c>
      <c r="AM36" s="155" t="str">
        <f>=ROUND(IFERROR(AM29-SUM(AM32:AM34),""),2)</f>
      </c>
      <c r="AN36" s="156"/>
      <c r="AO36" s="157"/>
      <c r="AR36" s="153" t="s">
        <v>291</v>
      </c>
      <c r="AS36" s="154" t="str">
        <f>=ROUND(IFERROR(AS29-SUM(AS32:AS34),""),2)</f>
      </c>
      <c r="AT36" s="155" t="str">
        <f>=ROUND(IFERROR(AT29-SUM(AT32:AT34),""),2)</f>
      </c>
      <c r="AU36" s="156"/>
      <c r="AV36" s="157"/>
      <c r="AY36" s="153" t="s">
        <v>291</v>
      </c>
      <c r="AZ36" s="154" t="str">
        <f>=ROUND(IFERROR(AZ29-SUM(AZ32:AZ34),""),2)</f>
      </c>
      <c r="BA36" s="155" t="str">
        <f>=ROUND(IFERROR(BA29-SUM(BA32:BA34),""),2)</f>
      </c>
      <c r="BB36" s="156"/>
      <c r="BC36" s="157"/>
      <c r="BF36" s="153" t="s">
        <v>291</v>
      </c>
      <c r="BG36" s="154" t="str">
        <f>=ROUND(IFERROR(BG29-SUM(BG32:BG34),""),2)</f>
      </c>
      <c r="BH36" s="155" t="str">
        <f>=ROUND(IFERROR(BH29-SUM(BH32:BH34),""),2)</f>
      </c>
      <c r="BI36" s="156"/>
      <c r="BJ36" s="157"/>
      <c r="BM36" s="153" t="s">
        <v>291</v>
      </c>
      <c r="BN36" s="154" t="str">
        <f>=ROUND(IFERROR(BN29-SUM(BN32:BN34),""),2)</f>
      </c>
      <c r="BO36" s="155" t="str">
        <f>=ROUND(IFERROR(BO29-SUM(BO32:BO34),""),2)</f>
      </c>
      <c r="BP36" s="156"/>
      <c r="BQ36" s="157"/>
      <c r="BT36" s="153" t="s">
        <v>291</v>
      </c>
      <c r="BU36" s="154" t="str">
        <f>=ROUND(IFERROR(BU29-SUM(BU32:BU34),""),2)</f>
      </c>
      <c r="BV36" s="155" t="str">
        <f>=ROUND(IFERROR(BV29-SUM(BV32:BV34),""),2)</f>
      </c>
      <c r="BW36" s="156"/>
      <c r="BX36" s="157"/>
      <c r="CA36" s="153" t="s">
        <v>291</v>
      </c>
      <c r="CB36" s="154" t="str">
        <f>=ROUND(IFERROR(CB29-SUM(CB32:CB34),""),2)</f>
      </c>
      <c r="CC36" s="155" t="str">
        <f>=ROUND(IFERROR(CC29-SUM(CC32:CC34),""),2)</f>
      </c>
      <c r="CD36" s="156"/>
      <c r="CE36" s="157"/>
      <c r="CH36" s="153" t="s">
        <v>291</v>
      </c>
      <c r="CI36" s="154" t="str">
        <f>=ROUND(IFERROR(CI29-SUM(CI32:CI34),""),2)</f>
      </c>
      <c r="CJ36" s="155" t="str">
        <f>=ROUND(IFERROR(CJ29-SUM(CJ32:CJ34),""),2)</f>
      </c>
      <c r="CK36" s="156"/>
      <c r="CL36" s="157"/>
      <c r="CO36" s="153" t="s">
        <v>291</v>
      </c>
      <c r="CP36" s="154" t="str">
        <f>=ROUND(IFERROR(CP29-SUM(CP32:CP34),""),2)</f>
      </c>
      <c r="CQ36" s="155" t="str">
        <f>=ROUND(IFERROR(CQ29-SUM(CQ32:CQ34),""),2)</f>
      </c>
      <c r="CR36" s="156"/>
      <c r="CS36" s="157"/>
      <c r="CV36" s="153" t="s">
        <v>291</v>
      </c>
      <c r="CW36" s="154" t="str">
        <f>=ROUND(IFERROR(CW29-SUM(CW32:CW34),""),2)</f>
      </c>
      <c r="CX36" s="155" t="str">
        <f>=ROUND(IFERROR(CX29-SUM(CX32:CX34),""),2)</f>
      </c>
      <c r="CY36" s="156"/>
      <c r="CZ36" s="157"/>
      <c r="DC36" s="153" t="s">
        <v>291</v>
      </c>
      <c r="DD36" s="154" t="str">
        <f>=ROUND(IFERROR(DD29-SUM(DD32:DD34),""),2)</f>
      </c>
      <c r="DE36" s="155" t="str">
        <f>=ROUND(IFERROR(DE29-SUM(DE32:DE34),""),2)</f>
      </c>
      <c r="DF36" s="156"/>
      <c r="DG36" s="157"/>
      <c r="DJ36" s="153" t="s">
        <v>291</v>
      </c>
      <c r="DK36" s="154" t="str">
        <f>=ROUND(IFERROR(DK29-SUM(DK32:DK34),""),2)</f>
      </c>
      <c r="DL36" s="155" t="str">
        <f>=ROUND(IFERROR(DL29-SUM(DL32:DL34),""),2)</f>
      </c>
      <c r="DM36" s="156"/>
      <c r="DN36" s="157"/>
      <c r="DQ36" s="153" t="s">
        <v>291</v>
      </c>
      <c r="DR36" s="154" t="str">
        <f>=ROUND(IFERROR(DR29-SUM(DR32:DR34),""),2)</f>
      </c>
      <c r="DS36" s="155" t="str">
        <f>=ROUND(IFERROR(DS29-SUM(DS32:DS34),""),2)</f>
      </c>
      <c r="DT36" s="156"/>
      <c r="DU36" s="157"/>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8" t="s">
        <v>296</v>
      </c>
      <c r="C41" s="159" t="s">
        <v>158</v>
      </c>
      <c r="D41" s="160" t="str">
        <f>=ROUND(C11,2)</f>
      </c>
      <c r="E41" s="161" t="str">
        <f>=ROUND(D11,2)</f>
      </c>
      <c r="F41" s="162" t="str">
        <f>=ROUND(IFERROR([@[Einnahmen (LC)]]/[@[Einnahmen (EUR)]],0),6)</f>
      </c>
      <c r="I41" s="158" t="s">
        <v>304</v>
      </c>
      <c r="J41" s="159" t="s">
        <v>158</v>
      </c>
      <c r="K41" s="160" t="str">
        <f>=ROUND(J11,2)</f>
      </c>
      <c r="L41" s="161" t="str">
        <f>=ROUND(K11,2)</f>
      </c>
      <c r="M41" s="162" t="str">
        <f>=ROUND(IFERROR([@[Einnahmen (LC)]]/[@[Einnahmen (EUR)]],0),6)</f>
      </c>
      <c r="P41" s="158" t="s">
        <v>304</v>
      </c>
      <c r="Q41" s="159" t="s">
        <v>158</v>
      </c>
      <c r="R41" s="160" t="str">
        <f>=ROUND(Q11,2)</f>
      </c>
      <c r="S41" s="161" t="str">
        <f>=ROUND(R11,2)</f>
      </c>
      <c r="T41" s="162" t="str">
        <f>=ROUND(IFERROR([@[Einnahmen (LC)]]/[@[Einnahmen (EUR)]],0),6)</f>
      </c>
      <c r="W41" s="158" t="s">
        <v>304</v>
      </c>
      <c r="X41" s="159" t="s">
        <v>158</v>
      </c>
      <c r="Y41" s="160" t="str">
        <f>=ROUND(X11,2)</f>
      </c>
      <c r="Z41" s="161" t="str">
        <f>=ROUND(Y11,2)</f>
      </c>
      <c r="AA41" s="162" t="str">
        <f>=ROUND(IFERROR([@[Einnahmen (LC)]]/[@[Einnahmen (EUR)]],0),6)</f>
      </c>
      <c r="AD41" s="158" t="s">
        <v>304</v>
      </c>
      <c r="AE41" s="159" t="s">
        <v>158</v>
      </c>
      <c r="AF41" s="160" t="str">
        <f>=ROUND(AE11,2)</f>
      </c>
      <c r="AG41" s="161" t="str">
        <f>=ROUND(AF11,2)</f>
      </c>
      <c r="AH41" s="162" t="str">
        <f>=ROUND(IFERROR([@[Einnahmen (LC)]]/[@[Einnahmen (EUR)]],0),6)</f>
      </c>
      <c r="AK41" s="158" t="s">
        <v>304</v>
      </c>
      <c r="AL41" s="159" t="s">
        <v>158</v>
      </c>
      <c r="AM41" s="160" t="str">
        <f>=ROUND(AL11,2)</f>
      </c>
      <c r="AN41" s="161" t="str">
        <f>=ROUND(AM11,2)</f>
      </c>
      <c r="AO41" s="162" t="str">
        <f>=ROUND(IFERROR([@[Einnahmen (LC)]]/[@[Einnahmen (EUR)]],0),6)</f>
      </c>
      <c r="AR41" s="158" t="s">
        <v>304</v>
      </c>
      <c r="AS41" s="159" t="s">
        <v>158</v>
      </c>
      <c r="AT41" s="160" t="str">
        <f>=ROUND(AS11,2)</f>
      </c>
      <c r="AU41" s="161" t="str">
        <f>=ROUND(AT11,2)</f>
      </c>
      <c r="AV41" s="162" t="str">
        <f>=ROUND(IFERROR([@[Einnahmen (LC)]]/[@[Einnahmen (EUR)]],0),6)</f>
      </c>
      <c r="AY41" s="158" t="s">
        <v>304</v>
      </c>
      <c r="AZ41" s="159" t="s">
        <v>158</v>
      </c>
      <c r="BA41" s="160" t="str">
        <f>=ROUND(AZ11,2)</f>
      </c>
      <c r="BB41" s="161" t="str">
        <f>=ROUND(BA11,2)</f>
      </c>
      <c r="BC41" s="162" t="str">
        <f>=ROUND(IFERROR([@[Einnahmen (LC)]]/[@[Einnahmen (EUR)]],0),6)</f>
      </c>
      <c r="BF41" s="158" t="s">
        <v>304</v>
      </c>
      <c r="BG41" s="159" t="s">
        <v>158</v>
      </c>
      <c r="BH41" s="160" t="str">
        <f>=ROUND(BG11,2)</f>
      </c>
      <c r="BI41" s="161" t="str">
        <f>=ROUND(BH11,2)</f>
      </c>
      <c r="BJ41" s="162" t="str">
        <f>=ROUND(IFERROR([@[Einnahmen (LC)]]/[@[Einnahmen (EUR)]],0),6)</f>
      </c>
      <c r="BM41" s="158" t="s">
        <v>304</v>
      </c>
      <c r="BN41" s="159" t="s">
        <v>158</v>
      </c>
      <c r="BO41" s="160" t="str">
        <f>=ROUND(BN11,2)</f>
      </c>
      <c r="BP41" s="161" t="str">
        <f>=ROUND(BO11,2)</f>
      </c>
      <c r="BQ41" s="162" t="str">
        <f>=ROUND(IFERROR([@[Einnahmen (LC)]]/[@[Einnahmen (EUR)]],0),6)</f>
      </c>
      <c r="BT41" s="158" t="s">
        <v>304</v>
      </c>
      <c r="BU41" s="159" t="s">
        <v>158</v>
      </c>
      <c r="BV41" s="160" t="str">
        <f>=ROUND(BU11,2)</f>
      </c>
      <c r="BW41" s="161" t="str">
        <f>=ROUND(BV11,2)</f>
      </c>
      <c r="BX41" s="162" t="str">
        <f>=ROUND(IFERROR([@[Einnahmen (LC)]]/[@[Einnahmen (EUR)]],0),6)</f>
      </c>
      <c r="CA41" s="158" t="s">
        <v>304</v>
      </c>
      <c r="CB41" s="159" t="s">
        <v>158</v>
      </c>
      <c r="CC41" s="160" t="str">
        <f>=ROUND(CB11,2)</f>
      </c>
      <c r="CD41" s="161" t="str">
        <f>=ROUND(CC11,2)</f>
      </c>
      <c r="CE41" s="162" t="str">
        <f>=ROUND(IFERROR([@[Einnahmen (LC)]]/[@[Einnahmen (EUR)]],0),6)</f>
      </c>
      <c r="CH41" s="158" t="s">
        <v>304</v>
      </c>
      <c r="CI41" s="159" t="s">
        <v>158</v>
      </c>
      <c r="CJ41" s="160" t="str">
        <f>=ROUND(CI11,2)</f>
      </c>
      <c r="CK41" s="161" t="str">
        <f>=ROUND(CJ11,2)</f>
      </c>
      <c r="CL41" s="162" t="str">
        <f>=ROUND(IFERROR([@[Einnahmen (LC)]]/[@[Einnahmen (EUR)]],0),6)</f>
      </c>
      <c r="CO41" s="158" t="s">
        <v>304</v>
      </c>
      <c r="CP41" s="159" t="s">
        <v>158</v>
      </c>
      <c r="CQ41" s="160" t="str">
        <f>=ROUND(CP11,2)</f>
      </c>
      <c r="CR41" s="161" t="str">
        <f>=ROUND(CQ11,2)</f>
      </c>
      <c r="CS41" s="162" t="str">
        <f>=ROUND(IFERROR([@[Einnahmen (LC)]]/[@[Einnahmen (EUR)]],0),6)</f>
      </c>
      <c r="CV41" s="158" t="s">
        <v>304</v>
      </c>
      <c r="CW41" s="159" t="s">
        <v>158</v>
      </c>
      <c r="CX41" s="160" t="str">
        <f>=ROUND(CW11,2)</f>
      </c>
      <c r="CY41" s="161" t="str">
        <f>=ROUND(CX11,2)</f>
      </c>
      <c r="CZ41" s="162" t="str">
        <f>=ROUND(IFERROR([@[Einnahmen (LC)]]/[@[Einnahmen (EUR)]],0),6)</f>
      </c>
      <c r="DC41" s="158" t="s">
        <v>304</v>
      </c>
      <c r="DD41" s="159" t="s">
        <v>158</v>
      </c>
      <c r="DE41" s="160" t="str">
        <f>=ROUND(DD11,2)</f>
      </c>
      <c r="DF41" s="161" t="str">
        <f>=ROUND(DE11,2)</f>
      </c>
      <c r="DG41" s="162" t="str">
        <f>=ROUND(IFERROR([@[Einnahmen (LC)]]/[@[Einnahmen (EUR)]],0),6)</f>
      </c>
      <c r="DJ41" s="158" t="s">
        <v>304</v>
      </c>
      <c r="DK41" s="159" t="s">
        <v>158</v>
      </c>
      <c r="DL41" s="160" t="str">
        <f>=ROUND(DK11,2)</f>
      </c>
      <c r="DM41" s="161" t="str">
        <f>=ROUND(DL11,2)</f>
      </c>
      <c r="DN41" s="162" t="str">
        <f>=ROUND(IFERROR([@[Einnahmen (LC)]]/[@[Einnahmen (EUR)]],0),6)</f>
      </c>
      <c r="DQ41" s="158" t="s">
        <v>304</v>
      </c>
      <c r="DR41" s="159" t="s">
        <v>158</v>
      </c>
      <c r="DS41" s="160" t="str">
        <f>=ROUND(DR11,2)</f>
      </c>
      <c r="DT41" s="161" t="str">
        <f>=ROUND(DS11,2)</f>
      </c>
      <c r="DU41" s="162" t="str">
        <f>=ROUND(IFERROR([@[Einnahmen (LC)]]/[@[Einnahmen (EUR)]],0),6)</f>
      </c>
    </row>
    <row r="42">
      <c r="B42" s="163" t="s">
        <v>199</v>
      </c>
      <c r="C42" s="164" t="s">
        <v>297</v>
      </c>
      <c r="D42" s="165"/>
      <c r="E42" s="166"/>
      <c r="F42" s="167" t="str">
        <f>=ROUND(IFERROR([@[Einnahmen (LC)]]/[@[Einnahmen (EUR)]],0),6)</f>
      </c>
      <c r="I42" s="163" t="s">
        <v>199</v>
      </c>
      <c r="J42" s="164" t="s">
        <v>297</v>
      </c>
      <c r="K42" s="165"/>
      <c r="L42" s="166"/>
      <c r="M42" s="167" t="str">
        <f>=ROUND(IFERROR([@[Einnahmen (LC)]]/[@[Einnahmen (EUR)]],0),6)</f>
      </c>
      <c r="P42" s="163" t="s">
        <v>199</v>
      </c>
      <c r="Q42" s="164" t="s">
        <v>297</v>
      </c>
      <c r="R42" s="165"/>
      <c r="S42" s="166"/>
      <c r="T42" s="167" t="str">
        <f>=ROUND(IFERROR([@[Einnahmen (LC)]]/[@[Einnahmen (EUR)]],0),6)</f>
      </c>
      <c r="W42" s="163" t="s">
        <v>199</v>
      </c>
      <c r="X42" s="164" t="s">
        <v>297</v>
      </c>
      <c r="Y42" s="165"/>
      <c r="Z42" s="166"/>
      <c r="AA42" s="167" t="str">
        <f>=ROUND(IFERROR([@[Einnahmen (LC)]]/[@[Einnahmen (EUR)]],0),6)</f>
      </c>
      <c r="AD42" s="163" t="s">
        <v>199</v>
      </c>
      <c r="AE42" s="164" t="s">
        <v>297</v>
      </c>
      <c r="AF42" s="165"/>
      <c r="AG42" s="166"/>
      <c r="AH42" s="167" t="str">
        <f>=ROUND(IFERROR([@[Einnahmen (LC)]]/[@[Einnahmen (EUR)]],0),6)</f>
      </c>
      <c r="AK42" s="163" t="s">
        <v>199</v>
      </c>
      <c r="AL42" s="164" t="s">
        <v>297</v>
      </c>
      <c r="AM42" s="165"/>
      <c r="AN42" s="166"/>
      <c r="AO42" s="167" t="str">
        <f>=ROUND(IFERROR([@[Einnahmen (LC)]]/[@[Einnahmen (EUR)]],0),6)</f>
      </c>
      <c r="AR42" s="163" t="s">
        <v>199</v>
      </c>
      <c r="AS42" s="164" t="s">
        <v>297</v>
      </c>
      <c r="AT42" s="165"/>
      <c r="AU42" s="166"/>
      <c r="AV42" s="167" t="str">
        <f>=ROUND(IFERROR([@[Einnahmen (LC)]]/[@[Einnahmen (EUR)]],0),6)</f>
      </c>
      <c r="AY42" s="163" t="s">
        <v>199</v>
      </c>
      <c r="AZ42" s="164" t="s">
        <v>297</v>
      </c>
      <c r="BA42" s="165"/>
      <c r="BB42" s="166"/>
      <c r="BC42" s="167" t="str">
        <f>=ROUND(IFERROR([@[Einnahmen (LC)]]/[@[Einnahmen (EUR)]],0),6)</f>
      </c>
      <c r="BF42" s="163" t="s">
        <v>199</v>
      </c>
      <c r="BG42" s="164" t="s">
        <v>297</v>
      </c>
      <c r="BH42" s="165"/>
      <c r="BI42" s="166"/>
      <c r="BJ42" s="167" t="str">
        <f>=ROUND(IFERROR([@[Einnahmen (LC)]]/[@[Einnahmen (EUR)]],0),6)</f>
      </c>
      <c r="BM42" s="163" t="s">
        <v>199</v>
      </c>
      <c r="BN42" s="164" t="s">
        <v>297</v>
      </c>
      <c r="BO42" s="165"/>
      <c r="BP42" s="166"/>
      <c r="BQ42" s="167" t="str">
        <f>=ROUND(IFERROR([@[Einnahmen (LC)]]/[@[Einnahmen (EUR)]],0),6)</f>
      </c>
      <c r="BT42" s="163" t="s">
        <v>199</v>
      </c>
      <c r="BU42" s="164" t="s">
        <v>297</v>
      </c>
      <c r="BV42" s="165"/>
      <c r="BW42" s="166"/>
      <c r="BX42" s="167" t="str">
        <f>=ROUND(IFERROR([@[Einnahmen (LC)]]/[@[Einnahmen (EUR)]],0),6)</f>
      </c>
      <c r="CA42" s="163" t="s">
        <v>199</v>
      </c>
      <c r="CB42" s="164" t="s">
        <v>297</v>
      </c>
      <c r="CC42" s="165"/>
      <c r="CD42" s="166"/>
      <c r="CE42" s="167" t="str">
        <f>=ROUND(IFERROR([@[Einnahmen (LC)]]/[@[Einnahmen (EUR)]],0),6)</f>
      </c>
      <c r="CH42" s="163" t="s">
        <v>199</v>
      </c>
      <c r="CI42" s="164" t="s">
        <v>297</v>
      </c>
      <c r="CJ42" s="165"/>
      <c r="CK42" s="166"/>
      <c r="CL42" s="167" t="str">
        <f>=ROUND(IFERROR([@[Einnahmen (LC)]]/[@[Einnahmen (EUR)]],0),6)</f>
      </c>
      <c r="CO42" s="163" t="s">
        <v>199</v>
      </c>
      <c r="CP42" s="164" t="s">
        <v>297</v>
      </c>
      <c r="CQ42" s="165"/>
      <c r="CR42" s="166"/>
      <c r="CS42" s="167" t="str">
        <f>=ROUND(IFERROR([@[Einnahmen (LC)]]/[@[Einnahmen (EUR)]],0),6)</f>
      </c>
      <c r="CV42" s="163" t="s">
        <v>199</v>
      </c>
      <c r="CW42" s="164" t="s">
        <v>297</v>
      </c>
      <c r="CX42" s="165"/>
      <c r="CY42" s="166"/>
      <c r="CZ42" s="167" t="str">
        <f>=ROUND(IFERROR([@[Einnahmen (LC)]]/[@[Einnahmen (EUR)]],0),6)</f>
      </c>
      <c r="DC42" s="163" t="s">
        <v>199</v>
      </c>
      <c r="DD42" s="164" t="s">
        <v>297</v>
      </c>
      <c r="DE42" s="165"/>
      <c r="DF42" s="166"/>
      <c r="DG42" s="167" t="str">
        <f>=ROUND(IFERROR([@[Einnahmen (LC)]]/[@[Einnahmen (EUR)]],0),6)</f>
      </c>
      <c r="DJ42" s="163" t="s">
        <v>199</v>
      </c>
      <c r="DK42" s="164" t="s">
        <v>297</v>
      </c>
      <c r="DL42" s="165"/>
      <c r="DM42" s="166"/>
      <c r="DN42" s="167" t="str">
        <f>=ROUND(IFERROR([@[Einnahmen (LC)]]/[@[Einnahmen (EUR)]],0),6)</f>
      </c>
      <c r="DQ42" s="163" t="s">
        <v>199</v>
      </c>
      <c r="DR42" s="164" t="s">
        <v>297</v>
      </c>
      <c r="DS42" s="165"/>
      <c r="DT42" s="166"/>
      <c r="DU42" s="167" t="str">
        <f>=ROUND(IFERROR([@[Einnahmen (LC)]]/[@[Einnahmen (EUR)]],0),6)</f>
      </c>
    </row>
    <row r="43">
      <c r="B43" s="163" t="s">
        <v>158</v>
      </c>
      <c r="C43" s="164" t="s">
        <v>158</v>
      </c>
      <c r="D43" s="165"/>
      <c r="E43" s="166"/>
      <c r="F43" s="167" t="str">
        <f>=ROUND(IFERROR([@[Einnahmen (LC)]]/[@[Einnahmen (EUR)]],0),6)</f>
      </c>
      <c r="I43" s="163" t="s">
        <v>158</v>
      </c>
      <c r="J43" s="164" t="s">
        <v>158</v>
      </c>
      <c r="K43" s="165"/>
      <c r="L43" s="166"/>
      <c r="M43" s="167" t="str">
        <f>=ROUND(IFERROR([@[Einnahmen (LC)]]/[@[Einnahmen (EUR)]],0),6)</f>
      </c>
      <c r="P43" s="163" t="s">
        <v>158</v>
      </c>
      <c r="Q43" s="164" t="s">
        <v>158</v>
      </c>
      <c r="R43" s="165"/>
      <c r="S43" s="166"/>
      <c r="T43" s="167" t="str">
        <f>=ROUND(IFERROR([@[Einnahmen (LC)]]/[@[Einnahmen (EUR)]],0),6)</f>
      </c>
      <c r="W43" s="163" t="s">
        <v>158</v>
      </c>
      <c r="X43" s="164" t="s">
        <v>158</v>
      </c>
      <c r="Y43" s="165"/>
      <c r="Z43" s="166"/>
      <c r="AA43" s="167" t="str">
        <f>=ROUND(IFERROR([@[Einnahmen (LC)]]/[@[Einnahmen (EUR)]],0),6)</f>
      </c>
      <c r="AD43" s="163" t="s">
        <v>158</v>
      </c>
      <c r="AE43" s="164" t="s">
        <v>158</v>
      </c>
      <c r="AF43" s="165"/>
      <c r="AG43" s="166"/>
      <c r="AH43" s="167" t="str">
        <f>=ROUND(IFERROR([@[Einnahmen (LC)]]/[@[Einnahmen (EUR)]],0),6)</f>
      </c>
      <c r="AK43" s="163" t="s">
        <v>158</v>
      </c>
      <c r="AL43" s="164" t="s">
        <v>158</v>
      </c>
      <c r="AM43" s="165"/>
      <c r="AN43" s="166"/>
      <c r="AO43" s="167" t="str">
        <f>=ROUND(IFERROR([@[Einnahmen (LC)]]/[@[Einnahmen (EUR)]],0),6)</f>
      </c>
      <c r="AR43" s="163" t="s">
        <v>158</v>
      </c>
      <c r="AS43" s="164" t="s">
        <v>158</v>
      </c>
      <c r="AT43" s="165"/>
      <c r="AU43" s="166"/>
      <c r="AV43" s="167" t="str">
        <f>=ROUND(IFERROR([@[Einnahmen (LC)]]/[@[Einnahmen (EUR)]],0),6)</f>
      </c>
      <c r="AY43" s="163" t="s">
        <v>158</v>
      </c>
      <c r="AZ43" s="164" t="s">
        <v>158</v>
      </c>
      <c r="BA43" s="165"/>
      <c r="BB43" s="166"/>
      <c r="BC43" s="167" t="str">
        <f>=ROUND(IFERROR([@[Einnahmen (LC)]]/[@[Einnahmen (EUR)]],0),6)</f>
      </c>
      <c r="BF43" s="163" t="s">
        <v>158</v>
      </c>
      <c r="BG43" s="164" t="s">
        <v>158</v>
      </c>
      <c r="BH43" s="165"/>
      <c r="BI43" s="166"/>
      <c r="BJ43" s="167" t="str">
        <f>=ROUND(IFERROR([@[Einnahmen (LC)]]/[@[Einnahmen (EUR)]],0),6)</f>
      </c>
      <c r="BM43" s="163" t="s">
        <v>158</v>
      </c>
      <c r="BN43" s="164" t="s">
        <v>158</v>
      </c>
      <c r="BO43" s="165"/>
      <c r="BP43" s="166"/>
      <c r="BQ43" s="167" t="str">
        <f>=ROUND(IFERROR([@[Einnahmen (LC)]]/[@[Einnahmen (EUR)]],0),6)</f>
      </c>
      <c r="BT43" s="163" t="s">
        <v>158</v>
      </c>
      <c r="BU43" s="164" t="s">
        <v>158</v>
      </c>
      <c r="BV43" s="165"/>
      <c r="BW43" s="166"/>
      <c r="BX43" s="167" t="str">
        <f>=ROUND(IFERROR([@[Einnahmen (LC)]]/[@[Einnahmen (EUR)]],0),6)</f>
      </c>
      <c r="CA43" s="163" t="s">
        <v>158</v>
      </c>
      <c r="CB43" s="164" t="s">
        <v>158</v>
      </c>
      <c r="CC43" s="165"/>
      <c r="CD43" s="166"/>
      <c r="CE43" s="167" t="str">
        <f>=ROUND(IFERROR([@[Einnahmen (LC)]]/[@[Einnahmen (EUR)]],0),6)</f>
      </c>
      <c r="CH43" s="163" t="s">
        <v>158</v>
      </c>
      <c r="CI43" s="164" t="s">
        <v>158</v>
      </c>
      <c r="CJ43" s="165"/>
      <c r="CK43" s="166"/>
      <c r="CL43" s="167" t="str">
        <f>=ROUND(IFERROR([@[Einnahmen (LC)]]/[@[Einnahmen (EUR)]],0),6)</f>
      </c>
      <c r="CO43" s="163" t="s">
        <v>158</v>
      </c>
      <c r="CP43" s="164" t="s">
        <v>158</v>
      </c>
      <c r="CQ43" s="165"/>
      <c r="CR43" s="166"/>
      <c r="CS43" s="167" t="str">
        <f>=ROUND(IFERROR([@[Einnahmen (LC)]]/[@[Einnahmen (EUR)]],0),6)</f>
      </c>
      <c r="CV43" s="163" t="s">
        <v>158</v>
      </c>
      <c r="CW43" s="164" t="s">
        <v>158</v>
      </c>
      <c r="CX43" s="165"/>
      <c r="CY43" s="166"/>
      <c r="CZ43" s="167" t="str">
        <f>=ROUND(IFERROR([@[Einnahmen (LC)]]/[@[Einnahmen (EUR)]],0),6)</f>
      </c>
      <c r="DC43" s="163" t="s">
        <v>158</v>
      </c>
      <c r="DD43" s="164" t="s">
        <v>158</v>
      </c>
      <c r="DE43" s="165"/>
      <c r="DF43" s="166"/>
      <c r="DG43" s="167" t="str">
        <f>=ROUND(IFERROR([@[Einnahmen (LC)]]/[@[Einnahmen (EUR)]],0),6)</f>
      </c>
      <c r="DJ43" s="163" t="s">
        <v>158</v>
      </c>
      <c r="DK43" s="164" t="s">
        <v>158</v>
      </c>
      <c r="DL43" s="165"/>
      <c r="DM43" s="166"/>
      <c r="DN43" s="167" t="str">
        <f>=ROUND(IFERROR([@[Einnahmen (LC)]]/[@[Einnahmen (EUR)]],0),6)</f>
      </c>
      <c r="DQ43" s="163" t="s">
        <v>158</v>
      </c>
      <c r="DR43" s="164" t="s">
        <v>158</v>
      </c>
      <c r="DS43" s="165"/>
      <c r="DT43" s="166"/>
      <c r="DU43" s="167" t="str">
        <f>=ROUND(IFERROR([@[Einnahmen (LC)]]/[@[Einnahmen (EUR)]],0),6)</f>
      </c>
    </row>
    <row r="44">
      <c r="B44" s="163" t="s">
        <v>158</v>
      </c>
      <c r="C44" s="164" t="s">
        <v>158</v>
      </c>
      <c r="D44" s="165"/>
      <c r="E44" s="166"/>
      <c r="F44" s="167" t="str">
        <f>=ROUND(IFERROR([@[Einnahmen (LC)]]/[@[Einnahmen (EUR)]],0),6)</f>
      </c>
      <c r="I44" s="163" t="s">
        <v>158</v>
      </c>
      <c r="J44" s="164" t="s">
        <v>158</v>
      </c>
      <c r="K44" s="165"/>
      <c r="L44" s="166"/>
      <c r="M44" s="167" t="str">
        <f>=ROUND(IFERROR([@[Einnahmen (LC)]]/[@[Einnahmen (EUR)]],0),6)</f>
      </c>
      <c r="P44" s="163" t="s">
        <v>158</v>
      </c>
      <c r="Q44" s="164" t="s">
        <v>158</v>
      </c>
      <c r="R44" s="165"/>
      <c r="S44" s="166"/>
      <c r="T44" s="167" t="str">
        <f>=ROUND(IFERROR([@[Einnahmen (LC)]]/[@[Einnahmen (EUR)]],0),6)</f>
      </c>
      <c r="W44" s="163" t="s">
        <v>158</v>
      </c>
      <c r="X44" s="164" t="s">
        <v>158</v>
      </c>
      <c r="Y44" s="165"/>
      <c r="Z44" s="166"/>
      <c r="AA44" s="167" t="str">
        <f>=ROUND(IFERROR([@[Einnahmen (LC)]]/[@[Einnahmen (EUR)]],0),6)</f>
      </c>
      <c r="AD44" s="163" t="s">
        <v>158</v>
      </c>
      <c r="AE44" s="164" t="s">
        <v>158</v>
      </c>
      <c r="AF44" s="165"/>
      <c r="AG44" s="166"/>
      <c r="AH44" s="167" t="str">
        <f>=ROUND(IFERROR([@[Einnahmen (LC)]]/[@[Einnahmen (EUR)]],0),6)</f>
      </c>
      <c r="AK44" s="163" t="s">
        <v>158</v>
      </c>
      <c r="AL44" s="164" t="s">
        <v>158</v>
      </c>
      <c r="AM44" s="165"/>
      <c r="AN44" s="166"/>
      <c r="AO44" s="167" t="str">
        <f>=ROUND(IFERROR([@[Einnahmen (LC)]]/[@[Einnahmen (EUR)]],0),6)</f>
      </c>
      <c r="AR44" s="163" t="s">
        <v>158</v>
      </c>
      <c r="AS44" s="164" t="s">
        <v>158</v>
      </c>
      <c r="AT44" s="165"/>
      <c r="AU44" s="166"/>
      <c r="AV44" s="167" t="str">
        <f>=ROUND(IFERROR([@[Einnahmen (LC)]]/[@[Einnahmen (EUR)]],0),6)</f>
      </c>
      <c r="AY44" s="163" t="s">
        <v>158</v>
      </c>
      <c r="AZ44" s="164" t="s">
        <v>158</v>
      </c>
      <c r="BA44" s="165"/>
      <c r="BB44" s="166"/>
      <c r="BC44" s="167" t="str">
        <f>=ROUND(IFERROR([@[Einnahmen (LC)]]/[@[Einnahmen (EUR)]],0),6)</f>
      </c>
      <c r="BF44" s="163" t="s">
        <v>158</v>
      </c>
      <c r="BG44" s="164" t="s">
        <v>158</v>
      </c>
      <c r="BH44" s="165"/>
      <c r="BI44" s="166"/>
      <c r="BJ44" s="167" t="str">
        <f>=ROUND(IFERROR([@[Einnahmen (LC)]]/[@[Einnahmen (EUR)]],0),6)</f>
      </c>
      <c r="BM44" s="163" t="s">
        <v>158</v>
      </c>
      <c r="BN44" s="164" t="s">
        <v>158</v>
      </c>
      <c r="BO44" s="165"/>
      <c r="BP44" s="166"/>
      <c r="BQ44" s="167" t="str">
        <f>=ROUND(IFERROR([@[Einnahmen (LC)]]/[@[Einnahmen (EUR)]],0),6)</f>
      </c>
      <c r="BT44" s="163" t="s">
        <v>158</v>
      </c>
      <c r="BU44" s="164" t="s">
        <v>158</v>
      </c>
      <c r="BV44" s="165"/>
      <c r="BW44" s="166"/>
      <c r="BX44" s="167" t="str">
        <f>=ROUND(IFERROR([@[Einnahmen (LC)]]/[@[Einnahmen (EUR)]],0),6)</f>
      </c>
      <c r="CA44" s="163" t="s">
        <v>158</v>
      </c>
      <c r="CB44" s="164" t="s">
        <v>158</v>
      </c>
      <c r="CC44" s="165"/>
      <c r="CD44" s="166"/>
      <c r="CE44" s="167" t="str">
        <f>=ROUND(IFERROR([@[Einnahmen (LC)]]/[@[Einnahmen (EUR)]],0),6)</f>
      </c>
      <c r="CH44" s="163" t="s">
        <v>158</v>
      </c>
      <c r="CI44" s="164" t="s">
        <v>158</v>
      </c>
      <c r="CJ44" s="165"/>
      <c r="CK44" s="166"/>
      <c r="CL44" s="167" t="str">
        <f>=ROUND(IFERROR([@[Einnahmen (LC)]]/[@[Einnahmen (EUR)]],0),6)</f>
      </c>
      <c r="CO44" s="163" t="s">
        <v>158</v>
      </c>
      <c r="CP44" s="164" t="s">
        <v>158</v>
      </c>
      <c r="CQ44" s="165"/>
      <c r="CR44" s="166"/>
      <c r="CS44" s="167" t="str">
        <f>=ROUND(IFERROR([@[Einnahmen (LC)]]/[@[Einnahmen (EUR)]],0),6)</f>
      </c>
      <c r="CV44" s="163" t="s">
        <v>158</v>
      </c>
      <c r="CW44" s="164" t="s">
        <v>158</v>
      </c>
      <c r="CX44" s="165"/>
      <c r="CY44" s="166"/>
      <c r="CZ44" s="167" t="str">
        <f>=ROUND(IFERROR([@[Einnahmen (LC)]]/[@[Einnahmen (EUR)]],0),6)</f>
      </c>
      <c r="DC44" s="163" t="s">
        <v>158</v>
      </c>
      <c r="DD44" s="164" t="s">
        <v>158</v>
      </c>
      <c r="DE44" s="165"/>
      <c r="DF44" s="166"/>
      <c r="DG44" s="167" t="str">
        <f>=ROUND(IFERROR([@[Einnahmen (LC)]]/[@[Einnahmen (EUR)]],0),6)</f>
      </c>
      <c r="DJ44" s="163" t="s">
        <v>158</v>
      </c>
      <c r="DK44" s="164" t="s">
        <v>158</v>
      </c>
      <c r="DL44" s="165"/>
      <c r="DM44" s="166"/>
      <c r="DN44" s="167" t="str">
        <f>=ROUND(IFERROR([@[Einnahmen (LC)]]/[@[Einnahmen (EUR)]],0),6)</f>
      </c>
      <c r="DQ44" s="163" t="s">
        <v>158</v>
      </c>
      <c r="DR44" s="164" t="s">
        <v>158</v>
      </c>
      <c r="DS44" s="165"/>
      <c r="DT44" s="166"/>
      <c r="DU44" s="167" t="str">
        <f>=ROUND(IFERROR([@[Einnahmen (LC)]]/[@[Einnahmen (EUR)]],0),6)</f>
      </c>
    </row>
    <row r="45">
      <c r="B45" s="163" t="s">
        <v>158</v>
      </c>
      <c r="C45" s="164" t="s">
        <v>158</v>
      </c>
      <c r="D45" s="165"/>
      <c r="E45" s="166"/>
      <c r="F45" s="167" t="str">
        <f>=ROUND(IFERROR([@[Einnahmen (LC)]]/[@[Einnahmen (EUR)]],0),6)</f>
      </c>
      <c r="I45" s="163" t="s">
        <v>158</v>
      </c>
      <c r="J45" s="164" t="s">
        <v>158</v>
      </c>
      <c r="K45" s="165"/>
      <c r="L45" s="166"/>
      <c r="M45" s="167" t="str">
        <f>=ROUND(IFERROR([@[Einnahmen (LC)]]/[@[Einnahmen (EUR)]],0),6)</f>
      </c>
      <c r="P45" s="163" t="s">
        <v>158</v>
      </c>
      <c r="Q45" s="164" t="s">
        <v>158</v>
      </c>
      <c r="R45" s="165"/>
      <c r="S45" s="166"/>
      <c r="T45" s="167" t="str">
        <f>=ROUND(IFERROR([@[Einnahmen (LC)]]/[@[Einnahmen (EUR)]],0),6)</f>
      </c>
      <c r="W45" s="163" t="s">
        <v>158</v>
      </c>
      <c r="X45" s="164" t="s">
        <v>158</v>
      </c>
      <c r="Y45" s="165"/>
      <c r="Z45" s="166"/>
      <c r="AA45" s="167" t="str">
        <f>=ROUND(IFERROR([@[Einnahmen (LC)]]/[@[Einnahmen (EUR)]],0),6)</f>
      </c>
      <c r="AD45" s="163" t="s">
        <v>158</v>
      </c>
      <c r="AE45" s="164" t="s">
        <v>158</v>
      </c>
      <c r="AF45" s="165"/>
      <c r="AG45" s="166"/>
      <c r="AH45" s="167" t="str">
        <f>=ROUND(IFERROR([@[Einnahmen (LC)]]/[@[Einnahmen (EUR)]],0),6)</f>
      </c>
      <c r="AK45" s="163" t="s">
        <v>158</v>
      </c>
      <c r="AL45" s="164" t="s">
        <v>158</v>
      </c>
      <c r="AM45" s="165"/>
      <c r="AN45" s="166"/>
      <c r="AO45" s="167" t="str">
        <f>=ROUND(IFERROR([@[Einnahmen (LC)]]/[@[Einnahmen (EUR)]],0),6)</f>
      </c>
      <c r="AR45" s="163" t="s">
        <v>158</v>
      </c>
      <c r="AS45" s="164" t="s">
        <v>158</v>
      </c>
      <c r="AT45" s="165"/>
      <c r="AU45" s="166"/>
      <c r="AV45" s="167" t="str">
        <f>=ROUND(IFERROR([@[Einnahmen (LC)]]/[@[Einnahmen (EUR)]],0),6)</f>
      </c>
      <c r="AY45" s="163" t="s">
        <v>158</v>
      </c>
      <c r="AZ45" s="164" t="s">
        <v>158</v>
      </c>
      <c r="BA45" s="165"/>
      <c r="BB45" s="166"/>
      <c r="BC45" s="167" t="str">
        <f>=ROUND(IFERROR([@[Einnahmen (LC)]]/[@[Einnahmen (EUR)]],0),6)</f>
      </c>
      <c r="BF45" s="163" t="s">
        <v>158</v>
      </c>
      <c r="BG45" s="164" t="s">
        <v>158</v>
      </c>
      <c r="BH45" s="165"/>
      <c r="BI45" s="166"/>
      <c r="BJ45" s="167" t="str">
        <f>=ROUND(IFERROR([@[Einnahmen (LC)]]/[@[Einnahmen (EUR)]],0),6)</f>
      </c>
      <c r="BM45" s="163" t="s">
        <v>158</v>
      </c>
      <c r="BN45" s="164" t="s">
        <v>158</v>
      </c>
      <c r="BO45" s="165"/>
      <c r="BP45" s="166"/>
      <c r="BQ45" s="167" t="str">
        <f>=ROUND(IFERROR([@[Einnahmen (LC)]]/[@[Einnahmen (EUR)]],0),6)</f>
      </c>
      <c r="BT45" s="163" t="s">
        <v>158</v>
      </c>
      <c r="BU45" s="164" t="s">
        <v>158</v>
      </c>
      <c r="BV45" s="165"/>
      <c r="BW45" s="166"/>
      <c r="BX45" s="167" t="str">
        <f>=ROUND(IFERROR([@[Einnahmen (LC)]]/[@[Einnahmen (EUR)]],0),6)</f>
      </c>
      <c r="CA45" s="163" t="s">
        <v>158</v>
      </c>
      <c r="CB45" s="164" t="s">
        <v>158</v>
      </c>
      <c r="CC45" s="165"/>
      <c r="CD45" s="166"/>
      <c r="CE45" s="167" t="str">
        <f>=ROUND(IFERROR([@[Einnahmen (LC)]]/[@[Einnahmen (EUR)]],0),6)</f>
      </c>
      <c r="CH45" s="163" t="s">
        <v>158</v>
      </c>
      <c r="CI45" s="164" t="s">
        <v>158</v>
      </c>
      <c r="CJ45" s="165"/>
      <c r="CK45" s="166"/>
      <c r="CL45" s="167" t="str">
        <f>=ROUND(IFERROR([@[Einnahmen (LC)]]/[@[Einnahmen (EUR)]],0),6)</f>
      </c>
      <c r="CO45" s="163" t="s">
        <v>158</v>
      </c>
      <c r="CP45" s="164" t="s">
        <v>158</v>
      </c>
      <c r="CQ45" s="165"/>
      <c r="CR45" s="166"/>
      <c r="CS45" s="167" t="str">
        <f>=ROUND(IFERROR([@[Einnahmen (LC)]]/[@[Einnahmen (EUR)]],0),6)</f>
      </c>
      <c r="CV45" s="163" t="s">
        <v>158</v>
      </c>
      <c r="CW45" s="164" t="s">
        <v>158</v>
      </c>
      <c r="CX45" s="165"/>
      <c r="CY45" s="166"/>
      <c r="CZ45" s="167" t="str">
        <f>=ROUND(IFERROR([@[Einnahmen (LC)]]/[@[Einnahmen (EUR)]],0),6)</f>
      </c>
      <c r="DC45" s="163" t="s">
        <v>158</v>
      </c>
      <c r="DD45" s="164" t="s">
        <v>158</v>
      </c>
      <c r="DE45" s="165"/>
      <c r="DF45" s="166"/>
      <c r="DG45" s="167" t="str">
        <f>=ROUND(IFERROR([@[Einnahmen (LC)]]/[@[Einnahmen (EUR)]],0),6)</f>
      </c>
      <c r="DJ45" s="163" t="s">
        <v>158</v>
      </c>
      <c r="DK45" s="164" t="s">
        <v>158</v>
      </c>
      <c r="DL45" s="165"/>
      <c r="DM45" s="166"/>
      <c r="DN45" s="167" t="str">
        <f>=ROUND(IFERROR([@[Einnahmen (LC)]]/[@[Einnahmen (EUR)]],0),6)</f>
      </c>
      <c r="DQ45" s="163" t="s">
        <v>158</v>
      </c>
      <c r="DR45" s="164" t="s">
        <v>158</v>
      </c>
      <c r="DS45" s="165"/>
      <c r="DT45" s="166"/>
      <c r="DU45" s="167" t="str">
        <f>=ROUND(IFERROR([@[Einnahmen (LC)]]/[@[Einnahmen (EUR)]],0),6)</f>
      </c>
    </row>
    <row r="46">
      <c r="B46" s="168" t="s">
        <v>298</v>
      </c>
      <c r="C46" s="169" t="s">
        <v>269</v>
      </c>
      <c r="D46" s="170" t="str">
        <f>=ROUND(SUBTOTAL(109,Einnahmen_1[Einnahmen (LC)]),2)</f>
      </c>
      <c r="E46" s="171" t="str">
        <f>=ROUND(SUBTOTAL(109,Einnahmen_1[Einnahmen (EUR)]),2)</f>
      </c>
      <c r="F46" s="172" t="str">
        <f>=ROUND(IFERROR(D46/E46,0),6)</f>
      </c>
      <c r="I46" s="168" t="s">
        <v>298</v>
      </c>
      <c r="J46" s="169" t="s">
        <v>269</v>
      </c>
      <c r="K46" s="170" t="str">
        <f>=ROUND(SUBTOTAL(109,Einnahmen_2[Einnahmen (LC)]),2)</f>
      </c>
      <c r="L46" s="171" t="str">
        <f>=ROUND(SUBTOTAL(109,Einnahmen_2[Einnahmen (EUR)]),2)</f>
      </c>
      <c r="M46" s="172" t="str">
        <f>=ROUND(IFERROR(K46/L46,0),6)</f>
      </c>
      <c r="P46" s="168" t="s">
        <v>298</v>
      </c>
      <c r="Q46" s="169" t="s">
        <v>269</v>
      </c>
      <c r="R46" s="170" t="str">
        <f>=ROUND(SUBTOTAL(109,Einnahmen_3[Einnahmen (LC)]),2)</f>
      </c>
      <c r="S46" s="171" t="str">
        <f>=ROUND(SUBTOTAL(109,Einnahmen_3[Einnahmen (EUR)]),2)</f>
      </c>
      <c r="T46" s="172" t="str">
        <f>=ROUND(IFERROR(R46/S46,0),6)</f>
      </c>
      <c r="W46" s="168" t="s">
        <v>298</v>
      </c>
      <c r="X46" s="169" t="s">
        <v>269</v>
      </c>
      <c r="Y46" s="170" t="str">
        <f>=ROUND(SUBTOTAL(109,Einnahmen_4[Einnahmen (LC)]),2)</f>
      </c>
      <c r="Z46" s="171" t="str">
        <f>=ROUND(SUBTOTAL(109,Einnahmen_4[Einnahmen (EUR)]),2)</f>
      </c>
      <c r="AA46" s="172" t="str">
        <f>=ROUND(IFERROR(Y46/Z46,0),6)</f>
      </c>
      <c r="AD46" s="168" t="s">
        <v>298</v>
      </c>
      <c r="AE46" s="169" t="s">
        <v>269</v>
      </c>
      <c r="AF46" s="170" t="str">
        <f>=ROUND(SUBTOTAL(109,Einnahmen_5[Einnahmen (LC)]),2)</f>
      </c>
      <c r="AG46" s="171" t="str">
        <f>=ROUND(SUBTOTAL(109,Einnahmen_5[Einnahmen (EUR)]),2)</f>
      </c>
      <c r="AH46" s="172" t="str">
        <f>=ROUND(IFERROR(AF46/AG46,0),6)</f>
      </c>
      <c r="AK46" s="168" t="s">
        <v>298</v>
      </c>
      <c r="AL46" s="169" t="s">
        <v>269</v>
      </c>
      <c r="AM46" s="170" t="str">
        <f>=ROUND(SUBTOTAL(109,Einnahmen_6[Einnahmen (LC)]),2)</f>
      </c>
      <c r="AN46" s="171" t="str">
        <f>=ROUND(SUBTOTAL(109,Einnahmen_6[Einnahmen (EUR)]),2)</f>
      </c>
      <c r="AO46" s="172" t="str">
        <f>=ROUND(IFERROR(AM46/AN46,0),6)</f>
      </c>
      <c r="AR46" s="168" t="s">
        <v>298</v>
      </c>
      <c r="AS46" s="169" t="s">
        <v>269</v>
      </c>
      <c r="AT46" s="170" t="str">
        <f>=ROUND(SUBTOTAL(109,Einnahmen_7[Einnahmen (LC)]),2)</f>
      </c>
      <c r="AU46" s="171" t="str">
        <f>=ROUND(SUBTOTAL(109,Einnahmen_7[Einnahmen (EUR)]),2)</f>
      </c>
      <c r="AV46" s="172" t="str">
        <f>=ROUND(IFERROR(AT46/AU46,0),6)</f>
      </c>
      <c r="AY46" s="168" t="s">
        <v>298</v>
      </c>
      <c r="AZ46" s="169" t="s">
        <v>269</v>
      </c>
      <c r="BA46" s="170" t="str">
        <f>=ROUND(SUBTOTAL(109,Einnahmen_8[Einnahmen (LC)]),2)</f>
      </c>
      <c r="BB46" s="171" t="str">
        <f>=ROUND(SUBTOTAL(109,Einnahmen_8[Einnahmen (EUR)]),2)</f>
      </c>
      <c r="BC46" s="172" t="str">
        <f>=ROUND(IFERROR(BA46/BB46,0),6)</f>
      </c>
      <c r="BF46" s="168" t="s">
        <v>298</v>
      </c>
      <c r="BG46" s="169" t="s">
        <v>269</v>
      </c>
      <c r="BH46" s="170" t="str">
        <f>=ROUND(SUBTOTAL(109,Einnahmen_9[Einnahmen (LC)]),2)</f>
      </c>
      <c r="BI46" s="171" t="str">
        <f>=ROUND(SUBTOTAL(109,Einnahmen_9[Einnahmen (EUR)]),2)</f>
      </c>
      <c r="BJ46" s="172" t="str">
        <f>=ROUND(IFERROR(BH46/BI46,0),6)</f>
      </c>
      <c r="BM46" s="168" t="s">
        <v>298</v>
      </c>
      <c r="BN46" s="169" t="s">
        <v>269</v>
      </c>
      <c r="BO46" s="170" t="str">
        <f>=ROUND(SUBTOTAL(109,Einnahmen_10[Einnahmen (LC)]),2)</f>
      </c>
      <c r="BP46" s="171" t="str">
        <f>=ROUND(SUBTOTAL(109,Einnahmen_10[Einnahmen (EUR)]),2)</f>
      </c>
      <c r="BQ46" s="172" t="str">
        <f>=ROUND(IFERROR(BO46/BP46,0),6)</f>
      </c>
      <c r="BT46" s="168" t="s">
        <v>298</v>
      </c>
      <c r="BU46" s="169" t="s">
        <v>269</v>
      </c>
      <c r="BV46" s="170" t="str">
        <f>=ROUND(SUBTOTAL(109,Einnahmen_11[Einnahmen (LC)]),2)</f>
      </c>
      <c r="BW46" s="171" t="str">
        <f>=ROUND(SUBTOTAL(109,Einnahmen_11[Einnahmen (EUR)]),2)</f>
      </c>
      <c r="BX46" s="172" t="str">
        <f>=ROUND(IFERROR(BV46/BW46,0),6)</f>
      </c>
      <c r="CA46" s="168" t="s">
        <v>298</v>
      </c>
      <c r="CB46" s="169" t="s">
        <v>269</v>
      </c>
      <c r="CC46" s="170" t="str">
        <f>=ROUND(SUBTOTAL(109,Einnahmen_12[Einnahmen (LC)]),2)</f>
      </c>
      <c r="CD46" s="171" t="str">
        <f>=ROUND(SUBTOTAL(109,Einnahmen_12[Einnahmen (EUR)]),2)</f>
      </c>
      <c r="CE46" s="172" t="str">
        <f>=ROUND(IFERROR(CC46/CD46,0),6)</f>
      </c>
      <c r="CH46" s="168" t="s">
        <v>298</v>
      </c>
      <c r="CI46" s="169" t="s">
        <v>269</v>
      </c>
      <c r="CJ46" s="170" t="str">
        <f>=ROUND(SUBTOTAL(109,Einnahmen_13[Einnahmen (LC)]),2)</f>
      </c>
      <c r="CK46" s="171" t="str">
        <f>=ROUND(SUBTOTAL(109,Einnahmen_13[Einnahmen (EUR)]),2)</f>
      </c>
      <c r="CL46" s="172" t="str">
        <f>=ROUND(IFERROR(CJ46/CK46,0),6)</f>
      </c>
      <c r="CO46" s="168" t="s">
        <v>298</v>
      </c>
      <c r="CP46" s="169" t="s">
        <v>269</v>
      </c>
      <c r="CQ46" s="170" t="str">
        <f>=ROUND(SUBTOTAL(109,Einnahmen_14[Einnahmen (LC)]),2)</f>
      </c>
      <c r="CR46" s="171" t="str">
        <f>=ROUND(SUBTOTAL(109,Einnahmen_14[Einnahmen (EUR)]),2)</f>
      </c>
      <c r="CS46" s="172" t="str">
        <f>=ROUND(IFERROR(CQ46/CR46,0),6)</f>
      </c>
      <c r="CV46" s="168" t="s">
        <v>298</v>
      </c>
      <c r="CW46" s="169" t="s">
        <v>269</v>
      </c>
      <c r="CX46" s="170" t="str">
        <f>=ROUND(SUBTOTAL(109,Einnahmen_15[Einnahmen (LC)]),2)</f>
      </c>
      <c r="CY46" s="171" t="str">
        <f>=ROUND(SUBTOTAL(109,Einnahmen_15[Einnahmen (EUR)]),2)</f>
      </c>
      <c r="CZ46" s="172" t="str">
        <f>=ROUND(IFERROR(CX46/CY46,0),6)</f>
      </c>
      <c r="DC46" s="168" t="s">
        <v>298</v>
      </c>
      <c r="DD46" s="169" t="s">
        <v>269</v>
      </c>
      <c r="DE46" s="170" t="str">
        <f>=ROUND(SUBTOTAL(109,Einnahmen_16[Einnahmen (LC)]),2)</f>
      </c>
      <c r="DF46" s="171" t="str">
        <f>=ROUND(SUBTOTAL(109,Einnahmen_16[Einnahmen (EUR)]),2)</f>
      </c>
      <c r="DG46" s="172" t="str">
        <f>=ROUND(IFERROR(DE46/DF46,0),6)</f>
      </c>
      <c r="DJ46" s="168" t="s">
        <v>298</v>
      </c>
      <c r="DK46" s="169" t="s">
        <v>269</v>
      </c>
      <c r="DL46" s="170" t="str">
        <f>=ROUND(SUBTOTAL(109,Einnahmen_17[Einnahmen (LC)]),2)</f>
      </c>
      <c r="DM46" s="171" t="str">
        <f>=ROUND(SUBTOTAL(109,Einnahmen_17[Einnahmen (EUR)]),2)</f>
      </c>
      <c r="DN46" s="172" t="str">
        <f>=ROUND(IFERROR(DL46/DM46,0),6)</f>
      </c>
      <c r="DQ46" s="168" t="s">
        <v>298</v>
      </c>
      <c r="DR46" s="169" t="s">
        <v>269</v>
      </c>
      <c r="DS46" s="170" t="str">
        <f>=ROUND(SUBTOTAL(109,Einnahmen_18[Einnahmen (LC)]),2)</f>
      </c>
      <c r="DT46" s="171" t="str">
        <f>=ROUND(SUBTOTAL(109,Einnahmen_18[Einnahmen (EUR)]),2)</f>
      </c>
      <c r="DU46" s="172"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3" t="s">
        <v>194</v>
      </c>
      <c r="C50" s="164" t="s">
        <v>300</v>
      </c>
      <c r="D50" s="165"/>
      <c r="E50" s="173" t="str">
        <f>=IFERROR(ROUND([@[Einnahmen (LC)]]/$C$7,2),0)</f>
      </c>
      <c r="F50" s="167" t="str">
        <f>=ROUND(IFERROR([@[Einnahmen (LC)]]/[@[Einnahmen (EUR)]],0),6)</f>
      </c>
      <c r="I50" s="163" t="s">
        <v>194</v>
      </c>
      <c r="J50" s="164" t="s">
        <v>300</v>
      </c>
      <c r="K50" s="165"/>
      <c r="L50" s="173" t="str">
        <f>=IFERROR(ROUND([@[Einnahmen (LC)]]/$J$7,2),0)</f>
      </c>
      <c r="M50" s="167" t="str">
        <f>=ROUND(IFERROR([@[Einnahmen (LC)]]/[@[Einnahmen (EUR)]],0),6)</f>
      </c>
      <c r="P50" s="163" t="s">
        <v>194</v>
      </c>
      <c r="Q50" s="164" t="s">
        <v>300</v>
      </c>
      <c r="R50" s="165"/>
      <c r="S50" s="173" t="str">
        <f>=IFERROR(ROUND([@[Einnahmen (LC)]]/$Q$7,2),0)</f>
      </c>
      <c r="T50" s="167" t="str">
        <f>=ROUND(IFERROR([@[Einnahmen (LC)]]/[@[Einnahmen (EUR)]],0),6)</f>
      </c>
      <c r="W50" s="163" t="s">
        <v>194</v>
      </c>
      <c r="X50" s="164" t="s">
        <v>300</v>
      </c>
      <c r="Y50" s="165"/>
      <c r="Z50" s="173" t="str">
        <f>=IFERROR(ROUND([@[Einnahmen (LC)]]/$X$7,2),0)</f>
      </c>
      <c r="AA50" s="167" t="str">
        <f>=ROUND(IFERROR([@[Einnahmen (LC)]]/[@[Einnahmen (EUR)]],0),6)</f>
      </c>
      <c r="AD50" s="163" t="s">
        <v>194</v>
      </c>
      <c r="AE50" s="164" t="s">
        <v>300</v>
      </c>
      <c r="AF50" s="165"/>
      <c r="AG50" s="173" t="str">
        <f>=IFERROR(ROUND([@[Einnahmen (LC)]]/$AE$7,2),0)</f>
      </c>
      <c r="AH50" s="167" t="str">
        <f>=ROUND(IFERROR([@[Einnahmen (LC)]]/[@[Einnahmen (EUR)]],0),6)</f>
      </c>
      <c r="AK50" s="163" t="s">
        <v>194</v>
      </c>
      <c r="AL50" s="164" t="s">
        <v>300</v>
      </c>
      <c r="AM50" s="165"/>
      <c r="AN50" s="173" t="str">
        <f>=IFERROR(ROUND([@[Einnahmen (LC)]]/$AL$7,2),0)</f>
      </c>
      <c r="AO50" s="167" t="str">
        <f>=ROUND(IFERROR([@[Einnahmen (LC)]]/[@[Einnahmen (EUR)]],0),6)</f>
      </c>
      <c r="AR50" s="163" t="s">
        <v>194</v>
      </c>
      <c r="AS50" s="164" t="s">
        <v>300</v>
      </c>
      <c r="AT50" s="165"/>
      <c r="AU50" s="173" t="str">
        <f>=IFERROR(ROUND([@[Einnahmen (LC)]]/$AS$7,2),0)</f>
      </c>
      <c r="AV50" s="167" t="str">
        <f>=ROUND(IFERROR([@[Einnahmen (LC)]]/[@[Einnahmen (EUR)]],0),6)</f>
      </c>
      <c r="AY50" s="163" t="s">
        <v>194</v>
      </c>
      <c r="AZ50" s="164" t="s">
        <v>300</v>
      </c>
      <c r="BA50" s="165"/>
      <c r="BB50" s="173" t="str">
        <f>=IFERROR(ROUND([@[Einnahmen (LC)]]/$AZ$7,2),0)</f>
      </c>
      <c r="BC50" s="167" t="str">
        <f>=ROUND(IFERROR([@[Einnahmen (LC)]]/[@[Einnahmen (EUR)]],0),6)</f>
      </c>
      <c r="BF50" s="163" t="s">
        <v>194</v>
      </c>
      <c r="BG50" s="164" t="s">
        <v>300</v>
      </c>
      <c r="BH50" s="165"/>
      <c r="BI50" s="173" t="str">
        <f>=IFERROR(ROUND([@[Einnahmen (LC)]]/$BG$7,2),0)</f>
      </c>
      <c r="BJ50" s="167" t="str">
        <f>=ROUND(IFERROR([@[Einnahmen (LC)]]/[@[Einnahmen (EUR)]],0),6)</f>
      </c>
      <c r="BM50" s="163" t="s">
        <v>194</v>
      </c>
      <c r="BN50" s="164" t="s">
        <v>300</v>
      </c>
      <c r="BO50" s="165"/>
      <c r="BP50" s="173" t="str">
        <f>=IFERROR(ROUND([@[Einnahmen (LC)]]/$BN$7,2),0)</f>
      </c>
      <c r="BQ50" s="167" t="str">
        <f>=ROUND(IFERROR([@[Einnahmen (LC)]]/[@[Einnahmen (EUR)]],0),6)</f>
      </c>
      <c r="BT50" s="163" t="s">
        <v>194</v>
      </c>
      <c r="BU50" s="164" t="s">
        <v>300</v>
      </c>
      <c r="BV50" s="165"/>
      <c r="BW50" s="173" t="str">
        <f>=IFERROR(ROUND([@[Einnahmen (LC)]]/$BU$7,2),0)</f>
      </c>
      <c r="BX50" s="167" t="str">
        <f>=ROUND(IFERROR([@[Einnahmen (LC)]]/[@[Einnahmen (EUR)]],0),6)</f>
      </c>
      <c r="CA50" s="163" t="s">
        <v>194</v>
      </c>
      <c r="CB50" s="164" t="s">
        <v>300</v>
      </c>
      <c r="CC50" s="165"/>
      <c r="CD50" s="173" t="str">
        <f>=IFERROR(ROUND([@[Einnahmen (LC)]]/$CB$7,2),0)</f>
      </c>
      <c r="CE50" s="167" t="str">
        <f>=ROUND(IFERROR([@[Einnahmen (LC)]]/[@[Einnahmen (EUR)]],0),6)</f>
      </c>
      <c r="CH50" s="163" t="s">
        <v>194</v>
      </c>
      <c r="CI50" s="164" t="s">
        <v>300</v>
      </c>
      <c r="CJ50" s="165"/>
      <c r="CK50" s="173" t="str">
        <f>=IFERROR(ROUND([@[Einnahmen (LC)]]/$CI$7,2),0)</f>
      </c>
      <c r="CL50" s="167" t="str">
        <f>=ROUND(IFERROR([@[Einnahmen (LC)]]/[@[Einnahmen (EUR)]],0),6)</f>
      </c>
      <c r="CO50" s="163" t="s">
        <v>194</v>
      </c>
      <c r="CP50" s="164" t="s">
        <v>300</v>
      </c>
      <c r="CQ50" s="165"/>
      <c r="CR50" s="173" t="str">
        <f>=IFERROR(ROUND([@[Einnahmen (LC)]]/$CP$7,2),0)</f>
      </c>
      <c r="CS50" s="167" t="str">
        <f>=ROUND(IFERROR([@[Einnahmen (LC)]]/[@[Einnahmen (EUR)]],0),6)</f>
      </c>
      <c r="CV50" s="163" t="s">
        <v>194</v>
      </c>
      <c r="CW50" s="164" t="s">
        <v>300</v>
      </c>
      <c r="CX50" s="165"/>
      <c r="CY50" s="173" t="str">
        <f>=IFERROR(ROUND([@[Einnahmen (LC)]]/$CW$7,2),0)</f>
      </c>
      <c r="CZ50" s="167" t="str">
        <f>=ROUND(IFERROR([@[Einnahmen (LC)]]/[@[Einnahmen (EUR)]],0),6)</f>
      </c>
      <c r="DC50" s="163" t="s">
        <v>194</v>
      </c>
      <c r="DD50" s="164" t="s">
        <v>300</v>
      </c>
      <c r="DE50" s="165"/>
      <c r="DF50" s="173" t="str">
        <f>=IFERROR(ROUND([@[Einnahmen (LC)]]/$DD$7,2),0)</f>
      </c>
      <c r="DG50" s="167" t="str">
        <f>=ROUND(IFERROR([@[Einnahmen (LC)]]/[@[Einnahmen (EUR)]],0),6)</f>
      </c>
      <c r="DJ50" s="163" t="s">
        <v>194</v>
      </c>
      <c r="DK50" s="164" t="s">
        <v>300</v>
      </c>
      <c r="DL50" s="165"/>
      <c r="DM50" s="173" t="str">
        <f>=IFERROR(ROUND([@[Einnahmen (LC)]]/$DK$7,2),0)</f>
      </c>
      <c r="DN50" s="167" t="str">
        <f>=ROUND(IFERROR([@[Einnahmen (LC)]]/[@[Einnahmen (EUR)]],0),6)</f>
      </c>
      <c r="DQ50" s="163" t="s">
        <v>194</v>
      </c>
      <c r="DR50" s="164" t="s">
        <v>300</v>
      </c>
      <c r="DS50" s="165"/>
      <c r="DT50" s="173" t="str">
        <f>=IFERROR(ROUND([@[Einnahmen (LC)]]/$DR$7,2),0)</f>
      </c>
      <c r="DU50" s="167" t="str">
        <f>=ROUND(IFERROR([@[Einnahmen (LC)]]/[@[Einnahmen (EUR)]],0),6)</f>
      </c>
    </row>
    <row r="51">
      <c r="B51" s="163" t="s">
        <v>277</v>
      </c>
      <c r="C51" s="164" t="s">
        <v>158</v>
      </c>
      <c r="D51" s="165"/>
      <c r="E51" s="173" t="str">
        <f>=IFERROR(ROUND([@[Einnahmen (LC)]]/$C$7,2),0)</f>
      </c>
      <c r="F51" s="167" t="str">
        <f>=ROUND(IFERROR([@[Einnahmen (LC)]]/[@[Einnahmen (EUR)]],0),6)</f>
      </c>
      <c r="I51" s="163" t="s">
        <v>277</v>
      </c>
      <c r="J51" s="164" t="s">
        <v>158</v>
      </c>
      <c r="K51" s="165"/>
      <c r="L51" s="173" t="str">
        <f>=IFERROR(ROUND([@[Einnahmen (LC)]]/$J$7,2),0)</f>
      </c>
      <c r="M51" s="167" t="str">
        <f>=ROUND(IFERROR([@[Einnahmen (LC)]]/[@[Einnahmen (EUR)]],0),6)</f>
      </c>
      <c r="P51" s="163" t="s">
        <v>277</v>
      </c>
      <c r="Q51" s="164" t="s">
        <v>158</v>
      </c>
      <c r="R51" s="165"/>
      <c r="S51" s="173" t="str">
        <f>=IFERROR(ROUND([@[Einnahmen (LC)]]/$Q$7,2),0)</f>
      </c>
      <c r="T51" s="167" t="str">
        <f>=ROUND(IFERROR([@[Einnahmen (LC)]]/[@[Einnahmen (EUR)]],0),6)</f>
      </c>
      <c r="W51" s="163" t="s">
        <v>277</v>
      </c>
      <c r="X51" s="164" t="s">
        <v>158</v>
      </c>
      <c r="Y51" s="165"/>
      <c r="Z51" s="173" t="str">
        <f>=IFERROR(ROUND([@[Einnahmen (LC)]]/$X$7,2),0)</f>
      </c>
      <c r="AA51" s="167" t="str">
        <f>=ROUND(IFERROR([@[Einnahmen (LC)]]/[@[Einnahmen (EUR)]],0),6)</f>
      </c>
      <c r="AD51" s="163" t="s">
        <v>277</v>
      </c>
      <c r="AE51" s="164" t="s">
        <v>158</v>
      </c>
      <c r="AF51" s="165"/>
      <c r="AG51" s="173" t="str">
        <f>=IFERROR(ROUND([@[Einnahmen (LC)]]/$AE$7,2),0)</f>
      </c>
      <c r="AH51" s="167" t="str">
        <f>=ROUND(IFERROR([@[Einnahmen (LC)]]/[@[Einnahmen (EUR)]],0),6)</f>
      </c>
      <c r="AK51" s="163" t="s">
        <v>277</v>
      </c>
      <c r="AL51" s="164" t="s">
        <v>158</v>
      </c>
      <c r="AM51" s="165"/>
      <c r="AN51" s="173" t="str">
        <f>=IFERROR(ROUND([@[Einnahmen (LC)]]/$AL$7,2),0)</f>
      </c>
      <c r="AO51" s="167" t="str">
        <f>=ROUND(IFERROR([@[Einnahmen (LC)]]/[@[Einnahmen (EUR)]],0),6)</f>
      </c>
      <c r="AR51" s="163" t="s">
        <v>277</v>
      </c>
      <c r="AS51" s="164" t="s">
        <v>158</v>
      </c>
      <c r="AT51" s="165"/>
      <c r="AU51" s="173" t="str">
        <f>=IFERROR(ROUND([@[Einnahmen (LC)]]/$AS$7,2),0)</f>
      </c>
      <c r="AV51" s="167" t="str">
        <f>=ROUND(IFERROR([@[Einnahmen (LC)]]/[@[Einnahmen (EUR)]],0),6)</f>
      </c>
      <c r="AY51" s="163" t="s">
        <v>277</v>
      </c>
      <c r="AZ51" s="164" t="s">
        <v>158</v>
      </c>
      <c r="BA51" s="165"/>
      <c r="BB51" s="173" t="str">
        <f>=IFERROR(ROUND([@[Einnahmen (LC)]]/$AZ$7,2),0)</f>
      </c>
      <c r="BC51" s="167" t="str">
        <f>=ROUND(IFERROR([@[Einnahmen (LC)]]/[@[Einnahmen (EUR)]],0),6)</f>
      </c>
      <c r="BF51" s="163" t="s">
        <v>277</v>
      </c>
      <c r="BG51" s="164" t="s">
        <v>158</v>
      </c>
      <c r="BH51" s="165"/>
      <c r="BI51" s="173" t="str">
        <f>=IFERROR(ROUND([@[Einnahmen (LC)]]/$BG$7,2),0)</f>
      </c>
      <c r="BJ51" s="167" t="str">
        <f>=ROUND(IFERROR([@[Einnahmen (LC)]]/[@[Einnahmen (EUR)]],0),6)</f>
      </c>
      <c r="BM51" s="163" t="s">
        <v>277</v>
      </c>
      <c r="BN51" s="164" t="s">
        <v>158</v>
      </c>
      <c r="BO51" s="165"/>
      <c r="BP51" s="173" t="str">
        <f>=IFERROR(ROUND([@[Einnahmen (LC)]]/$BN$7,2),0)</f>
      </c>
      <c r="BQ51" s="167" t="str">
        <f>=ROUND(IFERROR([@[Einnahmen (LC)]]/[@[Einnahmen (EUR)]],0),6)</f>
      </c>
      <c r="BT51" s="163" t="s">
        <v>277</v>
      </c>
      <c r="BU51" s="164" t="s">
        <v>158</v>
      </c>
      <c r="BV51" s="165"/>
      <c r="BW51" s="173" t="str">
        <f>=IFERROR(ROUND([@[Einnahmen (LC)]]/$BU$7,2),0)</f>
      </c>
      <c r="BX51" s="167" t="str">
        <f>=ROUND(IFERROR([@[Einnahmen (LC)]]/[@[Einnahmen (EUR)]],0),6)</f>
      </c>
      <c r="CA51" s="163" t="s">
        <v>277</v>
      </c>
      <c r="CB51" s="164" t="s">
        <v>158</v>
      </c>
      <c r="CC51" s="165"/>
      <c r="CD51" s="173" t="str">
        <f>=IFERROR(ROUND([@[Einnahmen (LC)]]/$CB$7,2),0)</f>
      </c>
      <c r="CE51" s="167" t="str">
        <f>=ROUND(IFERROR([@[Einnahmen (LC)]]/[@[Einnahmen (EUR)]],0),6)</f>
      </c>
      <c r="CH51" s="163" t="s">
        <v>277</v>
      </c>
      <c r="CI51" s="164" t="s">
        <v>158</v>
      </c>
      <c r="CJ51" s="165"/>
      <c r="CK51" s="173" t="str">
        <f>=IFERROR(ROUND([@[Einnahmen (LC)]]/$CI$7,2),0)</f>
      </c>
      <c r="CL51" s="167" t="str">
        <f>=ROUND(IFERROR([@[Einnahmen (LC)]]/[@[Einnahmen (EUR)]],0),6)</f>
      </c>
      <c r="CO51" s="163" t="s">
        <v>277</v>
      </c>
      <c r="CP51" s="164" t="s">
        <v>158</v>
      </c>
      <c r="CQ51" s="165"/>
      <c r="CR51" s="173" t="str">
        <f>=IFERROR(ROUND([@[Einnahmen (LC)]]/$CP$7,2),0)</f>
      </c>
      <c r="CS51" s="167" t="str">
        <f>=ROUND(IFERROR([@[Einnahmen (LC)]]/[@[Einnahmen (EUR)]],0),6)</f>
      </c>
      <c r="CV51" s="163" t="s">
        <v>277</v>
      </c>
      <c r="CW51" s="164" t="s">
        <v>158</v>
      </c>
      <c r="CX51" s="165"/>
      <c r="CY51" s="173" t="str">
        <f>=IFERROR(ROUND([@[Einnahmen (LC)]]/$CW$7,2),0)</f>
      </c>
      <c r="CZ51" s="167" t="str">
        <f>=ROUND(IFERROR([@[Einnahmen (LC)]]/[@[Einnahmen (EUR)]],0),6)</f>
      </c>
      <c r="DC51" s="163" t="s">
        <v>277</v>
      </c>
      <c r="DD51" s="164" t="s">
        <v>158</v>
      </c>
      <c r="DE51" s="165"/>
      <c r="DF51" s="173" t="str">
        <f>=IFERROR(ROUND([@[Einnahmen (LC)]]/$DD$7,2),0)</f>
      </c>
      <c r="DG51" s="167" t="str">
        <f>=ROUND(IFERROR([@[Einnahmen (LC)]]/[@[Einnahmen (EUR)]],0),6)</f>
      </c>
      <c r="DJ51" s="163" t="s">
        <v>277</v>
      </c>
      <c r="DK51" s="164" t="s">
        <v>158</v>
      </c>
      <c r="DL51" s="165"/>
      <c r="DM51" s="173" t="str">
        <f>=IFERROR(ROUND([@[Einnahmen (LC)]]/$DK$7,2),0)</f>
      </c>
      <c r="DN51" s="167" t="str">
        <f>=ROUND(IFERROR([@[Einnahmen (LC)]]/[@[Einnahmen (EUR)]],0),6)</f>
      </c>
      <c r="DQ51" s="163" t="s">
        <v>277</v>
      </c>
      <c r="DR51" s="164" t="s">
        <v>158</v>
      </c>
      <c r="DS51" s="165"/>
      <c r="DT51" s="173" t="str">
        <f>=IFERROR(ROUND([@[Einnahmen (LC)]]/$DR$7,2),0)</f>
      </c>
      <c r="DU51" s="167" t="str">
        <f>=ROUND(IFERROR([@[Einnahmen (LC)]]/[@[Einnahmen (EUR)]],0),6)</f>
      </c>
    </row>
    <row r="52">
      <c r="B52" s="163" t="s">
        <v>278</v>
      </c>
      <c r="C52" s="164" t="s">
        <v>288</v>
      </c>
      <c r="D52" s="165"/>
      <c r="E52" s="173" t="str">
        <f>=IFERROR(ROUND([@[Einnahmen (LC)]]/$C$7,2),0)</f>
      </c>
      <c r="F52" s="167" t="str">
        <f>=ROUND(IFERROR([@[Einnahmen (LC)]]/[@[Einnahmen (EUR)]],0),6)</f>
      </c>
      <c r="I52" s="163" t="s">
        <v>278</v>
      </c>
      <c r="J52" s="164" t="s">
        <v>288</v>
      </c>
      <c r="K52" s="165"/>
      <c r="L52" s="173" t="str">
        <f>=IFERROR(ROUND([@[Einnahmen (LC)]]/$J$7,2),0)</f>
      </c>
      <c r="M52" s="167" t="str">
        <f>=ROUND(IFERROR([@[Einnahmen (LC)]]/[@[Einnahmen (EUR)]],0),6)</f>
      </c>
      <c r="P52" s="163" t="s">
        <v>278</v>
      </c>
      <c r="Q52" s="164" t="s">
        <v>288</v>
      </c>
      <c r="R52" s="165"/>
      <c r="S52" s="173" t="str">
        <f>=IFERROR(ROUND([@[Einnahmen (LC)]]/$Q$7,2),0)</f>
      </c>
      <c r="T52" s="167" t="str">
        <f>=ROUND(IFERROR([@[Einnahmen (LC)]]/[@[Einnahmen (EUR)]],0),6)</f>
      </c>
      <c r="W52" s="163" t="s">
        <v>278</v>
      </c>
      <c r="X52" s="164" t="s">
        <v>288</v>
      </c>
      <c r="Y52" s="165"/>
      <c r="Z52" s="173" t="str">
        <f>=IFERROR(ROUND([@[Einnahmen (LC)]]/$X$7,2),0)</f>
      </c>
      <c r="AA52" s="167" t="str">
        <f>=ROUND(IFERROR([@[Einnahmen (LC)]]/[@[Einnahmen (EUR)]],0),6)</f>
      </c>
      <c r="AD52" s="163" t="s">
        <v>278</v>
      </c>
      <c r="AE52" s="164" t="s">
        <v>288</v>
      </c>
      <c r="AF52" s="165"/>
      <c r="AG52" s="173" t="str">
        <f>=IFERROR(ROUND([@[Einnahmen (LC)]]/$AE$7,2),0)</f>
      </c>
      <c r="AH52" s="167" t="str">
        <f>=ROUND(IFERROR([@[Einnahmen (LC)]]/[@[Einnahmen (EUR)]],0),6)</f>
      </c>
      <c r="AK52" s="163" t="s">
        <v>278</v>
      </c>
      <c r="AL52" s="164" t="s">
        <v>288</v>
      </c>
      <c r="AM52" s="165"/>
      <c r="AN52" s="173" t="str">
        <f>=IFERROR(ROUND([@[Einnahmen (LC)]]/$AL$7,2),0)</f>
      </c>
      <c r="AO52" s="167" t="str">
        <f>=ROUND(IFERROR([@[Einnahmen (LC)]]/[@[Einnahmen (EUR)]],0),6)</f>
      </c>
      <c r="AR52" s="163" t="s">
        <v>278</v>
      </c>
      <c r="AS52" s="164" t="s">
        <v>288</v>
      </c>
      <c r="AT52" s="165"/>
      <c r="AU52" s="173" t="str">
        <f>=IFERROR(ROUND([@[Einnahmen (LC)]]/$AS$7,2),0)</f>
      </c>
      <c r="AV52" s="167" t="str">
        <f>=ROUND(IFERROR([@[Einnahmen (LC)]]/[@[Einnahmen (EUR)]],0),6)</f>
      </c>
      <c r="AY52" s="163" t="s">
        <v>278</v>
      </c>
      <c r="AZ52" s="164" t="s">
        <v>288</v>
      </c>
      <c r="BA52" s="165"/>
      <c r="BB52" s="173" t="str">
        <f>=IFERROR(ROUND([@[Einnahmen (LC)]]/$AZ$7,2),0)</f>
      </c>
      <c r="BC52" s="167" t="str">
        <f>=ROUND(IFERROR([@[Einnahmen (LC)]]/[@[Einnahmen (EUR)]],0),6)</f>
      </c>
      <c r="BF52" s="163" t="s">
        <v>278</v>
      </c>
      <c r="BG52" s="164" t="s">
        <v>288</v>
      </c>
      <c r="BH52" s="165"/>
      <c r="BI52" s="173" t="str">
        <f>=IFERROR(ROUND([@[Einnahmen (LC)]]/$BG$7,2),0)</f>
      </c>
      <c r="BJ52" s="167" t="str">
        <f>=ROUND(IFERROR([@[Einnahmen (LC)]]/[@[Einnahmen (EUR)]],0),6)</f>
      </c>
      <c r="BM52" s="163" t="s">
        <v>278</v>
      </c>
      <c r="BN52" s="164" t="s">
        <v>288</v>
      </c>
      <c r="BO52" s="165"/>
      <c r="BP52" s="173" t="str">
        <f>=IFERROR(ROUND([@[Einnahmen (LC)]]/$BN$7,2),0)</f>
      </c>
      <c r="BQ52" s="167" t="str">
        <f>=ROUND(IFERROR([@[Einnahmen (LC)]]/[@[Einnahmen (EUR)]],0),6)</f>
      </c>
      <c r="BT52" s="163" t="s">
        <v>278</v>
      </c>
      <c r="BU52" s="164" t="s">
        <v>288</v>
      </c>
      <c r="BV52" s="165"/>
      <c r="BW52" s="173" t="str">
        <f>=IFERROR(ROUND([@[Einnahmen (LC)]]/$BU$7,2),0)</f>
      </c>
      <c r="BX52" s="167" t="str">
        <f>=ROUND(IFERROR([@[Einnahmen (LC)]]/[@[Einnahmen (EUR)]],0),6)</f>
      </c>
      <c r="CA52" s="163" t="s">
        <v>278</v>
      </c>
      <c r="CB52" s="164" t="s">
        <v>288</v>
      </c>
      <c r="CC52" s="165"/>
      <c r="CD52" s="173" t="str">
        <f>=IFERROR(ROUND([@[Einnahmen (LC)]]/$CB$7,2),0)</f>
      </c>
      <c r="CE52" s="167" t="str">
        <f>=ROUND(IFERROR([@[Einnahmen (LC)]]/[@[Einnahmen (EUR)]],0),6)</f>
      </c>
      <c r="CH52" s="163" t="s">
        <v>278</v>
      </c>
      <c r="CI52" s="164" t="s">
        <v>288</v>
      </c>
      <c r="CJ52" s="165"/>
      <c r="CK52" s="173" t="str">
        <f>=IFERROR(ROUND([@[Einnahmen (LC)]]/$CI$7,2),0)</f>
      </c>
      <c r="CL52" s="167" t="str">
        <f>=ROUND(IFERROR([@[Einnahmen (LC)]]/[@[Einnahmen (EUR)]],0),6)</f>
      </c>
      <c r="CO52" s="163" t="s">
        <v>278</v>
      </c>
      <c r="CP52" s="164" t="s">
        <v>288</v>
      </c>
      <c r="CQ52" s="165"/>
      <c r="CR52" s="173" t="str">
        <f>=IFERROR(ROUND([@[Einnahmen (LC)]]/$CP$7,2),0)</f>
      </c>
      <c r="CS52" s="167" t="str">
        <f>=ROUND(IFERROR([@[Einnahmen (LC)]]/[@[Einnahmen (EUR)]],0),6)</f>
      </c>
      <c r="CV52" s="163" t="s">
        <v>278</v>
      </c>
      <c r="CW52" s="164" t="s">
        <v>288</v>
      </c>
      <c r="CX52" s="165"/>
      <c r="CY52" s="173" t="str">
        <f>=IFERROR(ROUND([@[Einnahmen (LC)]]/$CW$7,2),0)</f>
      </c>
      <c r="CZ52" s="167" t="str">
        <f>=ROUND(IFERROR([@[Einnahmen (LC)]]/[@[Einnahmen (EUR)]],0),6)</f>
      </c>
      <c r="DC52" s="163" t="s">
        <v>278</v>
      </c>
      <c r="DD52" s="164" t="s">
        <v>288</v>
      </c>
      <c r="DE52" s="165"/>
      <c r="DF52" s="173" t="str">
        <f>=IFERROR(ROUND([@[Einnahmen (LC)]]/$DD$7,2),0)</f>
      </c>
      <c r="DG52" s="167" t="str">
        <f>=ROUND(IFERROR([@[Einnahmen (LC)]]/[@[Einnahmen (EUR)]],0),6)</f>
      </c>
      <c r="DJ52" s="163" t="s">
        <v>278</v>
      </c>
      <c r="DK52" s="164" t="s">
        <v>288</v>
      </c>
      <c r="DL52" s="165"/>
      <c r="DM52" s="173" t="str">
        <f>=IFERROR(ROUND([@[Einnahmen (LC)]]/$DK$7,2),0)</f>
      </c>
      <c r="DN52" s="167" t="str">
        <f>=ROUND(IFERROR([@[Einnahmen (LC)]]/[@[Einnahmen (EUR)]],0),6)</f>
      </c>
      <c r="DQ52" s="163" t="s">
        <v>278</v>
      </c>
      <c r="DR52" s="164" t="s">
        <v>288</v>
      </c>
      <c r="DS52" s="165"/>
      <c r="DT52" s="173" t="str">
        <f>=IFERROR(ROUND([@[Einnahmen (LC)]]/$DR$7,2),0)</f>
      </c>
      <c r="DU52" s="167" t="str">
        <f>=ROUND(IFERROR([@[Einnahmen (LC)]]/[@[Einnahmen (EUR)]],0),6)</f>
      </c>
    </row>
    <row r="53">
      <c r="B53" s="163" t="s">
        <v>158</v>
      </c>
      <c r="C53" s="164" t="s">
        <v>158</v>
      </c>
      <c r="D53" s="165"/>
      <c r="E53" s="173" t="str">
        <f>=IFERROR(ROUND([@[Einnahmen (LC)]]/$C$7,2),0)</f>
      </c>
      <c r="F53" s="167" t="str">
        <f>=ROUND(IFERROR([@[Einnahmen (LC)]]/[@[Einnahmen (EUR)]],0),6)</f>
      </c>
      <c r="I53" s="163" t="s">
        <v>158</v>
      </c>
      <c r="J53" s="164" t="s">
        <v>158</v>
      </c>
      <c r="K53" s="165"/>
      <c r="L53" s="173" t="str">
        <f>=IFERROR(ROUND([@[Einnahmen (LC)]]/$J$7,2),0)</f>
      </c>
      <c r="M53" s="167" t="str">
        <f>=ROUND(IFERROR([@[Einnahmen (LC)]]/[@[Einnahmen (EUR)]],0),6)</f>
      </c>
      <c r="P53" s="163" t="s">
        <v>158</v>
      </c>
      <c r="Q53" s="164" t="s">
        <v>158</v>
      </c>
      <c r="R53" s="165"/>
      <c r="S53" s="173" t="str">
        <f>=IFERROR(ROUND([@[Einnahmen (LC)]]/$Q$7,2),0)</f>
      </c>
      <c r="T53" s="167" t="str">
        <f>=ROUND(IFERROR([@[Einnahmen (LC)]]/[@[Einnahmen (EUR)]],0),6)</f>
      </c>
      <c r="W53" s="163" t="s">
        <v>158</v>
      </c>
      <c r="X53" s="164" t="s">
        <v>158</v>
      </c>
      <c r="Y53" s="165"/>
      <c r="Z53" s="173" t="str">
        <f>=IFERROR(ROUND([@[Einnahmen (LC)]]/$X$7,2),0)</f>
      </c>
      <c r="AA53" s="167" t="str">
        <f>=ROUND(IFERROR([@[Einnahmen (LC)]]/[@[Einnahmen (EUR)]],0),6)</f>
      </c>
      <c r="AD53" s="163" t="s">
        <v>158</v>
      </c>
      <c r="AE53" s="164" t="s">
        <v>158</v>
      </c>
      <c r="AF53" s="165"/>
      <c r="AG53" s="173" t="str">
        <f>=IFERROR(ROUND([@[Einnahmen (LC)]]/$AE$7,2),0)</f>
      </c>
      <c r="AH53" s="167" t="str">
        <f>=ROUND(IFERROR([@[Einnahmen (LC)]]/[@[Einnahmen (EUR)]],0),6)</f>
      </c>
      <c r="AK53" s="163" t="s">
        <v>158</v>
      </c>
      <c r="AL53" s="164" t="s">
        <v>158</v>
      </c>
      <c r="AM53" s="165"/>
      <c r="AN53" s="173" t="str">
        <f>=IFERROR(ROUND([@[Einnahmen (LC)]]/$AL$7,2),0)</f>
      </c>
      <c r="AO53" s="167" t="str">
        <f>=ROUND(IFERROR([@[Einnahmen (LC)]]/[@[Einnahmen (EUR)]],0),6)</f>
      </c>
      <c r="AR53" s="163" t="s">
        <v>158</v>
      </c>
      <c r="AS53" s="164" t="s">
        <v>158</v>
      </c>
      <c r="AT53" s="165"/>
      <c r="AU53" s="173" t="str">
        <f>=IFERROR(ROUND([@[Einnahmen (LC)]]/$AS$7,2),0)</f>
      </c>
      <c r="AV53" s="167" t="str">
        <f>=ROUND(IFERROR([@[Einnahmen (LC)]]/[@[Einnahmen (EUR)]],0),6)</f>
      </c>
      <c r="AY53" s="163" t="s">
        <v>158</v>
      </c>
      <c r="AZ53" s="164" t="s">
        <v>158</v>
      </c>
      <c r="BA53" s="165"/>
      <c r="BB53" s="173" t="str">
        <f>=IFERROR(ROUND([@[Einnahmen (LC)]]/$AZ$7,2),0)</f>
      </c>
      <c r="BC53" s="167" t="str">
        <f>=ROUND(IFERROR([@[Einnahmen (LC)]]/[@[Einnahmen (EUR)]],0),6)</f>
      </c>
      <c r="BF53" s="163" t="s">
        <v>158</v>
      </c>
      <c r="BG53" s="164" t="s">
        <v>158</v>
      </c>
      <c r="BH53" s="165"/>
      <c r="BI53" s="173" t="str">
        <f>=IFERROR(ROUND([@[Einnahmen (LC)]]/$BG$7,2),0)</f>
      </c>
      <c r="BJ53" s="167" t="str">
        <f>=ROUND(IFERROR([@[Einnahmen (LC)]]/[@[Einnahmen (EUR)]],0),6)</f>
      </c>
      <c r="BM53" s="163" t="s">
        <v>158</v>
      </c>
      <c r="BN53" s="164" t="s">
        <v>158</v>
      </c>
      <c r="BO53" s="165"/>
      <c r="BP53" s="173" t="str">
        <f>=IFERROR(ROUND([@[Einnahmen (LC)]]/$BN$7,2),0)</f>
      </c>
      <c r="BQ53" s="167" t="str">
        <f>=ROUND(IFERROR([@[Einnahmen (LC)]]/[@[Einnahmen (EUR)]],0),6)</f>
      </c>
      <c r="BT53" s="163" t="s">
        <v>158</v>
      </c>
      <c r="BU53" s="164" t="s">
        <v>158</v>
      </c>
      <c r="BV53" s="165"/>
      <c r="BW53" s="173" t="str">
        <f>=IFERROR(ROUND([@[Einnahmen (LC)]]/$BU$7,2),0)</f>
      </c>
      <c r="BX53" s="167" t="str">
        <f>=ROUND(IFERROR([@[Einnahmen (LC)]]/[@[Einnahmen (EUR)]],0),6)</f>
      </c>
      <c r="CA53" s="163" t="s">
        <v>158</v>
      </c>
      <c r="CB53" s="164" t="s">
        <v>158</v>
      </c>
      <c r="CC53" s="165"/>
      <c r="CD53" s="173" t="str">
        <f>=IFERROR(ROUND([@[Einnahmen (LC)]]/$CB$7,2),0)</f>
      </c>
      <c r="CE53" s="167" t="str">
        <f>=ROUND(IFERROR([@[Einnahmen (LC)]]/[@[Einnahmen (EUR)]],0),6)</f>
      </c>
      <c r="CH53" s="163" t="s">
        <v>158</v>
      </c>
      <c r="CI53" s="164" t="s">
        <v>158</v>
      </c>
      <c r="CJ53" s="165"/>
      <c r="CK53" s="173" t="str">
        <f>=IFERROR(ROUND([@[Einnahmen (LC)]]/$CI$7,2),0)</f>
      </c>
      <c r="CL53" s="167" t="str">
        <f>=ROUND(IFERROR([@[Einnahmen (LC)]]/[@[Einnahmen (EUR)]],0),6)</f>
      </c>
      <c r="CO53" s="163" t="s">
        <v>158</v>
      </c>
      <c r="CP53" s="164" t="s">
        <v>158</v>
      </c>
      <c r="CQ53" s="165"/>
      <c r="CR53" s="173" t="str">
        <f>=IFERROR(ROUND([@[Einnahmen (LC)]]/$CP$7,2),0)</f>
      </c>
      <c r="CS53" s="167" t="str">
        <f>=ROUND(IFERROR([@[Einnahmen (LC)]]/[@[Einnahmen (EUR)]],0),6)</f>
      </c>
      <c r="CV53" s="163" t="s">
        <v>158</v>
      </c>
      <c r="CW53" s="164" t="s">
        <v>158</v>
      </c>
      <c r="CX53" s="165"/>
      <c r="CY53" s="173" t="str">
        <f>=IFERROR(ROUND([@[Einnahmen (LC)]]/$CW$7,2),0)</f>
      </c>
      <c r="CZ53" s="167" t="str">
        <f>=ROUND(IFERROR([@[Einnahmen (LC)]]/[@[Einnahmen (EUR)]],0),6)</f>
      </c>
      <c r="DC53" s="163" t="s">
        <v>158</v>
      </c>
      <c r="DD53" s="164" t="s">
        <v>158</v>
      </c>
      <c r="DE53" s="165"/>
      <c r="DF53" s="173" t="str">
        <f>=IFERROR(ROUND([@[Einnahmen (LC)]]/$DD$7,2),0)</f>
      </c>
      <c r="DG53" s="167" t="str">
        <f>=ROUND(IFERROR([@[Einnahmen (LC)]]/[@[Einnahmen (EUR)]],0),6)</f>
      </c>
      <c r="DJ53" s="163" t="s">
        <v>158</v>
      </c>
      <c r="DK53" s="164" t="s">
        <v>158</v>
      </c>
      <c r="DL53" s="165"/>
      <c r="DM53" s="173" t="str">
        <f>=IFERROR(ROUND([@[Einnahmen (LC)]]/$DK$7,2),0)</f>
      </c>
      <c r="DN53" s="167" t="str">
        <f>=ROUND(IFERROR([@[Einnahmen (LC)]]/[@[Einnahmen (EUR)]],0),6)</f>
      </c>
      <c r="DQ53" s="163" t="s">
        <v>158</v>
      </c>
      <c r="DR53" s="164" t="s">
        <v>158</v>
      </c>
      <c r="DS53" s="165"/>
      <c r="DT53" s="173" t="str">
        <f>=IFERROR(ROUND([@[Einnahmen (LC)]]/$DR$7,2),0)</f>
      </c>
      <c r="DU53" s="167" t="str">
        <f>=ROUND(IFERROR([@[Einnahmen (LC)]]/[@[Einnahmen (EUR)]],0),6)</f>
      </c>
    </row>
    <row r="54">
      <c r="B54" s="163" t="s">
        <v>158</v>
      </c>
      <c r="C54" s="164" t="s">
        <v>158</v>
      </c>
      <c r="D54" s="165"/>
      <c r="E54" s="173" t="str">
        <f>=IFERROR(ROUND([@[Einnahmen (LC)]]/$C$7,2),0)</f>
      </c>
      <c r="F54" s="167" t="str">
        <f>=ROUND(IFERROR([@[Einnahmen (LC)]]/[@[Einnahmen (EUR)]],0),6)</f>
      </c>
      <c r="I54" s="163" t="s">
        <v>158</v>
      </c>
      <c r="J54" s="164" t="s">
        <v>158</v>
      </c>
      <c r="K54" s="165"/>
      <c r="L54" s="173" t="str">
        <f>=IFERROR(ROUND([@[Einnahmen (LC)]]/$J$7,2),0)</f>
      </c>
      <c r="M54" s="167" t="str">
        <f>=ROUND(IFERROR([@[Einnahmen (LC)]]/[@[Einnahmen (EUR)]],0),6)</f>
      </c>
      <c r="P54" s="163" t="s">
        <v>158</v>
      </c>
      <c r="Q54" s="164" t="s">
        <v>158</v>
      </c>
      <c r="R54" s="165"/>
      <c r="S54" s="173" t="str">
        <f>=IFERROR(ROUND([@[Einnahmen (LC)]]/$Q$7,2),0)</f>
      </c>
      <c r="T54" s="167" t="str">
        <f>=ROUND(IFERROR([@[Einnahmen (LC)]]/[@[Einnahmen (EUR)]],0),6)</f>
      </c>
      <c r="W54" s="163" t="s">
        <v>158</v>
      </c>
      <c r="X54" s="164" t="s">
        <v>158</v>
      </c>
      <c r="Y54" s="165"/>
      <c r="Z54" s="173" t="str">
        <f>=IFERROR(ROUND([@[Einnahmen (LC)]]/$X$7,2),0)</f>
      </c>
      <c r="AA54" s="167" t="str">
        <f>=ROUND(IFERROR([@[Einnahmen (LC)]]/[@[Einnahmen (EUR)]],0),6)</f>
      </c>
      <c r="AD54" s="163" t="s">
        <v>158</v>
      </c>
      <c r="AE54" s="164" t="s">
        <v>158</v>
      </c>
      <c r="AF54" s="165"/>
      <c r="AG54" s="173" t="str">
        <f>=IFERROR(ROUND([@[Einnahmen (LC)]]/$AE$7,2),0)</f>
      </c>
      <c r="AH54" s="167" t="str">
        <f>=ROUND(IFERROR([@[Einnahmen (LC)]]/[@[Einnahmen (EUR)]],0),6)</f>
      </c>
      <c r="AK54" s="163" t="s">
        <v>158</v>
      </c>
      <c r="AL54" s="164" t="s">
        <v>158</v>
      </c>
      <c r="AM54" s="165"/>
      <c r="AN54" s="173" t="str">
        <f>=IFERROR(ROUND([@[Einnahmen (LC)]]/$AL$7,2),0)</f>
      </c>
      <c r="AO54" s="167" t="str">
        <f>=ROUND(IFERROR([@[Einnahmen (LC)]]/[@[Einnahmen (EUR)]],0),6)</f>
      </c>
      <c r="AR54" s="163" t="s">
        <v>158</v>
      </c>
      <c r="AS54" s="164" t="s">
        <v>158</v>
      </c>
      <c r="AT54" s="165"/>
      <c r="AU54" s="173" t="str">
        <f>=IFERROR(ROUND([@[Einnahmen (LC)]]/$AS$7,2),0)</f>
      </c>
      <c r="AV54" s="167" t="str">
        <f>=ROUND(IFERROR([@[Einnahmen (LC)]]/[@[Einnahmen (EUR)]],0),6)</f>
      </c>
      <c r="AY54" s="163" t="s">
        <v>158</v>
      </c>
      <c r="AZ54" s="164" t="s">
        <v>158</v>
      </c>
      <c r="BA54" s="165"/>
      <c r="BB54" s="173" t="str">
        <f>=IFERROR(ROUND([@[Einnahmen (LC)]]/$AZ$7,2),0)</f>
      </c>
      <c r="BC54" s="167" t="str">
        <f>=ROUND(IFERROR([@[Einnahmen (LC)]]/[@[Einnahmen (EUR)]],0),6)</f>
      </c>
      <c r="BF54" s="163" t="s">
        <v>158</v>
      </c>
      <c r="BG54" s="164" t="s">
        <v>158</v>
      </c>
      <c r="BH54" s="165"/>
      <c r="BI54" s="173" t="str">
        <f>=IFERROR(ROUND([@[Einnahmen (LC)]]/$BG$7,2),0)</f>
      </c>
      <c r="BJ54" s="167" t="str">
        <f>=ROUND(IFERROR([@[Einnahmen (LC)]]/[@[Einnahmen (EUR)]],0),6)</f>
      </c>
      <c r="BM54" s="163" t="s">
        <v>158</v>
      </c>
      <c r="BN54" s="164" t="s">
        <v>158</v>
      </c>
      <c r="BO54" s="165"/>
      <c r="BP54" s="173" t="str">
        <f>=IFERROR(ROUND([@[Einnahmen (LC)]]/$BN$7,2),0)</f>
      </c>
      <c r="BQ54" s="167" t="str">
        <f>=ROUND(IFERROR([@[Einnahmen (LC)]]/[@[Einnahmen (EUR)]],0),6)</f>
      </c>
      <c r="BT54" s="163" t="s">
        <v>158</v>
      </c>
      <c r="BU54" s="164" t="s">
        <v>158</v>
      </c>
      <c r="BV54" s="165"/>
      <c r="BW54" s="173" t="str">
        <f>=IFERROR(ROUND([@[Einnahmen (LC)]]/$BU$7,2),0)</f>
      </c>
      <c r="BX54" s="167" t="str">
        <f>=ROUND(IFERROR([@[Einnahmen (LC)]]/[@[Einnahmen (EUR)]],0),6)</f>
      </c>
      <c r="CA54" s="163" t="s">
        <v>158</v>
      </c>
      <c r="CB54" s="164" t="s">
        <v>158</v>
      </c>
      <c r="CC54" s="165"/>
      <c r="CD54" s="173" t="str">
        <f>=IFERROR(ROUND([@[Einnahmen (LC)]]/$CB$7,2),0)</f>
      </c>
      <c r="CE54" s="167" t="str">
        <f>=ROUND(IFERROR([@[Einnahmen (LC)]]/[@[Einnahmen (EUR)]],0),6)</f>
      </c>
      <c r="CH54" s="163" t="s">
        <v>158</v>
      </c>
      <c r="CI54" s="164" t="s">
        <v>158</v>
      </c>
      <c r="CJ54" s="165"/>
      <c r="CK54" s="173" t="str">
        <f>=IFERROR(ROUND([@[Einnahmen (LC)]]/$CI$7,2),0)</f>
      </c>
      <c r="CL54" s="167" t="str">
        <f>=ROUND(IFERROR([@[Einnahmen (LC)]]/[@[Einnahmen (EUR)]],0),6)</f>
      </c>
      <c r="CO54" s="163" t="s">
        <v>158</v>
      </c>
      <c r="CP54" s="164" t="s">
        <v>158</v>
      </c>
      <c r="CQ54" s="165"/>
      <c r="CR54" s="173" t="str">
        <f>=IFERROR(ROUND([@[Einnahmen (LC)]]/$CP$7,2),0)</f>
      </c>
      <c r="CS54" s="167" t="str">
        <f>=ROUND(IFERROR([@[Einnahmen (LC)]]/[@[Einnahmen (EUR)]],0),6)</f>
      </c>
      <c r="CV54" s="163" t="s">
        <v>158</v>
      </c>
      <c r="CW54" s="164" t="s">
        <v>158</v>
      </c>
      <c r="CX54" s="165"/>
      <c r="CY54" s="173" t="str">
        <f>=IFERROR(ROUND([@[Einnahmen (LC)]]/$CW$7,2),0)</f>
      </c>
      <c r="CZ54" s="167" t="str">
        <f>=ROUND(IFERROR([@[Einnahmen (LC)]]/[@[Einnahmen (EUR)]],0),6)</f>
      </c>
      <c r="DC54" s="163" t="s">
        <v>158</v>
      </c>
      <c r="DD54" s="164" t="s">
        <v>158</v>
      </c>
      <c r="DE54" s="165"/>
      <c r="DF54" s="173" t="str">
        <f>=IFERROR(ROUND([@[Einnahmen (LC)]]/$DD$7,2),0)</f>
      </c>
      <c r="DG54" s="167" t="str">
        <f>=ROUND(IFERROR([@[Einnahmen (LC)]]/[@[Einnahmen (EUR)]],0),6)</f>
      </c>
      <c r="DJ54" s="163" t="s">
        <v>158</v>
      </c>
      <c r="DK54" s="164" t="s">
        <v>158</v>
      </c>
      <c r="DL54" s="165"/>
      <c r="DM54" s="173" t="str">
        <f>=IFERROR(ROUND([@[Einnahmen (LC)]]/$DK$7,2),0)</f>
      </c>
      <c r="DN54" s="167" t="str">
        <f>=ROUND(IFERROR([@[Einnahmen (LC)]]/[@[Einnahmen (EUR)]],0),6)</f>
      </c>
      <c r="DQ54" s="163" t="s">
        <v>158</v>
      </c>
      <c r="DR54" s="164" t="s">
        <v>158</v>
      </c>
      <c r="DS54" s="165"/>
      <c r="DT54" s="173" t="str">
        <f>=IFERROR(ROUND([@[Einnahmen (LC)]]/$DR$7,2),0)</f>
      </c>
      <c r="DU54" s="167" t="str">
        <f>=ROUND(IFERROR([@[Einnahmen (LC)]]/[@[Einnahmen (EUR)]],0),6)</f>
      </c>
    </row>
    <row r="55">
      <c r="B55" s="163" t="s">
        <v>158</v>
      </c>
      <c r="C55" s="164" t="s">
        <v>158</v>
      </c>
      <c r="D55" s="165"/>
      <c r="E55" s="173" t="str">
        <f>=IFERROR(ROUND([@[Einnahmen (LC)]]/$C$7,2),0)</f>
      </c>
      <c r="F55" s="167" t="str">
        <f>=ROUND(IFERROR([@[Einnahmen (LC)]]/[@[Einnahmen (EUR)]],0),6)</f>
      </c>
      <c r="I55" s="163" t="s">
        <v>158</v>
      </c>
      <c r="J55" s="164" t="s">
        <v>158</v>
      </c>
      <c r="K55" s="165"/>
      <c r="L55" s="173" t="str">
        <f>=IFERROR(ROUND([@[Einnahmen (LC)]]/$J$7,2),0)</f>
      </c>
      <c r="M55" s="167" t="str">
        <f>=ROUND(IFERROR([@[Einnahmen (LC)]]/[@[Einnahmen (EUR)]],0),6)</f>
      </c>
      <c r="P55" s="163" t="s">
        <v>158</v>
      </c>
      <c r="Q55" s="164" t="s">
        <v>158</v>
      </c>
      <c r="R55" s="165"/>
      <c r="S55" s="173" t="str">
        <f>=IFERROR(ROUND([@[Einnahmen (LC)]]/$Q$7,2),0)</f>
      </c>
      <c r="T55" s="167" t="str">
        <f>=ROUND(IFERROR([@[Einnahmen (LC)]]/[@[Einnahmen (EUR)]],0),6)</f>
      </c>
      <c r="W55" s="163" t="s">
        <v>158</v>
      </c>
      <c r="X55" s="164" t="s">
        <v>158</v>
      </c>
      <c r="Y55" s="165"/>
      <c r="Z55" s="173" t="str">
        <f>=IFERROR(ROUND([@[Einnahmen (LC)]]/$X$7,2),0)</f>
      </c>
      <c r="AA55" s="167" t="str">
        <f>=ROUND(IFERROR([@[Einnahmen (LC)]]/[@[Einnahmen (EUR)]],0),6)</f>
      </c>
      <c r="AD55" s="163" t="s">
        <v>158</v>
      </c>
      <c r="AE55" s="164" t="s">
        <v>158</v>
      </c>
      <c r="AF55" s="165"/>
      <c r="AG55" s="173" t="str">
        <f>=IFERROR(ROUND([@[Einnahmen (LC)]]/$AE$7,2),0)</f>
      </c>
      <c r="AH55" s="167" t="str">
        <f>=ROUND(IFERROR([@[Einnahmen (LC)]]/[@[Einnahmen (EUR)]],0),6)</f>
      </c>
      <c r="AK55" s="163" t="s">
        <v>158</v>
      </c>
      <c r="AL55" s="164" t="s">
        <v>158</v>
      </c>
      <c r="AM55" s="165"/>
      <c r="AN55" s="173" t="str">
        <f>=IFERROR(ROUND([@[Einnahmen (LC)]]/$AL$7,2),0)</f>
      </c>
      <c r="AO55" s="167" t="str">
        <f>=ROUND(IFERROR([@[Einnahmen (LC)]]/[@[Einnahmen (EUR)]],0),6)</f>
      </c>
      <c r="AR55" s="163" t="s">
        <v>158</v>
      </c>
      <c r="AS55" s="164" t="s">
        <v>158</v>
      </c>
      <c r="AT55" s="165"/>
      <c r="AU55" s="173" t="str">
        <f>=IFERROR(ROUND([@[Einnahmen (LC)]]/$AS$7,2),0)</f>
      </c>
      <c r="AV55" s="167" t="str">
        <f>=ROUND(IFERROR([@[Einnahmen (LC)]]/[@[Einnahmen (EUR)]],0),6)</f>
      </c>
      <c r="AY55" s="163" t="s">
        <v>158</v>
      </c>
      <c r="AZ55" s="164" t="s">
        <v>158</v>
      </c>
      <c r="BA55" s="165"/>
      <c r="BB55" s="173" t="str">
        <f>=IFERROR(ROUND([@[Einnahmen (LC)]]/$AZ$7,2),0)</f>
      </c>
      <c r="BC55" s="167" t="str">
        <f>=ROUND(IFERROR([@[Einnahmen (LC)]]/[@[Einnahmen (EUR)]],0),6)</f>
      </c>
      <c r="BF55" s="163" t="s">
        <v>158</v>
      </c>
      <c r="BG55" s="164" t="s">
        <v>158</v>
      </c>
      <c r="BH55" s="165"/>
      <c r="BI55" s="173" t="str">
        <f>=IFERROR(ROUND([@[Einnahmen (LC)]]/$BG$7,2),0)</f>
      </c>
      <c r="BJ55" s="167" t="str">
        <f>=ROUND(IFERROR([@[Einnahmen (LC)]]/[@[Einnahmen (EUR)]],0),6)</f>
      </c>
      <c r="BM55" s="163" t="s">
        <v>158</v>
      </c>
      <c r="BN55" s="164" t="s">
        <v>158</v>
      </c>
      <c r="BO55" s="165"/>
      <c r="BP55" s="173" t="str">
        <f>=IFERROR(ROUND([@[Einnahmen (LC)]]/$BN$7,2),0)</f>
      </c>
      <c r="BQ55" s="167" t="str">
        <f>=ROUND(IFERROR([@[Einnahmen (LC)]]/[@[Einnahmen (EUR)]],0),6)</f>
      </c>
      <c r="BT55" s="163" t="s">
        <v>158</v>
      </c>
      <c r="BU55" s="164" t="s">
        <v>158</v>
      </c>
      <c r="BV55" s="165"/>
      <c r="BW55" s="173" t="str">
        <f>=IFERROR(ROUND([@[Einnahmen (LC)]]/$BU$7,2),0)</f>
      </c>
      <c r="BX55" s="167" t="str">
        <f>=ROUND(IFERROR([@[Einnahmen (LC)]]/[@[Einnahmen (EUR)]],0),6)</f>
      </c>
      <c r="CA55" s="163" t="s">
        <v>158</v>
      </c>
      <c r="CB55" s="164" t="s">
        <v>158</v>
      </c>
      <c r="CC55" s="165"/>
      <c r="CD55" s="173" t="str">
        <f>=IFERROR(ROUND([@[Einnahmen (LC)]]/$CB$7,2),0)</f>
      </c>
      <c r="CE55" s="167" t="str">
        <f>=ROUND(IFERROR([@[Einnahmen (LC)]]/[@[Einnahmen (EUR)]],0),6)</f>
      </c>
      <c r="CH55" s="163" t="s">
        <v>158</v>
      </c>
      <c r="CI55" s="164" t="s">
        <v>158</v>
      </c>
      <c r="CJ55" s="165"/>
      <c r="CK55" s="173" t="str">
        <f>=IFERROR(ROUND([@[Einnahmen (LC)]]/$CI$7,2),0)</f>
      </c>
      <c r="CL55" s="167" t="str">
        <f>=ROUND(IFERROR([@[Einnahmen (LC)]]/[@[Einnahmen (EUR)]],0),6)</f>
      </c>
      <c r="CO55" s="163" t="s">
        <v>158</v>
      </c>
      <c r="CP55" s="164" t="s">
        <v>158</v>
      </c>
      <c r="CQ55" s="165"/>
      <c r="CR55" s="173" t="str">
        <f>=IFERROR(ROUND([@[Einnahmen (LC)]]/$CP$7,2),0)</f>
      </c>
      <c r="CS55" s="167" t="str">
        <f>=ROUND(IFERROR([@[Einnahmen (LC)]]/[@[Einnahmen (EUR)]],0),6)</f>
      </c>
      <c r="CV55" s="163" t="s">
        <v>158</v>
      </c>
      <c r="CW55" s="164" t="s">
        <v>158</v>
      </c>
      <c r="CX55" s="165"/>
      <c r="CY55" s="173" t="str">
        <f>=IFERROR(ROUND([@[Einnahmen (LC)]]/$CW$7,2),0)</f>
      </c>
      <c r="CZ55" s="167" t="str">
        <f>=ROUND(IFERROR([@[Einnahmen (LC)]]/[@[Einnahmen (EUR)]],0),6)</f>
      </c>
      <c r="DC55" s="163" t="s">
        <v>158</v>
      </c>
      <c r="DD55" s="164" t="s">
        <v>158</v>
      </c>
      <c r="DE55" s="165"/>
      <c r="DF55" s="173" t="str">
        <f>=IFERROR(ROUND([@[Einnahmen (LC)]]/$DD$7,2),0)</f>
      </c>
      <c r="DG55" s="167" t="str">
        <f>=ROUND(IFERROR([@[Einnahmen (LC)]]/[@[Einnahmen (EUR)]],0),6)</f>
      </c>
      <c r="DJ55" s="163" t="s">
        <v>158</v>
      </c>
      <c r="DK55" s="164" t="s">
        <v>158</v>
      </c>
      <c r="DL55" s="165"/>
      <c r="DM55" s="173" t="str">
        <f>=IFERROR(ROUND([@[Einnahmen (LC)]]/$DK$7,2),0)</f>
      </c>
      <c r="DN55" s="167" t="str">
        <f>=ROUND(IFERROR([@[Einnahmen (LC)]]/[@[Einnahmen (EUR)]],0),6)</f>
      </c>
      <c r="DQ55" s="163" t="s">
        <v>158</v>
      </c>
      <c r="DR55" s="164" t="s">
        <v>158</v>
      </c>
      <c r="DS55" s="165"/>
      <c r="DT55" s="173" t="str">
        <f>=IFERROR(ROUND([@[Einnahmen (LC)]]/$DR$7,2),0)</f>
      </c>
      <c r="DU55" s="167" t="str">
        <f>=ROUND(IFERROR([@[Einnahmen (LC)]]/[@[Einnahmen (EUR)]],0),6)</f>
      </c>
    </row>
    <row r="56">
      <c r="B56" s="168" t="s">
        <v>301</v>
      </c>
      <c r="C56" s="169" t="s">
        <v>269</v>
      </c>
      <c r="D56" s="170" t="str">
        <f>=ROUND(SUBTOTAL(109,Einnahmen_WK_1[Einnahmen (LC)]),2)</f>
      </c>
      <c r="E56" s="171" t="str">
        <f>=ROUND(SUBTOTAL(109,Einnahmen_WK_1[Einnahmen (EUR)]),2)</f>
      </c>
      <c r="F56" s="172" t="str">
        <f>=ROUND(IFERROR(D56/E56,0),6)</f>
      </c>
      <c r="I56" s="168" t="s">
        <v>301</v>
      </c>
      <c r="J56" s="169" t="s">
        <v>269</v>
      </c>
      <c r="K56" s="170" t="str">
        <f>=ROUND(SUBTOTAL(109,Einnahmen_WK_2[Einnahmen (LC)]),2)</f>
      </c>
      <c r="L56" s="171" t="str">
        <f>=ROUND(SUBTOTAL(109,Einnahmen_WK_2[Einnahmen (EUR)]),2)</f>
      </c>
      <c r="M56" s="172" t="str">
        <f>=ROUND(IFERROR(K56/L56,0),6)</f>
      </c>
      <c r="P56" s="168" t="s">
        <v>301</v>
      </c>
      <c r="Q56" s="169" t="s">
        <v>269</v>
      </c>
      <c r="R56" s="170" t="str">
        <f>=ROUND(SUBTOTAL(109,Einnahmen_WK_3[Einnahmen (LC)]),2)</f>
      </c>
      <c r="S56" s="171" t="str">
        <f>=ROUND(SUBTOTAL(109,Einnahmen_WK_3[Einnahmen (EUR)]),2)</f>
      </c>
      <c r="T56" s="172" t="str">
        <f>=ROUND(IFERROR(R56/S56,0),6)</f>
      </c>
      <c r="W56" s="168" t="s">
        <v>301</v>
      </c>
      <c r="X56" s="169" t="s">
        <v>269</v>
      </c>
      <c r="Y56" s="170" t="str">
        <f>=ROUND(SUBTOTAL(109,Einnahmen_WK_4[Einnahmen (LC)]),2)</f>
      </c>
      <c r="Z56" s="171" t="str">
        <f>=ROUND(SUBTOTAL(109,Einnahmen_WK_4[Einnahmen (EUR)]),2)</f>
      </c>
      <c r="AA56" s="172" t="str">
        <f>=ROUND(IFERROR(Y56/Z56,0),6)</f>
      </c>
      <c r="AD56" s="168" t="s">
        <v>301</v>
      </c>
      <c r="AE56" s="169" t="s">
        <v>269</v>
      </c>
      <c r="AF56" s="170" t="str">
        <f>=ROUND(SUBTOTAL(109,Einnahmen_WK_5[Einnahmen (LC)]),2)</f>
      </c>
      <c r="AG56" s="171" t="str">
        <f>=ROUND(SUBTOTAL(109,Einnahmen_WK_5[Einnahmen (EUR)]),2)</f>
      </c>
      <c r="AH56" s="172" t="str">
        <f>=ROUND(IFERROR(AF56/AG56,0),6)</f>
      </c>
      <c r="AK56" s="168" t="s">
        <v>301</v>
      </c>
      <c r="AL56" s="169" t="s">
        <v>269</v>
      </c>
      <c r="AM56" s="170" t="str">
        <f>=ROUND(SUBTOTAL(109,Einnahmen_WK_6[Einnahmen (LC)]),2)</f>
      </c>
      <c r="AN56" s="171" t="str">
        <f>=ROUND(SUBTOTAL(109,Einnahmen_WK_6[Einnahmen (EUR)]),2)</f>
      </c>
      <c r="AO56" s="172" t="str">
        <f>=ROUND(IFERROR(AM56/AN56,0),6)</f>
      </c>
      <c r="AR56" s="168" t="s">
        <v>301</v>
      </c>
      <c r="AS56" s="169" t="s">
        <v>269</v>
      </c>
      <c r="AT56" s="170" t="str">
        <f>=ROUND(SUBTOTAL(109,Einnahmen_WK_7[Einnahmen (LC)]),2)</f>
      </c>
      <c r="AU56" s="171" t="str">
        <f>=ROUND(SUBTOTAL(109,Einnahmen_WK_7[Einnahmen (EUR)]),2)</f>
      </c>
      <c r="AV56" s="172" t="str">
        <f>=ROUND(IFERROR(AT56/AU56,0),6)</f>
      </c>
      <c r="AY56" s="168" t="s">
        <v>301</v>
      </c>
      <c r="AZ56" s="169" t="s">
        <v>269</v>
      </c>
      <c r="BA56" s="170" t="str">
        <f>=ROUND(SUBTOTAL(109,Einnahmen_WK_8[Einnahmen (LC)]),2)</f>
      </c>
      <c r="BB56" s="171" t="str">
        <f>=ROUND(SUBTOTAL(109,Einnahmen_WK_8[Einnahmen (EUR)]),2)</f>
      </c>
      <c r="BC56" s="172" t="str">
        <f>=ROUND(IFERROR(BA56/BB56,0),6)</f>
      </c>
      <c r="BF56" s="168" t="s">
        <v>301</v>
      </c>
      <c r="BG56" s="169" t="s">
        <v>269</v>
      </c>
      <c r="BH56" s="170" t="str">
        <f>=ROUND(SUBTOTAL(109,Einnahmen_WK_9[Einnahmen (LC)]),2)</f>
      </c>
      <c r="BI56" s="171" t="str">
        <f>=ROUND(SUBTOTAL(109,Einnahmen_WK_9[Einnahmen (EUR)]),2)</f>
      </c>
      <c r="BJ56" s="172" t="str">
        <f>=ROUND(IFERROR(BH56/BI56,0),6)</f>
      </c>
      <c r="BM56" s="168" t="s">
        <v>301</v>
      </c>
      <c r="BN56" s="169" t="s">
        <v>269</v>
      </c>
      <c r="BO56" s="170" t="str">
        <f>=ROUND(SUBTOTAL(109,Einnahmen_WK_10[Einnahmen (LC)]),2)</f>
      </c>
      <c r="BP56" s="171" t="str">
        <f>=ROUND(SUBTOTAL(109,Einnahmen_WK_10[Einnahmen (EUR)]),2)</f>
      </c>
      <c r="BQ56" s="172" t="str">
        <f>=ROUND(IFERROR(BO56/BP56,0),6)</f>
      </c>
      <c r="BT56" s="168" t="s">
        <v>301</v>
      </c>
      <c r="BU56" s="169" t="s">
        <v>269</v>
      </c>
      <c r="BV56" s="170" t="str">
        <f>=ROUND(SUBTOTAL(109,Einnahmen_WK_11[Einnahmen (LC)]),2)</f>
      </c>
      <c r="BW56" s="171" t="str">
        <f>=ROUND(SUBTOTAL(109,Einnahmen_WK_11[Einnahmen (EUR)]),2)</f>
      </c>
      <c r="BX56" s="172" t="str">
        <f>=ROUND(IFERROR(BV56/BW56,0),6)</f>
      </c>
      <c r="CA56" s="168" t="s">
        <v>301</v>
      </c>
      <c r="CB56" s="169" t="s">
        <v>269</v>
      </c>
      <c r="CC56" s="170" t="str">
        <f>=ROUND(SUBTOTAL(109,Einnahmen_WK_12[Einnahmen (LC)]),2)</f>
      </c>
      <c r="CD56" s="171" t="str">
        <f>=ROUND(SUBTOTAL(109,Einnahmen_WK_12[Einnahmen (EUR)]),2)</f>
      </c>
      <c r="CE56" s="172" t="str">
        <f>=ROUND(IFERROR(CC56/CD56,0),6)</f>
      </c>
      <c r="CH56" s="168" t="s">
        <v>301</v>
      </c>
      <c r="CI56" s="169" t="s">
        <v>269</v>
      </c>
      <c r="CJ56" s="170" t="str">
        <f>=ROUND(SUBTOTAL(109,Einnahmen_WK_13[Einnahmen (LC)]),2)</f>
      </c>
      <c r="CK56" s="171" t="str">
        <f>=ROUND(SUBTOTAL(109,Einnahmen_WK_13[Einnahmen (EUR)]),2)</f>
      </c>
      <c r="CL56" s="172" t="str">
        <f>=ROUND(IFERROR(CJ56/CK56,0),6)</f>
      </c>
      <c r="CO56" s="168" t="s">
        <v>301</v>
      </c>
      <c r="CP56" s="169" t="s">
        <v>269</v>
      </c>
      <c r="CQ56" s="170" t="str">
        <f>=ROUND(SUBTOTAL(109,Einnahmen_WK_14[Einnahmen (LC)]),2)</f>
      </c>
      <c r="CR56" s="171" t="str">
        <f>=ROUND(SUBTOTAL(109,Einnahmen_WK_14[Einnahmen (EUR)]),2)</f>
      </c>
      <c r="CS56" s="172" t="str">
        <f>=ROUND(IFERROR(CQ56/CR56,0),6)</f>
      </c>
      <c r="CV56" s="168" t="s">
        <v>301</v>
      </c>
      <c r="CW56" s="169" t="s">
        <v>269</v>
      </c>
      <c r="CX56" s="170" t="str">
        <f>=ROUND(SUBTOTAL(109,Einnahmen_WK_15[Einnahmen (LC)]),2)</f>
      </c>
      <c r="CY56" s="171" t="str">
        <f>=ROUND(SUBTOTAL(109,Einnahmen_WK_15[Einnahmen (EUR)]),2)</f>
      </c>
      <c r="CZ56" s="172" t="str">
        <f>=ROUND(IFERROR(CX56/CY56,0),6)</f>
      </c>
      <c r="DC56" s="168" t="s">
        <v>301</v>
      </c>
      <c r="DD56" s="169" t="s">
        <v>269</v>
      </c>
      <c r="DE56" s="170" t="str">
        <f>=ROUND(SUBTOTAL(109,Einnahmen_WK_16[Einnahmen (LC)]),2)</f>
      </c>
      <c r="DF56" s="171" t="str">
        <f>=ROUND(SUBTOTAL(109,Einnahmen_WK_16[Einnahmen (EUR)]),2)</f>
      </c>
      <c r="DG56" s="172" t="str">
        <f>=ROUND(IFERROR(DE56/DF56,0),6)</f>
      </c>
      <c r="DJ56" s="168" t="s">
        <v>301</v>
      </c>
      <c r="DK56" s="169" t="s">
        <v>269</v>
      </c>
      <c r="DL56" s="170" t="str">
        <f>=ROUND(SUBTOTAL(109,Einnahmen_WK_17[Einnahmen (LC)]),2)</f>
      </c>
      <c r="DM56" s="171" t="str">
        <f>=ROUND(SUBTOTAL(109,Einnahmen_WK_17[Einnahmen (EUR)]),2)</f>
      </c>
      <c r="DN56" s="172" t="str">
        <f>=ROUND(IFERROR(DL56/DM56,0),6)</f>
      </c>
      <c r="DQ56" s="168" t="s">
        <v>301</v>
      </c>
      <c r="DR56" s="169" t="s">
        <v>269</v>
      </c>
      <c r="DS56" s="170" t="str">
        <f>=ROUND(SUBTOTAL(109,Einnahmen_WK_18[Einnahmen (LC)]),2)</f>
      </c>
      <c r="DT56" s="171" t="str">
        <f>=ROUND(SUBTOTAL(109,Einnahmen_WK_18[Einnahmen (EUR)]),2)</f>
      </c>
      <c r="DU56" s="172"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