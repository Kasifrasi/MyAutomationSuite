
<file path=[Content_Types].xml><?xml version="1.0" encoding="utf-8"?>
<Types xmlns="http://schemas.openxmlformats.org/package/2006/content-types">
  <Default Extension="rels" ContentType="application/vnd.openxmlformats-package.relationships+xml"/>
  <Default Extension="xml" ContentType="application/xml"/>
  <Default Extension="bin" ContentType="application/vnd.ms-office.vbaProject"/>
  <Override PartName="/xl/theme/theme1.xml" ContentType="application/vnd.openxmlformats-officedocument.theme+xml"/>
  <Override PartName="/xl/styles.xml" ContentType="application/vnd.openxmlformats-officedocument.spreadsheetml.styles+xml"/>
  <Override PartName="/xl/workbook.xml" ContentType="application/vnd.openxmlformats-officedocument.spreadsheetml.sheet.main+xml"/>
  <Override PartName="/docProps/app.xml" ContentType="application/vnd.openxmlformats-officedocument.extended-properties+xml"/>
  <Override PartName="/docProps/core.xml" ContentType="application/vnd.openxmlformats-package.core-properties+xml"/>
  <Override PartName="/xl/worksheets/sheet2.xml" ContentType="application/vnd.openxmlformats-officedocument.spreadsheetml.worksheet+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Types>
</file>

<file path=_rels/.rels><?xml version="1.0" encoding="UTF-8"?>
<Relationships xmlns="http://schemas.openxmlformats.org/package/2006/relationships"><Relationship Id="rId3" Target="docProps/app.xml" Type="http://schemas.openxmlformats.org/officeDocument/2006/relationships/extended-properties"></Relationship><Relationship Id="rId2" Target="docProps/core.xml" Type="http://schemas.openxmlformats.org/package/2006/relationships/metadata/core-properties"></Relationship><Relationship Id="rId1" Target="xl/workbook.xml" Type="http://schemas.openxmlformats.org/officeDocument/2006/relationships/officeDocument"></Relationship></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filterPrivacy="true" defaultThemeVersion="164011"/>
  <bookViews>
    <workbookView xWindow="0" yWindow="0" windowWidth="14805" windowHeight="8010"/>
  </bookViews>
  <sheets>
    <sheet name="I. Budget" sheetId="2" r:id="rId4"/>
  </sheets>
  <definedNames>
    <definedName name="Budget_Kurs">'I. Budget'!$H$4</definedName>
    <definedName name="Eigenmittel_LW">'I. Budget'!$E$7</definedName>
    <definedName name="Eigenmittel_EUR">'I. Budget'!$I$7</definedName>
    <definedName name="Drittmittel_LW">'I. Budget'!$E$10</definedName>
    <definedName name="Drittmittel_EUR">'I. Budget'!$I$10</definedName>
    <definedName name="KMW_Mittel_LW">'I. Budget'!$E$13</definedName>
    <definedName name="KMW_Mittel_EUR">'I. Budget'!$I$13</definedName>
    <definedName name="Gesamtprojektmittel_LW">'I. Budget'!$E$15</definedName>
    <definedName name="Gesamtprojektmittel_EUR">'I. Budget'!$I$15</definedName>
    <definedName name="Kosten_Bauausgaben_LW">'I. Budget'!$O$4</definedName>
    <definedName name="Kosten_Bauausgaben_EUR">'I. Budget'!$P$4</definedName>
    <definedName name="Kosten_Investitionen_LW">'I. Budget'!$O$5</definedName>
    <definedName name="Kosten_Investitionen_EUR">'I. Budget'!$P$5</definedName>
    <definedName name="Kosten_Personalkosten_LW">'I. Budget'!$O$6</definedName>
    <definedName name="Kosten_Personalkosten_EUR">'I. Budget'!$P$6</definedName>
    <definedName name="Kosten_Projektaktivitaeten_LW">'I. Budget'!$O$7</definedName>
    <definedName name="Kosten_Projektaktivitaeten_EUR">'I. Budget'!$P$7</definedName>
    <definedName name="Kosten_Projektverwaltung_LW">'I. Budget'!$O$8</definedName>
    <definedName name="Kosten_Projektverwaltung_EUR">'I. Budget'!$P$8</definedName>
    <definedName name="Kosten_Evaluierung_LW">'I. Budget'!$O$9</definedName>
    <definedName name="Kosten_Evaluierung_EUR">'I. Budget'!$P$9</definedName>
    <definedName name="Kosten_Audit_LW">'I. Budget'!$O$10</definedName>
    <definedName name="Kosten_Audit_EUR">'I. Budget'!$P$10</definedName>
    <definedName name="Kosten_Reserve_LW">'I. Budget'!$O$11</definedName>
    <definedName name="Kosten_Reserve_EUR">'I. Budget'!$P$11</definedName>
    <definedName name="Gesamtausgaben_LW">'I. Budget'!$O$12</definedName>
    <definedName name="Gesamtausgaben_EUR">'I. Budget'!$P$12</definedName>
    <definedName name="Geber_Liste">='I. Budget'!$R$2#</definedName>
    <definedName name="Budget_ID_Liste">='I. Budget'!$S$2#</definedName>
    <definedName name="Reserve_Freigabe">'I. Budget'!$K$5</definedName>
  </definedNames>
  <calcPr calcId="122211"/>
</workbook>
</file>

<file path=xl/sharedStrings.xml><?xml version="1.0" encoding="utf-8"?>
<sst xmlns="http://schemas.openxmlformats.org/spreadsheetml/2006/main" count="42" uniqueCount="42">
  <si>
    <t>I. KERNDATEN BUDGET</t>
  </si>
  <si>
    <t>Drittmittel – Aufstellung je Geber</t>
  </si>
  <si>
    <t>Name des Gebers</t>
  </si>
  <si>
    <t>Betrag (LC)</t>
  </si>
  <si>
    <t>Betrag (EUR)</t>
  </si>
  <si>
    <t/>
  </si>
  <si>
    <t>1. GEPLANTE EINNAHMEN / FINANZIERUNG</t>
  </si>
  <si>
    <t>€ Budget-Kurs:</t>
  </si>
  <si>
    <t>Finanzierungsquelle</t>
  </si>
  <si>
    <t>Jahr 1</t>
  </si>
  <si>
    <t>Jahr 2</t>
  </si>
  <si>
    <t>Jahr 3</t>
  </si>
  <si>
    <t>1.1 Eigenmittel</t>
  </si>
  <si>
    <t>Eigenmittel</t>
  </si>
  <si>
    <t>1.2 Drittmittel</t>
  </si>
  <si>
    <t>Drittmittel (Summe):</t>
  </si>
  <si>
    <t>Aufstellung je Geber → Tabelle rechts</t>
  </si>
  <si>
    <t>1.3 KMW-Mittel</t>
  </si>
  <si>
    <t>KMW-Mittel</t>
  </si>
  <si>
    <t>GESAMTPROJEKTMITTEL</t>
  </si>
  <si>
    <t>2. GEPLANTE AUSGABEN</t>
  </si>
  <si>
    <t>Kostenkategorie</t>
  </si>
  <si>
    <t>ID</t>
  </si>
  <si>
    <t>Kostenposition</t>
  </si>
  <si>
    <t>Bauausgaben</t>
  </si>
  <si>
    <t>Investitionen</t>
  </si>
  <si>
    <t>Personalkosten</t>
  </si>
  <si>
    <t>Projektaktivitaeten</t>
  </si>
  <si>
    <t>Projektverwaltung</t>
  </si>
  <si>
    <t>Evaluierung</t>
  </si>
  <si>
    <t>Audit</t>
  </si>
  <si>
    <t>Reserve</t>
  </si>
  <si>
    <t>Geplante Gesamtausgaben</t>
  </si>
  <si>
    <t>Reserve Freigabe</t>
  </si>
  <si>
    <t>Reserve freigeben:</t>
  </si>
  <si>
    <t>Begruendung</t>
  </si>
  <si>
    <t>Budgetpruefung</t>
  </si>
  <si>
    <t>Einnahmen = Ausgaben (LC)</t>
  </si>
  <si>
    <t>Einnahmen = Ausgaben (EUR)</t>
  </si>
  <si>
    <t>Gleicher Budget-Kurs</t>
  </si>
  <si>
    <t>Einnahmen: Jahre = Gesamt (LC)</t>
  </si>
  <si>
    <t>Ausgaben: Jahre = Gesamt (LC)</t>
  </si>
</sst>
</file>

<file path=xl/styles.xml><?xml version="1.0" encoding="utf-8"?>
<styleSheet xmlns="http://schemas.openxmlformats.org/spreadsheetml/2006/main" xmlns:ap="http://schemas.openxmlformats.org/officeDocument/2006/extended-properties" xmlns:op="http://schemas.openxmlformats.org/officeDocument/2006/custom-properties" xmlns:a="http://schemas.openxmlformats.org/drawingml/2006/main" xmlns:c="http://schemas.openxmlformats.org/drawingml/2006/chart" xmlns:cdr="http://schemas.openxmlformats.org/drawingml/2006/chartDrawing" xmlns:comp="http://schemas.openxmlformats.org/drawingml/2006/compatibility" xmlns:dgm="http://schemas.openxmlformats.org/drawingml/2006/diagram" xmlns:lc="http://schemas.openxmlformats.org/drawingml/2006/lockedCanvas" xmlns:pic="http://schemas.openxmlformats.org/drawingml/2006/picture" xmlns:xdr="http://schemas.openxmlformats.org/drawingml/2006/spreadsheetDrawing" xmlns:r="http://schemas.openxmlformats.org/officeDocument/2006/relationships" xmlns:ds="http://schemas.openxmlformats.org/officeDocument/2006/customXml" xmlns:m="http://schemas.openxmlformats.org/officeDocument/2006/math" xmlns:x="http://schemas.openxmlformats.org/spreadsheetml/2006/main" xmlns:sl="http://schemas.openxmlformats.org/schemaLibrary/2006/main" xmlns:mc="http://schemas.openxmlformats.org/markup-compatibility/2006" xmlns:xne="http://schemas.microsoft.com/office/excel/2006/main" xmlns:mso="http://schemas.microsoft.com/office/2006/01/customui" xmlns:ax="http://schemas.microsoft.com/office/2006/activeX" xmlns:cppr="http://schemas.microsoft.com/office/2006/coverPageProps" xmlns:cdip="http://schemas.microsoft.com/office/2006/customDocumentInformationPanel" xmlns:ct="http://schemas.microsoft.com/office/2006/metadata/contentType" xmlns:ntns="http://schemas.microsoft.com/office/2006/metadata/customXsn" xmlns:lp="http://schemas.microsoft.com/office/2006/metadata/longProperties" xmlns:ma="http://schemas.microsoft.com/office/2006/metadata/properties/metaAttributes" xmlns:msink="http://schemas.microsoft.com/ink/2010/main" xmlns:c14="http://schemas.microsoft.com/office/drawing/2007/8/2/chart" xmlns:cdr14="http://schemas.microsoft.com/office/drawing/2010/chartDrawing" xmlns:a14="http://schemas.microsoft.com/office/drawing/2010/main" xmlns:pic14="http://schemas.microsoft.com/office/drawing/2010/picture" xmlns:x14="http://schemas.microsoft.com/office/spreadsheetml/2009/9/main" xmlns:xdr14="http://schemas.microsoft.com/office/excel/2010/spreadsheetDrawing" xmlns:x14ac="http://schemas.microsoft.com/office/spreadsheetml/2009/9/ac" xmlns:dsp="http://schemas.microsoft.com/office/drawing/2008/diagram" xmlns:mso14="http://schemas.microsoft.com/office/2009/07/customui" xmlns:dgm14="http://schemas.microsoft.com/office/drawing/2010/diagram" xmlns:x15="http://schemas.microsoft.com/office/spreadsheetml/2010/11/main" xmlns:x12ac="http://schemas.microsoft.com/office/spreadsheetml/2011/1/ac" xmlns:x15ac="http://schemas.microsoft.com/office/spreadsheetml/2010/11/ac" xmlns:xr="http://schemas.microsoft.com/office/spreadsheetml/2014/revision" xmlns:xr2="http://schemas.microsoft.com/office/spreadsheetml/2015/revision2" xmlns:xr3="http://schemas.microsoft.com/office/spreadsheetml/2016/revision3" xmlns:xr4="http://schemas.microsoft.com/office/spreadsheetml/2016/revision4" xmlns:xr5="http://schemas.microsoft.com/office/spreadsheetml/2016/revision5" xmlns:xr6="http://schemas.microsoft.com/office/spreadsheetml/2016/revision6" xmlns:xr7="http://schemas.microsoft.com/office/spreadsheetml/2016/revision7" xmlns:xr8="http://schemas.microsoft.com/office/spreadsheetml/2016/revision8" xmlns:xr9="http://schemas.microsoft.com/office/spreadsheetml/2016/revision9" xmlns:xr10="http://schemas.microsoft.com/office/spreadsheetml/2016/revision10" xmlns:xr11="http://schemas.microsoft.com/office/spreadsheetml/2016/revision11" xmlns:xr12="http://schemas.microsoft.com/office/spreadsheetml/2016/revision12" xmlns:xr13="http://schemas.microsoft.com/office/spreadsheetml/2016/revision13" xmlns:xr14="http://schemas.microsoft.com/office/spreadsheetml/2016/revision14" xmlns:xr15="http://schemas.microsoft.com/office/spreadsheetml/2016/revision15" xmlns:x16="http://schemas.microsoft.com/office/spreadsheetml/2014/11/main" xmlns:x16r2="http://schemas.microsoft.com/office/spreadsheetml/2015/02/main" xmlns:mo="http://schemas.microsoft.com/office/mac/office/2008/main" xmlns:mx="http://schemas.microsoft.com/office/mac/excel/2008/main" xmlns:mv="urn:schemas-microsoft-com:mac:vml" xmlns:o="urn:schemas-microsoft-com:office:office" xmlns:v="urn:schemas-microsoft-com:vml" mc:Ignorable="c14 cdr14 a14 pic14 x14 xdr14 x14ac dsp mso14 dgm14 x15 x12ac x15ac xr xr2 xr3 xr4 xr5 xr6 xr7 xr8 xr9 xr10 xr11 xr12 xr13 xr14 xr15 x15 x16 x16r2 mo mx mv o v" xr:uid="{00000000-0001-0000-0000-000000000000}">
  <numFmts count="3">
    <numFmt numFmtId="164" formatCode="#,##0.00"/>
    <numFmt numFmtId="165" formatCode="#,##0.00&quot; €&quot;"/>
    <numFmt numFmtId="166" formatCode="0.0000"/>
  </numFmts>
  <fonts count="18">
    <font>
      <name val="Calibri"/>
      <family val="2"/>
      <color theme="1"/>
      <sz val="11"/>
    </font>
    <font>
      <name val="Segoe UI"/>
      <family val="2"/>
      <b val="1"/>
      <color rgb="FF000000"/>
      <sz val="14"/>
    </font>
    <font>
      <name val="Segoe UI"/>
      <family val="2"/>
      <b val="1"/>
      <color rgb="FF000000"/>
    </font>
    <font>
      <name val="Segoe UI"/>
      <family val="2"/>
      <color rgb="FF000000"/>
    </font>
    <font>
      <name val="Segoe UI"/>
      <family val="2"/>
      <b val="1"/>
      <color rgb="FF3C3C3C"/>
      <sz val="9"/>
    </font>
    <font>
      <name val="Segoe UI"/>
      <family val="2"/>
      <b val="1"/>
      <color rgb="FF000000"/>
      <sz val="11"/>
    </font>
    <font>
      <name val="Segoe UI"/>
      <family val="2"/>
      <color rgb="FF000000"/>
      <sz val="9"/>
    </font>
    <font>
      <name val="Segoe UI"/>
      <family val="2"/>
      <i val="1"/>
      <color rgb="FF000000"/>
    </font>
    <font>
      <name val="Segoe UI"/>
      <family val="2"/>
      <b val="1"/>
      <color rgb="FF000000"/>
      <sz val="10"/>
    </font>
    <font>
      <name val="Segoe UI"/>
      <family val="2"/>
      <color rgb="FF000000"/>
      <sz val="10"/>
    </font>
    <font>
      <name val="Segoe UI"/>
      <family val="2"/>
      <i val="1"/>
      <color rgb="FF595959"/>
      <sz val="8"/>
    </font>
    <font>
      <name val="Segoe UI"/>
      <family val="2"/>
      <b val="1"/>
      <color rgb="FF000000"/>
      <sz val="9"/>
    </font>
    <font>
      <name val="Segoe UI"/>
      <family val="2"/>
      <i val="1"/>
      <color rgb="FF595959"/>
      <sz val="9"/>
    </font>
    <font>
      <name val="Segoe UI"/>
      <family val="2"/>
      <b val="1"/>
      <color rgb="FF595959"/>
      <sz val="9"/>
    </font>
    <font>
      <name val="Segoe UI"/>
      <family val="2"/>
      <b val="1"/>
      <color rgb="FF006100"/>
      <sz val="9"/>
    </font>
    <font>
      <name val="Segoe UI"/>
      <family val="2"/>
      <b val="1"/>
      <color rgb="FFFFFFFF"/>
      <sz val="9"/>
    </font>
    <font>
      <name val="Segoe UI"/>
      <family val="2"/>
      <color rgb="FF595959"/>
      <sz val="9"/>
    </font>
    <font>
      <name val="Segoe UI"/>
      <family val="2"/>
      <b val="1"/>
      <color rgb="FF9C0006"/>
      <sz val="9"/>
    </font>
  </fonts>
  <fills count="8">
    <fill>
      <patternFill patternType="none"/>
    </fill>
    <fill>
      <patternFill patternType="gray125"/>
    </fill>
    <fill>
      <patternFill patternType="solid">
        <fgColor rgb="FFD3D3D3"/>
      </patternFill>
    </fill>
    <fill>
      <patternFill patternType="solid">
        <fgColor rgb="FFFFFAE5"/>
      </patternFill>
    </fill>
    <fill>
      <patternFill patternType="solid">
        <fgColor rgb="FFF0F0F0"/>
      </patternFill>
    </fill>
    <fill>
      <patternFill patternType="solid">
        <fgColor rgb="FFF2F2F2"/>
      </patternFill>
    </fill>
    <fill>
      <patternFill patternType="solid">
        <fgColor rgb="FFC6EFCE"/>
      </patternFill>
    </fill>
    <fill>
      <patternFill patternType="solid">
        <fgColor rgb="FFFFC7CE"/>
      </patternFill>
    </fill>
  </fills>
  <borders count="32">
    <border>
      <left/>
      <right/>
      <top/>
      <bottom/>
      <diagonal/>
    </border>
    <border>
      <top style="medium">
        <color rgb="FF808080"/>
      </top>
      <bottom style="medium">
        <color rgb="FF808080"/>
      </bottom>
    </border>
    <border>
      <left style="thin">
        <color rgb="FFD3D3D3"/>
      </left>
      <right style="thin">
        <color rgb="FFD3D3D3"/>
      </right>
      <top style="thin">
        <color rgb="FFD3D3D3"/>
      </top>
      <bottom style="thin">
        <color rgb="FFD3D3D3"/>
      </bottom>
    </border>
    <border>
      <bottom style="medium">
        <color rgb="FF808080"/>
      </bottom>
    </border>
    <border>
      <left style="medium">
        <color rgb="FF808080"/>
      </left>
      <right style="thin">
        <color rgb="FF808080"/>
      </right>
      <top style="medium">
        <color rgb="FF808080"/>
      </top>
      <bottom style="thin">
        <color rgb="FF808080"/>
      </bottom>
    </border>
    <border>
      <left style="thin">
        <color rgb="FF808080"/>
      </left>
      <right style="thin">
        <color rgb="FF808080"/>
      </right>
      <top style="medium">
        <color rgb="FF808080"/>
      </top>
      <bottom style="thin">
        <color rgb="FF808080"/>
      </bottom>
    </border>
    <border>
      <left style="thin">
        <color rgb="FF808080"/>
      </left>
      <right style="medium">
        <color rgb="FF808080"/>
      </right>
      <top style="medium">
        <color rgb="FF808080"/>
      </top>
      <bottom style="thin">
        <color rgb="FF808080"/>
      </bottom>
    </border>
    <border>
      <left style="medium">
        <color rgb="FF808080"/>
      </left>
      <right style="thin">
        <color rgb="FF808080"/>
      </right>
      <top style="thin">
        <color rgb="FF808080"/>
      </top>
      <bottom style="thin">
        <color rgb="FF808080"/>
      </bottom>
    </border>
    <border>
      <left style="thin">
        <color rgb="FF808080"/>
      </left>
      <right style="thin">
        <color rgb="FF808080"/>
      </right>
      <top style="thin">
        <color rgb="FF808080"/>
      </top>
      <bottom style="thin">
        <color rgb="FF808080"/>
      </bottom>
    </border>
    <border>
      <left style="thin">
        <color rgb="FF808080"/>
      </left>
      <right style="medium">
        <color rgb="FF808080"/>
      </right>
      <top style="thin">
        <color rgb="FF808080"/>
      </top>
      <bottom style="thin">
        <color rgb="FF808080"/>
      </bottom>
    </border>
    <border>
      <left style="medium">
        <color rgb="FF808080"/>
      </left>
      <right style="thin">
        <color rgb="FF808080"/>
      </right>
      <top style="thin">
        <color rgb="FF808080"/>
      </top>
      <bottom style="medium">
        <color rgb="FF808080"/>
      </bottom>
    </border>
    <border>
      <left style="thin">
        <color rgb="FF808080"/>
      </left>
      <right style="thin">
        <color rgb="FF808080"/>
      </right>
      <top style="thin">
        <color rgb="FF808080"/>
      </top>
      <bottom style="medium">
        <color rgb="FF808080"/>
      </bottom>
    </border>
    <border>
      <left style="thin">
        <color rgb="FF808080"/>
      </left>
      <right style="medium">
        <color rgb="FF808080"/>
      </right>
      <top style="thin">
        <color rgb="FF808080"/>
      </top>
      <bottom style="medium">
        <color rgb="FF808080"/>
      </bottom>
    </border>
    <border>
      <left style="medium">
        <color rgb="FF808080"/>
      </left>
      <top style="medium">
        <color rgb="FF808080"/>
      </top>
    </border>
    <border>
      <top style="medium">
        <color rgb="FF808080"/>
      </top>
    </border>
    <border>
      <right style="medium">
        <color rgb="FF808080"/>
      </right>
      <top style="medium">
        <color rgb="FF808080"/>
      </top>
    </border>
    <border>
      <left style="medium">
        <color rgb="FF808080"/>
      </left>
      <bottom style="medium">
        <color rgb="FF808080"/>
      </bottom>
    </border>
    <border>
      <right style="medium">
        <color rgb="FF808080"/>
      </right>
      <bottom style="medium">
        <color rgb="FF808080"/>
      </bottom>
    </border>
    <border>
      <top style="medium">
        <color rgb="FF808080"/>
      </top>
      <bottom style="thin">
        <color rgb="FF808080"/>
      </bottom>
    </border>
    <border>
      <top style="thin">
        <color rgb="FF808080"/>
      </top>
      <bottom style="thin">
        <color rgb="FF808080"/>
      </bottom>
    </border>
    <border>
      <left style="medium">
        <color rgb="FF808080"/>
      </left>
      <top style="medium">
        <color rgb="FF808080"/>
      </top>
      <bottom style="medium">
        <color rgb="FF808080"/>
      </bottom>
    </border>
    <border>
      <right style="medium">
        <color rgb="FF808080"/>
      </right>
      <top style="medium">
        <color rgb="FF808080"/>
      </top>
      <bottom style="medium">
        <color rgb="FF808080"/>
      </bottom>
    </border>
    <border>
      <left style="medium">
        <color rgb="FF808080"/>
      </left>
    </border>
    <border>
      <right style="medium">
        <color rgb="FF808080"/>
      </right>
    </border>
    <border>
      <left style="medium">
        <color rgb="FF808080"/>
      </left>
      <top style="medium">
        <color rgb="FF808080"/>
      </top>
      <bottom style="thin">
        <color rgb="FF808080"/>
      </bottom>
    </border>
    <border>
      <right style="medium">
        <color rgb="FF808080"/>
      </right>
      <top style="medium">
        <color rgb="FF808080"/>
      </top>
      <bottom style="thin">
        <color rgb="FF808080"/>
      </bottom>
    </border>
    <border>
      <left style="medium">
        <color rgb="FF808080"/>
      </left>
      <top style="thin">
        <color rgb="FF808080"/>
      </top>
      <bottom style="thin">
        <color rgb="FF808080"/>
      </bottom>
    </border>
    <border>
      <right style="medium">
        <color rgb="FF808080"/>
      </right>
      <top style="thin">
        <color rgb="FF808080"/>
      </top>
      <bottom style="thin">
        <color rgb="FF808080"/>
      </bottom>
    </border>
    <border>
      <left style="thin">
        <color rgb="FFD3D3D3"/>
      </left>
      <right style="medium">
        <color rgb="FF808080"/>
      </right>
      <top style="thin">
        <color rgb="FFD3D3D3"/>
      </top>
      <bottom style="thin">
        <color rgb="FFD3D3D3"/>
      </bottom>
    </border>
    <border>
      <left style="medium">
        <color rgb="FF808080"/>
      </left>
      <right style="medium">
        <color rgb="FF808080"/>
      </right>
      <top style="medium">
        <color rgb="FF808080"/>
      </top>
      <bottom style="thin">
        <color rgb="FF808080"/>
      </bottom>
    </border>
    <border>
      <left style="medium">
        <color rgb="FF808080"/>
      </left>
      <right style="medium">
        <color rgb="FF808080"/>
      </right>
      <top style="thin">
        <color rgb="FF808080"/>
      </top>
      <bottom style="thin">
        <color rgb="FF808080"/>
      </bottom>
    </border>
    <border>
      <left style="medium">
        <color rgb="FF808080"/>
      </left>
      <right style="medium">
        <color rgb="FF808080"/>
      </right>
      <top style="thin">
        <color rgb="FF808080"/>
      </top>
      <bottom style="medium">
        <color rgb="FF808080"/>
      </bottom>
    </border>
  </borders>
  <cellStyleXfs count="1">
    <xf numFmtId="0" fontId="0" fillId="0" borderId="0"/>
  </cellStyleXfs>
  <cellXfs count="66">
    <xf numFmtId="0" fontId="0" fillId="0" borderId="0" xfId="0"/>
    <xf numFmtId="0" fontId="1" fillId="2" borderId="1" xfId="0" applyFont="true" applyFill="true" applyBorder="true" applyAlignment="true">
      <alignment vertical="center"/>
    </xf>
    <xf numFmtId="0" fontId="2" fillId="2" borderId="0" xfId="0" applyFont="true" applyFill="true" applyAlignment="true">
      <alignment horizontal="center" vertical="center"/>
    </xf>
    <xf numFmtId="0" fontId="3" fillId="0" borderId="0" xfId="0" applyFont="true" applyAlignment="true">
      <alignment/>
    </xf>
    <xf numFmtId="0" fontId="3" fillId="3" borderId="0" xfId="0" applyFont="true" applyFill="true" applyAlignment="true">
      <alignment horizontal="left" vertical="center"/>
    </xf>
    <xf numFmtId="164" fontId="3" fillId="3" borderId="2" xfId="0" applyNumberFormat="true" applyFont="true" applyFill="true" applyBorder="true" applyAlignment="true">
      <alignment horizontal="right" vertical="center"/>
    </xf>
    <xf numFmtId="165" fontId="3" fillId="3" borderId="2" xfId="0" applyNumberFormat="true" applyFont="true" applyFill="true" applyBorder="true" applyAlignment="true">
      <alignment horizontal="right" vertical="center"/>
    </xf>
    <xf numFmtId="0" fontId="4" fillId="2" borderId="3" xfId="0" applyFont="true" applyFill="true" applyBorder="true" applyAlignment="true">
      <alignment horizontal="center" vertical="center"/>
    </xf>
    <xf numFmtId="0" fontId="3" fillId="0" borderId="4" xfId="0" applyFont="true" applyBorder="true" applyAlignment="true">
      <alignment/>
    </xf>
    <xf numFmtId="0" fontId="3" fillId="0" borderId="5" xfId="0" applyFont="true" applyBorder="true" applyAlignment="true">
      <alignment/>
    </xf>
    <xf numFmtId="0" fontId="3" fillId="0" borderId="6" xfId="0" applyFont="true" applyBorder="true" applyAlignment="true">
      <alignment/>
    </xf>
    <xf numFmtId="0" fontId="3" fillId="0" borderId="7" xfId="0" applyFont="true" applyBorder="true" applyAlignment="true">
      <alignment/>
    </xf>
    <xf numFmtId="0" fontId="3" fillId="0" borderId="8" xfId="0" applyFont="true" applyBorder="true" applyAlignment="true">
      <alignment/>
    </xf>
    <xf numFmtId="0" fontId="3" fillId="0" borderId="9" xfId="0" applyFont="true" applyBorder="true" applyAlignment="true">
      <alignment/>
    </xf>
    <xf numFmtId="0" fontId="3" fillId="0" borderId="10" xfId="0" applyFont="true" applyBorder="true" applyAlignment="true">
      <alignment/>
    </xf>
    <xf numFmtId="0" fontId="3" fillId="0" borderId="11" xfId="0" applyFont="true" applyBorder="true" applyAlignment="true">
      <alignment/>
    </xf>
    <xf numFmtId="0" fontId="3" fillId="0" borderId="12" xfId="0" applyFont="true" applyBorder="true" applyAlignment="true">
      <alignment/>
    </xf>
    <xf numFmtId="0" fontId="2" fillId="2" borderId="13" xfId="0" applyFont="true" applyFill="true" applyBorder="true" applyAlignment="true">
      <alignment horizontal="center" vertical="center"/>
    </xf>
    <xf numFmtId="0" fontId="2" fillId="2" borderId="14" xfId="0" applyFont="true" applyFill="true" applyBorder="true" applyAlignment="true">
      <alignment horizontal="center" vertical="center"/>
    </xf>
    <xf numFmtId="0" fontId="2" fillId="2" borderId="15" xfId="0" applyFont="true" applyFill="true" applyBorder="true" applyAlignment="true">
      <alignment horizontal="center" vertical="center"/>
    </xf>
    <xf numFmtId="0" fontId="4" fillId="2" borderId="16" xfId="0" applyFont="true" applyFill="true" applyBorder="true" applyAlignment="true">
      <alignment horizontal="center" vertical="center"/>
    </xf>
    <xf numFmtId="0" fontId="4" fillId="2" borderId="17" xfId="0" applyFont="true" applyFill="true" applyBorder="true" applyAlignment="true">
      <alignment horizontal="center" vertical="center"/>
    </xf>
    <xf numFmtId="0" fontId="5" fillId="2" borderId="18" xfId="0" applyFont="true" applyFill="true" applyBorder="true" applyAlignment="true">
      <alignment horizontal="left" vertical="center"/>
    </xf>
    <xf numFmtId="0" fontId="6" fillId="0" borderId="0" xfId="0" applyFont="true" applyAlignment="true">
      <alignment horizontal="right" vertical="center"/>
    </xf>
    <xf numFmtId="166" fontId="7" fillId="0" borderId="8" xfId="0" applyNumberFormat="true" applyFont="true" applyBorder="true" applyAlignment="true">
      <alignment/>
    </xf>
    <xf numFmtId="0" fontId="8" fillId="4" borderId="19" xfId="0" applyFont="true" applyFill="true" applyBorder="true" applyAlignment="true">
      <alignment horizontal="left" vertical="center"/>
    </xf>
    <xf numFmtId="0" fontId="9" fillId="0" borderId="0" xfId="0" applyFont="true" applyAlignment="true">
      <alignment/>
    </xf>
    <xf numFmtId="0" fontId="10" fillId="0" borderId="0" xfId="0" applyFont="true" applyAlignment="true">
      <alignment/>
    </xf>
    <xf numFmtId="164" fontId="2" fillId="0" borderId="0" xfId="0" applyNumberFormat="true" applyFont="true" applyAlignment="true">
      <alignment horizontal="right" vertical="center"/>
    </xf>
    <xf numFmtId="165" fontId="2" fillId="0" borderId="0" xfId="0" applyNumberFormat="true" applyFont="true" applyAlignment="true">
      <alignment horizontal="right" vertical="center"/>
    </xf>
    <xf numFmtId="164" fontId="3" fillId="0" borderId="0" xfId="0" applyNumberFormat="true" applyFont="true" applyAlignment="true">
      <alignment/>
    </xf>
    <xf numFmtId="165" fontId="3" fillId="0" borderId="0" xfId="0" applyNumberFormat="true" applyFont="true" applyAlignment="true">
      <alignment/>
    </xf>
    <xf numFmtId="0" fontId="8" fillId="4" borderId="8" xfId="0" applyFont="true" applyFill="true" applyBorder="true" applyAlignment="true">
      <alignment vertical="center"/>
    </xf>
    <xf numFmtId="0" fontId="3" fillId="3" borderId="0" xfId="0" applyFont="true" applyFill="true" applyAlignment="true">
      <alignment horizontal="center" vertical="center"/>
    </xf>
    <xf numFmtId="0" fontId="0" fillId="0" borderId="13" xfId="0" applyBorder="true" applyAlignment="false">
      <alignment/>
    </xf>
    <xf numFmtId="0" fontId="0" fillId="0" borderId="14" xfId="0" applyBorder="true" applyAlignment="false">
      <alignment/>
    </xf>
    <xf numFmtId="0" fontId="0" fillId="0" borderId="15" xfId="0" applyBorder="true" applyAlignment="false">
      <alignment/>
    </xf>
    <xf numFmtId="0" fontId="1" fillId="2" borderId="20" xfId="0" applyFont="true" applyFill="true" applyBorder="true" applyAlignment="true">
      <alignment vertical="center"/>
    </xf>
    <xf numFmtId="0" fontId="1" fillId="2" borderId="21" xfId="0" applyFont="true" applyFill="true" applyBorder="true" applyAlignment="true">
      <alignment vertical="center"/>
    </xf>
    <xf numFmtId="0" fontId="0" fillId="0" borderId="22" xfId="0" applyBorder="true" applyAlignment="false">
      <alignment/>
    </xf>
    <xf numFmtId="0" fontId="0" fillId="0" borderId="23" xfId="0" applyBorder="true" applyAlignment="false">
      <alignment/>
    </xf>
    <xf numFmtId="0" fontId="5" fillId="2" borderId="24" xfId="0" applyFont="true" applyFill="true" applyBorder="true" applyAlignment="true">
      <alignment horizontal="left" vertical="center"/>
    </xf>
    <xf numFmtId="0" fontId="5" fillId="2" borderId="25" xfId="0" applyFont="true" applyFill="true" applyBorder="true" applyAlignment="true">
      <alignment horizontal="left" vertical="center"/>
    </xf>
    <xf numFmtId="0" fontId="8" fillId="4" borderId="26" xfId="0" applyFont="true" applyFill="true" applyBorder="true" applyAlignment="true">
      <alignment horizontal="left" vertical="center"/>
    </xf>
    <xf numFmtId="0" fontId="8" fillId="4" borderId="27" xfId="0" applyFont="true" applyFill="true" applyBorder="true" applyAlignment="true">
      <alignment horizontal="left" vertical="center"/>
    </xf>
    <xf numFmtId="0" fontId="9" fillId="0" borderId="22" xfId="0" applyFont="true" applyBorder="true" applyAlignment="true">
      <alignment/>
    </xf>
    <xf numFmtId="165" fontId="3" fillId="3" borderId="28" xfId="0" applyNumberFormat="true" applyFont="true" applyFill="true" applyBorder="true" applyAlignment="true">
      <alignment horizontal="right" vertical="center"/>
    </xf>
    <xf numFmtId="165" fontId="2" fillId="0" borderId="23" xfId="0" applyNumberFormat="true" applyFont="true" applyBorder="true" applyAlignment="true">
      <alignment horizontal="right" vertical="center"/>
    </xf>
    <xf numFmtId="0" fontId="8" fillId="4" borderId="7" xfId="0" applyFont="true" applyFill="true" applyBorder="true" applyAlignment="true">
      <alignment vertical="center"/>
    </xf>
    <xf numFmtId="0" fontId="8" fillId="4" borderId="9" xfId="0" applyFont="true" applyFill="true" applyBorder="true" applyAlignment="true">
      <alignment vertical="center"/>
    </xf>
    <xf numFmtId="0" fontId="8" fillId="4" borderId="10" xfId="0" applyFont="true" applyFill="true" applyBorder="true" applyAlignment="true">
      <alignment vertical="center"/>
    </xf>
    <xf numFmtId="0" fontId="8" fillId="4" borderId="11" xfId="0" applyFont="true" applyFill="true" applyBorder="true" applyAlignment="true">
      <alignment vertical="center"/>
    </xf>
    <xf numFmtId="0" fontId="8" fillId="4" borderId="12" xfId="0" applyFont="true" applyFill="true" applyBorder="true" applyAlignment="true">
      <alignment vertical="center"/>
    </xf>
    <xf numFmtId="0" fontId="11" fillId="2" borderId="0" xfId="0" applyFont="true" applyFill="true" applyAlignment="true">
      <alignment horizontal="center" vertical="center"/>
    </xf>
    <xf numFmtId="165" fontId="4" fillId="0" borderId="0" xfId="0" applyNumberFormat="true" applyFont="true" applyAlignment="true">
      <alignment horizontal="center" vertical="center"/>
    </xf>
    <xf numFmtId="0" fontId="12" fillId="0" borderId="0" xfId="0" applyFont="true" applyAlignment="true">
      <alignment horizontal="center" vertical="center"/>
    </xf>
    <xf numFmtId="0" fontId="13" fillId="5" borderId="0" xfId="0" applyFont="true" applyFill="true" applyAlignment="true">
      <alignment horizontal="center" vertical="center"/>
    </xf>
    <xf numFmtId="0" fontId="14" fillId="6" borderId="0" xfId="0" applyFont="true" applyFill="true" applyAlignment="true">
      <alignment/>
    </xf>
    <xf numFmtId="0" fontId="3" fillId="0" borderId="29" xfId="0" applyFont="true" applyBorder="true" applyAlignment="true">
      <alignment/>
    </xf>
    <xf numFmtId="0" fontId="3" fillId="0" borderId="30" xfId="0" applyFont="true" applyBorder="true" applyAlignment="true">
      <alignment/>
    </xf>
    <xf numFmtId="0" fontId="3" fillId="0" borderId="31" xfId="0" applyFont="true" applyBorder="true" applyAlignment="true">
      <alignment/>
    </xf>
    <xf numFmtId="0" fontId="15" fillId="0" borderId="0" xfId="0" applyFont="true" applyAlignment="true">
      <alignment horizontal="center" vertical="center"/>
    </xf>
    <xf numFmtId="0" fontId="3" fillId="0" borderId="0" xfId="0" applyFont="true" applyAlignment="true">
      <alignment horizontal="left" vertical="top" wrapText="true"/>
    </xf>
    <xf numFmtId="0" fontId="11" fillId="0" borderId="8" xfId="0" applyFont="true" applyBorder="true" applyAlignment="true">
      <alignment/>
    </xf>
    <xf numFmtId="0" fontId="16" fillId="0" borderId="0" xfId="0" applyFont="true" applyAlignment="true">
      <alignment horizontal="left" vertical="center"/>
    </xf>
    <xf numFmtId="0" fontId="17" fillId="7" borderId="0" xfId="0" applyFont="true" applyFill="true" applyAlignment="true">
      <alignment/>
    </xf>
  </cellXfs>
  <cellStyles count="1">
    <cellStyle name="Normal" xfId="0" builtinId="0"/>
  </cellStyles>
  <dxfs count="0"/>
  <tableStyles count="0" defaultPivotStyle="PivotStyleLight16" defaultTableStyle="TableStyleMedium2"/>
</styleSheet>
</file>

<file path=xl/_rels/workbook.xml.rels><?xml version="1.0" encoding="UTF-8"?>
<Relationships xmlns="http://schemas.openxmlformats.org/package/2006/relationships"><Relationship Id="rId2" Target="styles.xml" Type="http://schemas.openxmlformats.org/officeDocument/2006/relationships/styles"></Relationship><Relationship Id="rId3" Target="theme/theme1.xml" Type="http://schemas.openxmlformats.org/officeDocument/2006/relationships/theme"></Relationship><Relationship Id="rId4" Target="worksheets/sheet2.xml" Type="http://schemas.openxmlformats.org/officeDocument/2006/relationships/worksheet"></Relationship><Relationship Id="rId5" Target="/xl/sharedStrings.xml" Type="http://schemas.openxmlformats.org/officeDocument/2006/relationships/sharedStrings"></Relationship></Relationships>
</file>

<file path=xl/tables/table1.xml><?xml version="1.0" encoding="utf-8"?>
<table xmlns="http://schemas.openxmlformats.org/spreadsheetml/2006/main" id="1" name="TblDrittmittel" displayName="TblDrittmittel" ref="K16:M19">
  <autoFilter ref="K16:M19"/>
  <tableColumns count="3">
    <tableColumn id="1" name="Name des Gebers"/>
    <tableColumn id="2" name="Betrag (LC)"/>
    <tableColumn id="3" name="Betrag (EUR)"/>
  </tableColumns>
  <tableStyleInfo name="TableStyleLight1" showFirstColumn="false" showLastColumn="false" showRowStripes="false" showColumnStripes="false"/>
</table>
</file>

<file path=xl/tables/table2.xml><?xml version="1.0" encoding="utf-8"?>
<table xmlns="http://schemas.openxmlformats.org/spreadsheetml/2006/main" id="2" name="TblBudgetAusgaben" displayName="TblBudgetAusgaben" ref="B18:I27">
  <autoFilter ref="B18:I27"/>
  <tableColumns count="8">
    <tableColumn id="1" name="Kostenkategorie"/>
    <tableColumn id="2" name="ID"/>
    <tableColumn id="3" name="Kostenposition"/>
    <tableColumn id="4" name="Betrag (LC)"/>
    <tableColumn id="5" name="Jahr 1"/>
    <tableColumn id="6" name="Jahr 2"/>
    <tableColumn id="7" name="Jahr 3"/>
    <tableColumn id="8" name="Betrag (EUR)"/>
  </tableColumns>
  <tableStyleInfo name="TableStyleLight1" showFirstColumn="false" showLastColumn="false" showRowStripes="false" showColumnStripes="false"/>
</table>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2.xml.rels><?xml version="1.0" encoding="UTF-8"?>
<Relationships xmlns="http://schemas.openxmlformats.org/package/2006/relationships"><Relationship Id="rId1" Target="../tables/table1.xml" Type="http://schemas.openxmlformats.org/officeDocument/2006/relationships/table"></Relationship><Relationship Id="rId2" Target="../tables/table2.xml" Type="http://schemas.openxmlformats.org/officeDocument/2006/relationships/table"></Relationship></Relationships>
</file>

<file path=xl/worksheets/sheet2.xml><?xml version="1.0" encoding="utf-8"?>
<worksheet xmlns="http://schemas.openxmlformats.org/spreadsheetml/2006/main" xmlns:r="http://schemas.openxmlformats.org/officeDocument/2006/relationships" xmlns:mc="http://schemas.openxmlformats.org/markup-compatibility/2006">
  <sheetPr>
    <tabColor rgb="5B9BD5"/>
  </sheetPr>
  <dimension ref="A1"/>
  <sheetViews>
    <sheetView showGridLines="false" tabSelected="true" workbookViewId="0"/>
  </sheetViews>
  <sheetFormatPr defaultRowHeight="15"/>
  <cols>
    <col customWidth="true" max="2" min="2" width="25"/>
    <col customWidth="true" max="3" min="3" width="8"/>
    <col customWidth="true" max="4" min="4" width="30"/>
    <col customWidth="true" max="5" min="5" width="18"/>
    <col customWidth="true" max="8" min="6" width="14"/>
    <col customWidth="true" max="9" min="9" width="18"/>
    <col customWidth="true" max="10" min="10" width="3"/>
    <col customWidth="true" max="11" min="11" width="25"/>
    <col customWidth="true" max="12" min="12" width="14"/>
    <col customWidth="true" max="13" min="13" width="16"/>
    <col customWidth="true" hidden="true" max="16" min="15" width="9.140625"/>
    <col customWidth="true" hidden="true" max="19" min="18" width="9.140625"/>
  </cols>
  <sheetData>
    <row r="1">
      <c r="B1" s="34"/>
      <c r="C1" s="35"/>
      <c r="D1" s="35"/>
      <c r="E1" s="35"/>
      <c r="F1" s="35"/>
      <c r="G1" s="35"/>
      <c r="H1" s="35"/>
      <c r="I1" s="36"/>
      <c r="R1" s="3" t="str">
        <f>=VSTACK({"Projektpartner";"Bank"},IFERROR(FILTER(TblDrittmittel[Name des Gebers],TblDrittmittel[Name des Gebers]&lt;&gt;""),""))</f>
      </c>
      <c r="S1" s="3" t="str">
        <f>=IFERROR(FILTER(TblBudgetAusgaben[ID],TblBudgetAusgaben[ID]&lt;&gt;""),"")</f>
      </c>
    </row>
    <row r="2" ht="24" customHeight="true">
      <c r="B2" s="37" t="s">
        <v>0</v>
      </c>
      <c r="C2" s="1"/>
      <c r="D2" s="1"/>
      <c r="E2" s="1"/>
      <c r="F2" s="1"/>
      <c r="G2" s="1"/>
      <c r="H2" s="1"/>
      <c r="I2" s="38"/>
      <c r="K2" s="58" t="s">
        <v>33</v>
      </c>
    </row>
    <row r="3">
      <c r="B3" s="39"/>
      <c r="I3" s="40"/>
      <c r="K3" s="59" t="str">
        <f>=$P$11</f>
      </c>
    </row>
    <row r="4" ht="24" customHeight="true">
      <c r="B4" s="41" t="s">
        <v>6</v>
      </c>
      <c r="C4" s="22"/>
      <c r="D4" s="22"/>
      <c r="E4" s="22"/>
      <c r="F4" s="22"/>
      <c r="G4" s="23" t="s">
        <v>7</v>
      </c>
      <c r="H4" s="24" t="str">
        <f>=IFERROR($E$15/$I$15,0)</f>
      </c>
      <c r="I4" s="42"/>
      <c r="K4" s="59" t="s">
        <v>34</v>
      </c>
      <c r="O4" s="3" t="str">
        <f>=SUMIFS(TblBudgetAusgaben[Betrag (LC)],TblBudgetAusgaben[Kostenkategorie],"Bauausgaben")</f>
      </c>
      <c r="P4" s="3" t="str">
        <f>=SUMIFS(TblBudgetAusgaben[Betrag (EUR)],TblBudgetAusgaben[Kostenkategorie],"Bauausgaben")</f>
      </c>
    </row>
    <row r="5">
      <c r="B5" s="20" t="s">
        <v>8</v>
      </c>
      <c r="C5" s="7"/>
      <c r="D5" s="7"/>
      <c r="E5" s="7" t="s">
        <v>3</v>
      </c>
      <c r="F5" s="7" t="s">
        <v>9</v>
      </c>
      <c r="G5" s="7" t="s">
        <v>10</v>
      </c>
      <c r="H5" s="7" t="s">
        <v>11</v>
      </c>
      <c r="I5" s="21" t="s">
        <v>4</v>
      </c>
      <c r="K5" s="59" t="b">
        <v>0</v>
      </c>
      <c r="O5" s="3" t="str">
        <f>=SUMIFS(TblBudgetAusgaben[Betrag (LC)],TblBudgetAusgaben[Kostenkategorie],"Investitionen")</f>
      </c>
      <c r="P5" s="3" t="str">
        <f>=SUMIFS(TblBudgetAusgaben[Betrag (EUR)],TblBudgetAusgaben[Kostenkategorie],"Investitionen")</f>
      </c>
    </row>
    <row r="6" ht="20" customHeight="true">
      <c r="B6" s="43" t="s">
        <v>12</v>
      </c>
      <c r="C6" s="25"/>
      <c r="D6" s="25"/>
      <c r="E6" s="25"/>
      <c r="F6" s="25"/>
      <c r="G6" s="25"/>
      <c r="H6" s="25"/>
      <c r="I6" s="44"/>
      <c r="K6" s="60" t="str">
        <f>=IF($K$5=TRUE,"FREIGEGEBEN","NICHT FREIGEGEBEN")</f>
      </c>
      <c r="O6" s="3" t="str">
        <f>=SUMIFS(TblBudgetAusgaben[Betrag (LC)],TblBudgetAusgaben[Kostenkategorie],"Personalkosten")</f>
      </c>
      <c r="P6" s="3" t="str">
        <f>=SUMIFS(TblBudgetAusgaben[Betrag (EUR)],TblBudgetAusgaben[Kostenkategorie],"Personalkosten")</f>
      </c>
    </row>
    <row r="7" ht="22" customHeight="true">
      <c r="B7" s="45" t="s">
        <v>13</v>
      </c>
      <c r="E7" s="5"/>
      <c r="F7" s="5"/>
      <c r="G7" s="5"/>
      <c r="H7" s="5"/>
      <c r="I7" s="46"/>
      <c r="O7" s="3" t="str">
        <f>=SUMIFS(TblBudgetAusgaben[Betrag (LC)],TblBudgetAusgaben[Kostenkategorie],"Projektaktivitaeten")</f>
      </c>
      <c r="P7" s="3" t="str">
        <f>=SUMIFS(TblBudgetAusgaben[Betrag (EUR)],TblBudgetAusgaben[Kostenkategorie],"Projektaktivitaeten")</f>
      </c>
    </row>
    <row r="8">
      <c r="B8" s="39"/>
      <c r="I8" s="40"/>
      <c r="O8" s="3" t="str">
        <f>=SUMIFS(TblBudgetAusgaben[Betrag (LC)],TblBudgetAusgaben[Kostenkategorie],"Projektverwaltung")</f>
      </c>
      <c r="P8" s="3" t="str">
        <f>=SUMIFS(TblBudgetAusgaben[Betrag (EUR)],TblBudgetAusgaben[Kostenkategorie],"Projektverwaltung")</f>
      </c>
    </row>
    <row r="9" ht="20" customHeight="true">
      <c r="B9" s="43" t="s">
        <v>14</v>
      </c>
      <c r="C9" s="25"/>
      <c r="D9" s="25"/>
      <c r="E9" s="25"/>
      <c r="F9" s="25"/>
      <c r="G9" s="25"/>
      <c r="H9" s="25"/>
      <c r="I9" s="44"/>
      <c r="K9" s="61" t="s">
        <v>35</v>
      </c>
      <c r="L9" s="61"/>
      <c r="M9" s="61"/>
      <c r="O9" s="3" t="str">
        <f>=SUMIFS(TblBudgetAusgaben[Betrag (LC)],TblBudgetAusgaben[Kostenkategorie],"Evaluierung")</f>
      </c>
      <c r="P9" s="3" t="str">
        <f>=SUMIFS(TblBudgetAusgaben[Betrag (EUR)],TblBudgetAusgaben[Kostenkategorie],"Evaluierung")</f>
      </c>
    </row>
    <row r="10" ht="22" customHeight="true">
      <c r="B10" s="45" t="s">
        <v>15</v>
      </c>
      <c r="D10" s="27" t="s">
        <v>16</v>
      </c>
      <c r="E10" s="28" t="str">
        <f>=SUM(TblDrittmittel[Betrag (LC)])</f>
      </c>
      <c r="F10" s="5"/>
      <c r="G10" s="5"/>
      <c r="H10" s="5"/>
      <c r="I10" s="47" t="str">
        <f>=SUM(TblDrittmittel[Betrag (EUR)])</f>
      </c>
      <c r="K10" s="62" t="s">
        <v>5</v>
      </c>
      <c r="L10" s="62"/>
      <c r="M10" s="62"/>
      <c r="O10" s="3" t="str">
        <f>=SUMIFS(TblBudgetAusgaben[Betrag (LC)],TblBudgetAusgaben[Kostenkategorie],"Audit")</f>
      </c>
      <c r="P10" s="3" t="str">
        <f>=SUMIFS(TblBudgetAusgaben[Betrag (EUR)],TblBudgetAusgaben[Kostenkategorie],"Audit")</f>
      </c>
    </row>
    <row r="11">
      <c r="B11" s="39"/>
      <c r="I11" s="40"/>
      <c r="K11" s="62"/>
      <c r="L11" s="62"/>
      <c r="M11" s="62"/>
      <c r="O11" s="3" t="str">
        <f>=SUMIFS(TblBudgetAusgaben[Betrag (LC)],TblBudgetAusgaben[Kostenkategorie],"Reserve")</f>
      </c>
      <c r="P11" s="3" t="str">
        <f>=SUMIFS(TblBudgetAusgaben[Betrag (EUR)],TblBudgetAusgaben[Kostenkategorie],"Reserve")</f>
      </c>
    </row>
    <row r="12" ht="20" customHeight="true">
      <c r="B12" s="43" t="s">
        <v>17</v>
      </c>
      <c r="C12" s="25"/>
      <c r="D12" s="25"/>
      <c r="E12" s="25"/>
      <c r="F12" s="25"/>
      <c r="G12" s="25"/>
      <c r="H12" s="25"/>
      <c r="I12" s="44"/>
      <c r="K12" s="62"/>
      <c r="L12" s="62"/>
      <c r="M12" s="62"/>
      <c r="O12" s="3" t="str">
        <f>=SUBTOTAL(109,TblBudgetAusgaben[Betrag (LC)])</f>
      </c>
      <c r="P12" s="3" t="str">
        <f>=SUBTOTAL(109,TblBudgetAusgaben[Betrag (EUR)])</f>
      </c>
    </row>
    <row r="13" ht="22" customHeight="true">
      <c r="B13" s="45" t="s">
        <v>18</v>
      </c>
      <c r="E13" s="5"/>
      <c r="F13" s="5"/>
      <c r="G13" s="5"/>
      <c r="H13" s="5"/>
      <c r="I13" s="46"/>
      <c r="K13" s="62"/>
      <c r="L13" s="62"/>
      <c r="M13" s="62"/>
    </row>
    <row r="14">
      <c r="B14" s="39"/>
      <c r="I14" s="40"/>
    </row>
    <row r="15" ht="20" customHeight="true">
      <c r="B15" s="48" t="s">
        <v>19</v>
      </c>
      <c r="C15" s="32"/>
      <c r="D15" s="32"/>
      <c r="E15" s="32" t="str">
        <f>=E7+E10+E13</f>
      </c>
      <c r="F15" s="32" t="str">
        <f>=F7+F10+F13</f>
      </c>
      <c r="G15" s="32" t="str">
        <f>=G7+G10+G13</f>
      </c>
      <c r="H15" s="32" t="str">
        <f>=H7+H10+H13</f>
      </c>
      <c r="I15" s="49" t="str">
        <f>=I7+I10+I13</f>
      </c>
      <c r="K15" s="17" t="s">
        <v>1</v>
      </c>
      <c r="L15" s="18"/>
      <c r="M15" s="19"/>
    </row>
    <row r="16">
      <c r="B16" s="39"/>
      <c r="I16" s="40"/>
      <c r="K16" s="20" t="s">
        <v>2</v>
      </c>
      <c r="L16" s="7" t="s">
        <v>3</v>
      </c>
      <c r="M16" s="21" t="s">
        <v>4</v>
      </c>
    </row>
    <row r="17" ht="24" customHeight="true">
      <c r="B17" s="41" t="s">
        <v>20</v>
      </c>
      <c r="C17" s="22"/>
      <c r="D17" s="22"/>
      <c r="E17" s="22"/>
      <c r="F17" s="22"/>
      <c r="G17" s="22"/>
      <c r="H17" s="22"/>
      <c r="I17" s="42"/>
      <c r="K17" s="8" t="s">
        <v>5</v>
      </c>
      <c r="L17" s="9"/>
      <c r="M17" s="10"/>
    </row>
    <row r="18">
      <c r="B18" s="20" t="s">
        <v>21</v>
      </c>
      <c r="C18" s="7" t="s">
        <v>22</v>
      </c>
      <c r="D18" s="7" t="s">
        <v>23</v>
      </c>
      <c r="E18" s="7" t="s">
        <v>3</v>
      </c>
      <c r="F18" s="7" t="s">
        <v>9</v>
      </c>
      <c r="G18" s="7" t="s">
        <v>10</v>
      </c>
      <c r="H18" s="7" t="s">
        <v>11</v>
      </c>
      <c r="I18" s="21" t="s">
        <v>4</v>
      </c>
      <c r="K18" s="11" t="s">
        <v>5</v>
      </c>
      <c r="L18" s="12"/>
      <c r="M18" s="13"/>
    </row>
    <row r="19">
      <c r="B19" s="8" t="s">
        <v>24</v>
      </c>
      <c r="C19" s="9" t="str">
        <f>=IF(B19="","",MATCH(B19,{"Bauausgaben";"Investitionen";"Personalkosten";"Projektaktivitaeten";"Projektverwaltung";"Evaluierung";"Audit";"Reserve"},0)&amp;"."&amp;COUNTIF(B$19:B19,B19))</f>
      </c>
      <c r="D19" s="9" t="s">
        <v>5</v>
      </c>
      <c r="E19" s="9"/>
      <c r="F19" s="9"/>
      <c r="G19" s="9"/>
      <c r="H19" s="9"/>
      <c r="I19" s="10"/>
      <c r="K19" s="14" t="s">
        <v>5</v>
      </c>
      <c r="L19" s="15"/>
      <c r="M19" s="16"/>
    </row>
    <row r="20">
      <c r="B20" s="11" t="s">
        <v>25</v>
      </c>
      <c r="C20" s="12" t="str">
        <f>=IF(B20="","",MATCH(B20,{"Bauausgaben";"Investitionen";"Personalkosten";"Projektaktivitaeten";"Projektverwaltung";"Evaluierung";"Audit";"Reserve"},0)&amp;"."&amp;COUNTIF(B$19:B20,B20))</f>
      </c>
      <c r="D20" s="12" t="s">
        <v>5</v>
      </c>
      <c r="E20" s="12"/>
      <c r="F20" s="12"/>
      <c r="G20" s="12"/>
      <c r="H20" s="12"/>
      <c r="I20" s="13"/>
    </row>
    <row r="21">
      <c r="B21" s="11" t="s">
        <v>26</v>
      </c>
      <c r="C21" s="12" t="str">
        <f>=IF(B21="","",MATCH(B21,{"Bauausgaben";"Investitionen";"Personalkosten";"Projektaktivitaeten";"Projektverwaltung";"Evaluierung";"Audit";"Reserve"},0)&amp;"."&amp;COUNTIF(B$19:B21,B21))</f>
      </c>
      <c r="D21" s="12" t="s">
        <v>5</v>
      </c>
      <c r="E21" s="12"/>
      <c r="F21" s="12"/>
      <c r="G21" s="12"/>
      <c r="H21" s="12"/>
      <c r="I21" s="13"/>
    </row>
    <row r="22">
      <c r="B22" s="11" t="s">
        <v>27</v>
      </c>
      <c r="C22" s="12" t="str">
        <f>=IF(B22="","",MATCH(B22,{"Bauausgaben";"Investitionen";"Personalkosten";"Projektaktivitaeten";"Projektverwaltung";"Evaluierung";"Audit";"Reserve"},0)&amp;"."&amp;COUNTIF(B$19:B22,B22))</f>
      </c>
      <c r="D22" s="12" t="s">
        <v>5</v>
      </c>
      <c r="E22" s="12"/>
      <c r="F22" s="12"/>
      <c r="G22" s="12"/>
      <c r="H22" s="12"/>
      <c r="I22" s="13"/>
    </row>
    <row r="23">
      <c r="B23" s="11" t="s">
        <v>28</v>
      </c>
      <c r="C23" s="12" t="str">
        <f>=IF(B23="","",MATCH(B23,{"Bauausgaben";"Investitionen";"Personalkosten";"Projektaktivitaeten";"Projektverwaltung";"Evaluierung";"Audit";"Reserve"},0)&amp;"."&amp;COUNTIF(B$19:B23,B23))</f>
      </c>
      <c r="D23" s="12" t="s">
        <v>5</v>
      </c>
      <c r="E23" s="12"/>
      <c r="F23" s="12"/>
      <c r="G23" s="12"/>
      <c r="H23" s="12"/>
      <c r="I23" s="13"/>
    </row>
    <row r="24">
      <c r="B24" s="11" t="s">
        <v>29</v>
      </c>
      <c r="C24" s="12" t="str">
        <f>=IF(B24="","",MATCH(B24,{"Bauausgaben";"Investitionen";"Personalkosten";"Projektaktivitaeten";"Projektverwaltung";"Evaluierung";"Audit";"Reserve"},0)&amp;"."&amp;COUNTIF(B$19:B24,B24))</f>
      </c>
      <c r="D24" s="12" t="s">
        <v>5</v>
      </c>
      <c r="E24" s="12"/>
      <c r="F24" s="12"/>
      <c r="G24" s="12"/>
      <c r="H24" s="12"/>
      <c r="I24" s="13"/>
    </row>
    <row r="25">
      <c r="B25" s="11" t="s">
        <v>30</v>
      </c>
      <c r="C25" s="12" t="str">
        <f>=IF(B25="","",MATCH(B25,{"Bauausgaben";"Investitionen";"Personalkosten";"Projektaktivitaeten";"Projektverwaltung";"Evaluierung";"Audit";"Reserve"},0)&amp;"."&amp;COUNTIF(B$19:B25,B25))</f>
      </c>
      <c r="D25" s="12" t="s">
        <v>5</v>
      </c>
      <c r="E25" s="12"/>
      <c r="F25" s="12"/>
      <c r="G25" s="12"/>
      <c r="H25" s="12"/>
      <c r="I25" s="13"/>
    </row>
    <row r="26">
      <c r="B26" s="14" t="s">
        <v>31</v>
      </c>
      <c r="C26" s="15" t="str">
        <f>=IF(B26="","",MATCH(B26,{"Bauausgaben";"Investitionen";"Personalkosten";"Projektaktivitaeten";"Projektverwaltung";"Evaluierung";"Audit";"Reserve"},0)&amp;"."&amp;COUNTIF(B$19:B26,B26))</f>
      </c>
      <c r="D26" s="15" t="s">
        <v>5</v>
      </c>
      <c r="E26" s="15"/>
      <c r="F26" s="15"/>
      <c r="G26" s="15"/>
      <c r="H26" s="15"/>
      <c r="I26" s="16"/>
    </row>
    <row r="27" ht="20" customHeight="true">
      <c r="B27" s="50" t="s">
        <v>32</v>
      </c>
      <c r="C27" s="51"/>
      <c r="D27" s="51"/>
      <c r="E27" s="51" t="str">
        <f>=SUBTOTAL(109,TblBudgetAusgaben[Betrag (LC)])</f>
      </c>
      <c r="F27" s="51" t="str">
        <f>=SUBTOTAL(109,TblBudgetAusgaben[Jahr 1])</f>
      </c>
      <c r="G27" s="51" t="str">
        <f>=SUBTOTAL(109,TblBudgetAusgaben[Jahr 2])</f>
      </c>
      <c r="H27" s="51" t="str">
        <f>=SUBTOTAL(109,TblBudgetAusgaben[Jahr 3])</f>
      </c>
      <c r="I27" s="52" t="str">
        <f>=SUBTOTAL(109,TblBudgetAusgaben[Betrag (EUR)])</f>
      </c>
    </row>
    <row r="29">
      <c r="B29" s="8" t="s">
        <v>36</v>
      </c>
      <c r="C29" s="9"/>
      <c r="D29" s="9"/>
      <c r="E29" s="10"/>
    </row>
    <row r="30">
      <c r="B30" s="11" t="s">
        <v>37</v>
      </c>
      <c r="C30" s="12"/>
      <c r="D30" s="12"/>
      <c r="E30" s="13" t="str">
        <f>=IF(ROUND($E$15-$O$12,2)=0,"OK","Abweichung")</f>
      </c>
    </row>
    <row r="31">
      <c r="B31" s="11" t="s">
        <v>38</v>
      </c>
      <c r="C31" s="12"/>
      <c r="D31" s="12"/>
      <c r="E31" s="13" t="str">
        <f>=IF(ROUND($I$15-$P$12,2)=0,"OK","Abweichung")</f>
      </c>
    </row>
    <row r="32">
      <c r="B32" s="11" t="s">
        <v>39</v>
      </c>
      <c r="C32" s="12"/>
      <c r="D32" s="12"/>
      <c r="E32" s="13" t="str">
        <f>=IF(ROUND($H$4,4)=ROUND(IFERROR($O$12/$P$12,0),4),"OK","Abweichung")</f>
      </c>
    </row>
    <row r="33">
      <c r="B33" s="11" t="s">
        <v>40</v>
      </c>
      <c r="C33" s="12"/>
      <c r="D33" s="12"/>
      <c r="E33" s="13" t="str">
        <f>=IF(ROUND(($F$15+$G$15+$H$15)-$E$15,2)=0,"OK","Abweichung")</f>
      </c>
    </row>
    <row r="34">
      <c r="B34" s="14" t="s">
        <v>41</v>
      </c>
      <c r="C34" s="15"/>
      <c r="D34" s="15"/>
      <c r="E34" s="16" t="str">
        <f>=IF(ROUND(($F$27+$G$27+$H$27)-$O$12,2)=0,"OK","Abweichung")</f>
      </c>
    </row>
  </sheetData>
  <mergeCells count="9">
    <mergeCell ref="K15:M15"/>
    <mergeCell ref="K9:M9"/>
    <mergeCell ref="K10:M13"/>
    <mergeCell ref="B29:E29"/>
    <mergeCell ref="B30:D30"/>
    <mergeCell ref="B31:D31"/>
    <mergeCell ref="B32:D32"/>
    <mergeCell ref="B33:D33"/>
    <mergeCell ref="B34:D34"/>
  </mergeCells>
  <dataValidations count="1">
    <dataValidation allowBlank="true" sqref="B19:B26" type="list">
      <formula1>"Bauausgaben,Investitionen,Personalkosten,Projektaktivitaeten,Projektverwaltung,Evaluierung,Audit,Reserve"</formula1>
    </dataValidation>
  </dataValidations>
  <tableParts count="2">
    <tablePart r:id="rId1"/>
    <tablePart r:id="rId2"/>
  </tableParts>
</worksheet>
</file>

<file path=docProps/app.xml><?xml version="1.0" encoding="utf-8"?>
<Properties xmlns="http://schemas.openxmlformats.org/officeDocument/2006/extended-properties" xmlns:vt="http://schemas.openxmlformats.org/officeDocument/2006/docPropsVTypes">
  <TotalTime>0</TotalTime>
  <Application>Go Excelize</Applicat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xuri</dc:creator>
  <dcterms:created xsi:type="dcterms:W3CDTF">2006-09-16T00:00:00Z</dcterms:created>
  <dcterms:modified xsi:type="dcterms:W3CDTF">2006-09-16T00:00:00Z</dcterms:modified>
</cp:coreProperties>
</file>