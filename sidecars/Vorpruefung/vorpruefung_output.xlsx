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Daten" sheetId="7" r:id="rId10"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s>
  <calcPr calcId="122211"/>
</workbook>
</file>

<file path=xl/sharedStrings.xml><?xml version="1.0" encoding="utf-8"?>
<sst xmlns="http://schemas.openxmlformats.org/spreadsheetml/2006/main" count="319" uniqueCount="319">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</sst>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7">
    <numFmt numFmtId="164" formatCode="dd.mm.yyyy"/>
    <numFmt numFmtId="165" formatCode="0.0000"/>
    <numFmt numFmtId="166" formatCode="#,##0.00"/>
    <numFmt numFmtId="167" formatCode="#,##0.00&quot; €&quot;"/>
    <numFmt numFmtId="168" formatCode="0.000000"/>
    <numFmt numFmtId="169" formatCode="@"/>
    <numFmt numFmtId="170" formatCode="DD.MM.YYYY"/>
  </numFmts>
  <fonts count="21">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s>
  <fills count="11">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s>
  <borders count="5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s>
  <cellStyleXfs count="1">
    <xf numFmtId="0" fontId="0" fillId="0" borderId="0"/>
  </cellStyleXfs>
  <cellXfs count="19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2" fillId="7" borderId="0" xfId="0" applyFont="true" applyFill="true" applyAlignment="true">
      <alignment/>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name="TableStyleNone"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7">
  <autoFilter ref="B18:F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xml><?xml version="1.0" encoding="utf-8"?>
<table xmlns="http://schemas.openxmlformats.org/spreadsheetml/2006/main" id="5" name="Einnahmen_1" displayName="Einnahmen_1" ref="B40:F46">
  <autoFilter ref="B40:F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6.xml><?xml version="1.0" encoding="utf-8"?>
<table xmlns="http://schemas.openxmlformats.org/spreadsheetml/2006/main" id="6" name="Einnahmen_WK_1" displayName="Einnahmen_WK_1" ref="B49:F56">
  <autoFilter ref="B49:F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7.xml><?xml version="1.0" encoding="utf-8"?>
<table xmlns="http://schemas.openxmlformats.org/spreadsheetml/2006/main" id="7" name="Ausgaben_2" displayName="Ausgaben_2" ref="I18:M27">
  <autoFilter ref="I18:M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8.xml><?xml version="1.0" encoding="utf-8"?>
<table xmlns="http://schemas.openxmlformats.org/spreadsheetml/2006/main" id="8" name="Einnahmen_2" displayName="Einnahmen_2" ref="I40:M46">
  <autoFilter ref="I40:M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9.xml><?xml version="1.0" encoding="utf-8"?>
<table xmlns="http://schemas.openxmlformats.org/spreadsheetml/2006/main" id="9" name="Einnahmen_WK_2" displayName="Einnahmen_WK_2" ref="I49:M56">
  <autoFilter ref="I49:M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0.xml><?xml version="1.0" encoding="utf-8"?>
<table xmlns="http://schemas.openxmlformats.org/spreadsheetml/2006/main" id="10" name="Ausgaben_3" displayName="Ausgaben_3" ref="P18:T27">
  <autoFilter ref="P18:T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1.xml><?xml version="1.0" encoding="utf-8"?>
<table xmlns="http://schemas.openxmlformats.org/spreadsheetml/2006/main" id="11" name="Einnahmen_3" displayName="Einnahmen_3" ref="P40:T46">
  <autoFilter ref="P40:T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2.xml><?xml version="1.0" encoding="utf-8"?>
<table xmlns="http://schemas.openxmlformats.org/spreadsheetml/2006/main" id="12" name="Einnahmen_WK_3" displayName="Einnahmen_WK_3" ref="P49:T56">
  <autoFilter ref="P49:T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3.xml><?xml version="1.0" encoding="utf-8"?>
<table xmlns="http://schemas.openxmlformats.org/spreadsheetml/2006/main" id="13" name="Ausgaben_4" displayName="Ausgaben_4" ref="W18:AA27">
  <autoFilter ref="W18:AA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4.xml><?xml version="1.0" encoding="utf-8"?>
<table xmlns="http://schemas.openxmlformats.org/spreadsheetml/2006/main" id="14" name="Einnahmen_4" displayName="Einnahmen_4" ref="W40:AA46">
  <autoFilter ref="W40:AA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5.xml><?xml version="1.0" encoding="utf-8"?>
<table xmlns="http://schemas.openxmlformats.org/spreadsheetml/2006/main" id="15" name="Einnahmen_WK_4" displayName="Einnahmen_WK_4" ref="W49:AA56">
  <autoFilter ref="W49:AA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6.xml><?xml version="1.0" encoding="utf-8"?>
<table xmlns="http://schemas.openxmlformats.org/spreadsheetml/2006/main" id="16" name="Ausgaben_5" displayName="Ausgaben_5" ref="AD18:AH27">
  <autoFilter ref="AD18:AH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7.xml><?xml version="1.0" encoding="utf-8"?>
<table xmlns="http://schemas.openxmlformats.org/spreadsheetml/2006/main" id="17" name="Einnahmen_5" displayName="Einnahmen_5" ref="AD40:AH46">
  <autoFilter ref="AD40:AH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8.xml><?xml version="1.0" encoding="utf-8"?>
<table xmlns="http://schemas.openxmlformats.org/spreadsheetml/2006/main" id="18" name="Einnahmen_WK_5" displayName="Einnahmen_WK_5" ref="AD49:AH56">
  <autoFilter ref="AD49:AH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9.xml><?xml version="1.0" encoding="utf-8"?>
<table xmlns="http://schemas.openxmlformats.org/spreadsheetml/2006/main" id="19" name="Ausgaben_6" displayName="Ausgaben_6" ref="AK18:AO27">
  <autoFilter ref="AK18:AO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0.xml><?xml version="1.0" encoding="utf-8"?>
<table xmlns="http://schemas.openxmlformats.org/spreadsheetml/2006/main" id="20" name="Einnahmen_6" displayName="Einnahmen_6" ref="AK40:AO46">
  <autoFilter ref="AK40:AO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1.xml><?xml version="1.0" encoding="utf-8"?>
<table xmlns="http://schemas.openxmlformats.org/spreadsheetml/2006/main" id="21" name="Einnahmen_WK_6" displayName="Einnahmen_WK_6" ref="AK49:AO56">
  <autoFilter ref="AK49:AO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2.xml><?xml version="1.0" encoding="utf-8"?>
<table xmlns="http://schemas.openxmlformats.org/spreadsheetml/2006/main" id="22" name="Ausgaben_7" displayName="Ausgaben_7" ref="AR18:AV27">
  <autoFilter ref="AR18:AV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3.xml><?xml version="1.0" encoding="utf-8"?>
<table xmlns="http://schemas.openxmlformats.org/spreadsheetml/2006/main" id="23" name="Einnahmen_7" displayName="Einnahmen_7" ref="AR40:AV46">
  <autoFilter ref="AR40:AV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4.xml><?xml version="1.0" encoding="utf-8"?>
<table xmlns="http://schemas.openxmlformats.org/spreadsheetml/2006/main" id="24" name="Einnahmen_WK_7" displayName="Einnahmen_WK_7" ref="AR49:AV56">
  <autoFilter ref="AR49:AV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5.xml><?xml version="1.0" encoding="utf-8"?>
<table xmlns="http://schemas.openxmlformats.org/spreadsheetml/2006/main" id="25" name="Ausgaben_8" displayName="Ausgaben_8" ref="AY18:BC27">
  <autoFilter ref="AY18:BC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6.xml><?xml version="1.0" encoding="utf-8"?>
<table xmlns="http://schemas.openxmlformats.org/spreadsheetml/2006/main" id="26" name="Einnahmen_8" displayName="Einnahmen_8" ref="AY40:BC46">
  <autoFilter ref="AY40:BC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7.xml><?xml version="1.0" encoding="utf-8"?>
<table xmlns="http://schemas.openxmlformats.org/spreadsheetml/2006/main" id="27" name="Einnahmen_WK_8" displayName="Einnahmen_WK_8" ref="AY49:BC56">
  <autoFilter ref="AY49:BC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8.xml><?xml version="1.0" encoding="utf-8"?>
<table xmlns="http://schemas.openxmlformats.org/spreadsheetml/2006/main" id="28" name="Ausgaben_9" displayName="Ausgaben_9" ref="BF18:BJ27">
  <autoFilter ref="BF18:BJ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9.xml><?xml version="1.0" encoding="utf-8"?>
<table xmlns="http://schemas.openxmlformats.org/spreadsheetml/2006/main" id="29" name="Einnahmen_9" displayName="Einnahmen_9" ref="BF40:BJ46">
  <autoFilter ref="BF40:BJ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0.xml><?xml version="1.0" encoding="utf-8"?>
<table xmlns="http://schemas.openxmlformats.org/spreadsheetml/2006/main" id="30" name="Einnahmen_WK_9" displayName="Einnahmen_WK_9" ref="BF49:BJ56">
  <autoFilter ref="BF49:BJ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1.xml><?xml version="1.0" encoding="utf-8"?>
<table xmlns="http://schemas.openxmlformats.org/spreadsheetml/2006/main" id="31" name="Ausgaben_10" displayName="Ausgaben_10" ref="BM18:BQ27">
  <autoFilter ref="BM18:BQ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2.xml><?xml version="1.0" encoding="utf-8"?>
<table xmlns="http://schemas.openxmlformats.org/spreadsheetml/2006/main" id="32" name="Einnahmen_10" displayName="Einnahmen_10" ref="BM40:BQ46">
  <autoFilter ref="BM40:BQ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3.xml><?xml version="1.0" encoding="utf-8"?>
<table xmlns="http://schemas.openxmlformats.org/spreadsheetml/2006/main" id="33" name="Einnahmen_WK_10" displayName="Einnahmen_WK_10" ref="BM49:BQ56">
  <autoFilter ref="BM49:BQ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4.xml><?xml version="1.0" encoding="utf-8"?>
<table xmlns="http://schemas.openxmlformats.org/spreadsheetml/2006/main" id="34" name="Ausgaben_11" displayName="Ausgaben_11" ref="BT18:BX27">
  <autoFilter ref="BT18:BX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5.xml><?xml version="1.0" encoding="utf-8"?>
<table xmlns="http://schemas.openxmlformats.org/spreadsheetml/2006/main" id="35" name="Einnahmen_11" displayName="Einnahmen_11" ref="BT40:BX46">
  <autoFilter ref="BT40:BX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6.xml><?xml version="1.0" encoding="utf-8"?>
<table xmlns="http://schemas.openxmlformats.org/spreadsheetml/2006/main" id="36" name="Einnahmen_WK_11" displayName="Einnahmen_WK_11" ref="BT49:BX56">
  <autoFilter ref="BT49:BX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7.xml><?xml version="1.0" encoding="utf-8"?>
<table xmlns="http://schemas.openxmlformats.org/spreadsheetml/2006/main" id="37" name="Ausgaben_12" displayName="Ausgaben_12" ref="CA18:CE27">
  <autoFilter ref="CA18:CE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8.xml><?xml version="1.0" encoding="utf-8"?>
<table xmlns="http://schemas.openxmlformats.org/spreadsheetml/2006/main" id="38" name="Einnahmen_12" displayName="Einnahmen_12" ref="CA40:CE46">
  <autoFilter ref="CA40:CE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9.xml><?xml version="1.0" encoding="utf-8"?>
<table xmlns="http://schemas.openxmlformats.org/spreadsheetml/2006/main" id="39" name="Einnahmen_WK_12" displayName="Einnahmen_WK_12" ref="CA49:CE56">
  <autoFilter ref="CA49:CE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0.xml><?xml version="1.0" encoding="utf-8"?>
<table xmlns="http://schemas.openxmlformats.org/spreadsheetml/2006/main" id="40" name="Ausgaben_13" displayName="Ausgaben_13" ref="CH18:CL27">
  <autoFilter ref="CH18:CL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1.xml><?xml version="1.0" encoding="utf-8"?>
<table xmlns="http://schemas.openxmlformats.org/spreadsheetml/2006/main" id="41" name="Einnahmen_13" displayName="Einnahmen_13" ref="CH40:CL46">
  <autoFilter ref="CH40:CL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2.xml><?xml version="1.0" encoding="utf-8"?>
<table xmlns="http://schemas.openxmlformats.org/spreadsheetml/2006/main" id="42" name="Einnahmen_WK_13" displayName="Einnahmen_WK_13" ref="CH49:CL56">
  <autoFilter ref="CH49:CL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3.xml><?xml version="1.0" encoding="utf-8"?>
<table xmlns="http://schemas.openxmlformats.org/spreadsheetml/2006/main" id="43" name="Ausgaben_14" displayName="Ausgaben_14" ref="CO18:CS27">
  <autoFilter ref="CO18:CS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4.xml><?xml version="1.0" encoding="utf-8"?>
<table xmlns="http://schemas.openxmlformats.org/spreadsheetml/2006/main" id="44" name="Einnahmen_14" displayName="Einnahmen_14" ref="CO40:CS46">
  <autoFilter ref="CO40:CS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5.xml><?xml version="1.0" encoding="utf-8"?>
<table xmlns="http://schemas.openxmlformats.org/spreadsheetml/2006/main" id="45" name="Einnahmen_WK_14" displayName="Einnahmen_WK_14" ref="CO49:CS56">
  <autoFilter ref="CO49:CS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6.xml><?xml version="1.0" encoding="utf-8"?>
<table xmlns="http://schemas.openxmlformats.org/spreadsheetml/2006/main" id="46" name="Ausgaben_15" displayName="Ausgaben_15" ref="CV18:CZ27">
  <autoFilter ref="CV18:CZ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7.xml><?xml version="1.0" encoding="utf-8"?>
<table xmlns="http://schemas.openxmlformats.org/spreadsheetml/2006/main" id="47" name="Einnahmen_15" displayName="Einnahmen_15" ref="CV40:CZ46">
  <autoFilter ref="CV40:CZ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8.xml><?xml version="1.0" encoding="utf-8"?>
<table xmlns="http://schemas.openxmlformats.org/spreadsheetml/2006/main" id="48" name="Einnahmen_WK_15" displayName="Einnahmen_WK_15" ref="CV49:CZ56">
  <autoFilter ref="CV49:CZ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9.xml><?xml version="1.0" encoding="utf-8"?>
<table xmlns="http://schemas.openxmlformats.org/spreadsheetml/2006/main" id="49" name="Ausgaben_16" displayName="Ausgaben_16" ref="DC18:DG27">
  <autoFilter ref="DC18:DG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0.xml><?xml version="1.0" encoding="utf-8"?>
<table xmlns="http://schemas.openxmlformats.org/spreadsheetml/2006/main" id="50" name="Einnahmen_16" displayName="Einnahmen_16" ref="DC40:DG46">
  <autoFilter ref="DC40:DG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1.xml><?xml version="1.0" encoding="utf-8"?>
<table xmlns="http://schemas.openxmlformats.org/spreadsheetml/2006/main" id="51" name="Einnahmen_WK_16" displayName="Einnahmen_WK_16" ref="DC49:DG56">
  <autoFilter ref="DC49:DG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2.xml><?xml version="1.0" encoding="utf-8"?>
<table xmlns="http://schemas.openxmlformats.org/spreadsheetml/2006/main" id="52" name="Ausgaben_17" displayName="Ausgaben_17" ref="DJ18:DN27">
  <autoFilter ref="DJ18:DN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3.xml><?xml version="1.0" encoding="utf-8"?>
<table xmlns="http://schemas.openxmlformats.org/spreadsheetml/2006/main" id="53" name="Einnahmen_17" displayName="Einnahmen_17" ref="DJ40:DN46">
  <autoFilter ref="DJ40:DN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4.xml><?xml version="1.0" encoding="utf-8"?>
<table xmlns="http://schemas.openxmlformats.org/spreadsheetml/2006/main" id="54" name="Einnahmen_WK_17" displayName="Einnahmen_WK_17" ref="DJ49:DN56">
  <autoFilter ref="DJ49:DN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5.xml><?xml version="1.0" encoding="utf-8"?>
<table xmlns="http://schemas.openxmlformats.org/spreadsheetml/2006/main" id="55" name="Ausgaben_18" displayName="Ausgaben_18" ref="DQ18:DU27">
  <autoFilter ref="DQ18:DU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6.xml><?xml version="1.0" encoding="utf-8"?>
<table xmlns="http://schemas.openxmlformats.org/spreadsheetml/2006/main" id="56" name="Einnahmen_18" displayName="Einnahmen_18" ref="DQ40:DU46">
  <autoFilter ref="DQ40:DU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7.xml><?xml version="1.0" encoding="utf-8"?>
<table xmlns="http://schemas.openxmlformats.org/spreadsheetml/2006/main" id="57" name="Einnahmen_WK_18" displayName="Einnahmen_WK_18" ref="DQ49:DU56">
  <autoFilter ref="DQ49:DU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8.xml><?xml version="1.0" encoding="utf-8"?>
<table xmlns="http://schemas.openxmlformats.org/spreadsheetml/2006/main" id="58" name="MA_1" displayName="MA_1" ref="B9:D18">
  <autoFilter ref="B9:D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59.xml><?xml version="1.0" encoding="utf-8"?>
<table xmlns="http://schemas.openxmlformats.org/spreadsheetml/2006/main" id="59" name="MA_2" displayName="MA_2" ref="F9:H18">
  <autoFilter ref="F9:H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0.xml><?xml version="1.0" encoding="utf-8"?>
<table xmlns="http://schemas.openxmlformats.org/spreadsheetml/2006/main" id="60" name="MA_3" displayName="MA_3" ref="J9:L18">
  <autoFilter ref="J9:L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1.xml><?xml version="1.0" encoding="utf-8"?>
<table xmlns="http://schemas.openxmlformats.org/spreadsheetml/2006/main" id="61" name="MA_4" displayName="MA_4" ref="N9:P18">
  <autoFilter ref="N9:P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2.xml><?xml version="1.0" encoding="utf-8"?>
<table xmlns="http://schemas.openxmlformats.org/spreadsheetml/2006/main" id="62" name="MA_5" displayName="MA_5" ref="R9:T18">
  <autoFilter ref="R9:T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3.xml><?xml version="1.0" encoding="utf-8"?>
<table xmlns="http://schemas.openxmlformats.org/spreadsheetml/2006/main" id="63" name="MA_6" displayName="MA_6" ref="V9:X18">
  <autoFilter ref="V9:X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4.xml><?xml version="1.0" encoding="utf-8"?>
<table xmlns="http://schemas.openxmlformats.org/spreadsheetml/2006/main" id="64" name="MA_7" displayName="MA_7" ref="Z9:AB18">
  <autoFilter ref="Z9:AB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5.xml><?xml version="1.0" encoding="utf-8"?>
<table xmlns="http://schemas.openxmlformats.org/spreadsheetml/2006/main" id="65" name="MA_8" displayName="MA_8" ref="AD9:AF18">
  <autoFilter ref="AD9:AF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6.xml><?xml version="1.0" encoding="utf-8"?>
<table xmlns="http://schemas.openxmlformats.org/spreadsheetml/2006/main" id="66" name="MA_9" displayName="MA_9" ref="AH9:AJ18">
  <autoFilter ref="AH9:AJ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7.xml><?xml version="1.0" encoding="utf-8"?>
<table xmlns="http://schemas.openxmlformats.org/spreadsheetml/2006/main" id="67" name="MA_10" displayName="MA_10" ref="AL9:AN18">
  <autoFilter ref="AL9:AN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8.xml><?xml version="1.0" encoding="utf-8"?>
<table xmlns="http://schemas.openxmlformats.org/spreadsheetml/2006/main" id="68" name="MA_11" displayName="MA_11" ref="AP9:AR18">
  <autoFilter ref="AP9:AR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9.xml><?xml version="1.0" encoding="utf-8"?>
<table xmlns="http://schemas.openxmlformats.org/spreadsheetml/2006/main" id="69" name="MA_12" displayName="MA_12" ref="AT9:AV18">
  <autoFilter ref="AT9:AV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0.xml><?xml version="1.0" encoding="utf-8"?>
<table xmlns="http://schemas.openxmlformats.org/spreadsheetml/2006/main" id="70" name="MA_13" displayName="MA_13" ref="AX9:AZ18">
  <autoFilter ref="AX9:AZ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1.xml><?xml version="1.0" encoding="utf-8"?>
<table xmlns="http://schemas.openxmlformats.org/spreadsheetml/2006/main" id="71" name="MA_14" displayName="MA_14" ref="BB9:BD18">
  <autoFilter ref="BB9:BD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2.xml><?xml version="1.0" encoding="utf-8"?>
<table xmlns="http://schemas.openxmlformats.org/spreadsheetml/2006/main" id="72" name="MA_15" displayName="MA_15" ref="BF9:BH18">
  <autoFilter ref="BF9:BH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3.xml><?xml version="1.0" encoding="utf-8"?>
<table xmlns="http://schemas.openxmlformats.org/spreadsheetml/2006/main" id="73" name="MA_16" displayName="MA_16" ref="BJ9:BL18">
  <autoFilter ref="BJ9:BL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4.xml><?xml version="1.0" encoding="utf-8"?>
<table xmlns="http://schemas.openxmlformats.org/spreadsheetml/2006/main" id="74" name="MA_17" displayName="MA_17" ref="BN9:BP18">
  <autoFilter ref="BN9:BP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5.xml><?xml version="1.0" encoding="utf-8"?>
<table xmlns="http://schemas.openxmlformats.org/spreadsheetml/2006/main" id="75" name="MA_18" displayName="MA_18" ref="BR9:BT18">
  <autoFilter ref="BR9:BT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277</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277</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277</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277</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277</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277</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277</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277</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277</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277</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277</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277</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277</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277</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277</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277</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277</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277</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278</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278</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278</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278</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278</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278</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278</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278</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278</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278</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278</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278</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278</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278</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278</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278</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278</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278</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285</v>
      </c>
      <c r="C27" s="123" t="str">
        <f>=ROUND(SUBTOTAL(109,$C$19:$C$26),2)</f>
      </c>
      <c r="D27" s="124" t="str">
        <f>=ROUND(SUBTOTAL(109,$D$19:$D$26),2)</f>
      </c>
      <c r="E27" s="123" t="str">
        <f>=ROUND(SUBTOTAL(109,$E$19:$E$26),2)</f>
      </c>
      <c r="F27" s="150" t="str">
        <f>=ROUND(SUBTOTAL(109,$F$19:$F$26),2)</f>
      </c>
      <c r="I27" s="149" t="s">
        <v>285</v>
      </c>
      <c r="J27" s="123" t="str">
        <f>=ROUND(SUBTOTAL(109,$J$19:$J$26),2)</f>
      </c>
      <c r="K27" s="124" t="str">
        <f>=ROUND(SUBTOTAL(109,$K$19:$K$26),2)</f>
      </c>
      <c r="L27" s="123" t="str">
        <f>=ROUND(SUBTOTAL(109,$L$19:$L$26),2)</f>
      </c>
      <c r="M27" s="150" t="str">
        <f>=ROUND(SUBTOTAL(109,$M$19:$M$26),2)</f>
      </c>
      <c r="P27" s="149" t="s">
        <v>285</v>
      </c>
      <c r="Q27" s="123" t="str">
        <f>=ROUND(SUBTOTAL(109,$Q$19:$Q$26),2)</f>
      </c>
      <c r="R27" s="124" t="str">
        <f>=ROUND(SUBTOTAL(109,$R$19:$R$26),2)</f>
      </c>
      <c r="S27" s="123" t="str">
        <f>=ROUND(SUBTOTAL(109,$S$19:$S$26),2)</f>
      </c>
      <c r="T27" s="150" t="str">
        <f>=ROUND(SUBTOTAL(109,$T$19:$T$26),2)</f>
      </c>
      <c r="W27" s="149" t="s">
        <v>285</v>
      </c>
      <c r="X27" s="123" t="str">
        <f>=ROUND(SUBTOTAL(109,$X$19:$X$26),2)</f>
      </c>
      <c r="Y27" s="124" t="str">
        <f>=ROUND(SUBTOTAL(109,$Y$19:$Y$26),2)</f>
      </c>
      <c r="Z27" s="123" t="str">
        <f>=ROUND(SUBTOTAL(109,$Z$19:$Z$26),2)</f>
      </c>
      <c r="AA27" s="150" t="str">
        <f>=ROUND(SUBTOTAL(109,$AA$19:$AA$26),2)</f>
      </c>
      <c r="AD27" s="149" t="s">
        <v>285</v>
      </c>
      <c r="AE27" s="123" t="str">
        <f>=ROUND(SUBTOTAL(109,$AE$19:$AE$26),2)</f>
      </c>
      <c r="AF27" s="124" t="str">
        <f>=ROUND(SUBTOTAL(109,$AF$19:$AF$26),2)</f>
      </c>
      <c r="AG27" s="123" t="str">
        <f>=ROUND(SUBTOTAL(109,$AG$19:$AG$26),2)</f>
      </c>
      <c r="AH27" s="150" t="str">
        <f>=ROUND(SUBTOTAL(109,$AH$19:$AH$26),2)</f>
      </c>
      <c r="AK27" s="149" t="s">
        <v>285</v>
      </c>
      <c r="AL27" s="123" t="str">
        <f>=ROUND(SUBTOTAL(109,$AL$19:$AL$26),2)</f>
      </c>
      <c r="AM27" s="124" t="str">
        <f>=ROUND(SUBTOTAL(109,$AM$19:$AM$26),2)</f>
      </c>
      <c r="AN27" s="123" t="str">
        <f>=ROUND(SUBTOTAL(109,$AN$19:$AN$26),2)</f>
      </c>
      <c r="AO27" s="150" t="str">
        <f>=ROUND(SUBTOTAL(109,$AO$19:$AO$26),2)</f>
      </c>
      <c r="AR27" s="149" t="s">
        <v>285</v>
      </c>
      <c r="AS27" s="123" t="str">
        <f>=ROUND(SUBTOTAL(109,$AS$19:$AS$26),2)</f>
      </c>
      <c r="AT27" s="124" t="str">
        <f>=ROUND(SUBTOTAL(109,$AT$19:$AT$26),2)</f>
      </c>
      <c r="AU27" s="123" t="str">
        <f>=ROUND(SUBTOTAL(109,$AU$19:$AU$26),2)</f>
      </c>
      <c r="AV27" s="150" t="str">
        <f>=ROUND(SUBTOTAL(109,$AV$19:$AV$26),2)</f>
      </c>
      <c r="AY27" s="149" t="s">
        <v>285</v>
      </c>
      <c r="AZ27" s="123" t="str">
        <f>=ROUND(SUBTOTAL(109,$AZ$19:$AZ$26),2)</f>
      </c>
      <c r="BA27" s="124" t="str">
        <f>=ROUND(SUBTOTAL(109,$BA$19:$BA$26),2)</f>
      </c>
      <c r="BB27" s="123" t="str">
        <f>=ROUND(SUBTOTAL(109,$BB$19:$BB$26),2)</f>
      </c>
      <c r="BC27" s="150" t="str">
        <f>=ROUND(SUBTOTAL(109,$BC$19:$BC$26),2)</f>
      </c>
      <c r="BF27" s="149" t="s">
        <v>285</v>
      </c>
      <c r="BG27" s="123" t="str">
        <f>=ROUND(SUBTOTAL(109,$BG$19:$BG$26),2)</f>
      </c>
      <c r="BH27" s="124" t="str">
        <f>=ROUND(SUBTOTAL(109,$BH$19:$BH$26),2)</f>
      </c>
      <c r="BI27" s="123" t="str">
        <f>=ROUND(SUBTOTAL(109,$BI$19:$BI$26),2)</f>
      </c>
      <c r="BJ27" s="150" t="str">
        <f>=ROUND(SUBTOTAL(109,$BJ$19:$BJ$26),2)</f>
      </c>
      <c r="BM27" s="149" t="s">
        <v>285</v>
      </c>
      <c r="BN27" s="123" t="str">
        <f>=ROUND(SUBTOTAL(109,$BN$19:$BN$26),2)</f>
      </c>
      <c r="BO27" s="124" t="str">
        <f>=ROUND(SUBTOTAL(109,$BO$19:$BO$26),2)</f>
      </c>
      <c r="BP27" s="123" t="str">
        <f>=ROUND(SUBTOTAL(109,$BP$19:$BP$26),2)</f>
      </c>
      <c r="BQ27" s="150" t="str">
        <f>=ROUND(SUBTOTAL(109,$BQ$19:$BQ$26),2)</f>
      </c>
      <c r="BT27" s="149" t="s">
        <v>285</v>
      </c>
      <c r="BU27" s="123" t="str">
        <f>=ROUND(SUBTOTAL(109,$BU$19:$BU$26),2)</f>
      </c>
      <c r="BV27" s="124" t="str">
        <f>=ROUND(SUBTOTAL(109,$BV$19:$BV$26),2)</f>
      </c>
      <c r="BW27" s="123" t="str">
        <f>=ROUND(SUBTOTAL(109,$BW$19:$BW$26),2)</f>
      </c>
      <c r="BX27" s="150" t="str">
        <f>=ROUND(SUBTOTAL(109,$BX$19:$BX$26),2)</f>
      </c>
      <c r="CA27" s="149" t="s">
        <v>285</v>
      </c>
      <c r="CB27" s="123" t="str">
        <f>=ROUND(SUBTOTAL(109,$CB$19:$CB$26),2)</f>
      </c>
      <c r="CC27" s="124" t="str">
        <f>=ROUND(SUBTOTAL(109,$CC$19:$CC$26),2)</f>
      </c>
      <c r="CD27" s="123" t="str">
        <f>=ROUND(SUBTOTAL(109,$CD$19:$CD$26),2)</f>
      </c>
      <c r="CE27" s="150" t="str">
        <f>=ROUND(SUBTOTAL(109,$CE$19:$CE$26),2)</f>
      </c>
      <c r="CH27" s="149" t="s">
        <v>285</v>
      </c>
      <c r="CI27" s="123" t="str">
        <f>=ROUND(SUBTOTAL(109,$CI$19:$CI$26),2)</f>
      </c>
      <c r="CJ27" s="124" t="str">
        <f>=ROUND(SUBTOTAL(109,$CJ$19:$CJ$26),2)</f>
      </c>
      <c r="CK27" s="123" t="str">
        <f>=ROUND(SUBTOTAL(109,$CK$19:$CK$26),2)</f>
      </c>
      <c r="CL27" s="150" t="str">
        <f>=ROUND(SUBTOTAL(109,$CL$19:$CL$26),2)</f>
      </c>
      <c r="CO27" s="149" t="s">
        <v>285</v>
      </c>
      <c r="CP27" s="123" t="str">
        <f>=ROUND(SUBTOTAL(109,$CP$19:$CP$26),2)</f>
      </c>
      <c r="CQ27" s="124" t="str">
        <f>=ROUND(SUBTOTAL(109,$CQ$19:$CQ$26),2)</f>
      </c>
      <c r="CR27" s="123" t="str">
        <f>=ROUND(SUBTOTAL(109,$CR$19:$CR$26),2)</f>
      </c>
      <c r="CS27" s="150" t="str">
        <f>=ROUND(SUBTOTAL(109,$CS$19:$CS$26),2)</f>
      </c>
      <c r="CV27" s="149" t="s">
        <v>285</v>
      </c>
      <c r="CW27" s="123" t="str">
        <f>=ROUND(SUBTOTAL(109,$CW$19:$CW$26),2)</f>
      </c>
      <c r="CX27" s="124" t="str">
        <f>=ROUND(SUBTOTAL(109,$CX$19:$CX$26),2)</f>
      </c>
      <c r="CY27" s="123" t="str">
        <f>=ROUND(SUBTOTAL(109,$CY$19:$CY$26),2)</f>
      </c>
      <c r="CZ27" s="150" t="str">
        <f>=ROUND(SUBTOTAL(109,$CZ$19:$CZ$26),2)</f>
      </c>
      <c r="DC27" s="149" t="s">
        <v>285</v>
      </c>
      <c r="DD27" s="123" t="str">
        <f>=ROUND(SUBTOTAL(109,$DD$19:$DD$26),2)</f>
      </c>
      <c r="DE27" s="124" t="str">
        <f>=ROUND(SUBTOTAL(109,$DE$19:$DE$26),2)</f>
      </c>
      <c r="DF27" s="123" t="str">
        <f>=ROUND(SUBTOTAL(109,$DF$19:$DF$26),2)</f>
      </c>
      <c r="DG27" s="150" t="str">
        <f>=ROUND(SUBTOTAL(109,$DG$19:$DG$26),2)</f>
      </c>
      <c r="DJ27" s="149" t="s">
        <v>285</v>
      </c>
      <c r="DK27" s="123" t="str">
        <f>=ROUND(SUBTOTAL(109,$DK$19:$DK$26),2)</f>
      </c>
      <c r="DL27" s="124" t="str">
        <f>=ROUND(SUBTOTAL(109,$DL$19:$DL$26),2)</f>
      </c>
      <c r="DM27" s="123" t="str">
        <f>=ROUND(SUBTOTAL(109,$DM$19:$DM$26),2)</f>
      </c>
      <c r="DN27" s="150" t="str">
        <f>=ROUND(SUBTOTAL(109,$DN$19:$DN$26),2)</f>
      </c>
      <c r="DQ27" s="149" t="s">
        <v>285</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=ROUND(SUBTOTAL(109,$D$41:$D$45),2)</f>
      </c>
      <c r="E46" s="172" t="str">
        <f>=ROUND(SUBTOTAL(109,$E$41:$E$45),2)</f>
      </c>
      <c r="F46" s="173" t="str">
        <f>=ROUND(IFERROR(D46/E46,0),6)</f>
      </c>
      <c r="I46" s="169" t="s">
        <v>298</v>
      </c>
      <c r="J46" s="170" t="s">
        <v>269</v>
      </c>
      <c r="K46" s="171" t="str">
        <f>=ROUND(SUBTOTAL(109,$K$41:$K$45),2)</f>
      </c>
      <c r="L46" s="172" t="str">
        <f>=ROUND(SUBTOTAL(109,$L$41:$L$45),2)</f>
      </c>
      <c r="M46" s="173" t="str">
        <f>=ROUND(IFERROR(K46/L46,0),6)</f>
      </c>
      <c r="P46" s="169" t="s">
        <v>298</v>
      </c>
      <c r="Q46" s="170" t="s">
        <v>269</v>
      </c>
      <c r="R46" s="171" t="str">
        <f>=ROUND(SUBTOTAL(109,$R$41:$R$45),2)</f>
      </c>
      <c r="S46" s="172" t="str">
        <f>=ROUND(SUBTOTAL(109,$S$41:$S$45),2)</f>
      </c>
      <c r="T46" s="173" t="str">
        <f>=ROUND(IFERROR(R46/S46,0),6)</f>
      </c>
      <c r="W46" s="169" t="s">
        <v>298</v>
      </c>
      <c r="X46" s="170" t="s">
        <v>269</v>
      </c>
      <c r="Y46" s="171" t="str">
        <f>=ROUND(SUBTOTAL(109,$Y$41:$Y$45),2)</f>
      </c>
      <c r="Z46" s="172" t="str">
        <f>=ROUND(SUBTOTAL(109,$Z$41:$Z$45),2)</f>
      </c>
      <c r="AA46" s="173" t="str">
        <f>=ROUND(IFERROR(Y46/Z46,0),6)</f>
      </c>
      <c r="AD46" s="169" t="s">
        <v>298</v>
      </c>
      <c r="AE46" s="170" t="s">
        <v>269</v>
      </c>
      <c r="AF46" s="171" t="str">
        <f>=ROUND(SUBTOTAL(109,$AF$41:$AF$45),2)</f>
      </c>
      <c r="AG46" s="172" t="str">
        <f>=ROUND(SUBTOTAL(109,$AG$41:$AG$45),2)</f>
      </c>
      <c r="AH46" s="173" t="str">
        <f>=ROUND(IFERROR(AF46/AG46,0),6)</f>
      </c>
      <c r="AK46" s="169" t="s">
        <v>298</v>
      </c>
      <c r="AL46" s="170" t="s">
        <v>269</v>
      </c>
      <c r="AM46" s="171" t="str">
        <f>=ROUND(SUBTOTAL(109,$AM$41:$AM$45),2)</f>
      </c>
      <c r="AN46" s="172" t="str">
        <f>=ROUND(SUBTOTAL(109,$AN$41:$AN$45),2)</f>
      </c>
      <c r="AO46" s="173" t="str">
        <f>=ROUND(IFERROR(AM46/AN46,0),6)</f>
      </c>
      <c r="AR46" s="169" t="s">
        <v>298</v>
      </c>
      <c r="AS46" s="170" t="s">
        <v>269</v>
      </c>
      <c r="AT46" s="171" t="str">
        <f>=ROUND(SUBTOTAL(109,$AT$41:$AT$45),2)</f>
      </c>
      <c r="AU46" s="172" t="str">
        <f>=ROUND(SUBTOTAL(109,$AU$41:$AU$45),2)</f>
      </c>
      <c r="AV46" s="173" t="str">
        <f>=ROUND(IFERROR(AT46/AU46,0),6)</f>
      </c>
      <c r="AY46" s="169" t="s">
        <v>298</v>
      </c>
      <c r="AZ46" s="170" t="s">
        <v>269</v>
      </c>
      <c r="BA46" s="171" t="str">
        <f>=ROUND(SUBTOTAL(109,$BA$41:$BA$45),2)</f>
      </c>
      <c r="BB46" s="172" t="str">
        <f>=ROUND(SUBTOTAL(109,$BB$41:$BB$45),2)</f>
      </c>
      <c r="BC46" s="173" t="str">
        <f>=ROUND(IFERROR(BA46/BB46,0),6)</f>
      </c>
      <c r="BF46" s="169" t="s">
        <v>298</v>
      </c>
      <c r="BG46" s="170" t="s">
        <v>269</v>
      </c>
      <c r="BH46" s="171" t="str">
        <f>=ROUND(SUBTOTAL(109,$BH$41:$BH$45),2)</f>
      </c>
      <c r="BI46" s="172" t="str">
        <f>=ROUND(SUBTOTAL(109,$BI$41:$BI$45),2)</f>
      </c>
      <c r="BJ46" s="173" t="str">
        <f>=ROUND(IFERROR(BH46/BI46,0),6)</f>
      </c>
      <c r="BM46" s="169" t="s">
        <v>298</v>
      </c>
      <c r="BN46" s="170" t="s">
        <v>269</v>
      </c>
      <c r="BO46" s="171" t="str">
        <f>=ROUND(SUBTOTAL(109,$BO$41:$BO$45),2)</f>
      </c>
      <c r="BP46" s="172" t="str">
        <f>=ROUND(SUBTOTAL(109,$BP$41:$BP$45),2)</f>
      </c>
      <c r="BQ46" s="173" t="str">
        <f>=ROUND(IFERROR(BO46/BP46,0),6)</f>
      </c>
      <c r="BT46" s="169" t="s">
        <v>298</v>
      </c>
      <c r="BU46" s="170" t="s">
        <v>269</v>
      </c>
      <c r="BV46" s="171" t="str">
        <f>=ROUND(SUBTOTAL(109,$BV$41:$BV$45),2)</f>
      </c>
      <c r="BW46" s="172" t="str">
        <f>=ROUND(SUBTOTAL(109,$BW$41:$BW$45),2)</f>
      </c>
      <c r="BX46" s="173" t="str">
        <f>=ROUND(IFERROR(BV46/BW46,0),6)</f>
      </c>
      <c r="CA46" s="169" t="s">
        <v>298</v>
      </c>
      <c r="CB46" s="170" t="s">
        <v>269</v>
      </c>
      <c r="CC46" s="171" t="str">
        <f>=ROUND(SUBTOTAL(109,$CC$41:$CC$45),2)</f>
      </c>
      <c r="CD46" s="172" t="str">
        <f>=ROUND(SUBTOTAL(109,$CD$41:$CD$45),2)</f>
      </c>
      <c r="CE46" s="173" t="str">
        <f>=ROUND(IFERROR(CC46/CD46,0),6)</f>
      </c>
      <c r="CH46" s="169" t="s">
        <v>298</v>
      </c>
      <c r="CI46" s="170" t="s">
        <v>269</v>
      </c>
      <c r="CJ46" s="171" t="str">
        <f>=ROUND(SUBTOTAL(109,$CJ$41:$CJ$45),2)</f>
      </c>
      <c r="CK46" s="172" t="str">
        <f>=ROUND(SUBTOTAL(109,$CK$41:$CK$45),2)</f>
      </c>
      <c r="CL46" s="173" t="str">
        <f>=ROUND(IFERROR(CJ46/CK46,0),6)</f>
      </c>
      <c r="CO46" s="169" t="s">
        <v>298</v>
      </c>
      <c r="CP46" s="170" t="s">
        <v>269</v>
      </c>
      <c r="CQ46" s="171" t="str">
        <f>=ROUND(SUBTOTAL(109,$CQ$41:$CQ$45),2)</f>
      </c>
      <c r="CR46" s="172" t="str">
        <f>=ROUND(SUBTOTAL(109,$CR$41:$CR$45),2)</f>
      </c>
      <c r="CS46" s="173" t="str">
        <f>=ROUND(IFERROR(CQ46/CR46,0),6)</f>
      </c>
      <c r="CV46" s="169" t="s">
        <v>298</v>
      </c>
      <c r="CW46" s="170" t="s">
        <v>269</v>
      </c>
      <c r="CX46" s="171" t="str">
        <f>=ROUND(SUBTOTAL(109,$CX$41:$CX$45),2)</f>
      </c>
      <c r="CY46" s="172" t="str">
        <f>=ROUND(SUBTOTAL(109,$CY$41:$CY$45),2)</f>
      </c>
      <c r="CZ46" s="173" t="str">
        <f>=ROUND(IFERROR(CX46/CY46,0),6)</f>
      </c>
      <c r="DC46" s="169" t="s">
        <v>298</v>
      </c>
      <c r="DD46" s="170" t="s">
        <v>269</v>
      </c>
      <c r="DE46" s="171" t="str">
        <f>=ROUND(SUBTOTAL(109,$DE$41:$DE$45),2)</f>
      </c>
      <c r="DF46" s="172" t="str">
        <f>=ROUND(SUBTOTAL(109,$DF$41:$DF$45),2)</f>
      </c>
      <c r="DG46" s="173" t="str">
        <f>=ROUND(IFERROR(DE46/DF46,0),6)</f>
      </c>
      <c r="DJ46" s="169" t="s">
        <v>298</v>
      </c>
      <c r="DK46" s="170" t="s">
        <v>269</v>
      </c>
      <c r="DL46" s="171" t="str">
        <f>=ROUND(SUBTOTAL(109,$DL$41:$DL$45),2)</f>
      </c>
      <c r="DM46" s="172" t="str">
        <f>=ROUND(SUBTOTAL(109,$DM$41:$DM$45),2)</f>
      </c>
      <c r="DN46" s="173" t="str">
        <f>=ROUND(IFERROR(DL46/DM46,0),6)</f>
      </c>
      <c r="DQ46" s="169" t="s">
        <v>298</v>
      </c>
      <c r="DR46" s="170" t="s">
        <v>269</v>
      </c>
      <c r="DS46" s="171" t="str">
        <f>=ROUND(SUBTOTAL(109,$DS$41:$DS$45),2)</f>
      </c>
      <c r="DT46" s="172" t="str">
        <f>=ROUND(SUBTOTAL(109,$DT$41:$DT$45),2)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=ROUND(SUBTOTAL(109,$D$50:$D$55),2)</f>
      </c>
      <c r="E56" s="172" t="str">
        <f>=ROUND(SUBTOTAL(109,$E$50:$E$55),2)</f>
      </c>
      <c r="F56" s="173" t="str">
        <f>=ROUND(IFERROR(D56/E56,0),6)</f>
      </c>
      <c r="I56" s="169" t="s">
        <v>301</v>
      </c>
      <c r="J56" s="170" t="s">
        <v>269</v>
      </c>
      <c r="K56" s="171" t="str">
        <f>=ROUND(SUBTOTAL(109,$K$50:$K$55),2)</f>
      </c>
      <c r="L56" s="172" t="str">
        <f>=ROUND(SUBTOTAL(109,$L$50:$L$55),2)</f>
      </c>
      <c r="M56" s="173" t="str">
        <f>=ROUND(IFERROR(K56/L56,0),6)</f>
      </c>
      <c r="P56" s="169" t="s">
        <v>301</v>
      </c>
      <c r="Q56" s="170" t="s">
        <v>269</v>
      </c>
      <c r="R56" s="171" t="str">
        <f>=ROUND(SUBTOTAL(109,$R$50:$R$55),2)</f>
      </c>
      <c r="S56" s="172" t="str">
        <f>=ROUND(SUBTOTAL(109,$S$50:$S$55),2)</f>
      </c>
      <c r="T56" s="173" t="str">
        <f>=ROUND(IFERROR(R56/S56,0),6)</f>
      </c>
      <c r="W56" s="169" t="s">
        <v>301</v>
      </c>
      <c r="X56" s="170" t="s">
        <v>269</v>
      </c>
      <c r="Y56" s="171" t="str">
        <f>=ROUND(SUBTOTAL(109,$Y$50:$Y$55),2)</f>
      </c>
      <c r="Z56" s="172" t="str">
        <f>=ROUND(SUBTOTAL(109,$Z$50:$Z$55),2)</f>
      </c>
      <c r="AA56" s="173" t="str">
        <f>=ROUND(IFERROR(Y56/Z56,0),6)</f>
      </c>
      <c r="AD56" s="169" t="s">
        <v>301</v>
      </c>
      <c r="AE56" s="170" t="s">
        <v>269</v>
      </c>
      <c r="AF56" s="171" t="str">
        <f>=ROUND(SUBTOTAL(109,$AF$50:$AF$55),2)</f>
      </c>
      <c r="AG56" s="172" t="str">
        <f>=ROUND(SUBTOTAL(109,$AG$50:$AG$55),2)</f>
      </c>
      <c r="AH56" s="173" t="str">
        <f>=ROUND(IFERROR(AF56/AG56,0),6)</f>
      </c>
      <c r="AK56" s="169" t="s">
        <v>301</v>
      </c>
      <c r="AL56" s="170" t="s">
        <v>269</v>
      </c>
      <c r="AM56" s="171" t="str">
        <f>=ROUND(SUBTOTAL(109,$AM$50:$AM$55),2)</f>
      </c>
      <c r="AN56" s="172" t="str">
        <f>=ROUND(SUBTOTAL(109,$AN$50:$AN$55),2)</f>
      </c>
      <c r="AO56" s="173" t="str">
        <f>=ROUND(IFERROR(AM56/AN56,0),6)</f>
      </c>
      <c r="AR56" s="169" t="s">
        <v>301</v>
      </c>
      <c r="AS56" s="170" t="s">
        <v>269</v>
      </c>
      <c r="AT56" s="171" t="str">
        <f>=ROUND(SUBTOTAL(109,$AT$50:$AT$55),2)</f>
      </c>
      <c r="AU56" s="172" t="str">
        <f>=ROUND(SUBTOTAL(109,$AU$50:$AU$55),2)</f>
      </c>
      <c r="AV56" s="173" t="str">
        <f>=ROUND(IFERROR(AT56/AU56,0),6)</f>
      </c>
      <c r="AY56" s="169" t="s">
        <v>301</v>
      </c>
      <c r="AZ56" s="170" t="s">
        <v>269</v>
      </c>
      <c r="BA56" s="171" t="str">
        <f>=ROUND(SUBTOTAL(109,$BA$50:$BA$55),2)</f>
      </c>
      <c r="BB56" s="172" t="str">
        <f>=ROUND(SUBTOTAL(109,$BB$50:$BB$55),2)</f>
      </c>
      <c r="BC56" s="173" t="str">
        <f>=ROUND(IFERROR(BA56/BB56,0),6)</f>
      </c>
      <c r="BF56" s="169" t="s">
        <v>301</v>
      </c>
      <c r="BG56" s="170" t="s">
        <v>269</v>
      </c>
      <c r="BH56" s="171" t="str">
        <f>=ROUND(SUBTOTAL(109,$BH$50:$BH$55),2)</f>
      </c>
      <c r="BI56" s="172" t="str">
        <f>=ROUND(SUBTOTAL(109,$BI$50:$BI$55),2)</f>
      </c>
      <c r="BJ56" s="173" t="str">
        <f>=ROUND(IFERROR(BH56/BI56,0),6)</f>
      </c>
      <c r="BM56" s="169" t="s">
        <v>301</v>
      </c>
      <c r="BN56" s="170" t="s">
        <v>269</v>
      </c>
      <c r="BO56" s="171" t="str">
        <f>=ROUND(SUBTOTAL(109,$BO$50:$BO$55),2)</f>
      </c>
      <c r="BP56" s="172" t="str">
        <f>=ROUND(SUBTOTAL(109,$BP$50:$BP$55),2)</f>
      </c>
      <c r="BQ56" s="173" t="str">
        <f>=ROUND(IFERROR(BO56/BP56,0),6)</f>
      </c>
      <c r="BT56" s="169" t="s">
        <v>301</v>
      </c>
      <c r="BU56" s="170" t="s">
        <v>269</v>
      </c>
      <c r="BV56" s="171" t="str">
        <f>=ROUND(SUBTOTAL(109,$BV$50:$BV$55),2)</f>
      </c>
      <c r="BW56" s="172" t="str">
        <f>=ROUND(SUBTOTAL(109,$BW$50:$BW$55),2)</f>
      </c>
      <c r="BX56" s="173" t="str">
        <f>=ROUND(IFERROR(BV56/BW56,0),6)</f>
      </c>
      <c r="CA56" s="169" t="s">
        <v>301</v>
      </c>
      <c r="CB56" s="170" t="s">
        <v>269</v>
      </c>
      <c r="CC56" s="171" t="str">
        <f>=ROUND(SUBTOTAL(109,$CC$50:$CC$55),2)</f>
      </c>
      <c r="CD56" s="172" t="str">
        <f>=ROUND(SUBTOTAL(109,$CD$50:$CD$55),2)</f>
      </c>
      <c r="CE56" s="173" t="str">
        <f>=ROUND(IFERROR(CC56/CD56,0),6)</f>
      </c>
      <c r="CH56" s="169" t="s">
        <v>301</v>
      </c>
      <c r="CI56" s="170" t="s">
        <v>269</v>
      </c>
      <c r="CJ56" s="171" t="str">
        <f>=ROUND(SUBTOTAL(109,$CJ$50:$CJ$55),2)</f>
      </c>
      <c r="CK56" s="172" t="str">
        <f>=ROUND(SUBTOTAL(109,$CK$50:$CK$55),2)</f>
      </c>
      <c r="CL56" s="173" t="str">
        <f>=ROUND(IFERROR(CJ56/CK56,0),6)</f>
      </c>
      <c r="CO56" s="169" t="s">
        <v>301</v>
      </c>
      <c r="CP56" s="170" t="s">
        <v>269</v>
      </c>
      <c r="CQ56" s="171" t="str">
        <f>=ROUND(SUBTOTAL(109,$CQ$50:$CQ$55),2)</f>
      </c>
      <c r="CR56" s="172" t="str">
        <f>=ROUND(SUBTOTAL(109,$CR$50:$CR$55),2)</f>
      </c>
      <c r="CS56" s="173" t="str">
        <f>=ROUND(IFERROR(CQ56/CR56,0),6)</f>
      </c>
      <c r="CV56" s="169" t="s">
        <v>301</v>
      </c>
      <c r="CW56" s="170" t="s">
        <v>269</v>
      </c>
      <c r="CX56" s="171" t="str">
        <f>=ROUND(SUBTOTAL(109,$CX$50:$CX$55),2)</f>
      </c>
      <c r="CY56" s="172" t="str">
        <f>=ROUND(SUBTOTAL(109,$CY$50:$CY$55),2)</f>
      </c>
      <c r="CZ56" s="173" t="str">
        <f>=ROUND(IFERROR(CX56/CY56,0),6)</f>
      </c>
      <c r="DC56" s="169" t="s">
        <v>301</v>
      </c>
      <c r="DD56" s="170" t="s">
        <v>269</v>
      </c>
      <c r="DE56" s="171" t="str">
        <f>=ROUND(SUBTOTAL(109,$DE$50:$DE$55),2)</f>
      </c>
      <c r="DF56" s="172" t="str">
        <f>=ROUND(SUBTOTAL(109,$DF$50:$DF$55),2)</f>
      </c>
      <c r="DG56" s="173" t="str">
        <f>=ROUND(IFERROR(DE56/DF56,0),6)</f>
      </c>
      <c r="DJ56" s="169" t="s">
        <v>301</v>
      </c>
      <c r="DK56" s="170" t="s">
        <v>269</v>
      </c>
      <c r="DL56" s="171" t="str">
        <f>=ROUND(SUBTOTAL(109,$DL$50:$DL$55),2)</f>
      </c>
      <c r="DM56" s="172" t="str">
        <f>=ROUND(SUBTOTAL(109,$DM$50:$DM$55),2)</f>
      </c>
      <c r="DN56" s="173" t="str">
        <f>=ROUND(IFERROR(DL56/DM56,0),6)</f>
      </c>
      <c r="DQ56" s="169" t="s">
        <v>301</v>
      </c>
      <c r="DR56" s="170" t="s">
        <v>269</v>
      </c>
      <c r="DS56" s="171" t="str">
        <f>=ROUND(SUBTOTAL(109,$DS$50:$DS$55),2)</f>
      </c>
      <c r="DT56" s="172" t="str">
        <f>=ROUND(SUBTOTAL(109,$DT$50:$DT$55),2)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5">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9">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'Daten'!$A$1:$A$18</formula1>
    </dataValidation>
    <dataValidation allowBlank="true" sqref="G5" type="list">
      <formula1>'Daten'!$A$1:$A$18</formula1>
    </dataValidation>
    <dataValidation allowBlank="true" sqref="K5" type="list">
      <formula1>'Daten'!$A$1:$A$18</formula1>
    </dataValidation>
    <dataValidation allowBlank="true" sqref="O5" type="list">
      <formula1>'Daten'!$A$1:$A$18</formula1>
    </dataValidation>
    <dataValidation allowBlank="true" sqref="S5" type="list">
      <formula1>'Daten'!$A$1:$A$18</formula1>
    </dataValidation>
    <dataValidation allowBlank="true" sqref="W5" type="list">
      <formula1>'Daten'!$A$1:$A$18</formula1>
    </dataValidation>
    <dataValidation allowBlank="true" sqref="AA5" type="list">
      <formula1>'Daten'!$A$1:$A$18</formula1>
    </dataValidation>
    <dataValidation allowBlank="true" sqref="AE5" type="list">
      <formula1>'Daten'!$A$1:$A$18</formula1>
    </dataValidation>
    <dataValidation allowBlank="true" sqref="AI5" type="list">
      <formula1>'Daten'!$A$1:$A$18</formula1>
    </dataValidation>
    <dataValidation allowBlank="true" sqref="AM5" type="list">
      <formula1>'Daten'!$A$1:$A$18</formula1>
    </dataValidation>
    <dataValidation allowBlank="true" sqref="AQ5" type="list">
      <formula1>'Daten'!$A$1:$A$18</formula1>
    </dataValidation>
    <dataValidation allowBlank="true" sqref="AU5" type="list">
      <formula1>'Daten'!$A$1:$A$18</formula1>
    </dataValidation>
    <dataValidation allowBlank="true" sqref="AY5" type="list">
      <formula1>'Daten'!$A$1:$A$18</formula1>
    </dataValidation>
    <dataValidation allowBlank="true" sqref="BC5" type="list">
      <formula1>'Daten'!$A$1:$A$18</formula1>
    </dataValidation>
    <dataValidation allowBlank="true" sqref="BG5" type="list">
      <formula1>'Daten'!$A$1:$A$18</formula1>
    </dataValidation>
    <dataValidation allowBlank="true" sqref="BK5" type="list">
      <formula1>'Daten'!$A$1:$A$18</formula1>
    </dataValidation>
    <dataValidation allowBlank="true" sqref="BO5" type="list">
      <formula1>'Daten'!$A$1:$A$18</formula1>
    </dataValidation>
    <dataValidation allowBlank="true" sqref="BS5"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dimension ref="A1"/>
  <sheetViews>
    <sheetView workbookViewId="0"/>
  </sheetViews>
  <sheetData>
    <row r="1">
      <c r="A1" t="s">
        <v>226</v>
      </c>
      <c r="C1" s="191" t="s">
        <v>315</v>
      </c>
      <c r="I1" s="191" t="s">
        <v>316</v>
      </c>
      <c r="O1" s="191" t="s">
        <v>317</v>
      </c>
      <c r="U1" s="191" t="s">
        <v>318</v>
      </c>
    </row>
    <row r="2">
      <c r="A2" t="s">
        <v>227</v>
      </c>
      <c r="C2" t="str">
        <f>=VSTACK('III.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c>
      <c r="I2" t="str">
        <f>=VSTACK('III.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c>
      <c r="O2" t="str">
        <f>=VSTACK('III.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c>
      <c r="U2" t="str">
        <f>=VSTACK('IV. MA'!$B$10:$D$17,'IV. MA'!$F$10:$H$17,'IV. MA'!$J$10:$L$17,'IV. MA'!$N$10:$P$17,'IV. MA'!$R$10:$T$17,'IV. MA'!$V$10:$X$17,'IV. MA'!$Z$10:$AB$17,'IV. MA'!$AD$10:$AF$17,'IV. MA'!$AH$10:$AJ$17,'IV. MA'!$AL$10:$AN$17,'IV. MA'!$AP$10:$AR$17,'IV. MA'!$AT$10:$AV$17,'IV. MA'!$AX$10:$AZ$17,'IV. MA'!$BB$10:$BD$17,'IV. MA'!$BF$10:$BH$17,'IV. MA'!$BJ$10:$BL$17,'IV. MA'!$BN$10:$BP$17,'IV. MA'!$BR$10:$BT$17)</f>
      </c>
    </row>
    <row r="3">
      <c r="A3" t="s">
        <v>228</v>
      </c>
    </row>
    <row r="4">
      <c r="A4" t="s">
        <v>229</v>
      </c>
    </row>
    <row r="5">
      <c r="A5" t="s">
        <v>230</v>
      </c>
    </row>
    <row r="6">
      <c r="A6" t="s">
        <v>231</v>
      </c>
    </row>
    <row r="7">
      <c r="A7" t="s">
        <v>232</v>
      </c>
    </row>
    <row r="8">
      <c r="A8" t="s">
        <v>233</v>
      </c>
    </row>
    <row r="9">
      <c r="A9" t="s">
        <v>234</v>
      </c>
    </row>
    <row r="10">
      <c r="A10" t="s">
        <v>235</v>
      </c>
    </row>
    <row r="11">
      <c r="A11" t="s">
        <v>236</v>
      </c>
    </row>
    <row r="12">
      <c r="A12" t="s">
        <v>237</v>
      </c>
    </row>
    <row r="13">
      <c r="A13" t="s">
        <v>238</v>
      </c>
    </row>
    <row r="14">
      <c r="A14" t="s">
        <v>239</v>
      </c>
    </row>
    <row r="15">
      <c r="A15" t="s">
        <v>240</v>
      </c>
    </row>
    <row r="16">
      <c r="A16" t="s">
        <v>241</v>
      </c>
    </row>
    <row r="17">
      <c r="A17" t="s">
        <v>242</v>
      </c>
    </row>
    <row r="18">
      <c r="A18" t="s">
        <v>243</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