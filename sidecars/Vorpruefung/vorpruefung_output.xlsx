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s>
  <calcPr calcId="122211"/>
</workbook>
</file>

<file path=xl/sharedStrings.xml><?xml version="1.0" encoding="utf-8"?>
<sst xmlns="http://schemas.openxmlformats.org/spreadsheetml/2006/main" count="315" uniqueCount="315">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</sst>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7">
    <numFmt numFmtId="164" formatCode="dd.mm.yyyy"/>
    <numFmt numFmtId="165" formatCode="0.0000"/>
    <numFmt numFmtId="166" formatCode="#,##0.00"/>
    <numFmt numFmtId="167" formatCode="#,##0.00&quot; €&quot;"/>
    <numFmt numFmtId="168" formatCode="0.000000"/>
    <numFmt numFmtId="169" formatCode="@"/>
    <numFmt numFmtId="170" formatCode="DD.MM.YYYY"/>
  </numFmts>
  <fonts count="21">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s>
  <fills count="11">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s>
  <borders count="51">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s>
  <cellStyleXfs count="1">
    <xf numFmtId="0" fontId="0" fillId="0" borderId="0"/>
  </cellStyleXfs>
  <cellXfs count="191">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name="TableStyleNone"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7">
  <autoFilter ref="B18:F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xml><?xml version="1.0" encoding="utf-8"?>
<table xmlns="http://schemas.openxmlformats.org/spreadsheetml/2006/main" id="5" name="Einnahmen_1" displayName="Einnahmen_1" ref="B40:F46">
  <autoFilter ref="B40:F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6.xml><?xml version="1.0" encoding="utf-8"?>
<table xmlns="http://schemas.openxmlformats.org/spreadsheetml/2006/main" id="6" name="Einnahmen_WK_1" displayName="Einnahmen_WK_1" ref="B49:F56">
  <autoFilter ref="B49:F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7.xml><?xml version="1.0" encoding="utf-8"?>
<table xmlns="http://schemas.openxmlformats.org/spreadsheetml/2006/main" id="7" name="Ausgaben_2" displayName="Ausgaben_2" ref="I18:M27">
  <autoFilter ref="I18:M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8.xml><?xml version="1.0" encoding="utf-8"?>
<table xmlns="http://schemas.openxmlformats.org/spreadsheetml/2006/main" id="8" name="Einnahmen_2" displayName="Einnahmen_2" ref="I40:M46">
  <autoFilter ref="I40:M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9.xml><?xml version="1.0" encoding="utf-8"?>
<table xmlns="http://schemas.openxmlformats.org/spreadsheetml/2006/main" id="9" name="Einnahmen_WK_2" displayName="Einnahmen_WK_2" ref="I49:M56">
  <autoFilter ref="I49:M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0.xml><?xml version="1.0" encoding="utf-8"?>
<table xmlns="http://schemas.openxmlformats.org/spreadsheetml/2006/main" id="10" name="Ausgaben_3" displayName="Ausgaben_3" ref="P18:T27">
  <autoFilter ref="P18:T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1.xml><?xml version="1.0" encoding="utf-8"?>
<table xmlns="http://schemas.openxmlformats.org/spreadsheetml/2006/main" id="11" name="Einnahmen_3" displayName="Einnahmen_3" ref="P40:T46">
  <autoFilter ref="P40:T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2.xml><?xml version="1.0" encoding="utf-8"?>
<table xmlns="http://schemas.openxmlformats.org/spreadsheetml/2006/main" id="12" name="Einnahmen_WK_3" displayName="Einnahmen_WK_3" ref="P49:T56">
  <autoFilter ref="P49:T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3.xml><?xml version="1.0" encoding="utf-8"?>
<table xmlns="http://schemas.openxmlformats.org/spreadsheetml/2006/main" id="13" name="Ausgaben_4" displayName="Ausgaben_4" ref="W18:AA27">
  <autoFilter ref="W18:AA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4.xml><?xml version="1.0" encoding="utf-8"?>
<table xmlns="http://schemas.openxmlformats.org/spreadsheetml/2006/main" id="14" name="Einnahmen_4" displayName="Einnahmen_4" ref="W40:AA46">
  <autoFilter ref="W40:AA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5.xml><?xml version="1.0" encoding="utf-8"?>
<table xmlns="http://schemas.openxmlformats.org/spreadsheetml/2006/main" id="15" name="Einnahmen_WK_4" displayName="Einnahmen_WK_4" ref="W49:AA56">
  <autoFilter ref="W49:AA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6.xml><?xml version="1.0" encoding="utf-8"?>
<table xmlns="http://schemas.openxmlformats.org/spreadsheetml/2006/main" id="16" name="Ausgaben_5" displayName="Ausgaben_5" ref="AD18:AH27">
  <autoFilter ref="AD18:AH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7.xml><?xml version="1.0" encoding="utf-8"?>
<table xmlns="http://schemas.openxmlformats.org/spreadsheetml/2006/main" id="17" name="Einnahmen_5" displayName="Einnahmen_5" ref="AD40:AH46">
  <autoFilter ref="AD40:AH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8.xml><?xml version="1.0" encoding="utf-8"?>
<table xmlns="http://schemas.openxmlformats.org/spreadsheetml/2006/main" id="18" name="Einnahmen_WK_5" displayName="Einnahmen_WK_5" ref="AD49:AH56">
  <autoFilter ref="AD49:AH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9.xml><?xml version="1.0" encoding="utf-8"?>
<table xmlns="http://schemas.openxmlformats.org/spreadsheetml/2006/main" id="19" name="Ausgaben_6" displayName="Ausgaben_6" ref="AK18:AO27">
  <autoFilter ref="AK18:AO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0.xml><?xml version="1.0" encoding="utf-8"?>
<table xmlns="http://schemas.openxmlformats.org/spreadsheetml/2006/main" id="20" name="Einnahmen_6" displayName="Einnahmen_6" ref="AK40:AO46">
  <autoFilter ref="AK40:AO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1.xml><?xml version="1.0" encoding="utf-8"?>
<table xmlns="http://schemas.openxmlformats.org/spreadsheetml/2006/main" id="21" name="Einnahmen_WK_6" displayName="Einnahmen_WK_6" ref="AK49:AO56">
  <autoFilter ref="AK49:AO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2.xml><?xml version="1.0" encoding="utf-8"?>
<table xmlns="http://schemas.openxmlformats.org/spreadsheetml/2006/main" id="22" name="Ausgaben_7" displayName="Ausgaben_7" ref="AR18:AV27">
  <autoFilter ref="AR18:AV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3.xml><?xml version="1.0" encoding="utf-8"?>
<table xmlns="http://schemas.openxmlformats.org/spreadsheetml/2006/main" id="23" name="Einnahmen_7" displayName="Einnahmen_7" ref="AR40:AV46">
  <autoFilter ref="AR40:AV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4.xml><?xml version="1.0" encoding="utf-8"?>
<table xmlns="http://schemas.openxmlformats.org/spreadsheetml/2006/main" id="24" name="Einnahmen_WK_7" displayName="Einnahmen_WK_7" ref="AR49:AV56">
  <autoFilter ref="AR49:AV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5.xml><?xml version="1.0" encoding="utf-8"?>
<table xmlns="http://schemas.openxmlformats.org/spreadsheetml/2006/main" id="25" name="Ausgaben_8" displayName="Ausgaben_8" ref="AY18:BC27">
  <autoFilter ref="AY18:BC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6.xml><?xml version="1.0" encoding="utf-8"?>
<table xmlns="http://schemas.openxmlformats.org/spreadsheetml/2006/main" id="26" name="Einnahmen_8" displayName="Einnahmen_8" ref="AY40:BC46">
  <autoFilter ref="AY40:BC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7.xml><?xml version="1.0" encoding="utf-8"?>
<table xmlns="http://schemas.openxmlformats.org/spreadsheetml/2006/main" id="27" name="Einnahmen_WK_8" displayName="Einnahmen_WK_8" ref="AY49:BC56">
  <autoFilter ref="AY49:BC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8.xml><?xml version="1.0" encoding="utf-8"?>
<table xmlns="http://schemas.openxmlformats.org/spreadsheetml/2006/main" id="28" name="Ausgaben_9" displayName="Ausgaben_9" ref="BF18:BJ27">
  <autoFilter ref="BF18:BJ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9.xml><?xml version="1.0" encoding="utf-8"?>
<table xmlns="http://schemas.openxmlformats.org/spreadsheetml/2006/main" id="29" name="Einnahmen_9" displayName="Einnahmen_9" ref="BF40:BJ46">
  <autoFilter ref="BF40:BJ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0.xml><?xml version="1.0" encoding="utf-8"?>
<table xmlns="http://schemas.openxmlformats.org/spreadsheetml/2006/main" id="30" name="Einnahmen_WK_9" displayName="Einnahmen_WK_9" ref="BF49:BJ56">
  <autoFilter ref="BF49:BJ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1.xml><?xml version="1.0" encoding="utf-8"?>
<table xmlns="http://schemas.openxmlformats.org/spreadsheetml/2006/main" id="31" name="Ausgaben_10" displayName="Ausgaben_10" ref="BM18:BQ27">
  <autoFilter ref="BM18:BQ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2.xml><?xml version="1.0" encoding="utf-8"?>
<table xmlns="http://schemas.openxmlformats.org/spreadsheetml/2006/main" id="32" name="Einnahmen_10" displayName="Einnahmen_10" ref="BM40:BQ46">
  <autoFilter ref="BM40:BQ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3.xml><?xml version="1.0" encoding="utf-8"?>
<table xmlns="http://schemas.openxmlformats.org/spreadsheetml/2006/main" id="33" name="Einnahmen_WK_10" displayName="Einnahmen_WK_10" ref="BM49:BQ56">
  <autoFilter ref="BM49:BQ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4.xml><?xml version="1.0" encoding="utf-8"?>
<table xmlns="http://schemas.openxmlformats.org/spreadsheetml/2006/main" id="34" name="Ausgaben_11" displayName="Ausgaben_11" ref="BT18:BX27">
  <autoFilter ref="BT18:BX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5.xml><?xml version="1.0" encoding="utf-8"?>
<table xmlns="http://schemas.openxmlformats.org/spreadsheetml/2006/main" id="35" name="Einnahmen_11" displayName="Einnahmen_11" ref="BT40:BX46">
  <autoFilter ref="BT40:BX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6.xml><?xml version="1.0" encoding="utf-8"?>
<table xmlns="http://schemas.openxmlformats.org/spreadsheetml/2006/main" id="36" name="Einnahmen_WK_11" displayName="Einnahmen_WK_11" ref="BT49:BX56">
  <autoFilter ref="BT49:BX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7.xml><?xml version="1.0" encoding="utf-8"?>
<table xmlns="http://schemas.openxmlformats.org/spreadsheetml/2006/main" id="37" name="Ausgaben_12" displayName="Ausgaben_12" ref="CA18:CE27">
  <autoFilter ref="CA18:CE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8.xml><?xml version="1.0" encoding="utf-8"?>
<table xmlns="http://schemas.openxmlformats.org/spreadsheetml/2006/main" id="38" name="Einnahmen_12" displayName="Einnahmen_12" ref="CA40:CE46">
  <autoFilter ref="CA40:CE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9.xml><?xml version="1.0" encoding="utf-8"?>
<table xmlns="http://schemas.openxmlformats.org/spreadsheetml/2006/main" id="39" name="Einnahmen_WK_12" displayName="Einnahmen_WK_12" ref="CA49:CE56">
  <autoFilter ref="CA49:CE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0.xml><?xml version="1.0" encoding="utf-8"?>
<table xmlns="http://schemas.openxmlformats.org/spreadsheetml/2006/main" id="40" name="Ausgaben_13" displayName="Ausgaben_13" ref="CH18:CL27">
  <autoFilter ref="CH18:CL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1.xml><?xml version="1.0" encoding="utf-8"?>
<table xmlns="http://schemas.openxmlformats.org/spreadsheetml/2006/main" id="41" name="Einnahmen_13" displayName="Einnahmen_13" ref="CH40:CL46">
  <autoFilter ref="CH40:CL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2.xml><?xml version="1.0" encoding="utf-8"?>
<table xmlns="http://schemas.openxmlformats.org/spreadsheetml/2006/main" id="42" name="Einnahmen_WK_13" displayName="Einnahmen_WK_13" ref="CH49:CL56">
  <autoFilter ref="CH49:CL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3.xml><?xml version="1.0" encoding="utf-8"?>
<table xmlns="http://schemas.openxmlformats.org/spreadsheetml/2006/main" id="43" name="Ausgaben_14" displayName="Ausgaben_14" ref="CO18:CS27">
  <autoFilter ref="CO18:CS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4.xml><?xml version="1.0" encoding="utf-8"?>
<table xmlns="http://schemas.openxmlformats.org/spreadsheetml/2006/main" id="44" name="Einnahmen_14" displayName="Einnahmen_14" ref="CO40:CS46">
  <autoFilter ref="CO40:CS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5.xml><?xml version="1.0" encoding="utf-8"?>
<table xmlns="http://schemas.openxmlformats.org/spreadsheetml/2006/main" id="45" name="Einnahmen_WK_14" displayName="Einnahmen_WK_14" ref="CO49:CS56">
  <autoFilter ref="CO49:CS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6.xml><?xml version="1.0" encoding="utf-8"?>
<table xmlns="http://schemas.openxmlformats.org/spreadsheetml/2006/main" id="46" name="Ausgaben_15" displayName="Ausgaben_15" ref="CV18:CZ27">
  <autoFilter ref="CV18:CZ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7.xml><?xml version="1.0" encoding="utf-8"?>
<table xmlns="http://schemas.openxmlformats.org/spreadsheetml/2006/main" id="47" name="Einnahmen_15" displayName="Einnahmen_15" ref="CV40:CZ46">
  <autoFilter ref="CV40:CZ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8.xml><?xml version="1.0" encoding="utf-8"?>
<table xmlns="http://schemas.openxmlformats.org/spreadsheetml/2006/main" id="48" name="Einnahmen_WK_15" displayName="Einnahmen_WK_15" ref="CV49:CZ56">
  <autoFilter ref="CV49:CZ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9.xml><?xml version="1.0" encoding="utf-8"?>
<table xmlns="http://schemas.openxmlformats.org/spreadsheetml/2006/main" id="49" name="Ausgaben_16" displayName="Ausgaben_16" ref="DC18:DG27">
  <autoFilter ref="DC18:DG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0.xml><?xml version="1.0" encoding="utf-8"?>
<table xmlns="http://schemas.openxmlformats.org/spreadsheetml/2006/main" id="50" name="Einnahmen_16" displayName="Einnahmen_16" ref="DC40:DG46">
  <autoFilter ref="DC40:DG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1.xml><?xml version="1.0" encoding="utf-8"?>
<table xmlns="http://schemas.openxmlformats.org/spreadsheetml/2006/main" id="51" name="Einnahmen_WK_16" displayName="Einnahmen_WK_16" ref="DC49:DG56">
  <autoFilter ref="DC49:DG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2.xml><?xml version="1.0" encoding="utf-8"?>
<table xmlns="http://schemas.openxmlformats.org/spreadsheetml/2006/main" id="52" name="Ausgaben_17" displayName="Ausgaben_17" ref="DJ18:DN27">
  <autoFilter ref="DJ18:DN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3.xml><?xml version="1.0" encoding="utf-8"?>
<table xmlns="http://schemas.openxmlformats.org/spreadsheetml/2006/main" id="53" name="Einnahmen_17" displayName="Einnahmen_17" ref="DJ40:DN46">
  <autoFilter ref="DJ40:DN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4.xml><?xml version="1.0" encoding="utf-8"?>
<table xmlns="http://schemas.openxmlformats.org/spreadsheetml/2006/main" id="54" name="Einnahmen_WK_17" displayName="Einnahmen_WK_17" ref="DJ49:DN56">
  <autoFilter ref="DJ49:DN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5.xml><?xml version="1.0" encoding="utf-8"?>
<table xmlns="http://schemas.openxmlformats.org/spreadsheetml/2006/main" id="55" name="Ausgaben_18" displayName="Ausgaben_18" ref="DQ18:DU27">
  <autoFilter ref="DQ18:DU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6.xml><?xml version="1.0" encoding="utf-8"?>
<table xmlns="http://schemas.openxmlformats.org/spreadsheetml/2006/main" id="56" name="Einnahmen_18" displayName="Einnahmen_18" ref="DQ40:DU46">
  <autoFilter ref="DQ40:DU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7.xml><?xml version="1.0" encoding="utf-8"?>
<table xmlns="http://schemas.openxmlformats.org/spreadsheetml/2006/main" id="57" name="Einnahmen_WK_18" displayName="Einnahmen_WK_18" ref="DQ49:DU56">
  <autoFilter ref="DQ49:DU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8.xml><?xml version="1.0" encoding="utf-8"?>
<table xmlns="http://schemas.openxmlformats.org/spreadsheetml/2006/main" id="58" name="MA_1" displayName="MA_1" ref="B9:D18">
  <autoFilter ref="B9:D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59.xml><?xml version="1.0" encoding="utf-8"?>
<table xmlns="http://schemas.openxmlformats.org/spreadsheetml/2006/main" id="59" name="MA_2" displayName="MA_2" ref="F9:H18">
  <autoFilter ref="F9:H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0.xml><?xml version="1.0" encoding="utf-8"?>
<table xmlns="http://schemas.openxmlformats.org/spreadsheetml/2006/main" id="60" name="MA_3" displayName="MA_3" ref="J9:L18">
  <autoFilter ref="J9:L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1.xml><?xml version="1.0" encoding="utf-8"?>
<table xmlns="http://schemas.openxmlformats.org/spreadsheetml/2006/main" id="61" name="MA_4" displayName="MA_4" ref="N9:P18">
  <autoFilter ref="N9:P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2.xml><?xml version="1.0" encoding="utf-8"?>
<table xmlns="http://schemas.openxmlformats.org/spreadsheetml/2006/main" id="62" name="MA_5" displayName="MA_5" ref="R9:T18">
  <autoFilter ref="R9:T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3.xml><?xml version="1.0" encoding="utf-8"?>
<table xmlns="http://schemas.openxmlformats.org/spreadsheetml/2006/main" id="63" name="MA_6" displayName="MA_6" ref="V9:X18">
  <autoFilter ref="V9:X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4.xml><?xml version="1.0" encoding="utf-8"?>
<table xmlns="http://schemas.openxmlformats.org/spreadsheetml/2006/main" id="64" name="MA_7" displayName="MA_7" ref="Z9:AB18">
  <autoFilter ref="Z9:AB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5.xml><?xml version="1.0" encoding="utf-8"?>
<table xmlns="http://schemas.openxmlformats.org/spreadsheetml/2006/main" id="65" name="MA_8" displayName="MA_8" ref="AD9:AF18">
  <autoFilter ref="AD9:AF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6.xml><?xml version="1.0" encoding="utf-8"?>
<table xmlns="http://schemas.openxmlformats.org/spreadsheetml/2006/main" id="66" name="MA_9" displayName="MA_9" ref="AH9:AJ18">
  <autoFilter ref="AH9:AJ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7.xml><?xml version="1.0" encoding="utf-8"?>
<table xmlns="http://schemas.openxmlformats.org/spreadsheetml/2006/main" id="67" name="MA_10" displayName="MA_10" ref="AL9:AN18">
  <autoFilter ref="AL9:AN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8.xml><?xml version="1.0" encoding="utf-8"?>
<table xmlns="http://schemas.openxmlformats.org/spreadsheetml/2006/main" id="68" name="MA_11" displayName="MA_11" ref="AP9:AR18">
  <autoFilter ref="AP9:AR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9.xml><?xml version="1.0" encoding="utf-8"?>
<table xmlns="http://schemas.openxmlformats.org/spreadsheetml/2006/main" id="69" name="MA_12" displayName="MA_12" ref="AT9:AV18">
  <autoFilter ref="AT9:AV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0.xml><?xml version="1.0" encoding="utf-8"?>
<table xmlns="http://schemas.openxmlformats.org/spreadsheetml/2006/main" id="70" name="MA_13" displayName="MA_13" ref="AX9:AZ18">
  <autoFilter ref="AX9:AZ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1.xml><?xml version="1.0" encoding="utf-8"?>
<table xmlns="http://schemas.openxmlformats.org/spreadsheetml/2006/main" id="71" name="MA_14" displayName="MA_14" ref="BB9:BD18">
  <autoFilter ref="BB9:BD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2.xml><?xml version="1.0" encoding="utf-8"?>
<table xmlns="http://schemas.openxmlformats.org/spreadsheetml/2006/main" id="72" name="MA_15" displayName="MA_15" ref="BF9:BH18">
  <autoFilter ref="BF9:BH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3.xml><?xml version="1.0" encoding="utf-8"?>
<table xmlns="http://schemas.openxmlformats.org/spreadsheetml/2006/main" id="73" name="MA_16" displayName="MA_16" ref="BJ9:BL18">
  <autoFilter ref="BJ9:BL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4.xml><?xml version="1.0" encoding="utf-8"?>
<table xmlns="http://schemas.openxmlformats.org/spreadsheetml/2006/main" id="74" name="MA_17" displayName="MA_17" ref="BN9:BP18">
  <autoFilter ref="BN9:BP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5.xml><?xml version="1.0" encoding="utf-8"?>
<table xmlns="http://schemas.openxmlformats.org/spreadsheetml/2006/main" id="75" name="MA_18" displayName="MA_18" ref="BR9:BT18">
  <autoFilter ref="BR9:BT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=VSTACK({"Projektpartner";"Bank"},IFERROR(FILTER(TblDrittmittel[Name des Gebers],TblDrittmittel[Name des Gebers]&lt;&gt;""),""))</f>
      </c>
      <c r="S1" s="3" t="str">
        <f>=IFERROR(FILTER(TblBudgetAusgaben[ID],TblBudgetAusgaben[ID]&lt;&gt;""),"")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=ROUND(SUMIF(Einnahmen_1[Typ],"Eigenmittel",Einnahmen_1[Einnahmen (LC)])+SUMIF(Einnahmen_WK_1[Typ],"Eigenmittel",Einnahmen_WK_1[Einnahmen (LC)]),2)</f>
      </c>
      <c r="D12" s="116" t="str">
        <f>=ROUND(SUMIF(Einnahmen_1[Typ],"Eigenmittel",Einnahmen_1[Einnahmen (EUR)])+SUMIF(Einnahmen_WK_1[Typ],"Eigenmittel",Einnahmen_WK_1[Einnahmen (EUR)]),2)</f>
      </c>
      <c r="E12" s="115" t="str">
        <f>=ROUND(SUMIF(Einnahmen_1[Typ],"Eigenmittel",Einnahmen_1[Einnahmen (LC)])+SUMIF(Einnahmen_WK_1[Typ],"Eigenmittel",Einnahmen_WK_1[Einnahmen (LC)]),2)</f>
      </c>
      <c r="F12" s="143" t="str">
        <f>=ROUND(SUMIF(Einnahmen_1[Typ],"Eigenmittel",Einnahmen_1[Einnahmen (EUR)])+SUMIF(Einnahmen_WK_1[Typ],"Eigenmittel",Einnahmen_WK_1[Einnahmen (EUR)]),2)</f>
      </c>
      <c r="I12" s="142" t="s">
        <v>194</v>
      </c>
      <c r="J12" s="115" t="str">
        <f>=ROUND(SUMIF(Einnahmen_2[Typ],"Eigenmittel",Einnahmen_2[Einnahmen (LC)])+SUMIF(Einnahmen_WK_2[Typ],"Eigenmittel",Einnahmen_WK_2[Einnahmen (LC)]),2)</f>
      </c>
      <c r="K12" s="116" t="str">
        <f>=ROUND(SUMIF(Einnahmen_2[Typ],"Eigenmittel",Einnahmen_2[Einnahmen (EUR)])+SUMIF(Einnahmen_WK_2[Typ],"Eigenmittel",Einnahmen_WK_2[Einnahmen (EUR)]),2)</f>
      </c>
      <c r="L12" s="115" t="str">
        <f>=IFERROR(ROUND(E12 + J12, 2), J12)</f>
      </c>
      <c r="M12" s="143" t="str">
        <f>=IFERROR(ROUND(F12 + K12, 2), K12)</f>
      </c>
      <c r="P12" s="142" t="s">
        <v>194</v>
      </c>
      <c r="Q12" s="115" t="str">
        <f>=ROUND(SUMIF(Einnahmen_3[Typ],"Eigenmittel",Einnahmen_3[Einnahmen (LC)])+SUMIF(Einnahmen_WK_3[Typ],"Eigenmittel",Einnahmen_WK_3[Einnahmen (LC)]),2)</f>
      </c>
      <c r="R12" s="116" t="str">
        <f>=ROUND(SUMIF(Einnahmen_3[Typ],"Eigenmittel",Einnahmen_3[Einnahmen (EUR)])+SUMIF(Einnahmen_WK_3[Typ],"Eigenmittel",Einnahmen_WK_3[Einnahmen (EUR)]),2)</f>
      </c>
      <c r="S12" s="115" t="str">
        <f>=IFERROR(ROUND(L12 + Q12, 2), Q12)</f>
      </c>
      <c r="T12" s="143" t="str">
        <f>=IFERROR(ROUND(M12 + R12, 2), R12)</f>
      </c>
      <c r="W12" s="142" t="s">
        <v>194</v>
      </c>
      <c r="X12" s="115" t="str">
        <f>=ROUND(SUMIF(Einnahmen_4[Typ],"Eigenmittel",Einnahmen_4[Einnahmen (LC)])+SUMIF(Einnahmen_WK_4[Typ],"Eigenmittel",Einnahmen_WK_4[Einnahmen (LC)]),2)</f>
      </c>
      <c r="Y12" s="116" t="str">
        <f>=ROUND(SUMIF(Einnahmen_4[Typ],"Eigenmittel",Einnahmen_4[Einnahmen (EUR)])+SUMIF(Einnahmen_WK_4[Typ],"Eigenmittel",Einnahmen_WK_4[Einnahmen (EUR)]),2)</f>
      </c>
      <c r="Z12" s="115" t="str">
        <f>=IFERROR(ROUND(S12 + X12, 2), X12)</f>
      </c>
      <c r="AA12" s="143" t="str">
        <f>=IFERROR(ROUND(T12 + Y12, 2), Y12)</f>
      </c>
      <c r="AD12" s="142" t="s">
        <v>194</v>
      </c>
      <c r="AE12" s="115" t="str">
        <f>=ROUND(SUMIF(Einnahmen_5[Typ],"Eigenmittel",Einnahmen_5[Einnahmen (LC)])+SUMIF(Einnahmen_WK_5[Typ],"Eigenmittel",Einnahmen_WK_5[Einnahmen (LC)]),2)</f>
      </c>
      <c r="AF12" s="116" t="str">
        <f>=ROUND(SUMIF(Einnahmen_5[Typ],"Eigenmittel",Einnahmen_5[Einnahmen (EUR)])+SUMIF(Einnahmen_WK_5[Typ],"Eigenmittel",Einnahmen_WK_5[Einnahmen (EUR)]),2)</f>
      </c>
      <c r="AG12" s="115" t="str">
        <f>=IFERROR(ROUND(Z12 + AE12, 2), AE12)</f>
      </c>
      <c r="AH12" s="143" t="str">
        <f>=IFERROR(ROUND(AA12 + AF12, 2), AF12)</f>
      </c>
      <c r="AK12" s="142" t="s">
        <v>194</v>
      </c>
      <c r="AL12" s="115" t="str">
        <f>=ROUND(SUMIF(Einnahmen_6[Typ],"Eigenmittel",Einnahmen_6[Einnahmen (LC)])+SUMIF(Einnahmen_WK_6[Typ],"Eigenmittel",Einnahmen_WK_6[Einnahmen (LC)]),2)</f>
      </c>
      <c r="AM12" s="116" t="str">
        <f>=ROUND(SUMIF(Einnahmen_6[Typ],"Eigenmittel",Einnahmen_6[Einnahmen (EUR)])+SUMIF(Einnahmen_WK_6[Typ],"Eigenmittel",Einnahmen_WK_6[Einnahmen (EUR)]),2)</f>
      </c>
      <c r="AN12" s="115" t="str">
        <f>=IFERROR(ROUND(AG12 + AL12, 2), AL12)</f>
      </c>
      <c r="AO12" s="143" t="str">
        <f>=IFERROR(ROUND(AH12 + AM12, 2), AM12)</f>
      </c>
      <c r="AR12" s="142" t="s">
        <v>194</v>
      </c>
      <c r="AS12" s="115" t="str">
        <f>=ROUND(SUMIF(Einnahmen_7[Typ],"Eigenmittel",Einnahmen_7[Einnahmen (LC)])+SUMIF(Einnahmen_WK_7[Typ],"Eigenmittel",Einnahmen_WK_7[Einnahmen (LC)]),2)</f>
      </c>
      <c r="AT12" s="116" t="str">
        <f>=ROUND(SUMIF(Einnahmen_7[Typ],"Eigenmittel",Einnahmen_7[Einnahmen (EUR)])+SUMIF(Einnahmen_WK_7[Typ],"Eigenmittel",Einnahmen_WK_7[Einnahmen (EUR)]),2)</f>
      </c>
      <c r="AU12" s="115" t="str">
        <f>=IFERROR(ROUND(AN12 + AS12, 2), AS12)</f>
      </c>
      <c r="AV12" s="143" t="str">
        <f>=IFERROR(ROUND(AO12 + AT12, 2), AT12)</f>
      </c>
      <c r="AY12" s="142" t="s">
        <v>194</v>
      </c>
      <c r="AZ12" s="115" t="str">
        <f>=ROUND(SUMIF(Einnahmen_8[Typ],"Eigenmittel",Einnahmen_8[Einnahmen (LC)])+SUMIF(Einnahmen_WK_8[Typ],"Eigenmittel",Einnahmen_WK_8[Einnahmen (LC)]),2)</f>
      </c>
      <c r="BA12" s="116" t="str">
        <f>=ROUND(SUMIF(Einnahmen_8[Typ],"Eigenmittel",Einnahmen_8[Einnahmen (EUR)])+SUMIF(Einnahmen_WK_8[Typ],"Eigenmittel",Einnahmen_WK_8[Einnahmen (EUR)]),2)</f>
      </c>
      <c r="BB12" s="115" t="str">
        <f>=IFERROR(ROUND(AU12 + AZ12, 2), AZ12)</f>
      </c>
      <c r="BC12" s="143" t="str">
        <f>=IFERROR(ROUND(AV12 + BA12, 2), BA12)</f>
      </c>
      <c r="BF12" s="142" t="s">
        <v>194</v>
      </c>
      <c r="BG12" s="115" t="str">
        <f>=ROUND(SUMIF(Einnahmen_9[Typ],"Eigenmittel",Einnahmen_9[Einnahmen (LC)])+SUMIF(Einnahmen_WK_9[Typ],"Eigenmittel",Einnahmen_WK_9[Einnahmen (LC)]),2)</f>
      </c>
      <c r="BH12" s="116" t="str">
        <f>=ROUND(SUMIF(Einnahmen_9[Typ],"Eigenmittel",Einnahmen_9[Einnahmen (EUR)])+SUMIF(Einnahmen_WK_9[Typ],"Eigenmittel",Einnahmen_WK_9[Einnahmen (EUR)]),2)</f>
      </c>
      <c r="BI12" s="115" t="str">
        <f>=IFERROR(ROUND(BB12 + BG12, 2), BG12)</f>
      </c>
      <c r="BJ12" s="143" t="str">
        <f>=IFERROR(ROUND(BC12 + BH12, 2), BH12)</f>
      </c>
      <c r="BM12" s="142" t="s">
        <v>194</v>
      </c>
      <c r="BN12" s="115" t="str">
        <f>=ROUND(SUMIF(Einnahmen_10[Typ],"Eigenmittel",Einnahmen_10[Einnahmen (LC)])+SUMIF(Einnahmen_WK_10[Typ],"Eigenmittel",Einnahmen_WK_10[Einnahmen (LC)]),2)</f>
      </c>
      <c r="BO12" s="116" t="str">
        <f>=ROUND(SUMIF(Einnahmen_10[Typ],"Eigenmittel",Einnahmen_10[Einnahmen (EUR)])+SUMIF(Einnahmen_WK_10[Typ],"Eigenmittel",Einnahmen_WK_10[Einnahmen (EUR)]),2)</f>
      </c>
      <c r="BP12" s="115" t="str">
        <f>=IFERROR(ROUND(BI12 + BN12, 2), BN12)</f>
      </c>
      <c r="BQ12" s="143" t="str">
        <f>=IFERROR(ROUND(BJ12 + BO12, 2), BO12)</f>
      </c>
      <c r="BT12" s="142" t="s">
        <v>194</v>
      </c>
      <c r="BU12" s="115" t="str">
        <f>=ROUND(SUMIF(Einnahmen_11[Typ],"Eigenmittel",Einnahmen_11[Einnahmen (LC)])+SUMIF(Einnahmen_WK_11[Typ],"Eigenmittel",Einnahmen_WK_11[Einnahmen (LC)]),2)</f>
      </c>
      <c r="BV12" s="116" t="str">
        <f>=ROUND(SUMIF(Einnahmen_11[Typ],"Eigenmittel",Einnahmen_11[Einnahmen (EUR)])+SUMIF(Einnahmen_WK_11[Typ],"Eigenmittel",Einnahmen_WK_11[Einnahmen (EUR)]),2)</f>
      </c>
      <c r="BW12" s="115" t="str">
        <f>=IFERROR(ROUND(BP12 + BU12, 2), BU12)</f>
      </c>
      <c r="BX12" s="143" t="str">
        <f>=IFERROR(ROUND(BQ12 + BV12, 2), BV12)</f>
      </c>
      <c r="CA12" s="142" t="s">
        <v>194</v>
      </c>
      <c r="CB12" s="115" t="str">
        <f>=ROUND(SUMIF(Einnahmen_12[Typ],"Eigenmittel",Einnahmen_12[Einnahmen (LC)])+SUMIF(Einnahmen_WK_12[Typ],"Eigenmittel",Einnahmen_WK_12[Einnahmen (LC)]),2)</f>
      </c>
      <c r="CC12" s="116" t="str">
        <f>=ROUND(SUMIF(Einnahmen_12[Typ],"Eigenmittel",Einnahmen_12[Einnahmen (EUR)])+SUMIF(Einnahmen_WK_12[Typ],"Eigenmittel",Einnahmen_WK_12[Einnahmen (EUR)]),2)</f>
      </c>
      <c r="CD12" s="115" t="str">
        <f>=IFERROR(ROUND(BW12 + CB12, 2), CB12)</f>
      </c>
      <c r="CE12" s="143" t="str">
        <f>=IFERROR(ROUND(BX12 + CC12, 2), CC12)</f>
      </c>
      <c r="CH12" s="142" t="s">
        <v>194</v>
      </c>
      <c r="CI12" s="115" t="str">
        <f>=ROUND(SUMIF(Einnahmen_13[Typ],"Eigenmittel",Einnahmen_13[Einnahmen (LC)])+SUMIF(Einnahmen_WK_13[Typ],"Eigenmittel",Einnahmen_WK_13[Einnahmen (LC)]),2)</f>
      </c>
      <c r="CJ12" s="116" t="str">
        <f>=ROUND(SUMIF(Einnahmen_13[Typ],"Eigenmittel",Einnahmen_13[Einnahmen (EUR)])+SUMIF(Einnahmen_WK_13[Typ],"Eigenmittel",Einnahmen_WK_13[Einnahmen (EUR)]),2)</f>
      </c>
      <c r="CK12" s="115" t="str">
        <f>=IFERROR(ROUND(CD12 + CI12, 2), CI12)</f>
      </c>
      <c r="CL12" s="143" t="str">
        <f>=IFERROR(ROUND(CE12 + CJ12, 2), CJ12)</f>
      </c>
      <c r="CO12" s="142" t="s">
        <v>194</v>
      </c>
      <c r="CP12" s="115" t="str">
        <f>=ROUND(SUMIF(Einnahmen_14[Typ],"Eigenmittel",Einnahmen_14[Einnahmen (LC)])+SUMIF(Einnahmen_WK_14[Typ],"Eigenmittel",Einnahmen_WK_14[Einnahmen (LC)]),2)</f>
      </c>
      <c r="CQ12" s="116" t="str">
        <f>=ROUND(SUMIF(Einnahmen_14[Typ],"Eigenmittel",Einnahmen_14[Einnahmen (EUR)])+SUMIF(Einnahmen_WK_14[Typ],"Eigenmittel",Einnahmen_WK_14[Einnahmen (EUR)]),2)</f>
      </c>
      <c r="CR12" s="115" t="str">
        <f>=IFERROR(ROUND(CK12 + CP12, 2), CP12)</f>
      </c>
      <c r="CS12" s="143" t="str">
        <f>=IFERROR(ROUND(CL12 + CQ12, 2), CQ12)</f>
      </c>
      <c r="CV12" s="142" t="s">
        <v>194</v>
      </c>
      <c r="CW12" s="115" t="str">
        <f>=ROUND(SUMIF(Einnahmen_15[Typ],"Eigenmittel",Einnahmen_15[Einnahmen (LC)])+SUMIF(Einnahmen_WK_15[Typ],"Eigenmittel",Einnahmen_WK_15[Einnahmen (LC)]),2)</f>
      </c>
      <c r="CX12" s="116" t="str">
        <f>=ROUND(SUMIF(Einnahmen_15[Typ],"Eigenmittel",Einnahmen_15[Einnahmen (EUR)])+SUMIF(Einnahmen_WK_15[Typ],"Eigenmittel",Einnahmen_WK_15[Einnahmen (EUR)]),2)</f>
      </c>
      <c r="CY12" s="115" t="str">
        <f>=IFERROR(ROUND(CR12 + CW12, 2), CW12)</f>
      </c>
      <c r="CZ12" s="143" t="str">
        <f>=IFERROR(ROUND(CS12 + CX12, 2), CX12)</f>
      </c>
      <c r="DC12" s="142" t="s">
        <v>194</v>
      </c>
      <c r="DD12" s="115" t="str">
        <f>=ROUND(SUMIF(Einnahmen_16[Typ],"Eigenmittel",Einnahmen_16[Einnahmen (LC)])+SUMIF(Einnahmen_WK_16[Typ],"Eigenmittel",Einnahmen_WK_16[Einnahmen (LC)]),2)</f>
      </c>
      <c r="DE12" s="116" t="str">
        <f>=ROUND(SUMIF(Einnahmen_16[Typ],"Eigenmittel",Einnahmen_16[Einnahmen (EUR)])+SUMIF(Einnahmen_WK_16[Typ],"Eigenmittel",Einnahmen_WK_16[Einnahmen (EUR)]),2)</f>
      </c>
      <c r="DF12" s="115" t="str">
        <f>=IFERROR(ROUND(CY12 + DD12, 2), DD12)</f>
      </c>
      <c r="DG12" s="143" t="str">
        <f>=IFERROR(ROUND(CZ12 + DE12, 2), DE12)</f>
      </c>
      <c r="DJ12" s="142" t="s">
        <v>194</v>
      </c>
      <c r="DK12" s="115" t="str">
        <f>=ROUND(SUMIF(Einnahmen_17[Typ],"Eigenmittel",Einnahmen_17[Einnahmen (LC)])+SUMIF(Einnahmen_WK_17[Typ],"Eigenmittel",Einnahmen_WK_17[Einnahmen (LC)]),2)</f>
      </c>
      <c r="DL12" s="116" t="str">
        <f>=ROUND(SUMIF(Einnahmen_17[Typ],"Eigenmittel",Einnahmen_17[Einnahmen (EUR)])+SUMIF(Einnahmen_WK_17[Typ],"Eigenmittel",Einnahmen_WK_17[Einnahmen (EUR)]),2)</f>
      </c>
      <c r="DM12" s="115" t="str">
        <f>=IFERROR(ROUND(DF12 + DK12, 2), DK12)</f>
      </c>
      <c r="DN12" s="143" t="str">
        <f>=IFERROR(ROUND(DG12 + DL12, 2), DL12)</f>
      </c>
      <c r="DQ12" s="142" t="s">
        <v>194</v>
      </c>
      <c r="DR12" s="115" t="str">
        <f>=ROUND(SUMIF(Einnahmen_18[Typ],"Eigenmittel",Einnahmen_18[Einnahmen (LC)])+SUMIF(Einnahmen_WK_18[Typ],"Eigenmittel",Einnahmen_WK_18[Einnahmen (LC)]),2)</f>
      </c>
      <c r="DS12" s="116" t="str">
        <f>=ROUND(SUMIF(Einnahmen_18[Typ],"Eigenmittel",Einnahmen_18[Einnahmen (EUR)])+SUMIF(Einnahmen_WK_18[Typ],"Eigenmittel",Einnahmen_WK_18[Einnahmen (EUR)]),2)</f>
      </c>
      <c r="DT12" s="115" t="str">
        <f>=IFERROR(ROUND(DM12 + DR12, 2), DR12)</f>
      </c>
      <c r="DU12" s="143" t="str">
        <f>=IFERROR(ROUND(DN12 + DS12, 2), DS12)</f>
      </c>
    </row>
    <row r="13">
      <c r="B13" s="142" t="s">
        <v>277</v>
      </c>
      <c r="C13" s="115" t="str">
        <f>=ROUND(SUMIF(Einnahmen_1[Typ],"Drittmittel",Einnahmen_1[Einnahmen (LC)])+SUMIF(Einnahmen_WK_1[Typ],"Drittmittel",Einnahmen_WK_1[Einnahmen (LC)]),2)</f>
      </c>
      <c r="D13" s="116" t="str">
        <f>=ROUND(SUMIF(Einnahmen_1[Typ],"Drittmittel",Einnahmen_1[Einnahmen (EUR)])+SUMIF(Einnahmen_WK_1[Typ],"Drittmittel",Einnahmen_WK_1[Einnahmen (EUR)]),2)</f>
      </c>
      <c r="E13" s="115" t="str">
        <f>=ROUND(SUMIF(Einnahmen_1[Typ],"Drittmittel",Einnahmen_1[Einnahmen (LC)])+SUMIF(Einnahmen_WK_1[Typ],"Drittmittel",Einnahmen_WK_1[Einnahmen (LC)]),2)</f>
      </c>
      <c r="F13" s="143" t="str">
        <f>=ROUND(SUMIF(Einnahmen_1[Typ],"Drittmittel",Einnahmen_1[Einnahmen (EUR)])+SUMIF(Einnahmen_WK_1[Typ],"Drittmittel",Einnahmen_WK_1[Einnahmen (EUR)]),2)</f>
      </c>
      <c r="I13" s="142" t="s">
        <v>277</v>
      </c>
      <c r="J13" s="115" t="str">
        <f>=ROUND(SUMIF(Einnahmen_2[Typ],"Drittmittel",Einnahmen_2[Einnahmen (LC)])+SUMIF(Einnahmen_WK_2[Typ],"Drittmittel",Einnahmen_WK_2[Einnahmen (LC)]),2)</f>
      </c>
      <c r="K13" s="116" t="str">
        <f>=ROUND(SUMIF(Einnahmen_2[Typ],"Drittmittel",Einnahmen_2[Einnahmen (EUR)])+SUMIF(Einnahmen_WK_2[Typ],"Drittmittel",Einnahmen_WK_2[Einnahmen (EUR)]),2)</f>
      </c>
      <c r="L13" s="115" t="str">
        <f>=IFERROR(ROUND(E13 + J13, 2), J13)</f>
      </c>
      <c r="M13" s="143" t="str">
        <f>=IFERROR(ROUND(F13 + K13, 2), K13)</f>
      </c>
      <c r="P13" s="142" t="s">
        <v>277</v>
      </c>
      <c r="Q13" s="115" t="str">
        <f>=ROUND(SUMIF(Einnahmen_3[Typ],"Drittmittel",Einnahmen_3[Einnahmen (LC)])+SUMIF(Einnahmen_WK_3[Typ],"Drittmittel",Einnahmen_WK_3[Einnahmen (LC)]),2)</f>
      </c>
      <c r="R13" s="116" t="str">
        <f>=ROUND(SUMIF(Einnahmen_3[Typ],"Drittmittel",Einnahmen_3[Einnahmen (EUR)])+SUMIF(Einnahmen_WK_3[Typ],"Drittmittel",Einnahmen_WK_3[Einnahmen (EUR)]),2)</f>
      </c>
      <c r="S13" s="115" t="str">
        <f>=IFERROR(ROUND(L13 + Q13, 2), Q13)</f>
      </c>
      <c r="T13" s="143" t="str">
        <f>=IFERROR(ROUND(M13 + R13, 2), R13)</f>
      </c>
      <c r="W13" s="142" t="s">
        <v>277</v>
      </c>
      <c r="X13" s="115" t="str">
        <f>=ROUND(SUMIF(Einnahmen_4[Typ],"Drittmittel",Einnahmen_4[Einnahmen (LC)])+SUMIF(Einnahmen_WK_4[Typ],"Drittmittel",Einnahmen_WK_4[Einnahmen (LC)]),2)</f>
      </c>
      <c r="Y13" s="116" t="str">
        <f>=ROUND(SUMIF(Einnahmen_4[Typ],"Drittmittel",Einnahmen_4[Einnahmen (EUR)])+SUMIF(Einnahmen_WK_4[Typ],"Drittmittel",Einnahmen_WK_4[Einnahmen (EUR)]),2)</f>
      </c>
      <c r="Z13" s="115" t="str">
        <f>=IFERROR(ROUND(S13 + X13, 2), X13)</f>
      </c>
      <c r="AA13" s="143" t="str">
        <f>=IFERROR(ROUND(T13 + Y13, 2), Y13)</f>
      </c>
      <c r="AD13" s="142" t="s">
        <v>277</v>
      </c>
      <c r="AE13" s="115" t="str">
        <f>=ROUND(SUMIF(Einnahmen_5[Typ],"Drittmittel",Einnahmen_5[Einnahmen (LC)])+SUMIF(Einnahmen_WK_5[Typ],"Drittmittel",Einnahmen_WK_5[Einnahmen (LC)]),2)</f>
      </c>
      <c r="AF13" s="116" t="str">
        <f>=ROUND(SUMIF(Einnahmen_5[Typ],"Drittmittel",Einnahmen_5[Einnahmen (EUR)])+SUMIF(Einnahmen_WK_5[Typ],"Drittmittel",Einnahmen_WK_5[Einnahmen (EUR)]),2)</f>
      </c>
      <c r="AG13" s="115" t="str">
        <f>=IFERROR(ROUND(Z13 + AE13, 2), AE13)</f>
      </c>
      <c r="AH13" s="143" t="str">
        <f>=IFERROR(ROUND(AA13 + AF13, 2), AF13)</f>
      </c>
      <c r="AK13" s="142" t="s">
        <v>277</v>
      </c>
      <c r="AL13" s="115" t="str">
        <f>=ROUND(SUMIF(Einnahmen_6[Typ],"Drittmittel",Einnahmen_6[Einnahmen (LC)])+SUMIF(Einnahmen_WK_6[Typ],"Drittmittel",Einnahmen_WK_6[Einnahmen (LC)]),2)</f>
      </c>
      <c r="AM13" s="116" t="str">
        <f>=ROUND(SUMIF(Einnahmen_6[Typ],"Drittmittel",Einnahmen_6[Einnahmen (EUR)])+SUMIF(Einnahmen_WK_6[Typ],"Drittmittel",Einnahmen_WK_6[Einnahmen (EUR)]),2)</f>
      </c>
      <c r="AN13" s="115" t="str">
        <f>=IFERROR(ROUND(AG13 + AL13, 2), AL13)</f>
      </c>
      <c r="AO13" s="143" t="str">
        <f>=IFERROR(ROUND(AH13 + AM13, 2), AM13)</f>
      </c>
      <c r="AR13" s="142" t="s">
        <v>277</v>
      </c>
      <c r="AS13" s="115" t="str">
        <f>=ROUND(SUMIF(Einnahmen_7[Typ],"Drittmittel",Einnahmen_7[Einnahmen (LC)])+SUMIF(Einnahmen_WK_7[Typ],"Drittmittel",Einnahmen_WK_7[Einnahmen (LC)]),2)</f>
      </c>
      <c r="AT13" s="116" t="str">
        <f>=ROUND(SUMIF(Einnahmen_7[Typ],"Drittmittel",Einnahmen_7[Einnahmen (EUR)])+SUMIF(Einnahmen_WK_7[Typ],"Drittmittel",Einnahmen_WK_7[Einnahmen (EUR)]),2)</f>
      </c>
      <c r="AU13" s="115" t="str">
        <f>=IFERROR(ROUND(AN13 + AS13, 2), AS13)</f>
      </c>
      <c r="AV13" s="143" t="str">
        <f>=IFERROR(ROUND(AO13 + AT13, 2), AT13)</f>
      </c>
      <c r="AY13" s="142" t="s">
        <v>277</v>
      </c>
      <c r="AZ13" s="115" t="str">
        <f>=ROUND(SUMIF(Einnahmen_8[Typ],"Drittmittel",Einnahmen_8[Einnahmen (LC)])+SUMIF(Einnahmen_WK_8[Typ],"Drittmittel",Einnahmen_WK_8[Einnahmen (LC)]),2)</f>
      </c>
      <c r="BA13" s="116" t="str">
        <f>=ROUND(SUMIF(Einnahmen_8[Typ],"Drittmittel",Einnahmen_8[Einnahmen (EUR)])+SUMIF(Einnahmen_WK_8[Typ],"Drittmittel",Einnahmen_WK_8[Einnahmen (EUR)]),2)</f>
      </c>
      <c r="BB13" s="115" t="str">
        <f>=IFERROR(ROUND(AU13 + AZ13, 2), AZ13)</f>
      </c>
      <c r="BC13" s="143" t="str">
        <f>=IFERROR(ROUND(AV13 + BA13, 2), BA13)</f>
      </c>
      <c r="BF13" s="142" t="s">
        <v>277</v>
      </c>
      <c r="BG13" s="115" t="str">
        <f>=ROUND(SUMIF(Einnahmen_9[Typ],"Drittmittel",Einnahmen_9[Einnahmen (LC)])+SUMIF(Einnahmen_WK_9[Typ],"Drittmittel",Einnahmen_WK_9[Einnahmen (LC)]),2)</f>
      </c>
      <c r="BH13" s="116" t="str">
        <f>=ROUND(SUMIF(Einnahmen_9[Typ],"Drittmittel",Einnahmen_9[Einnahmen (EUR)])+SUMIF(Einnahmen_WK_9[Typ],"Drittmittel",Einnahmen_WK_9[Einnahmen (EUR)]),2)</f>
      </c>
      <c r="BI13" s="115" t="str">
        <f>=IFERROR(ROUND(BB13 + BG13, 2), BG13)</f>
      </c>
      <c r="BJ13" s="143" t="str">
        <f>=IFERROR(ROUND(BC13 + BH13, 2), BH13)</f>
      </c>
      <c r="BM13" s="142" t="s">
        <v>277</v>
      </c>
      <c r="BN13" s="115" t="str">
        <f>=ROUND(SUMIF(Einnahmen_10[Typ],"Drittmittel",Einnahmen_10[Einnahmen (LC)])+SUMIF(Einnahmen_WK_10[Typ],"Drittmittel",Einnahmen_WK_10[Einnahmen (LC)]),2)</f>
      </c>
      <c r="BO13" s="116" t="str">
        <f>=ROUND(SUMIF(Einnahmen_10[Typ],"Drittmittel",Einnahmen_10[Einnahmen (EUR)])+SUMIF(Einnahmen_WK_10[Typ],"Drittmittel",Einnahmen_WK_10[Einnahmen (EUR)]),2)</f>
      </c>
      <c r="BP13" s="115" t="str">
        <f>=IFERROR(ROUND(BI13 + BN13, 2), BN13)</f>
      </c>
      <c r="BQ13" s="143" t="str">
        <f>=IFERROR(ROUND(BJ13 + BO13, 2), BO13)</f>
      </c>
      <c r="BT13" s="142" t="s">
        <v>277</v>
      </c>
      <c r="BU13" s="115" t="str">
        <f>=ROUND(SUMIF(Einnahmen_11[Typ],"Drittmittel",Einnahmen_11[Einnahmen (LC)])+SUMIF(Einnahmen_WK_11[Typ],"Drittmittel",Einnahmen_WK_11[Einnahmen (LC)]),2)</f>
      </c>
      <c r="BV13" s="116" t="str">
        <f>=ROUND(SUMIF(Einnahmen_11[Typ],"Drittmittel",Einnahmen_11[Einnahmen (EUR)])+SUMIF(Einnahmen_WK_11[Typ],"Drittmittel",Einnahmen_WK_11[Einnahmen (EUR)]),2)</f>
      </c>
      <c r="BW13" s="115" t="str">
        <f>=IFERROR(ROUND(BP13 + BU13, 2), BU13)</f>
      </c>
      <c r="BX13" s="143" t="str">
        <f>=IFERROR(ROUND(BQ13 + BV13, 2), BV13)</f>
      </c>
      <c r="CA13" s="142" t="s">
        <v>277</v>
      </c>
      <c r="CB13" s="115" t="str">
        <f>=ROUND(SUMIF(Einnahmen_12[Typ],"Drittmittel",Einnahmen_12[Einnahmen (LC)])+SUMIF(Einnahmen_WK_12[Typ],"Drittmittel",Einnahmen_WK_12[Einnahmen (LC)]),2)</f>
      </c>
      <c r="CC13" s="116" t="str">
        <f>=ROUND(SUMIF(Einnahmen_12[Typ],"Drittmittel",Einnahmen_12[Einnahmen (EUR)])+SUMIF(Einnahmen_WK_12[Typ],"Drittmittel",Einnahmen_WK_12[Einnahmen (EUR)]),2)</f>
      </c>
      <c r="CD13" s="115" t="str">
        <f>=IFERROR(ROUND(BW13 + CB13, 2), CB13)</f>
      </c>
      <c r="CE13" s="143" t="str">
        <f>=IFERROR(ROUND(BX13 + CC13, 2), CC13)</f>
      </c>
      <c r="CH13" s="142" t="s">
        <v>277</v>
      </c>
      <c r="CI13" s="115" t="str">
        <f>=ROUND(SUMIF(Einnahmen_13[Typ],"Drittmittel",Einnahmen_13[Einnahmen (LC)])+SUMIF(Einnahmen_WK_13[Typ],"Drittmittel",Einnahmen_WK_13[Einnahmen (LC)]),2)</f>
      </c>
      <c r="CJ13" s="116" t="str">
        <f>=ROUND(SUMIF(Einnahmen_13[Typ],"Drittmittel",Einnahmen_13[Einnahmen (EUR)])+SUMIF(Einnahmen_WK_13[Typ],"Drittmittel",Einnahmen_WK_13[Einnahmen (EUR)]),2)</f>
      </c>
      <c r="CK13" s="115" t="str">
        <f>=IFERROR(ROUND(CD13 + CI13, 2), CI13)</f>
      </c>
      <c r="CL13" s="143" t="str">
        <f>=IFERROR(ROUND(CE13 + CJ13, 2), CJ13)</f>
      </c>
      <c r="CO13" s="142" t="s">
        <v>277</v>
      </c>
      <c r="CP13" s="115" t="str">
        <f>=ROUND(SUMIF(Einnahmen_14[Typ],"Drittmittel",Einnahmen_14[Einnahmen (LC)])+SUMIF(Einnahmen_WK_14[Typ],"Drittmittel",Einnahmen_WK_14[Einnahmen (LC)]),2)</f>
      </c>
      <c r="CQ13" s="116" t="str">
        <f>=ROUND(SUMIF(Einnahmen_14[Typ],"Drittmittel",Einnahmen_14[Einnahmen (EUR)])+SUMIF(Einnahmen_WK_14[Typ],"Drittmittel",Einnahmen_WK_14[Einnahmen (EUR)]),2)</f>
      </c>
      <c r="CR13" s="115" t="str">
        <f>=IFERROR(ROUND(CK13 + CP13, 2), CP13)</f>
      </c>
      <c r="CS13" s="143" t="str">
        <f>=IFERROR(ROUND(CL13 + CQ13, 2), CQ13)</f>
      </c>
      <c r="CV13" s="142" t="s">
        <v>277</v>
      </c>
      <c r="CW13" s="115" t="str">
        <f>=ROUND(SUMIF(Einnahmen_15[Typ],"Drittmittel",Einnahmen_15[Einnahmen (LC)])+SUMIF(Einnahmen_WK_15[Typ],"Drittmittel",Einnahmen_WK_15[Einnahmen (LC)]),2)</f>
      </c>
      <c r="CX13" s="116" t="str">
        <f>=ROUND(SUMIF(Einnahmen_15[Typ],"Drittmittel",Einnahmen_15[Einnahmen (EUR)])+SUMIF(Einnahmen_WK_15[Typ],"Drittmittel",Einnahmen_WK_15[Einnahmen (EUR)]),2)</f>
      </c>
      <c r="CY13" s="115" t="str">
        <f>=IFERROR(ROUND(CR13 + CW13, 2), CW13)</f>
      </c>
      <c r="CZ13" s="143" t="str">
        <f>=IFERROR(ROUND(CS13 + CX13, 2), CX13)</f>
      </c>
      <c r="DC13" s="142" t="s">
        <v>277</v>
      </c>
      <c r="DD13" s="115" t="str">
        <f>=ROUND(SUMIF(Einnahmen_16[Typ],"Drittmittel",Einnahmen_16[Einnahmen (LC)])+SUMIF(Einnahmen_WK_16[Typ],"Drittmittel",Einnahmen_WK_16[Einnahmen (LC)]),2)</f>
      </c>
      <c r="DE13" s="116" t="str">
        <f>=ROUND(SUMIF(Einnahmen_16[Typ],"Drittmittel",Einnahmen_16[Einnahmen (EUR)])+SUMIF(Einnahmen_WK_16[Typ],"Drittmittel",Einnahmen_WK_16[Einnahmen (EUR)]),2)</f>
      </c>
      <c r="DF13" s="115" t="str">
        <f>=IFERROR(ROUND(CY13 + DD13, 2), DD13)</f>
      </c>
      <c r="DG13" s="143" t="str">
        <f>=IFERROR(ROUND(CZ13 + DE13, 2), DE13)</f>
      </c>
      <c r="DJ13" s="142" t="s">
        <v>277</v>
      </c>
      <c r="DK13" s="115" t="str">
        <f>=ROUND(SUMIF(Einnahmen_17[Typ],"Drittmittel",Einnahmen_17[Einnahmen (LC)])+SUMIF(Einnahmen_WK_17[Typ],"Drittmittel",Einnahmen_WK_17[Einnahmen (LC)]),2)</f>
      </c>
      <c r="DL13" s="116" t="str">
        <f>=ROUND(SUMIF(Einnahmen_17[Typ],"Drittmittel",Einnahmen_17[Einnahmen (EUR)])+SUMIF(Einnahmen_WK_17[Typ],"Drittmittel",Einnahmen_WK_17[Einnahmen (EUR)]),2)</f>
      </c>
      <c r="DM13" s="115" t="str">
        <f>=IFERROR(ROUND(DF13 + DK13, 2), DK13)</f>
      </c>
      <c r="DN13" s="143" t="str">
        <f>=IFERROR(ROUND(DG13 + DL13, 2), DL13)</f>
      </c>
      <c r="DQ13" s="142" t="s">
        <v>277</v>
      </c>
      <c r="DR13" s="115" t="str">
        <f>=ROUND(SUMIF(Einnahmen_18[Typ],"Drittmittel",Einnahmen_18[Einnahmen (LC)])+SUMIF(Einnahmen_WK_18[Typ],"Drittmittel",Einnahmen_WK_18[Einnahmen (LC)]),2)</f>
      </c>
      <c r="DS13" s="116" t="str">
        <f>=ROUND(SUMIF(Einnahmen_18[Typ],"Drittmittel",Einnahmen_18[Einnahmen (EUR)])+SUMIF(Einnahmen_WK_18[Typ],"Drittmittel",Einnahmen_WK_18[Einnahmen (EUR)]),2)</f>
      </c>
      <c r="DT13" s="115" t="str">
        <f>=IFERROR(ROUND(DM13 + DR13, 2), DR13)</f>
      </c>
      <c r="DU13" s="143" t="str">
        <f>=IFERROR(ROUND(DN13 + DS13, 2), DS13)</f>
      </c>
    </row>
    <row r="14">
      <c r="B14" s="142" t="s">
        <v>199</v>
      </c>
      <c r="C14" s="115" t="str">
        <f>=ROUND(SUMIF(Einnahmen_1[Typ],"KMW-Mittel",Einnahmen_1[Einnahmen (LC)])+SUMIF(Einnahmen_WK_1[Typ],"KMW-Mittel",Einnahmen_WK_1[Einnahmen (LC)]),2)</f>
      </c>
      <c r="D14" s="116" t="str">
        <f>=ROUND(SUMIF(Einnahmen_1[Typ],"KMW-Mittel",Einnahmen_1[Einnahmen (EUR)])+SUMIF(Einnahmen_WK_1[Typ],"KMW-Mittel",Einnahmen_WK_1[Einnahmen (EUR)]),2)</f>
      </c>
      <c r="E14" s="115" t="str">
        <f>=ROUND(SUMIF(Einnahmen_1[Typ],"KMW-Mittel",Einnahmen_1[Einnahmen (LC)])+SUMIF(Einnahmen_WK_1[Typ],"KMW-Mittel",Einnahmen_WK_1[Einnahmen (LC)]),2)</f>
      </c>
      <c r="F14" s="143" t="str">
        <f>=ROUND(SUMIF(Einnahmen_1[Typ],"KMW-Mittel",Einnahmen_1[Einnahmen (EUR)])+SUMIF(Einnahmen_WK_1[Typ],"KMW-Mittel",Einnahmen_WK_1[Einnahmen (EUR)]),2)</f>
      </c>
      <c r="I14" s="142" t="s">
        <v>199</v>
      </c>
      <c r="J14" s="115" t="str">
        <f>=ROUND(SUMIF(Einnahmen_2[Typ],"KMW-Mittel",Einnahmen_2[Einnahmen (LC)])+SUMIF(Einnahmen_WK_2[Typ],"KMW-Mittel",Einnahmen_WK_2[Einnahmen (LC)]),2)</f>
      </c>
      <c r="K14" s="116" t="str">
        <f>=ROUND(SUMIF(Einnahmen_2[Typ],"KMW-Mittel",Einnahmen_2[Einnahmen (EUR)])+SUMIF(Einnahmen_WK_2[Typ],"KMW-Mittel",Einnahmen_WK_2[Einnahmen (EUR)]),2)</f>
      </c>
      <c r="L14" s="115" t="str">
        <f>=IFERROR(ROUND(E14 + J14, 2), J14)</f>
      </c>
      <c r="M14" s="143" t="str">
        <f>=IFERROR(ROUND(F14 + K14, 2), K14)</f>
      </c>
      <c r="P14" s="142" t="s">
        <v>199</v>
      </c>
      <c r="Q14" s="115" t="str">
        <f>=ROUND(SUMIF(Einnahmen_3[Typ],"KMW-Mittel",Einnahmen_3[Einnahmen (LC)])+SUMIF(Einnahmen_WK_3[Typ],"KMW-Mittel",Einnahmen_WK_3[Einnahmen (LC)]),2)</f>
      </c>
      <c r="R14" s="116" t="str">
        <f>=ROUND(SUMIF(Einnahmen_3[Typ],"KMW-Mittel",Einnahmen_3[Einnahmen (EUR)])+SUMIF(Einnahmen_WK_3[Typ],"KMW-Mittel",Einnahmen_WK_3[Einnahmen (EUR)]),2)</f>
      </c>
      <c r="S14" s="115" t="str">
        <f>=IFERROR(ROUND(L14 + Q14, 2), Q14)</f>
      </c>
      <c r="T14" s="143" t="str">
        <f>=IFERROR(ROUND(M14 + R14, 2), R14)</f>
      </c>
      <c r="W14" s="142" t="s">
        <v>199</v>
      </c>
      <c r="X14" s="115" t="str">
        <f>=ROUND(SUMIF(Einnahmen_4[Typ],"KMW-Mittel",Einnahmen_4[Einnahmen (LC)])+SUMIF(Einnahmen_WK_4[Typ],"KMW-Mittel",Einnahmen_WK_4[Einnahmen (LC)]),2)</f>
      </c>
      <c r="Y14" s="116" t="str">
        <f>=ROUND(SUMIF(Einnahmen_4[Typ],"KMW-Mittel",Einnahmen_4[Einnahmen (EUR)])+SUMIF(Einnahmen_WK_4[Typ],"KMW-Mittel",Einnahmen_WK_4[Einnahmen (EUR)]),2)</f>
      </c>
      <c r="Z14" s="115" t="str">
        <f>=IFERROR(ROUND(S14 + X14, 2), X14)</f>
      </c>
      <c r="AA14" s="143" t="str">
        <f>=IFERROR(ROUND(T14 + Y14, 2), Y14)</f>
      </c>
      <c r="AD14" s="142" t="s">
        <v>199</v>
      </c>
      <c r="AE14" s="115" t="str">
        <f>=ROUND(SUMIF(Einnahmen_5[Typ],"KMW-Mittel",Einnahmen_5[Einnahmen (LC)])+SUMIF(Einnahmen_WK_5[Typ],"KMW-Mittel",Einnahmen_WK_5[Einnahmen (LC)]),2)</f>
      </c>
      <c r="AF14" s="116" t="str">
        <f>=ROUND(SUMIF(Einnahmen_5[Typ],"KMW-Mittel",Einnahmen_5[Einnahmen (EUR)])+SUMIF(Einnahmen_WK_5[Typ],"KMW-Mittel",Einnahmen_WK_5[Einnahmen (EUR)]),2)</f>
      </c>
      <c r="AG14" s="115" t="str">
        <f>=IFERROR(ROUND(Z14 + AE14, 2), AE14)</f>
      </c>
      <c r="AH14" s="143" t="str">
        <f>=IFERROR(ROUND(AA14 + AF14, 2), AF14)</f>
      </c>
      <c r="AK14" s="142" t="s">
        <v>199</v>
      </c>
      <c r="AL14" s="115" t="str">
        <f>=ROUND(SUMIF(Einnahmen_6[Typ],"KMW-Mittel",Einnahmen_6[Einnahmen (LC)])+SUMIF(Einnahmen_WK_6[Typ],"KMW-Mittel",Einnahmen_WK_6[Einnahmen (LC)]),2)</f>
      </c>
      <c r="AM14" s="116" t="str">
        <f>=ROUND(SUMIF(Einnahmen_6[Typ],"KMW-Mittel",Einnahmen_6[Einnahmen (EUR)])+SUMIF(Einnahmen_WK_6[Typ],"KMW-Mittel",Einnahmen_WK_6[Einnahmen (EUR)]),2)</f>
      </c>
      <c r="AN14" s="115" t="str">
        <f>=IFERROR(ROUND(AG14 + AL14, 2), AL14)</f>
      </c>
      <c r="AO14" s="143" t="str">
        <f>=IFERROR(ROUND(AH14 + AM14, 2), AM14)</f>
      </c>
      <c r="AR14" s="142" t="s">
        <v>199</v>
      </c>
      <c r="AS14" s="115" t="str">
        <f>=ROUND(SUMIF(Einnahmen_7[Typ],"KMW-Mittel",Einnahmen_7[Einnahmen (LC)])+SUMIF(Einnahmen_WK_7[Typ],"KMW-Mittel",Einnahmen_WK_7[Einnahmen (LC)]),2)</f>
      </c>
      <c r="AT14" s="116" t="str">
        <f>=ROUND(SUMIF(Einnahmen_7[Typ],"KMW-Mittel",Einnahmen_7[Einnahmen (EUR)])+SUMIF(Einnahmen_WK_7[Typ],"KMW-Mittel",Einnahmen_WK_7[Einnahmen (EUR)]),2)</f>
      </c>
      <c r="AU14" s="115" t="str">
        <f>=IFERROR(ROUND(AN14 + AS14, 2), AS14)</f>
      </c>
      <c r="AV14" s="143" t="str">
        <f>=IFERROR(ROUND(AO14 + AT14, 2), AT14)</f>
      </c>
      <c r="AY14" s="142" t="s">
        <v>199</v>
      </c>
      <c r="AZ14" s="115" t="str">
        <f>=ROUND(SUMIF(Einnahmen_8[Typ],"KMW-Mittel",Einnahmen_8[Einnahmen (LC)])+SUMIF(Einnahmen_WK_8[Typ],"KMW-Mittel",Einnahmen_WK_8[Einnahmen (LC)]),2)</f>
      </c>
      <c r="BA14" s="116" t="str">
        <f>=ROUND(SUMIF(Einnahmen_8[Typ],"KMW-Mittel",Einnahmen_8[Einnahmen (EUR)])+SUMIF(Einnahmen_WK_8[Typ],"KMW-Mittel",Einnahmen_WK_8[Einnahmen (EUR)]),2)</f>
      </c>
      <c r="BB14" s="115" t="str">
        <f>=IFERROR(ROUND(AU14 + AZ14, 2), AZ14)</f>
      </c>
      <c r="BC14" s="143" t="str">
        <f>=IFERROR(ROUND(AV14 + BA14, 2), BA14)</f>
      </c>
      <c r="BF14" s="142" t="s">
        <v>199</v>
      </c>
      <c r="BG14" s="115" t="str">
        <f>=ROUND(SUMIF(Einnahmen_9[Typ],"KMW-Mittel",Einnahmen_9[Einnahmen (LC)])+SUMIF(Einnahmen_WK_9[Typ],"KMW-Mittel",Einnahmen_WK_9[Einnahmen (LC)]),2)</f>
      </c>
      <c r="BH14" s="116" t="str">
        <f>=ROUND(SUMIF(Einnahmen_9[Typ],"KMW-Mittel",Einnahmen_9[Einnahmen (EUR)])+SUMIF(Einnahmen_WK_9[Typ],"KMW-Mittel",Einnahmen_WK_9[Einnahmen (EUR)]),2)</f>
      </c>
      <c r="BI14" s="115" t="str">
        <f>=IFERROR(ROUND(BB14 + BG14, 2), BG14)</f>
      </c>
      <c r="BJ14" s="143" t="str">
        <f>=IFERROR(ROUND(BC14 + BH14, 2), BH14)</f>
      </c>
      <c r="BM14" s="142" t="s">
        <v>199</v>
      </c>
      <c r="BN14" s="115" t="str">
        <f>=ROUND(SUMIF(Einnahmen_10[Typ],"KMW-Mittel",Einnahmen_10[Einnahmen (LC)])+SUMIF(Einnahmen_WK_10[Typ],"KMW-Mittel",Einnahmen_WK_10[Einnahmen (LC)]),2)</f>
      </c>
      <c r="BO14" s="116" t="str">
        <f>=ROUND(SUMIF(Einnahmen_10[Typ],"KMW-Mittel",Einnahmen_10[Einnahmen (EUR)])+SUMIF(Einnahmen_WK_10[Typ],"KMW-Mittel",Einnahmen_WK_10[Einnahmen (EUR)]),2)</f>
      </c>
      <c r="BP14" s="115" t="str">
        <f>=IFERROR(ROUND(BI14 + BN14, 2), BN14)</f>
      </c>
      <c r="BQ14" s="143" t="str">
        <f>=IFERROR(ROUND(BJ14 + BO14, 2), BO14)</f>
      </c>
      <c r="BT14" s="142" t="s">
        <v>199</v>
      </c>
      <c r="BU14" s="115" t="str">
        <f>=ROUND(SUMIF(Einnahmen_11[Typ],"KMW-Mittel",Einnahmen_11[Einnahmen (LC)])+SUMIF(Einnahmen_WK_11[Typ],"KMW-Mittel",Einnahmen_WK_11[Einnahmen (LC)]),2)</f>
      </c>
      <c r="BV14" s="116" t="str">
        <f>=ROUND(SUMIF(Einnahmen_11[Typ],"KMW-Mittel",Einnahmen_11[Einnahmen (EUR)])+SUMIF(Einnahmen_WK_11[Typ],"KMW-Mittel",Einnahmen_WK_11[Einnahmen (EUR)]),2)</f>
      </c>
      <c r="BW14" s="115" t="str">
        <f>=IFERROR(ROUND(BP14 + BU14, 2), BU14)</f>
      </c>
      <c r="BX14" s="143" t="str">
        <f>=IFERROR(ROUND(BQ14 + BV14, 2), BV14)</f>
      </c>
      <c r="CA14" s="142" t="s">
        <v>199</v>
      </c>
      <c r="CB14" s="115" t="str">
        <f>=ROUND(SUMIF(Einnahmen_12[Typ],"KMW-Mittel",Einnahmen_12[Einnahmen (LC)])+SUMIF(Einnahmen_WK_12[Typ],"KMW-Mittel",Einnahmen_WK_12[Einnahmen (LC)]),2)</f>
      </c>
      <c r="CC14" s="116" t="str">
        <f>=ROUND(SUMIF(Einnahmen_12[Typ],"KMW-Mittel",Einnahmen_12[Einnahmen (EUR)])+SUMIF(Einnahmen_WK_12[Typ],"KMW-Mittel",Einnahmen_WK_12[Einnahmen (EUR)]),2)</f>
      </c>
      <c r="CD14" s="115" t="str">
        <f>=IFERROR(ROUND(BW14 + CB14, 2), CB14)</f>
      </c>
      <c r="CE14" s="143" t="str">
        <f>=IFERROR(ROUND(BX14 + CC14, 2), CC14)</f>
      </c>
      <c r="CH14" s="142" t="s">
        <v>199</v>
      </c>
      <c r="CI14" s="115" t="str">
        <f>=ROUND(SUMIF(Einnahmen_13[Typ],"KMW-Mittel",Einnahmen_13[Einnahmen (LC)])+SUMIF(Einnahmen_WK_13[Typ],"KMW-Mittel",Einnahmen_WK_13[Einnahmen (LC)]),2)</f>
      </c>
      <c r="CJ14" s="116" t="str">
        <f>=ROUND(SUMIF(Einnahmen_13[Typ],"KMW-Mittel",Einnahmen_13[Einnahmen (EUR)])+SUMIF(Einnahmen_WK_13[Typ],"KMW-Mittel",Einnahmen_WK_13[Einnahmen (EUR)]),2)</f>
      </c>
      <c r="CK14" s="115" t="str">
        <f>=IFERROR(ROUND(CD14 + CI14, 2), CI14)</f>
      </c>
      <c r="CL14" s="143" t="str">
        <f>=IFERROR(ROUND(CE14 + CJ14, 2), CJ14)</f>
      </c>
      <c r="CO14" s="142" t="s">
        <v>199</v>
      </c>
      <c r="CP14" s="115" t="str">
        <f>=ROUND(SUMIF(Einnahmen_14[Typ],"KMW-Mittel",Einnahmen_14[Einnahmen (LC)])+SUMIF(Einnahmen_WK_14[Typ],"KMW-Mittel",Einnahmen_WK_14[Einnahmen (LC)]),2)</f>
      </c>
      <c r="CQ14" s="116" t="str">
        <f>=ROUND(SUMIF(Einnahmen_14[Typ],"KMW-Mittel",Einnahmen_14[Einnahmen (EUR)])+SUMIF(Einnahmen_WK_14[Typ],"KMW-Mittel",Einnahmen_WK_14[Einnahmen (EUR)]),2)</f>
      </c>
      <c r="CR14" s="115" t="str">
        <f>=IFERROR(ROUND(CK14 + CP14, 2), CP14)</f>
      </c>
      <c r="CS14" s="143" t="str">
        <f>=IFERROR(ROUND(CL14 + CQ14, 2), CQ14)</f>
      </c>
      <c r="CV14" s="142" t="s">
        <v>199</v>
      </c>
      <c r="CW14" s="115" t="str">
        <f>=ROUND(SUMIF(Einnahmen_15[Typ],"KMW-Mittel",Einnahmen_15[Einnahmen (LC)])+SUMIF(Einnahmen_WK_15[Typ],"KMW-Mittel",Einnahmen_WK_15[Einnahmen (LC)]),2)</f>
      </c>
      <c r="CX14" s="116" t="str">
        <f>=ROUND(SUMIF(Einnahmen_15[Typ],"KMW-Mittel",Einnahmen_15[Einnahmen (EUR)])+SUMIF(Einnahmen_WK_15[Typ],"KMW-Mittel",Einnahmen_WK_15[Einnahmen (EUR)]),2)</f>
      </c>
      <c r="CY14" s="115" t="str">
        <f>=IFERROR(ROUND(CR14 + CW14, 2), CW14)</f>
      </c>
      <c r="CZ14" s="143" t="str">
        <f>=IFERROR(ROUND(CS14 + CX14, 2), CX14)</f>
      </c>
      <c r="DC14" s="142" t="s">
        <v>199</v>
      </c>
      <c r="DD14" s="115" t="str">
        <f>=ROUND(SUMIF(Einnahmen_16[Typ],"KMW-Mittel",Einnahmen_16[Einnahmen (LC)])+SUMIF(Einnahmen_WK_16[Typ],"KMW-Mittel",Einnahmen_WK_16[Einnahmen (LC)]),2)</f>
      </c>
      <c r="DE14" s="116" t="str">
        <f>=ROUND(SUMIF(Einnahmen_16[Typ],"KMW-Mittel",Einnahmen_16[Einnahmen (EUR)])+SUMIF(Einnahmen_WK_16[Typ],"KMW-Mittel",Einnahmen_WK_16[Einnahmen (EUR)]),2)</f>
      </c>
      <c r="DF14" s="115" t="str">
        <f>=IFERROR(ROUND(CY14 + DD14, 2), DD14)</f>
      </c>
      <c r="DG14" s="143" t="str">
        <f>=IFERROR(ROUND(CZ14 + DE14, 2), DE14)</f>
      </c>
      <c r="DJ14" s="142" t="s">
        <v>199</v>
      </c>
      <c r="DK14" s="115" t="str">
        <f>=ROUND(SUMIF(Einnahmen_17[Typ],"KMW-Mittel",Einnahmen_17[Einnahmen (LC)])+SUMIF(Einnahmen_WK_17[Typ],"KMW-Mittel",Einnahmen_WK_17[Einnahmen (LC)]),2)</f>
      </c>
      <c r="DL14" s="116" t="str">
        <f>=ROUND(SUMIF(Einnahmen_17[Typ],"KMW-Mittel",Einnahmen_17[Einnahmen (EUR)])+SUMIF(Einnahmen_WK_17[Typ],"KMW-Mittel",Einnahmen_WK_17[Einnahmen (EUR)]),2)</f>
      </c>
      <c r="DM14" s="115" t="str">
        <f>=IFERROR(ROUND(DF14 + DK14, 2), DK14)</f>
      </c>
      <c r="DN14" s="143" t="str">
        <f>=IFERROR(ROUND(DG14 + DL14, 2), DL14)</f>
      </c>
      <c r="DQ14" s="142" t="s">
        <v>199</v>
      </c>
      <c r="DR14" s="115" t="str">
        <f>=ROUND(SUMIF(Einnahmen_18[Typ],"KMW-Mittel",Einnahmen_18[Einnahmen (LC)])+SUMIF(Einnahmen_WK_18[Typ],"KMW-Mittel",Einnahmen_WK_18[Einnahmen (LC)]),2)</f>
      </c>
      <c r="DS14" s="116" t="str">
        <f>=ROUND(SUMIF(Einnahmen_18[Typ],"KMW-Mittel",Einnahmen_18[Einnahmen (EUR)])+SUMIF(Einnahmen_WK_18[Typ],"KMW-Mittel",Einnahmen_WK_18[Einnahmen (EUR)]),2)</f>
      </c>
      <c r="DT14" s="115" t="str">
        <f>=IFERROR(ROUND(DM14 + DR14, 2), DR14)</f>
      </c>
      <c r="DU14" s="143" t="str">
        <f>=IFERROR(ROUND(DN14 + DS14, 2), DS14)</f>
      </c>
    </row>
    <row r="15">
      <c r="B15" s="142" t="s">
        <v>278</v>
      </c>
      <c r="C15" s="115" t="str">
        <f>=ROUND(SUMIF(Einnahmen_1[Typ],"Zinsertraege",Einnahmen_1[Einnahmen (LC)])+SUMIF(Einnahmen_WK_1[Typ],"Zinsertraege",Einnahmen_WK_1[Einnahmen (LC)]),2)</f>
      </c>
      <c r="D15" s="116" t="str">
        <f>=ROUND(SUMIF(Einnahmen_1[Typ],"Zinsertraege",Einnahmen_1[Einnahmen (EUR)])+SUMIF(Einnahmen_WK_1[Typ],"Zinsertraege",Einnahmen_WK_1[Einnahmen (EUR)]),2)</f>
      </c>
      <c r="E15" s="115" t="str">
        <f>=ROUND(SUMIF(Einnahmen_1[Typ],"Zinsertraege",Einnahmen_1[Einnahmen (LC)])+SUMIF(Einnahmen_WK_1[Typ],"Zinsertraege",Einnahmen_WK_1[Einnahmen (LC)]),2)</f>
      </c>
      <c r="F15" s="143" t="str">
        <f>=ROUND(SUMIF(Einnahmen_1[Typ],"Zinsertraege",Einnahmen_1[Einnahmen (EUR)])+SUMIF(Einnahmen_WK_1[Typ],"Zinsertraege",Einnahmen_WK_1[Einnahmen (EUR)]),2)</f>
      </c>
      <c r="I15" s="142" t="s">
        <v>278</v>
      </c>
      <c r="J15" s="115" t="str">
        <f>=ROUND(SUMIF(Einnahmen_2[Typ],"Zinsertraege",Einnahmen_2[Einnahmen (LC)])+SUMIF(Einnahmen_WK_2[Typ],"Zinsertraege",Einnahmen_WK_2[Einnahmen (LC)]),2)</f>
      </c>
      <c r="K15" s="116" t="str">
        <f>=ROUND(SUMIF(Einnahmen_2[Typ],"Zinsertraege",Einnahmen_2[Einnahmen (EUR)])+SUMIF(Einnahmen_WK_2[Typ],"Zinsertraege",Einnahmen_WK_2[Einnahmen (EUR)]),2)</f>
      </c>
      <c r="L15" s="115" t="str">
        <f>=IFERROR(ROUND(E15 + J15, 2), J15)</f>
      </c>
      <c r="M15" s="143" t="str">
        <f>=IFERROR(ROUND(F15 + K15, 2), K15)</f>
      </c>
      <c r="P15" s="142" t="s">
        <v>278</v>
      </c>
      <c r="Q15" s="115" t="str">
        <f>=ROUND(SUMIF(Einnahmen_3[Typ],"Zinsertraege",Einnahmen_3[Einnahmen (LC)])+SUMIF(Einnahmen_WK_3[Typ],"Zinsertraege",Einnahmen_WK_3[Einnahmen (LC)]),2)</f>
      </c>
      <c r="R15" s="116" t="str">
        <f>=ROUND(SUMIF(Einnahmen_3[Typ],"Zinsertraege",Einnahmen_3[Einnahmen (EUR)])+SUMIF(Einnahmen_WK_3[Typ],"Zinsertraege",Einnahmen_WK_3[Einnahmen (EUR)]),2)</f>
      </c>
      <c r="S15" s="115" t="str">
        <f>=IFERROR(ROUND(L15 + Q15, 2), Q15)</f>
      </c>
      <c r="T15" s="143" t="str">
        <f>=IFERROR(ROUND(M15 + R15, 2), R15)</f>
      </c>
      <c r="W15" s="142" t="s">
        <v>278</v>
      </c>
      <c r="X15" s="115" t="str">
        <f>=ROUND(SUMIF(Einnahmen_4[Typ],"Zinsertraege",Einnahmen_4[Einnahmen (LC)])+SUMIF(Einnahmen_WK_4[Typ],"Zinsertraege",Einnahmen_WK_4[Einnahmen (LC)]),2)</f>
      </c>
      <c r="Y15" s="116" t="str">
        <f>=ROUND(SUMIF(Einnahmen_4[Typ],"Zinsertraege",Einnahmen_4[Einnahmen (EUR)])+SUMIF(Einnahmen_WK_4[Typ],"Zinsertraege",Einnahmen_WK_4[Einnahmen (EUR)]),2)</f>
      </c>
      <c r="Z15" s="115" t="str">
        <f>=IFERROR(ROUND(S15 + X15, 2), X15)</f>
      </c>
      <c r="AA15" s="143" t="str">
        <f>=IFERROR(ROUND(T15 + Y15, 2), Y15)</f>
      </c>
      <c r="AD15" s="142" t="s">
        <v>278</v>
      </c>
      <c r="AE15" s="115" t="str">
        <f>=ROUND(SUMIF(Einnahmen_5[Typ],"Zinsertraege",Einnahmen_5[Einnahmen (LC)])+SUMIF(Einnahmen_WK_5[Typ],"Zinsertraege",Einnahmen_WK_5[Einnahmen (LC)]),2)</f>
      </c>
      <c r="AF15" s="116" t="str">
        <f>=ROUND(SUMIF(Einnahmen_5[Typ],"Zinsertraege",Einnahmen_5[Einnahmen (EUR)])+SUMIF(Einnahmen_WK_5[Typ],"Zinsertraege",Einnahmen_WK_5[Einnahmen (EUR)]),2)</f>
      </c>
      <c r="AG15" s="115" t="str">
        <f>=IFERROR(ROUND(Z15 + AE15, 2), AE15)</f>
      </c>
      <c r="AH15" s="143" t="str">
        <f>=IFERROR(ROUND(AA15 + AF15, 2), AF15)</f>
      </c>
      <c r="AK15" s="142" t="s">
        <v>278</v>
      </c>
      <c r="AL15" s="115" t="str">
        <f>=ROUND(SUMIF(Einnahmen_6[Typ],"Zinsertraege",Einnahmen_6[Einnahmen (LC)])+SUMIF(Einnahmen_WK_6[Typ],"Zinsertraege",Einnahmen_WK_6[Einnahmen (LC)]),2)</f>
      </c>
      <c r="AM15" s="116" t="str">
        <f>=ROUND(SUMIF(Einnahmen_6[Typ],"Zinsertraege",Einnahmen_6[Einnahmen (EUR)])+SUMIF(Einnahmen_WK_6[Typ],"Zinsertraege",Einnahmen_WK_6[Einnahmen (EUR)]),2)</f>
      </c>
      <c r="AN15" s="115" t="str">
        <f>=IFERROR(ROUND(AG15 + AL15, 2), AL15)</f>
      </c>
      <c r="AO15" s="143" t="str">
        <f>=IFERROR(ROUND(AH15 + AM15, 2), AM15)</f>
      </c>
      <c r="AR15" s="142" t="s">
        <v>278</v>
      </c>
      <c r="AS15" s="115" t="str">
        <f>=ROUND(SUMIF(Einnahmen_7[Typ],"Zinsertraege",Einnahmen_7[Einnahmen (LC)])+SUMIF(Einnahmen_WK_7[Typ],"Zinsertraege",Einnahmen_WK_7[Einnahmen (LC)]),2)</f>
      </c>
      <c r="AT15" s="116" t="str">
        <f>=ROUND(SUMIF(Einnahmen_7[Typ],"Zinsertraege",Einnahmen_7[Einnahmen (EUR)])+SUMIF(Einnahmen_WK_7[Typ],"Zinsertraege",Einnahmen_WK_7[Einnahmen (EUR)]),2)</f>
      </c>
      <c r="AU15" s="115" t="str">
        <f>=IFERROR(ROUND(AN15 + AS15, 2), AS15)</f>
      </c>
      <c r="AV15" s="143" t="str">
        <f>=IFERROR(ROUND(AO15 + AT15, 2), AT15)</f>
      </c>
      <c r="AY15" s="142" t="s">
        <v>278</v>
      </c>
      <c r="AZ15" s="115" t="str">
        <f>=ROUND(SUMIF(Einnahmen_8[Typ],"Zinsertraege",Einnahmen_8[Einnahmen (LC)])+SUMIF(Einnahmen_WK_8[Typ],"Zinsertraege",Einnahmen_WK_8[Einnahmen (LC)]),2)</f>
      </c>
      <c r="BA15" s="116" t="str">
        <f>=ROUND(SUMIF(Einnahmen_8[Typ],"Zinsertraege",Einnahmen_8[Einnahmen (EUR)])+SUMIF(Einnahmen_WK_8[Typ],"Zinsertraege",Einnahmen_WK_8[Einnahmen (EUR)]),2)</f>
      </c>
      <c r="BB15" s="115" t="str">
        <f>=IFERROR(ROUND(AU15 + AZ15, 2), AZ15)</f>
      </c>
      <c r="BC15" s="143" t="str">
        <f>=IFERROR(ROUND(AV15 + BA15, 2), BA15)</f>
      </c>
      <c r="BF15" s="142" t="s">
        <v>278</v>
      </c>
      <c r="BG15" s="115" t="str">
        <f>=ROUND(SUMIF(Einnahmen_9[Typ],"Zinsertraege",Einnahmen_9[Einnahmen (LC)])+SUMIF(Einnahmen_WK_9[Typ],"Zinsertraege",Einnahmen_WK_9[Einnahmen (LC)]),2)</f>
      </c>
      <c r="BH15" s="116" t="str">
        <f>=ROUND(SUMIF(Einnahmen_9[Typ],"Zinsertraege",Einnahmen_9[Einnahmen (EUR)])+SUMIF(Einnahmen_WK_9[Typ],"Zinsertraege",Einnahmen_WK_9[Einnahmen (EUR)]),2)</f>
      </c>
      <c r="BI15" s="115" t="str">
        <f>=IFERROR(ROUND(BB15 + BG15, 2), BG15)</f>
      </c>
      <c r="BJ15" s="143" t="str">
        <f>=IFERROR(ROUND(BC15 + BH15, 2), BH15)</f>
      </c>
      <c r="BM15" s="142" t="s">
        <v>278</v>
      </c>
      <c r="BN15" s="115" t="str">
        <f>=ROUND(SUMIF(Einnahmen_10[Typ],"Zinsertraege",Einnahmen_10[Einnahmen (LC)])+SUMIF(Einnahmen_WK_10[Typ],"Zinsertraege",Einnahmen_WK_10[Einnahmen (LC)]),2)</f>
      </c>
      <c r="BO15" s="116" t="str">
        <f>=ROUND(SUMIF(Einnahmen_10[Typ],"Zinsertraege",Einnahmen_10[Einnahmen (EUR)])+SUMIF(Einnahmen_WK_10[Typ],"Zinsertraege",Einnahmen_WK_10[Einnahmen (EUR)]),2)</f>
      </c>
      <c r="BP15" s="115" t="str">
        <f>=IFERROR(ROUND(BI15 + BN15, 2), BN15)</f>
      </c>
      <c r="BQ15" s="143" t="str">
        <f>=IFERROR(ROUND(BJ15 + BO15, 2), BO15)</f>
      </c>
      <c r="BT15" s="142" t="s">
        <v>278</v>
      </c>
      <c r="BU15" s="115" t="str">
        <f>=ROUND(SUMIF(Einnahmen_11[Typ],"Zinsertraege",Einnahmen_11[Einnahmen (LC)])+SUMIF(Einnahmen_WK_11[Typ],"Zinsertraege",Einnahmen_WK_11[Einnahmen (LC)]),2)</f>
      </c>
      <c r="BV15" s="116" t="str">
        <f>=ROUND(SUMIF(Einnahmen_11[Typ],"Zinsertraege",Einnahmen_11[Einnahmen (EUR)])+SUMIF(Einnahmen_WK_11[Typ],"Zinsertraege",Einnahmen_WK_11[Einnahmen (EUR)]),2)</f>
      </c>
      <c r="BW15" s="115" t="str">
        <f>=IFERROR(ROUND(BP15 + BU15, 2), BU15)</f>
      </c>
      <c r="BX15" s="143" t="str">
        <f>=IFERROR(ROUND(BQ15 + BV15, 2), BV15)</f>
      </c>
      <c r="CA15" s="142" t="s">
        <v>278</v>
      </c>
      <c r="CB15" s="115" t="str">
        <f>=ROUND(SUMIF(Einnahmen_12[Typ],"Zinsertraege",Einnahmen_12[Einnahmen (LC)])+SUMIF(Einnahmen_WK_12[Typ],"Zinsertraege",Einnahmen_WK_12[Einnahmen (LC)]),2)</f>
      </c>
      <c r="CC15" s="116" t="str">
        <f>=ROUND(SUMIF(Einnahmen_12[Typ],"Zinsertraege",Einnahmen_12[Einnahmen (EUR)])+SUMIF(Einnahmen_WK_12[Typ],"Zinsertraege",Einnahmen_WK_12[Einnahmen (EUR)]),2)</f>
      </c>
      <c r="CD15" s="115" t="str">
        <f>=IFERROR(ROUND(BW15 + CB15, 2), CB15)</f>
      </c>
      <c r="CE15" s="143" t="str">
        <f>=IFERROR(ROUND(BX15 + CC15, 2), CC15)</f>
      </c>
      <c r="CH15" s="142" t="s">
        <v>278</v>
      </c>
      <c r="CI15" s="115" t="str">
        <f>=ROUND(SUMIF(Einnahmen_13[Typ],"Zinsertraege",Einnahmen_13[Einnahmen (LC)])+SUMIF(Einnahmen_WK_13[Typ],"Zinsertraege",Einnahmen_WK_13[Einnahmen (LC)]),2)</f>
      </c>
      <c r="CJ15" s="116" t="str">
        <f>=ROUND(SUMIF(Einnahmen_13[Typ],"Zinsertraege",Einnahmen_13[Einnahmen (EUR)])+SUMIF(Einnahmen_WK_13[Typ],"Zinsertraege",Einnahmen_WK_13[Einnahmen (EUR)]),2)</f>
      </c>
      <c r="CK15" s="115" t="str">
        <f>=IFERROR(ROUND(CD15 + CI15, 2), CI15)</f>
      </c>
      <c r="CL15" s="143" t="str">
        <f>=IFERROR(ROUND(CE15 + CJ15, 2), CJ15)</f>
      </c>
      <c r="CO15" s="142" t="s">
        <v>278</v>
      </c>
      <c r="CP15" s="115" t="str">
        <f>=ROUND(SUMIF(Einnahmen_14[Typ],"Zinsertraege",Einnahmen_14[Einnahmen (LC)])+SUMIF(Einnahmen_WK_14[Typ],"Zinsertraege",Einnahmen_WK_14[Einnahmen (LC)]),2)</f>
      </c>
      <c r="CQ15" s="116" t="str">
        <f>=ROUND(SUMIF(Einnahmen_14[Typ],"Zinsertraege",Einnahmen_14[Einnahmen (EUR)])+SUMIF(Einnahmen_WK_14[Typ],"Zinsertraege",Einnahmen_WK_14[Einnahmen (EUR)]),2)</f>
      </c>
      <c r="CR15" s="115" t="str">
        <f>=IFERROR(ROUND(CK15 + CP15, 2), CP15)</f>
      </c>
      <c r="CS15" s="143" t="str">
        <f>=IFERROR(ROUND(CL15 + CQ15, 2), CQ15)</f>
      </c>
      <c r="CV15" s="142" t="s">
        <v>278</v>
      </c>
      <c r="CW15" s="115" t="str">
        <f>=ROUND(SUMIF(Einnahmen_15[Typ],"Zinsertraege",Einnahmen_15[Einnahmen (LC)])+SUMIF(Einnahmen_WK_15[Typ],"Zinsertraege",Einnahmen_WK_15[Einnahmen (LC)]),2)</f>
      </c>
      <c r="CX15" s="116" t="str">
        <f>=ROUND(SUMIF(Einnahmen_15[Typ],"Zinsertraege",Einnahmen_15[Einnahmen (EUR)])+SUMIF(Einnahmen_WK_15[Typ],"Zinsertraege",Einnahmen_WK_15[Einnahmen (EUR)]),2)</f>
      </c>
      <c r="CY15" s="115" t="str">
        <f>=IFERROR(ROUND(CR15 + CW15, 2), CW15)</f>
      </c>
      <c r="CZ15" s="143" t="str">
        <f>=IFERROR(ROUND(CS15 + CX15, 2), CX15)</f>
      </c>
      <c r="DC15" s="142" t="s">
        <v>278</v>
      </c>
      <c r="DD15" s="115" t="str">
        <f>=ROUND(SUMIF(Einnahmen_16[Typ],"Zinsertraege",Einnahmen_16[Einnahmen (LC)])+SUMIF(Einnahmen_WK_16[Typ],"Zinsertraege",Einnahmen_WK_16[Einnahmen (LC)]),2)</f>
      </c>
      <c r="DE15" s="116" t="str">
        <f>=ROUND(SUMIF(Einnahmen_16[Typ],"Zinsertraege",Einnahmen_16[Einnahmen (EUR)])+SUMIF(Einnahmen_WK_16[Typ],"Zinsertraege",Einnahmen_WK_16[Einnahmen (EUR)]),2)</f>
      </c>
      <c r="DF15" s="115" t="str">
        <f>=IFERROR(ROUND(CY15 + DD15, 2), DD15)</f>
      </c>
      <c r="DG15" s="143" t="str">
        <f>=IFERROR(ROUND(CZ15 + DE15, 2), DE15)</f>
      </c>
      <c r="DJ15" s="142" t="s">
        <v>278</v>
      </c>
      <c r="DK15" s="115" t="str">
        <f>=ROUND(SUMIF(Einnahmen_17[Typ],"Zinsertraege",Einnahmen_17[Einnahmen (LC)])+SUMIF(Einnahmen_WK_17[Typ],"Zinsertraege",Einnahmen_WK_17[Einnahmen (LC)]),2)</f>
      </c>
      <c r="DL15" s="116" t="str">
        <f>=ROUND(SUMIF(Einnahmen_17[Typ],"Zinsertraege",Einnahmen_17[Einnahmen (EUR)])+SUMIF(Einnahmen_WK_17[Typ],"Zinsertraege",Einnahmen_WK_17[Einnahmen (EUR)]),2)</f>
      </c>
      <c r="DM15" s="115" t="str">
        <f>=IFERROR(ROUND(DF15 + DK15, 2), DK15)</f>
      </c>
      <c r="DN15" s="143" t="str">
        <f>=IFERROR(ROUND(DG15 + DL15, 2), DL15)</f>
      </c>
      <c r="DQ15" s="142" t="s">
        <v>278</v>
      </c>
      <c r="DR15" s="115" t="str">
        <f>=ROUND(SUMIF(Einnahmen_18[Typ],"Zinsertraege",Einnahmen_18[Einnahmen (LC)])+SUMIF(Einnahmen_WK_18[Typ],"Zinsertraege",Einnahmen_WK_18[Einnahmen (LC)]),2)</f>
      </c>
      <c r="DS15" s="116" t="str">
        <f>=ROUND(SUMIF(Einnahmen_18[Typ],"Zinsertraege",Einnahmen_18[Einnahmen (EUR)])+SUMIF(Einnahmen_WK_18[Typ],"Zinsertraege",Einnahmen_WK_18[Einnahmen (EUR)]),2)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SUMIFS(Ausgaben_1[Kum. Ausgaben (LC)], Ausgaben_1[ID], I19), J19)</f>
      </c>
      <c r="M19" s="143" t="str">
        <f>=IFERROR(K19 + SUMIFS(Ausgaben_1[Kum. Ausgaben (EUR)], Ausgaben_1[ID], I19), K19)</f>
      </c>
      <c r="P19" s="148" t="str">
        <f>=IFERROR(INDEX(Budget_ID_Liste, ROW() - 18), "")</f>
      </c>
      <c r="Q19" s="24"/>
      <c r="R19" s="116" t="str">
        <f>=IFERROR(ROUND(Q19/FB_Kurs_3,2),0)</f>
      </c>
      <c r="S19" s="115" t="str">
        <f>=IFERROR(Q19 + SUMIFS(Ausgaben_2[Kum. Ausgaben (LC)], Ausgaben_2[ID], P19), Q19)</f>
      </c>
      <c r="T19" s="143" t="str">
        <f>=IFERROR(R19 + SUMIFS(Ausgaben_2[Kum. Ausgaben (EUR)], Ausgaben_2[ID], P19), R19)</f>
      </c>
      <c r="W19" s="148" t="str">
        <f>=IFERROR(INDEX(Budget_ID_Liste, ROW() - 18), "")</f>
      </c>
      <c r="X19" s="24"/>
      <c r="Y19" s="116" t="str">
        <f>=IFERROR(ROUND(X19/FB_Kurs_4,2),0)</f>
      </c>
      <c r="Z19" s="115" t="str">
        <f>=IFERROR(X19 + SUMIFS(Ausgaben_3[Kum. Ausgaben (LC)], Ausgaben_3[ID], W19), X19)</f>
      </c>
      <c r="AA19" s="143" t="str">
        <f>=IFERROR(Y19 + SUMIFS(Ausgaben_3[Kum. Ausgaben (EUR)], Ausgaben_3[ID], W19), Y19)</f>
      </c>
      <c r="AD19" s="148" t="str">
        <f>=IFERROR(INDEX(Budget_ID_Liste, ROW() - 18), "")</f>
      </c>
      <c r="AE19" s="24"/>
      <c r="AF19" s="116" t="str">
        <f>=IFERROR(ROUND(AE19/FB_Kurs_5,2),0)</f>
      </c>
      <c r="AG19" s="115" t="str">
        <f>=IFERROR(AE19 + SUMIFS(Ausgaben_4[Kum. Ausgaben (LC)], Ausgaben_4[ID], AD19), AE19)</f>
      </c>
      <c r="AH19" s="143" t="str">
        <f>=IFERROR(AF19 + SUMIFS(Ausgaben_4[Kum. Ausgaben (EUR)], Ausgaben_4[ID], AD19), AF19)</f>
      </c>
      <c r="AK19" s="148" t="str">
        <f>=IFERROR(INDEX(Budget_ID_Liste, ROW() - 18), "")</f>
      </c>
      <c r="AL19" s="24"/>
      <c r="AM19" s="116" t="str">
        <f>=IFERROR(ROUND(AL19/FB_Kurs_6,2),0)</f>
      </c>
      <c r="AN19" s="115" t="str">
        <f>=IFERROR(AL19 + SUMIFS(Ausgaben_5[Kum. Ausgaben (LC)], Ausgaben_5[ID], AK19), AL19)</f>
      </c>
      <c r="AO19" s="143" t="str">
        <f>=IFERROR(AM19 + SUMIFS(Ausgaben_5[Kum. Ausgaben (EUR)], Ausgaben_5[ID], AK19), AM19)</f>
      </c>
      <c r="AR19" s="148" t="str">
        <f>=IFERROR(INDEX(Budget_ID_Liste, ROW() - 18), "")</f>
      </c>
      <c r="AS19" s="24"/>
      <c r="AT19" s="116" t="str">
        <f>=IFERROR(ROUND(AS19/FB_Kurs_7,2),0)</f>
      </c>
      <c r="AU19" s="115" t="str">
        <f>=IFERROR(AS19 + SUMIFS(Ausgaben_6[Kum. Ausgaben (LC)], Ausgaben_6[ID], AR19), AS19)</f>
      </c>
      <c r="AV19" s="143" t="str">
        <f>=IFERROR(AT19 + SUMIFS(Ausgaben_6[Kum. Ausgaben (EUR)], Ausgaben_6[ID], AR19), AT19)</f>
      </c>
      <c r="AY19" s="148" t="str">
        <f>=IFERROR(INDEX(Budget_ID_Liste, ROW() - 18), "")</f>
      </c>
      <c r="AZ19" s="24"/>
      <c r="BA19" s="116" t="str">
        <f>=IFERROR(ROUND(AZ19/FB_Kurs_8,2),0)</f>
      </c>
      <c r="BB19" s="115" t="str">
        <f>=IFERROR(AZ19 + SUMIFS(Ausgaben_7[Kum. Ausgaben (LC)], Ausgaben_7[ID], AY19), AZ19)</f>
      </c>
      <c r="BC19" s="143" t="str">
        <f>=IFERROR(BA19 + SUMIFS(Ausgaben_7[Kum. Ausgaben (EUR)], Ausgaben_7[ID], AY19), BA19)</f>
      </c>
      <c r="BF19" s="148" t="str">
        <f>=IFERROR(INDEX(Budget_ID_Liste, ROW() - 18), "")</f>
      </c>
      <c r="BG19" s="24"/>
      <c r="BH19" s="116" t="str">
        <f>=IFERROR(ROUND(BG19/FB_Kurs_9,2),0)</f>
      </c>
      <c r="BI19" s="115" t="str">
        <f>=IFERROR(BG19 + SUMIFS(Ausgaben_8[Kum. Ausgaben (LC)], Ausgaben_8[ID], BF19), BG19)</f>
      </c>
      <c r="BJ19" s="143" t="str">
        <f>=IFERROR(BH19 + SUMIFS(Ausgaben_8[Kum. Ausgaben (EUR)], Ausgaben_8[ID], BF19), BH19)</f>
      </c>
      <c r="BM19" s="148" t="str">
        <f>=IFERROR(INDEX(Budget_ID_Liste, ROW() - 18), "")</f>
      </c>
      <c r="BN19" s="24"/>
      <c r="BO19" s="116" t="str">
        <f>=IFERROR(ROUND(BN19/FB_Kurs_10,2),0)</f>
      </c>
      <c r="BP19" s="115" t="str">
        <f>=IFERROR(BN19 + SUMIFS(Ausgaben_9[Kum. Ausgaben (LC)], Ausgaben_9[ID], BM19), BN19)</f>
      </c>
      <c r="BQ19" s="143" t="str">
        <f>=IFERROR(BO19 + SUMIFS(Ausgaben_9[Kum. Ausgaben (EUR)], Ausgaben_9[ID], BM19), BO19)</f>
      </c>
      <c r="BT19" s="148" t="str">
        <f>=IFERROR(INDEX(Budget_ID_Liste, ROW() - 18), "")</f>
      </c>
      <c r="BU19" s="24"/>
      <c r="BV19" s="116" t="str">
        <f>=IFERROR(ROUND(BU19/FB_Kurs_11,2),0)</f>
      </c>
      <c r="BW19" s="115" t="str">
        <f>=IFERROR(BU19 + SUMIFS(Ausgaben_10[Kum. Ausgaben (LC)], Ausgaben_10[ID], BT19), BU19)</f>
      </c>
      <c r="BX19" s="143" t="str">
        <f>=IFERROR(BV19 + SUMIFS(Ausgaben_10[Kum. Ausgaben (EUR)], Ausgaben_10[ID], BT19), BV19)</f>
      </c>
      <c r="CA19" s="148" t="str">
        <f>=IFERROR(INDEX(Budget_ID_Liste, ROW() - 18), "")</f>
      </c>
      <c r="CB19" s="24"/>
      <c r="CC19" s="116" t="str">
        <f>=IFERROR(ROUND(CB19/FB_Kurs_12,2),0)</f>
      </c>
      <c r="CD19" s="115" t="str">
        <f>=IFERROR(CB19 + SUMIFS(Ausgaben_11[Kum. Ausgaben (LC)], Ausgaben_11[ID], CA19), CB19)</f>
      </c>
      <c r="CE19" s="143" t="str">
        <f>=IFERROR(CC19 + SUMIFS(Ausgaben_11[Kum. Ausgaben (EUR)], Ausgaben_11[ID], CA19), CC19)</f>
      </c>
      <c r="CH19" s="148" t="str">
        <f>=IFERROR(INDEX(Budget_ID_Liste, ROW() - 18), "")</f>
      </c>
      <c r="CI19" s="24"/>
      <c r="CJ19" s="116" t="str">
        <f>=IFERROR(ROUND(CI19/FB_Kurs_13,2),0)</f>
      </c>
      <c r="CK19" s="115" t="str">
        <f>=IFERROR(CI19 + SUMIFS(Ausgaben_12[Kum. Ausgaben (LC)], Ausgaben_12[ID], CH19), CI19)</f>
      </c>
      <c r="CL19" s="143" t="str">
        <f>=IFERROR(CJ19 + SUMIFS(Ausgaben_12[Kum. Ausgaben (EUR)], Ausgaben_12[ID], CH19), CJ19)</f>
      </c>
      <c r="CO19" s="148" t="str">
        <f>=IFERROR(INDEX(Budget_ID_Liste, ROW() - 18), "")</f>
      </c>
      <c r="CP19" s="24"/>
      <c r="CQ19" s="116" t="str">
        <f>=IFERROR(ROUND(CP19/FB_Kurs_14,2),0)</f>
      </c>
      <c r="CR19" s="115" t="str">
        <f>=IFERROR(CP19 + SUMIFS(Ausgaben_13[Kum. Ausgaben (LC)], Ausgaben_13[ID], CO19), CP19)</f>
      </c>
      <c r="CS19" s="143" t="str">
        <f>=IFERROR(CQ19 + SUMIFS(Ausgaben_13[Kum. Ausgaben (EUR)], Ausgaben_13[ID], CO19), CQ19)</f>
      </c>
      <c r="CV19" s="148" t="str">
        <f>=IFERROR(INDEX(Budget_ID_Liste, ROW() - 18), "")</f>
      </c>
      <c r="CW19" s="24"/>
      <c r="CX19" s="116" t="str">
        <f>=IFERROR(ROUND(CW19/FB_Kurs_15,2),0)</f>
      </c>
      <c r="CY19" s="115" t="str">
        <f>=IFERROR(CW19 + SUMIFS(Ausgaben_14[Kum. Ausgaben (LC)], Ausgaben_14[ID], CV19), CW19)</f>
      </c>
      <c r="CZ19" s="143" t="str">
        <f>=IFERROR(CX19 + SUMIFS(Ausgaben_14[Kum. Ausgaben (EUR)], Ausgaben_14[ID], CV19), CX19)</f>
      </c>
      <c r="DC19" s="148" t="str">
        <f>=IFERROR(INDEX(Budget_ID_Liste, ROW() - 18), "")</f>
      </c>
      <c r="DD19" s="24"/>
      <c r="DE19" s="116" t="str">
        <f>=IFERROR(ROUND(DD19/FB_Kurs_16,2),0)</f>
      </c>
      <c r="DF19" s="115" t="str">
        <f>=IFERROR(DD19 + SUMIFS(Ausgaben_15[Kum. Ausgaben (LC)], Ausgaben_15[ID], DC19), DD19)</f>
      </c>
      <c r="DG19" s="143" t="str">
        <f>=IFERROR(DE19 + SUMIFS(Ausgaben_15[Kum. Ausgaben (EUR)], Ausgaben_15[ID], DC19), DE19)</f>
      </c>
      <c r="DJ19" s="148" t="str">
        <f>=IFERROR(INDEX(Budget_ID_Liste, ROW() - 18), "")</f>
      </c>
      <c r="DK19" s="24"/>
      <c r="DL19" s="116" t="str">
        <f>=IFERROR(ROUND(DK19/FB_Kurs_17,2),0)</f>
      </c>
      <c r="DM19" s="115" t="str">
        <f>=IFERROR(DK19 + SUMIFS(Ausgaben_16[Kum. Ausgaben (LC)], Ausgaben_16[ID], DJ19), DK19)</f>
      </c>
      <c r="DN19" s="143" t="str">
        <f>=IFERROR(DL19 + SUMIFS(Ausgaben_16[Kum. Ausgaben (EUR)], Ausgaben_16[ID], DJ19), DL19)</f>
      </c>
      <c r="DQ19" s="148" t="str">
        <f>=IFERROR(INDEX(Budget_ID_Liste, ROW() - 18), "")</f>
      </c>
      <c r="DR19" s="24"/>
      <c r="DS19" s="116" t="str">
        <f>=IFERROR(ROUND(DR19/FB_Kurs_18,2),0)</f>
      </c>
      <c r="DT19" s="115" t="str">
        <f>=IFERROR(DR19 + SUMIFS(Ausgaben_17[Kum. Ausgaben (LC)], Ausgaben_17[ID], DQ19), DR19)</f>
      </c>
      <c r="DU19" s="143" t="str">
        <f>=IFERROR(DS19 + SUMIFS(Ausgaben_17[Kum. Ausgaben (EUR)], Ausgaben_17[ID],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SUMIFS(Ausgaben_1[Kum. Ausgaben (LC)], Ausgaben_1[ID], I20), J20)</f>
      </c>
      <c r="M20" s="143" t="str">
        <f>=IFERROR(K20 + SUMIFS(Ausgaben_1[Kum. Ausgaben (EUR)], Ausgaben_1[ID], I20), K20)</f>
      </c>
      <c r="P20" s="148" t="str">
        <f>=IFERROR(INDEX(Budget_ID_Liste, ROW() - 18), "")</f>
      </c>
      <c r="Q20" s="24"/>
      <c r="R20" s="116" t="str">
        <f>=IFERROR(ROUND(Q20/FB_Kurs_3,2),0)</f>
      </c>
      <c r="S20" s="115" t="str">
        <f>=IFERROR(Q20 + SUMIFS(Ausgaben_2[Kum. Ausgaben (LC)], Ausgaben_2[ID], P20), Q20)</f>
      </c>
      <c r="T20" s="143" t="str">
        <f>=IFERROR(R20 + SUMIFS(Ausgaben_2[Kum. Ausgaben (EUR)], Ausgaben_2[ID], P20), R20)</f>
      </c>
      <c r="W20" s="148" t="str">
        <f>=IFERROR(INDEX(Budget_ID_Liste, ROW() - 18), "")</f>
      </c>
      <c r="X20" s="24"/>
      <c r="Y20" s="116" t="str">
        <f>=IFERROR(ROUND(X20/FB_Kurs_4,2),0)</f>
      </c>
      <c r="Z20" s="115" t="str">
        <f>=IFERROR(X20 + SUMIFS(Ausgaben_3[Kum. Ausgaben (LC)], Ausgaben_3[ID], W20), X20)</f>
      </c>
      <c r="AA20" s="143" t="str">
        <f>=IFERROR(Y20 + SUMIFS(Ausgaben_3[Kum. Ausgaben (EUR)], Ausgaben_3[ID], W20), Y20)</f>
      </c>
      <c r="AD20" s="148" t="str">
        <f>=IFERROR(INDEX(Budget_ID_Liste, ROW() - 18), "")</f>
      </c>
      <c r="AE20" s="24"/>
      <c r="AF20" s="116" t="str">
        <f>=IFERROR(ROUND(AE20/FB_Kurs_5,2),0)</f>
      </c>
      <c r="AG20" s="115" t="str">
        <f>=IFERROR(AE20 + SUMIFS(Ausgaben_4[Kum. Ausgaben (LC)], Ausgaben_4[ID], AD20), AE20)</f>
      </c>
      <c r="AH20" s="143" t="str">
        <f>=IFERROR(AF20 + SUMIFS(Ausgaben_4[Kum. Ausgaben (EUR)], Ausgaben_4[ID], AD20), AF20)</f>
      </c>
      <c r="AK20" s="148" t="str">
        <f>=IFERROR(INDEX(Budget_ID_Liste, ROW() - 18), "")</f>
      </c>
      <c r="AL20" s="24"/>
      <c r="AM20" s="116" t="str">
        <f>=IFERROR(ROUND(AL20/FB_Kurs_6,2),0)</f>
      </c>
      <c r="AN20" s="115" t="str">
        <f>=IFERROR(AL20 + SUMIFS(Ausgaben_5[Kum. Ausgaben (LC)], Ausgaben_5[ID], AK20), AL20)</f>
      </c>
      <c r="AO20" s="143" t="str">
        <f>=IFERROR(AM20 + SUMIFS(Ausgaben_5[Kum. Ausgaben (EUR)], Ausgaben_5[ID], AK20), AM20)</f>
      </c>
      <c r="AR20" s="148" t="str">
        <f>=IFERROR(INDEX(Budget_ID_Liste, ROW() - 18), "")</f>
      </c>
      <c r="AS20" s="24"/>
      <c r="AT20" s="116" t="str">
        <f>=IFERROR(ROUND(AS20/FB_Kurs_7,2),0)</f>
      </c>
      <c r="AU20" s="115" t="str">
        <f>=IFERROR(AS20 + SUMIFS(Ausgaben_6[Kum. Ausgaben (LC)], Ausgaben_6[ID], AR20), AS20)</f>
      </c>
      <c r="AV20" s="143" t="str">
        <f>=IFERROR(AT20 + SUMIFS(Ausgaben_6[Kum. Ausgaben (EUR)], Ausgaben_6[ID], AR20), AT20)</f>
      </c>
      <c r="AY20" s="148" t="str">
        <f>=IFERROR(INDEX(Budget_ID_Liste, ROW() - 18), "")</f>
      </c>
      <c r="AZ20" s="24"/>
      <c r="BA20" s="116" t="str">
        <f>=IFERROR(ROUND(AZ20/FB_Kurs_8,2),0)</f>
      </c>
      <c r="BB20" s="115" t="str">
        <f>=IFERROR(AZ20 + SUMIFS(Ausgaben_7[Kum. Ausgaben (LC)], Ausgaben_7[ID], AY20), AZ20)</f>
      </c>
      <c r="BC20" s="143" t="str">
        <f>=IFERROR(BA20 + SUMIFS(Ausgaben_7[Kum. Ausgaben (EUR)], Ausgaben_7[ID], AY20), BA20)</f>
      </c>
      <c r="BF20" s="148" t="str">
        <f>=IFERROR(INDEX(Budget_ID_Liste, ROW() - 18), "")</f>
      </c>
      <c r="BG20" s="24"/>
      <c r="BH20" s="116" t="str">
        <f>=IFERROR(ROUND(BG20/FB_Kurs_9,2),0)</f>
      </c>
      <c r="BI20" s="115" t="str">
        <f>=IFERROR(BG20 + SUMIFS(Ausgaben_8[Kum. Ausgaben (LC)], Ausgaben_8[ID], BF20), BG20)</f>
      </c>
      <c r="BJ20" s="143" t="str">
        <f>=IFERROR(BH20 + SUMIFS(Ausgaben_8[Kum. Ausgaben (EUR)], Ausgaben_8[ID], BF20), BH20)</f>
      </c>
      <c r="BM20" s="148" t="str">
        <f>=IFERROR(INDEX(Budget_ID_Liste, ROW() - 18), "")</f>
      </c>
      <c r="BN20" s="24"/>
      <c r="BO20" s="116" t="str">
        <f>=IFERROR(ROUND(BN20/FB_Kurs_10,2),0)</f>
      </c>
      <c r="BP20" s="115" t="str">
        <f>=IFERROR(BN20 + SUMIFS(Ausgaben_9[Kum. Ausgaben (LC)], Ausgaben_9[ID], BM20), BN20)</f>
      </c>
      <c r="BQ20" s="143" t="str">
        <f>=IFERROR(BO20 + SUMIFS(Ausgaben_9[Kum. Ausgaben (EUR)], Ausgaben_9[ID], BM20), BO20)</f>
      </c>
      <c r="BT20" s="148" t="str">
        <f>=IFERROR(INDEX(Budget_ID_Liste, ROW() - 18), "")</f>
      </c>
      <c r="BU20" s="24"/>
      <c r="BV20" s="116" t="str">
        <f>=IFERROR(ROUND(BU20/FB_Kurs_11,2),0)</f>
      </c>
      <c r="BW20" s="115" t="str">
        <f>=IFERROR(BU20 + SUMIFS(Ausgaben_10[Kum. Ausgaben (LC)], Ausgaben_10[ID], BT20), BU20)</f>
      </c>
      <c r="BX20" s="143" t="str">
        <f>=IFERROR(BV20 + SUMIFS(Ausgaben_10[Kum. Ausgaben (EUR)], Ausgaben_10[ID], BT20), BV20)</f>
      </c>
      <c r="CA20" s="148" t="str">
        <f>=IFERROR(INDEX(Budget_ID_Liste, ROW() - 18), "")</f>
      </c>
      <c r="CB20" s="24"/>
      <c r="CC20" s="116" t="str">
        <f>=IFERROR(ROUND(CB20/FB_Kurs_12,2),0)</f>
      </c>
      <c r="CD20" s="115" t="str">
        <f>=IFERROR(CB20 + SUMIFS(Ausgaben_11[Kum. Ausgaben (LC)], Ausgaben_11[ID], CA20), CB20)</f>
      </c>
      <c r="CE20" s="143" t="str">
        <f>=IFERROR(CC20 + SUMIFS(Ausgaben_11[Kum. Ausgaben (EUR)], Ausgaben_11[ID], CA20), CC20)</f>
      </c>
      <c r="CH20" s="148" t="str">
        <f>=IFERROR(INDEX(Budget_ID_Liste, ROW() - 18), "")</f>
      </c>
      <c r="CI20" s="24"/>
      <c r="CJ20" s="116" t="str">
        <f>=IFERROR(ROUND(CI20/FB_Kurs_13,2),0)</f>
      </c>
      <c r="CK20" s="115" t="str">
        <f>=IFERROR(CI20 + SUMIFS(Ausgaben_12[Kum. Ausgaben (LC)], Ausgaben_12[ID], CH20), CI20)</f>
      </c>
      <c r="CL20" s="143" t="str">
        <f>=IFERROR(CJ20 + SUMIFS(Ausgaben_12[Kum. Ausgaben (EUR)], Ausgaben_12[ID], CH20), CJ20)</f>
      </c>
      <c r="CO20" s="148" t="str">
        <f>=IFERROR(INDEX(Budget_ID_Liste, ROW() - 18), "")</f>
      </c>
      <c r="CP20" s="24"/>
      <c r="CQ20" s="116" t="str">
        <f>=IFERROR(ROUND(CP20/FB_Kurs_14,2),0)</f>
      </c>
      <c r="CR20" s="115" t="str">
        <f>=IFERROR(CP20 + SUMIFS(Ausgaben_13[Kum. Ausgaben (LC)], Ausgaben_13[ID], CO20), CP20)</f>
      </c>
      <c r="CS20" s="143" t="str">
        <f>=IFERROR(CQ20 + SUMIFS(Ausgaben_13[Kum. Ausgaben (EUR)], Ausgaben_13[ID], CO20), CQ20)</f>
      </c>
      <c r="CV20" s="148" t="str">
        <f>=IFERROR(INDEX(Budget_ID_Liste, ROW() - 18), "")</f>
      </c>
      <c r="CW20" s="24"/>
      <c r="CX20" s="116" t="str">
        <f>=IFERROR(ROUND(CW20/FB_Kurs_15,2),0)</f>
      </c>
      <c r="CY20" s="115" t="str">
        <f>=IFERROR(CW20 + SUMIFS(Ausgaben_14[Kum. Ausgaben (LC)], Ausgaben_14[ID], CV20), CW20)</f>
      </c>
      <c r="CZ20" s="143" t="str">
        <f>=IFERROR(CX20 + SUMIFS(Ausgaben_14[Kum. Ausgaben (EUR)], Ausgaben_14[ID], CV20), CX20)</f>
      </c>
      <c r="DC20" s="148" t="str">
        <f>=IFERROR(INDEX(Budget_ID_Liste, ROW() - 18), "")</f>
      </c>
      <c r="DD20" s="24"/>
      <c r="DE20" s="116" t="str">
        <f>=IFERROR(ROUND(DD20/FB_Kurs_16,2),0)</f>
      </c>
      <c r="DF20" s="115" t="str">
        <f>=IFERROR(DD20 + SUMIFS(Ausgaben_15[Kum. Ausgaben (LC)], Ausgaben_15[ID], DC20), DD20)</f>
      </c>
      <c r="DG20" s="143" t="str">
        <f>=IFERROR(DE20 + SUMIFS(Ausgaben_15[Kum. Ausgaben (EUR)], Ausgaben_15[ID], DC20), DE20)</f>
      </c>
      <c r="DJ20" s="148" t="str">
        <f>=IFERROR(INDEX(Budget_ID_Liste, ROW() - 18), "")</f>
      </c>
      <c r="DK20" s="24"/>
      <c r="DL20" s="116" t="str">
        <f>=IFERROR(ROUND(DK20/FB_Kurs_17,2),0)</f>
      </c>
      <c r="DM20" s="115" t="str">
        <f>=IFERROR(DK20 + SUMIFS(Ausgaben_16[Kum. Ausgaben (LC)], Ausgaben_16[ID], DJ20), DK20)</f>
      </c>
      <c r="DN20" s="143" t="str">
        <f>=IFERROR(DL20 + SUMIFS(Ausgaben_16[Kum. Ausgaben (EUR)], Ausgaben_16[ID], DJ20), DL20)</f>
      </c>
      <c r="DQ20" s="148" t="str">
        <f>=IFERROR(INDEX(Budget_ID_Liste, ROW() - 18), "")</f>
      </c>
      <c r="DR20" s="24"/>
      <c r="DS20" s="116" t="str">
        <f>=IFERROR(ROUND(DR20/FB_Kurs_18,2),0)</f>
      </c>
      <c r="DT20" s="115" t="str">
        <f>=IFERROR(DR20 + SUMIFS(Ausgaben_17[Kum. Ausgaben (LC)], Ausgaben_17[ID], DQ20), DR20)</f>
      </c>
      <c r="DU20" s="143" t="str">
        <f>=IFERROR(DS20 + SUMIFS(Ausgaben_17[Kum. Ausgaben (EUR)], Ausgaben_17[ID],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SUMIFS(Ausgaben_1[Kum. Ausgaben (LC)], Ausgaben_1[ID], I21), J21)</f>
      </c>
      <c r="M21" s="143" t="str">
        <f>=IFERROR(K21 + SUMIFS(Ausgaben_1[Kum. Ausgaben (EUR)], Ausgaben_1[ID], I21), K21)</f>
      </c>
      <c r="P21" s="148" t="str">
        <f>=IFERROR(INDEX(Budget_ID_Liste, ROW() - 18), "")</f>
      </c>
      <c r="Q21" s="24"/>
      <c r="R21" s="116" t="str">
        <f>=IFERROR(ROUND(Q21/FB_Kurs_3,2),0)</f>
      </c>
      <c r="S21" s="115" t="str">
        <f>=IFERROR(Q21 + SUMIFS(Ausgaben_2[Kum. Ausgaben (LC)], Ausgaben_2[ID], P21), Q21)</f>
      </c>
      <c r="T21" s="143" t="str">
        <f>=IFERROR(R21 + SUMIFS(Ausgaben_2[Kum. Ausgaben (EUR)], Ausgaben_2[ID], P21), R21)</f>
      </c>
      <c r="W21" s="148" t="str">
        <f>=IFERROR(INDEX(Budget_ID_Liste, ROW() - 18), "")</f>
      </c>
      <c r="X21" s="24"/>
      <c r="Y21" s="116" t="str">
        <f>=IFERROR(ROUND(X21/FB_Kurs_4,2),0)</f>
      </c>
      <c r="Z21" s="115" t="str">
        <f>=IFERROR(X21 + SUMIFS(Ausgaben_3[Kum. Ausgaben (LC)], Ausgaben_3[ID], W21), X21)</f>
      </c>
      <c r="AA21" s="143" t="str">
        <f>=IFERROR(Y21 + SUMIFS(Ausgaben_3[Kum. Ausgaben (EUR)], Ausgaben_3[ID], W21), Y21)</f>
      </c>
      <c r="AD21" s="148" t="str">
        <f>=IFERROR(INDEX(Budget_ID_Liste, ROW() - 18), "")</f>
      </c>
      <c r="AE21" s="24"/>
      <c r="AF21" s="116" t="str">
        <f>=IFERROR(ROUND(AE21/FB_Kurs_5,2),0)</f>
      </c>
      <c r="AG21" s="115" t="str">
        <f>=IFERROR(AE21 + SUMIFS(Ausgaben_4[Kum. Ausgaben (LC)], Ausgaben_4[ID], AD21), AE21)</f>
      </c>
      <c r="AH21" s="143" t="str">
        <f>=IFERROR(AF21 + SUMIFS(Ausgaben_4[Kum. Ausgaben (EUR)], Ausgaben_4[ID], AD21), AF21)</f>
      </c>
      <c r="AK21" s="148" t="str">
        <f>=IFERROR(INDEX(Budget_ID_Liste, ROW() - 18), "")</f>
      </c>
      <c r="AL21" s="24"/>
      <c r="AM21" s="116" t="str">
        <f>=IFERROR(ROUND(AL21/FB_Kurs_6,2),0)</f>
      </c>
      <c r="AN21" s="115" t="str">
        <f>=IFERROR(AL21 + SUMIFS(Ausgaben_5[Kum. Ausgaben (LC)], Ausgaben_5[ID], AK21), AL21)</f>
      </c>
      <c r="AO21" s="143" t="str">
        <f>=IFERROR(AM21 + SUMIFS(Ausgaben_5[Kum. Ausgaben (EUR)], Ausgaben_5[ID], AK21), AM21)</f>
      </c>
      <c r="AR21" s="148" t="str">
        <f>=IFERROR(INDEX(Budget_ID_Liste, ROW() - 18), "")</f>
      </c>
      <c r="AS21" s="24"/>
      <c r="AT21" s="116" t="str">
        <f>=IFERROR(ROUND(AS21/FB_Kurs_7,2),0)</f>
      </c>
      <c r="AU21" s="115" t="str">
        <f>=IFERROR(AS21 + SUMIFS(Ausgaben_6[Kum. Ausgaben (LC)], Ausgaben_6[ID], AR21), AS21)</f>
      </c>
      <c r="AV21" s="143" t="str">
        <f>=IFERROR(AT21 + SUMIFS(Ausgaben_6[Kum. Ausgaben (EUR)], Ausgaben_6[ID], AR21), AT21)</f>
      </c>
      <c r="AY21" s="148" t="str">
        <f>=IFERROR(INDEX(Budget_ID_Liste, ROW() - 18), "")</f>
      </c>
      <c r="AZ21" s="24"/>
      <c r="BA21" s="116" t="str">
        <f>=IFERROR(ROUND(AZ21/FB_Kurs_8,2),0)</f>
      </c>
      <c r="BB21" s="115" t="str">
        <f>=IFERROR(AZ21 + SUMIFS(Ausgaben_7[Kum. Ausgaben (LC)], Ausgaben_7[ID], AY21), AZ21)</f>
      </c>
      <c r="BC21" s="143" t="str">
        <f>=IFERROR(BA21 + SUMIFS(Ausgaben_7[Kum. Ausgaben (EUR)], Ausgaben_7[ID], AY21), BA21)</f>
      </c>
      <c r="BF21" s="148" t="str">
        <f>=IFERROR(INDEX(Budget_ID_Liste, ROW() - 18), "")</f>
      </c>
      <c r="BG21" s="24"/>
      <c r="BH21" s="116" t="str">
        <f>=IFERROR(ROUND(BG21/FB_Kurs_9,2),0)</f>
      </c>
      <c r="BI21" s="115" t="str">
        <f>=IFERROR(BG21 + SUMIFS(Ausgaben_8[Kum. Ausgaben (LC)], Ausgaben_8[ID], BF21), BG21)</f>
      </c>
      <c r="BJ21" s="143" t="str">
        <f>=IFERROR(BH21 + SUMIFS(Ausgaben_8[Kum. Ausgaben (EUR)], Ausgaben_8[ID], BF21), BH21)</f>
      </c>
      <c r="BM21" s="148" t="str">
        <f>=IFERROR(INDEX(Budget_ID_Liste, ROW() - 18), "")</f>
      </c>
      <c r="BN21" s="24"/>
      <c r="BO21" s="116" t="str">
        <f>=IFERROR(ROUND(BN21/FB_Kurs_10,2),0)</f>
      </c>
      <c r="BP21" s="115" t="str">
        <f>=IFERROR(BN21 + SUMIFS(Ausgaben_9[Kum. Ausgaben (LC)], Ausgaben_9[ID], BM21), BN21)</f>
      </c>
      <c r="BQ21" s="143" t="str">
        <f>=IFERROR(BO21 + SUMIFS(Ausgaben_9[Kum. Ausgaben (EUR)], Ausgaben_9[ID], BM21), BO21)</f>
      </c>
      <c r="BT21" s="148" t="str">
        <f>=IFERROR(INDEX(Budget_ID_Liste, ROW() - 18), "")</f>
      </c>
      <c r="BU21" s="24"/>
      <c r="BV21" s="116" t="str">
        <f>=IFERROR(ROUND(BU21/FB_Kurs_11,2),0)</f>
      </c>
      <c r="BW21" s="115" t="str">
        <f>=IFERROR(BU21 + SUMIFS(Ausgaben_10[Kum. Ausgaben (LC)], Ausgaben_10[ID], BT21), BU21)</f>
      </c>
      <c r="BX21" s="143" t="str">
        <f>=IFERROR(BV21 + SUMIFS(Ausgaben_10[Kum. Ausgaben (EUR)], Ausgaben_10[ID], BT21), BV21)</f>
      </c>
      <c r="CA21" s="148" t="str">
        <f>=IFERROR(INDEX(Budget_ID_Liste, ROW() - 18), "")</f>
      </c>
      <c r="CB21" s="24"/>
      <c r="CC21" s="116" t="str">
        <f>=IFERROR(ROUND(CB21/FB_Kurs_12,2),0)</f>
      </c>
      <c r="CD21" s="115" t="str">
        <f>=IFERROR(CB21 + SUMIFS(Ausgaben_11[Kum. Ausgaben (LC)], Ausgaben_11[ID], CA21), CB21)</f>
      </c>
      <c r="CE21" s="143" t="str">
        <f>=IFERROR(CC21 + SUMIFS(Ausgaben_11[Kum. Ausgaben (EUR)], Ausgaben_11[ID], CA21), CC21)</f>
      </c>
      <c r="CH21" s="148" t="str">
        <f>=IFERROR(INDEX(Budget_ID_Liste, ROW() - 18), "")</f>
      </c>
      <c r="CI21" s="24"/>
      <c r="CJ21" s="116" t="str">
        <f>=IFERROR(ROUND(CI21/FB_Kurs_13,2),0)</f>
      </c>
      <c r="CK21" s="115" t="str">
        <f>=IFERROR(CI21 + SUMIFS(Ausgaben_12[Kum. Ausgaben (LC)], Ausgaben_12[ID], CH21), CI21)</f>
      </c>
      <c r="CL21" s="143" t="str">
        <f>=IFERROR(CJ21 + SUMIFS(Ausgaben_12[Kum. Ausgaben (EUR)], Ausgaben_12[ID], CH21), CJ21)</f>
      </c>
      <c r="CO21" s="148" t="str">
        <f>=IFERROR(INDEX(Budget_ID_Liste, ROW() - 18), "")</f>
      </c>
      <c r="CP21" s="24"/>
      <c r="CQ21" s="116" t="str">
        <f>=IFERROR(ROUND(CP21/FB_Kurs_14,2),0)</f>
      </c>
      <c r="CR21" s="115" t="str">
        <f>=IFERROR(CP21 + SUMIFS(Ausgaben_13[Kum. Ausgaben (LC)], Ausgaben_13[ID], CO21), CP21)</f>
      </c>
      <c r="CS21" s="143" t="str">
        <f>=IFERROR(CQ21 + SUMIFS(Ausgaben_13[Kum. Ausgaben (EUR)], Ausgaben_13[ID], CO21), CQ21)</f>
      </c>
      <c r="CV21" s="148" t="str">
        <f>=IFERROR(INDEX(Budget_ID_Liste, ROW() - 18), "")</f>
      </c>
      <c r="CW21" s="24"/>
      <c r="CX21" s="116" t="str">
        <f>=IFERROR(ROUND(CW21/FB_Kurs_15,2),0)</f>
      </c>
      <c r="CY21" s="115" t="str">
        <f>=IFERROR(CW21 + SUMIFS(Ausgaben_14[Kum. Ausgaben (LC)], Ausgaben_14[ID], CV21), CW21)</f>
      </c>
      <c r="CZ21" s="143" t="str">
        <f>=IFERROR(CX21 + SUMIFS(Ausgaben_14[Kum. Ausgaben (EUR)], Ausgaben_14[ID], CV21), CX21)</f>
      </c>
      <c r="DC21" s="148" t="str">
        <f>=IFERROR(INDEX(Budget_ID_Liste, ROW() - 18), "")</f>
      </c>
      <c r="DD21" s="24"/>
      <c r="DE21" s="116" t="str">
        <f>=IFERROR(ROUND(DD21/FB_Kurs_16,2),0)</f>
      </c>
      <c r="DF21" s="115" t="str">
        <f>=IFERROR(DD21 + SUMIFS(Ausgaben_15[Kum. Ausgaben (LC)], Ausgaben_15[ID], DC21), DD21)</f>
      </c>
      <c r="DG21" s="143" t="str">
        <f>=IFERROR(DE21 + SUMIFS(Ausgaben_15[Kum. Ausgaben (EUR)], Ausgaben_15[ID], DC21), DE21)</f>
      </c>
      <c r="DJ21" s="148" t="str">
        <f>=IFERROR(INDEX(Budget_ID_Liste, ROW() - 18), "")</f>
      </c>
      <c r="DK21" s="24"/>
      <c r="DL21" s="116" t="str">
        <f>=IFERROR(ROUND(DK21/FB_Kurs_17,2),0)</f>
      </c>
      <c r="DM21" s="115" t="str">
        <f>=IFERROR(DK21 + SUMIFS(Ausgaben_16[Kum. Ausgaben (LC)], Ausgaben_16[ID], DJ21), DK21)</f>
      </c>
      <c r="DN21" s="143" t="str">
        <f>=IFERROR(DL21 + SUMIFS(Ausgaben_16[Kum. Ausgaben (EUR)], Ausgaben_16[ID], DJ21), DL21)</f>
      </c>
      <c r="DQ21" s="148" t="str">
        <f>=IFERROR(INDEX(Budget_ID_Liste, ROW() - 18), "")</f>
      </c>
      <c r="DR21" s="24"/>
      <c r="DS21" s="116" t="str">
        <f>=IFERROR(ROUND(DR21/FB_Kurs_18,2),0)</f>
      </c>
      <c r="DT21" s="115" t="str">
        <f>=IFERROR(DR21 + SUMIFS(Ausgaben_17[Kum. Ausgaben (LC)], Ausgaben_17[ID], DQ21), DR21)</f>
      </c>
      <c r="DU21" s="143" t="str">
        <f>=IFERROR(DS21 + SUMIFS(Ausgaben_17[Kum. Ausgaben (EUR)], Ausgaben_17[ID],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SUMIFS(Ausgaben_1[Kum. Ausgaben (LC)], Ausgaben_1[ID], I22), J22)</f>
      </c>
      <c r="M22" s="143" t="str">
        <f>=IFERROR(K22 + SUMIFS(Ausgaben_1[Kum. Ausgaben (EUR)], Ausgaben_1[ID], I22), K22)</f>
      </c>
      <c r="P22" s="148" t="str">
        <f>=IFERROR(INDEX(Budget_ID_Liste, ROW() - 18), "")</f>
      </c>
      <c r="Q22" s="24"/>
      <c r="R22" s="116" t="str">
        <f>=IFERROR(ROUND(Q22/FB_Kurs_3,2),0)</f>
      </c>
      <c r="S22" s="115" t="str">
        <f>=IFERROR(Q22 + SUMIFS(Ausgaben_2[Kum. Ausgaben (LC)], Ausgaben_2[ID], P22), Q22)</f>
      </c>
      <c r="T22" s="143" t="str">
        <f>=IFERROR(R22 + SUMIFS(Ausgaben_2[Kum. Ausgaben (EUR)], Ausgaben_2[ID], P22), R22)</f>
      </c>
      <c r="W22" s="148" t="str">
        <f>=IFERROR(INDEX(Budget_ID_Liste, ROW() - 18), "")</f>
      </c>
      <c r="X22" s="24"/>
      <c r="Y22" s="116" t="str">
        <f>=IFERROR(ROUND(X22/FB_Kurs_4,2),0)</f>
      </c>
      <c r="Z22" s="115" t="str">
        <f>=IFERROR(X22 + SUMIFS(Ausgaben_3[Kum. Ausgaben (LC)], Ausgaben_3[ID], W22), X22)</f>
      </c>
      <c r="AA22" s="143" t="str">
        <f>=IFERROR(Y22 + SUMIFS(Ausgaben_3[Kum. Ausgaben (EUR)], Ausgaben_3[ID], W22), Y22)</f>
      </c>
      <c r="AD22" s="148" t="str">
        <f>=IFERROR(INDEX(Budget_ID_Liste, ROW() - 18), "")</f>
      </c>
      <c r="AE22" s="24"/>
      <c r="AF22" s="116" t="str">
        <f>=IFERROR(ROUND(AE22/FB_Kurs_5,2),0)</f>
      </c>
      <c r="AG22" s="115" t="str">
        <f>=IFERROR(AE22 + SUMIFS(Ausgaben_4[Kum. Ausgaben (LC)], Ausgaben_4[ID], AD22), AE22)</f>
      </c>
      <c r="AH22" s="143" t="str">
        <f>=IFERROR(AF22 + SUMIFS(Ausgaben_4[Kum. Ausgaben (EUR)], Ausgaben_4[ID], AD22), AF22)</f>
      </c>
      <c r="AK22" s="148" t="str">
        <f>=IFERROR(INDEX(Budget_ID_Liste, ROW() - 18), "")</f>
      </c>
      <c r="AL22" s="24"/>
      <c r="AM22" s="116" t="str">
        <f>=IFERROR(ROUND(AL22/FB_Kurs_6,2),0)</f>
      </c>
      <c r="AN22" s="115" t="str">
        <f>=IFERROR(AL22 + SUMIFS(Ausgaben_5[Kum. Ausgaben (LC)], Ausgaben_5[ID], AK22), AL22)</f>
      </c>
      <c r="AO22" s="143" t="str">
        <f>=IFERROR(AM22 + SUMIFS(Ausgaben_5[Kum. Ausgaben (EUR)], Ausgaben_5[ID], AK22), AM22)</f>
      </c>
      <c r="AR22" s="148" t="str">
        <f>=IFERROR(INDEX(Budget_ID_Liste, ROW() - 18), "")</f>
      </c>
      <c r="AS22" s="24"/>
      <c r="AT22" s="116" t="str">
        <f>=IFERROR(ROUND(AS22/FB_Kurs_7,2),0)</f>
      </c>
      <c r="AU22" s="115" t="str">
        <f>=IFERROR(AS22 + SUMIFS(Ausgaben_6[Kum. Ausgaben (LC)], Ausgaben_6[ID], AR22), AS22)</f>
      </c>
      <c r="AV22" s="143" t="str">
        <f>=IFERROR(AT22 + SUMIFS(Ausgaben_6[Kum. Ausgaben (EUR)], Ausgaben_6[ID], AR22), AT22)</f>
      </c>
      <c r="AY22" s="148" t="str">
        <f>=IFERROR(INDEX(Budget_ID_Liste, ROW() - 18), "")</f>
      </c>
      <c r="AZ22" s="24"/>
      <c r="BA22" s="116" t="str">
        <f>=IFERROR(ROUND(AZ22/FB_Kurs_8,2),0)</f>
      </c>
      <c r="BB22" s="115" t="str">
        <f>=IFERROR(AZ22 + SUMIFS(Ausgaben_7[Kum. Ausgaben (LC)], Ausgaben_7[ID], AY22), AZ22)</f>
      </c>
      <c r="BC22" s="143" t="str">
        <f>=IFERROR(BA22 + SUMIFS(Ausgaben_7[Kum. Ausgaben (EUR)], Ausgaben_7[ID], AY22), BA22)</f>
      </c>
      <c r="BF22" s="148" t="str">
        <f>=IFERROR(INDEX(Budget_ID_Liste, ROW() - 18), "")</f>
      </c>
      <c r="BG22" s="24"/>
      <c r="BH22" s="116" t="str">
        <f>=IFERROR(ROUND(BG22/FB_Kurs_9,2),0)</f>
      </c>
      <c r="BI22" s="115" t="str">
        <f>=IFERROR(BG22 + SUMIFS(Ausgaben_8[Kum. Ausgaben (LC)], Ausgaben_8[ID], BF22), BG22)</f>
      </c>
      <c r="BJ22" s="143" t="str">
        <f>=IFERROR(BH22 + SUMIFS(Ausgaben_8[Kum. Ausgaben (EUR)], Ausgaben_8[ID], BF22), BH22)</f>
      </c>
      <c r="BM22" s="148" t="str">
        <f>=IFERROR(INDEX(Budget_ID_Liste, ROW() - 18), "")</f>
      </c>
      <c r="BN22" s="24"/>
      <c r="BO22" s="116" t="str">
        <f>=IFERROR(ROUND(BN22/FB_Kurs_10,2),0)</f>
      </c>
      <c r="BP22" s="115" t="str">
        <f>=IFERROR(BN22 + SUMIFS(Ausgaben_9[Kum. Ausgaben (LC)], Ausgaben_9[ID], BM22), BN22)</f>
      </c>
      <c r="BQ22" s="143" t="str">
        <f>=IFERROR(BO22 + SUMIFS(Ausgaben_9[Kum. Ausgaben (EUR)], Ausgaben_9[ID], BM22), BO22)</f>
      </c>
      <c r="BT22" s="148" t="str">
        <f>=IFERROR(INDEX(Budget_ID_Liste, ROW() - 18), "")</f>
      </c>
      <c r="BU22" s="24"/>
      <c r="BV22" s="116" t="str">
        <f>=IFERROR(ROUND(BU22/FB_Kurs_11,2),0)</f>
      </c>
      <c r="BW22" s="115" t="str">
        <f>=IFERROR(BU22 + SUMIFS(Ausgaben_10[Kum. Ausgaben (LC)], Ausgaben_10[ID], BT22), BU22)</f>
      </c>
      <c r="BX22" s="143" t="str">
        <f>=IFERROR(BV22 + SUMIFS(Ausgaben_10[Kum. Ausgaben (EUR)], Ausgaben_10[ID], BT22), BV22)</f>
      </c>
      <c r="CA22" s="148" t="str">
        <f>=IFERROR(INDEX(Budget_ID_Liste, ROW() - 18), "")</f>
      </c>
      <c r="CB22" s="24"/>
      <c r="CC22" s="116" t="str">
        <f>=IFERROR(ROUND(CB22/FB_Kurs_12,2),0)</f>
      </c>
      <c r="CD22" s="115" t="str">
        <f>=IFERROR(CB22 + SUMIFS(Ausgaben_11[Kum. Ausgaben (LC)], Ausgaben_11[ID], CA22), CB22)</f>
      </c>
      <c r="CE22" s="143" t="str">
        <f>=IFERROR(CC22 + SUMIFS(Ausgaben_11[Kum. Ausgaben (EUR)], Ausgaben_11[ID], CA22), CC22)</f>
      </c>
      <c r="CH22" s="148" t="str">
        <f>=IFERROR(INDEX(Budget_ID_Liste, ROW() - 18), "")</f>
      </c>
      <c r="CI22" s="24"/>
      <c r="CJ22" s="116" t="str">
        <f>=IFERROR(ROUND(CI22/FB_Kurs_13,2),0)</f>
      </c>
      <c r="CK22" s="115" t="str">
        <f>=IFERROR(CI22 + SUMIFS(Ausgaben_12[Kum. Ausgaben (LC)], Ausgaben_12[ID], CH22), CI22)</f>
      </c>
      <c r="CL22" s="143" t="str">
        <f>=IFERROR(CJ22 + SUMIFS(Ausgaben_12[Kum. Ausgaben (EUR)], Ausgaben_12[ID], CH22), CJ22)</f>
      </c>
      <c r="CO22" s="148" t="str">
        <f>=IFERROR(INDEX(Budget_ID_Liste, ROW() - 18), "")</f>
      </c>
      <c r="CP22" s="24"/>
      <c r="CQ22" s="116" t="str">
        <f>=IFERROR(ROUND(CP22/FB_Kurs_14,2),0)</f>
      </c>
      <c r="CR22" s="115" t="str">
        <f>=IFERROR(CP22 + SUMIFS(Ausgaben_13[Kum. Ausgaben (LC)], Ausgaben_13[ID], CO22), CP22)</f>
      </c>
      <c r="CS22" s="143" t="str">
        <f>=IFERROR(CQ22 + SUMIFS(Ausgaben_13[Kum. Ausgaben (EUR)], Ausgaben_13[ID], CO22), CQ22)</f>
      </c>
      <c r="CV22" s="148" t="str">
        <f>=IFERROR(INDEX(Budget_ID_Liste, ROW() - 18), "")</f>
      </c>
      <c r="CW22" s="24"/>
      <c r="CX22" s="116" t="str">
        <f>=IFERROR(ROUND(CW22/FB_Kurs_15,2),0)</f>
      </c>
      <c r="CY22" s="115" t="str">
        <f>=IFERROR(CW22 + SUMIFS(Ausgaben_14[Kum. Ausgaben (LC)], Ausgaben_14[ID], CV22), CW22)</f>
      </c>
      <c r="CZ22" s="143" t="str">
        <f>=IFERROR(CX22 + SUMIFS(Ausgaben_14[Kum. Ausgaben (EUR)], Ausgaben_14[ID], CV22), CX22)</f>
      </c>
      <c r="DC22" s="148" t="str">
        <f>=IFERROR(INDEX(Budget_ID_Liste, ROW() - 18), "")</f>
      </c>
      <c r="DD22" s="24"/>
      <c r="DE22" s="116" t="str">
        <f>=IFERROR(ROUND(DD22/FB_Kurs_16,2),0)</f>
      </c>
      <c r="DF22" s="115" t="str">
        <f>=IFERROR(DD22 + SUMIFS(Ausgaben_15[Kum. Ausgaben (LC)], Ausgaben_15[ID], DC22), DD22)</f>
      </c>
      <c r="DG22" s="143" t="str">
        <f>=IFERROR(DE22 + SUMIFS(Ausgaben_15[Kum. Ausgaben (EUR)], Ausgaben_15[ID], DC22), DE22)</f>
      </c>
      <c r="DJ22" s="148" t="str">
        <f>=IFERROR(INDEX(Budget_ID_Liste, ROW() - 18), "")</f>
      </c>
      <c r="DK22" s="24"/>
      <c r="DL22" s="116" t="str">
        <f>=IFERROR(ROUND(DK22/FB_Kurs_17,2),0)</f>
      </c>
      <c r="DM22" s="115" t="str">
        <f>=IFERROR(DK22 + SUMIFS(Ausgaben_16[Kum. Ausgaben (LC)], Ausgaben_16[ID], DJ22), DK22)</f>
      </c>
      <c r="DN22" s="143" t="str">
        <f>=IFERROR(DL22 + SUMIFS(Ausgaben_16[Kum. Ausgaben (EUR)], Ausgaben_16[ID], DJ22), DL22)</f>
      </c>
      <c r="DQ22" s="148" t="str">
        <f>=IFERROR(INDEX(Budget_ID_Liste, ROW() - 18), "")</f>
      </c>
      <c r="DR22" s="24"/>
      <c r="DS22" s="116" t="str">
        <f>=IFERROR(ROUND(DR22/FB_Kurs_18,2),0)</f>
      </c>
      <c r="DT22" s="115" t="str">
        <f>=IFERROR(DR22 + SUMIFS(Ausgaben_17[Kum. Ausgaben (LC)], Ausgaben_17[ID], DQ22), DR22)</f>
      </c>
      <c r="DU22" s="143" t="str">
        <f>=IFERROR(DS22 + SUMIFS(Ausgaben_17[Kum. Ausgaben (EUR)], Ausgaben_17[ID],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SUMIFS(Ausgaben_1[Kum. Ausgaben (LC)], Ausgaben_1[ID], I23), J23)</f>
      </c>
      <c r="M23" s="143" t="str">
        <f>=IFERROR(K23 + SUMIFS(Ausgaben_1[Kum. Ausgaben (EUR)], Ausgaben_1[ID], I23), K23)</f>
      </c>
      <c r="P23" s="148" t="str">
        <f>=IFERROR(INDEX(Budget_ID_Liste, ROW() - 18), "")</f>
      </c>
      <c r="Q23" s="24"/>
      <c r="R23" s="116" t="str">
        <f>=IFERROR(ROUND(Q23/FB_Kurs_3,2),0)</f>
      </c>
      <c r="S23" s="115" t="str">
        <f>=IFERROR(Q23 + SUMIFS(Ausgaben_2[Kum. Ausgaben (LC)], Ausgaben_2[ID], P23), Q23)</f>
      </c>
      <c r="T23" s="143" t="str">
        <f>=IFERROR(R23 + SUMIFS(Ausgaben_2[Kum. Ausgaben (EUR)], Ausgaben_2[ID], P23), R23)</f>
      </c>
      <c r="W23" s="148" t="str">
        <f>=IFERROR(INDEX(Budget_ID_Liste, ROW() - 18), "")</f>
      </c>
      <c r="X23" s="24"/>
      <c r="Y23" s="116" t="str">
        <f>=IFERROR(ROUND(X23/FB_Kurs_4,2),0)</f>
      </c>
      <c r="Z23" s="115" t="str">
        <f>=IFERROR(X23 + SUMIFS(Ausgaben_3[Kum. Ausgaben (LC)], Ausgaben_3[ID], W23), X23)</f>
      </c>
      <c r="AA23" s="143" t="str">
        <f>=IFERROR(Y23 + SUMIFS(Ausgaben_3[Kum. Ausgaben (EUR)], Ausgaben_3[ID], W23), Y23)</f>
      </c>
      <c r="AD23" s="148" t="str">
        <f>=IFERROR(INDEX(Budget_ID_Liste, ROW() - 18), "")</f>
      </c>
      <c r="AE23" s="24"/>
      <c r="AF23" s="116" t="str">
        <f>=IFERROR(ROUND(AE23/FB_Kurs_5,2),0)</f>
      </c>
      <c r="AG23" s="115" t="str">
        <f>=IFERROR(AE23 + SUMIFS(Ausgaben_4[Kum. Ausgaben (LC)], Ausgaben_4[ID], AD23), AE23)</f>
      </c>
      <c r="AH23" s="143" t="str">
        <f>=IFERROR(AF23 + SUMIFS(Ausgaben_4[Kum. Ausgaben (EUR)], Ausgaben_4[ID], AD23), AF23)</f>
      </c>
      <c r="AK23" s="148" t="str">
        <f>=IFERROR(INDEX(Budget_ID_Liste, ROW() - 18), "")</f>
      </c>
      <c r="AL23" s="24"/>
      <c r="AM23" s="116" t="str">
        <f>=IFERROR(ROUND(AL23/FB_Kurs_6,2),0)</f>
      </c>
      <c r="AN23" s="115" t="str">
        <f>=IFERROR(AL23 + SUMIFS(Ausgaben_5[Kum. Ausgaben (LC)], Ausgaben_5[ID], AK23), AL23)</f>
      </c>
      <c r="AO23" s="143" t="str">
        <f>=IFERROR(AM23 + SUMIFS(Ausgaben_5[Kum. Ausgaben (EUR)], Ausgaben_5[ID], AK23), AM23)</f>
      </c>
      <c r="AR23" s="148" t="str">
        <f>=IFERROR(INDEX(Budget_ID_Liste, ROW() - 18), "")</f>
      </c>
      <c r="AS23" s="24"/>
      <c r="AT23" s="116" t="str">
        <f>=IFERROR(ROUND(AS23/FB_Kurs_7,2),0)</f>
      </c>
      <c r="AU23" s="115" t="str">
        <f>=IFERROR(AS23 + SUMIFS(Ausgaben_6[Kum. Ausgaben (LC)], Ausgaben_6[ID], AR23), AS23)</f>
      </c>
      <c r="AV23" s="143" t="str">
        <f>=IFERROR(AT23 + SUMIFS(Ausgaben_6[Kum. Ausgaben (EUR)], Ausgaben_6[ID], AR23), AT23)</f>
      </c>
      <c r="AY23" s="148" t="str">
        <f>=IFERROR(INDEX(Budget_ID_Liste, ROW() - 18), "")</f>
      </c>
      <c r="AZ23" s="24"/>
      <c r="BA23" s="116" t="str">
        <f>=IFERROR(ROUND(AZ23/FB_Kurs_8,2),0)</f>
      </c>
      <c r="BB23" s="115" t="str">
        <f>=IFERROR(AZ23 + SUMIFS(Ausgaben_7[Kum. Ausgaben (LC)], Ausgaben_7[ID], AY23), AZ23)</f>
      </c>
      <c r="BC23" s="143" t="str">
        <f>=IFERROR(BA23 + SUMIFS(Ausgaben_7[Kum. Ausgaben (EUR)], Ausgaben_7[ID], AY23), BA23)</f>
      </c>
      <c r="BF23" s="148" t="str">
        <f>=IFERROR(INDEX(Budget_ID_Liste, ROW() - 18), "")</f>
      </c>
      <c r="BG23" s="24"/>
      <c r="BH23" s="116" t="str">
        <f>=IFERROR(ROUND(BG23/FB_Kurs_9,2),0)</f>
      </c>
      <c r="BI23" s="115" t="str">
        <f>=IFERROR(BG23 + SUMIFS(Ausgaben_8[Kum. Ausgaben (LC)], Ausgaben_8[ID], BF23), BG23)</f>
      </c>
      <c r="BJ23" s="143" t="str">
        <f>=IFERROR(BH23 + SUMIFS(Ausgaben_8[Kum. Ausgaben (EUR)], Ausgaben_8[ID], BF23), BH23)</f>
      </c>
      <c r="BM23" s="148" t="str">
        <f>=IFERROR(INDEX(Budget_ID_Liste, ROW() - 18), "")</f>
      </c>
      <c r="BN23" s="24"/>
      <c r="BO23" s="116" t="str">
        <f>=IFERROR(ROUND(BN23/FB_Kurs_10,2),0)</f>
      </c>
      <c r="BP23" s="115" t="str">
        <f>=IFERROR(BN23 + SUMIFS(Ausgaben_9[Kum. Ausgaben (LC)], Ausgaben_9[ID], BM23), BN23)</f>
      </c>
      <c r="BQ23" s="143" t="str">
        <f>=IFERROR(BO23 + SUMIFS(Ausgaben_9[Kum. Ausgaben (EUR)], Ausgaben_9[ID], BM23), BO23)</f>
      </c>
      <c r="BT23" s="148" t="str">
        <f>=IFERROR(INDEX(Budget_ID_Liste, ROW() - 18), "")</f>
      </c>
      <c r="BU23" s="24"/>
      <c r="BV23" s="116" t="str">
        <f>=IFERROR(ROUND(BU23/FB_Kurs_11,2),0)</f>
      </c>
      <c r="BW23" s="115" t="str">
        <f>=IFERROR(BU23 + SUMIFS(Ausgaben_10[Kum. Ausgaben (LC)], Ausgaben_10[ID], BT23), BU23)</f>
      </c>
      <c r="BX23" s="143" t="str">
        <f>=IFERROR(BV23 + SUMIFS(Ausgaben_10[Kum. Ausgaben (EUR)], Ausgaben_10[ID], BT23), BV23)</f>
      </c>
      <c r="CA23" s="148" t="str">
        <f>=IFERROR(INDEX(Budget_ID_Liste, ROW() - 18), "")</f>
      </c>
      <c r="CB23" s="24"/>
      <c r="CC23" s="116" t="str">
        <f>=IFERROR(ROUND(CB23/FB_Kurs_12,2),0)</f>
      </c>
      <c r="CD23" s="115" t="str">
        <f>=IFERROR(CB23 + SUMIFS(Ausgaben_11[Kum. Ausgaben (LC)], Ausgaben_11[ID], CA23), CB23)</f>
      </c>
      <c r="CE23" s="143" t="str">
        <f>=IFERROR(CC23 + SUMIFS(Ausgaben_11[Kum. Ausgaben (EUR)], Ausgaben_11[ID], CA23), CC23)</f>
      </c>
      <c r="CH23" s="148" t="str">
        <f>=IFERROR(INDEX(Budget_ID_Liste, ROW() - 18), "")</f>
      </c>
      <c r="CI23" s="24"/>
      <c r="CJ23" s="116" t="str">
        <f>=IFERROR(ROUND(CI23/FB_Kurs_13,2),0)</f>
      </c>
      <c r="CK23" s="115" t="str">
        <f>=IFERROR(CI23 + SUMIFS(Ausgaben_12[Kum. Ausgaben (LC)], Ausgaben_12[ID], CH23), CI23)</f>
      </c>
      <c r="CL23" s="143" t="str">
        <f>=IFERROR(CJ23 + SUMIFS(Ausgaben_12[Kum. Ausgaben (EUR)], Ausgaben_12[ID], CH23), CJ23)</f>
      </c>
      <c r="CO23" s="148" t="str">
        <f>=IFERROR(INDEX(Budget_ID_Liste, ROW() - 18), "")</f>
      </c>
      <c r="CP23" s="24"/>
      <c r="CQ23" s="116" t="str">
        <f>=IFERROR(ROUND(CP23/FB_Kurs_14,2),0)</f>
      </c>
      <c r="CR23" s="115" t="str">
        <f>=IFERROR(CP23 + SUMIFS(Ausgaben_13[Kum. Ausgaben (LC)], Ausgaben_13[ID], CO23), CP23)</f>
      </c>
      <c r="CS23" s="143" t="str">
        <f>=IFERROR(CQ23 + SUMIFS(Ausgaben_13[Kum. Ausgaben (EUR)], Ausgaben_13[ID], CO23), CQ23)</f>
      </c>
      <c r="CV23" s="148" t="str">
        <f>=IFERROR(INDEX(Budget_ID_Liste, ROW() - 18), "")</f>
      </c>
      <c r="CW23" s="24"/>
      <c r="CX23" s="116" t="str">
        <f>=IFERROR(ROUND(CW23/FB_Kurs_15,2),0)</f>
      </c>
      <c r="CY23" s="115" t="str">
        <f>=IFERROR(CW23 + SUMIFS(Ausgaben_14[Kum. Ausgaben (LC)], Ausgaben_14[ID], CV23), CW23)</f>
      </c>
      <c r="CZ23" s="143" t="str">
        <f>=IFERROR(CX23 + SUMIFS(Ausgaben_14[Kum. Ausgaben (EUR)], Ausgaben_14[ID], CV23), CX23)</f>
      </c>
      <c r="DC23" s="148" t="str">
        <f>=IFERROR(INDEX(Budget_ID_Liste, ROW() - 18), "")</f>
      </c>
      <c r="DD23" s="24"/>
      <c r="DE23" s="116" t="str">
        <f>=IFERROR(ROUND(DD23/FB_Kurs_16,2),0)</f>
      </c>
      <c r="DF23" s="115" t="str">
        <f>=IFERROR(DD23 + SUMIFS(Ausgaben_15[Kum. Ausgaben (LC)], Ausgaben_15[ID], DC23), DD23)</f>
      </c>
      <c r="DG23" s="143" t="str">
        <f>=IFERROR(DE23 + SUMIFS(Ausgaben_15[Kum. Ausgaben (EUR)], Ausgaben_15[ID], DC23), DE23)</f>
      </c>
      <c r="DJ23" s="148" t="str">
        <f>=IFERROR(INDEX(Budget_ID_Liste, ROW() - 18), "")</f>
      </c>
      <c r="DK23" s="24"/>
      <c r="DL23" s="116" t="str">
        <f>=IFERROR(ROUND(DK23/FB_Kurs_17,2),0)</f>
      </c>
      <c r="DM23" s="115" t="str">
        <f>=IFERROR(DK23 + SUMIFS(Ausgaben_16[Kum. Ausgaben (LC)], Ausgaben_16[ID], DJ23), DK23)</f>
      </c>
      <c r="DN23" s="143" t="str">
        <f>=IFERROR(DL23 + SUMIFS(Ausgaben_16[Kum. Ausgaben (EUR)], Ausgaben_16[ID], DJ23), DL23)</f>
      </c>
      <c r="DQ23" s="148" t="str">
        <f>=IFERROR(INDEX(Budget_ID_Liste, ROW() - 18), "")</f>
      </c>
      <c r="DR23" s="24"/>
      <c r="DS23" s="116" t="str">
        <f>=IFERROR(ROUND(DR23/FB_Kurs_18,2),0)</f>
      </c>
      <c r="DT23" s="115" t="str">
        <f>=IFERROR(DR23 + SUMIFS(Ausgaben_17[Kum. Ausgaben (LC)], Ausgaben_17[ID], DQ23), DR23)</f>
      </c>
      <c r="DU23" s="143" t="str">
        <f>=IFERROR(DS23 + SUMIFS(Ausgaben_17[Kum. Ausgaben (EUR)], Ausgaben_17[ID],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SUMIFS(Ausgaben_1[Kum. Ausgaben (LC)], Ausgaben_1[ID], I24), J24)</f>
      </c>
      <c r="M24" s="143" t="str">
        <f>=IFERROR(K24 + SUMIFS(Ausgaben_1[Kum. Ausgaben (EUR)], Ausgaben_1[ID], I24), K24)</f>
      </c>
      <c r="P24" s="148" t="str">
        <f>=IFERROR(INDEX(Budget_ID_Liste, ROW() - 18), "")</f>
      </c>
      <c r="Q24" s="24"/>
      <c r="R24" s="116" t="str">
        <f>=IFERROR(ROUND(Q24/FB_Kurs_3,2),0)</f>
      </c>
      <c r="S24" s="115" t="str">
        <f>=IFERROR(Q24 + SUMIFS(Ausgaben_2[Kum. Ausgaben (LC)], Ausgaben_2[ID], P24), Q24)</f>
      </c>
      <c r="T24" s="143" t="str">
        <f>=IFERROR(R24 + SUMIFS(Ausgaben_2[Kum. Ausgaben (EUR)], Ausgaben_2[ID], P24), R24)</f>
      </c>
      <c r="W24" s="148" t="str">
        <f>=IFERROR(INDEX(Budget_ID_Liste, ROW() - 18), "")</f>
      </c>
      <c r="X24" s="24"/>
      <c r="Y24" s="116" t="str">
        <f>=IFERROR(ROUND(X24/FB_Kurs_4,2),0)</f>
      </c>
      <c r="Z24" s="115" t="str">
        <f>=IFERROR(X24 + SUMIFS(Ausgaben_3[Kum. Ausgaben (LC)], Ausgaben_3[ID], W24), X24)</f>
      </c>
      <c r="AA24" s="143" t="str">
        <f>=IFERROR(Y24 + SUMIFS(Ausgaben_3[Kum. Ausgaben (EUR)], Ausgaben_3[ID], W24), Y24)</f>
      </c>
      <c r="AD24" s="148" t="str">
        <f>=IFERROR(INDEX(Budget_ID_Liste, ROW() - 18), "")</f>
      </c>
      <c r="AE24" s="24"/>
      <c r="AF24" s="116" t="str">
        <f>=IFERROR(ROUND(AE24/FB_Kurs_5,2),0)</f>
      </c>
      <c r="AG24" s="115" t="str">
        <f>=IFERROR(AE24 + SUMIFS(Ausgaben_4[Kum. Ausgaben (LC)], Ausgaben_4[ID], AD24), AE24)</f>
      </c>
      <c r="AH24" s="143" t="str">
        <f>=IFERROR(AF24 + SUMIFS(Ausgaben_4[Kum. Ausgaben (EUR)], Ausgaben_4[ID], AD24), AF24)</f>
      </c>
      <c r="AK24" s="148" t="str">
        <f>=IFERROR(INDEX(Budget_ID_Liste, ROW() - 18), "")</f>
      </c>
      <c r="AL24" s="24"/>
      <c r="AM24" s="116" t="str">
        <f>=IFERROR(ROUND(AL24/FB_Kurs_6,2),0)</f>
      </c>
      <c r="AN24" s="115" t="str">
        <f>=IFERROR(AL24 + SUMIFS(Ausgaben_5[Kum. Ausgaben (LC)], Ausgaben_5[ID], AK24), AL24)</f>
      </c>
      <c r="AO24" s="143" t="str">
        <f>=IFERROR(AM24 + SUMIFS(Ausgaben_5[Kum. Ausgaben (EUR)], Ausgaben_5[ID], AK24), AM24)</f>
      </c>
      <c r="AR24" s="148" t="str">
        <f>=IFERROR(INDEX(Budget_ID_Liste, ROW() - 18), "")</f>
      </c>
      <c r="AS24" s="24"/>
      <c r="AT24" s="116" t="str">
        <f>=IFERROR(ROUND(AS24/FB_Kurs_7,2),0)</f>
      </c>
      <c r="AU24" s="115" t="str">
        <f>=IFERROR(AS24 + SUMIFS(Ausgaben_6[Kum. Ausgaben (LC)], Ausgaben_6[ID], AR24), AS24)</f>
      </c>
      <c r="AV24" s="143" t="str">
        <f>=IFERROR(AT24 + SUMIFS(Ausgaben_6[Kum. Ausgaben (EUR)], Ausgaben_6[ID], AR24), AT24)</f>
      </c>
      <c r="AY24" s="148" t="str">
        <f>=IFERROR(INDEX(Budget_ID_Liste, ROW() - 18), "")</f>
      </c>
      <c r="AZ24" s="24"/>
      <c r="BA24" s="116" t="str">
        <f>=IFERROR(ROUND(AZ24/FB_Kurs_8,2),0)</f>
      </c>
      <c r="BB24" s="115" t="str">
        <f>=IFERROR(AZ24 + SUMIFS(Ausgaben_7[Kum. Ausgaben (LC)], Ausgaben_7[ID], AY24), AZ24)</f>
      </c>
      <c r="BC24" s="143" t="str">
        <f>=IFERROR(BA24 + SUMIFS(Ausgaben_7[Kum. Ausgaben (EUR)], Ausgaben_7[ID], AY24), BA24)</f>
      </c>
      <c r="BF24" s="148" t="str">
        <f>=IFERROR(INDEX(Budget_ID_Liste, ROW() - 18), "")</f>
      </c>
      <c r="BG24" s="24"/>
      <c r="BH24" s="116" t="str">
        <f>=IFERROR(ROUND(BG24/FB_Kurs_9,2),0)</f>
      </c>
      <c r="BI24" s="115" t="str">
        <f>=IFERROR(BG24 + SUMIFS(Ausgaben_8[Kum. Ausgaben (LC)], Ausgaben_8[ID], BF24), BG24)</f>
      </c>
      <c r="BJ24" s="143" t="str">
        <f>=IFERROR(BH24 + SUMIFS(Ausgaben_8[Kum. Ausgaben (EUR)], Ausgaben_8[ID], BF24), BH24)</f>
      </c>
      <c r="BM24" s="148" t="str">
        <f>=IFERROR(INDEX(Budget_ID_Liste, ROW() - 18), "")</f>
      </c>
      <c r="BN24" s="24"/>
      <c r="BO24" s="116" t="str">
        <f>=IFERROR(ROUND(BN24/FB_Kurs_10,2),0)</f>
      </c>
      <c r="BP24" s="115" t="str">
        <f>=IFERROR(BN24 + SUMIFS(Ausgaben_9[Kum. Ausgaben (LC)], Ausgaben_9[ID], BM24), BN24)</f>
      </c>
      <c r="BQ24" s="143" t="str">
        <f>=IFERROR(BO24 + SUMIFS(Ausgaben_9[Kum. Ausgaben (EUR)], Ausgaben_9[ID], BM24), BO24)</f>
      </c>
      <c r="BT24" s="148" t="str">
        <f>=IFERROR(INDEX(Budget_ID_Liste, ROW() - 18), "")</f>
      </c>
      <c r="BU24" s="24"/>
      <c r="BV24" s="116" t="str">
        <f>=IFERROR(ROUND(BU24/FB_Kurs_11,2),0)</f>
      </c>
      <c r="BW24" s="115" t="str">
        <f>=IFERROR(BU24 + SUMIFS(Ausgaben_10[Kum. Ausgaben (LC)], Ausgaben_10[ID], BT24), BU24)</f>
      </c>
      <c r="BX24" s="143" t="str">
        <f>=IFERROR(BV24 + SUMIFS(Ausgaben_10[Kum. Ausgaben (EUR)], Ausgaben_10[ID], BT24), BV24)</f>
      </c>
      <c r="CA24" s="148" t="str">
        <f>=IFERROR(INDEX(Budget_ID_Liste, ROW() - 18), "")</f>
      </c>
      <c r="CB24" s="24"/>
      <c r="CC24" s="116" t="str">
        <f>=IFERROR(ROUND(CB24/FB_Kurs_12,2),0)</f>
      </c>
      <c r="CD24" s="115" t="str">
        <f>=IFERROR(CB24 + SUMIFS(Ausgaben_11[Kum. Ausgaben (LC)], Ausgaben_11[ID], CA24), CB24)</f>
      </c>
      <c r="CE24" s="143" t="str">
        <f>=IFERROR(CC24 + SUMIFS(Ausgaben_11[Kum. Ausgaben (EUR)], Ausgaben_11[ID], CA24), CC24)</f>
      </c>
      <c r="CH24" s="148" t="str">
        <f>=IFERROR(INDEX(Budget_ID_Liste, ROW() - 18), "")</f>
      </c>
      <c r="CI24" s="24"/>
      <c r="CJ24" s="116" t="str">
        <f>=IFERROR(ROUND(CI24/FB_Kurs_13,2),0)</f>
      </c>
      <c r="CK24" s="115" t="str">
        <f>=IFERROR(CI24 + SUMIFS(Ausgaben_12[Kum. Ausgaben (LC)], Ausgaben_12[ID], CH24), CI24)</f>
      </c>
      <c r="CL24" s="143" t="str">
        <f>=IFERROR(CJ24 + SUMIFS(Ausgaben_12[Kum. Ausgaben (EUR)], Ausgaben_12[ID], CH24), CJ24)</f>
      </c>
      <c r="CO24" s="148" t="str">
        <f>=IFERROR(INDEX(Budget_ID_Liste, ROW() - 18), "")</f>
      </c>
      <c r="CP24" s="24"/>
      <c r="CQ24" s="116" t="str">
        <f>=IFERROR(ROUND(CP24/FB_Kurs_14,2),0)</f>
      </c>
      <c r="CR24" s="115" t="str">
        <f>=IFERROR(CP24 + SUMIFS(Ausgaben_13[Kum. Ausgaben (LC)], Ausgaben_13[ID], CO24), CP24)</f>
      </c>
      <c r="CS24" s="143" t="str">
        <f>=IFERROR(CQ24 + SUMIFS(Ausgaben_13[Kum. Ausgaben (EUR)], Ausgaben_13[ID], CO24), CQ24)</f>
      </c>
      <c r="CV24" s="148" t="str">
        <f>=IFERROR(INDEX(Budget_ID_Liste, ROW() - 18), "")</f>
      </c>
      <c r="CW24" s="24"/>
      <c r="CX24" s="116" t="str">
        <f>=IFERROR(ROUND(CW24/FB_Kurs_15,2),0)</f>
      </c>
      <c r="CY24" s="115" t="str">
        <f>=IFERROR(CW24 + SUMIFS(Ausgaben_14[Kum. Ausgaben (LC)], Ausgaben_14[ID], CV24), CW24)</f>
      </c>
      <c r="CZ24" s="143" t="str">
        <f>=IFERROR(CX24 + SUMIFS(Ausgaben_14[Kum. Ausgaben (EUR)], Ausgaben_14[ID], CV24), CX24)</f>
      </c>
      <c r="DC24" s="148" t="str">
        <f>=IFERROR(INDEX(Budget_ID_Liste, ROW() - 18), "")</f>
      </c>
      <c r="DD24" s="24"/>
      <c r="DE24" s="116" t="str">
        <f>=IFERROR(ROUND(DD24/FB_Kurs_16,2),0)</f>
      </c>
      <c r="DF24" s="115" t="str">
        <f>=IFERROR(DD24 + SUMIFS(Ausgaben_15[Kum. Ausgaben (LC)], Ausgaben_15[ID], DC24), DD24)</f>
      </c>
      <c r="DG24" s="143" t="str">
        <f>=IFERROR(DE24 + SUMIFS(Ausgaben_15[Kum. Ausgaben (EUR)], Ausgaben_15[ID], DC24), DE24)</f>
      </c>
      <c r="DJ24" s="148" t="str">
        <f>=IFERROR(INDEX(Budget_ID_Liste, ROW() - 18), "")</f>
      </c>
      <c r="DK24" s="24"/>
      <c r="DL24" s="116" t="str">
        <f>=IFERROR(ROUND(DK24/FB_Kurs_17,2),0)</f>
      </c>
      <c r="DM24" s="115" t="str">
        <f>=IFERROR(DK24 + SUMIFS(Ausgaben_16[Kum. Ausgaben (LC)], Ausgaben_16[ID], DJ24), DK24)</f>
      </c>
      <c r="DN24" s="143" t="str">
        <f>=IFERROR(DL24 + SUMIFS(Ausgaben_16[Kum. Ausgaben (EUR)], Ausgaben_16[ID], DJ24), DL24)</f>
      </c>
      <c r="DQ24" s="148" t="str">
        <f>=IFERROR(INDEX(Budget_ID_Liste, ROW() - 18), "")</f>
      </c>
      <c r="DR24" s="24"/>
      <c r="DS24" s="116" t="str">
        <f>=IFERROR(ROUND(DR24/FB_Kurs_18,2),0)</f>
      </c>
      <c r="DT24" s="115" t="str">
        <f>=IFERROR(DR24 + SUMIFS(Ausgaben_17[Kum. Ausgaben (LC)], Ausgaben_17[ID], DQ24), DR24)</f>
      </c>
      <c r="DU24" s="143" t="str">
        <f>=IFERROR(DS24 + SUMIFS(Ausgaben_17[Kum. Ausgaben (EUR)], Ausgaben_17[ID],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SUMIFS(Ausgaben_1[Kum. Ausgaben (LC)], Ausgaben_1[ID], I25), J25)</f>
      </c>
      <c r="M25" s="143" t="str">
        <f>=IFERROR(K25 + SUMIFS(Ausgaben_1[Kum. Ausgaben (EUR)], Ausgaben_1[ID], I25), K25)</f>
      </c>
      <c r="P25" s="148" t="str">
        <f>=IFERROR(INDEX(Budget_ID_Liste, ROW() - 18), "")</f>
      </c>
      <c r="Q25" s="24"/>
      <c r="R25" s="116" t="str">
        <f>=IFERROR(ROUND(Q25/FB_Kurs_3,2),0)</f>
      </c>
      <c r="S25" s="115" t="str">
        <f>=IFERROR(Q25 + SUMIFS(Ausgaben_2[Kum. Ausgaben (LC)], Ausgaben_2[ID], P25), Q25)</f>
      </c>
      <c r="T25" s="143" t="str">
        <f>=IFERROR(R25 + SUMIFS(Ausgaben_2[Kum. Ausgaben (EUR)], Ausgaben_2[ID], P25), R25)</f>
      </c>
      <c r="W25" s="148" t="str">
        <f>=IFERROR(INDEX(Budget_ID_Liste, ROW() - 18), "")</f>
      </c>
      <c r="X25" s="24"/>
      <c r="Y25" s="116" t="str">
        <f>=IFERROR(ROUND(X25/FB_Kurs_4,2),0)</f>
      </c>
      <c r="Z25" s="115" t="str">
        <f>=IFERROR(X25 + SUMIFS(Ausgaben_3[Kum. Ausgaben (LC)], Ausgaben_3[ID], W25), X25)</f>
      </c>
      <c r="AA25" s="143" t="str">
        <f>=IFERROR(Y25 + SUMIFS(Ausgaben_3[Kum. Ausgaben (EUR)], Ausgaben_3[ID], W25), Y25)</f>
      </c>
      <c r="AD25" s="148" t="str">
        <f>=IFERROR(INDEX(Budget_ID_Liste, ROW() - 18), "")</f>
      </c>
      <c r="AE25" s="24"/>
      <c r="AF25" s="116" t="str">
        <f>=IFERROR(ROUND(AE25/FB_Kurs_5,2),0)</f>
      </c>
      <c r="AG25" s="115" t="str">
        <f>=IFERROR(AE25 + SUMIFS(Ausgaben_4[Kum. Ausgaben (LC)], Ausgaben_4[ID], AD25), AE25)</f>
      </c>
      <c r="AH25" s="143" t="str">
        <f>=IFERROR(AF25 + SUMIFS(Ausgaben_4[Kum. Ausgaben (EUR)], Ausgaben_4[ID], AD25), AF25)</f>
      </c>
      <c r="AK25" s="148" t="str">
        <f>=IFERROR(INDEX(Budget_ID_Liste, ROW() - 18), "")</f>
      </c>
      <c r="AL25" s="24"/>
      <c r="AM25" s="116" t="str">
        <f>=IFERROR(ROUND(AL25/FB_Kurs_6,2),0)</f>
      </c>
      <c r="AN25" s="115" t="str">
        <f>=IFERROR(AL25 + SUMIFS(Ausgaben_5[Kum. Ausgaben (LC)], Ausgaben_5[ID], AK25), AL25)</f>
      </c>
      <c r="AO25" s="143" t="str">
        <f>=IFERROR(AM25 + SUMIFS(Ausgaben_5[Kum. Ausgaben (EUR)], Ausgaben_5[ID], AK25), AM25)</f>
      </c>
      <c r="AR25" s="148" t="str">
        <f>=IFERROR(INDEX(Budget_ID_Liste, ROW() - 18), "")</f>
      </c>
      <c r="AS25" s="24"/>
      <c r="AT25" s="116" t="str">
        <f>=IFERROR(ROUND(AS25/FB_Kurs_7,2),0)</f>
      </c>
      <c r="AU25" s="115" t="str">
        <f>=IFERROR(AS25 + SUMIFS(Ausgaben_6[Kum. Ausgaben (LC)], Ausgaben_6[ID], AR25), AS25)</f>
      </c>
      <c r="AV25" s="143" t="str">
        <f>=IFERROR(AT25 + SUMIFS(Ausgaben_6[Kum. Ausgaben (EUR)], Ausgaben_6[ID], AR25), AT25)</f>
      </c>
      <c r="AY25" s="148" t="str">
        <f>=IFERROR(INDEX(Budget_ID_Liste, ROW() - 18), "")</f>
      </c>
      <c r="AZ25" s="24"/>
      <c r="BA25" s="116" t="str">
        <f>=IFERROR(ROUND(AZ25/FB_Kurs_8,2),0)</f>
      </c>
      <c r="BB25" s="115" t="str">
        <f>=IFERROR(AZ25 + SUMIFS(Ausgaben_7[Kum. Ausgaben (LC)], Ausgaben_7[ID], AY25), AZ25)</f>
      </c>
      <c r="BC25" s="143" t="str">
        <f>=IFERROR(BA25 + SUMIFS(Ausgaben_7[Kum. Ausgaben (EUR)], Ausgaben_7[ID], AY25), BA25)</f>
      </c>
      <c r="BF25" s="148" t="str">
        <f>=IFERROR(INDEX(Budget_ID_Liste, ROW() - 18), "")</f>
      </c>
      <c r="BG25" s="24"/>
      <c r="BH25" s="116" t="str">
        <f>=IFERROR(ROUND(BG25/FB_Kurs_9,2),0)</f>
      </c>
      <c r="BI25" s="115" t="str">
        <f>=IFERROR(BG25 + SUMIFS(Ausgaben_8[Kum. Ausgaben (LC)], Ausgaben_8[ID], BF25), BG25)</f>
      </c>
      <c r="BJ25" s="143" t="str">
        <f>=IFERROR(BH25 + SUMIFS(Ausgaben_8[Kum. Ausgaben (EUR)], Ausgaben_8[ID], BF25), BH25)</f>
      </c>
      <c r="BM25" s="148" t="str">
        <f>=IFERROR(INDEX(Budget_ID_Liste, ROW() - 18), "")</f>
      </c>
      <c r="BN25" s="24"/>
      <c r="BO25" s="116" t="str">
        <f>=IFERROR(ROUND(BN25/FB_Kurs_10,2),0)</f>
      </c>
      <c r="BP25" s="115" t="str">
        <f>=IFERROR(BN25 + SUMIFS(Ausgaben_9[Kum. Ausgaben (LC)], Ausgaben_9[ID], BM25), BN25)</f>
      </c>
      <c r="BQ25" s="143" t="str">
        <f>=IFERROR(BO25 + SUMIFS(Ausgaben_9[Kum. Ausgaben (EUR)], Ausgaben_9[ID], BM25), BO25)</f>
      </c>
      <c r="BT25" s="148" t="str">
        <f>=IFERROR(INDEX(Budget_ID_Liste, ROW() - 18), "")</f>
      </c>
      <c r="BU25" s="24"/>
      <c r="BV25" s="116" t="str">
        <f>=IFERROR(ROUND(BU25/FB_Kurs_11,2),0)</f>
      </c>
      <c r="BW25" s="115" t="str">
        <f>=IFERROR(BU25 + SUMIFS(Ausgaben_10[Kum. Ausgaben (LC)], Ausgaben_10[ID], BT25), BU25)</f>
      </c>
      <c r="BX25" s="143" t="str">
        <f>=IFERROR(BV25 + SUMIFS(Ausgaben_10[Kum. Ausgaben (EUR)], Ausgaben_10[ID], BT25), BV25)</f>
      </c>
      <c r="CA25" s="148" t="str">
        <f>=IFERROR(INDEX(Budget_ID_Liste, ROW() - 18), "")</f>
      </c>
      <c r="CB25" s="24"/>
      <c r="CC25" s="116" t="str">
        <f>=IFERROR(ROUND(CB25/FB_Kurs_12,2),0)</f>
      </c>
      <c r="CD25" s="115" t="str">
        <f>=IFERROR(CB25 + SUMIFS(Ausgaben_11[Kum. Ausgaben (LC)], Ausgaben_11[ID], CA25), CB25)</f>
      </c>
      <c r="CE25" s="143" t="str">
        <f>=IFERROR(CC25 + SUMIFS(Ausgaben_11[Kum. Ausgaben (EUR)], Ausgaben_11[ID], CA25), CC25)</f>
      </c>
      <c r="CH25" s="148" t="str">
        <f>=IFERROR(INDEX(Budget_ID_Liste, ROW() - 18), "")</f>
      </c>
      <c r="CI25" s="24"/>
      <c r="CJ25" s="116" t="str">
        <f>=IFERROR(ROUND(CI25/FB_Kurs_13,2),0)</f>
      </c>
      <c r="CK25" s="115" t="str">
        <f>=IFERROR(CI25 + SUMIFS(Ausgaben_12[Kum. Ausgaben (LC)], Ausgaben_12[ID], CH25), CI25)</f>
      </c>
      <c r="CL25" s="143" t="str">
        <f>=IFERROR(CJ25 + SUMIFS(Ausgaben_12[Kum. Ausgaben (EUR)], Ausgaben_12[ID], CH25), CJ25)</f>
      </c>
      <c r="CO25" s="148" t="str">
        <f>=IFERROR(INDEX(Budget_ID_Liste, ROW() - 18), "")</f>
      </c>
      <c r="CP25" s="24"/>
      <c r="CQ25" s="116" t="str">
        <f>=IFERROR(ROUND(CP25/FB_Kurs_14,2),0)</f>
      </c>
      <c r="CR25" s="115" t="str">
        <f>=IFERROR(CP25 + SUMIFS(Ausgaben_13[Kum. Ausgaben (LC)], Ausgaben_13[ID], CO25), CP25)</f>
      </c>
      <c r="CS25" s="143" t="str">
        <f>=IFERROR(CQ25 + SUMIFS(Ausgaben_13[Kum. Ausgaben (EUR)], Ausgaben_13[ID], CO25), CQ25)</f>
      </c>
      <c r="CV25" s="148" t="str">
        <f>=IFERROR(INDEX(Budget_ID_Liste, ROW() - 18), "")</f>
      </c>
      <c r="CW25" s="24"/>
      <c r="CX25" s="116" t="str">
        <f>=IFERROR(ROUND(CW25/FB_Kurs_15,2),0)</f>
      </c>
      <c r="CY25" s="115" t="str">
        <f>=IFERROR(CW25 + SUMIFS(Ausgaben_14[Kum. Ausgaben (LC)], Ausgaben_14[ID], CV25), CW25)</f>
      </c>
      <c r="CZ25" s="143" t="str">
        <f>=IFERROR(CX25 + SUMIFS(Ausgaben_14[Kum. Ausgaben (EUR)], Ausgaben_14[ID], CV25), CX25)</f>
      </c>
      <c r="DC25" s="148" t="str">
        <f>=IFERROR(INDEX(Budget_ID_Liste, ROW() - 18), "")</f>
      </c>
      <c r="DD25" s="24"/>
      <c r="DE25" s="116" t="str">
        <f>=IFERROR(ROUND(DD25/FB_Kurs_16,2),0)</f>
      </c>
      <c r="DF25" s="115" t="str">
        <f>=IFERROR(DD25 + SUMIFS(Ausgaben_15[Kum. Ausgaben (LC)], Ausgaben_15[ID], DC25), DD25)</f>
      </c>
      <c r="DG25" s="143" t="str">
        <f>=IFERROR(DE25 + SUMIFS(Ausgaben_15[Kum. Ausgaben (EUR)], Ausgaben_15[ID], DC25), DE25)</f>
      </c>
      <c r="DJ25" s="148" t="str">
        <f>=IFERROR(INDEX(Budget_ID_Liste, ROW() - 18), "")</f>
      </c>
      <c r="DK25" s="24"/>
      <c r="DL25" s="116" t="str">
        <f>=IFERROR(ROUND(DK25/FB_Kurs_17,2),0)</f>
      </c>
      <c r="DM25" s="115" t="str">
        <f>=IFERROR(DK25 + SUMIFS(Ausgaben_16[Kum. Ausgaben (LC)], Ausgaben_16[ID], DJ25), DK25)</f>
      </c>
      <c r="DN25" s="143" t="str">
        <f>=IFERROR(DL25 + SUMIFS(Ausgaben_16[Kum. Ausgaben (EUR)], Ausgaben_16[ID], DJ25), DL25)</f>
      </c>
      <c r="DQ25" s="148" t="str">
        <f>=IFERROR(INDEX(Budget_ID_Liste, ROW() - 18), "")</f>
      </c>
      <c r="DR25" s="24"/>
      <c r="DS25" s="116" t="str">
        <f>=IFERROR(ROUND(DR25/FB_Kurs_18,2),0)</f>
      </c>
      <c r="DT25" s="115" t="str">
        <f>=IFERROR(DR25 + SUMIFS(Ausgaben_17[Kum. Ausgaben (LC)], Ausgaben_17[ID], DQ25), DR25)</f>
      </c>
      <c r="DU25" s="143" t="str">
        <f>=IFERROR(DS25 + SUMIFS(Ausgaben_17[Kum. Ausgaben (EUR)], Ausgaben_17[ID],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SUMIFS(Ausgaben_1[Kum. Ausgaben (LC)], Ausgaben_1[ID], I26), J26)</f>
      </c>
      <c r="M26" s="143" t="str">
        <f>=IFERROR(K26 + SUMIFS(Ausgaben_1[Kum. Ausgaben (EUR)], Ausgaben_1[ID], I26), K26)</f>
      </c>
      <c r="P26" s="148" t="str">
        <f>=IFERROR(INDEX(Budget_ID_Liste, ROW() - 18), "")</f>
      </c>
      <c r="Q26" s="24"/>
      <c r="R26" s="116" t="str">
        <f>=IFERROR(ROUND(Q26/FB_Kurs_3,2),0)</f>
      </c>
      <c r="S26" s="115" t="str">
        <f>=IFERROR(Q26 + SUMIFS(Ausgaben_2[Kum. Ausgaben (LC)], Ausgaben_2[ID], P26), Q26)</f>
      </c>
      <c r="T26" s="143" t="str">
        <f>=IFERROR(R26 + SUMIFS(Ausgaben_2[Kum. Ausgaben (EUR)], Ausgaben_2[ID], P26), R26)</f>
      </c>
      <c r="W26" s="148" t="str">
        <f>=IFERROR(INDEX(Budget_ID_Liste, ROW() - 18), "")</f>
      </c>
      <c r="X26" s="24"/>
      <c r="Y26" s="116" t="str">
        <f>=IFERROR(ROUND(X26/FB_Kurs_4,2),0)</f>
      </c>
      <c r="Z26" s="115" t="str">
        <f>=IFERROR(X26 + SUMIFS(Ausgaben_3[Kum. Ausgaben (LC)], Ausgaben_3[ID], W26), X26)</f>
      </c>
      <c r="AA26" s="143" t="str">
        <f>=IFERROR(Y26 + SUMIFS(Ausgaben_3[Kum. Ausgaben (EUR)], Ausgaben_3[ID], W26), Y26)</f>
      </c>
      <c r="AD26" s="148" t="str">
        <f>=IFERROR(INDEX(Budget_ID_Liste, ROW() - 18), "")</f>
      </c>
      <c r="AE26" s="24"/>
      <c r="AF26" s="116" t="str">
        <f>=IFERROR(ROUND(AE26/FB_Kurs_5,2),0)</f>
      </c>
      <c r="AG26" s="115" t="str">
        <f>=IFERROR(AE26 + SUMIFS(Ausgaben_4[Kum. Ausgaben (LC)], Ausgaben_4[ID], AD26), AE26)</f>
      </c>
      <c r="AH26" s="143" t="str">
        <f>=IFERROR(AF26 + SUMIFS(Ausgaben_4[Kum. Ausgaben (EUR)], Ausgaben_4[ID], AD26), AF26)</f>
      </c>
      <c r="AK26" s="148" t="str">
        <f>=IFERROR(INDEX(Budget_ID_Liste, ROW() - 18), "")</f>
      </c>
      <c r="AL26" s="24"/>
      <c r="AM26" s="116" t="str">
        <f>=IFERROR(ROUND(AL26/FB_Kurs_6,2),0)</f>
      </c>
      <c r="AN26" s="115" t="str">
        <f>=IFERROR(AL26 + SUMIFS(Ausgaben_5[Kum. Ausgaben (LC)], Ausgaben_5[ID], AK26), AL26)</f>
      </c>
      <c r="AO26" s="143" t="str">
        <f>=IFERROR(AM26 + SUMIFS(Ausgaben_5[Kum. Ausgaben (EUR)], Ausgaben_5[ID], AK26), AM26)</f>
      </c>
      <c r="AR26" s="148" t="str">
        <f>=IFERROR(INDEX(Budget_ID_Liste, ROW() - 18), "")</f>
      </c>
      <c r="AS26" s="24"/>
      <c r="AT26" s="116" t="str">
        <f>=IFERROR(ROUND(AS26/FB_Kurs_7,2),0)</f>
      </c>
      <c r="AU26" s="115" t="str">
        <f>=IFERROR(AS26 + SUMIFS(Ausgaben_6[Kum. Ausgaben (LC)], Ausgaben_6[ID], AR26), AS26)</f>
      </c>
      <c r="AV26" s="143" t="str">
        <f>=IFERROR(AT26 + SUMIFS(Ausgaben_6[Kum. Ausgaben (EUR)], Ausgaben_6[ID], AR26), AT26)</f>
      </c>
      <c r="AY26" s="148" t="str">
        <f>=IFERROR(INDEX(Budget_ID_Liste, ROW() - 18), "")</f>
      </c>
      <c r="AZ26" s="24"/>
      <c r="BA26" s="116" t="str">
        <f>=IFERROR(ROUND(AZ26/FB_Kurs_8,2),0)</f>
      </c>
      <c r="BB26" s="115" t="str">
        <f>=IFERROR(AZ26 + SUMIFS(Ausgaben_7[Kum. Ausgaben (LC)], Ausgaben_7[ID], AY26), AZ26)</f>
      </c>
      <c r="BC26" s="143" t="str">
        <f>=IFERROR(BA26 + SUMIFS(Ausgaben_7[Kum. Ausgaben (EUR)], Ausgaben_7[ID], AY26), BA26)</f>
      </c>
      <c r="BF26" s="148" t="str">
        <f>=IFERROR(INDEX(Budget_ID_Liste, ROW() - 18), "")</f>
      </c>
      <c r="BG26" s="24"/>
      <c r="BH26" s="116" t="str">
        <f>=IFERROR(ROUND(BG26/FB_Kurs_9,2),0)</f>
      </c>
      <c r="BI26" s="115" t="str">
        <f>=IFERROR(BG26 + SUMIFS(Ausgaben_8[Kum. Ausgaben (LC)], Ausgaben_8[ID], BF26), BG26)</f>
      </c>
      <c r="BJ26" s="143" t="str">
        <f>=IFERROR(BH26 + SUMIFS(Ausgaben_8[Kum. Ausgaben (EUR)], Ausgaben_8[ID], BF26), BH26)</f>
      </c>
      <c r="BM26" s="148" t="str">
        <f>=IFERROR(INDEX(Budget_ID_Liste, ROW() - 18), "")</f>
      </c>
      <c r="BN26" s="24"/>
      <c r="BO26" s="116" t="str">
        <f>=IFERROR(ROUND(BN26/FB_Kurs_10,2),0)</f>
      </c>
      <c r="BP26" s="115" t="str">
        <f>=IFERROR(BN26 + SUMIFS(Ausgaben_9[Kum. Ausgaben (LC)], Ausgaben_9[ID], BM26), BN26)</f>
      </c>
      <c r="BQ26" s="143" t="str">
        <f>=IFERROR(BO26 + SUMIFS(Ausgaben_9[Kum. Ausgaben (EUR)], Ausgaben_9[ID], BM26), BO26)</f>
      </c>
      <c r="BT26" s="148" t="str">
        <f>=IFERROR(INDEX(Budget_ID_Liste, ROW() - 18), "")</f>
      </c>
      <c r="BU26" s="24"/>
      <c r="BV26" s="116" t="str">
        <f>=IFERROR(ROUND(BU26/FB_Kurs_11,2),0)</f>
      </c>
      <c r="BW26" s="115" t="str">
        <f>=IFERROR(BU26 + SUMIFS(Ausgaben_10[Kum. Ausgaben (LC)], Ausgaben_10[ID], BT26), BU26)</f>
      </c>
      <c r="BX26" s="143" t="str">
        <f>=IFERROR(BV26 + SUMIFS(Ausgaben_10[Kum. Ausgaben (EUR)], Ausgaben_10[ID], BT26), BV26)</f>
      </c>
      <c r="CA26" s="148" t="str">
        <f>=IFERROR(INDEX(Budget_ID_Liste, ROW() - 18), "")</f>
      </c>
      <c r="CB26" s="24"/>
      <c r="CC26" s="116" t="str">
        <f>=IFERROR(ROUND(CB26/FB_Kurs_12,2),0)</f>
      </c>
      <c r="CD26" s="115" t="str">
        <f>=IFERROR(CB26 + SUMIFS(Ausgaben_11[Kum. Ausgaben (LC)], Ausgaben_11[ID], CA26), CB26)</f>
      </c>
      <c r="CE26" s="143" t="str">
        <f>=IFERROR(CC26 + SUMIFS(Ausgaben_11[Kum. Ausgaben (EUR)], Ausgaben_11[ID], CA26), CC26)</f>
      </c>
      <c r="CH26" s="148" t="str">
        <f>=IFERROR(INDEX(Budget_ID_Liste, ROW() - 18), "")</f>
      </c>
      <c r="CI26" s="24"/>
      <c r="CJ26" s="116" t="str">
        <f>=IFERROR(ROUND(CI26/FB_Kurs_13,2),0)</f>
      </c>
      <c r="CK26" s="115" t="str">
        <f>=IFERROR(CI26 + SUMIFS(Ausgaben_12[Kum. Ausgaben (LC)], Ausgaben_12[ID], CH26), CI26)</f>
      </c>
      <c r="CL26" s="143" t="str">
        <f>=IFERROR(CJ26 + SUMIFS(Ausgaben_12[Kum. Ausgaben (EUR)], Ausgaben_12[ID], CH26), CJ26)</f>
      </c>
      <c r="CO26" s="148" t="str">
        <f>=IFERROR(INDEX(Budget_ID_Liste, ROW() - 18), "")</f>
      </c>
      <c r="CP26" s="24"/>
      <c r="CQ26" s="116" t="str">
        <f>=IFERROR(ROUND(CP26/FB_Kurs_14,2),0)</f>
      </c>
      <c r="CR26" s="115" t="str">
        <f>=IFERROR(CP26 + SUMIFS(Ausgaben_13[Kum. Ausgaben (LC)], Ausgaben_13[ID], CO26), CP26)</f>
      </c>
      <c r="CS26" s="143" t="str">
        <f>=IFERROR(CQ26 + SUMIFS(Ausgaben_13[Kum. Ausgaben (EUR)], Ausgaben_13[ID], CO26), CQ26)</f>
      </c>
      <c r="CV26" s="148" t="str">
        <f>=IFERROR(INDEX(Budget_ID_Liste, ROW() - 18), "")</f>
      </c>
      <c r="CW26" s="24"/>
      <c r="CX26" s="116" t="str">
        <f>=IFERROR(ROUND(CW26/FB_Kurs_15,2),0)</f>
      </c>
      <c r="CY26" s="115" t="str">
        <f>=IFERROR(CW26 + SUMIFS(Ausgaben_14[Kum. Ausgaben (LC)], Ausgaben_14[ID], CV26), CW26)</f>
      </c>
      <c r="CZ26" s="143" t="str">
        <f>=IFERROR(CX26 + SUMIFS(Ausgaben_14[Kum. Ausgaben (EUR)], Ausgaben_14[ID], CV26), CX26)</f>
      </c>
      <c r="DC26" s="148" t="str">
        <f>=IFERROR(INDEX(Budget_ID_Liste, ROW() - 18), "")</f>
      </c>
      <c r="DD26" s="24"/>
      <c r="DE26" s="116" t="str">
        <f>=IFERROR(ROUND(DD26/FB_Kurs_16,2),0)</f>
      </c>
      <c r="DF26" s="115" t="str">
        <f>=IFERROR(DD26 + SUMIFS(Ausgaben_15[Kum. Ausgaben (LC)], Ausgaben_15[ID], DC26), DD26)</f>
      </c>
      <c r="DG26" s="143" t="str">
        <f>=IFERROR(DE26 + SUMIFS(Ausgaben_15[Kum. Ausgaben (EUR)], Ausgaben_15[ID], DC26), DE26)</f>
      </c>
      <c r="DJ26" s="148" t="str">
        <f>=IFERROR(INDEX(Budget_ID_Liste, ROW() - 18), "")</f>
      </c>
      <c r="DK26" s="24"/>
      <c r="DL26" s="116" t="str">
        <f>=IFERROR(ROUND(DK26/FB_Kurs_17,2),0)</f>
      </c>
      <c r="DM26" s="115" t="str">
        <f>=IFERROR(DK26 + SUMIFS(Ausgaben_16[Kum. Ausgaben (LC)], Ausgaben_16[ID], DJ26), DK26)</f>
      </c>
      <c r="DN26" s="143" t="str">
        <f>=IFERROR(DL26 + SUMIFS(Ausgaben_16[Kum. Ausgaben (EUR)], Ausgaben_16[ID], DJ26), DL26)</f>
      </c>
      <c r="DQ26" s="148" t="str">
        <f>=IFERROR(INDEX(Budget_ID_Liste, ROW() - 18), "")</f>
      </c>
      <c r="DR26" s="24"/>
      <c r="DS26" s="116" t="str">
        <f>=IFERROR(ROUND(DR26/FB_Kurs_18,2),0)</f>
      </c>
      <c r="DT26" s="115" t="str">
        <f>=IFERROR(DR26 + SUMIFS(Ausgaben_17[Kum. Ausgaben (LC)], Ausgaben_17[ID], DQ26), DR26)</f>
      </c>
      <c r="DU26" s="143" t="str">
        <f>=IFERROR(DS26 + SUMIFS(Ausgaben_17[Kum. Ausgaben (EUR)], Ausgaben_17[ID], DQ26), DS26)</f>
      </c>
    </row>
    <row r="27">
      <c r="B27" s="149" t="s">
        <v>285</v>
      </c>
      <c r="C27" s="123" t="str">
        <f>=ROUND(SUBTOTAL(109,Ausgaben_1[Ausgaben (LC)]),2)</f>
      </c>
      <c r="D27" s="124" t="str">
        <f>=ROUND(SUBTOTAL(109,Ausgaben_1[Ausgaben (EUR)]),2)</f>
      </c>
      <c r="E27" s="123" t="str">
        <f>=ROUND(SUBTOTAL(109,Ausgaben_1[Kum. Ausgaben (LC)]),2)</f>
      </c>
      <c r="F27" s="150" t="str">
        <f>=ROUND(SUBTOTAL(109,Ausgaben_1[Kum. Ausgaben (EUR)]),2)</f>
      </c>
      <c r="I27" s="149" t="s">
        <v>285</v>
      </c>
      <c r="J27" s="123" t="str">
        <f>=ROUND(SUBTOTAL(109,Ausgaben_2[Ausgaben (LC)]),2)</f>
      </c>
      <c r="K27" s="124" t="str">
        <f>=ROUND(SUBTOTAL(109,Ausgaben_2[Ausgaben (EUR)]),2)</f>
      </c>
      <c r="L27" s="123" t="str">
        <f>=ROUND(SUBTOTAL(109,Ausgaben_2[Kum. Ausgaben (LC)]),2)</f>
      </c>
      <c r="M27" s="150" t="str">
        <f>=ROUND(SUBTOTAL(109,Ausgaben_2[Kum. Ausgaben (EUR)]),2)</f>
      </c>
      <c r="P27" s="149" t="s">
        <v>285</v>
      </c>
      <c r="Q27" s="123" t="str">
        <f>=ROUND(SUBTOTAL(109,Ausgaben_3[Ausgaben (LC)]),2)</f>
      </c>
      <c r="R27" s="124" t="str">
        <f>=ROUND(SUBTOTAL(109,Ausgaben_3[Ausgaben (EUR)]),2)</f>
      </c>
      <c r="S27" s="123" t="str">
        <f>=ROUND(SUBTOTAL(109,Ausgaben_3[Kum. Ausgaben (LC)]),2)</f>
      </c>
      <c r="T27" s="150" t="str">
        <f>=ROUND(SUBTOTAL(109,Ausgaben_3[Kum. Ausgaben (EUR)]),2)</f>
      </c>
      <c r="W27" s="149" t="s">
        <v>285</v>
      </c>
      <c r="X27" s="123" t="str">
        <f>=ROUND(SUBTOTAL(109,Ausgaben_4[Ausgaben (LC)]),2)</f>
      </c>
      <c r="Y27" s="124" t="str">
        <f>=ROUND(SUBTOTAL(109,Ausgaben_4[Ausgaben (EUR)]),2)</f>
      </c>
      <c r="Z27" s="123" t="str">
        <f>=ROUND(SUBTOTAL(109,Ausgaben_4[Kum. Ausgaben (LC)]),2)</f>
      </c>
      <c r="AA27" s="150" t="str">
        <f>=ROUND(SUBTOTAL(109,Ausgaben_4[Kum. Ausgaben (EUR)]),2)</f>
      </c>
      <c r="AD27" s="149" t="s">
        <v>285</v>
      </c>
      <c r="AE27" s="123" t="str">
        <f>=ROUND(SUBTOTAL(109,Ausgaben_5[Ausgaben (LC)]),2)</f>
      </c>
      <c r="AF27" s="124" t="str">
        <f>=ROUND(SUBTOTAL(109,Ausgaben_5[Ausgaben (EUR)]),2)</f>
      </c>
      <c r="AG27" s="123" t="str">
        <f>=ROUND(SUBTOTAL(109,Ausgaben_5[Kum. Ausgaben (LC)]),2)</f>
      </c>
      <c r="AH27" s="150" t="str">
        <f>=ROUND(SUBTOTAL(109,Ausgaben_5[Kum. Ausgaben (EUR)]),2)</f>
      </c>
      <c r="AK27" s="149" t="s">
        <v>285</v>
      </c>
      <c r="AL27" s="123" t="str">
        <f>=ROUND(SUBTOTAL(109,Ausgaben_6[Ausgaben (LC)]),2)</f>
      </c>
      <c r="AM27" s="124" t="str">
        <f>=ROUND(SUBTOTAL(109,Ausgaben_6[Ausgaben (EUR)]),2)</f>
      </c>
      <c r="AN27" s="123" t="str">
        <f>=ROUND(SUBTOTAL(109,Ausgaben_6[Kum. Ausgaben (LC)]),2)</f>
      </c>
      <c r="AO27" s="150" t="str">
        <f>=ROUND(SUBTOTAL(109,Ausgaben_6[Kum. Ausgaben (EUR)]),2)</f>
      </c>
      <c r="AR27" s="149" t="s">
        <v>285</v>
      </c>
      <c r="AS27" s="123" t="str">
        <f>=ROUND(SUBTOTAL(109,Ausgaben_7[Ausgaben (LC)]),2)</f>
      </c>
      <c r="AT27" s="124" t="str">
        <f>=ROUND(SUBTOTAL(109,Ausgaben_7[Ausgaben (EUR)]),2)</f>
      </c>
      <c r="AU27" s="123" t="str">
        <f>=ROUND(SUBTOTAL(109,Ausgaben_7[Kum. Ausgaben (LC)]),2)</f>
      </c>
      <c r="AV27" s="150" t="str">
        <f>=ROUND(SUBTOTAL(109,Ausgaben_7[Kum. Ausgaben (EUR)]),2)</f>
      </c>
      <c r="AY27" s="149" t="s">
        <v>285</v>
      </c>
      <c r="AZ27" s="123" t="str">
        <f>=ROUND(SUBTOTAL(109,Ausgaben_8[Ausgaben (LC)]),2)</f>
      </c>
      <c r="BA27" s="124" t="str">
        <f>=ROUND(SUBTOTAL(109,Ausgaben_8[Ausgaben (EUR)]),2)</f>
      </c>
      <c r="BB27" s="123" t="str">
        <f>=ROUND(SUBTOTAL(109,Ausgaben_8[Kum. Ausgaben (LC)]),2)</f>
      </c>
      <c r="BC27" s="150" t="str">
        <f>=ROUND(SUBTOTAL(109,Ausgaben_8[Kum. Ausgaben (EUR)]),2)</f>
      </c>
      <c r="BF27" s="149" t="s">
        <v>285</v>
      </c>
      <c r="BG27" s="123" t="str">
        <f>=ROUND(SUBTOTAL(109,Ausgaben_9[Ausgaben (LC)]),2)</f>
      </c>
      <c r="BH27" s="124" t="str">
        <f>=ROUND(SUBTOTAL(109,Ausgaben_9[Ausgaben (EUR)]),2)</f>
      </c>
      <c r="BI27" s="123" t="str">
        <f>=ROUND(SUBTOTAL(109,Ausgaben_9[Kum. Ausgaben (LC)]),2)</f>
      </c>
      <c r="BJ27" s="150" t="str">
        <f>=ROUND(SUBTOTAL(109,Ausgaben_9[Kum. Ausgaben (EUR)]),2)</f>
      </c>
      <c r="BM27" s="149" t="s">
        <v>285</v>
      </c>
      <c r="BN27" s="123" t="str">
        <f>=ROUND(SUBTOTAL(109,Ausgaben_10[Ausgaben (LC)]),2)</f>
      </c>
      <c r="BO27" s="124" t="str">
        <f>=ROUND(SUBTOTAL(109,Ausgaben_10[Ausgaben (EUR)]),2)</f>
      </c>
      <c r="BP27" s="123" t="str">
        <f>=ROUND(SUBTOTAL(109,Ausgaben_10[Kum. Ausgaben (LC)]),2)</f>
      </c>
      <c r="BQ27" s="150" t="str">
        <f>=ROUND(SUBTOTAL(109,Ausgaben_10[Kum. Ausgaben (EUR)]),2)</f>
      </c>
      <c r="BT27" s="149" t="s">
        <v>285</v>
      </c>
      <c r="BU27" s="123" t="str">
        <f>=ROUND(SUBTOTAL(109,Ausgaben_11[Ausgaben (LC)]),2)</f>
      </c>
      <c r="BV27" s="124" t="str">
        <f>=ROUND(SUBTOTAL(109,Ausgaben_11[Ausgaben (EUR)]),2)</f>
      </c>
      <c r="BW27" s="123" t="str">
        <f>=ROUND(SUBTOTAL(109,Ausgaben_11[Kum. Ausgaben (LC)]),2)</f>
      </c>
      <c r="BX27" s="150" t="str">
        <f>=ROUND(SUBTOTAL(109,Ausgaben_11[Kum. Ausgaben (EUR)]),2)</f>
      </c>
      <c r="CA27" s="149" t="s">
        <v>285</v>
      </c>
      <c r="CB27" s="123" t="str">
        <f>=ROUND(SUBTOTAL(109,Ausgaben_12[Ausgaben (LC)]),2)</f>
      </c>
      <c r="CC27" s="124" t="str">
        <f>=ROUND(SUBTOTAL(109,Ausgaben_12[Ausgaben (EUR)]),2)</f>
      </c>
      <c r="CD27" s="123" t="str">
        <f>=ROUND(SUBTOTAL(109,Ausgaben_12[Kum. Ausgaben (LC)]),2)</f>
      </c>
      <c r="CE27" s="150" t="str">
        <f>=ROUND(SUBTOTAL(109,Ausgaben_12[Kum. Ausgaben (EUR)]),2)</f>
      </c>
      <c r="CH27" s="149" t="s">
        <v>285</v>
      </c>
      <c r="CI27" s="123" t="str">
        <f>=ROUND(SUBTOTAL(109,Ausgaben_13[Ausgaben (LC)]),2)</f>
      </c>
      <c r="CJ27" s="124" t="str">
        <f>=ROUND(SUBTOTAL(109,Ausgaben_13[Ausgaben (EUR)]),2)</f>
      </c>
      <c r="CK27" s="123" t="str">
        <f>=ROUND(SUBTOTAL(109,Ausgaben_13[Kum. Ausgaben (LC)]),2)</f>
      </c>
      <c r="CL27" s="150" t="str">
        <f>=ROUND(SUBTOTAL(109,Ausgaben_13[Kum. Ausgaben (EUR)]),2)</f>
      </c>
      <c r="CO27" s="149" t="s">
        <v>285</v>
      </c>
      <c r="CP27" s="123" t="str">
        <f>=ROUND(SUBTOTAL(109,Ausgaben_14[Ausgaben (LC)]),2)</f>
      </c>
      <c r="CQ27" s="124" t="str">
        <f>=ROUND(SUBTOTAL(109,Ausgaben_14[Ausgaben (EUR)]),2)</f>
      </c>
      <c r="CR27" s="123" t="str">
        <f>=ROUND(SUBTOTAL(109,Ausgaben_14[Kum. Ausgaben (LC)]),2)</f>
      </c>
      <c r="CS27" s="150" t="str">
        <f>=ROUND(SUBTOTAL(109,Ausgaben_14[Kum. Ausgaben (EUR)]),2)</f>
      </c>
      <c r="CV27" s="149" t="s">
        <v>285</v>
      </c>
      <c r="CW27" s="123" t="str">
        <f>=ROUND(SUBTOTAL(109,Ausgaben_15[Ausgaben (LC)]),2)</f>
      </c>
      <c r="CX27" s="124" t="str">
        <f>=ROUND(SUBTOTAL(109,Ausgaben_15[Ausgaben (EUR)]),2)</f>
      </c>
      <c r="CY27" s="123" t="str">
        <f>=ROUND(SUBTOTAL(109,Ausgaben_15[Kum. Ausgaben (LC)]),2)</f>
      </c>
      <c r="CZ27" s="150" t="str">
        <f>=ROUND(SUBTOTAL(109,Ausgaben_15[Kum. Ausgaben (EUR)]),2)</f>
      </c>
      <c r="DC27" s="149" t="s">
        <v>285</v>
      </c>
      <c r="DD27" s="123" t="str">
        <f>=ROUND(SUBTOTAL(109,Ausgaben_16[Ausgaben (LC)]),2)</f>
      </c>
      <c r="DE27" s="124" t="str">
        <f>=ROUND(SUBTOTAL(109,Ausgaben_16[Ausgaben (EUR)]),2)</f>
      </c>
      <c r="DF27" s="123" t="str">
        <f>=ROUND(SUBTOTAL(109,Ausgaben_16[Kum. Ausgaben (LC)]),2)</f>
      </c>
      <c r="DG27" s="150" t="str">
        <f>=ROUND(SUBTOTAL(109,Ausgaben_16[Kum. Ausgaben (EUR)]),2)</f>
      </c>
      <c r="DJ27" s="149" t="s">
        <v>285</v>
      </c>
      <c r="DK27" s="123" t="str">
        <f>=ROUND(SUBTOTAL(109,Ausgaben_17[Ausgaben (LC)]),2)</f>
      </c>
      <c r="DL27" s="124" t="str">
        <f>=ROUND(SUBTOTAL(109,Ausgaben_17[Ausgaben (EUR)]),2)</f>
      </c>
      <c r="DM27" s="123" t="str">
        <f>=ROUND(SUBTOTAL(109,Ausgaben_17[Kum. Ausgaben (LC)]),2)</f>
      </c>
      <c r="DN27" s="150" t="str">
        <f>=ROUND(SUBTOTAL(109,Ausgaben_17[Kum. Ausgaben (EUR)]),2)</f>
      </c>
      <c r="DQ27" s="149" t="s">
        <v>285</v>
      </c>
      <c r="DR27" s="123" t="str">
        <f>=ROUND(SUBTOTAL(109,Ausgaben_18[Ausgaben (LC)]),2)</f>
      </c>
      <c r="DS27" s="124" t="str">
        <f>=ROUND(SUBTOTAL(109,Ausgaben_18[Ausgaben (EUR)]),2)</f>
      </c>
      <c r="DT27" s="123" t="str">
        <f>=ROUND(SUBTOTAL(109,Ausgaben_18[Kum. Ausgaben (LC)]),2)</f>
      </c>
      <c r="DU27" s="150" t="str">
        <f>=ROUND(SUBTOTAL(109,Ausgaben_18[Kum. Ausgaben (EUR)]),2)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=ROUND(SUBTOTAL(109,Einnahmen_1[Einnahmen (LC)]),2)</f>
      </c>
      <c r="E46" s="172" t="str">
        <f>=ROUND(SUBTOTAL(109,Einnahmen_1[Einnahmen (EUR)]),2)</f>
      </c>
      <c r="F46" s="173" t="str">
        <f>=ROUND(IFERROR(D46/E46,0),6)</f>
      </c>
      <c r="I46" s="169" t="s">
        <v>298</v>
      </c>
      <c r="J46" s="170" t="s">
        <v>269</v>
      </c>
      <c r="K46" s="171" t="str">
        <f>=ROUND(SUBTOTAL(109,Einnahmen_2[Einnahmen (LC)]),2)</f>
      </c>
      <c r="L46" s="172" t="str">
        <f>=ROUND(SUBTOTAL(109,Einnahmen_2[Einnahmen (EUR)]),2)</f>
      </c>
      <c r="M46" s="173" t="str">
        <f>=ROUND(IFERROR(K46/L46,0),6)</f>
      </c>
      <c r="P46" s="169" t="s">
        <v>298</v>
      </c>
      <c r="Q46" s="170" t="s">
        <v>269</v>
      </c>
      <c r="R46" s="171" t="str">
        <f>=ROUND(SUBTOTAL(109,Einnahmen_3[Einnahmen (LC)]),2)</f>
      </c>
      <c r="S46" s="172" t="str">
        <f>=ROUND(SUBTOTAL(109,Einnahmen_3[Einnahmen (EUR)]),2)</f>
      </c>
      <c r="T46" s="173" t="str">
        <f>=ROUND(IFERROR(R46/S46,0),6)</f>
      </c>
      <c r="W46" s="169" t="s">
        <v>298</v>
      </c>
      <c r="X46" s="170" t="s">
        <v>269</v>
      </c>
      <c r="Y46" s="171" t="str">
        <f>=ROUND(SUBTOTAL(109,Einnahmen_4[Einnahmen (LC)]),2)</f>
      </c>
      <c r="Z46" s="172" t="str">
        <f>=ROUND(SUBTOTAL(109,Einnahmen_4[Einnahmen (EUR)]),2)</f>
      </c>
      <c r="AA46" s="173" t="str">
        <f>=ROUND(IFERROR(Y46/Z46,0),6)</f>
      </c>
      <c r="AD46" s="169" t="s">
        <v>298</v>
      </c>
      <c r="AE46" s="170" t="s">
        <v>269</v>
      </c>
      <c r="AF46" s="171" t="str">
        <f>=ROUND(SUBTOTAL(109,Einnahmen_5[Einnahmen (LC)]),2)</f>
      </c>
      <c r="AG46" s="172" t="str">
        <f>=ROUND(SUBTOTAL(109,Einnahmen_5[Einnahmen (EUR)]),2)</f>
      </c>
      <c r="AH46" s="173" t="str">
        <f>=ROUND(IFERROR(AF46/AG46,0),6)</f>
      </c>
      <c r="AK46" s="169" t="s">
        <v>298</v>
      </c>
      <c r="AL46" s="170" t="s">
        <v>269</v>
      </c>
      <c r="AM46" s="171" t="str">
        <f>=ROUND(SUBTOTAL(109,Einnahmen_6[Einnahmen (LC)]),2)</f>
      </c>
      <c r="AN46" s="172" t="str">
        <f>=ROUND(SUBTOTAL(109,Einnahmen_6[Einnahmen (EUR)]),2)</f>
      </c>
      <c r="AO46" s="173" t="str">
        <f>=ROUND(IFERROR(AM46/AN46,0),6)</f>
      </c>
      <c r="AR46" s="169" t="s">
        <v>298</v>
      </c>
      <c r="AS46" s="170" t="s">
        <v>269</v>
      </c>
      <c r="AT46" s="171" t="str">
        <f>=ROUND(SUBTOTAL(109,Einnahmen_7[Einnahmen (LC)]),2)</f>
      </c>
      <c r="AU46" s="172" t="str">
        <f>=ROUND(SUBTOTAL(109,Einnahmen_7[Einnahmen (EUR)]),2)</f>
      </c>
      <c r="AV46" s="173" t="str">
        <f>=ROUND(IFERROR(AT46/AU46,0),6)</f>
      </c>
      <c r="AY46" s="169" t="s">
        <v>298</v>
      </c>
      <c r="AZ46" s="170" t="s">
        <v>269</v>
      </c>
      <c r="BA46" s="171" t="str">
        <f>=ROUND(SUBTOTAL(109,Einnahmen_8[Einnahmen (LC)]),2)</f>
      </c>
      <c r="BB46" s="172" t="str">
        <f>=ROUND(SUBTOTAL(109,Einnahmen_8[Einnahmen (EUR)]),2)</f>
      </c>
      <c r="BC46" s="173" t="str">
        <f>=ROUND(IFERROR(BA46/BB46,0),6)</f>
      </c>
      <c r="BF46" s="169" t="s">
        <v>298</v>
      </c>
      <c r="BG46" s="170" t="s">
        <v>269</v>
      </c>
      <c r="BH46" s="171" t="str">
        <f>=ROUND(SUBTOTAL(109,Einnahmen_9[Einnahmen (LC)]),2)</f>
      </c>
      <c r="BI46" s="172" t="str">
        <f>=ROUND(SUBTOTAL(109,Einnahmen_9[Einnahmen (EUR)]),2)</f>
      </c>
      <c r="BJ46" s="173" t="str">
        <f>=ROUND(IFERROR(BH46/BI46,0),6)</f>
      </c>
      <c r="BM46" s="169" t="s">
        <v>298</v>
      </c>
      <c r="BN46" s="170" t="s">
        <v>269</v>
      </c>
      <c r="BO46" s="171" t="str">
        <f>=ROUND(SUBTOTAL(109,Einnahmen_10[Einnahmen (LC)]),2)</f>
      </c>
      <c r="BP46" s="172" t="str">
        <f>=ROUND(SUBTOTAL(109,Einnahmen_10[Einnahmen (EUR)]),2)</f>
      </c>
      <c r="BQ46" s="173" t="str">
        <f>=ROUND(IFERROR(BO46/BP46,0),6)</f>
      </c>
      <c r="BT46" s="169" t="s">
        <v>298</v>
      </c>
      <c r="BU46" s="170" t="s">
        <v>269</v>
      </c>
      <c r="BV46" s="171" t="str">
        <f>=ROUND(SUBTOTAL(109,Einnahmen_11[Einnahmen (LC)]),2)</f>
      </c>
      <c r="BW46" s="172" t="str">
        <f>=ROUND(SUBTOTAL(109,Einnahmen_11[Einnahmen (EUR)]),2)</f>
      </c>
      <c r="BX46" s="173" t="str">
        <f>=ROUND(IFERROR(BV46/BW46,0),6)</f>
      </c>
      <c r="CA46" s="169" t="s">
        <v>298</v>
      </c>
      <c r="CB46" s="170" t="s">
        <v>269</v>
      </c>
      <c r="CC46" s="171" t="str">
        <f>=ROUND(SUBTOTAL(109,Einnahmen_12[Einnahmen (LC)]),2)</f>
      </c>
      <c r="CD46" s="172" t="str">
        <f>=ROUND(SUBTOTAL(109,Einnahmen_12[Einnahmen (EUR)]),2)</f>
      </c>
      <c r="CE46" s="173" t="str">
        <f>=ROUND(IFERROR(CC46/CD46,0),6)</f>
      </c>
      <c r="CH46" s="169" t="s">
        <v>298</v>
      </c>
      <c r="CI46" s="170" t="s">
        <v>269</v>
      </c>
      <c r="CJ46" s="171" t="str">
        <f>=ROUND(SUBTOTAL(109,Einnahmen_13[Einnahmen (LC)]),2)</f>
      </c>
      <c r="CK46" s="172" t="str">
        <f>=ROUND(SUBTOTAL(109,Einnahmen_13[Einnahmen (EUR)]),2)</f>
      </c>
      <c r="CL46" s="173" t="str">
        <f>=ROUND(IFERROR(CJ46/CK46,0),6)</f>
      </c>
      <c r="CO46" s="169" t="s">
        <v>298</v>
      </c>
      <c r="CP46" s="170" t="s">
        <v>269</v>
      </c>
      <c r="CQ46" s="171" t="str">
        <f>=ROUND(SUBTOTAL(109,Einnahmen_14[Einnahmen (LC)]),2)</f>
      </c>
      <c r="CR46" s="172" t="str">
        <f>=ROUND(SUBTOTAL(109,Einnahmen_14[Einnahmen (EUR)]),2)</f>
      </c>
      <c r="CS46" s="173" t="str">
        <f>=ROUND(IFERROR(CQ46/CR46,0),6)</f>
      </c>
      <c r="CV46" s="169" t="s">
        <v>298</v>
      </c>
      <c r="CW46" s="170" t="s">
        <v>269</v>
      </c>
      <c r="CX46" s="171" t="str">
        <f>=ROUND(SUBTOTAL(109,Einnahmen_15[Einnahmen (LC)]),2)</f>
      </c>
      <c r="CY46" s="172" t="str">
        <f>=ROUND(SUBTOTAL(109,Einnahmen_15[Einnahmen (EUR)]),2)</f>
      </c>
      <c r="CZ46" s="173" t="str">
        <f>=ROUND(IFERROR(CX46/CY46,0),6)</f>
      </c>
      <c r="DC46" s="169" t="s">
        <v>298</v>
      </c>
      <c r="DD46" s="170" t="s">
        <v>269</v>
      </c>
      <c r="DE46" s="171" t="str">
        <f>=ROUND(SUBTOTAL(109,Einnahmen_16[Einnahmen (LC)]),2)</f>
      </c>
      <c r="DF46" s="172" t="str">
        <f>=ROUND(SUBTOTAL(109,Einnahmen_16[Einnahmen (EUR)]),2)</f>
      </c>
      <c r="DG46" s="173" t="str">
        <f>=ROUND(IFERROR(DE46/DF46,0),6)</f>
      </c>
      <c r="DJ46" s="169" t="s">
        <v>298</v>
      </c>
      <c r="DK46" s="170" t="s">
        <v>269</v>
      </c>
      <c r="DL46" s="171" t="str">
        <f>=ROUND(SUBTOTAL(109,Einnahmen_17[Einnahmen (LC)]),2)</f>
      </c>
      <c r="DM46" s="172" t="str">
        <f>=ROUND(SUBTOTAL(109,Einnahmen_17[Einnahmen (EUR)]),2)</f>
      </c>
      <c r="DN46" s="173" t="str">
        <f>=ROUND(IFERROR(DL46/DM46,0),6)</f>
      </c>
      <c r="DQ46" s="169" t="s">
        <v>298</v>
      </c>
      <c r="DR46" s="170" t="s">
        <v>269</v>
      </c>
      <c r="DS46" s="171" t="str">
        <f>=ROUND(SUBTOTAL(109,Einnahmen_18[Einnahmen (LC)]),2)</f>
      </c>
      <c r="DT46" s="172" t="str">
        <f>=ROUND(SUBTOTAL(109,Einnahmen_18[Einnahmen (EUR)]),2)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=ROUND(SUBTOTAL(109,Einnahmen_WK_1[Einnahmen (LC)]),2)</f>
      </c>
      <c r="E56" s="172" t="str">
        <f>=ROUND(SUBTOTAL(109,Einnahmen_WK_1[Einnahmen (EUR)]),2)</f>
      </c>
      <c r="F56" s="173" t="str">
        <f>=ROUND(IFERROR(D56/E56,0),6)</f>
      </c>
      <c r="I56" s="169" t="s">
        <v>301</v>
      </c>
      <c r="J56" s="170" t="s">
        <v>269</v>
      </c>
      <c r="K56" s="171" t="str">
        <f>=ROUND(SUBTOTAL(109,Einnahmen_WK_2[Einnahmen (LC)]),2)</f>
      </c>
      <c r="L56" s="172" t="str">
        <f>=ROUND(SUBTOTAL(109,Einnahmen_WK_2[Einnahmen (EUR)]),2)</f>
      </c>
      <c r="M56" s="173" t="str">
        <f>=ROUND(IFERROR(K56/L56,0),6)</f>
      </c>
      <c r="P56" s="169" t="s">
        <v>301</v>
      </c>
      <c r="Q56" s="170" t="s">
        <v>269</v>
      </c>
      <c r="R56" s="171" t="str">
        <f>=ROUND(SUBTOTAL(109,Einnahmen_WK_3[Einnahmen (LC)]),2)</f>
      </c>
      <c r="S56" s="172" t="str">
        <f>=ROUND(SUBTOTAL(109,Einnahmen_WK_3[Einnahmen (EUR)]),2)</f>
      </c>
      <c r="T56" s="173" t="str">
        <f>=ROUND(IFERROR(R56/S56,0),6)</f>
      </c>
      <c r="W56" s="169" t="s">
        <v>301</v>
      </c>
      <c r="X56" s="170" t="s">
        <v>269</v>
      </c>
      <c r="Y56" s="171" t="str">
        <f>=ROUND(SUBTOTAL(109,Einnahmen_WK_4[Einnahmen (LC)]),2)</f>
      </c>
      <c r="Z56" s="172" t="str">
        <f>=ROUND(SUBTOTAL(109,Einnahmen_WK_4[Einnahmen (EUR)]),2)</f>
      </c>
      <c r="AA56" s="173" t="str">
        <f>=ROUND(IFERROR(Y56/Z56,0),6)</f>
      </c>
      <c r="AD56" s="169" t="s">
        <v>301</v>
      </c>
      <c r="AE56" s="170" t="s">
        <v>269</v>
      </c>
      <c r="AF56" s="171" t="str">
        <f>=ROUND(SUBTOTAL(109,Einnahmen_WK_5[Einnahmen (LC)]),2)</f>
      </c>
      <c r="AG56" s="172" t="str">
        <f>=ROUND(SUBTOTAL(109,Einnahmen_WK_5[Einnahmen (EUR)]),2)</f>
      </c>
      <c r="AH56" s="173" t="str">
        <f>=ROUND(IFERROR(AF56/AG56,0),6)</f>
      </c>
      <c r="AK56" s="169" t="s">
        <v>301</v>
      </c>
      <c r="AL56" s="170" t="s">
        <v>269</v>
      </c>
      <c r="AM56" s="171" t="str">
        <f>=ROUND(SUBTOTAL(109,Einnahmen_WK_6[Einnahmen (LC)]),2)</f>
      </c>
      <c r="AN56" s="172" t="str">
        <f>=ROUND(SUBTOTAL(109,Einnahmen_WK_6[Einnahmen (EUR)]),2)</f>
      </c>
      <c r="AO56" s="173" t="str">
        <f>=ROUND(IFERROR(AM56/AN56,0),6)</f>
      </c>
      <c r="AR56" s="169" t="s">
        <v>301</v>
      </c>
      <c r="AS56" s="170" t="s">
        <v>269</v>
      </c>
      <c r="AT56" s="171" t="str">
        <f>=ROUND(SUBTOTAL(109,Einnahmen_WK_7[Einnahmen (LC)]),2)</f>
      </c>
      <c r="AU56" s="172" t="str">
        <f>=ROUND(SUBTOTAL(109,Einnahmen_WK_7[Einnahmen (EUR)]),2)</f>
      </c>
      <c r="AV56" s="173" t="str">
        <f>=ROUND(IFERROR(AT56/AU56,0),6)</f>
      </c>
      <c r="AY56" s="169" t="s">
        <v>301</v>
      </c>
      <c r="AZ56" s="170" t="s">
        <v>269</v>
      </c>
      <c r="BA56" s="171" t="str">
        <f>=ROUND(SUBTOTAL(109,Einnahmen_WK_8[Einnahmen (LC)]),2)</f>
      </c>
      <c r="BB56" s="172" t="str">
        <f>=ROUND(SUBTOTAL(109,Einnahmen_WK_8[Einnahmen (EUR)]),2)</f>
      </c>
      <c r="BC56" s="173" t="str">
        <f>=ROUND(IFERROR(BA56/BB56,0),6)</f>
      </c>
      <c r="BF56" s="169" t="s">
        <v>301</v>
      </c>
      <c r="BG56" s="170" t="s">
        <v>269</v>
      </c>
      <c r="BH56" s="171" t="str">
        <f>=ROUND(SUBTOTAL(109,Einnahmen_WK_9[Einnahmen (LC)]),2)</f>
      </c>
      <c r="BI56" s="172" t="str">
        <f>=ROUND(SUBTOTAL(109,Einnahmen_WK_9[Einnahmen (EUR)]),2)</f>
      </c>
      <c r="BJ56" s="173" t="str">
        <f>=ROUND(IFERROR(BH56/BI56,0),6)</f>
      </c>
      <c r="BM56" s="169" t="s">
        <v>301</v>
      </c>
      <c r="BN56" s="170" t="s">
        <v>269</v>
      </c>
      <c r="BO56" s="171" t="str">
        <f>=ROUND(SUBTOTAL(109,Einnahmen_WK_10[Einnahmen (LC)]),2)</f>
      </c>
      <c r="BP56" s="172" t="str">
        <f>=ROUND(SUBTOTAL(109,Einnahmen_WK_10[Einnahmen (EUR)]),2)</f>
      </c>
      <c r="BQ56" s="173" t="str">
        <f>=ROUND(IFERROR(BO56/BP56,0),6)</f>
      </c>
      <c r="BT56" s="169" t="s">
        <v>301</v>
      </c>
      <c r="BU56" s="170" t="s">
        <v>269</v>
      </c>
      <c r="BV56" s="171" t="str">
        <f>=ROUND(SUBTOTAL(109,Einnahmen_WK_11[Einnahmen (LC)]),2)</f>
      </c>
      <c r="BW56" s="172" t="str">
        <f>=ROUND(SUBTOTAL(109,Einnahmen_WK_11[Einnahmen (EUR)]),2)</f>
      </c>
      <c r="BX56" s="173" t="str">
        <f>=ROUND(IFERROR(BV56/BW56,0),6)</f>
      </c>
      <c r="CA56" s="169" t="s">
        <v>301</v>
      </c>
      <c r="CB56" s="170" t="s">
        <v>269</v>
      </c>
      <c r="CC56" s="171" t="str">
        <f>=ROUND(SUBTOTAL(109,Einnahmen_WK_12[Einnahmen (LC)]),2)</f>
      </c>
      <c r="CD56" s="172" t="str">
        <f>=ROUND(SUBTOTAL(109,Einnahmen_WK_12[Einnahmen (EUR)]),2)</f>
      </c>
      <c r="CE56" s="173" t="str">
        <f>=ROUND(IFERROR(CC56/CD56,0),6)</f>
      </c>
      <c r="CH56" s="169" t="s">
        <v>301</v>
      </c>
      <c r="CI56" s="170" t="s">
        <v>269</v>
      </c>
      <c r="CJ56" s="171" t="str">
        <f>=ROUND(SUBTOTAL(109,Einnahmen_WK_13[Einnahmen (LC)]),2)</f>
      </c>
      <c r="CK56" s="172" t="str">
        <f>=ROUND(SUBTOTAL(109,Einnahmen_WK_13[Einnahmen (EUR)]),2)</f>
      </c>
      <c r="CL56" s="173" t="str">
        <f>=ROUND(IFERROR(CJ56/CK56,0),6)</f>
      </c>
      <c r="CO56" s="169" t="s">
        <v>301</v>
      </c>
      <c r="CP56" s="170" t="s">
        <v>269</v>
      </c>
      <c r="CQ56" s="171" t="str">
        <f>=ROUND(SUBTOTAL(109,Einnahmen_WK_14[Einnahmen (LC)]),2)</f>
      </c>
      <c r="CR56" s="172" t="str">
        <f>=ROUND(SUBTOTAL(109,Einnahmen_WK_14[Einnahmen (EUR)]),2)</f>
      </c>
      <c r="CS56" s="173" t="str">
        <f>=ROUND(IFERROR(CQ56/CR56,0),6)</f>
      </c>
      <c r="CV56" s="169" t="s">
        <v>301</v>
      </c>
      <c r="CW56" s="170" t="s">
        <v>269</v>
      </c>
      <c r="CX56" s="171" t="str">
        <f>=ROUND(SUBTOTAL(109,Einnahmen_WK_15[Einnahmen (LC)]),2)</f>
      </c>
      <c r="CY56" s="172" t="str">
        <f>=ROUND(SUBTOTAL(109,Einnahmen_WK_15[Einnahmen (EUR)]),2)</f>
      </c>
      <c r="CZ56" s="173" t="str">
        <f>=ROUND(IFERROR(CX56/CY56,0),6)</f>
      </c>
      <c r="DC56" s="169" t="s">
        <v>301</v>
      </c>
      <c r="DD56" s="170" t="s">
        <v>269</v>
      </c>
      <c r="DE56" s="171" t="str">
        <f>=ROUND(SUBTOTAL(109,Einnahmen_WK_16[Einnahmen (LC)]),2)</f>
      </c>
      <c r="DF56" s="172" t="str">
        <f>=ROUND(SUBTOTAL(109,Einnahmen_WK_16[Einnahmen (EUR)]),2)</f>
      </c>
      <c r="DG56" s="173" t="str">
        <f>=ROUND(IFERROR(DE56/DF56,0),6)</f>
      </c>
      <c r="DJ56" s="169" t="s">
        <v>301</v>
      </c>
      <c r="DK56" s="170" t="s">
        <v>269</v>
      </c>
      <c r="DL56" s="171" t="str">
        <f>=ROUND(SUBTOTAL(109,Einnahmen_WK_17[Einnahmen (LC)]),2)</f>
      </c>
      <c r="DM56" s="172" t="str">
        <f>=ROUND(SUBTOTAL(109,Einnahmen_WK_17[Einnahmen (EUR)]),2)</f>
      </c>
      <c r="DN56" s="173" t="str">
        <f>=ROUND(IFERROR(DL56/DM56,0),6)</f>
      </c>
      <c r="DQ56" s="169" t="s">
        <v>301</v>
      </c>
      <c r="DR56" s="170" t="s">
        <v>269</v>
      </c>
      <c r="DS56" s="171" t="str">
        <f>=ROUND(SUBTOTAL(109,Einnahmen_WK_18[Einnahmen (LC)]),2)</f>
      </c>
      <c r="DT56" s="172" t="str">
        <f>=ROUND(SUBTOTAL(109,Einnahmen_WK_18[Einnahmen (EUR)]),2)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hidden="true" max="1" min="1" width="9.140625"/>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1">
      <c r="A1" t="s">
        <v>226</v>
      </c>
    </row>
    <row r="2">
      <c r="A2" t="s">
        <v>227</v>
      </c>
    </row>
    <row r="3">
      <c r="A3" t="s">
        <v>228</v>
      </c>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4">
      <c r="A4" t="s">
        <v>229</v>
      </c>
    </row>
    <row r="5">
      <c r="A5" t="s">
        <v>230</v>
      </c>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A6" t="s">
        <v>231</v>
      </c>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A7" t="s">
        <v>232</v>
      </c>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8">
      <c r="A8" t="s">
        <v>233</v>
      </c>
    </row>
    <row r="9">
      <c r="A9" t="s">
        <v>234</v>
      </c>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A10" t="s">
        <v>235</v>
      </c>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A11" t="s">
        <v>236</v>
      </c>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A12" t="s">
        <v>237</v>
      </c>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A13" t="s">
        <v>238</v>
      </c>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A14" t="s">
        <v>239</v>
      </c>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A15" t="s">
        <v>240</v>
      </c>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A16" t="s">
        <v>241</v>
      </c>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A17" t="s">
        <v>242</v>
      </c>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A18" t="s">
        <v>243</v>
      </c>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
        <v>312</v>
      </c>
      <c r="C23" s="187" t="str">
        <f>=ROUND(IF(Saldovortrag_LW="",0,Saldovortrag_LW),2)</f>
      </c>
      <c r="D23" s="181" t="str">
        <f>=IFERROR(ROUND($C$23/$C$7,2),0)</f>
      </c>
      <c r="F23" t="s">
        <v>314</v>
      </c>
      <c r="G23" s="187" t="str">
        <f>=ROUND(IFERROR(FB_SaldoLC_1,0),2)</f>
      </c>
      <c r="H23" s="181" t="str">
        <f>=IFERROR(ROUND($G$23/$G$7,2),0)</f>
      </c>
      <c r="J23" t="s">
        <v>314</v>
      </c>
      <c r="K23" s="187" t="str">
        <f>=ROUND(IFERROR(FB_SaldoLC_2,0),2)</f>
      </c>
      <c r="L23" s="181" t="str">
        <f>=IFERROR(ROUND($K$23/$K$7,2),0)</f>
      </c>
      <c r="N23" t="s">
        <v>314</v>
      </c>
      <c r="O23" s="187" t="str">
        <f>=ROUND(IFERROR(FB_SaldoLC_3,0),2)</f>
      </c>
      <c r="P23" s="181" t="str">
        <f>=IFERROR(ROUND($O$23/$O$7,2),0)</f>
      </c>
      <c r="R23" t="s">
        <v>314</v>
      </c>
      <c r="S23" s="187" t="str">
        <f>=ROUND(IFERROR(FB_SaldoLC_4,0),2)</f>
      </c>
      <c r="T23" s="181" t="str">
        <f>=IFERROR(ROUND($S$23/$S$7,2),0)</f>
      </c>
      <c r="V23" t="s">
        <v>314</v>
      </c>
      <c r="W23" s="187" t="str">
        <f>=ROUND(IFERROR(FB_SaldoLC_5,0),2)</f>
      </c>
      <c r="X23" s="181" t="str">
        <f>=IFERROR(ROUND($W$23/$W$7,2),0)</f>
      </c>
      <c r="Z23" t="s">
        <v>314</v>
      </c>
      <c r="AA23" s="187" t="str">
        <f>=ROUND(IFERROR(FB_SaldoLC_6,0),2)</f>
      </c>
      <c r="AB23" s="181" t="str">
        <f>=IFERROR(ROUND($AA$23/$AA$7,2),0)</f>
      </c>
      <c r="AD23" t="s">
        <v>314</v>
      </c>
      <c r="AE23" s="187" t="str">
        <f>=ROUND(IFERROR(FB_SaldoLC_7,0),2)</f>
      </c>
      <c r="AF23" s="181" t="str">
        <f>=IFERROR(ROUND($AE$23/$AE$7,2),0)</f>
      </c>
      <c r="AH23" t="s">
        <v>314</v>
      </c>
      <c r="AI23" s="187" t="str">
        <f>=ROUND(IFERROR(FB_SaldoLC_8,0),2)</f>
      </c>
      <c r="AJ23" s="181" t="str">
        <f>=IFERROR(ROUND($AI$23/$AI$7,2),0)</f>
      </c>
      <c r="AL23" t="s">
        <v>314</v>
      </c>
      <c r="AM23" s="187" t="str">
        <f>=ROUND(IFERROR(FB_SaldoLC_9,0),2)</f>
      </c>
      <c r="AN23" s="181" t="str">
        <f>=IFERROR(ROUND($AM$23/$AM$7,2),0)</f>
      </c>
      <c r="AP23" t="s">
        <v>314</v>
      </c>
      <c r="AQ23" s="187" t="str">
        <f>=ROUND(IFERROR(FB_SaldoLC_10,0),2)</f>
      </c>
      <c r="AR23" s="181" t="str">
        <f>=IFERROR(ROUND($AQ$23/$AQ$7,2),0)</f>
      </c>
      <c r="AT23" t="s">
        <v>314</v>
      </c>
      <c r="AU23" s="187" t="str">
        <f>=ROUND(IFERROR(FB_SaldoLC_11,0),2)</f>
      </c>
      <c r="AV23" s="181" t="str">
        <f>=IFERROR(ROUND($AU$23/$AU$7,2),0)</f>
      </c>
      <c r="AX23" t="s">
        <v>314</v>
      </c>
      <c r="AY23" s="187" t="str">
        <f>=ROUND(IFERROR(FB_SaldoLC_12,0),2)</f>
      </c>
      <c r="AZ23" s="181" t="str">
        <f>=IFERROR(ROUND($AY$23/$AY$7,2),0)</f>
      </c>
      <c r="BB23" t="s">
        <v>314</v>
      </c>
      <c r="BC23" s="187" t="str">
        <f>=ROUND(IFERROR(FB_SaldoLC_13,0),2)</f>
      </c>
      <c r="BD23" s="181" t="str">
        <f>=IFERROR(ROUND($BC$23/$BC$7,2),0)</f>
      </c>
      <c r="BF23" t="s">
        <v>314</v>
      </c>
      <c r="BG23" s="187" t="str">
        <f>=ROUND(IFERROR(FB_SaldoLC_14,0),2)</f>
      </c>
      <c r="BH23" s="181" t="str">
        <f>=IFERROR(ROUND($BG$23/$BG$7,2),0)</f>
      </c>
      <c r="BJ23" t="s">
        <v>314</v>
      </c>
      <c r="BK23" s="187" t="str">
        <f>=ROUND(IFERROR(FB_SaldoLC_15,0),2)</f>
      </c>
      <c r="BL23" s="181" t="str">
        <f>=IFERROR(ROUND($BK$23/$BK$7,2),0)</f>
      </c>
      <c r="BN23" t="s">
        <v>314</v>
      </c>
      <c r="BO23" s="187" t="str">
        <f>=ROUND(IFERROR(FB_SaldoLC_16,0),2)</f>
      </c>
      <c r="BP23" s="181" t="str">
        <f>=IFERROR(ROUND($BO$23/$BO$7,2),0)</f>
      </c>
      <c r="BR23" t="s">
        <v>314</v>
      </c>
      <c r="BS23" s="187" t="str">
        <f>=ROUND(IFERROR(FB_SaldoLC_17,0),2)</f>
      </c>
      <c r="BT23" s="181" t="str">
        <f>=IFERROR(ROUND($BS$23/$BS$7,2),0)</f>
      </c>
    </row>
    <row r="25">
      <c r="B25" s="188" t="s">
        <v>313</v>
      </c>
      <c r="C25" s="189" t="str">
        <f>=IFERROR(ROUND($C$18-$C$21-$C$22-$C$23,2),0)</f>
      </c>
      <c r="D25" s="190" t="str">
        <f>=IFERROR(ROUND($D$18-$D$21-$D$22-$D$23,2),0)</f>
      </c>
      <c r="F25" s="188" t="s">
        <v>313</v>
      </c>
      <c r="G25" s="189" t="str">
        <f>=IFERROR(ROUND($G$18-$G$21-$G$22-$G$23,2),0)</f>
      </c>
      <c r="H25" s="190" t="str">
        <f>=IFERROR(ROUND($H$18-$H$21-$H$22-$H$23,2),0)</f>
      </c>
      <c r="J25" s="188" t="s">
        <v>313</v>
      </c>
      <c r="K25" s="189" t="str">
        <f>=IFERROR(ROUND($K$18-$K$21-$K$22-$K$23,2),0)</f>
      </c>
      <c r="L25" s="190" t="str">
        <f>=IFERROR(ROUND($L$18-$L$21-$L$22-$L$23,2),0)</f>
      </c>
      <c r="N25" s="188" t="s">
        <v>313</v>
      </c>
      <c r="O25" s="189" t="str">
        <f>=IFERROR(ROUND($O$18-$O$21-$O$22-$O$23,2),0)</f>
      </c>
      <c r="P25" s="190" t="str">
        <f>=IFERROR(ROUND($P$18-$P$21-$P$22-$P$23,2),0)</f>
      </c>
      <c r="R25" s="188" t="s">
        <v>313</v>
      </c>
      <c r="S25" s="189" t="str">
        <f>=IFERROR(ROUND($S$18-$S$21-$S$22-$S$23,2),0)</f>
      </c>
      <c r="T25" s="190" t="str">
        <f>=IFERROR(ROUND($T$18-$T$21-$T$22-$T$23,2),0)</f>
      </c>
      <c r="V25" s="188" t="s">
        <v>313</v>
      </c>
      <c r="W25" s="189" t="str">
        <f>=IFERROR(ROUND($W$18-$W$21-$W$22-$W$23,2),0)</f>
      </c>
      <c r="X25" s="190" t="str">
        <f>=IFERROR(ROUND($X$18-$X$21-$X$22-$X$23,2),0)</f>
      </c>
      <c r="Z25" s="188" t="s">
        <v>313</v>
      </c>
      <c r="AA25" s="189" t="str">
        <f>=IFERROR(ROUND($AA$18-$AA$21-$AA$22-$AA$23,2),0)</f>
      </c>
      <c r="AB25" s="190" t="str">
        <f>=IFERROR(ROUND($AB$18-$AB$21-$AB$22-$AB$23,2),0)</f>
      </c>
      <c r="AD25" s="188" t="s">
        <v>313</v>
      </c>
      <c r="AE25" s="189" t="str">
        <f>=IFERROR(ROUND($AE$18-$AE$21-$AE$22-$AE$23,2),0)</f>
      </c>
      <c r="AF25" s="190" t="str">
        <f>=IFERROR(ROUND($AF$18-$AF$21-$AF$22-$AF$23,2),0)</f>
      </c>
      <c r="AH25" s="188" t="s">
        <v>313</v>
      </c>
      <c r="AI25" s="189" t="str">
        <f>=IFERROR(ROUND($AI$18-$AI$21-$AI$22-$AI$23,2),0)</f>
      </c>
      <c r="AJ25" s="190" t="str">
        <f>=IFERROR(ROUND($AJ$18-$AJ$21-$AJ$22-$AJ$23,2),0)</f>
      </c>
      <c r="AL25" s="188" t="s">
        <v>313</v>
      </c>
      <c r="AM25" s="189" t="str">
        <f>=IFERROR(ROUND($AM$18-$AM$21-$AM$22-$AM$23,2),0)</f>
      </c>
      <c r="AN25" s="190" t="str">
        <f>=IFERROR(ROUND($AN$18-$AN$21-$AN$22-$AN$23,2),0)</f>
      </c>
      <c r="AP25" s="188" t="s">
        <v>313</v>
      </c>
      <c r="AQ25" s="189" t="str">
        <f>=IFERROR(ROUND($AQ$18-$AQ$21-$AQ$22-$AQ$23,2),0)</f>
      </c>
      <c r="AR25" s="190" t="str">
        <f>=IFERROR(ROUND($AR$18-$AR$21-$AR$22-$AR$23,2),0)</f>
      </c>
      <c r="AT25" s="188" t="s">
        <v>313</v>
      </c>
      <c r="AU25" s="189" t="str">
        <f>=IFERROR(ROUND($AU$18-$AU$21-$AU$22-$AU$23,2),0)</f>
      </c>
      <c r="AV25" s="190" t="str">
        <f>=IFERROR(ROUND($AV$18-$AV$21-$AV$22-$AV$23,2),0)</f>
      </c>
      <c r="AX25" s="188" t="s">
        <v>313</v>
      </c>
      <c r="AY25" s="189" t="str">
        <f>=IFERROR(ROUND($AY$18-$AY$21-$AY$22-$AY$23,2),0)</f>
      </c>
      <c r="AZ25" s="190" t="str">
        <f>=IFERROR(ROUND($AZ$18-$AZ$21-$AZ$22-$AZ$23,2),0)</f>
      </c>
      <c r="BB25" s="188" t="s">
        <v>313</v>
      </c>
      <c r="BC25" s="189" t="str">
        <f>=IFERROR(ROUND($BC$18-$BC$21-$BC$22-$BC$23,2),0)</f>
      </c>
      <c r="BD25" s="190" t="str">
        <f>=IFERROR(ROUND($BD$18-$BD$21-$BD$22-$BD$23,2),0)</f>
      </c>
      <c r="BF25" s="188" t="s">
        <v>313</v>
      </c>
      <c r="BG25" s="189" t="str">
        <f>=IFERROR(ROUND($BG$18-$BG$21-$BG$22-$BG$23,2),0)</f>
      </c>
      <c r="BH25" s="190" t="str">
        <f>=IFERROR(ROUND($BH$18-$BH$21-$BH$22-$BH$23,2),0)</f>
      </c>
      <c r="BJ25" s="188" t="s">
        <v>313</v>
      </c>
      <c r="BK25" s="189" t="str">
        <f>=IFERROR(ROUND($BK$18-$BK$21-$BK$22-$BK$23,2),0)</f>
      </c>
      <c r="BL25" s="190" t="str">
        <f>=IFERROR(ROUND($BL$18-$BL$21-$BL$22-$BL$23,2),0)</f>
      </c>
      <c r="BN25" s="188" t="s">
        <v>313</v>
      </c>
      <c r="BO25" s="189" t="str">
        <f>=IFERROR(ROUND($BO$18-$BO$21-$BO$22-$BO$23,2),0)</f>
      </c>
      <c r="BP25" s="190" t="str">
        <f>=IFERROR(ROUND($BP$18-$BP$21-$BP$22-$BP$23,2),0)</f>
      </c>
      <c r="BR25" s="188" t="s">
        <v>313</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'IV. MA'!$A$1:$A$18</formula1>
    </dataValidation>
    <dataValidation allowBlank="true" sqref="G5" type="list">
      <formula1>'IV. MA'!$A$1:$A$18</formula1>
    </dataValidation>
    <dataValidation allowBlank="true" sqref="K5" type="list">
      <formula1>'IV. MA'!$A$1:$A$18</formula1>
    </dataValidation>
    <dataValidation allowBlank="true" sqref="O5" type="list">
      <formula1>'IV. MA'!$A$1:$A$18</formula1>
    </dataValidation>
    <dataValidation allowBlank="true" sqref="S5" type="list">
      <formula1>'IV. MA'!$A$1:$A$18</formula1>
    </dataValidation>
    <dataValidation allowBlank="true" sqref="W5" type="list">
      <formula1>'IV. MA'!$A$1:$A$18</formula1>
    </dataValidation>
    <dataValidation allowBlank="true" sqref="AA5" type="list">
      <formula1>'IV. MA'!$A$1:$A$18</formula1>
    </dataValidation>
    <dataValidation allowBlank="true" sqref="AE5" type="list">
      <formula1>'IV. MA'!$A$1:$A$18</formula1>
    </dataValidation>
    <dataValidation allowBlank="true" sqref="AI5" type="list">
      <formula1>'IV. MA'!$A$1:$A$18</formula1>
    </dataValidation>
    <dataValidation allowBlank="true" sqref="AM5" type="list">
      <formula1>'IV. MA'!$A$1:$A$18</formula1>
    </dataValidation>
    <dataValidation allowBlank="true" sqref="AQ5" type="list">
      <formula1>'IV. MA'!$A$1:$A$18</formula1>
    </dataValidation>
    <dataValidation allowBlank="true" sqref="AU5" type="list">
      <formula1>'IV. MA'!$A$1:$A$18</formula1>
    </dataValidation>
    <dataValidation allowBlank="true" sqref="AY5" type="list">
      <formula1>'IV. MA'!$A$1:$A$18</formula1>
    </dataValidation>
    <dataValidation allowBlank="true" sqref="BC5" type="list">
      <formula1>'IV. MA'!$A$1:$A$18</formula1>
    </dataValidation>
    <dataValidation allowBlank="true" sqref="BG5" type="list">
      <formula1>'IV. MA'!$A$1:$A$18</formula1>
    </dataValidation>
    <dataValidation allowBlank="true" sqref="BK5" type="list">
      <formula1>'IV. MA'!$A$1:$A$18</formula1>
    </dataValidation>
    <dataValidation allowBlank="true" sqref="BO5" type="list">
      <formula1>'IV. MA'!$A$1:$A$18</formula1>
    </dataValidation>
    <dataValidation allowBlank="true" sqref="BS5" type="list">
      <formula1>'IV. MA'!$A$1:$A$18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