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<sst xmlns="http://schemas.openxmlformats.org/spreadsheetml/2006/main" count="378" uniqueCount="378">
  <si>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</si>
  <si>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</si>
  <si>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</si>
  <si>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</si>
  <si>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</si>
  <si>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</si>
  <si>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</si>
  <si>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</si>
  <si>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</si>
  <si>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</si>
  <si>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</si>
  <si>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</si>
  <si>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</si>
  <si>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</si>
  <si>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</si>
  <si>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</si>
  <si>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</si>
  <si>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</si>
  <si>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</si>
  <si>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</si>
  <si>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</si>
  <si>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</si>
  <si>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</si>
  <si>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</si>
  <si>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</si>
  <si>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</si>
  <si>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</si>
  <si>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</si>
  <si>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</si>
  <si>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</si>
  <si>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</si>
  <si>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</si>
  <si>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</si>
  <si>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</si>
  <si>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</si>
  <si>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</si>
  <si>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</si>
  <si>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</si>
  <si>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</si>
  <si>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</si>
  <si>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</si>
  <si>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</si>
  <si>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</si>
  <si>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</si>
  <si>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</si>
  <si>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</si>
  <si>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</si>
  <si>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</si>
  <si>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</si>
  <si>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</si>
  <si>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</si>
  <si>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</si>
  <si>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</si>
  <si>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</si>
  <si>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</si>
  <si>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</si>
  <si>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</si>
  <si>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</si>
  <si>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</si>
  <si>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</si>
  <si>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</si>
  <si>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</si>
  <si>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</si>
  <si>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</si>
  <si>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</si>
  <si>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</si>
  <si>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</si>
  <si>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</si>
  <si>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</si>
  <si>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</si>
  <si>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</si>
  <si>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</si>
  <si>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</si>
  <si>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</si>
  <si>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</si>
  <si>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</si>
  <si>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</si>
  <si>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</si>
  <si>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</si>
  <si>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</si>
  <si>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</si>
  <si>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</si>
  <si>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</si>
  <si>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</si>
  <si>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</si>
  <si>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</si>
  <si>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</si>
  <si>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</si>
  <si>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</si>
  <si>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</si>
  <si>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</si>
  <si>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</si>
  <si>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</si>
  <si>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</si>
  <si>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</si>
  <si>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</si>
  <si>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</si>
  <si>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</si>
  <si>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</si>
  <si>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</si>
  <si>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</si>
  <si>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</si>
  <si>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</si>
  <si>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</si>
  <si>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</si>
  <si>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</si>
  <si>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</si>
  <si>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</si>
  <si>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</si>
  <si>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</si>
  <si>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</si>
  <si>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</si>
  <si>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</si>
  <si>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</si>
  <si>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</si>
  <si>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</si>
  <si>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</si>
  <si>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</si>
  <si>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</si>
  <si>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</si>
  <si>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</si>
  <si>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</si>
  <si>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</si>
  <si>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</si>
  <si>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</si>
  <si>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</si>
  <si>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</si>
  <si>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</si>
  <si>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</si>
  <si>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</si>
  <si>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</si>
  <si>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</si>
  <si>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</si>
  <si>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</si>
  <si>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</si>
  <si>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</si>
  <si>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</si>
  <si>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</si>
  <si>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</si>
  <si>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</si>
  <si>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</si>
  <si>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</si>
  <si>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</si>
  <si>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</si>
  <si>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</si>
  <si>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</si>
  <si>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</si>
  <si>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</si>
  <si>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</si>
  <si>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</si>
  <si>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</si>
  <si>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</si>
  <si>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</si>
  <si>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</si>
  <si>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</si>
  <si>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</si>
  <si>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</si>
  <si>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</si>
  <si>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</si>
  <si>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</si>
  <si>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</si>
  <si>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</si>
  <si>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</si>
  <si>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</si>
  <si>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</si>
  <si>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</si>
  <si>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</si>
  <si>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</si>
  <si>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</si>
  <si>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</si>
  <si>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</si>
  <si>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</si>
  <si>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</si>
  <si>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</si>
  <si>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</si>
  <si>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</si>
  <si>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</si>
  <si>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</si>
  <si>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</si>
  <si>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</si>
  <si>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</si>
  <si>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</si>
  <si>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</si>
  <si>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</si>
  <si>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</si>
  <si>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</si>
  <si>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</si>
  <si>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</si>
  <si>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</si>
  <si>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</si>
  <si>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</si>
  <si>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</si>
  <si>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</si>
  <si>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</si>
  <si>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</si>
  <si>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</si>
  <si>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</si>
  <si>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</si>
  <si>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</si>
  <si>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</si>
  <si>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</si>
  <si>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</si>
  <si>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</si>
  <si>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</si>
  <si>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</si>
  <si>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</si>
  <si>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</si>
  <si>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</si>
  <si>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</si>
  <si>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</si>
  <si>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</si>
  <si>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</si>
  <si>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</si>
  <si>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</si>
  <si>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</si>
  <si>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</si>
  <si>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</si>
  <si>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</si>
  <si>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</si>
  <si>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</si>
  <si>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</si>
  <si>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</si>
  <si>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</si>
  <si>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</si>
  <si>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</si>
  <si>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</si>
  <si>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</si>
  <si>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</si>
  <si>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</si>
  <si>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</si>
  <si>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</si>
  <si>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</si>
  <si>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</si>
  <si>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</si>
  <si>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</si>
  <si>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</si>
  <si>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</si>
  <si>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</si>
  <si>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</si>
  <si>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</si>
  <si>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</si>
  <si>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</si>
  <si>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</si>
  <si>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</si>
  <si>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</si>
  <si>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</si>
  <si>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</si>
  <si>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</si>
  <si>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</si>
  <si>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</si>
  <si>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</si>
  <si>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</si>
  <si>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</si>
  <si>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</si>
  <si>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</si>
  <si>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</si>
  <si>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</si>
  <si>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</si>
  <si>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</si>
  <si>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</si>
  <si>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</si>
  <si>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</si>
  <si>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</si>
  <si>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</si>
  <si>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</si>
  <si>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</si>
  <si>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</si>
  <si>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</si>
  <si>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</si>
  <si>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</si>
  <si>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</si>
  <si>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</si>
  <si>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</si>
  <si>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</si>
  <si>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</si>
  <si>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</si>
  <si>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</si>
  <si>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</si>
  <si>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</si>
  <si>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</si>
  <si>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</si>
  <si>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</si>
  <si>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</si>
  <si>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</si>
  <si>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</si>
  <si>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</si>
  <si>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</si>
  <si>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</si>
  <si>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</si>
  <si>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</si>
  <si>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</si>
  <si>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</si>
  <si>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</si>
  <si>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</si>
  <si>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</si>
  <si>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</si>
  <si>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</si>
  <si>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</si>
  <si>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</si>
  <si>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</si>
  <si>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</si>
  <si>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</si>
  <si>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</si>
  <si>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</si>
  <si>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</si>
  <si>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</si>
  <si>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</si>
  <si>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</si>
  <si>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</si>
  <si>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</si>
  <si>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</si>
  <si>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</si>
  <si>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</si>
  <si>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</si>
  <si>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</si>
  <si>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</si>
  <si>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</si>
  <si>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</si>
  <si>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</si>
  <si>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</si>
  <si>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</si>
  <si>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</si>
  <si>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</si>
  <si>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</si>
  <si>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</si>
  <si>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</si>
  <si>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</si>
  <si>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</si>
  <si>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</si>
  <si>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</si>
  <si>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</si>
  <si>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</si>
  <si>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</si>
  <si>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</si>
  <si>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</si>
  <si>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</si>
  <si>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</si>
  <si>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</si>
  <si>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</si>
  <si>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</si>
  <si>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</si>
  <si>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 (Lokalwährung)</t>
  </si>
  <si>
    <t>Geprüfte Periode (aus MA-Auswahl)</t>
  </si>
  <si>
    <t>Anforderungshöhe (LC)</t>
  </si>
  <si>
    <t>Jahr</t>
  </si>
  <si>
    <t>Jahresbudget (LC)</t>
  </si>
  <si>
    <t>Limit-Monate</t>
  </si>
  <si>
    <t>Bezugszeitraum (Monate)</t>
  </si>
  <si>
    <t>Anforderung deckt (Monate)</t>
  </si>
  <si>
    <t>8-Monats-Limit (LC)</t>
  </si>
  <si>
    <t>Status</t>
  </si>
  <si>
    <t>Überschreitung (LC)</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</si>
  <si>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</si>
  <si>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</si>
  <si>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</si>
  <si>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</si>
  <si>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</si>
  <si>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</si>
  <si>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</si>
  <si>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</si>
  <si>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</si>
  <si>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</si>
  <si>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</si>
  <si>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</si>
  <si>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</si>
  <si>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</si>
  <si>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</si>
  <si>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Geprüfte Periode (N)</t>
  </si>
  <si>
    <t>Saldo (LC)</t>
  </si>
  <si>
    <t>KMW-Mittelprüfung</t>
  </si>
  <si>
    <t>Finanzierungsanteile</t>
  </si>
  <si>
    <t>Kumulativ (LC)</t>
  </si>
  <si>
    <t>Kumulativ (EUR)</t>
  </si>
  <si>
    <t>Soll-Ist Abweichungsprüfung</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</si>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</sst>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dd.mm.yyyy"/>
    <numFmt numFmtId="165" formatCode="0.0000"/>
    <numFmt numFmtId="166" formatCode="#,##0.00"/>
    <numFmt numFmtId="167" formatCode="#,##0.00&quot; €&quot;"/>
    <numFmt numFmtId="168" formatCode="0.000000"/>
    <numFmt numFmtId="169" formatCode="@"/>
    <numFmt numFmtId="170" formatCode="DD.MM.YYYY"/>
    <numFmt numFmtId="171" formatCode="0"/>
    <numFmt numFmtId="172"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3">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s>
  <cellStyleXfs count="1">
    <xf numFmtId="0" fontId="0" fillId="0" borderId="0"/>
  </cellStyleXfs>
  <cellXfs count="304">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1"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171" fontId="3" fillId="8" borderId="10" xfId="0" applyNumberFormat="true" applyFont="true" applyFill="true" applyBorder="true" applyAlignment="true">
      <alignment horizontal="right" vertical="center"/>
    </xf>
    <xf numFmtId="166" fontId="3" fillId="8" borderId="10" xfId="0" applyNumberFormat="true" applyFont="true" applyFill="true" applyBorder="true" applyAlignment="true">
      <alignment horizontal="right" vertical="center"/>
    </xf>
    <xf numFmtId="171" fontId="3" fillId="5" borderId="10" xfId="0" applyNumberFormat="true" applyFont="true" applyFill="true" applyBorder="true" applyAlignment="true">
      <alignment horizontal="right"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171"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0" fontId="4" fillId="0" borderId="17" xfId="0" applyFont="true" applyBorder="true" applyAlignment="true">
      <alignment horizontal="left" vertical="center"/>
    </xf>
    <xf numFmtId="166" fontId="12" fillId="8" borderId="18" xfId="0" applyNumberFormat="true" applyFont="true" applyFill="true" applyBorder="true" applyAlignment="true">
      <alignment horizontal="righ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2"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2"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2"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2"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1" fontId="12" fillId="8" borderId="18" xfId="0" applyNumberFormat="true" applyFont="true" applyFill="true" applyBorder="true" applyAlignment="true">
      <alignment horizontal="center"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15">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fill>
        <patternFill patternType="solid">
          <bgColor rgb="FFFFC7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numFmt numFmtId="165" formatCode="#,##0.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0006"/>
      </font>
      <numFmt numFmtId="166"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7"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34"/>
    <col customWidth="true" max="10" min="3" width="16"/>
  </cols>
  <sheetData>
    <row r="2" ht="30" customHeight="true">
      <c r="B2" s="191" t="s">
        <v>315</v>
      </c>
      <c r="C2" s="191"/>
      <c r="D2" s="191"/>
      <c r="E2" s="191"/>
      <c r="F2" s="191"/>
      <c r="G2" s="191"/>
      <c r="H2" s="191"/>
      <c r="I2" s="191"/>
      <c r="J2" s="191"/>
    </row>
    <row r="3" ht="18" customHeight="true">
      <c r="B3" s="192" t="s">
        <v>316</v>
      </c>
      <c r="C3" s="192"/>
      <c r="D3" s="192"/>
      <c r="E3" s="192"/>
      <c r="F3" s="192"/>
      <c r="G3" s="192"/>
      <c r="H3" s="192"/>
      <c r="I3" s="192"/>
      <c r="J3" s="192"/>
    </row>
    <row r="5" ht="26" customHeight="true">
      <c r="B5" s="193" t="s">
        <v>317</v>
      </c>
      <c r="C5" s="193"/>
      <c r="D5" s="193"/>
      <c r="E5" s="193"/>
      <c r="F5" s="193"/>
      <c r="G5" s="193"/>
      <c r="H5" s="193"/>
      <c r="I5" s="193"/>
      <c r="J5" s="193"/>
    </row>
    <row r="6">
      <c r="B6" s="194" t="s">
        <v>318</v>
      </c>
      <c r="C6" s="194"/>
      <c r="D6" s="194"/>
      <c r="E6" s="194"/>
      <c r="F6" s="194"/>
      <c r="G6" s="194"/>
      <c r="H6" s="194"/>
      <c r="I6" s="194"/>
      <c r="J6" s="194"/>
    </row>
    <row r="8" ht="22" customHeight="true">
      <c r="C8" s="201" t="s">
        <v>319</v>
      </c>
      <c r="D8" s="202"/>
      <c r="E8" s="202"/>
      <c r="F8" s="202"/>
      <c r="G8" s="202"/>
      <c r="H8" s="202"/>
      <c r="I8" s="203"/>
    </row>
    <row r="9">
      <c r="C9" s="204" t="s">
        <v>320</v>
      </c>
      <c r="D9" s="196"/>
      <c r="E9" s="196"/>
      <c r="F9" s="33" t="s">
        <v>158</v>
      </c>
      <c r="G9" s="33"/>
      <c r="H9" s="33"/>
      <c r="I9" s="205"/>
    </row>
    <row r="10">
      <c r="C10" s="204" t="s">
        <v>321</v>
      </c>
      <c r="D10" s="196"/>
      <c r="E10" s="196"/>
      <c r="F10" s="197" t="str">
        <f>=F77+1</f>
        <v>0</v>
      </c>
      <c r="G10" s="197"/>
      <c r="H10" s="197"/>
      <c r="I10" s="206"/>
    </row>
    <row r="11">
      <c r="C11" s="204" t="s">
        <v>322</v>
      </c>
      <c r="D11" s="196"/>
      <c r="E11" s="196"/>
      <c r="F11" s="197" t="str">
        <f>=IFERROR(VALUE(MID(F9,FIND("(#",F9)+2,FIND(")",F9)-FIND("(#",F9)-2)),0)</f>
      </c>
      <c r="G11" s="197"/>
      <c r="H11" s="197"/>
      <c r="I11" s="207"/>
    </row>
    <row r="12">
      <c r="C12" s="208" t="s">
        <v>323</v>
      </c>
      <c r="D12" s="198"/>
      <c r="E12" s="198"/>
      <c r="F12" s="198"/>
      <c r="G12" s="198"/>
      <c r="H12" s="198"/>
      <c r="I12" s="209"/>
    </row>
    <row r="13">
      <c r="C13" s="210" t="str">
        <f>=IF(1&lt;=F11,"Periode "&amp;F10&amp;" (#1)","")</f>
      </c>
      <c r="D13" s="199"/>
      <c r="E13" s="199"/>
      <c r="F13" s="200" t="str">
        <f>=IF(1&lt;=F11,IFERROR(SUMIFS('Daten'!$BF$1:$BF$18,'Daten'!$BB$1:$BB$18,F10,'Daten'!$BD$1:$BD$18,1),0),"")</f>
      </c>
      <c r="G13" s="200"/>
      <c r="H13" s="181" t="str">
        <f>=IF(1&lt;=F11,IFERROR(SUMIFS('Daten'!$BG$1:$BG$18,'Daten'!$BB$1:$BB$18,F10,'Daten'!$BD$1:$BD$18,1),0),"")</f>
      </c>
      <c r="I13" s="211"/>
    </row>
    <row r="14">
      <c r="C14" s="210" t="str">
        <f>=IF(2&lt;=F11,"Periode "&amp;F10&amp;" (#2)","")</f>
      </c>
      <c r="D14" s="199"/>
      <c r="E14" s="199"/>
      <c r="F14" s="200" t="str">
        <f>=IF(2&lt;=F11,IFERROR(SUMIFS('Daten'!$BF$1:$BF$18,'Daten'!$BB$1:$BB$18,F10,'Daten'!$BD$1:$BD$18,2),0),"")</f>
      </c>
      <c r="G14" s="200"/>
      <c r="H14" s="181" t="str">
        <f>=IF(2&lt;=F11,IFERROR(SUMIFS('Daten'!$BG$1:$BG$18,'Daten'!$BB$1:$BB$18,F10,'Daten'!$BD$1:$BD$18,2),0),"")</f>
      </c>
      <c r="I14" s="211"/>
    </row>
    <row r="15">
      <c r="C15" s="210" t="str">
        <f>=IF(3&lt;=F11,"Periode "&amp;F10&amp;" (#3)","")</f>
      </c>
      <c r="D15" s="199"/>
      <c r="E15" s="199"/>
      <c r="F15" s="200" t="str">
        <f>=IF(3&lt;=F11,IFERROR(SUMIFS('Daten'!$BF$1:$BF$18,'Daten'!$BB$1:$BB$18,F10,'Daten'!$BD$1:$BD$18,3),0),"")</f>
      </c>
      <c r="G15" s="200"/>
      <c r="H15" s="181" t="str">
        <f>=IF(3&lt;=F11,IFERROR(SUMIFS('Daten'!$BG$1:$BG$18,'Daten'!$BB$1:$BB$18,F10,'Daten'!$BD$1:$BD$18,3),0),"")</f>
      </c>
      <c r="I15" s="211"/>
    </row>
    <row r="16">
      <c r="C16" s="210" t="str">
        <f>=IF(4&lt;=F11,"Periode "&amp;F10&amp;" (#4)","")</f>
      </c>
      <c r="D16" s="199"/>
      <c r="E16" s="199"/>
      <c r="F16" s="200" t="str">
        <f>=IF(4&lt;=F11,IFERROR(SUMIFS('Daten'!$BF$1:$BF$18,'Daten'!$BB$1:$BB$18,F10,'Daten'!$BD$1:$BD$18,4),0),"")</f>
      </c>
      <c r="G16" s="200"/>
      <c r="H16" s="181" t="str">
        <f>=IF(4&lt;=F11,IFERROR(SUMIFS('Daten'!$BG$1:$BG$18,'Daten'!$BB$1:$BB$18,F10,'Daten'!$BD$1:$BD$18,4),0),"")</f>
      </c>
      <c r="I16" s="211"/>
    </row>
    <row r="17">
      <c r="C17" s="210" t="str">
        <f>=IF(5&lt;=F11,"Periode "&amp;F10&amp;" (#5)","")</f>
      </c>
      <c r="D17" s="199"/>
      <c r="E17" s="199"/>
      <c r="F17" s="200" t="str">
        <f>=IF(5&lt;=F11,IFERROR(SUMIFS('Daten'!$BF$1:$BF$18,'Daten'!$BB$1:$BB$18,F10,'Daten'!$BD$1:$BD$18,5),0),"")</f>
      </c>
      <c r="G17" s="200"/>
      <c r="H17" s="181" t="str">
        <f>=IF(5&lt;=F11,IFERROR(SUMIFS('Daten'!$BG$1:$BG$18,'Daten'!$BB$1:$BB$18,F10,'Daten'!$BD$1:$BD$18,5),0),"")</f>
      </c>
      <c r="I17" s="211"/>
    </row>
    <row r="18">
      <c r="C18" s="212" t="str">
        <f>=IF(6&lt;=F11,"Periode "&amp;F10&amp;" (#6)","")</f>
      </c>
      <c r="D18" s="213"/>
      <c r="E18" s="213"/>
      <c r="F18" s="214" t="str">
        <f>=IF(6&lt;=F11,IFERROR(SUMIFS('Daten'!$BF$1:$BF$18,'Daten'!$BB$1:$BB$18,F10,'Daten'!$BD$1:$BD$18,6),0),"")</f>
      </c>
      <c r="G18" s="214"/>
      <c r="H18" s="215" t="str">
        <f>=IF(6&lt;=F11,IFERROR(SUMIFS('Daten'!$BG$1:$BG$18,'Daten'!$BB$1:$BB$18,F10,'Daten'!$BD$1:$BD$18,6),0),"")</f>
      </c>
      <c r="I18" s="216"/>
    </row>
    <row r="20" ht="22" customHeight="true">
      <c r="B20" s="18" t="s">
        <v>324</v>
      </c>
      <c r="C20" s="18"/>
      <c r="D20" s="18"/>
      <c r="E20" s="18"/>
      <c r="F20" s="18"/>
      <c r="G20" s="18"/>
      <c r="H20" s="18"/>
      <c r="I20" s="18"/>
      <c r="J20" s="18"/>
    </row>
    <row r="22">
      <c r="B22" s="223" t="s">
        <v>325</v>
      </c>
      <c r="C22" s="224"/>
      <c r="D22" s="225" t="str">
        <f>=IFERROR(ROUND(KMW_Mittel_EUR,2),0)</f>
      </c>
      <c r="F22" s="230" t="s">
        <v>330</v>
      </c>
      <c r="G22" s="231"/>
      <c r="H22" s="231"/>
      <c r="I22" s="232"/>
    </row>
    <row r="23">
      <c r="B23" s="204" t="s">
        <v>326</v>
      </c>
      <c r="C23" s="196"/>
      <c r="D23" s="226" t="str">
        <f>=IFERROR(ROUND(Kosten_Reserve_EUR,2),0)</f>
      </c>
      <c r="F23" s="233" t="s">
        <v>331</v>
      </c>
      <c r="G23" s="196" t="s">
        <v>332</v>
      </c>
      <c r="H23" s="196"/>
      <c r="I23" s="234" t="str">
        <f>=IFERROR(ROUND(Saldovortrag_EUR,2),0)</f>
      </c>
    </row>
    <row r="24">
      <c r="B24" s="204" t="s">
        <v>327</v>
      </c>
      <c r="C24" s="196"/>
      <c r="D24" s="226" t="str">
        <f>=ROUND($D$22-$D$23,2)</f>
      </c>
      <c r="F24" s="233" t="s">
        <v>331</v>
      </c>
      <c r="G24" s="196" t="s">
        <v>333</v>
      </c>
      <c r="H24" s="196"/>
      <c r="I24" s="222" t="str">
        <f>=I85</f>
        <v>0</v>
      </c>
    </row>
    <row r="25">
      <c r="B25" s="204" t="s">
        <v>328</v>
      </c>
      <c r="C25" s="196"/>
      <c r="D25" s="226" t="str">
        <f>=IFERROR(ROUND(SUBTOTAL(109,TblKMWMittel[Betrag]),2),0)</f>
      </c>
      <c r="F25" s="233" t="s">
        <v>331</v>
      </c>
      <c r="G25" s="196" t="s">
        <v>334</v>
      </c>
      <c r="H25" s="196"/>
      <c r="I25" s="222" t="str">
        <f>=ROUND(MAX(0,MAX(0,(SUM($G$94:$G$97)-$G$96)+SUMIFS('Daten'!$BH$1:$BH$18,'Daten'!$BB$1:$BB$18,F10,'Daten'!$BD$1:$BD$18,"&lt;="&amp;F11,'Daten'!$BD$1:$BD$18,"&gt;=1")-(SUM($H$94:$H$97)-$H$96))-I85),2)</f>
        <v>0</v>
      </c>
    </row>
    <row r="26">
      <c r="B26" s="227" t="s">
        <v>329</v>
      </c>
      <c r="C26" s="228"/>
      <c r="D26" s="229" t="str">
        <f>=ROUND($D$24-$D$25,2)</f>
      </c>
      <c r="F26" s="47"/>
      <c r="G26" s="218" t="s">
        <v>335</v>
      </c>
      <c r="H26" s="218"/>
      <c r="I26" s="235" t="str">
        <f>=ROUND(IF($F$23="Abzug",MAX(0,$I$23),0)+IF($F$24="Abzug",MAX(0,$I$24),0)+IF($F$25="Abzug",MAX(0,$I$25),0),2)</f>
      </c>
    </row>
    <row r="27">
      <c r="F27" s="236"/>
      <c r="G27" s="228" t="s">
        <v>336</v>
      </c>
      <c r="H27" s="228"/>
      <c r="I27" s="229" t="str">
        <f>=ROUND($D$26-$I$26,2)</f>
      </c>
    </row>
    <row r="29">
      <c r="B29" s="223" t="s">
        <v>337</v>
      </c>
      <c r="C29" s="224"/>
      <c r="D29" s="237">
        <v>0</v>
      </c>
      <c r="F29" s="223" t="s">
        <v>337</v>
      </c>
      <c r="G29" s="224"/>
      <c r="H29" s="224"/>
      <c r="I29" s="237">
        <v>0</v>
      </c>
    </row>
    <row r="30">
      <c r="B30" s="227" t="s">
        <v>338</v>
      </c>
      <c r="C30" s="228"/>
      <c r="D30" s="229" t="str">
        <f>=ROUND($D$26-MAX(0,$D$29),2)</f>
      </c>
      <c r="F30" s="227" t="s">
        <v>339</v>
      </c>
      <c r="G30" s="228"/>
      <c r="H30" s="228"/>
      <c r="I30" s="229" t="str">
        <f>=ROUND($I$27-MAX(0,$I$29),2)</f>
      </c>
    </row>
    <row r="32">
      <c r="B32" s="223" t="s">
        <v>340</v>
      </c>
      <c r="C32" s="224"/>
      <c r="D32" s="237">
        <v>0</v>
      </c>
      <c r="F32" s="223" t="s">
        <v>340</v>
      </c>
      <c r="G32" s="224"/>
      <c r="H32" s="224"/>
      <c r="I32" s="237">
        <v>0</v>
      </c>
    </row>
    <row r="33">
      <c r="B33" s="227" t="s">
        <v>338</v>
      </c>
      <c r="C33" s="228"/>
      <c r="D33" s="229" t="str">
        <f>=ROUND($D$26-MAX(0,$D$29)-MAX(0,$D$32),2)</f>
      </c>
      <c r="F33" s="227" t="s">
        <v>339</v>
      </c>
      <c r="G33" s="228"/>
      <c r="H33" s="228"/>
      <c r="I33" s="229" t="str">
        <f>=ROUND($I$27-MAX(0,$I$29)-MAX(0,$I$32),2)</f>
      </c>
    </row>
    <row r="36" ht="22" customHeight="true">
      <c r="B36" s="18" t="s">
        <v>341</v>
      </c>
      <c r="C36" s="18"/>
      <c r="D36" s="18"/>
      <c r="E36" s="18"/>
      <c r="F36" s="18"/>
      <c r="G36" s="18"/>
      <c r="H36" s="18"/>
      <c r="I36" s="18"/>
      <c r="J36" s="18"/>
    </row>
    <row r="38">
      <c r="B38" s="223" t="s">
        <v>342</v>
      </c>
      <c r="C38" s="224"/>
      <c r="D38" s="244" t="str">
        <f>=F10</f>
      </c>
    </row>
    <row r="39">
      <c r="B39" s="204" t="s">
        <v>343</v>
      </c>
      <c r="C39" s="196"/>
      <c r="D39" s="245" t="str">
        <f>=IFERROR(ROUND(SUMIFS('Daten'!$BF$1:$BF$18,'Daten'!$BB$1:$BB$18,F10,'Daten'!$BD$1:$BD$18,"&lt;="&amp;F11,'Daten'!$BD$1:$BD$18,"&gt;=1"),2),0)</f>
      </c>
    </row>
    <row r="40">
      <c r="B40" s="204" t="s">
        <v>344</v>
      </c>
      <c r="C40" s="196"/>
      <c r="D40" s="205" t="s">
        <v>189</v>
      </c>
    </row>
    <row r="41">
      <c r="B41" s="204" t="s">
        <v>345</v>
      </c>
      <c r="C41" s="196"/>
      <c r="D41" s="245" t="str">
        <f>=IFERROR(ROUND(CHOOSE(MATCH($D$40,{"Jahr 1";"Jahr 2";"Jahr 3"},0),SUBTOTAL(109,TblBudgetAusgaben[Jahr 1]),SUBTOTAL(109,TblBudgetAusgaben[Jahr 2]),SUBTOTAL(109,TblBudgetAusgaben[Jahr 3])),2),0)</f>
      </c>
    </row>
    <row r="42">
      <c r="B42" s="204" t="s">
        <v>346</v>
      </c>
      <c r="C42" s="196"/>
      <c r="D42" s="246">
        <v>8</v>
      </c>
    </row>
    <row r="43">
      <c r="B43" s="204" t="s">
        <v>347</v>
      </c>
      <c r="C43" s="196"/>
      <c r="D43" s="247">
        <v>12</v>
      </c>
    </row>
    <row r="44">
      <c r="B44" s="204" t="s">
        <v>348</v>
      </c>
      <c r="C44" s="196"/>
      <c r="D44" s="248">
        <v>6</v>
      </c>
    </row>
    <row r="45">
      <c r="B45" s="249" t="s">
        <v>349</v>
      </c>
      <c r="C45" s="218"/>
      <c r="D45" s="250" t="str">
        <f>=IFERROR(ROUND($D$41*$D$42/$D$43,2),0)</f>
      </c>
    </row>
    <row r="46">
      <c r="B46" s="249" t="s">
        <v>350</v>
      </c>
      <c r="C46" s="218"/>
      <c r="D46" s="251" t="str">
        <f>=IF($D$39&lt;=$D$45,"OK","ÜBERSCHRITTEN")</f>
      </c>
    </row>
    <row r="47">
      <c r="B47" s="204" t="s">
        <v>351</v>
      </c>
      <c r="C47" s="196"/>
      <c r="D47" s="245" t="str">
        <f>=ROUND(MAX(0,$D$39-$D$45),2)</f>
      </c>
    </row>
    <row r="48">
      <c r="B48" s="252" t="s">
        <v>352</v>
      </c>
      <c r="C48" s="253"/>
      <c r="D48" s="254" t="str">
        <f>=IFERROR($D$39/$D$45,0)</f>
      </c>
    </row>
    <row r="50" ht="22" customHeight="true">
      <c r="B50" s="18" t="s">
        <v>353</v>
      </c>
      <c r="C50" s="18"/>
      <c r="D50" s="18"/>
      <c r="E50" s="18"/>
      <c r="F50" s="18"/>
      <c r="G50" s="18"/>
      <c r="H50" s="18"/>
      <c r="I50" s="18"/>
      <c r="J50" s="18"/>
    </row>
    <row r="52" ht="28" customHeight="true">
      <c r="B52" s="261" t="s">
        <v>354</v>
      </c>
      <c r="C52" s="262" t="s">
        <v>355</v>
      </c>
      <c r="D52" s="262" t="s">
        <v>356</v>
      </c>
      <c r="E52" s="262" t="s">
        <v>357</v>
      </c>
      <c r="F52" s="262" t="s">
        <v>358</v>
      </c>
      <c r="G52" s="262" t="s">
        <v>359</v>
      </c>
      <c r="H52" s="262" t="s">
        <v>360</v>
      </c>
      <c r="I52" s="262" t="s">
        <v>361</v>
      </c>
      <c r="J52" s="263" t="s">
        <v>362</v>
      </c>
    </row>
    <row r="53">
      <c r="B53" s="264" t="s">
        <v>194</v>
      </c>
      <c r="C53" s="24">
        <v>0</v>
      </c>
      <c r="D53" s="239" t="str">
        <f>=IFERROR(ROUND(Eigenmittel_LW,2),0)</f>
      </c>
      <c r="E53" s="200" t="str">
        <f>=ROUND(IFERROR($C$53-$D$53,0),2)</f>
      </c>
      <c r="F53" s="256" t="str">
        <f>=ROUND(IFERROR(($C$53/$D$53)-1,0),4)</f>
      </c>
      <c r="G53" s="25">
        <v>0</v>
      </c>
      <c r="H53" s="217" t="str">
        <f>=IFERROR(ROUND(Eigenmittel_EUR,2),0)</f>
      </c>
      <c r="I53" s="181" t="str">
        <f>=ROUND(IFERROR($G$53-$H$53,0),2)</f>
      </c>
      <c r="J53" s="265" t="str">
        <f>=ROUND(IFERROR(($G$53/$H$53)-1,0),4)</f>
      </c>
    </row>
    <row r="54">
      <c r="B54" s="264" t="s">
        <v>277</v>
      </c>
      <c r="C54" s="24">
        <v>0</v>
      </c>
      <c r="D54" s="239" t="str">
        <f>=IFERROR(ROUND(Drittmittel_LW,2),0)</f>
      </c>
      <c r="E54" s="200" t="str">
        <f>=ROUND(IFERROR($C$54-$D$54,0),2)</f>
      </c>
      <c r="F54" s="256" t="str">
        <f>=ROUND(IFERROR(($C$54/$D$54)-1,0),4)</f>
      </c>
      <c r="G54" s="25">
        <v>0</v>
      </c>
      <c r="H54" s="217" t="str">
        <f>=IFERROR(ROUND(Drittmittel_EUR,2),0)</f>
      </c>
      <c r="I54" s="181" t="str">
        <f>=ROUND(IFERROR($G$54-$H$54,0),2)</f>
      </c>
      <c r="J54" s="266" t="str">
        <f>=ROUND(IFERROR(($G$54/$H$54)-1,0),4)</f>
      </c>
    </row>
    <row r="55">
      <c r="B55" s="264" t="s">
        <v>199</v>
      </c>
      <c r="C55" s="24">
        <v>0</v>
      </c>
      <c r="D55" s="239" t="str">
        <f>=IFERROR(ROUND(KMW_Mittel_LW,2),0)</f>
      </c>
      <c r="E55" s="200" t="str">
        <f>=ROUND(IFERROR($C$55-$D$55,0),2)</f>
      </c>
      <c r="F55" s="256" t="str">
        <f>=ROUND(IFERROR(($C$55/$D$55)-1,0),4)</f>
      </c>
      <c r="G55" s="25">
        <v>0</v>
      </c>
      <c r="H55" s="217" t="str">
        <f>=IFERROR(ROUND(KMW_Mittel_EUR,2),0)</f>
      </c>
      <c r="I55" s="181" t="str">
        <f>=ROUND(IFERROR($G$55-$H$55,0),2)</f>
      </c>
      <c r="J55" s="267" t="str">
        <f>=ROUND(IFERROR(($G$55/$H$55)-1,0),4)</f>
      </c>
    </row>
    <row r="56">
      <c r="B56" s="264" t="s">
        <v>278</v>
      </c>
      <c r="C56" s="24">
        <v>0</v>
      </c>
      <c r="D56" s="239" t="str">
        <f>=IFERROR(ROUND(0,2),0)</f>
      </c>
      <c r="E56" s="200" t="str">
        <f>=ROUND(IFERROR($C$56-$D$56,0),2)</f>
      </c>
      <c r="F56" s="256" t="str">
        <f>=ROUND(IFERROR(($C$56/$D$56)-1,0),4)</f>
      </c>
      <c r="G56" s="25">
        <v>0</v>
      </c>
      <c r="H56" s="217" t="str">
        <f>=IFERROR(ROUND(0,2),0)</f>
      </c>
      <c r="I56" s="181" t="str">
        <f>=ROUND(IFERROR($G$56-$H$56,0),2)</f>
      </c>
      <c r="J56" s="268" t="str">
        <f>=ROUND(IFERROR(($G$56/$H$56)-1,0),4)</f>
      </c>
    </row>
    <row r="57" ht="20" customHeight="true">
      <c r="B57" s="269" t="s">
        <v>266</v>
      </c>
      <c r="C57" s="270" t="str">
        <f>=ROUND(SUM($C$53:$C$56),2)</f>
      </c>
      <c r="D57" s="270" t="str">
        <f>=ROUND(SUM($D$53:$D$56),2)</f>
      </c>
      <c r="E57" s="270" t="str">
        <f>=ROUND(SUM($E$53:$E$56),2)</f>
      </c>
      <c r="F57" s="271" t="str">
        <f>=ROUND(IFERROR(($C$57/$D$57)-1,0),4)</f>
      </c>
      <c r="G57" s="272" t="str">
        <f>=ROUND(SUM($G$53:$G$56),2)</f>
      </c>
      <c r="H57" s="272" t="str">
        <f>=ROUND(SUM($H$53:$H$56),2)</f>
      </c>
      <c r="I57" s="272" t="str">
        <f>=ROUND(SUM($I$53:$I$56),2)</f>
      </c>
      <c r="J57" s="273" t="str">
        <f>=ROUND(IFERROR(($G$57/$H$57)-1,0),4)</f>
      </c>
    </row>
    <row r="59" ht="22" customHeight="true">
      <c r="B59" s="18" t="s">
        <v>363</v>
      </c>
      <c r="C59" s="18"/>
      <c r="D59" s="18"/>
      <c r="E59" s="18"/>
      <c r="F59" s="18"/>
      <c r="G59" s="18"/>
      <c r="H59" s="18"/>
      <c r="I59" s="18"/>
      <c r="J59" s="18"/>
    </row>
    <row r="61" ht="28" customHeight="true">
      <c r="B61" s="261" t="s">
        <v>354</v>
      </c>
      <c r="C61" s="262" t="s">
        <v>355</v>
      </c>
      <c r="D61" s="262" t="s">
        <v>356</v>
      </c>
      <c r="E61" s="262" t="s">
        <v>357</v>
      </c>
      <c r="F61" s="262" t="s">
        <v>358</v>
      </c>
      <c r="G61" s="262" t="s">
        <v>359</v>
      </c>
      <c r="H61" s="262" t="s">
        <v>360</v>
      </c>
      <c r="I61" s="262" t="s">
        <v>361</v>
      </c>
      <c r="J61" s="263" t="s">
        <v>362</v>
      </c>
    </row>
    <row r="62">
      <c r="B62" s="264" t="s">
        <v>205</v>
      </c>
      <c r="C62" s="239" t="str">
        <f>=IFERROR(ROUND(SUMIFS('Daten'!$BU$1:$BU$144,'Daten'!$BT$1:$BT$144,"Bauausgaben",'Daten'!$BR$1:$BR$144,F10,'Daten'!$BS$1:$BS$144,"&lt;="&amp;F11,'Daten'!$BS$1:$BS$144,"&gt;=1"),2),0)</f>
      </c>
      <c r="D62" s="239" t="str">
        <f>=IFERROR(ROUND(Kosten_Bauausgaben_LW,2),0)</f>
      </c>
      <c r="E62" s="200" t="str">
        <f>=ROUND(IFERROR($C$62-$D$62,0),2)</f>
      </c>
      <c r="F62" s="256" t="str">
        <f>=ROUND(IFERROR(($C$62/$D$62)-1,0),4)</f>
      </c>
      <c r="G62" s="217" t="str">
        <f>=IFERROR(ROUND(SUMIFS('Daten'!$BV$1:$BV$144,'Daten'!$BT$1:$BT$144,"Bauausgaben",'Daten'!$BR$1:$BR$144,F10,'Daten'!$BS$1:$BS$144,"&lt;="&amp;F11,'Daten'!$BS$1:$BS$144,"&gt;=1"),2),0)</f>
      </c>
      <c r="H62" s="217" t="str">
        <f>=IFERROR(ROUND(Kosten_Bauausgaben_EUR,2),0)</f>
      </c>
      <c r="I62" s="181" t="str">
        <f>=ROUND(IFERROR($G$62-$H$62,0),2)</f>
      </c>
      <c r="J62" s="274" t="str">
        <f>=ROUND(IFERROR(($G$62/$H$62)-1,0),4)</f>
      </c>
    </row>
    <row r="63">
      <c r="B63" s="264" t="s">
        <v>206</v>
      </c>
      <c r="C63" s="239" t="str">
        <f>=IFERROR(ROUND(SUMIFS('Daten'!$BU$1:$BU$144,'Daten'!$BT$1:$BT$144,"Investitionen",'Daten'!$BR$1:$BR$144,F10,'Daten'!$BS$1:$BS$144,"&lt;="&amp;F11,'Daten'!$BS$1:$BS$144,"&gt;=1"),2),0)</f>
      </c>
      <c r="D63" s="239" t="str">
        <f>=IFERROR(ROUND(Kosten_Investitionen_LW,2),0)</f>
      </c>
      <c r="E63" s="200" t="str">
        <f>=ROUND(IFERROR($C$63-$D$63,0),2)</f>
      </c>
      <c r="F63" s="256" t="str">
        <f>=ROUND(IFERROR(($C$63/$D$63)-1,0),4)</f>
      </c>
      <c r="G63" s="217" t="str">
        <f>=IFERROR(ROUND(SUMIFS('Daten'!$BV$1:$BV$144,'Daten'!$BT$1:$BT$144,"Investitionen",'Daten'!$BR$1:$BR$144,F10,'Daten'!$BS$1:$BS$144,"&lt;="&amp;F11,'Daten'!$BS$1:$BS$144,"&gt;=1"),2),0)</f>
      </c>
      <c r="H63" s="217" t="str">
        <f>=IFERROR(ROUND(Kosten_Investitionen_EUR,2),0)</f>
      </c>
      <c r="I63" s="181" t="str">
        <f>=ROUND(IFERROR($G$63-$H$63,0),2)</f>
      </c>
      <c r="J63" s="275" t="str">
        <f>=ROUND(IFERROR(($G$63/$H$63)-1,0),4)</f>
      </c>
    </row>
    <row r="64">
      <c r="B64" s="264" t="s">
        <v>207</v>
      </c>
      <c r="C64" s="239" t="str">
        <f>=IFERROR(ROUND(SUMIFS('Daten'!$BU$1:$BU$144,'Daten'!$BT$1:$BT$144,"Personalkosten",'Daten'!$BR$1:$BR$144,F10,'Daten'!$BS$1:$BS$144,"&lt;="&amp;F11,'Daten'!$BS$1:$BS$144,"&gt;=1"),2),0)</f>
      </c>
      <c r="D64" s="239" t="str">
        <f>=IFERROR(ROUND(Kosten_Personalkosten_LW,2),0)</f>
      </c>
      <c r="E64" s="200" t="str">
        <f>=ROUND(IFERROR($C$64-$D$64,0),2)</f>
      </c>
      <c r="F64" s="256" t="str">
        <f>=ROUND(IFERROR(($C$64/$D$64)-1,0),4)</f>
      </c>
      <c r="G64" s="217" t="str">
        <f>=IFERROR(ROUND(SUMIFS('Daten'!$BV$1:$BV$144,'Daten'!$BT$1:$BT$144,"Personalkosten",'Daten'!$BR$1:$BR$144,F10,'Daten'!$BS$1:$BS$144,"&lt;="&amp;F11,'Daten'!$BS$1:$BS$144,"&gt;=1"),2),0)</f>
      </c>
      <c r="H64" s="217" t="str">
        <f>=IFERROR(ROUND(Kosten_Personalkosten_EUR,2),0)</f>
      </c>
      <c r="I64" s="181" t="str">
        <f>=ROUND(IFERROR($G$64-$H$64,0),2)</f>
      </c>
      <c r="J64" s="276" t="str">
        <f>=ROUND(IFERROR(($G$64/$H$64)-1,0),4)</f>
      </c>
    </row>
    <row r="65">
      <c r="B65" s="264" t="s">
        <v>208</v>
      </c>
      <c r="C65" s="239" t="str">
        <f>=IFERROR(ROUND(SUMIFS('Daten'!$BU$1:$BU$144,'Daten'!$BT$1:$BT$144,"Projektaktivitaeten",'Daten'!$BR$1:$BR$144,F10,'Daten'!$BS$1:$BS$144,"&lt;="&amp;F11,'Daten'!$BS$1:$BS$144,"&gt;=1"),2),0)</f>
      </c>
      <c r="D65" s="239" t="str">
        <f>=IFERROR(ROUND(Kosten_Projektaktivitaeten_LW,2),0)</f>
      </c>
      <c r="E65" s="200" t="str">
        <f>=ROUND(IFERROR($C$65-$D$65,0),2)</f>
      </c>
      <c r="F65" s="256" t="str">
        <f>=ROUND(IFERROR(($C$65/$D$65)-1,0),4)</f>
      </c>
      <c r="G65" s="217" t="str">
        <f>=IFERROR(ROUND(SUMIFS('Daten'!$BV$1:$BV$144,'Daten'!$BT$1:$BT$144,"Projektaktivitaeten",'Daten'!$BR$1:$BR$144,F10,'Daten'!$BS$1:$BS$144,"&lt;="&amp;F11,'Daten'!$BS$1:$BS$144,"&gt;=1"),2),0)</f>
      </c>
      <c r="H65" s="217" t="str">
        <f>=IFERROR(ROUND(Kosten_Projektaktivitaeten_EUR,2),0)</f>
      </c>
      <c r="I65" s="181" t="str">
        <f>=ROUND(IFERROR($G$65-$H$65,0),2)</f>
      </c>
      <c r="J65" s="277" t="str">
        <f>=ROUND(IFERROR(($G$65/$H$65)-1,0),4)</f>
      </c>
    </row>
    <row r="66">
      <c r="B66" s="264" t="s">
        <v>209</v>
      </c>
      <c r="C66" s="239" t="str">
        <f>=IFERROR(ROUND(SUMIFS('Daten'!$BU$1:$BU$144,'Daten'!$BT$1:$BT$144,"Projektverwaltung",'Daten'!$BR$1:$BR$144,F10,'Daten'!$BS$1:$BS$144,"&lt;="&amp;F11,'Daten'!$BS$1:$BS$144,"&gt;=1"),2),0)</f>
      </c>
      <c r="D66" s="239" t="str">
        <f>=IFERROR(ROUND(Kosten_Projektverwaltung_LW,2),0)</f>
      </c>
      <c r="E66" s="200" t="str">
        <f>=ROUND(IFERROR($C$66-$D$66,0),2)</f>
      </c>
      <c r="F66" s="256" t="str">
        <f>=ROUND(IFERROR(($C$66/$D$66)-1,0),4)</f>
      </c>
      <c r="G66" s="217" t="str">
        <f>=IFERROR(ROUND(SUMIFS('Daten'!$BV$1:$BV$144,'Daten'!$BT$1:$BT$144,"Projektverwaltung",'Daten'!$BR$1:$BR$144,F10,'Daten'!$BS$1:$BS$144,"&lt;="&amp;F11,'Daten'!$BS$1:$BS$144,"&gt;=1"),2),0)</f>
      </c>
      <c r="H66" s="217" t="str">
        <f>=IFERROR(ROUND(Kosten_Projektverwaltung_EUR,2),0)</f>
      </c>
      <c r="I66" s="181" t="str">
        <f>=ROUND(IFERROR($G$66-$H$66,0),2)</f>
      </c>
      <c r="J66" s="278" t="str">
        <f>=ROUND(IFERROR(($G$66/$H$66)-1,0),4)</f>
      </c>
    </row>
    <row r="67">
      <c r="B67" s="264" t="s">
        <v>210</v>
      </c>
      <c r="C67" s="239" t="str">
        <f>=IFERROR(ROUND(SUMIFS('Daten'!$BU$1:$BU$144,'Daten'!$BT$1:$BT$144,"Evaluierung",'Daten'!$BR$1:$BR$144,F10,'Daten'!$BS$1:$BS$144,"&lt;="&amp;F11,'Daten'!$BS$1:$BS$144,"&gt;=1"),2),0)</f>
      </c>
      <c r="D67" s="239" t="str">
        <f>=IFERROR(ROUND(Kosten_Evaluierung_LW,2),0)</f>
      </c>
      <c r="E67" s="200" t="str">
        <f>=ROUND(IFERROR($C$67-$D$67,0),2)</f>
      </c>
      <c r="F67" s="256" t="str">
        <f>=ROUND(IFERROR(($C$67/$D$67)-1,0),4)</f>
      </c>
      <c r="G67" s="217" t="str">
        <f>=IFERROR(ROUND(SUMIFS('Daten'!$BV$1:$BV$144,'Daten'!$BT$1:$BT$144,"Evaluierung",'Daten'!$BR$1:$BR$144,F10,'Daten'!$BS$1:$BS$144,"&lt;="&amp;F11,'Daten'!$BS$1:$BS$144,"&gt;=1"),2),0)</f>
      </c>
      <c r="H67" s="217" t="str">
        <f>=IFERROR(ROUND(Kosten_Evaluierung_EUR,2),0)</f>
      </c>
      <c r="I67" s="181" t="str">
        <f>=ROUND(IFERROR($G$67-$H$67,0),2)</f>
      </c>
      <c r="J67" s="279" t="str">
        <f>=ROUND(IFERROR(($G$67/$H$67)-1,0),4)</f>
      </c>
    </row>
    <row r="68">
      <c r="B68" s="264" t="s">
        <v>211</v>
      </c>
      <c r="C68" s="239" t="str">
        <f>=IFERROR(ROUND(SUMIFS('Daten'!$BU$1:$BU$144,'Daten'!$BT$1:$BT$144,"Audit",'Daten'!$BR$1:$BR$144,F10,'Daten'!$BS$1:$BS$144,"&lt;="&amp;F11,'Daten'!$BS$1:$BS$144,"&gt;=1"),2),0)</f>
      </c>
      <c r="D68" s="239" t="str">
        <f>=IFERROR(ROUND(Kosten_Audit_LW,2),0)</f>
      </c>
      <c r="E68" s="200" t="str">
        <f>=ROUND(IFERROR($C$68-$D$68,0),2)</f>
      </c>
      <c r="F68" s="256" t="str">
        <f>=ROUND(IFERROR(($C$68/$D$68)-1,0),4)</f>
      </c>
      <c r="G68" s="217" t="str">
        <f>=IFERROR(ROUND(SUMIFS('Daten'!$BV$1:$BV$144,'Daten'!$BT$1:$BT$144,"Audit",'Daten'!$BR$1:$BR$144,F10,'Daten'!$BS$1:$BS$144,"&lt;="&amp;F11,'Daten'!$BS$1:$BS$144,"&gt;=1"),2),0)</f>
      </c>
      <c r="H68" s="217" t="str">
        <f>=IFERROR(ROUND(Kosten_Audit_EUR,2),0)</f>
      </c>
      <c r="I68" s="181" t="str">
        <f>=ROUND(IFERROR($G$68-$H$68,0),2)</f>
      </c>
      <c r="J68" s="280" t="str">
        <f>=ROUND(IFERROR(($G$68/$H$68)-1,0),4)</f>
      </c>
    </row>
    <row r="69">
      <c r="B69" s="264" t="s">
        <v>212</v>
      </c>
      <c r="C69" s="239" t="str">
        <f>=IFERROR(ROUND(SUMIFS('Daten'!$BU$1:$BU$144,'Daten'!$BT$1:$BT$144,"Reserve",'Daten'!$BR$1:$BR$144,F10,'Daten'!$BS$1:$BS$144,"&lt;="&amp;F11,'Daten'!$BS$1:$BS$144,"&gt;=1"),2),0)</f>
      </c>
      <c r="D69" s="239" t="str">
        <f>=IFERROR(ROUND(Kosten_Reserve_LW,2),0)</f>
      </c>
      <c r="E69" s="200" t="str">
        <f>=ROUND(IFERROR($C$69-$D$69,0),2)</f>
      </c>
      <c r="F69" s="256" t="str">
        <f>=ROUND(IFERROR(($C$69/$D$69)-1,0),4)</f>
      </c>
      <c r="G69" s="217" t="str">
        <f>=IFERROR(ROUND(SUMIFS('Daten'!$BV$1:$BV$144,'Daten'!$BT$1:$BT$144,"Reserve",'Daten'!$BR$1:$BR$144,F10,'Daten'!$BS$1:$BS$144,"&lt;="&amp;F11,'Daten'!$BS$1:$BS$144,"&gt;=1"),2),0)</f>
      </c>
      <c r="H69" s="217" t="str">
        <f>=IFERROR(ROUND(Kosten_Reserve_EUR,2),0)</f>
      </c>
      <c r="I69" s="181" t="str">
        <f>=ROUND(IFERROR($G$69-$H$69,0),2)</f>
      </c>
      <c r="J69" s="281" t="str">
        <f>=ROUND(IFERROR(($G$69/$H$69)-1,0),4)</f>
      </c>
    </row>
    <row r="70" ht="20" customHeight="true">
      <c r="B70" s="269" t="s">
        <v>266</v>
      </c>
      <c r="C70" s="270" t="str">
        <f>=ROUND(SUM($C$62:$C$69),2)</f>
      </c>
      <c r="D70" s="270" t="str">
        <f>=ROUND(SUM($D$62:$D$69),2)</f>
      </c>
      <c r="E70" s="270" t="str">
        <f>=ROUND(SUM($E$62:$E$69),2)</f>
      </c>
      <c r="F70" s="282" t="str">
        <f>=ROUND(IFERROR(($C$70/$D$70)-1,0),4)</f>
      </c>
      <c r="G70" s="272" t="str">
        <f>=ROUND(SUM($G$62:$G$69),2)</f>
      </c>
      <c r="H70" s="272" t="str">
        <f>=ROUND(SUM($H$62:$H$69),2)</f>
      </c>
      <c r="I70" s="272" t="str">
        <f>=ROUND(SUM($I$62:$I$69),2)</f>
      </c>
      <c r="J70" s="283" t="str">
        <f>=ROUND(IFERROR(($G$70/$H$70)-1,0),4)</f>
      </c>
    </row>
    <row r="72" ht="26" customHeight="true">
      <c r="B72" s="193" t="s">
        <v>364</v>
      </c>
      <c r="C72" s="193"/>
      <c r="D72" s="193"/>
      <c r="E72" s="193"/>
      <c r="F72" s="193"/>
      <c r="G72" s="193"/>
      <c r="H72" s="193"/>
      <c r="I72" s="193"/>
      <c r="J72" s="193"/>
    </row>
    <row r="73">
      <c r="B73" s="194" t="s">
        <v>365</v>
      </c>
      <c r="C73" s="194"/>
      <c r="D73" s="194"/>
      <c r="E73" s="194"/>
      <c r="F73" s="194"/>
      <c r="G73" s="194"/>
      <c r="H73" s="194"/>
      <c r="I73" s="194"/>
      <c r="J73" s="194"/>
    </row>
    <row r="75" ht="22" customHeight="true">
      <c r="C75" s="201" t="s">
        <v>366</v>
      </c>
      <c r="D75" s="202"/>
      <c r="E75" s="202"/>
      <c r="F75" s="202"/>
      <c r="G75" s="202"/>
      <c r="H75" s="202"/>
      <c r="I75" s="203"/>
    </row>
    <row r="76">
      <c r="C76" s="204" t="s">
        <v>320</v>
      </c>
      <c r="D76" s="196"/>
      <c r="E76" s="196"/>
      <c r="F76" s="33" t="s">
        <v>158</v>
      </c>
      <c r="G76" s="33"/>
      <c r="H76" s="33"/>
      <c r="I76" s="205"/>
    </row>
    <row r="77">
      <c r="C77" s="204" t="s">
        <v>367</v>
      </c>
      <c r="D77" s="196"/>
      <c r="E77" s="196"/>
      <c r="F77" s="197" t="str">
        <f>=IF(LEFT(F76,8)="Periode ",IFERROR(VALUE(TRIM(MID(F76,9,5))),0),0)</f>
      </c>
      <c r="G77" s="197"/>
      <c r="H77" s="197"/>
      <c r="I77" s="284"/>
    </row>
    <row r="78">
      <c r="C78" s="204" t="s">
        <v>368</v>
      </c>
      <c r="D78" s="196"/>
      <c r="E78" s="196"/>
      <c r="F78" s="239" t="str">
        <f>=IFERROR(ROUND(INDIRECT("FB_SaldoLC_"&amp;F77),2),0)</f>
      </c>
      <c r="G78" s="239"/>
      <c r="H78" s="239"/>
      <c r="I78" s="245"/>
    </row>
    <row r="79">
      <c r="C79" s="252" t="s">
        <v>171</v>
      </c>
      <c r="D79" s="253"/>
      <c r="E79" s="253"/>
      <c r="F79" s="285" t="str">
        <f>=IFERROR(ROUND(INDIRECT("FB_SaldoEUR_"&amp;F77),2),0)</f>
      </c>
      <c r="G79" s="285"/>
      <c r="H79" s="285"/>
      <c r="I79" s="286"/>
    </row>
    <row r="81" ht="22" customHeight="true">
      <c r="B81" s="18" t="s">
        <v>369</v>
      </c>
      <c r="C81" s="18"/>
      <c r="D81" s="18"/>
      <c r="E81" s="18"/>
      <c r="F81" s="18"/>
      <c r="G81" s="18"/>
      <c r="H81" s="18"/>
      <c r="I81" s="18"/>
      <c r="J81" s="18"/>
    </row>
    <row r="83">
      <c r="B83" s="223" t="s">
        <v>325</v>
      </c>
      <c r="C83" s="224"/>
      <c r="D83" s="225" t="str">
        <f>=IFERROR(ROUND(KMW_Mittel_EUR,2),0)</f>
      </c>
      <c r="F83" s="230" t="s">
        <v>330</v>
      </c>
      <c r="G83" s="231"/>
      <c r="H83" s="231"/>
      <c r="I83" s="232"/>
    </row>
    <row r="84">
      <c r="B84" s="204" t="s">
        <v>326</v>
      </c>
      <c r="C84" s="196"/>
      <c r="D84" s="226" t="str">
        <f>=IFERROR(ROUND(Kosten_Reserve_EUR,2),0)</f>
      </c>
      <c r="F84" s="233" t="s">
        <v>331</v>
      </c>
      <c r="G84" s="196" t="s">
        <v>332</v>
      </c>
      <c r="H84" s="196"/>
      <c r="I84" s="234" t="str">
        <f>=IFERROR(ROUND(Saldovortrag_EUR,2),0)</f>
      </c>
    </row>
    <row r="85">
      <c r="B85" s="204" t="s">
        <v>327</v>
      </c>
      <c r="C85" s="196"/>
      <c r="D85" s="226" t="str">
        <f>=ROUND($D$83-$D$84,2)</f>
      </c>
      <c r="F85" s="233" t="s">
        <v>331</v>
      </c>
      <c r="G85" s="196" t="s">
        <v>333</v>
      </c>
      <c r="H85" s="196"/>
      <c r="I85" s="222" t="str">
        <f>=IFERROR(ROUND(MAX(0,(SUM($G$94:$G$97)-$G$96)-(SUM($H$94:$H$97)-$H$96)),2),0)</f>
        <v>0</v>
      </c>
    </row>
    <row r="86">
      <c r="B86" s="204" t="s">
        <v>328</v>
      </c>
      <c r="C86" s="196"/>
      <c r="D86" s="226" t="str">
        <f>=IFERROR(ROUND(SUBTOTAL(109,TblKMWMittel[Betrag]),2),0)</f>
      </c>
      <c r="F86" s="47"/>
      <c r="G86" s="218" t="s">
        <v>335</v>
      </c>
      <c r="H86" s="218"/>
      <c r="I86" s="235" t="str">
        <f>=ROUND(IF($F$84="Abzug",MAX(0,$I$84),0)+IF($F$85="Abzug",MAX(0,$I$85),0),2)</f>
      </c>
    </row>
    <row r="87">
      <c r="B87" s="227" t="s">
        <v>329</v>
      </c>
      <c r="C87" s="228"/>
      <c r="D87" s="229" t="str">
        <f>=ROUND($D$85-$D$86,2)</f>
      </c>
      <c r="F87" s="236"/>
      <c r="G87" s="228" t="s">
        <v>336</v>
      </c>
      <c r="H87" s="228"/>
      <c r="I87" s="229" t="str">
        <f>=ROUND($D$87-$I$86,2)</f>
      </c>
    </row>
    <row r="91" ht="22" customHeight="true">
      <c r="B91" s="18" t="s">
        <v>370</v>
      </c>
      <c r="C91" s="18"/>
      <c r="D91" s="18"/>
      <c r="E91" s="18"/>
      <c r="F91" s="18"/>
      <c r="G91" s="18"/>
      <c r="H91" s="18"/>
      <c r="I91" s="18"/>
      <c r="J91" s="18"/>
    </row>
    <row r="93" ht="28" customHeight="true">
      <c r="B93" s="261" t="s">
        <v>354</v>
      </c>
      <c r="C93" s="262" t="s">
        <v>371</v>
      </c>
      <c r="D93" s="262" t="s">
        <v>356</v>
      </c>
      <c r="E93" s="262" t="s">
        <v>357</v>
      </c>
      <c r="F93" s="262" t="s">
        <v>358</v>
      </c>
      <c r="G93" s="262" t="s">
        <v>372</v>
      </c>
      <c r="H93" s="262" t="s">
        <v>360</v>
      </c>
      <c r="I93" s="262" t="s">
        <v>361</v>
      </c>
      <c r="J93" s="263" t="s">
        <v>362</v>
      </c>
    </row>
    <row r="94">
      <c r="B94" s="264" t="s">
        <v>194</v>
      </c>
      <c r="C94" s="239" t="str">
        <f>=IFERROR(ROUND(CHOOSE(F77,'III.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4" s="239" t="str">
        <f>=IFERROR(ROUND(Eigenmittel_LW,2),0)</f>
      </c>
      <c r="E94" s="200" t="str">
        <f>=ROUND(IFERROR($C$94-$D$94,0),2)</f>
      </c>
      <c r="F94" s="256" t="str">
        <f>=ROUND(IFERROR(($C$94/$D$94)-1,0),4)</f>
      </c>
      <c r="G94" s="217" t="str">
        <f>=IFERROR(ROUND(CHOOSE(F77,'III.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4" s="217" t="str">
        <f>=IFERROR(ROUND(Eigenmittel_EUR,2),0)</f>
      </c>
      <c r="I94" s="181" t="str">
        <f>=ROUND(IFERROR($G$94-$H$94,0),2)</f>
      </c>
      <c r="J94" s="287" t="str">
        <f>=ROUND(IFERROR(($G$94/$H$94)-1,0),4)</f>
      </c>
    </row>
    <row r="95">
      <c r="B95" s="264" t="s">
        <v>277</v>
      </c>
      <c r="C95" s="239" t="str">
        <f>=IFERROR(ROUND(CHOOSE(F77,'III.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5" s="239" t="str">
        <f>=IFERROR(ROUND(Drittmittel_LW,2),0)</f>
      </c>
      <c r="E95" s="200" t="str">
        <f>=ROUND(IFERROR($C$95-$D$95,0),2)</f>
      </c>
      <c r="F95" s="256" t="str">
        <f>=ROUND(IFERROR(($C$95/$D$95)-1,0),4)</f>
      </c>
      <c r="G95" s="217" t="str">
        <f>=IFERROR(ROUND(CHOOSE(F77,'III.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5" s="217" t="str">
        <f>=IFERROR(ROUND(Drittmittel_EUR,2),0)</f>
      </c>
      <c r="I95" s="181" t="str">
        <f>=ROUND(IFERROR($G$95-$H$95,0),2)</f>
      </c>
      <c r="J95" s="288" t="str">
        <f>=ROUND(IFERROR(($G$95/$H$95)-1,0),4)</f>
      </c>
    </row>
    <row r="96">
      <c r="B96" s="264" t="s">
        <v>199</v>
      </c>
      <c r="C96" s="239" t="str">
        <f>=IFERROR(ROUND(CHOOSE(F77,'III.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6" s="239" t="str">
        <f>=IFERROR(ROUND(KMW_Mittel_LW,2),0)</f>
      </c>
      <c r="E96" s="200" t="str">
        <f>=ROUND(IFERROR($C$96-$D$96,0),2)</f>
      </c>
      <c r="F96" s="256" t="str">
        <f>=ROUND(IFERROR(($C$96/$D$96)-1,0),4)</f>
      </c>
      <c r="G96" s="217" t="str">
        <f>=IFERROR(ROUND(CHOOSE(F77,'III.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6" s="217" t="str">
        <f>=IFERROR(ROUND(KMW_Mittel_EUR,2),0)</f>
      </c>
      <c r="I96" s="181" t="str">
        <f>=ROUND(IFERROR($G$96-$H$96,0),2)</f>
      </c>
      <c r="J96" s="289" t="str">
        <f>=ROUND(IFERROR(($G$96/$H$96)-1,0),4)</f>
      </c>
    </row>
    <row r="97">
      <c r="B97" s="264" t="s">
        <v>278</v>
      </c>
      <c r="C97" s="239" t="str">
        <f>=IFERROR(ROUND(CHOOSE(F77,'III.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7" s="239" t="str">
        <f>=IFERROR(ROUND(0,2),0)</f>
      </c>
      <c r="E97" s="200" t="str">
        <f>=ROUND(IFERROR($C$97-$D$97,0),2)</f>
      </c>
      <c r="F97" s="256" t="str">
        <f>=ROUND(IFERROR(($C$97/$D$97)-1,0),4)</f>
      </c>
      <c r="G97" s="217" t="str">
        <f>=IFERROR(ROUND(CHOOSE(F77,'III.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7" s="217" t="str">
        <f>=IFERROR(ROUND(0,2),0)</f>
      </c>
      <c r="I97" s="181" t="str">
        <f>=ROUND(IFERROR($G$97-$H$97,0),2)</f>
      </c>
      <c r="J97" s="290" t="str">
        <f>=ROUND(IFERROR(($G$97/$H$97)-1,0),4)</f>
      </c>
    </row>
    <row r="98" ht="20" customHeight="true">
      <c r="B98" s="269" t="s">
        <v>266</v>
      </c>
      <c r="C98" s="270" t="str">
        <f>=ROUND(SUM($C$94:$C$97),2)</f>
      </c>
      <c r="D98" s="270" t="str">
        <f>=ROUND(SUM($D$94:$D$97),2)</f>
      </c>
      <c r="E98" s="270" t="str">
        <f>=ROUND(SUM($E$94:$E$97),2)</f>
      </c>
      <c r="F98" s="291" t="str">
        <f>=ROUND(IFERROR(($C$98/$D$98)-1,0),4)</f>
      </c>
      <c r="G98" s="272" t="str">
        <f>=ROUND(SUM($G$94:$G$97),2)</f>
      </c>
      <c r="H98" s="272" t="str">
        <f>=ROUND(SUM($H$94:$H$97),2)</f>
      </c>
      <c r="I98" s="272" t="str">
        <f>=ROUND(SUM($I$94:$I$97),2)</f>
      </c>
      <c r="J98" s="292" t="str">
        <f>=ROUND(IFERROR(($G$98/$H$98)-1,0),4)</f>
      </c>
    </row>
    <row r="100" ht="22" customHeight="true">
      <c r="B100" s="18" t="s">
        <v>373</v>
      </c>
      <c r="C100" s="18"/>
      <c r="D100" s="18"/>
      <c r="E100" s="18"/>
      <c r="F100" s="18"/>
      <c r="G100" s="18"/>
      <c r="H100" s="18"/>
      <c r="I100" s="18"/>
      <c r="J100" s="18"/>
    </row>
    <row r="102" ht="28" customHeight="true">
      <c r="B102" s="261" t="s">
        <v>354</v>
      </c>
      <c r="C102" s="262" t="s">
        <v>371</v>
      </c>
      <c r="D102" s="262" t="s">
        <v>356</v>
      </c>
      <c r="E102" s="262" t="s">
        <v>357</v>
      </c>
      <c r="F102" s="262" t="s">
        <v>358</v>
      </c>
      <c r="G102" s="262" t="s">
        <v>372</v>
      </c>
      <c r="H102" s="262" t="s">
        <v>360</v>
      </c>
      <c r="I102" s="262" t="s">
        <v>361</v>
      </c>
      <c r="J102" s="263" t="s">
        <v>362</v>
      </c>
    </row>
    <row r="103">
      <c r="B103" s="264" t="s">
        <v>205</v>
      </c>
      <c r="C103" s="239" t="str">
        <f>=IFERROR(ROUND(CHOOSE(F77,'III.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3" s="239" t="str">
        <f>=IFERROR(ROUND(Kosten_Bauausgaben_LW,2),0)</f>
      </c>
      <c r="E103" s="200" t="str">
        <f>=ROUND(IFERROR($C$103-$D$103,0),2)</f>
      </c>
      <c r="F103" s="256" t="str">
        <f>=ROUND(IFERROR(($C$103/$D$103)-1,0),4)</f>
      </c>
      <c r="G103" s="217" t="str">
        <f>=IFERROR(ROUND(CHOOSE(F77,'III.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3" s="217" t="str">
        <f>=IFERROR(ROUND(Kosten_Bauausgaben_EUR,2),0)</f>
      </c>
      <c r="I103" s="181" t="str">
        <f>=ROUND(IFERROR($G$103-$H$103,0),2)</f>
      </c>
      <c r="J103" s="293" t="str">
        <f>=ROUND(IFERROR(($G$103/$H$103)-1,0),4)</f>
      </c>
    </row>
    <row r="104">
      <c r="B104" s="264" t="s">
        <v>206</v>
      </c>
      <c r="C104" s="239" t="str">
        <f>=IFERROR(ROUND(CHOOSE(F77,'III.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4" s="239" t="str">
        <f>=IFERROR(ROUND(Kosten_Investitionen_LW,2),0)</f>
      </c>
      <c r="E104" s="200" t="str">
        <f>=ROUND(IFERROR($C$104-$D$104,0),2)</f>
      </c>
      <c r="F104" s="256" t="str">
        <f>=ROUND(IFERROR(($C$104/$D$104)-1,0),4)</f>
      </c>
      <c r="G104" s="217" t="str">
        <f>=IFERROR(ROUND(CHOOSE(F77,'III.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4" s="217" t="str">
        <f>=IFERROR(ROUND(Kosten_Investitionen_EUR,2),0)</f>
      </c>
      <c r="I104" s="181" t="str">
        <f>=ROUND(IFERROR($G$104-$H$104,0),2)</f>
      </c>
      <c r="J104" s="294" t="str">
        <f>=ROUND(IFERROR(($G$104/$H$104)-1,0),4)</f>
      </c>
    </row>
    <row r="105">
      <c r="B105" s="264" t="s">
        <v>207</v>
      </c>
      <c r="C105" s="239" t="str">
        <f>=IFERROR(ROUND(CHOOSE(F77,'III.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5" s="239" t="str">
        <f>=IFERROR(ROUND(Kosten_Personalkosten_LW,2),0)</f>
      </c>
      <c r="E105" s="200" t="str">
        <f>=ROUND(IFERROR($C$105-$D$105,0),2)</f>
      </c>
      <c r="F105" s="256" t="str">
        <f>=ROUND(IFERROR(($C$105/$D$105)-1,0),4)</f>
      </c>
      <c r="G105" s="217" t="str">
        <f>=IFERROR(ROUND(CHOOSE(F77,'III.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5" s="217" t="str">
        <f>=IFERROR(ROUND(Kosten_Personalkosten_EUR,2),0)</f>
      </c>
      <c r="I105" s="181" t="str">
        <f>=ROUND(IFERROR($G$105-$H$105,0),2)</f>
      </c>
      <c r="J105" s="295" t="str">
        <f>=ROUND(IFERROR(($G$105/$H$105)-1,0),4)</f>
      </c>
    </row>
    <row r="106">
      <c r="B106" s="264" t="s">
        <v>208</v>
      </c>
      <c r="C106" s="239" t="str">
        <f>=IFERROR(ROUND(CHOOSE(F77,'III.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06" s="239" t="str">
        <f>=IFERROR(ROUND(Kosten_Projektaktivitaeten_LW,2),0)</f>
      </c>
      <c r="E106" s="200" t="str">
        <f>=ROUND(IFERROR($C$106-$D$106,0),2)</f>
      </c>
      <c r="F106" s="256" t="str">
        <f>=ROUND(IFERROR(($C$106/$D$106)-1,0),4)</f>
      </c>
      <c r="G106" s="217" t="str">
        <f>=IFERROR(ROUND(CHOOSE(F77,'III.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06" s="217" t="str">
        <f>=IFERROR(ROUND(Kosten_Projektaktivitaeten_EUR,2),0)</f>
      </c>
      <c r="I106" s="181" t="str">
        <f>=ROUND(IFERROR($G$106-$H$106,0),2)</f>
      </c>
      <c r="J106" s="296" t="str">
        <f>=ROUND(IFERROR(($G$106/$H$106)-1,0),4)</f>
      </c>
    </row>
    <row r="107">
      <c r="B107" s="264" t="s">
        <v>209</v>
      </c>
      <c r="C107" s="239" t="str">
        <f>=IFERROR(ROUND(CHOOSE(F77,'III.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07" s="239" t="str">
        <f>=IFERROR(ROUND(Kosten_Projektverwaltung_LW,2),0)</f>
      </c>
      <c r="E107" s="200" t="str">
        <f>=ROUND(IFERROR($C$107-$D$107,0),2)</f>
      </c>
      <c r="F107" s="256" t="str">
        <f>=ROUND(IFERROR(($C$107/$D$107)-1,0),4)</f>
      </c>
      <c r="G107" s="217" t="str">
        <f>=IFERROR(ROUND(CHOOSE(F77,'III.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07" s="217" t="str">
        <f>=IFERROR(ROUND(Kosten_Projektverwaltung_EUR,2),0)</f>
      </c>
      <c r="I107" s="181" t="str">
        <f>=ROUND(IFERROR($G$107-$H$107,0),2)</f>
      </c>
      <c r="J107" s="297" t="str">
        <f>=ROUND(IFERROR(($G$107/$H$107)-1,0),4)</f>
      </c>
    </row>
    <row r="108">
      <c r="B108" s="264" t="s">
        <v>210</v>
      </c>
      <c r="C108" s="239" t="str">
        <f>=IFERROR(ROUND(CHOOSE(F77,'III.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=IFERROR(ROUND(Kosten_Evaluierung_LW,2),0)</f>
      </c>
      <c r="E108" s="200" t="str">
        <f>=ROUND(IFERROR($C$108-$D$108,0),2)</f>
      </c>
      <c r="F108" s="256" t="str">
        <f>=ROUND(IFERROR(($C$108/$D$108)-1,0),4)</f>
      </c>
      <c r="G108" s="217" t="str">
        <f>=IFERROR(ROUND(CHOOSE(F77,'III.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=IFERROR(ROUND(Kosten_Evaluierung_EUR,2),0)</f>
      </c>
      <c r="I108" s="181" t="str">
        <f>=ROUND(IFERROR($G$108-$H$108,0),2)</f>
      </c>
      <c r="J108" s="298" t="str">
        <f>=ROUND(IFERROR(($G$108/$H$108)-1,0),4)</f>
      </c>
    </row>
    <row r="109">
      <c r="B109" s="264" t="s">
        <v>211</v>
      </c>
      <c r="C109" s="239" t="str">
        <f>=IFERROR(ROUND(CHOOSE(F77,'III.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=IFERROR(ROUND(Kosten_Audit_LW,2),0)</f>
      </c>
      <c r="E109" s="200" t="str">
        <f>=ROUND(IFERROR($C$109-$D$109,0),2)</f>
      </c>
      <c r="F109" s="256" t="str">
        <f>=ROUND(IFERROR(($C$109/$D$109)-1,0),4)</f>
      </c>
      <c r="G109" s="217" t="str">
        <f>=IFERROR(ROUND(CHOOSE(F77,'III.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=IFERROR(ROUND(Kosten_Audit_EUR,2),0)</f>
      </c>
      <c r="I109" s="181" t="str">
        <f>=ROUND(IFERROR($G$109-$H$109,0),2)</f>
      </c>
      <c r="J109" s="299" t="str">
        <f>=ROUND(IFERROR(($G$109/$H$109)-1,0),4)</f>
      </c>
    </row>
    <row r="110">
      <c r="B110" s="264" t="s">
        <v>212</v>
      </c>
      <c r="C110" s="239" t="str">
        <f>=IFERROR(ROUND(CHOOSE(F77,'III.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=IFERROR(ROUND(Kosten_Reserve_LW,2),0)</f>
      </c>
      <c r="E110" s="200" t="str">
        <f>=ROUND(IFERROR($C$110-$D$110,0),2)</f>
      </c>
      <c r="F110" s="256" t="str">
        <f>=ROUND(IFERROR(($C$110/$D$110)-1,0),4)</f>
      </c>
      <c r="G110" s="217" t="str">
        <f>=IFERROR(ROUND(CHOOSE(F77,'III.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=IFERROR(ROUND(Kosten_Reserve_EUR,2),0)</f>
      </c>
      <c r="I110" s="181" t="str">
        <f>=ROUND(IFERROR($G$110-$H$110,0),2)</f>
      </c>
      <c r="J110" s="300" t="str">
        <f>=ROUND(IFERROR(($G$110/$H$110)-1,0),4)</f>
      </c>
    </row>
    <row r="111" ht="20" customHeight="true">
      <c r="B111" s="269" t="s">
        <v>266</v>
      </c>
      <c r="C111" s="270" t="str">
        <f>=ROUND(SUM($C$103:$C$110),2)</f>
      </c>
      <c r="D111" s="270" t="str">
        <f>=ROUND(SUM($D$103:$D$110),2)</f>
      </c>
      <c r="E111" s="270" t="str">
        <f>=ROUND(SUM($E$103:$E$110),2)</f>
      </c>
      <c r="F111" s="301" t="str">
        <f>=ROUND(IFERROR(($C$111/$D$111)-1,0),4)</f>
      </c>
      <c r="G111" s="272" t="str">
        <f>=ROUND(SUM($G$103:$G$110),2)</f>
      </c>
      <c r="H111" s="272" t="str">
        <f>=ROUND(SUM($H$103:$H$110),2)</f>
      </c>
      <c r="I111" s="272" t="str">
        <f>=ROUND(SUM($I$103:$I$110),2)</f>
      </c>
      <c r="J111" s="302" t="str">
        <f>=ROUND(IFERROR(($G$111/$H$111)-1,0),4)</f>
      </c>
    </row>
  </sheetData>
  <mergeCells count="8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B40:C40"/>
    <mergeCell ref="B41:C41"/>
    <mergeCell ref="B42:C42"/>
    <mergeCell ref="B43:C43"/>
    <mergeCell ref="B44:C44"/>
    <mergeCell ref="B45:C45"/>
    <mergeCell ref="B46:C46"/>
    <mergeCell ref="B47:C47"/>
    <mergeCell ref="B48:C48"/>
    <mergeCell ref="B50:J50"/>
    <mergeCell ref="B59:J59"/>
    <mergeCell ref="B72:J72"/>
    <mergeCell ref="B73:J73"/>
    <mergeCell ref="C75:I75"/>
    <mergeCell ref="C76:E76"/>
    <mergeCell ref="F76:I76"/>
    <mergeCell ref="C77:E77"/>
    <mergeCell ref="F77:I77"/>
    <mergeCell ref="C78:E78"/>
    <mergeCell ref="F78:I78"/>
    <mergeCell ref="C79:E79"/>
    <mergeCell ref="F79:I79"/>
    <mergeCell ref="B81:J81"/>
    <mergeCell ref="B83:C83"/>
    <mergeCell ref="B84:C84"/>
    <mergeCell ref="B85:C85"/>
    <mergeCell ref="B86:C86"/>
    <mergeCell ref="B87:C87"/>
    <mergeCell ref="F83:I83"/>
    <mergeCell ref="G84:H84"/>
    <mergeCell ref="G85:H85"/>
    <mergeCell ref="G86:H86"/>
    <mergeCell ref="G87:H87"/>
    <mergeCell ref="B91:J91"/>
    <mergeCell ref="B100:J100"/>
  </mergeCells>
  <conditionalFormatting sqref="C13:I13">
    <cfRule type="expression" dxfId="9" priority="1">
      <formula>$C$13&lt;&gt;""</formula>
    </cfRule>
  </conditionalFormatting>
  <conditionalFormatting sqref="C14:I14">
    <cfRule type="expression" dxfId="9" priority="2">
      <formula>$C$14&lt;&gt;""</formula>
    </cfRule>
  </conditionalFormatting>
  <conditionalFormatting sqref="C15:I15">
    <cfRule type="expression" dxfId="9" priority="3">
      <formula>$C$15&lt;&gt;""</formula>
    </cfRule>
  </conditionalFormatting>
  <conditionalFormatting sqref="C16:I16">
    <cfRule type="expression" dxfId="9" priority="4">
      <formula>$C$16&lt;&gt;""</formula>
    </cfRule>
  </conditionalFormatting>
  <conditionalFormatting sqref="C17:I17">
    <cfRule type="expression" dxfId="9" priority="5">
      <formula>$C$17&lt;&gt;""</formula>
    </cfRule>
  </conditionalFormatting>
  <conditionalFormatting sqref="C18:I18">
    <cfRule type="expression" dxfId="9" priority="6">
      <formula>$C$18&lt;&gt;""</formula>
    </cfRule>
  </conditionalFormatting>
  <conditionalFormatting sqref="D46">
    <cfRule type="expression" dxfId="10" priority="7">
      <formula>$D$46="OK"</formula>
    </cfRule>
  </conditionalFormatting>
  <conditionalFormatting sqref="D46">
    <cfRule type="expression" dxfId="11" priority="8">
      <formula>$D$46&lt;&gt;"OK"</formula>
    </cfRule>
  </conditionalFormatting>
  <conditionalFormatting sqref="D47">
    <cfRule type="expression" dxfId="12" priority="9">
      <formula>$D$47&gt;0</formula>
    </cfRule>
  </conditionalFormatting>
  <conditionalFormatting sqref="F62:F69">
    <cfRule type="expression" dxfId="13" priority="10">
      <formula>F62&gt;0.2</formula>
    </cfRule>
  </conditionalFormatting>
  <conditionalFormatting sqref="F62:F69">
    <cfRule type="expression" dxfId="14" priority="11">
      <formula>AND(F62&gt;=0.1,F62&lt;=0.2)</formula>
    </cfRule>
  </conditionalFormatting>
  <conditionalFormatting sqref="J62:J69">
    <cfRule type="expression" dxfId="13" priority="12">
      <formula>J62&gt;0.2</formula>
    </cfRule>
  </conditionalFormatting>
  <conditionalFormatting sqref="J62:J69">
    <cfRule type="expression" dxfId="14" priority="13">
      <formula>AND(J62&gt;=0.1,J62&lt;=0.2)</formula>
    </cfRule>
  </conditionalFormatting>
  <conditionalFormatting sqref="F103:F110">
    <cfRule type="expression" dxfId="13" priority="14">
      <formula>F103&gt;0.2</formula>
    </cfRule>
  </conditionalFormatting>
  <conditionalFormatting sqref="F103:F110">
    <cfRule type="expression" dxfId="14" priority="15">
      <formula>AND(F103&gt;=0.1,F103&lt;=0.2)</formula>
    </cfRule>
  </conditionalFormatting>
  <conditionalFormatting sqref="J103:J110">
    <cfRule type="expression" dxfId="13" priority="16">
      <formula>J103&gt;0.2</formula>
    </cfRule>
  </conditionalFormatting>
  <conditionalFormatting sqref="J103:J110">
    <cfRule type="expression" dxfId="14" priority="17">
      <formula>AND(J103&gt;=0.1,J103&lt;=0.2)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0" type="list">
      <formula1>"Jahr 1,Jahr 2,Jahr 3"</formula1>
    </dataValidation>
    <dataValidation allowBlank="true" sqref="F76" type="list">
      <formula1>=FB_Auswahl_Liste</formula1>
    </dataValidation>
    <dataValidation allowBlank="true" sqref="F84" type="list">
      <formula1>"Abzug,Kein Abzug"</formula1>
    </dataValidation>
    <dataValidation allowBlank="true" sqref="F85"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03" t="s">
        <v>374</v>
      </c>
      <c r="I1" s="303" t="s">
        <v>375</v>
      </c>
      <c r="O1" s="303" t="s">
        <v>376</v>
      </c>
      <c r="U1" s="303" t="s">
        <v>377</v>
      </c>
      <c r="BA1">
        <v>1</v>
      </c>
      <c r="BB1" t="str">
        <f>=IFERROR(VALUE(TRIM(MID('IV. MA'!C5,9,5))),0)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_xlfn._xlws.FILTER($BE$1:$BE$18,($BB$1:$BB$18='V. AUSWERTUNG'!F77+1)*($BC$1:$BC$18=1),"")</f>
        <v>0</v>
      </c>
      <c r="BP1" cm="1" s="3">
        <f t="array" ref="BP1">_xlfn.VSTACK("Kein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MA'!G5,9,5))),0)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MA'!K5,9,5))),0)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MA'!O5,9,5))),0)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MA'!S5,9,5))),0)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MA'!W5,9,5))),0)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MA'!AA5,9,5))),0)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MA'!AE5,9,5))),0)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MA'!AI5,9,5))),0)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MA'!AM5,9,5))),0)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MA'!AQ5,9,5))),0)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MA'!AU5,9,5))),0)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MA'!AY5,9,5))),0)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MA'!BC5,9,5))),0)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MA'!BG5,9,5))),0)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MA'!BK5,9,5))),0)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MA'!BO5,9,5))),0)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MA'!BS5,9,5))),0)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