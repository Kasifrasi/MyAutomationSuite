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='I. Budget'!$R$2#</definedName>
    <definedName name="Budget_ID_Liste">='I. Budget'!$S$2#</definedName>
    <definedName name="Reserve_Freigabe">'I. Budget'!$K$5</definedName>
  </definedNames>
  <calcPr calcId="122211"/>
</workbook>
</file>

<file path=xl/sharedStrings.xml><?xml version="1.0" encoding="utf-8"?>
<sst xmlns="http://schemas.openxmlformats.org/spreadsheetml/2006/main" count="225" uniqueCount="225">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</sst>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4">
    <numFmt numFmtId="164" formatCode="dd.mm.yyyy"/>
    <numFmt numFmtId="165" formatCode="0.0000"/>
    <numFmt numFmtId="166" formatCode="#,##0.00"/>
    <numFmt numFmtId="167" formatCode="#,##0.00&quot; €&quot;"/>
  </numFmts>
  <fonts count="18">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s>
  <fills count="9">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s>
  <borders count="41">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s>
  <cellStyleXfs count="1">
    <xf numFmtId="0" fontId="0" fillId="0" borderId="0"/>
  </cellStyleXfs>
  <cellXfs count="80">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cellXfs>
  <cellStyles count="1">
    <cellStyle name="Normal" xfId="0" builtinId="0"/>
  </cellStyles>
  <dxfs count="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s>
</file>

<file path=xl/tables/table1.xml><?xml version="1.0" encoding="utf-8"?>
<table xmlns="http://schemas.openxmlformats.org/spreadsheetml/2006/main" id="1" name="TblBudgetAusgaben" displayName="TblBudgetAusgaben" ref="B18:I27">
  <autoFilter ref="B18:I27"/>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name="TableStyleNone"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name="TableStyleNone"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s="3" t="str">
        <f>=VSTACK({"Projektpartner";"Bank"},IFERROR(FILTER(TblDrittmittel[Name des Gebers],TblDrittmittel[Name des Gebers]&lt;&gt;""),""))</f>
      </c>
      <c r="S1" s="3" t="str">
        <f>=IFERROR(FILTER(TblBudgetAusgaben[ID],TblBudgetAusgaben[ID]&lt;&gt;""),"")</f>
      </c>
    </row>
    <row r="2" ht="24" customHeight="true">
      <c r="B2" s="45" t="s">
        <v>184</v>
      </c>
      <c r="C2" s="17"/>
      <c r="D2" s="17"/>
      <c r="E2" s="17"/>
      <c r="F2" s="17"/>
      <c r="G2" s="17"/>
      <c r="H2" s="17"/>
      <c r="I2" s="46"/>
      <c r="K2" s="64" t="s">
        <v>216</v>
      </c>
    </row>
    <row r="3">
      <c r="B3" s="47"/>
      <c r="I3" s="48"/>
      <c r="K3" s="65" t="str">
        <f>=$P$11</f>
      </c>
    </row>
    <row r="4" ht="24" customHeight="true">
      <c r="B4" s="49" t="s">
        <v>185</v>
      </c>
      <c r="C4" s="18"/>
      <c r="D4" s="18"/>
      <c r="E4" s="18"/>
      <c r="F4" s="18"/>
      <c r="G4" s="19" t="s">
        <v>186</v>
      </c>
      <c r="H4" s="20" t="str">
        <f>=IFERROR($E$15/$I$15,0)</f>
      </c>
      <c r="I4" s="50"/>
      <c r="K4" s="66"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7"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218</v>
      </c>
      <c r="L8" s="69"/>
      <c r="M8" s="69"/>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219</v>
      </c>
      <c r="C29" s="73"/>
      <c r="D29" s="73"/>
      <c r="E29" s="74"/>
    </row>
    <row r="30">
      <c r="B30" s="75" t="s">
        <v>220</v>
      </c>
      <c r="C30" s="71"/>
      <c r="D30" s="71"/>
      <c r="E30" s="76" t="str">
        <f>=IF(ROUND($E$15-$O$12,2)=0,"OK","Abweichung")</f>
      </c>
    </row>
    <row r="31">
      <c r="B31" s="75" t="s">
        <v>221</v>
      </c>
      <c r="C31" s="71"/>
      <c r="D31" s="71"/>
      <c r="E31" s="76" t="str">
        <f>=IF(ROUND($I$15-$P$12,2)=0,"OK","Abweichung")</f>
      </c>
    </row>
    <row r="32">
      <c r="B32" s="75" t="s">
        <v>222</v>
      </c>
      <c r="C32" s="71"/>
      <c r="D32" s="71"/>
      <c r="E32" s="76" t="str">
        <f>=IF(ROUND($H$4,4)=ROUND(IFERROR($O$12/$P$12,0),4),"OK","Abweichung")</f>
      </c>
    </row>
    <row r="33">
      <c r="B33" s="75" t="s">
        <v>223</v>
      </c>
      <c r="C33" s="71"/>
      <c r="D33" s="71"/>
      <c r="E33" s="76" t="str">
        <f>=IF(ROUND(($F$15+$G$15+$H$15)-$E$15,2)=0,"OK","Abweichung")</f>
      </c>
    </row>
    <row r="34">
      <c r="B34" s="77" t="s">
        <v>224</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