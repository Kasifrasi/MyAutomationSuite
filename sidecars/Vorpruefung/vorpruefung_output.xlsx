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Daten" sheetId="7" r:id="rId10"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s>
  <calcPr calcId="122211"/>
</workbook>
</file>

<file path=xl/sharedStrings.xml><?xml version="1.0" encoding="utf-8"?>
<sst xmlns="http://schemas.openxmlformats.org/spreadsheetml/2006/main" count="319" uniqueCount="319">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</sst>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7">
    <numFmt numFmtId="164" formatCode="dd.mm.yyyy"/>
    <numFmt numFmtId="165" formatCode="0.0000"/>
    <numFmt numFmtId="166" formatCode="#,##0.00"/>
    <numFmt numFmtId="167" formatCode="#,##0.00&quot; €&quot;"/>
    <numFmt numFmtId="168" formatCode="0.000000"/>
    <numFmt numFmtId="169" formatCode="@"/>
    <numFmt numFmtId="170" formatCode="DD.MM.YYYY"/>
  </numFmts>
  <fonts count="21">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s>
  <fills count="11">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s>
  <borders count="51">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s>
  <cellStyleXfs count="1">
    <xf numFmtId="0" fontId="0" fillId="0" borderId="0"/>
  </cellStyleXfs>
  <cellXfs count="19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2" fillId="7" borderId="0" xfId="0" applyFont="true" applyFill="true" applyAlignment="true">
      <alignment/>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=_xlfn.VSTACK({"Projektpartner";"Bank"},IFERROR(_xlfn.FILTER(TblDrittmittel[Name des Gebers],TblDrittmittel[Name des Gebers]&lt;&gt;""),""))</f>
      </c>
      <c r="S1" s="3" t="str">
        <f>=IFERROR(_xlfn.FILTER(TblBudgetAusgaben[ID],TblBudgetAusgaben[ID]&lt;&gt;""),"")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277</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277</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277</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277</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277</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277</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277</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277</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277</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277</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277</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277</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277</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277</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277</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277</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277</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277</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278</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278</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278</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278</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278</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278</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278</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278</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278</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278</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278</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278</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278</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278</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278</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278</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278</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278</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SUMIFS($E$19:$E$26, $B$19:$B$26, I19), J19)</f>
      </c>
      <c r="M19" s="143" t="str">
        <f>=IFERROR(K19 + SUMIFS($F$19:$F$26, $B$19:$B$26, I19), K19)</f>
      </c>
      <c r="P19" s="148" t="str">
        <f>=IFERROR(INDEX(Budget_ID_Liste, ROW() - 18), "")</f>
      </c>
      <c r="Q19" s="24"/>
      <c r="R19" s="116" t="str">
        <f>=IFERROR(ROUND(Q19/FB_Kurs_3,2),0)</f>
      </c>
      <c r="S19" s="115" t="str">
        <f>=IFERROR(Q19 + SUMIFS($L$19:$L$26, $I$19:$I$26, P19), Q19)</f>
      </c>
      <c r="T19" s="143" t="str">
        <f>=IFERROR(R19 + SUMIFS($M$19:$M$26, $I$19:$I$26, P19), R19)</f>
      </c>
      <c r="W19" s="148" t="str">
        <f>=IFERROR(INDEX(Budget_ID_Liste, ROW() - 18), "")</f>
      </c>
      <c r="X19" s="24"/>
      <c r="Y19" s="116" t="str">
        <f>=IFERROR(ROUND(X19/FB_Kurs_4,2),0)</f>
      </c>
      <c r="Z19" s="115" t="str">
        <f>=IFERROR(X19 + SUMIFS($S$19:$S$26, $P$19:$P$26, W19), X19)</f>
      </c>
      <c r="AA19" s="143" t="str">
        <f>=IFERROR(Y19 + SUMIFS($T$19:$T$26, $P$19:$P$26, W19), Y19)</f>
      </c>
      <c r="AD19" s="148" t="str">
        <f>=IFERROR(INDEX(Budget_ID_Liste, ROW() - 18), "")</f>
      </c>
      <c r="AE19" s="24"/>
      <c r="AF19" s="116" t="str">
        <f>=IFERROR(ROUND(AE19/FB_Kurs_5,2),0)</f>
      </c>
      <c r="AG19" s="115" t="str">
        <f>=IFERROR(AE19 + SUMIFS($Z$19:$Z$26, $W$19:$W$26, AD19), AE19)</f>
      </c>
      <c r="AH19" s="143" t="str">
        <f>=IFERROR(AF19 + SUMIFS($AA$19:$AA$26, $W$19:$W$26, AD19), AF19)</f>
      </c>
      <c r="AK19" s="148" t="str">
        <f>=IFERROR(INDEX(Budget_ID_Liste, ROW() - 18), "")</f>
      </c>
      <c r="AL19" s="24"/>
      <c r="AM19" s="116" t="str">
        <f>=IFERROR(ROUND(AL19/FB_Kurs_6,2),0)</f>
      </c>
      <c r="AN19" s="115" t="str">
        <f>=IFERROR(AL19 + SUMIFS($AG$19:$AG$26, $AD$19:$AD$26, AK19), AL19)</f>
      </c>
      <c r="AO19" s="143" t="str">
        <f>=IFERROR(AM19 + SUMIFS($AH$19:$AH$26, $AD$19:$AD$26, AK19), AM19)</f>
      </c>
      <c r="AR19" s="148" t="str">
        <f>=IFERROR(INDEX(Budget_ID_Liste, ROW() - 18), "")</f>
      </c>
      <c r="AS19" s="24"/>
      <c r="AT19" s="116" t="str">
        <f>=IFERROR(ROUND(AS19/FB_Kurs_7,2),0)</f>
      </c>
      <c r="AU19" s="115" t="str">
        <f>=IFERROR(AS19 + SUMIFS($AN$19:$AN$26, $AK$19:$AK$26, AR19), AS19)</f>
      </c>
      <c r="AV19" s="143" t="str">
        <f>=IFERROR(AT19 + SUMIFS($AO$19:$AO$26, $AK$19:$AK$26, AR19), AT19)</f>
      </c>
      <c r="AY19" s="148" t="str">
        <f>=IFERROR(INDEX(Budget_ID_Liste, ROW() - 18), "")</f>
      </c>
      <c r="AZ19" s="24"/>
      <c r="BA19" s="116" t="str">
        <f>=IFERROR(ROUND(AZ19/FB_Kurs_8,2),0)</f>
      </c>
      <c r="BB19" s="115" t="str">
        <f>=IFERROR(AZ19 + SUMIFS($AU$19:$AU$26, $AR$19:$AR$26, AY19), AZ19)</f>
      </c>
      <c r="BC19" s="143" t="str">
        <f>=IFERROR(BA19 + SUMIFS($AV$19:$AV$26, $AR$19:$AR$26, AY19), BA19)</f>
      </c>
      <c r="BF19" s="148" t="str">
        <f>=IFERROR(INDEX(Budget_ID_Liste, ROW() - 18), "")</f>
      </c>
      <c r="BG19" s="24"/>
      <c r="BH19" s="116" t="str">
        <f>=IFERROR(ROUND(BG19/FB_Kurs_9,2),0)</f>
      </c>
      <c r="BI19" s="115" t="str">
        <f>=IFERROR(BG19 + SUMIFS($BB$19:$BB$26, $AY$19:$AY$26, BF19), BG19)</f>
      </c>
      <c r="BJ19" s="143" t="str">
        <f>=IFERROR(BH19 + SUMIFS($BC$19:$BC$26, $AY$19:$AY$26, BF19), BH19)</f>
      </c>
      <c r="BM19" s="148" t="str">
        <f>=IFERROR(INDEX(Budget_ID_Liste, ROW() - 18), "")</f>
      </c>
      <c r="BN19" s="24"/>
      <c r="BO19" s="116" t="str">
        <f>=IFERROR(ROUND(BN19/FB_Kurs_10,2),0)</f>
      </c>
      <c r="BP19" s="115" t="str">
        <f>=IFERROR(BN19 + SUMIFS($BI$19:$BI$26, $BF$19:$BF$26, BM19), BN19)</f>
      </c>
      <c r="BQ19" s="143" t="str">
        <f>=IFERROR(BO19 + SUMIFS($BJ$19:$BJ$26, $BF$19:$BF$26, BM19), BO19)</f>
      </c>
      <c r="BT19" s="148" t="str">
        <f>=IFERROR(INDEX(Budget_ID_Liste, ROW() - 18), "")</f>
      </c>
      <c r="BU19" s="24"/>
      <c r="BV19" s="116" t="str">
        <f>=IFERROR(ROUND(BU19/FB_Kurs_11,2),0)</f>
      </c>
      <c r="BW19" s="115" t="str">
        <f>=IFERROR(BU19 + SUMIFS($BP$19:$BP$26, $BM$19:$BM$26, BT19), BU19)</f>
      </c>
      <c r="BX19" s="143" t="str">
        <f>=IFERROR(BV19 + SUMIFS($BQ$19:$BQ$26, $BM$19:$BM$26, BT19), BV19)</f>
      </c>
      <c r="CA19" s="148" t="str">
        <f>=IFERROR(INDEX(Budget_ID_Liste, ROW() - 18), "")</f>
      </c>
      <c r="CB19" s="24"/>
      <c r="CC19" s="116" t="str">
        <f>=IFERROR(ROUND(CB19/FB_Kurs_12,2),0)</f>
      </c>
      <c r="CD19" s="115" t="str">
        <f>=IFERROR(CB19 + SUMIFS($BW$19:$BW$26, $BT$19:$BT$26, CA19), CB19)</f>
      </c>
      <c r="CE19" s="143" t="str">
        <f>=IFERROR(CC19 + SUMIFS($BX$19:$BX$26, $BT$19:$BT$26, CA19), CC19)</f>
      </c>
      <c r="CH19" s="148" t="str">
        <f>=IFERROR(INDEX(Budget_ID_Liste, ROW() - 18), "")</f>
      </c>
      <c r="CI19" s="24"/>
      <c r="CJ19" s="116" t="str">
        <f>=IFERROR(ROUND(CI19/FB_Kurs_13,2),0)</f>
      </c>
      <c r="CK19" s="115" t="str">
        <f>=IFERROR(CI19 + SUMIFS($CD$19:$CD$26, $CA$19:$CA$26, CH19), CI19)</f>
      </c>
      <c r="CL19" s="143" t="str">
        <f>=IFERROR(CJ19 + SUMIFS($CE$19:$CE$26, $CA$19:$CA$26, CH19), CJ19)</f>
      </c>
      <c r="CO19" s="148" t="str">
        <f>=IFERROR(INDEX(Budget_ID_Liste, ROW() - 18), "")</f>
      </c>
      <c r="CP19" s="24"/>
      <c r="CQ19" s="116" t="str">
        <f>=IFERROR(ROUND(CP19/FB_Kurs_14,2),0)</f>
      </c>
      <c r="CR19" s="115" t="str">
        <f>=IFERROR(CP19 + SUMIFS($CK$19:$CK$26, $CH$19:$CH$26, CO19), CP19)</f>
      </c>
      <c r="CS19" s="143" t="str">
        <f>=IFERROR(CQ19 + SUMIFS($CL$19:$CL$26, $CH$19:$CH$26, CO19), CQ19)</f>
      </c>
      <c r="CV19" s="148" t="str">
        <f>=IFERROR(INDEX(Budget_ID_Liste, ROW() - 18), "")</f>
      </c>
      <c r="CW19" s="24"/>
      <c r="CX19" s="116" t="str">
        <f>=IFERROR(ROUND(CW19/FB_Kurs_15,2),0)</f>
      </c>
      <c r="CY19" s="115" t="str">
        <f>=IFERROR(CW19 + SUMIFS($CR$19:$CR$26, $CO$19:$CO$26, CV19), CW19)</f>
      </c>
      <c r="CZ19" s="143" t="str">
        <f>=IFERROR(CX19 + SUMIFS($CS$19:$CS$26, $CO$19:$CO$26, CV19), CX19)</f>
      </c>
      <c r="DC19" s="148" t="str">
        <f>=IFERROR(INDEX(Budget_ID_Liste, ROW() - 18), "")</f>
      </c>
      <c r="DD19" s="24"/>
      <c r="DE19" s="116" t="str">
        <f>=IFERROR(ROUND(DD19/FB_Kurs_16,2),0)</f>
      </c>
      <c r="DF19" s="115" t="str">
        <f>=IFERROR(DD19 + SUMIFS($CY$19:$CY$26, $CV$19:$CV$26, DC19), DD19)</f>
      </c>
      <c r="DG19" s="143" t="str">
        <f>=IFERROR(DE19 + SUMIFS($CZ$19:$CZ$26, $CV$19:$CV$26, DC19), DE19)</f>
      </c>
      <c r="DJ19" s="148" t="str">
        <f>=IFERROR(INDEX(Budget_ID_Liste, ROW() - 18), "")</f>
      </c>
      <c r="DK19" s="24"/>
      <c r="DL19" s="116" t="str">
        <f>=IFERROR(ROUND(DK19/FB_Kurs_17,2),0)</f>
      </c>
      <c r="DM19" s="115" t="str">
        <f>=IFERROR(DK19 + SUMIFS($DF$19:$DF$26, $DC$19:$DC$26, DJ19), DK19)</f>
      </c>
      <c r="DN19" s="143" t="str">
        <f>=IFERROR(DL19 + SUMIFS($DG$19:$DG$26, $DC$19:$DC$26, DJ19), DL19)</f>
      </c>
      <c r="DQ19" s="148" t="str">
        <f>=IFERROR(INDEX(Budget_ID_Liste, ROW() - 18), "")</f>
      </c>
      <c r="DR19" s="24"/>
      <c r="DS19" s="116" t="str">
        <f>=IFERROR(ROUND(DR19/FB_Kurs_18,2),0)</f>
      </c>
      <c r="DT19" s="115" t="str">
        <f>=IFERROR(DR19 + SUMIFS($DM$19:$DM$26, $DJ$19:$DJ$26, DQ19), DR19)</f>
      </c>
      <c r="DU19" s="143" t="str">
        <f>=IFERROR(DS19 + SUMIFS($DN$19:$DN$26, $DJ$19:$DJ$26,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SUMIFS($E$19:$E$26, $B$19:$B$26, I20), J20)</f>
      </c>
      <c r="M20" s="143" t="str">
        <f>=IFERROR(K20 + SUMIFS($F$19:$F$26, $B$19:$B$26, I20), K20)</f>
      </c>
      <c r="P20" s="148" t="str">
        <f>=IFERROR(INDEX(Budget_ID_Liste, ROW() - 18), "")</f>
      </c>
      <c r="Q20" s="24"/>
      <c r="R20" s="116" t="str">
        <f>=IFERROR(ROUND(Q20/FB_Kurs_3,2),0)</f>
      </c>
      <c r="S20" s="115" t="str">
        <f>=IFERROR(Q20 + SUMIFS($L$19:$L$26, $I$19:$I$26, P20), Q20)</f>
      </c>
      <c r="T20" s="143" t="str">
        <f>=IFERROR(R20 + SUMIFS($M$19:$M$26, $I$19:$I$26, P20), R20)</f>
      </c>
      <c r="W20" s="148" t="str">
        <f>=IFERROR(INDEX(Budget_ID_Liste, ROW() - 18), "")</f>
      </c>
      <c r="X20" s="24"/>
      <c r="Y20" s="116" t="str">
        <f>=IFERROR(ROUND(X20/FB_Kurs_4,2),0)</f>
      </c>
      <c r="Z20" s="115" t="str">
        <f>=IFERROR(X20 + SUMIFS($S$19:$S$26, $P$19:$P$26, W20), X20)</f>
      </c>
      <c r="AA20" s="143" t="str">
        <f>=IFERROR(Y20 + SUMIFS($T$19:$T$26, $P$19:$P$26, W20), Y20)</f>
      </c>
      <c r="AD20" s="148" t="str">
        <f>=IFERROR(INDEX(Budget_ID_Liste, ROW() - 18), "")</f>
      </c>
      <c r="AE20" s="24"/>
      <c r="AF20" s="116" t="str">
        <f>=IFERROR(ROUND(AE20/FB_Kurs_5,2),0)</f>
      </c>
      <c r="AG20" s="115" t="str">
        <f>=IFERROR(AE20 + SUMIFS($Z$19:$Z$26, $W$19:$W$26, AD20), AE20)</f>
      </c>
      <c r="AH20" s="143" t="str">
        <f>=IFERROR(AF20 + SUMIFS($AA$19:$AA$26, $W$19:$W$26, AD20), AF20)</f>
      </c>
      <c r="AK20" s="148" t="str">
        <f>=IFERROR(INDEX(Budget_ID_Liste, ROW() - 18), "")</f>
      </c>
      <c r="AL20" s="24"/>
      <c r="AM20" s="116" t="str">
        <f>=IFERROR(ROUND(AL20/FB_Kurs_6,2),0)</f>
      </c>
      <c r="AN20" s="115" t="str">
        <f>=IFERROR(AL20 + SUMIFS($AG$19:$AG$26, $AD$19:$AD$26, AK20), AL20)</f>
      </c>
      <c r="AO20" s="143" t="str">
        <f>=IFERROR(AM20 + SUMIFS($AH$19:$AH$26, $AD$19:$AD$26, AK20), AM20)</f>
      </c>
      <c r="AR20" s="148" t="str">
        <f>=IFERROR(INDEX(Budget_ID_Liste, ROW() - 18), "")</f>
      </c>
      <c r="AS20" s="24"/>
      <c r="AT20" s="116" t="str">
        <f>=IFERROR(ROUND(AS20/FB_Kurs_7,2),0)</f>
      </c>
      <c r="AU20" s="115" t="str">
        <f>=IFERROR(AS20 + SUMIFS($AN$19:$AN$26, $AK$19:$AK$26, AR20), AS20)</f>
      </c>
      <c r="AV20" s="143" t="str">
        <f>=IFERROR(AT20 + SUMIFS($AO$19:$AO$26, $AK$19:$AK$26, AR20), AT20)</f>
      </c>
      <c r="AY20" s="148" t="str">
        <f>=IFERROR(INDEX(Budget_ID_Liste, ROW() - 18), "")</f>
      </c>
      <c r="AZ20" s="24"/>
      <c r="BA20" s="116" t="str">
        <f>=IFERROR(ROUND(AZ20/FB_Kurs_8,2),0)</f>
      </c>
      <c r="BB20" s="115" t="str">
        <f>=IFERROR(AZ20 + SUMIFS($AU$19:$AU$26, $AR$19:$AR$26, AY20), AZ20)</f>
      </c>
      <c r="BC20" s="143" t="str">
        <f>=IFERROR(BA20 + SUMIFS($AV$19:$AV$26, $AR$19:$AR$26, AY20), BA20)</f>
      </c>
      <c r="BF20" s="148" t="str">
        <f>=IFERROR(INDEX(Budget_ID_Liste, ROW() - 18), "")</f>
      </c>
      <c r="BG20" s="24"/>
      <c r="BH20" s="116" t="str">
        <f>=IFERROR(ROUND(BG20/FB_Kurs_9,2),0)</f>
      </c>
      <c r="BI20" s="115" t="str">
        <f>=IFERROR(BG20 + SUMIFS($BB$19:$BB$26, $AY$19:$AY$26, BF20), BG20)</f>
      </c>
      <c r="BJ20" s="143" t="str">
        <f>=IFERROR(BH20 + SUMIFS($BC$19:$BC$26, $AY$19:$AY$26, BF20), BH20)</f>
      </c>
      <c r="BM20" s="148" t="str">
        <f>=IFERROR(INDEX(Budget_ID_Liste, ROW() - 18), "")</f>
      </c>
      <c r="BN20" s="24"/>
      <c r="BO20" s="116" t="str">
        <f>=IFERROR(ROUND(BN20/FB_Kurs_10,2),0)</f>
      </c>
      <c r="BP20" s="115" t="str">
        <f>=IFERROR(BN20 + SUMIFS($BI$19:$BI$26, $BF$19:$BF$26, BM20), BN20)</f>
      </c>
      <c r="BQ20" s="143" t="str">
        <f>=IFERROR(BO20 + SUMIFS($BJ$19:$BJ$26, $BF$19:$BF$26, BM20), BO20)</f>
      </c>
      <c r="BT20" s="148" t="str">
        <f>=IFERROR(INDEX(Budget_ID_Liste, ROW() - 18), "")</f>
      </c>
      <c r="BU20" s="24"/>
      <c r="BV20" s="116" t="str">
        <f>=IFERROR(ROUND(BU20/FB_Kurs_11,2),0)</f>
      </c>
      <c r="BW20" s="115" t="str">
        <f>=IFERROR(BU20 + SUMIFS($BP$19:$BP$26, $BM$19:$BM$26, BT20), BU20)</f>
      </c>
      <c r="BX20" s="143" t="str">
        <f>=IFERROR(BV20 + SUMIFS($BQ$19:$BQ$26, $BM$19:$BM$26, BT20), BV20)</f>
      </c>
      <c r="CA20" s="148" t="str">
        <f>=IFERROR(INDEX(Budget_ID_Liste, ROW() - 18), "")</f>
      </c>
      <c r="CB20" s="24"/>
      <c r="CC20" s="116" t="str">
        <f>=IFERROR(ROUND(CB20/FB_Kurs_12,2),0)</f>
      </c>
      <c r="CD20" s="115" t="str">
        <f>=IFERROR(CB20 + SUMIFS($BW$19:$BW$26, $BT$19:$BT$26, CA20), CB20)</f>
      </c>
      <c r="CE20" s="143" t="str">
        <f>=IFERROR(CC20 + SUMIFS($BX$19:$BX$26, $BT$19:$BT$26, CA20), CC20)</f>
      </c>
      <c r="CH20" s="148" t="str">
        <f>=IFERROR(INDEX(Budget_ID_Liste, ROW() - 18), "")</f>
      </c>
      <c r="CI20" s="24"/>
      <c r="CJ20" s="116" t="str">
        <f>=IFERROR(ROUND(CI20/FB_Kurs_13,2),0)</f>
      </c>
      <c r="CK20" s="115" t="str">
        <f>=IFERROR(CI20 + SUMIFS($CD$19:$CD$26, $CA$19:$CA$26, CH20), CI20)</f>
      </c>
      <c r="CL20" s="143" t="str">
        <f>=IFERROR(CJ20 + SUMIFS($CE$19:$CE$26, $CA$19:$CA$26, CH20), CJ20)</f>
      </c>
      <c r="CO20" s="148" t="str">
        <f>=IFERROR(INDEX(Budget_ID_Liste, ROW() - 18), "")</f>
      </c>
      <c r="CP20" s="24"/>
      <c r="CQ20" s="116" t="str">
        <f>=IFERROR(ROUND(CP20/FB_Kurs_14,2),0)</f>
      </c>
      <c r="CR20" s="115" t="str">
        <f>=IFERROR(CP20 + SUMIFS($CK$19:$CK$26, $CH$19:$CH$26, CO20), CP20)</f>
      </c>
      <c r="CS20" s="143" t="str">
        <f>=IFERROR(CQ20 + SUMIFS($CL$19:$CL$26, $CH$19:$CH$26, CO20), CQ20)</f>
      </c>
      <c r="CV20" s="148" t="str">
        <f>=IFERROR(INDEX(Budget_ID_Liste, ROW() - 18), "")</f>
      </c>
      <c r="CW20" s="24"/>
      <c r="CX20" s="116" t="str">
        <f>=IFERROR(ROUND(CW20/FB_Kurs_15,2),0)</f>
      </c>
      <c r="CY20" s="115" t="str">
        <f>=IFERROR(CW20 + SUMIFS($CR$19:$CR$26, $CO$19:$CO$26, CV20), CW20)</f>
      </c>
      <c r="CZ20" s="143" t="str">
        <f>=IFERROR(CX20 + SUMIFS($CS$19:$CS$26, $CO$19:$CO$26, CV20), CX20)</f>
      </c>
      <c r="DC20" s="148" t="str">
        <f>=IFERROR(INDEX(Budget_ID_Liste, ROW() - 18), "")</f>
      </c>
      <c r="DD20" s="24"/>
      <c r="DE20" s="116" t="str">
        <f>=IFERROR(ROUND(DD20/FB_Kurs_16,2),0)</f>
      </c>
      <c r="DF20" s="115" t="str">
        <f>=IFERROR(DD20 + SUMIFS($CY$19:$CY$26, $CV$19:$CV$26, DC20), DD20)</f>
      </c>
      <c r="DG20" s="143" t="str">
        <f>=IFERROR(DE20 + SUMIFS($CZ$19:$CZ$26, $CV$19:$CV$26, DC20), DE20)</f>
      </c>
      <c r="DJ20" s="148" t="str">
        <f>=IFERROR(INDEX(Budget_ID_Liste, ROW() - 18), "")</f>
      </c>
      <c r="DK20" s="24"/>
      <c r="DL20" s="116" t="str">
        <f>=IFERROR(ROUND(DK20/FB_Kurs_17,2),0)</f>
      </c>
      <c r="DM20" s="115" t="str">
        <f>=IFERROR(DK20 + SUMIFS($DF$19:$DF$26, $DC$19:$DC$26, DJ20), DK20)</f>
      </c>
      <c r="DN20" s="143" t="str">
        <f>=IFERROR(DL20 + SUMIFS($DG$19:$DG$26, $DC$19:$DC$26, DJ20), DL20)</f>
      </c>
      <c r="DQ20" s="148" t="str">
        <f>=IFERROR(INDEX(Budget_ID_Liste, ROW() - 18), "")</f>
      </c>
      <c r="DR20" s="24"/>
      <c r="DS20" s="116" t="str">
        <f>=IFERROR(ROUND(DR20/FB_Kurs_18,2),0)</f>
      </c>
      <c r="DT20" s="115" t="str">
        <f>=IFERROR(DR20 + SUMIFS($DM$19:$DM$26, $DJ$19:$DJ$26, DQ20), DR20)</f>
      </c>
      <c r="DU20" s="143" t="str">
        <f>=IFERROR(DS20 + SUMIFS($DN$19:$DN$26, $DJ$19:$DJ$26,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SUMIFS($E$19:$E$26, $B$19:$B$26, I21), J21)</f>
      </c>
      <c r="M21" s="143" t="str">
        <f>=IFERROR(K21 + SUMIFS($F$19:$F$26, $B$19:$B$26, I21), K21)</f>
      </c>
      <c r="P21" s="148" t="str">
        <f>=IFERROR(INDEX(Budget_ID_Liste, ROW() - 18), "")</f>
      </c>
      <c r="Q21" s="24"/>
      <c r="R21" s="116" t="str">
        <f>=IFERROR(ROUND(Q21/FB_Kurs_3,2),0)</f>
      </c>
      <c r="S21" s="115" t="str">
        <f>=IFERROR(Q21 + SUMIFS($L$19:$L$26, $I$19:$I$26, P21), Q21)</f>
      </c>
      <c r="T21" s="143" t="str">
        <f>=IFERROR(R21 + SUMIFS($M$19:$M$26, $I$19:$I$26, P21), R21)</f>
      </c>
      <c r="W21" s="148" t="str">
        <f>=IFERROR(INDEX(Budget_ID_Liste, ROW() - 18), "")</f>
      </c>
      <c r="X21" s="24"/>
      <c r="Y21" s="116" t="str">
        <f>=IFERROR(ROUND(X21/FB_Kurs_4,2),0)</f>
      </c>
      <c r="Z21" s="115" t="str">
        <f>=IFERROR(X21 + SUMIFS($S$19:$S$26, $P$19:$P$26, W21), X21)</f>
      </c>
      <c r="AA21" s="143" t="str">
        <f>=IFERROR(Y21 + SUMIFS($T$19:$T$26, $P$19:$P$26, W21), Y21)</f>
      </c>
      <c r="AD21" s="148" t="str">
        <f>=IFERROR(INDEX(Budget_ID_Liste, ROW() - 18), "")</f>
      </c>
      <c r="AE21" s="24"/>
      <c r="AF21" s="116" t="str">
        <f>=IFERROR(ROUND(AE21/FB_Kurs_5,2),0)</f>
      </c>
      <c r="AG21" s="115" t="str">
        <f>=IFERROR(AE21 + SUMIFS($Z$19:$Z$26, $W$19:$W$26, AD21), AE21)</f>
      </c>
      <c r="AH21" s="143" t="str">
        <f>=IFERROR(AF21 + SUMIFS($AA$19:$AA$26, $W$19:$W$26, AD21), AF21)</f>
      </c>
      <c r="AK21" s="148" t="str">
        <f>=IFERROR(INDEX(Budget_ID_Liste, ROW() - 18), "")</f>
      </c>
      <c r="AL21" s="24"/>
      <c r="AM21" s="116" t="str">
        <f>=IFERROR(ROUND(AL21/FB_Kurs_6,2),0)</f>
      </c>
      <c r="AN21" s="115" t="str">
        <f>=IFERROR(AL21 + SUMIFS($AG$19:$AG$26, $AD$19:$AD$26, AK21), AL21)</f>
      </c>
      <c r="AO21" s="143" t="str">
        <f>=IFERROR(AM21 + SUMIFS($AH$19:$AH$26, $AD$19:$AD$26, AK21), AM21)</f>
      </c>
      <c r="AR21" s="148" t="str">
        <f>=IFERROR(INDEX(Budget_ID_Liste, ROW() - 18), "")</f>
      </c>
      <c r="AS21" s="24"/>
      <c r="AT21" s="116" t="str">
        <f>=IFERROR(ROUND(AS21/FB_Kurs_7,2),0)</f>
      </c>
      <c r="AU21" s="115" t="str">
        <f>=IFERROR(AS21 + SUMIFS($AN$19:$AN$26, $AK$19:$AK$26, AR21), AS21)</f>
      </c>
      <c r="AV21" s="143" t="str">
        <f>=IFERROR(AT21 + SUMIFS($AO$19:$AO$26, $AK$19:$AK$26, AR21), AT21)</f>
      </c>
      <c r="AY21" s="148" t="str">
        <f>=IFERROR(INDEX(Budget_ID_Liste, ROW() - 18), "")</f>
      </c>
      <c r="AZ21" s="24"/>
      <c r="BA21" s="116" t="str">
        <f>=IFERROR(ROUND(AZ21/FB_Kurs_8,2),0)</f>
      </c>
      <c r="BB21" s="115" t="str">
        <f>=IFERROR(AZ21 + SUMIFS($AU$19:$AU$26, $AR$19:$AR$26, AY21), AZ21)</f>
      </c>
      <c r="BC21" s="143" t="str">
        <f>=IFERROR(BA21 + SUMIFS($AV$19:$AV$26, $AR$19:$AR$26, AY21), BA21)</f>
      </c>
      <c r="BF21" s="148" t="str">
        <f>=IFERROR(INDEX(Budget_ID_Liste, ROW() - 18), "")</f>
      </c>
      <c r="BG21" s="24"/>
      <c r="BH21" s="116" t="str">
        <f>=IFERROR(ROUND(BG21/FB_Kurs_9,2),0)</f>
      </c>
      <c r="BI21" s="115" t="str">
        <f>=IFERROR(BG21 + SUMIFS($BB$19:$BB$26, $AY$19:$AY$26, BF21), BG21)</f>
      </c>
      <c r="BJ21" s="143" t="str">
        <f>=IFERROR(BH21 + SUMIFS($BC$19:$BC$26, $AY$19:$AY$26, BF21), BH21)</f>
      </c>
      <c r="BM21" s="148" t="str">
        <f>=IFERROR(INDEX(Budget_ID_Liste, ROW() - 18), "")</f>
      </c>
      <c r="BN21" s="24"/>
      <c r="BO21" s="116" t="str">
        <f>=IFERROR(ROUND(BN21/FB_Kurs_10,2),0)</f>
      </c>
      <c r="BP21" s="115" t="str">
        <f>=IFERROR(BN21 + SUMIFS($BI$19:$BI$26, $BF$19:$BF$26, BM21), BN21)</f>
      </c>
      <c r="BQ21" s="143" t="str">
        <f>=IFERROR(BO21 + SUMIFS($BJ$19:$BJ$26, $BF$19:$BF$26, BM21), BO21)</f>
      </c>
      <c r="BT21" s="148" t="str">
        <f>=IFERROR(INDEX(Budget_ID_Liste, ROW() - 18), "")</f>
      </c>
      <c r="BU21" s="24"/>
      <c r="BV21" s="116" t="str">
        <f>=IFERROR(ROUND(BU21/FB_Kurs_11,2),0)</f>
      </c>
      <c r="BW21" s="115" t="str">
        <f>=IFERROR(BU21 + SUMIFS($BP$19:$BP$26, $BM$19:$BM$26, BT21), BU21)</f>
      </c>
      <c r="BX21" s="143" t="str">
        <f>=IFERROR(BV21 + SUMIFS($BQ$19:$BQ$26, $BM$19:$BM$26, BT21), BV21)</f>
      </c>
      <c r="CA21" s="148" t="str">
        <f>=IFERROR(INDEX(Budget_ID_Liste, ROW() - 18), "")</f>
      </c>
      <c r="CB21" s="24"/>
      <c r="CC21" s="116" t="str">
        <f>=IFERROR(ROUND(CB21/FB_Kurs_12,2),0)</f>
      </c>
      <c r="CD21" s="115" t="str">
        <f>=IFERROR(CB21 + SUMIFS($BW$19:$BW$26, $BT$19:$BT$26, CA21), CB21)</f>
      </c>
      <c r="CE21" s="143" t="str">
        <f>=IFERROR(CC21 + SUMIFS($BX$19:$BX$26, $BT$19:$BT$26, CA21), CC21)</f>
      </c>
      <c r="CH21" s="148" t="str">
        <f>=IFERROR(INDEX(Budget_ID_Liste, ROW() - 18), "")</f>
      </c>
      <c r="CI21" s="24"/>
      <c r="CJ21" s="116" t="str">
        <f>=IFERROR(ROUND(CI21/FB_Kurs_13,2),0)</f>
      </c>
      <c r="CK21" s="115" t="str">
        <f>=IFERROR(CI21 + SUMIFS($CD$19:$CD$26, $CA$19:$CA$26, CH21), CI21)</f>
      </c>
      <c r="CL21" s="143" t="str">
        <f>=IFERROR(CJ21 + SUMIFS($CE$19:$CE$26, $CA$19:$CA$26, CH21), CJ21)</f>
      </c>
      <c r="CO21" s="148" t="str">
        <f>=IFERROR(INDEX(Budget_ID_Liste, ROW() - 18), "")</f>
      </c>
      <c r="CP21" s="24"/>
      <c r="CQ21" s="116" t="str">
        <f>=IFERROR(ROUND(CP21/FB_Kurs_14,2),0)</f>
      </c>
      <c r="CR21" s="115" t="str">
        <f>=IFERROR(CP21 + SUMIFS($CK$19:$CK$26, $CH$19:$CH$26, CO21), CP21)</f>
      </c>
      <c r="CS21" s="143" t="str">
        <f>=IFERROR(CQ21 + SUMIFS($CL$19:$CL$26, $CH$19:$CH$26, CO21), CQ21)</f>
      </c>
      <c r="CV21" s="148" t="str">
        <f>=IFERROR(INDEX(Budget_ID_Liste, ROW() - 18), "")</f>
      </c>
      <c r="CW21" s="24"/>
      <c r="CX21" s="116" t="str">
        <f>=IFERROR(ROUND(CW21/FB_Kurs_15,2),0)</f>
      </c>
      <c r="CY21" s="115" t="str">
        <f>=IFERROR(CW21 + SUMIFS($CR$19:$CR$26, $CO$19:$CO$26, CV21), CW21)</f>
      </c>
      <c r="CZ21" s="143" t="str">
        <f>=IFERROR(CX21 + SUMIFS($CS$19:$CS$26, $CO$19:$CO$26, CV21), CX21)</f>
      </c>
      <c r="DC21" s="148" t="str">
        <f>=IFERROR(INDEX(Budget_ID_Liste, ROW() - 18), "")</f>
      </c>
      <c r="DD21" s="24"/>
      <c r="DE21" s="116" t="str">
        <f>=IFERROR(ROUND(DD21/FB_Kurs_16,2),0)</f>
      </c>
      <c r="DF21" s="115" t="str">
        <f>=IFERROR(DD21 + SUMIFS($CY$19:$CY$26, $CV$19:$CV$26, DC21), DD21)</f>
      </c>
      <c r="DG21" s="143" t="str">
        <f>=IFERROR(DE21 + SUMIFS($CZ$19:$CZ$26, $CV$19:$CV$26, DC21), DE21)</f>
      </c>
      <c r="DJ21" s="148" t="str">
        <f>=IFERROR(INDEX(Budget_ID_Liste, ROW() - 18), "")</f>
      </c>
      <c r="DK21" s="24"/>
      <c r="DL21" s="116" t="str">
        <f>=IFERROR(ROUND(DK21/FB_Kurs_17,2),0)</f>
      </c>
      <c r="DM21" s="115" t="str">
        <f>=IFERROR(DK21 + SUMIFS($DF$19:$DF$26, $DC$19:$DC$26, DJ21), DK21)</f>
      </c>
      <c r="DN21" s="143" t="str">
        <f>=IFERROR(DL21 + SUMIFS($DG$19:$DG$26, $DC$19:$DC$26, DJ21), DL21)</f>
      </c>
      <c r="DQ21" s="148" t="str">
        <f>=IFERROR(INDEX(Budget_ID_Liste, ROW() - 18), "")</f>
      </c>
      <c r="DR21" s="24"/>
      <c r="DS21" s="116" t="str">
        <f>=IFERROR(ROUND(DR21/FB_Kurs_18,2),0)</f>
      </c>
      <c r="DT21" s="115" t="str">
        <f>=IFERROR(DR21 + SUMIFS($DM$19:$DM$26, $DJ$19:$DJ$26, DQ21), DR21)</f>
      </c>
      <c r="DU21" s="143" t="str">
        <f>=IFERROR(DS21 + SUMIFS($DN$19:$DN$26, $DJ$19:$DJ$26,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SUMIFS($E$19:$E$26, $B$19:$B$26, I22), J22)</f>
      </c>
      <c r="M22" s="143" t="str">
        <f>=IFERROR(K22 + SUMIFS($F$19:$F$26, $B$19:$B$26, I22), K22)</f>
      </c>
      <c r="P22" s="148" t="str">
        <f>=IFERROR(INDEX(Budget_ID_Liste, ROW() - 18), "")</f>
      </c>
      <c r="Q22" s="24"/>
      <c r="R22" s="116" t="str">
        <f>=IFERROR(ROUND(Q22/FB_Kurs_3,2),0)</f>
      </c>
      <c r="S22" s="115" t="str">
        <f>=IFERROR(Q22 + SUMIFS($L$19:$L$26, $I$19:$I$26, P22), Q22)</f>
      </c>
      <c r="T22" s="143" t="str">
        <f>=IFERROR(R22 + SUMIFS($M$19:$M$26, $I$19:$I$26, P22), R22)</f>
      </c>
      <c r="W22" s="148" t="str">
        <f>=IFERROR(INDEX(Budget_ID_Liste, ROW() - 18), "")</f>
      </c>
      <c r="X22" s="24"/>
      <c r="Y22" s="116" t="str">
        <f>=IFERROR(ROUND(X22/FB_Kurs_4,2),0)</f>
      </c>
      <c r="Z22" s="115" t="str">
        <f>=IFERROR(X22 + SUMIFS($S$19:$S$26, $P$19:$P$26, W22), X22)</f>
      </c>
      <c r="AA22" s="143" t="str">
        <f>=IFERROR(Y22 + SUMIFS($T$19:$T$26, $P$19:$P$26, W22), Y22)</f>
      </c>
      <c r="AD22" s="148" t="str">
        <f>=IFERROR(INDEX(Budget_ID_Liste, ROW() - 18), "")</f>
      </c>
      <c r="AE22" s="24"/>
      <c r="AF22" s="116" t="str">
        <f>=IFERROR(ROUND(AE22/FB_Kurs_5,2),0)</f>
      </c>
      <c r="AG22" s="115" t="str">
        <f>=IFERROR(AE22 + SUMIFS($Z$19:$Z$26, $W$19:$W$26, AD22), AE22)</f>
      </c>
      <c r="AH22" s="143" t="str">
        <f>=IFERROR(AF22 + SUMIFS($AA$19:$AA$26, $W$19:$W$26, AD22), AF22)</f>
      </c>
      <c r="AK22" s="148" t="str">
        <f>=IFERROR(INDEX(Budget_ID_Liste, ROW() - 18), "")</f>
      </c>
      <c r="AL22" s="24"/>
      <c r="AM22" s="116" t="str">
        <f>=IFERROR(ROUND(AL22/FB_Kurs_6,2),0)</f>
      </c>
      <c r="AN22" s="115" t="str">
        <f>=IFERROR(AL22 + SUMIFS($AG$19:$AG$26, $AD$19:$AD$26, AK22), AL22)</f>
      </c>
      <c r="AO22" s="143" t="str">
        <f>=IFERROR(AM22 + SUMIFS($AH$19:$AH$26, $AD$19:$AD$26, AK22), AM22)</f>
      </c>
      <c r="AR22" s="148" t="str">
        <f>=IFERROR(INDEX(Budget_ID_Liste, ROW() - 18), "")</f>
      </c>
      <c r="AS22" s="24"/>
      <c r="AT22" s="116" t="str">
        <f>=IFERROR(ROUND(AS22/FB_Kurs_7,2),0)</f>
      </c>
      <c r="AU22" s="115" t="str">
        <f>=IFERROR(AS22 + SUMIFS($AN$19:$AN$26, $AK$19:$AK$26, AR22), AS22)</f>
      </c>
      <c r="AV22" s="143" t="str">
        <f>=IFERROR(AT22 + SUMIFS($AO$19:$AO$26, $AK$19:$AK$26, AR22), AT22)</f>
      </c>
      <c r="AY22" s="148" t="str">
        <f>=IFERROR(INDEX(Budget_ID_Liste, ROW() - 18), "")</f>
      </c>
      <c r="AZ22" s="24"/>
      <c r="BA22" s="116" t="str">
        <f>=IFERROR(ROUND(AZ22/FB_Kurs_8,2),0)</f>
      </c>
      <c r="BB22" s="115" t="str">
        <f>=IFERROR(AZ22 + SUMIFS($AU$19:$AU$26, $AR$19:$AR$26, AY22), AZ22)</f>
      </c>
      <c r="BC22" s="143" t="str">
        <f>=IFERROR(BA22 + SUMIFS($AV$19:$AV$26, $AR$19:$AR$26, AY22), BA22)</f>
      </c>
      <c r="BF22" s="148" t="str">
        <f>=IFERROR(INDEX(Budget_ID_Liste, ROW() - 18), "")</f>
      </c>
      <c r="BG22" s="24"/>
      <c r="BH22" s="116" t="str">
        <f>=IFERROR(ROUND(BG22/FB_Kurs_9,2),0)</f>
      </c>
      <c r="BI22" s="115" t="str">
        <f>=IFERROR(BG22 + SUMIFS($BB$19:$BB$26, $AY$19:$AY$26, BF22), BG22)</f>
      </c>
      <c r="BJ22" s="143" t="str">
        <f>=IFERROR(BH22 + SUMIFS($BC$19:$BC$26, $AY$19:$AY$26, BF22), BH22)</f>
      </c>
      <c r="BM22" s="148" t="str">
        <f>=IFERROR(INDEX(Budget_ID_Liste, ROW() - 18), "")</f>
      </c>
      <c r="BN22" s="24"/>
      <c r="BO22" s="116" t="str">
        <f>=IFERROR(ROUND(BN22/FB_Kurs_10,2),0)</f>
      </c>
      <c r="BP22" s="115" t="str">
        <f>=IFERROR(BN22 + SUMIFS($BI$19:$BI$26, $BF$19:$BF$26, BM22), BN22)</f>
      </c>
      <c r="BQ22" s="143" t="str">
        <f>=IFERROR(BO22 + SUMIFS($BJ$19:$BJ$26, $BF$19:$BF$26, BM22), BO22)</f>
      </c>
      <c r="BT22" s="148" t="str">
        <f>=IFERROR(INDEX(Budget_ID_Liste, ROW() - 18), "")</f>
      </c>
      <c r="BU22" s="24"/>
      <c r="BV22" s="116" t="str">
        <f>=IFERROR(ROUND(BU22/FB_Kurs_11,2),0)</f>
      </c>
      <c r="BW22" s="115" t="str">
        <f>=IFERROR(BU22 + SUMIFS($BP$19:$BP$26, $BM$19:$BM$26, BT22), BU22)</f>
      </c>
      <c r="BX22" s="143" t="str">
        <f>=IFERROR(BV22 + SUMIFS($BQ$19:$BQ$26, $BM$19:$BM$26, BT22), BV22)</f>
      </c>
      <c r="CA22" s="148" t="str">
        <f>=IFERROR(INDEX(Budget_ID_Liste, ROW() - 18), "")</f>
      </c>
      <c r="CB22" s="24"/>
      <c r="CC22" s="116" t="str">
        <f>=IFERROR(ROUND(CB22/FB_Kurs_12,2),0)</f>
      </c>
      <c r="CD22" s="115" t="str">
        <f>=IFERROR(CB22 + SUMIFS($BW$19:$BW$26, $BT$19:$BT$26, CA22), CB22)</f>
      </c>
      <c r="CE22" s="143" t="str">
        <f>=IFERROR(CC22 + SUMIFS($BX$19:$BX$26, $BT$19:$BT$26, CA22), CC22)</f>
      </c>
      <c r="CH22" s="148" t="str">
        <f>=IFERROR(INDEX(Budget_ID_Liste, ROW() - 18), "")</f>
      </c>
      <c r="CI22" s="24"/>
      <c r="CJ22" s="116" t="str">
        <f>=IFERROR(ROUND(CI22/FB_Kurs_13,2),0)</f>
      </c>
      <c r="CK22" s="115" t="str">
        <f>=IFERROR(CI22 + SUMIFS($CD$19:$CD$26, $CA$19:$CA$26, CH22), CI22)</f>
      </c>
      <c r="CL22" s="143" t="str">
        <f>=IFERROR(CJ22 + SUMIFS($CE$19:$CE$26, $CA$19:$CA$26, CH22), CJ22)</f>
      </c>
      <c r="CO22" s="148" t="str">
        <f>=IFERROR(INDEX(Budget_ID_Liste, ROW() - 18), "")</f>
      </c>
      <c r="CP22" s="24"/>
      <c r="CQ22" s="116" t="str">
        <f>=IFERROR(ROUND(CP22/FB_Kurs_14,2),0)</f>
      </c>
      <c r="CR22" s="115" t="str">
        <f>=IFERROR(CP22 + SUMIFS($CK$19:$CK$26, $CH$19:$CH$26, CO22), CP22)</f>
      </c>
      <c r="CS22" s="143" t="str">
        <f>=IFERROR(CQ22 + SUMIFS($CL$19:$CL$26, $CH$19:$CH$26, CO22), CQ22)</f>
      </c>
      <c r="CV22" s="148" t="str">
        <f>=IFERROR(INDEX(Budget_ID_Liste, ROW() - 18), "")</f>
      </c>
      <c r="CW22" s="24"/>
      <c r="CX22" s="116" t="str">
        <f>=IFERROR(ROUND(CW22/FB_Kurs_15,2),0)</f>
      </c>
      <c r="CY22" s="115" t="str">
        <f>=IFERROR(CW22 + SUMIFS($CR$19:$CR$26, $CO$19:$CO$26, CV22), CW22)</f>
      </c>
      <c r="CZ22" s="143" t="str">
        <f>=IFERROR(CX22 + SUMIFS($CS$19:$CS$26, $CO$19:$CO$26, CV22), CX22)</f>
      </c>
      <c r="DC22" s="148" t="str">
        <f>=IFERROR(INDEX(Budget_ID_Liste, ROW() - 18), "")</f>
      </c>
      <c r="DD22" s="24"/>
      <c r="DE22" s="116" t="str">
        <f>=IFERROR(ROUND(DD22/FB_Kurs_16,2),0)</f>
      </c>
      <c r="DF22" s="115" t="str">
        <f>=IFERROR(DD22 + SUMIFS($CY$19:$CY$26, $CV$19:$CV$26, DC22), DD22)</f>
      </c>
      <c r="DG22" s="143" t="str">
        <f>=IFERROR(DE22 + SUMIFS($CZ$19:$CZ$26, $CV$19:$CV$26, DC22), DE22)</f>
      </c>
      <c r="DJ22" s="148" t="str">
        <f>=IFERROR(INDEX(Budget_ID_Liste, ROW() - 18), "")</f>
      </c>
      <c r="DK22" s="24"/>
      <c r="DL22" s="116" t="str">
        <f>=IFERROR(ROUND(DK22/FB_Kurs_17,2),0)</f>
      </c>
      <c r="DM22" s="115" t="str">
        <f>=IFERROR(DK22 + SUMIFS($DF$19:$DF$26, $DC$19:$DC$26, DJ22), DK22)</f>
      </c>
      <c r="DN22" s="143" t="str">
        <f>=IFERROR(DL22 + SUMIFS($DG$19:$DG$26, $DC$19:$DC$26, DJ22), DL22)</f>
      </c>
      <c r="DQ22" s="148" t="str">
        <f>=IFERROR(INDEX(Budget_ID_Liste, ROW() - 18), "")</f>
      </c>
      <c r="DR22" s="24"/>
      <c r="DS22" s="116" t="str">
        <f>=IFERROR(ROUND(DR22/FB_Kurs_18,2),0)</f>
      </c>
      <c r="DT22" s="115" t="str">
        <f>=IFERROR(DR22 + SUMIFS($DM$19:$DM$26, $DJ$19:$DJ$26, DQ22), DR22)</f>
      </c>
      <c r="DU22" s="143" t="str">
        <f>=IFERROR(DS22 + SUMIFS($DN$19:$DN$26, $DJ$19:$DJ$26,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SUMIFS($E$19:$E$26, $B$19:$B$26, I23), J23)</f>
      </c>
      <c r="M23" s="143" t="str">
        <f>=IFERROR(K23 + SUMIFS($F$19:$F$26, $B$19:$B$26, I23), K23)</f>
      </c>
      <c r="P23" s="148" t="str">
        <f>=IFERROR(INDEX(Budget_ID_Liste, ROW() - 18), "")</f>
      </c>
      <c r="Q23" s="24"/>
      <c r="R23" s="116" t="str">
        <f>=IFERROR(ROUND(Q23/FB_Kurs_3,2),0)</f>
      </c>
      <c r="S23" s="115" t="str">
        <f>=IFERROR(Q23 + SUMIFS($L$19:$L$26, $I$19:$I$26, P23), Q23)</f>
      </c>
      <c r="T23" s="143" t="str">
        <f>=IFERROR(R23 + SUMIFS($M$19:$M$26, $I$19:$I$26, P23), R23)</f>
      </c>
      <c r="W23" s="148" t="str">
        <f>=IFERROR(INDEX(Budget_ID_Liste, ROW() - 18), "")</f>
      </c>
      <c r="X23" s="24"/>
      <c r="Y23" s="116" t="str">
        <f>=IFERROR(ROUND(X23/FB_Kurs_4,2),0)</f>
      </c>
      <c r="Z23" s="115" t="str">
        <f>=IFERROR(X23 + SUMIFS($S$19:$S$26, $P$19:$P$26, W23), X23)</f>
      </c>
      <c r="AA23" s="143" t="str">
        <f>=IFERROR(Y23 + SUMIFS($T$19:$T$26, $P$19:$P$26, W23), Y23)</f>
      </c>
      <c r="AD23" s="148" t="str">
        <f>=IFERROR(INDEX(Budget_ID_Liste, ROW() - 18), "")</f>
      </c>
      <c r="AE23" s="24"/>
      <c r="AF23" s="116" t="str">
        <f>=IFERROR(ROUND(AE23/FB_Kurs_5,2),0)</f>
      </c>
      <c r="AG23" s="115" t="str">
        <f>=IFERROR(AE23 + SUMIFS($Z$19:$Z$26, $W$19:$W$26, AD23), AE23)</f>
      </c>
      <c r="AH23" s="143" t="str">
        <f>=IFERROR(AF23 + SUMIFS($AA$19:$AA$26, $W$19:$W$26, AD23), AF23)</f>
      </c>
      <c r="AK23" s="148" t="str">
        <f>=IFERROR(INDEX(Budget_ID_Liste, ROW() - 18), "")</f>
      </c>
      <c r="AL23" s="24"/>
      <c r="AM23" s="116" t="str">
        <f>=IFERROR(ROUND(AL23/FB_Kurs_6,2),0)</f>
      </c>
      <c r="AN23" s="115" t="str">
        <f>=IFERROR(AL23 + SUMIFS($AG$19:$AG$26, $AD$19:$AD$26, AK23), AL23)</f>
      </c>
      <c r="AO23" s="143" t="str">
        <f>=IFERROR(AM23 + SUMIFS($AH$19:$AH$26, $AD$19:$AD$26, AK23), AM23)</f>
      </c>
      <c r="AR23" s="148" t="str">
        <f>=IFERROR(INDEX(Budget_ID_Liste, ROW() - 18), "")</f>
      </c>
      <c r="AS23" s="24"/>
      <c r="AT23" s="116" t="str">
        <f>=IFERROR(ROUND(AS23/FB_Kurs_7,2),0)</f>
      </c>
      <c r="AU23" s="115" t="str">
        <f>=IFERROR(AS23 + SUMIFS($AN$19:$AN$26, $AK$19:$AK$26, AR23), AS23)</f>
      </c>
      <c r="AV23" s="143" t="str">
        <f>=IFERROR(AT23 + SUMIFS($AO$19:$AO$26, $AK$19:$AK$26, AR23), AT23)</f>
      </c>
      <c r="AY23" s="148" t="str">
        <f>=IFERROR(INDEX(Budget_ID_Liste, ROW() - 18), "")</f>
      </c>
      <c r="AZ23" s="24"/>
      <c r="BA23" s="116" t="str">
        <f>=IFERROR(ROUND(AZ23/FB_Kurs_8,2),0)</f>
      </c>
      <c r="BB23" s="115" t="str">
        <f>=IFERROR(AZ23 + SUMIFS($AU$19:$AU$26, $AR$19:$AR$26, AY23), AZ23)</f>
      </c>
      <c r="BC23" s="143" t="str">
        <f>=IFERROR(BA23 + SUMIFS($AV$19:$AV$26, $AR$19:$AR$26, AY23), BA23)</f>
      </c>
      <c r="BF23" s="148" t="str">
        <f>=IFERROR(INDEX(Budget_ID_Liste, ROW() - 18), "")</f>
      </c>
      <c r="BG23" s="24"/>
      <c r="BH23" s="116" t="str">
        <f>=IFERROR(ROUND(BG23/FB_Kurs_9,2),0)</f>
      </c>
      <c r="BI23" s="115" t="str">
        <f>=IFERROR(BG23 + SUMIFS($BB$19:$BB$26, $AY$19:$AY$26, BF23), BG23)</f>
      </c>
      <c r="BJ23" s="143" t="str">
        <f>=IFERROR(BH23 + SUMIFS($BC$19:$BC$26, $AY$19:$AY$26, BF23), BH23)</f>
      </c>
      <c r="BM23" s="148" t="str">
        <f>=IFERROR(INDEX(Budget_ID_Liste, ROW() - 18), "")</f>
      </c>
      <c r="BN23" s="24"/>
      <c r="BO23" s="116" t="str">
        <f>=IFERROR(ROUND(BN23/FB_Kurs_10,2),0)</f>
      </c>
      <c r="BP23" s="115" t="str">
        <f>=IFERROR(BN23 + SUMIFS($BI$19:$BI$26, $BF$19:$BF$26, BM23), BN23)</f>
      </c>
      <c r="BQ23" s="143" t="str">
        <f>=IFERROR(BO23 + SUMIFS($BJ$19:$BJ$26, $BF$19:$BF$26, BM23), BO23)</f>
      </c>
      <c r="BT23" s="148" t="str">
        <f>=IFERROR(INDEX(Budget_ID_Liste, ROW() - 18), "")</f>
      </c>
      <c r="BU23" s="24"/>
      <c r="BV23" s="116" t="str">
        <f>=IFERROR(ROUND(BU23/FB_Kurs_11,2),0)</f>
      </c>
      <c r="BW23" s="115" t="str">
        <f>=IFERROR(BU23 + SUMIFS($BP$19:$BP$26, $BM$19:$BM$26, BT23), BU23)</f>
      </c>
      <c r="BX23" s="143" t="str">
        <f>=IFERROR(BV23 + SUMIFS($BQ$19:$BQ$26, $BM$19:$BM$26, BT23), BV23)</f>
      </c>
      <c r="CA23" s="148" t="str">
        <f>=IFERROR(INDEX(Budget_ID_Liste, ROW() - 18), "")</f>
      </c>
      <c r="CB23" s="24"/>
      <c r="CC23" s="116" t="str">
        <f>=IFERROR(ROUND(CB23/FB_Kurs_12,2),0)</f>
      </c>
      <c r="CD23" s="115" t="str">
        <f>=IFERROR(CB23 + SUMIFS($BW$19:$BW$26, $BT$19:$BT$26, CA23), CB23)</f>
      </c>
      <c r="CE23" s="143" t="str">
        <f>=IFERROR(CC23 + SUMIFS($BX$19:$BX$26, $BT$19:$BT$26, CA23), CC23)</f>
      </c>
      <c r="CH23" s="148" t="str">
        <f>=IFERROR(INDEX(Budget_ID_Liste, ROW() - 18), "")</f>
      </c>
      <c r="CI23" s="24"/>
      <c r="CJ23" s="116" t="str">
        <f>=IFERROR(ROUND(CI23/FB_Kurs_13,2),0)</f>
      </c>
      <c r="CK23" s="115" t="str">
        <f>=IFERROR(CI23 + SUMIFS($CD$19:$CD$26, $CA$19:$CA$26, CH23), CI23)</f>
      </c>
      <c r="CL23" s="143" t="str">
        <f>=IFERROR(CJ23 + SUMIFS($CE$19:$CE$26, $CA$19:$CA$26, CH23), CJ23)</f>
      </c>
      <c r="CO23" s="148" t="str">
        <f>=IFERROR(INDEX(Budget_ID_Liste, ROW() - 18), "")</f>
      </c>
      <c r="CP23" s="24"/>
      <c r="CQ23" s="116" t="str">
        <f>=IFERROR(ROUND(CP23/FB_Kurs_14,2),0)</f>
      </c>
      <c r="CR23" s="115" t="str">
        <f>=IFERROR(CP23 + SUMIFS($CK$19:$CK$26, $CH$19:$CH$26, CO23), CP23)</f>
      </c>
      <c r="CS23" s="143" t="str">
        <f>=IFERROR(CQ23 + SUMIFS($CL$19:$CL$26, $CH$19:$CH$26, CO23), CQ23)</f>
      </c>
      <c r="CV23" s="148" t="str">
        <f>=IFERROR(INDEX(Budget_ID_Liste, ROW() - 18), "")</f>
      </c>
      <c r="CW23" s="24"/>
      <c r="CX23" s="116" t="str">
        <f>=IFERROR(ROUND(CW23/FB_Kurs_15,2),0)</f>
      </c>
      <c r="CY23" s="115" t="str">
        <f>=IFERROR(CW23 + SUMIFS($CR$19:$CR$26, $CO$19:$CO$26, CV23), CW23)</f>
      </c>
      <c r="CZ23" s="143" t="str">
        <f>=IFERROR(CX23 + SUMIFS($CS$19:$CS$26, $CO$19:$CO$26, CV23), CX23)</f>
      </c>
      <c r="DC23" s="148" t="str">
        <f>=IFERROR(INDEX(Budget_ID_Liste, ROW() - 18), "")</f>
      </c>
      <c r="DD23" s="24"/>
      <c r="DE23" s="116" t="str">
        <f>=IFERROR(ROUND(DD23/FB_Kurs_16,2),0)</f>
      </c>
      <c r="DF23" s="115" t="str">
        <f>=IFERROR(DD23 + SUMIFS($CY$19:$CY$26, $CV$19:$CV$26, DC23), DD23)</f>
      </c>
      <c r="DG23" s="143" t="str">
        <f>=IFERROR(DE23 + SUMIFS($CZ$19:$CZ$26, $CV$19:$CV$26, DC23), DE23)</f>
      </c>
      <c r="DJ23" s="148" t="str">
        <f>=IFERROR(INDEX(Budget_ID_Liste, ROW() - 18), "")</f>
      </c>
      <c r="DK23" s="24"/>
      <c r="DL23" s="116" t="str">
        <f>=IFERROR(ROUND(DK23/FB_Kurs_17,2),0)</f>
      </c>
      <c r="DM23" s="115" t="str">
        <f>=IFERROR(DK23 + SUMIFS($DF$19:$DF$26, $DC$19:$DC$26, DJ23), DK23)</f>
      </c>
      <c r="DN23" s="143" t="str">
        <f>=IFERROR(DL23 + SUMIFS($DG$19:$DG$26, $DC$19:$DC$26, DJ23), DL23)</f>
      </c>
      <c r="DQ23" s="148" t="str">
        <f>=IFERROR(INDEX(Budget_ID_Liste, ROW() - 18), "")</f>
      </c>
      <c r="DR23" s="24"/>
      <c r="DS23" s="116" t="str">
        <f>=IFERROR(ROUND(DR23/FB_Kurs_18,2),0)</f>
      </c>
      <c r="DT23" s="115" t="str">
        <f>=IFERROR(DR23 + SUMIFS($DM$19:$DM$26, $DJ$19:$DJ$26, DQ23), DR23)</f>
      </c>
      <c r="DU23" s="143" t="str">
        <f>=IFERROR(DS23 + SUMIFS($DN$19:$DN$26, $DJ$19:$DJ$26,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SUMIFS($E$19:$E$26, $B$19:$B$26, I24), J24)</f>
      </c>
      <c r="M24" s="143" t="str">
        <f>=IFERROR(K24 + SUMIFS($F$19:$F$26, $B$19:$B$26, I24), K24)</f>
      </c>
      <c r="P24" s="148" t="str">
        <f>=IFERROR(INDEX(Budget_ID_Liste, ROW() - 18), "")</f>
      </c>
      <c r="Q24" s="24"/>
      <c r="R24" s="116" t="str">
        <f>=IFERROR(ROUND(Q24/FB_Kurs_3,2),0)</f>
      </c>
      <c r="S24" s="115" t="str">
        <f>=IFERROR(Q24 + SUMIFS($L$19:$L$26, $I$19:$I$26, P24), Q24)</f>
      </c>
      <c r="T24" s="143" t="str">
        <f>=IFERROR(R24 + SUMIFS($M$19:$M$26, $I$19:$I$26, P24), R24)</f>
      </c>
      <c r="W24" s="148" t="str">
        <f>=IFERROR(INDEX(Budget_ID_Liste, ROW() - 18), "")</f>
      </c>
      <c r="X24" s="24"/>
      <c r="Y24" s="116" t="str">
        <f>=IFERROR(ROUND(X24/FB_Kurs_4,2),0)</f>
      </c>
      <c r="Z24" s="115" t="str">
        <f>=IFERROR(X24 + SUMIFS($S$19:$S$26, $P$19:$P$26, W24), X24)</f>
      </c>
      <c r="AA24" s="143" t="str">
        <f>=IFERROR(Y24 + SUMIFS($T$19:$T$26, $P$19:$P$26, W24), Y24)</f>
      </c>
      <c r="AD24" s="148" t="str">
        <f>=IFERROR(INDEX(Budget_ID_Liste, ROW() - 18), "")</f>
      </c>
      <c r="AE24" s="24"/>
      <c r="AF24" s="116" t="str">
        <f>=IFERROR(ROUND(AE24/FB_Kurs_5,2),0)</f>
      </c>
      <c r="AG24" s="115" t="str">
        <f>=IFERROR(AE24 + SUMIFS($Z$19:$Z$26, $W$19:$W$26, AD24), AE24)</f>
      </c>
      <c r="AH24" s="143" t="str">
        <f>=IFERROR(AF24 + SUMIFS($AA$19:$AA$26, $W$19:$W$26, AD24), AF24)</f>
      </c>
      <c r="AK24" s="148" t="str">
        <f>=IFERROR(INDEX(Budget_ID_Liste, ROW() - 18), "")</f>
      </c>
      <c r="AL24" s="24"/>
      <c r="AM24" s="116" t="str">
        <f>=IFERROR(ROUND(AL24/FB_Kurs_6,2),0)</f>
      </c>
      <c r="AN24" s="115" t="str">
        <f>=IFERROR(AL24 + SUMIFS($AG$19:$AG$26, $AD$19:$AD$26, AK24), AL24)</f>
      </c>
      <c r="AO24" s="143" t="str">
        <f>=IFERROR(AM24 + SUMIFS($AH$19:$AH$26, $AD$19:$AD$26, AK24), AM24)</f>
      </c>
      <c r="AR24" s="148" t="str">
        <f>=IFERROR(INDEX(Budget_ID_Liste, ROW() - 18), "")</f>
      </c>
      <c r="AS24" s="24"/>
      <c r="AT24" s="116" t="str">
        <f>=IFERROR(ROUND(AS24/FB_Kurs_7,2),0)</f>
      </c>
      <c r="AU24" s="115" t="str">
        <f>=IFERROR(AS24 + SUMIFS($AN$19:$AN$26, $AK$19:$AK$26, AR24), AS24)</f>
      </c>
      <c r="AV24" s="143" t="str">
        <f>=IFERROR(AT24 + SUMIFS($AO$19:$AO$26, $AK$19:$AK$26, AR24), AT24)</f>
      </c>
      <c r="AY24" s="148" t="str">
        <f>=IFERROR(INDEX(Budget_ID_Liste, ROW() - 18), "")</f>
      </c>
      <c r="AZ24" s="24"/>
      <c r="BA24" s="116" t="str">
        <f>=IFERROR(ROUND(AZ24/FB_Kurs_8,2),0)</f>
      </c>
      <c r="BB24" s="115" t="str">
        <f>=IFERROR(AZ24 + SUMIFS($AU$19:$AU$26, $AR$19:$AR$26, AY24), AZ24)</f>
      </c>
      <c r="BC24" s="143" t="str">
        <f>=IFERROR(BA24 + SUMIFS($AV$19:$AV$26, $AR$19:$AR$26, AY24), BA24)</f>
      </c>
      <c r="BF24" s="148" t="str">
        <f>=IFERROR(INDEX(Budget_ID_Liste, ROW() - 18), "")</f>
      </c>
      <c r="BG24" s="24"/>
      <c r="BH24" s="116" t="str">
        <f>=IFERROR(ROUND(BG24/FB_Kurs_9,2),0)</f>
      </c>
      <c r="BI24" s="115" t="str">
        <f>=IFERROR(BG24 + SUMIFS($BB$19:$BB$26, $AY$19:$AY$26, BF24), BG24)</f>
      </c>
      <c r="BJ24" s="143" t="str">
        <f>=IFERROR(BH24 + SUMIFS($BC$19:$BC$26, $AY$19:$AY$26, BF24), BH24)</f>
      </c>
      <c r="BM24" s="148" t="str">
        <f>=IFERROR(INDEX(Budget_ID_Liste, ROW() - 18), "")</f>
      </c>
      <c r="BN24" s="24"/>
      <c r="BO24" s="116" t="str">
        <f>=IFERROR(ROUND(BN24/FB_Kurs_10,2),0)</f>
      </c>
      <c r="BP24" s="115" t="str">
        <f>=IFERROR(BN24 + SUMIFS($BI$19:$BI$26, $BF$19:$BF$26, BM24), BN24)</f>
      </c>
      <c r="BQ24" s="143" t="str">
        <f>=IFERROR(BO24 + SUMIFS($BJ$19:$BJ$26, $BF$19:$BF$26, BM24), BO24)</f>
      </c>
      <c r="BT24" s="148" t="str">
        <f>=IFERROR(INDEX(Budget_ID_Liste, ROW() - 18), "")</f>
      </c>
      <c r="BU24" s="24"/>
      <c r="BV24" s="116" t="str">
        <f>=IFERROR(ROUND(BU24/FB_Kurs_11,2),0)</f>
      </c>
      <c r="BW24" s="115" t="str">
        <f>=IFERROR(BU24 + SUMIFS($BP$19:$BP$26, $BM$19:$BM$26, BT24), BU24)</f>
      </c>
      <c r="BX24" s="143" t="str">
        <f>=IFERROR(BV24 + SUMIFS($BQ$19:$BQ$26, $BM$19:$BM$26, BT24), BV24)</f>
      </c>
      <c r="CA24" s="148" t="str">
        <f>=IFERROR(INDEX(Budget_ID_Liste, ROW() - 18), "")</f>
      </c>
      <c r="CB24" s="24"/>
      <c r="CC24" s="116" t="str">
        <f>=IFERROR(ROUND(CB24/FB_Kurs_12,2),0)</f>
      </c>
      <c r="CD24" s="115" t="str">
        <f>=IFERROR(CB24 + SUMIFS($BW$19:$BW$26, $BT$19:$BT$26, CA24), CB24)</f>
      </c>
      <c r="CE24" s="143" t="str">
        <f>=IFERROR(CC24 + SUMIFS($BX$19:$BX$26, $BT$19:$BT$26, CA24), CC24)</f>
      </c>
      <c r="CH24" s="148" t="str">
        <f>=IFERROR(INDEX(Budget_ID_Liste, ROW() - 18), "")</f>
      </c>
      <c r="CI24" s="24"/>
      <c r="CJ24" s="116" t="str">
        <f>=IFERROR(ROUND(CI24/FB_Kurs_13,2),0)</f>
      </c>
      <c r="CK24" s="115" t="str">
        <f>=IFERROR(CI24 + SUMIFS($CD$19:$CD$26, $CA$19:$CA$26, CH24), CI24)</f>
      </c>
      <c r="CL24" s="143" t="str">
        <f>=IFERROR(CJ24 + SUMIFS($CE$19:$CE$26, $CA$19:$CA$26, CH24), CJ24)</f>
      </c>
      <c r="CO24" s="148" t="str">
        <f>=IFERROR(INDEX(Budget_ID_Liste, ROW() - 18), "")</f>
      </c>
      <c r="CP24" s="24"/>
      <c r="CQ24" s="116" t="str">
        <f>=IFERROR(ROUND(CP24/FB_Kurs_14,2),0)</f>
      </c>
      <c r="CR24" s="115" t="str">
        <f>=IFERROR(CP24 + SUMIFS($CK$19:$CK$26, $CH$19:$CH$26, CO24), CP24)</f>
      </c>
      <c r="CS24" s="143" t="str">
        <f>=IFERROR(CQ24 + SUMIFS($CL$19:$CL$26, $CH$19:$CH$26, CO24), CQ24)</f>
      </c>
      <c r="CV24" s="148" t="str">
        <f>=IFERROR(INDEX(Budget_ID_Liste, ROW() - 18), "")</f>
      </c>
      <c r="CW24" s="24"/>
      <c r="CX24" s="116" t="str">
        <f>=IFERROR(ROUND(CW24/FB_Kurs_15,2),0)</f>
      </c>
      <c r="CY24" s="115" t="str">
        <f>=IFERROR(CW24 + SUMIFS($CR$19:$CR$26, $CO$19:$CO$26, CV24), CW24)</f>
      </c>
      <c r="CZ24" s="143" t="str">
        <f>=IFERROR(CX24 + SUMIFS($CS$19:$CS$26, $CO$19:$CO$26, CV24), CX24)</f>
      </c>
      <c r="DC24" s="148" t="str">
        <f>=IFERROR(INDEX(Budget_ID_Liste, ROW() - 18), "")</f>
      </c>
      <c r="DD24" s="24"/>
      <c r="DE24" s="116" t="str">
        <f>=IFERROR(ROUND(DD24/FB_Kurs_16,2),0)</f>
      </c>
      <c r="DF24" s="115" t="str">
        <f>=IFERROR(DD24 + SUMIFS($CY$19:$CY$26, $CV$19:$CV$26, DC24), DD24)</f>
      </c>
      <c r="DG24" s="143" t="str">
        <f>=IFERROR(DE24 + SUMIFS($CZ$19:$CZ$26, $CV$19:$CV$26, DC24), DE24)</f>
      </c>
      <c r="DJ24" s="148" t="str">
        <f>=IFERROR(INDEX(Budget_ID_Liste, ROW() - 18), "")</f>
      </c>
      <c r="DK24" s="24"/>
      <c r="DL24" s="116" t="str">
        <f>=IFERROR(ROUND(DK24/FB_Kurs_17,2),0)</f>
      </c>
      <c r="DM24" s="115" t="str">
        <f>=IFERROR(DK24 + SUMIFS($DF$19:$DF$26, $DC$19:$DC$26, DJ24), DK24)</f>
      </c>
      <c r="DN24" s="143" t="str">
        <f>=IFERROR(DL24 + SUMIFS($DG$19:$DG$26, $DC$19:$DC$26, DJ24), DL24)</f>
      </c>
      <c r="DQ24" s="148" t="str">
        <f>=IFERROR(INDEX(Budget_ID_Liste, ROW() - 18), "")</f>
      </c>
      <c r="DR24" s="24"/>
      <c r="DS24" s="116" t="str">
        <f>=IFERROR(ROUND(DR24/FB_Kurs_18,2),0)</f>
      </c>
      <c r="DT24" s="115" t="str">
        <f>=IFERROR(DR24 + SUMIFS($DM$19:$DM$26, $DJ$19:$DJ$26, DQ24), DR24)</f>
      </c>
      <c r="DU24" s="143" t="str">
        <f>=IFERROR(DS24 + SUMIFS($DN$19:$DN$26, $DJ$19:$DJ$26,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SUMIFS($E$19:$E$26, $B$19:$B$26, I25), J25)</f>
      </c>
      <c r="M25" s="143" t="str">
        <f>=IFERROR(K25 + SUMIFS($F$19:$F$26, $B$19:$B$26, I25), K25)</f>
      </c>
      <c r="P25" s="148" t="str">
        <f>=IFERROR(INDEX(Budget_ID_Liste, ROW() - 18), "")</f>
      </c>
      <c r="Q25" s="24"/>
      <c r="R25" s="116" t="str">
        <f>=IFERROR(ROUND(Q25/FB_Kurs_3,2),0)</f>
      </c>
      <c r="S25" s="115" t="str">
        <f>=IFERROR(Q25 + SUMIFS($L$19:$L$26, $I$19:$I$26, P25), Q25)</f>
      </c>
      <c r="T25" s="143" t="str">
        <f>=IFERROR(R25 + SUMIFS($M$19:$M$26, $I$19:$I$26, P25), R25)</f>
      </c>
      <c r="W25" s="148" t="str">
        <f>=IFERROR(INDEX(Budget_ID_Liste, ROW() - 18), "")</f>
      </c>
      <c r="X25" s="24"/>
      <c r="Y25" s="116" t="str">
        <f>=IFERROR(ROUND(X25/FB_Kurs_4,2),0)</f>
      </c>
      <c r="Z25" s="115" t="str">
        <f>=IFERROR(X25 + SUMIFS($S$19:$S$26, $P$19:$P$26, W25), X25)</f>
      </c>
      <c r="AA25" s="143" t="str">
        <f>=IFERROR(Y25 + SUMIFS($T$19:$T$26, $P$19:$P$26, W25), Y25)</f>
      </c>
      <c r="AD25" s="148" t="str">
        <f>=IFERROR(INDEX(Budget_ID_Liste, ROW() - 18), "")</f>
      </c>
      <c r="AE25" s="24"/>
      <c r="AF25" s="116" t="str">
        <f>=IFERROR(ROUND(AE25/FB_Kurs_5,2),0)</f>
      </c>
      <c r="AG25" s="115" t="str">
        <f>=IFERROR(AE25 + SUMIFS($Z$19:$Z$26, $W$19:$W$26, AD25), AE25)</f>
      </c>
      <c r="AH25" s="143" t="str">
        <f>=IFERROR(AF25 + SUMIFS($AA$19:$AA$26, $W$19:$W$26, AD25), AF25)</f>
      </c>
      <c r="AK25" s="148" t="str">
        <f>=IFERROR(INDEX(Budget_ID_Liste, ROW() - 18), "")</f>
      </c>
      <c r="AL25" s="24"/>
      <c r="AM25" s="116" t="str">
        <f>=IFERROR(ROUND(AL25/FB_Kurs_6,2),0)</f>
      </c>
      <c r="AN25" s="115" t="str">
        <f>=IFERROR(AL25 + SUMIFS($AG$19:$AG$26, $AD$19:$AD$26, AK25), AL25)</f>
      </c>
      <c r="AO25" s="143" t="str">
        <f>=IFERROR(AM25 + SUMIFS($AH$19:$AH$26, $AD$19:$AD$26, AK25), AM25)</f>
      </c>
      <c r="AR25" s="148" t="str">
        <f>=IFERROR(INDEX(Budget_ID_Liste, ROW() - 18), "")</f>
      </c>
      <c r="AS25" s="24"/>
      <c r="AT25" s="116" t="str">
        <f>=IFERROR(ROUND(AS25/FB_Kurs_7,2),0)</f>
      </c>
      <c r="AU25" s="115" t="str">
        <f>=IFERROR(AS25 + SUMIFS($AN$19:$AN$26, $AK$19:$AK$26, AR25), AS25)</f>
      </c>
      <c r="AV25" s="143" t="str">
        <f>=IFERROR(AT25 + SUMIFS($AO$19:$AO$26, $AK$19:$AK$26, AR25), AT25)</f>
      </c>
      <c r="AY25" s="148" t="str">
        <f>=IFERROR(INDEX(Budget_ID_Liste, ROW() - 18), "")</f>
      </c>
      <c r="AZ25" s="24"/>
      <c r="BA25" s="116" t="str">
        <f>=IFERROR(ROUND(AZ25/FB_Kurs_8,2),0)</f>
      </c>
      <c r="BB25" s="115" t="str">
        <f>=IFERROR(AZ25 + SUMIFS($AU$19:$AU$26, $AR$19:$AR$26, AY25), AZ25)</f>
      </c>
      <c r="BC25" s="143" t="str">
        <f>=IFERROR(BA25 + SUMIFS($AV$19:$AV$26, $AR$19:$AR$26, AY25), BA25)</f>
      </c>
      <c r="BF25" s="148" t="str">
        <f>=IFERROR(INDEX(Budget_ID_Liste, ROW() - 18), "")</f>
      </c>
      <c r="BG25" s="24"/>
      <c r="BH25" s="116" t="str">
        <f>=IFERROR(ROUND(BG25/FB_Kurs_9,2),0)</f>
      </c>
      <c r="BI25" s="115" t="str">
        <f>=IFERROR(BG25 + SUMIFS($BB$19:$BB$26, $AY$19:$AY$26, BF25), BG25)</f>
      </c>
      <c r="BJ25" s="143" t="str">
        <f>=IFERROR(BH25 + SUMIFS($BC$19:$BC$26, $AY$19:$AY$26, BF25), BH25)</f>
      </c>
      <c r="BM25" s="148" t="str">
        <f>=IFERROR(INDEX(Budget_ID_Liste, ROW() - 18), "")</f>
      </c>
      <c r="BN25" s="24"/>
      <c r="BO25" s="116" t="str">
        <f>=IFERROR(ROUND(BN25/FB_Kurs_10,2),0)</f>
      </c>
      <c r="BP25" s="115" t="str">
        <f>=IFERROR(BN25 + SUMIFS($BI$19:$BI$26, $BF$19:$BF$26, BM25), BN25)</f>
      </c>
      <c r="BQ25" s="143" t="str">
        <f>=IFERROR(BO25 + SUMIFS($BJ$19:$BJ$26, $BF$19:$BF$26, BM25), BO25)</f>
      </c>
      <c r="BT25" s="148" t="str">
        <f>=IFERROR(INDEX(Budget_ID_Liste, ROW() - 18), "")</f>
      </c>
      <c r="BU25" s="24"/>
      <c r="BV25" s="116" t="str">
        <f>=IFERROR(ROUND(BU25/FB_Kurs_11,2),0)</f>
      </c>
      <c r="BW25" s="115" t="str">
        <f>=IFERROR(BU25 + SUMIFS($BP$19:$BP$26, $BM$19:$BM$26, BT25), BU25)</f>
      </c>
      <c r="BX25" s="143" t="str">
        <f>=IFERROR(BV25 + SUMIFS($BQ$19:$BQ$26, $BM$19:$BM$26, BT25), BV25)</f>
      </c>
      <c r="CA25" s="148" t="str">
        <f>=IFERROR(INDEX(Budget_ID_Liste, ROW() - 18), "")</f>
      </c>
      <c r="CB25" s="24"/>
      <c r="CC25" s="116" t="str">
        <f>=IFERROR(ROUND(CB25/FB_Kurs_12,2),0)</f>
      </c>
      <c r="CD25" s="115" t="str">
        <f>=IFERROR(CB25 + SUMIFS($BW$19:$BW$26, $BT$19:$BT$26, CA25), CB25)</f>
      </c>
      <c r="CE25" s="143" t="str">
        <f>=IFERROR(CC25 + SUMIFS($BX$19:$BX$26, $BT$19:$BT$26, CA25), CC25)</f>
      </c>
      <c r="CH25" s="148" t="str">
        <f>=IFERROR(INDEX(Budget_ID_Liste, ROW() - 18), "")</f>
      </c>
      <c r="CI25" s="24"/>
      <c r="CJ25" s="116" t="str">
        <f>=IFERROR(ROUND(CI25/FB_Kurs_13,2),0)</f>
      </c>
      <c r="CK25" s="115" t="str">
        <f>=IFERROR(CI25 + SUMIFS($CD$19:$CD$26, $CA$19:$CA$26, CH25), CI25)</f>
      </c>
      <c r="CL25" s="143" t="str">
        <f>=IFERROR(CJ25 + SUMIFS($CE$19:$CE$26, $CA$19:$CA$26, CH25), CJ25)</f>
      </c>
      <c r="CO25" s="148" t="str">
        <f>=IFERROR(INDEX(Budget_ID_Liste, ROW() - 18), "")</f>
      </c>
      <c r="CP25" s="24"/>
      <c r="CQ25" s="116" t="str">
        <f>=IFERROR(ROUND(CP25/FB_Kurs_14,2),0)</f>
      </c>
      <c r="CR25" s="115" t="str">
        <f>=IFERROR(CP25 + SUMIFS($CK$19:$CK$26, $CH$19:$CH$26, CO25), CP25)</f>
      </c>
      <c r="CS25" s="143" t="str">
        <f>=IFERROR(CQ25 + SUMIFS($CL$19:$CL$26, $CH$19:$CH$26, CO25), CQ25)</f>
      </c>
      <c r="CV25" s="148" t="str">
        <f>=IFERROR(INDEX(Budget_ID_Liste, ROW() - 18), "")</f>
      </c>
      <c r="CW25" s="24"/>
      <c r="CX25" s="116" t="str">
        <f>=IFERROR(ROUND(CW25/FB_Kurs_15,2),0)</f>
      </c>
      <c r="CY25" s="115" t="str">
        <f>=IFERROR(CW25 + SUMIFS($CR$19:$CR$26, $CO$19:$CO$26, CV25), CW25)</f>
      </c>
      <c r="CZ25" s="143" t="str">
        <f>=IFERROR(CX25 + SUMIFS($CS$19:$CS$26, $CO$19:$CO$26, CV25), CX25)</f>
      </c>
      <c r="DC25" s="148" t="str">
        <f>=IFERROR(INDEX(Budget_ID_Liste, ROW() - 18), "")</f>
      </c>
      <c r="DD25" s="24"/>
      <c r="DE25" s="116" t="str">
        <f>=IFERROR(ROUND(DD25/FB_Kurs_16,2),0)</f>
      </c>
      <c r="DF25" s="115" t="str">
        <f>=IFERROR(DD25 + SUMIFS($CY$19:$CY$26, $CV$19:$CV$26, DC25), DD25)</f>
      </c>
      <c r="DG25" s="143" t="str">
        <f>=IFERROR(DE25 + SUMIFS($CZ$19:$CZ$26, $CV$19:$CV$26, DC25), DE25)</f>
      </c>
      <c r="DJ25" s="148" t="str">
        <f>=IFERROR(INDEX(Budget_ID_Liste, ROW() - 18), "")</f>
      </c>
      <c r="DK25" s="24"/>
      <c r="DL25" s="116" t="str">
        <f>=IFERROR(ROUND(DK25/FB_Kurs_17,2),0)</f>
      </c>
      <c r="DM25" s="115" t="str">
        <f>=IFERROR(DK25 + SUMIFS($DF$19:$DF$26, $DC$19:$DC$26, DJ25), DK25)</f>
      </c>
      <c r="DN25" s="143" t="str">
        <f>=IFERROR(DL25 + SUMIFS($DG$19:$DG$26, $DC$19:$DC$26, DJ25), DL25)</f>
      </c>
      <c r="DQ25" s="148" t="str">
        <f>=IFERROR(INDEX(Budget_ID_Liste, ROW() - 18), "")</f>
      </c>
      <c r="DR25" s="24"/>
      <c r="DS25" s="116" t="str">
        <f>=IFERROR(ROUND(DR25/FB_Kurs_18,2),0)</f>
      </c>
      <c r="DT25" s="115" t="str">
        <f>=IFERROR(DR25 + SUMIFS($DM$19:$DM$26, $DJ$19:$DJ$26, DQ25), DR25)</f>
      </c>
      <c r="DU25" s="143" t="str">
        <f>=IFERROR(DS25 + SUMIFS($DN$19:$DN$26, $DJ$19:$DJ$26,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SUMIFS($E$19:$E$26, $B$19:$B$26, I26), J26)</f>
      </c>
      <c r="M26" s="143" t="str">
        <f>=IFERROR(K26 + SUMIFS($F$19:$F$26, $B$19:$B$26, I26), K26)</f>
      </c>
      <c r="P26" s="148" t="str">
        <f>=IFERROR(INDEX(Budget_ID_Liste, ROW() - 18), "")</f>
      </c>
      <c r="Q26" s="24"/>
      <c r="R26" s="116" t="str">
        <f>=IFERROR(ROUND(Q26/FB_Kurs_3,2),0)</f>
      </c>
      <c r="S26" s="115" t="str">
        <f>=IFERROR(Q26 + SUMIFS($L$19:$L$26, $I$19:$I$26, P26), Q26)</f>
      </c>
      <c r="T26" s="143" t="str">
        <f>=IFERROR(R26 + SUMIFS($M$19:$M$26, $I$19:$I$26, P26), R26)</f>
      </c>
      <c r="W26" s="148" t="str">
        <f>=IFERROR(INDEX(Budget_ID_Liste, ROW() - 18), "")</f>
      </c>
      <c r="X26" s="24"/>
      <c r="Y26" s="116" t="str">
        <f>=IFERROR(ROUND(X26/FB_Kurs_4,2),0)</f>
      </c>
      <c r="Z26" s="115" t="str">
        <f>=IFERROR(X26 + SUMIFS($S$19:$S$26, $P$19:$P$26, W26), X26)</f>
      </c>
      <c r="AA26" s="143" t="str">
        <f>=IFERROR(Y26 + SUMIFS($T$19:$T$26, $P$19:$P$26, W26), Y26)</f>
      </c>
      <c r="AD26" s="148" t="str">
        <f>=IFERROR(INDEX(Budget_ID_Liste, ROW() - 18), "")</f>
      </c>
      <c r="AE26" s="24"/>
      <c r="AF26" s="116" t="str">
        <f>=IFERROR(ROUND(AE26/FB_Kurs_5,2),0)</f>
      </c>
      <c r="AG26" s="115" t="str">
        <f>=IFERROR(AE26 + SUMIFS($Z$19:$Z$26, $W$19:$W$26, AD26), AE26)</f>
      </c>
      <c r="AH26" s="143" t="str">
        <f>=IFERROR(AF26 + SUMIFS($AA$19:$AA$26, $W$19:$W$26, AD26), AF26)</f>
      </c>
      <c r="AK26" s="148" t="str">
        <f>=IFERROR(INDEX(Budget_ID_Liste, ROW() - 18), "")</f>
      </c>
      <c r="AL26" s="24"/>
      <c r="AM26" s="116" t="str">
        <f>=IFERROR(ROUND(AL26/FB_Kurs_6,2),0)</f>
      </c>
      <c r="AN26" s="115" t="str">
        <f>=IFERROR(AL26 + SUMIFS($AG$19:$AG$26, $AD$19:$AD$26, AK26), AL26)</f>
      </c>
      <c r="AO26" s="143" t="str">
        <f>=IFERROR(AM26 + SUMIFS($AH$19:$AH$26, $AD$19:$AD$26, AK26), AM26)</f>
      </c>
      <c r="AR26" s="148" t="str">
        <f>=IFERROR(INDEX(Budget_ID_Liste, ROW() - 18), "")</f>
      </c>
      <c r="AS26" s="24"/>
      <c r="AT26" s="116" t="str">
        <f>=IFERROR(ROUND(AS26/FB_Kurs_7,2),0)</f>
      </c>
      <c r="AU26" s="115" t="str">
        <f>=IFERROR(AS26 + SUMIFS($AN$19:$AN$26, $AK$19:$AK$26, AR26), AS26)</f>
      </c>
      <c r="AV26" s="143" t="str">
        <f>=IFERROR(AT26 + SUMIFS($AO$19:$AO$26, $AK$19:$AK$26, AR26), AT26)</f>
      </c>
      <c r="AY26" s="148" t="str">
        <f>=IFERROR(INDEX(Budget_ID_Liste, ROW() - 18), "")</f>
      </c>
      <c r="AZ26" s="24"/>
      <c r="BA26" s="116" t="str">
        <f>=IFERROR(ROUND(AZ26/FB_Kurs_8,2),0)</f>
      </c>
      <c r="BB26" s="115" t="str">
        <f>=IFERROR(AZ26 + SUMIFS($AU$19:$AU$26, $AR$19:$AR$26, AY26), AZ26)</f>
      </c>
      <c r="BC26" s="143" t="str">
        <f>=IFERROR(BA26 + SUMIFS($AV$19:$AV$26, $AR$19:$AR$26, AY26), BA26)</f>
      </c>
      <c r="BF26" s="148" t="str">
        <f>=IFERROR(INDEX(Budget_ID_Liste, ROW() - 18), "")</f>
      </c>
      <c r="BG26" s="24"/>
      <c r="BH26" s="116" t="str">
        <f>=IFERROR(ROUND(BG26/FB_Kurs_9,2),0)</f>
      </c>
      <c r="BI26" s="115" t="str">
        <f>=IFERROR(BG26 + SUMIFS($BB$19:$BB$26, $AY$19:$AY$26, BF26), BG26)</f>
      </c>
      <c r="BJ26" s="143" t="str">
        <f>=IFERROR(BH26 + SUMIFS($BC$19:$BC$26, $AY$19:$AY$26, BF26), BH26)</f>
      </c>
      <c r="BM26" s="148" t="str">
        <f>=IFERROR(INDEX(Budget_ID_Liste, ROW() - 18), "")</f>
      </c>
      <c r="BN26" s="24"/>
      <c r="BO26" s="116" t="str">
        <f>=IFERROR(ROUND(BN26/FB_Kurs_10,2),0)</f>
      </c>
      <c r="BP26" s="115" t="str">
        <f>=IFERROR(BN26 + SUMIFS($BI$19:$BI$26, $BF$19:$BF$26, BM26), BN26)</f>
      </c>
      <c r="BQ26" s="143" t="str">
        <f>=IFERROR(BO26 + SUMIFS($BJ$19:$BJ$26, $BF$19:$BF$26, BM26), BO26)</f>
      </c>
      <c r="BT26" s="148" t="str">
        <f>=IFERROR(INDEX(Budget_ID_Liste, ROW() - 18), "")</f>
      </c>
      <c r="BU26" s="24"/>
      <c r="BV26" s="116" t="str">
        <f>=IFERROR(ROUND(BU26/FB_Kurs_11,2),0)</f>
      </c>
      <c r="BW26" s="115" t="str">
        <f>=IFERROR(BU26 + SUMIFS($BP$19:$BP$26, $BM$19:$BM$26, BT26), BU26)</f>
      </c>
      <c r="BX26" s="143" t="str">
        <f>=IFERROR(BV26 + SUMIFS($BQ$19:$BQ$26, $BM$19:$BM$26, BT26), BV26)</f>
      </c>
      <c r="CA26" s="148" t="str">
        <f>=IFERROR(INDEX(Budget_ID_Liste, ROW() - 18), "")</f>
      </c>
      <c r="CB26" s="24"/>
      <c r="CC26" s="116" t="str">
        <f>=IFERROR(ROUND(CB26/FB_Kurs_12,2),0)</f>
      </c>
      <c r="CD26" s="115" t="str">
        <f>=IFERROR(CB26 + SUMIFS($BW$19:$BW$26, $BT$19:$BT$26, CA26), CB26)</f>
      </c>
      <c r="CE26" s="143" t="str">
        <f>=IFERROR(CC26 + SUMIFS($BX$19:$BX$26, $BT$19:$BT$26, CA26), CC26)</f>
      </c>
      <c r="CH26" s="148" t="str">
        <f>=IFERROR(INDEX(Budget_ID_Liste, ROW() - 18), "")</f>
      </c>
      <c r="CI26" s="24"/>
      <c r="CJ26" s="116" t="str">
        <f>=IFERROR(ROUND(CI26/FB_Kurs_13,2),0)</f>
      </c>
      <c r="CK26" s="115" t="str">
        <f>=IFERROR(CI26 + SUMIFS($CD$19:$CD$26, $CA$19:$CA$26, CH26), CI26)</f>
      </c>
      <c r="CL26" s="143" t="str">
        <f>=IFERROR(CJ26 + SUMIFS($CE$19:$CE$26, $CA$19:$CA$26, CH26), CJ26)</f>
      </c>
      <c r="CO26" s="148" t="str">
        <f>=IFERROR(INDEX(Budget_ID_Liste, ROW() - 18), "")</f>
      </c>
      <c r="CP26" s="24"/>
      <c r="CQ26" s="116" t="str">
        <f>=IFERROR(ROUND(CP26/FB_Kurs_14,2),0)</f>
      </c>
      <c r="CR26" s="115" t="str">
        <f>=IFERROR(CP26 + SUMIFS($CK$19:$CK$26, $CH$19:$CH$26, CO26), CP26)</f>
      </c>
      <c r="CS26" s="143" t="str">
        <f>=IFERROR(CQ26 + SUMIFS($CL$19:$CL$26, $CH$19:$CH$26, CO26), CQ26)</f>
      </c>
      <c r="CV26" s="148" t="str">
        <f>=IFERROR(INDEX(Budget_ID_Liste, ROW() - 18), "")</f>
      </c>
      <c r="CW26" s="24"/>
      <c r="CX26" s="116" t="str">
        <f>=IFERROR(ROUND(CW26/FB_Kurs_15,2),0)</f>
      </c>
      <c r="CY26" s="115" t="str">
        <f>=IFERROR(CW26 + SUMIFS($CR$19:$CR$26, $CO$19:$CO$26, CV26), CW26)</f>
      </c>
      <c r="CZ26" s="143" t="str">
        <f>=IFERROR(CX26 + SUMIFS($CS$19:$CS$26, $CO$19:$CO$26, CV26), CX26)</f>
      </c>
      <c r="DC26" s="148" t="str">
        <f>=IFERROR(INDEX(Budget_ID_Liste, ROW() - 18), "")</f>
      </c>
      <c r="DD26" s="24"/>
      <c r="DE26" s="116" t="str">
        <f>=IFERROR(ROUND(DD26/FB_Kurs_16,2),0)</f>
      </c>
      <c r="DF26" s="115" t="str">
        <f>=IFERROR(DD26 + SUMIFS($CY$19:$CY$26, $CV$19:$CV$26, DC26), DD26)</f>
      </c>
      <c r="DG26" s="143" t="str">
        <f>=IFERROR(DE26 + SUMIFS($CZ$19:$CZ$26, $CV$19:$CV$26, DC26), DE26)</f>
      </c>
      <c r="DJ26" s="148" t="str">
        <f>=IFERROR(INDEX(Budget_ID_Liste, ROW() - 18), "")</f>
      </c>
      <c r="DK26" s="24"/>
      <c r="DL26" s="116" t="str">
        <f>=IFERROR(ROUND(DK26/FB_Kurs_17,2),0)</f>
      </c>
      <c r="DM26" s="115" t="str">
        <f>=IFERROR(DK26 + SUMIFS($DF$19:$DF$26, $DC$19:$DC$26, DJ26), DK26)</f>
      </c>
      <c r="DN26" s="143" t="str">
        <f>=IFERROR(DL26 + SUMIFS($DG$19:$DG$26, $DC$19:$DC$26, DJ26), DL26)</f>
      </c>
      <c r="DQ26" s="148" t="str">
        <f>=IFERROR(INDEX(Budget_ID_Liste, ROW() - 18), "")</f>
      </c>
      <c r="DR26" s="24"/>
      <c r="DS26" s="116" t="str">
        <f>=IFERROR(ROUND(DR26/FB_Kurs_18,2),0)</f>
      </c>
      <c r="DT26" s="115" t="str">
        <f>=IFERROR(DR26 + SUMIFS($DM$19:$DM$26, $DJ$19:$DJ$26, DQ26), DR26)</f>
      </c>
      <c r="DU26" s="143" t="str">
        <f>=IFERROR(DS26 + SUMIFS($DN$19:$DN$26, $DJ$19:$DJ$26, DQ26), DS26)</f>
      </c>
    </row>
    <row r="27">
      <c r="B27" s="149" t="s">
        <v>285</v>
      </c>
      <c r="C27" s="123" t="str">
        <f>=ROUND(SUBTOTAL(109,$C$19:$C$26),2)</f>
      </c>
      <c r="D27" s="124" t="str">
        <f>=ROUND(SUBTOTAL(109,$D$19:$D$26),2)</f>
      </c>
      <c r="E27" s="123" t="str">
        <f>=ROUND(SUBTOTAL(109,$E$19:$E$26),2)</f>
      </c>
      <c r="F27" s="150" t="str">
        <f>=ROUND(SUBTOTAL(109,$F$19:$F$26),2)</f>
      </c>
      <c r="I27" s="149" t="s">
        <v>285</v>
      </c>
      <c r="J27" s="123" t="str">
        <f>=ROUND(SUBTOTAL(109,$J$19:$J$26),2)</f>
      </c>
      <c r="K27" s="124" t="str">
        <f>=ROUND(SUBTOTAL(109,$K$19:$K$26),2)</f>
      </c>
      <c r="L27" s="123" t="str">
        <f>=ROUND(SUBTOTAL(109,$L$19:$L$26),2)</f>
      </c>
      <c r="M27" s="150" t="str">
        <f>=ROUND(SUBTOTAL(109,$M$19:$M$26),2)</f>
      </c>
      <c r="P27" s="149" t="s">
        <v>285</v>
      </c>
      <c r="Q27" s="123" t="str">
        <f>=ROUND(SUBTOTAL(109,$Q$19:$Q$26),2)</f>
      </c>
      <c r="R27" s="124" t="str">
        <f>=ROUND(SUBTOTAL(109,$R$19:$R$26),2)</f>
      </c>
      <c r="S27" s="123" t="str">
        <f>=ROUND(SUBTOTAL(109,$S$19:$S$26),2)</f>
      </c>
      <c r="T27" s="150" t="str">
        <f>=ROUND(SUBTOTAL(109,$T$19:$T$26),2)</f>
      </c>
      <c r="W27" s="149" t="s">
        <v>285</v>
      </c>
      <c r="X27" s="123" t="str">
        <f>=ROUND(SUBTOTAL(109,$X$19:$X$26),2)</f>
      </c>
      <c r="Y27" s="124" t="str">
        <f>=ROUND(SUBTOTAL(109,$Y$19:$Y$26),2)</f>
      </c>
      <c r="Z27" s="123" t="str">
        <f>=ROUND(SUBTOTAL(109,$Z$19:$Z$26),2)</f>
      </c>
      <c r="AA27" s="150" t="str">
        <f>=ROUND(SUBTOTAL(109,$AA$19:$AA$26),2)</f>
      </c>
      <c r="AD27" s="149" t="s">
        <v>285</v>
      </c>
      <c r="AE27" s="123" t="str">
        <f>=ROUND(SUBTOTAL(109,$AE$19:$AE$26),2)</f>
      </c>
      <c r="AF27" s="124" t="str">
        <f>=ROUND(SUBTOTAL(109,$AF$19:$AF$26),2)</f>
      </c>
      <c r="AG27" s="123" t="str">
        <f>=ROUND(SUBTOTAL(109,$AG$19:$AG$26),2)</f>
      </c>
      <c r="AH27" s="150" t="str">
        <f>=ROUND(SUBTOTAL(109,$AH$19:$AH$26),2)</f>
      </c>
      <c r="AK27" s="149" t="s">
        <v>285</v>
      </c>
      <c r="AL27" s="123" t="str">
        <f>=ROUND(SUBTOTAL(109,$AL$19:$AL$26),2)</f>
      </c>
      <c r="AM27" s="124" t="str">
        <f>=ROUND(SUBTOTAL(109,$AM$19:$AM$26),2)</f>
      </c>
      <c r="AN27" s="123" t="str">
        <f>=ROUND(SUBTOTAL(109,$AN$19:$AN$26),2)</f>
      </c>
      <c r="AO27" s="150" t="str">
        <f>=ROUND(SUBTOTAL(109,$AO$19:$AO$26),2)</f>
      </c>
      <c r="AR27" s="149" t="s">
        <v>285</v>
      </c>
      <c r="AS27" s="123" t="str">
        <f>=ROUND(SUBTOTAL(109,$AS$19:$AS$26),2)</f>
      </c>
      <c r="AT27" s="124" t="str">
        <f>=ROUND(SUBTOTAL(109,$AT$19:$AT$26),2)</f>
      </c>
      <c r="AU27" s="123" t="str">
        <f>=ROUND(SUBTOTAL(109,$AU$19:$AU$26),2)</f>
      </c>
      <c r="AV27" s="150" t="str">
        <f>=ROUND(SUBTOTAL(109,$AV$19:$AV$26),2)</f>
      </c>
      <c r="AY27" s="149" t="s">
        <v>285</v>
      </c>
      <c r="AZ27" s="123" t="str">
        <f>=ROUND(SUBTOTAL(109,$AZ$19:$AZ$26),2)</f>
      </c>
      <c r="BA27" s="124" t="str">
        <f>=ROUND(SUBTOTAL(109,$BA$19:$BA$26),2)</f>
      </c>
      <c r="BB27" s="123" t="str">
        <f>=ROUND(SUBTOTAL(109,$BB$19:$BB$26),2)</f>
      </c>
      <c r="BC27" s="150" t="str">
        <f>=ROUND(SUBTOTAL(109,$BC$19:$BC$26),2)</f>
      </c>
      <c r="BF27" s="149" t="s">
        <v>285</v>
      </c>
      <c r="BG27" s="123" t="str">
        <f>=ROUND(SUBTOTAL(109,$BG$19:$BG$26),2)</f>
      </c>
      <c r="BH27" s="124" t="str">
        <f>=ROUND(SUBTOTAL(109,$BH$19:$BH$26),2)</f>
      </c>
      <c r="BI27" s="123" t="str">
        <f>=ROUND(SUBTOTAL(109,$BI$19:$BI$26),2)</f>
      </c>
      <c r="BJ27" s="150" t="str">
        <f>=ROUND(SUBTOTAL(109,$BJ$19:$BJ$26),2)</f>
      </c>
      <c r="BM27" s="149" t="s">
        <v>285</v>
      </c>
      <c r="BN27" s="123" t="str">
        <f>=ROUND(SUBTOTAL(109,$BN$19:$BN$26),2)</f>
      </c>
      <c r="BO27" s="124" t="str">
        <f>=ROUND(SUBTOTAL(109,$BO$19:$BO$26),2)</f>
      </c>
      <c r="BP27" s="123" t="str">
        <f>=ROUND(SUBTOTAL(109,$BP$19:$BP$26),2)</f>
      </c>
      <c r="BQ27" s="150" t="str">
        <f>=ROUND(SUBTOTAL(109,$BQ$19:$BQ$26),2)</f>
      </c>
      <c r="BT27" s="149" t="s">
        <v>285</v>
      </c>
      <c r="BU27" s="123" t="str">
        <f>=ROUND(SUBTOTAL(109,$BU$19:$BU$26),2)</f>
      </c>
      <c r="BV27" s="124" t="str">
        <f>=ROUND(SUBTOTAL(109,$BV$19:$BV$26),2)</f>
      </c>
      <c r="BW27" s="123" t="str">
        <f>=ROUND(SUBTOTAL(109,$BW$19:$BW$26),2)</f>
      </c>
      <c r="BX27" s="150" t="str">
        <f>=ROUND(SUBTOTAL(109,$BX$19:$BX$26),2)</f>
      </c>
      <c r="CA27" s="149" t="s">
        <v>285</v>
      </c>
      <c r="CB27" s="123" t="str">
        <f>=ROUND(SUBTOTAL(109,$CB$19:$CB$26),2)</f>
      </c>
      <c r="CC27" s="124" t="str">
        <f>=ROUND(SUBTOTAL(109,$CC$19:$CC$26),2)</f>
      </c>
      <c r="CD27" s="123" t="str">
        <f>=ROUND(SUBTOTAL(109,$CD$19:$CD$26),2)</f>
      </c>
      <c r="CE27" s="150" t="str">
        <f>=ROUND(SUBTOTAL(109,$CE$19:$CE$26),2)</f>
      </c>
      <c r="CH27" s="149" t="s">
        <v>285</v>
      </c>
      <c r="CI27" s="123" t="str">
        <f>=ROUND(SUBTOTAL(109,$CI$19:$CI$26),2)</f>
      </c>
      <c r="CJ27" s="124" t="str">
        <f>=ROUND(SUBTOTAL(109,$CJ$19:$CJ$26),2)</f>
      </c>
      <c r="CK27" s="123" t="str">
        <f>=ROUND(SUBTOTAL(109,$CK$19:$CK$26),2)</f>
      </c>
      <c r="CL27" s="150" t="str">
        <f>=ROUND(SUBTOTAL(109,$CL$19:$CL$26),2)</f>
      </c>
      <c r="CO27" s="149" t="s">
        <v>285</v>
      </c>
      <c r="CP27" s="123" t="str">
        <f>=ROUND(SUBTOTAL(109,$CP$19:$CP$26),2)</f>
      </c>
      <c r="CQ27" s="124" t="str">
        <f>=ROUND(SUBTOTAL(109,$CQ$19:$CQ$26),2)</f>
      </c>
      <c r="CR27" s="123" t="str">
        <f>=ROUND(SUBTOTAL(109,$CR$19:$CR$26),2)</f>
      </c>
      <c r="CS27" s="150" t="str">
        <f>=ROUND(SUBTOTAL(109,$CS$19:$CS$26),2)</f>
      </c>
      <c r="CV27" s="149" t="s">
        <v>285</v>
      </c>
      <c r="CW27" s="123" t="str">
        <f>=ROUND(SUBTOTAL(109,$CW$19:$CW$26),2)</f>
      </c>
      <c r="CX27" s="124" t="str">
        <f>=ROUND(SUBTOTAL(109,$CX$19:$CX$26),2)</f>
      </c>
      <c r="CY27" s="123" t="str">
        <f>=ROUND(SUBTOTAL(109,$CY$19:$CY$26),2)</f>
      </c>
      <c r="CZ27" s="150" t="str">
        <f>=ROUND(SUBTOTAL(109,$CZ$19:$CZ$26),2)</f>
      </c>
      <c r="DC27" s="149" t="s">
        <v>285</v>
      </c>
      <c r="DD27" s="123" t="str">
        <f>=ROUND(SUBTOTAL(109,$DD$19:$DD$26),2)</f>
      </c>
      <c r="DE27" s="124" t="str">
        <f>=ROUND(SUBTOTAL(109,$DE$19:$DE$26),2)</f>
      </c>
      <c r="DF27" s="123" t="str">
        <f>=ROUND(SUBTOTAL(109,$DF$19:$DF$26),2)</f>
      </c>
      <c r="DG27" s="150" t="str">
        <f>=ROUND(SUBTOTAL(109,$DG$19:$DG$26),2)</f>
      </c>
      <c r="DJ27" s="149" t="s">
        <v>285</v>
      </c>
      <c r="DK27" s="123" t="str">
        <f>=ROUND(SUBTOTAL(109,$DK$19:$DK$26),2)</f>
      </c>
      <c r="DL27" s="124" t="str">
        <f>=ROUND(SUBTOTAL(109,$DL$19:$DL$26),2)</f>
      </c>
      <c r="DM27" s="123" t="str">
        <f>=ROUND(SUBTOTAL(109,$DM$19:$DM$26),2)</f>
      </c>
      <c r="DN27" s="150" t="str">
        <f>=ROUND(SUBTOTAL(109,$DN$19:$DN$26),2)</f>
      </c>
      <c r="DQ27" s="149" t="s">
        <v>285</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=ROUND(SUBTOTAL(109,$D$41:$D$45),2)</f>
      </c>
      <c r="E46" s="172" t="str">
        <f>=ROUND(SUBTOTAL(109,$E$41:$E$45),2)</f>
      </c>
      <c r="F46" s="173" t="str">
        <f>=ROUND(IFERROR(D46/E46,0),6)</f>
      </c>
      <c r="I46" s="169" t="s">
        <v>298</v>
      </c>
      <c r="J46" s="170" t="s">
        <v>269</v>
      </c>
      <c r="K46" s="171" t="str">
        <f>=ROUND(SUBTOTAL(109,$K$41:$K$45),2)</f>
      </c>
      <c r="L46" s="172" t="str">
        <f>=ROUND(SUBTOTAL(109,$L$41:$L$45),2)</f>
      </c>
      <c r="M46" s="173" t="str">
        <f>=ROUND(IFERROR(K46/L46,0),6)</f>
      </c>
      <c r="P46" s="169" t="s">
        <v>298</v>
      </c>
      <c r="Q46" s="170" t="s">
        <v>269</v>
      </c>
      <c r="R46" s="171" t="str">
        <f>=ROUND(SUBTOTAL(109,$R$41:$R$45),2)</f>
      </c>
      <c r="S46" s="172" t="str">
        <f>=ROUND(SUBTOTAL(109,$S$41:$S$45),2)</f>
      </c>
      <c r="T46" s="173" t="str">
        <f>=ROUND(IFERROR(R46/S46,0),6)</f>
      </c>
      <c r="W46" s="169" t="s">
        <v>298</v>
      </c>
      <c r="X46" s="170" t="s">
        <v>269</v>
      </c>
      <c r="Y46" s="171" t="str">
        <f>=ROUND(SUBTOTAL(109,$Y$41:$Y$45),2)</f>
      </c>
      <c r="Z46" s="172" t="str">
        <f>=ROUND(SUBTOTAL(109,$Z$41:$Z$45),2)</f>
      </c>
      <c r="AA46" s="173" t="str">
        <f>=ROUND(IFERROR(Y46/Z46,0),6)</f>
      </c>
      <c r="AD46" s="169" t="s">
        <v>298</v>
      </c>
      <c r="AE46" s="170" t="s">
        <v>269</v>
      </c>
      <c r="AF46" s="171" t="str">
        <f>=ROUND(SUBTOTAL(109,$AF$41:$AF$45),2)</f>
      </c>
      <c r="AG46" s="172" t="str">
        <f>=ROUND(SUBTOTAL(109,$AG$41:$AG$45),2)</f>
      </c>
      <c r="AH46" s="173" t="str">
        <f>=ROUND(IFERROR(AF46/AG46,0),6)</f>
      </c>
      <c r="AK46" s="169" t="s">
        <v>298</v>
      </c>
      <c r="AL46" s="170" t="s">
        <v>269</v>
      </c>
      <c r="AM46" s="171" t="str">
        <f>=ROUND(SUBTOTAL(109,$AM$41:$AM$45),2)</f>
      </c>
      <c r="AN46" s="172" t="str">
        <f>=ROUND(SUBTOTAL(109,$AN$41:$AN$45),2)</f>
      </c>
      <c r="AO46" s="173" t="str">
        <f>=ROUND(IFERROR(AM46/AN46,0),6)</f>
      </c>
      <c r="AR46" s="169" t="s">
        <v>298</v>
      </c>
      <c r="AS46" s="170" t="s">
        <v>269</v>
      </c>
      <c r="AT46" s="171" t="str">
        <f>=ROUND(SUBTOTAL(109,$AT$41:$AT$45),2)</f>
      </c>
      <c r="AU46" s="172" t="str">
        <f>=ROUND(SUBTOTAL(109,$AU$41:$AU$45),2)</f>
      </c>
      <c r="AV46" s="173" t="str">
        <f>=ROUND(IFERROR(AT46/AU46,0),6)</f>
      </c>
      <c r="AY46" s="169" t="s">
        <v>298</v>
      </c>
      <c r="AZ46" s="170" t="s">
        <v>269</v>
      </c>
      <c r="BA46" s="171" t="str">
        <f>=ROUND(SUBTOTAL(109,$BA$41:$BA$45),2)</f>
      </c>
      <c r="BB46" s="172" t="str">
        <f>=ROUND(SUBTOTAL(109,$BB$41:$BB$45),2)</f>
      </c>
      <c r="BC46" s="173" t="str">
        <f>=ROUND(IFERROR(BA46/BB46,0),6)</f>
      </c>
      <c r="BF46" s="169" t="s">
        <v>298</v>
      </c>
      <c r="BG46" s="170" t="s">
        <v>269</v>
      </c>
      <c r="BH46" s="171" t="str">
        <f>=ROUND(SUBTOTAL(109,$BH$41:$BH$45),2)</f>
      </c>
      <c r="BI46" s="172" t="str">
        <f>=ROUND(SUBTOTAL(109,$BI$41:$BI$45),2)</f>
      </c>
      <c r="BJ46" s="173" t="str">
        <f>=ROUND(IFERROR(BH46/BI46,0),6)</f>
      </c>
      <c r="BM46" s="169" t="s">
        <v>298</v>
      </c>
      <c r="BN46" s="170" t="s">
        <v>269</v>
      </c>
      <c r="BO46" s="171" t="str">
        <f>=ROUND(SUBTOTAL(109,$BO$41:$BO$45),2)</f>
      </c>
      <c r="BP46" s="172" t="str">
        <f>=ROUND(SUBTOTAL(109,$BP$41:$BP$45),2)</f>
      </c>
      <c r="BQ46" s="173" t="str">
        <f>=ROUND(IFERROR(BO46/BP46,0),6)</f>
      </c>
      <c r="BT46" s="169" t="s">
        <v>298</v>
      </c>
      <c r="BU46" s="170" t="s">
        <v>269</v>
      </c>
      <c r="BV46" s="171" t="str">
        <f>=ROUND(SUBTOTAL(109,$BV$41:$BV$45),2)</f>
      </c>
      <c r="BW46" s="172" t="str">
        <f>=ROUND(SUBTOTAL(109,$BW$41:$BW$45),2)</f>
      </c>
      <c r="BX46" s="173" t="str">
        <f>=ROUND(IFERROR(BV46/BW46,0),6)</f>
      </c>
      <c r="CA46" s="169" t="s">
        <v>298</v>
      </c>
      <c r="CB46" s="170" t="s">
        <v>269</v>
      </c>
      <c r="CC46" s="171" t="str">
        <f>=ROUND(SUBTOTAL(109,$CC$41:$CC$45),2)</f>
      </c>
      <c r="CD46" s="172" t="str">
        <f>=ROUND(SUBTOTAL(109,$CD$41:$CD$45),2)</f>
      </c>
      <c r="CE46" s="173" t="str">
        <f>=ROUND(IFERROR(CC46/CD46,0),6)</f>
      </c>
      <c r="CH46" s="169" t="s">
        <v>298</v>
      </c>
      <c r="CI46" s="170" t="s">
        <v>269</v>
      </c>
      <c r="CJ46" s="171" t="str">
        <f>=ROUND(SUBTOTAL(109,$CJ$41:$CJ$45),2)</f>
      </c>
      <c r="CK46" s="172" t="str">
        <f>=ROUND(SUBTOTAL(109,$CK$41:$CK$45),2)</f>
      </c>
      <c r="CL46" s="173" t="str">
        <f>=ROUND(IFERROR(CJ46/CK46,0),6)</f>
      </c>
      <c r="CO46" s="169" t="s">
        <v>298</v>
      </c>
      <c r="CP46" s="170" t="s">
        <v>269</v>
      </c>
      <c r="CQ46" s="171" t="str">
        <f>=ROUND(SUBTOTAL(109,$CQ$41:$CQ$45),2)</f>
      </c>
      <c r="CR46" s="172" t="str">
        <f>=ROUND(SUBTOTAL(109,$CR$41:$CR$45),2)</f>
      </c>
      <c r="CS46" s="173" t="str">
        <f>=ROUND(IFERROR(CQ46/CR46,0),6)</f>
      </c>
      <c r="CV46" s="169" t="s">
        <v>298</v>
      </c>
      <c r="CW46" s="170" t="s">
        <v>269</v>
      </c>
      <c r="CX46" s="171" t="str">
        <f>=ROUND(SUBTOTAL(109,$CX$41:$CX$45),2)</f>
      </c>
      <c r="CY46" s="172" t="str">
        <f>=ROUND(SUBTOTAL(109,$CY$41:$CY$45),2)</f>
      </c>
      <c r="CZ46" s="173" t="str">
        <f>=ROUND(IFERROR(CX46/CY46,0),6)</f>
      </c>
      <c r="DC46" s="169" t="s">
        <v>298</v>
      </c>
      <c r="DD46" s="170" t="s">
        <v>269</v>
      </c>
      <c r="DE46" s="171" t="str">
        <f>=ROUND(SUBTOTAL(109,$DE$41:$DE$45),2)</f>
      </c>
      <c r="DF46" s="172" t="str">
        <f>=ROUND(SUBTOTAL(109,$DF$41:$DF$45),2)</f>
      </c>
      <c r="DG46" s="173" t="str">
        <f>=ROUND(IFERROR(DE46/DF46,0),6)</f>
      </c>
      <c r="DJ46" s="169" t="s">
        <v>298</v>
      </c>
      <c r="DK46" s="170" t="s">
        <v>269</v>
      </c>
      <c r="DL46" s="171" t="str">
        <f>=ROUND(SUBTOTAL(109,$DL$41:$DL$45),2)</f>
      </c>
      <c r="DM46" s="172" t="str">
        <f>=ROUND(SUBTOTAL(109,$DM$41:$DM$45),2)</f>
      </c>
      <c r="DN46" s="173" t="str">
        <f>=ROUND(IFERROR(DL46/DM46,0),6)</f>
      </c>
      <c r="DQ46" s="169" t="s">
        <v>298</v>
      </c>
      <c r="DR46" s="170" t="s">
        <v>269</v>
      </c>
      <c r="DS46" s="171" t="str">
        <f>=ROUND(SUBTOTAL(109,$DS$41:$DS$45),2)</f>
      </c>
      <c r="DT46" s="172" t="str">
        <f>=ROUND(SUBTOTAL(109,$DT$41:$DT$45),2)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=ROUND(SUBTOTAL(109,$D$50:$D$55),2)</f>
      </c>
      <c r="E56" s="172" t="str">
        <f>=ROUND(SUBTOTAL(109,$E$50:$E$55),2)</f>
      </c>
      <c r="F56" s="173" t="str">
        <f>=ROUND(IFERROR(D56/E56,0),6)</f>
      </c>
      <c r="I56" s="169" t="s">
        <v>301</v>
      </c>
      <c r="J56" s="170" t="s">
        <v>269</v>
      </c>
      <c r="K56" s="171" t="str">
        <f>=ROUND(SUBTOTAL(109,$K$50:$K$55),2)</f>
      </c>
      <c r="L56" s="172" t="str">
        <f>=ROUND(SUBTOTAL(109,$L$50:$L$55),2)</f>
      </c>
      <c r="M56" s="173" t="str">
        <f>=ROUND(IFERROR(K56/L56,0),6)</f>
      </c>
      <c r="P56" s="169" t="s">
        <v>301</v>
      </c>
      <c r="Q56" s="170" t="s">
        <v>269</v>
      </c>
      <c r="R56" s="171" t="str">
        <f>=ROUND(SUBTOTAL(109,$R$50:$R$55),2)</f>
      </c>
      <c r="S56" s="172" t="str">
        <f>=ROUND(SUBTOTAL(109,$S$50:$S$55),2)</f>
      </c>
      <c r="T56" s="173" t="str">
        <f>=ROUND(IFERROR(R56/S56,0),6)</f>
      </c>
      <c r="W56" s="169" t="s">
        <v>301</v>
      </c>
      <c r="X56" s="170" t="s">
        <v>269</v>
      </c>
      <c r="Y56" s="171" t="str">
        <f>=ROUND(SUBTOTAL(109,$Y$50:$Y$55),2)</f>
      </c>
      <c r="Z56" s="172" t="str">
        <f>=ROUND(SUBTOTAL(109,$Z$50:$Z$55),2)</f>
      </c>
      <c r="AA56" s="173" t="str">
        <f>=ROUND(IFERROR(Y56/Z56,0),6)</f>
      </c>
      <c r="AD56" s="169" t="s">
        <v>301</v>
      </c>
      <c r="AE56" s="170" t="s">
        <v>269</v>
      </c>
      <c r="AF56" s="171" t="str">
        <f>=ROUND(SUBTOTAL(109,$AF$50:$AF$55),2)</f>
      </c>
      <c r="AG56" s="172" t="str">
        <f>=ROUND(SUBTOTAL(109,$AG$50:$AG$55),2)</f>
      </c>
      <c r="AH56" s="173" t="str">
        <f>=ROUND(IFERROR(AF56/AG56,0),6)</f>
      </c>
      <c r="AK56" s="169" t="s">
        <v>301</v>
      </c>
      <c r="AL56" s="170" t="s">
        <v>269</v>
      </c>
      <c r="AM56" s="171" t="str">
        <f>=ROUND(SUBTOTAL(109,$AM$50:$AM$55),2)</f>
      </c>
      <c r="AN56" s="172" t="str">
        <f>=ROUND(SUBTOTAL(109,$AN$50:$AN$55),2)</f>
      </c>
      <c r="AO56" s="173" t="str">
        <f>=ROUND(IFERROR(AM56/AN56,0),6)</f>
      </c>
      <c r="AR56" s="169" t="s">
        <v>301</v>
      </c>
      <c r="AS56" s="170" t="s">
        <v>269</v>
      </c>
      <c r="AT56" s="171" t="str">
        <f>=ROUND(SUBTOTAL(109,$AT$50:$AT$55),2)</f>
      </c>
      <c r="AU56" s="172" t="str">
        <f>=ROUND(SUBTOTAL(109,$AU$50:$AU$55),2)</f>
      </c>
      <c r="AV56" s="173" t="str">
        <f>=ROUND(IFERROR(AT56/AU56,0),6)</f>
      </c>
      <c r="AY56" s="169" t="s">
        <v>301</v>
      </c>
      <c r="AZ56" s="170" t="s">
        <v>269</v>
      </c>
      <c r="BA56" s="171" t="str">
        <f>=ROUND(SUBTOTAL(109,$BA$50:$BA$55),2)</f>
      </c>
      <c r="BB56" s="172" t="str">
        <f>=ROUND(SUBTOTAL(109,$BB$50:$BB$55),2)</f>
      </c>
      <c r="BC56" s="173" t="str">
        <f>=ROUND(IFERROR(BA56/BB56,0),6)</f>
      </c>
      <c r="BF56" s="169" t="s">
        <v>301</v>
      </c>
      <c r="BG56" s="170" t="s">
        <v>269</v>
      </c>
      <c r="BH56" s="171" t="str">
        <f>=ROUND(SUBTOTAL(109,$BH$50:$BH$55),2)</f>
      </c>
      <c r="BI56" s="172" t="str">
        <f>=ROUND(SUBTOTAL(109,$BI$50:$BI$55),2)</f>
      </c>
      <c r="BJ56" s="173" t="str">
        <f>=ROUND(IFERROR(BH56/BI56,0),6)</f>
      </c>
      <c r="BM56" s="169" t="s">
        <v>301</v>
      </c>
      <c r="BN56" s="170" t="s">
        <v>269</v>
      </c>
      <c r="BO56" s="171" t="str">
        <f>=ROUND(SUBTOTAL(109,$BO$50:$BO$55),2)</f>
      </c>
      <c r="BP56" s="172" t="str">
        <f>=ROUND(SUBTOTAL(109,$BP$50:$BP$55),2)</f>
      </c>
      <c r="BQ56" s="173" t="str">
        <f>=ROUND(IFERROR(BO56/BP56,0),6)</f>
      </c>
      <c r="BT56" s="169" t="s">
        <v>301</v>
      </c>
      <c r="BU56" s="170" t="s">
        <v>269</v>
      </c>
      <c r="BV56" s="171" t="str">
        <f>=ROUND(SUBTOTAL(109,$BV$50:$BV$55),2)</f>
      </c>
      <c r="BW56" s="172" t="str">
        <f>=ROUND(SUBTOTAL(109,$BW$50:$BW$55),2)</f>
      </c>
      <c r="BX56" s="173" t="str">
        <f>=ROUND(IFERROR(BV56/BW56,0),6)</f>
      </c>
      <c r="CA56" s="169" t="s">
        <v>301</v>
      </c>
      <c r="CB56" s="170" t="s">
        <v>269</v>
      </c>
      <c r="CC56" s="171" t="str">
        <f>=ROUND(SUBTOTAL(109,$CC$50:$CC$55),2)</f>
      </c>
      <c r="CD56" s="172" t="str">
        <f>=ROUND(SUBTOTAL(109,$CD$50:$CD$55),2)</f>
      </c>
      <c r="CE56" s="173" t="str">
        <f>=ROUND(IFERROR(CC56/CD56,0),6)</f>
      </c>
      <c r="CH56" s="169" t="s">
        <v>301</v>
      </c>
      <c r="CI56" s="170" t="s">
        <v>269</v>
      </c>
      <c r="CJ56" s="171" t="str">
        <f>=ROUND(SUBTOTAL(109,$CJ$50:$CJ$55),2)</f>
      </c>
      <c r="CK56" s="172" t="str">
        <f>=ROUND(SUBTOTAL(109,$CK$50:$CK$55),2)</f>
      </c>
      <c r="CL56" s="173" t="str">
        <f>=ROUND(IFERROR(CJ56/CK56,0),6)</f>
      </c>
      <c r="CO56" s="169" t="s">
        <v>301</v>
      </c>
      <c r="CP56" s="170" t="s">
        <v>269</v>
      </c>
      <c r="CQ56" s="171" t="str">
        <f>=ROUND(SUBTOTAL(109,$CQ$50:$CQ$55),2)</f>
      </c>
      <c r="CR56" s="172" t="str">
        <f>=ROUND(SUBTOTAL(109,$CR$50:$CR$55),2)</f>
      </c>
      <c r="CS56" s="173" t="str">
        <f>=ROUND(IFERROR(CQ56/CR56,0),6)</f>
      </c>
      <c r="CV56" s="169" t="s">
        <v>301</v>
      </c>
      <c r="CW56" s="170" t="s">
        <v>269</v>
      </c>
      <c r="CX56" s="171" t="str">
        <f>=ROUND(SUBTOTAL(109,$CX$50:$CX$55),2)</f>
      </c>
      <c r="CY56" s="172" t="str">
        <f>=ROUND(SUBTOTAL(109,$CY$50:$CY$55),2)</f>
      </c>
      <c r="CZ56" s="173" t="str">
        <f>=ROUND(IFERROR(CX56/CY56,0),6)</f>
      </c>
      <c r="DC56" s="169" t="s">
        <v>301</v>
      </c>
      <c r="DD56" s="170" t="s">
        <v>269</v>
      </c>
      <c r="DE56" s="171" t="str">
        <f>=ROUND(SUBTOTAL(109,$DE$50:$DE$55),2)</f>
      </c>
      <c r="DF56" s="172" t="str">
        <f>=ROUND(SUBTOTAL(109,$DF$50:$DF$55),2)</f>
      </c>
      <c r="DG56" s="173" t="str">
        <f>=ROUND(IFERROR(DE56/DF56,0),6)</f>
      </c>
      <c r="DJ56" s="169" t="s">
        <v>301</v>
      </c>
      <c r="DK56" s="170" t="s">
        <v>269</v>
      </c>
      <c r="DL56" s="171" t="str">
        <f>=ROUND(SUBTOTAL(109,$DL$50:$DL$55),2)</f>
      </c>
      <c r="DM56" s="172" t="str">
        <f>=ROUND(SUBTOTAL(109,$DM$50:$DM$55),2)</f>
      </c>
      <c r="DN56" s="173" t="str">
        <f>=ROUND(IFERROR(DL56/DM56,0),6)</f>
      </c>
      <c r="DQ56" s="169" t="s">
        <v>301</v>
      </c>
      <c r="DR56" s="170" t="s">
        <v>269</v>
      </c>
      <c r="DS56" s="171" t="str">
        <f>=ROUND(SUBTOTAL(109,$DS$50:$DS$55),2)</f>
      </c>
      <c r="DT56" s="172" t="str">
        <f>=ROUND(SUBTOTAL(109,$DT$50:$DT$55),2)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5">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9">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
        <v>312</v>
      </c>
      <c r="C23" s="187" t="str">
        <f>=ROUND(IF(Saldovortrag_LW="",0,Saldovortrag_LW),2)</f>
      </c>
      <c r="D23" s="181" t="str">
        <f>=IFERROR(ROUND($C$23/$C$7,2),0)</f>
      </c>
      <c r="F23" t="s">
        <v>314</v>
      </c>
      <c r="G23" s="187" t="str">
        <f>=ROUND(IFERROR(FB_SaldoLC_1,0),2)</f>
      </c>
      <c r="H23" s="181" t="str">
        <f>=IFERROR(ROUND($G$23/$G$7,2),0)</f>
      </c>
      <c r="J23" t="s">
        <v>314</v>
      </c>
      <c r="K23" s="187" t="str">
        <f>=ROUND(IFERROR(FB_SaldoLC_2,0),2)</f>
      </c>
      <c r="L23" s="181" t="str">
        <f>=IFERROR(ROUND($K$23/$K$7,2),0)</f>
      </c>
      <c r="N23" t="s">
        <v>314</v>
      </c>
      <c r="O23" s="187" t="str">
        <f>=ROUND(IFERROR(FB_SaldoLC_3,0),2)</f>
      </c>
      <c r="P23" s="181" t="str">
        <f>=IFERROR(ROUND($O$23/$O$7,2),0)</f>
      </c>
      <c r="R23" t="s">
        <v>314</v>
      </c>
      <c r="S23" s="187" t="str">
        <f>=ROUND(IFERROR(FB_SaldoLC_4,0),2)</f>
      </c>
      <c r="T23" s="181" t="str">
        <f>=IFERROR(ROUND($S$23/$S$7,2),0)</f>
      </c>
      <c r="V23" t="s">
        <v>314</v>
      </c>
      <c r="W23" s="187" t="str">
        <f>=ROUND(IFERROR(FB_SaldoLC_5,0),2)</f>
      </c>
      <c r="X23" s="181" t="str">
        <f>=IFERROR(ROUND($W$23/$W$7,2),0)</f>
      </c>
      <c r="Z23" t="s">
        <v>314</v>
      </c>
      <c r="AA23" s="187" t="str">
        <f>=ROUND(IFERROR(FB_SaldoLC_6,0),2)</f>
      </c>
      <c r="AB23" s="181" t="str">
        <f>=IFERROR(ROUND($AA$23/$AA$7,2),0)</f>
      </c>
      <c r="AD23" t="s">
        <v>314</v>
      </c>
      <c r="AE23" s="187" t="str">
        <f>=ROUND(IFERROR(FB_SaldoLC_7,0),2)</f>
      </c>
      <c r="AF23" s="181" t="str">
        <f>=IFERROR(ROUND($AE$23/$AE$7,2),0)</f>
      </c>
      <c r="AH23" t="s">
        <v>314</v>
      </c>
      <c r="AI23" s="187" t="str">
        <f>=ROUND(IFERROR(FB_SaldoLC_8,0),2)</f>
      </c>
      <c r="AJ23" s="181" t="str">
        <f>=IFERROR(ROUND($AI$23/$AI$7,2),0)</f>
      </c>
      <c r="AL23" t="s">
        <v>314</v>
      </c>
      <c r="AM23" s="187" t="str">
        <f>=ROUND(IFERROR(FB_SaldoLC_9,0),2)</f>
      </c>
      <c r="AN23" s="181" t="str">
        <f>=IFERROR(ROUND($AM$23/$AM$7,2),0)</f>
      </c>
      <c r="AP23" t="s">
        <v>314</v>
      </c>
      <c r="AQ23" s="187" t="str">
        <f>=ROUND(IFERROR(FB_SaldoLC_10,0),2)</f>
      </c>
      <c r="AR23" s="181" t="str">
        <f>=IFERROR(ROUND($AQ$23/$AQ$7,2),0)</f>
      </c>
      <c r="AT23" t="s">
        <v>314</v>
      </c>
      <c r="AU23" s="187" t="str">
        <f>=ROUND(IFERROR(FB_SaldoLC_11,0),2)</f>
      </c>
      <c r="AV23" s="181" t="str">
        <f>=IFERROR(ROUND($AU$23/$AU$7,2),0)</f>
      </c>
      <c r="AX23" t="s">
        <v>314</v>
      </c>
      <c r="AY23" s="187" t="str">
        <f>=ROUND(IFERROR(FB_SaldoLC_12,0),2)</f>
      </c>
      <c r="AZ23" s="181" t="str">
        <f>=IFERROR(ROUND($AY$23/$AY$7,2),0)</f>
      </c>
      <c r="BB23" t="s">
        <v>314</v>
      </c>
      <c r="BC23" s="187" t="str">
        <f>=ROUND(IFERROR(FB_SaldoLC_13,0),2)</f>
      </c>
      <c r="BD23" s="181" t="str">
        <f>=IFERROR(ROUND($BC$23/$BC$7,2),0)</f>
      </c>
      <c r="BF23" t="s">
        <v>314</v>
      </c>
      <c r="BG23" s="187" t="str">
        <f>=ROUND(IFERROR(FB_SaldoLC_14,0),2)</f>
      </c>
      <c r="BH23" s="181" t="str">
        <f>=IFERROR(ROUND($BG$23/$BG$7,2),0)</f>
      </c>
      <c r="BJ23" t="s">
        <v>314</v>
      </c>
      <c r="BK23" s="187" t="str">
        <f>=ROUND(IFERROR(FB_SaldoLC_15,0),2)</f>
      </c>
      <c r="BL23" s="181" t="str">
        <f>=IFERROR(ROUND($BK$23/$BK$7,2),0)</f>
      </c>
      <c r="BN23" t="s">
        <v>314</v>
      </c>
      <c r="BO23" s="187" t="str">
        <f>=ROUND(IFERROR(FB_SaldoLC_16,0),2)</f>
      </c>
      <c r="BP23" s="181" t="str">
        <f>=IFERROR(ROUND($BO$23/$BO$7,2),0)</f>
      </c>
      <c r="BR23" t="s">
        <v>314</v>
      </c>
      <c r="BS23" s="187" t="str">
        <f>=ROUND(IFERROR(FB_SaldoLC_17,0),2)</f>
      </c>
      <c r="BT23" s="181" t="str">
        <f>=IFERROR(ROUND($BS$23/$BS$7,2),0)</f>
      </c>
    </row>
    <row r="25">
      <c r="B25" s="188" t="s">
        <v>313</v>
      </c>
      <c r="C25" s="189" t="str">
        <f>=IFERROR(ROUND($C$18-$C$21-$C$22-$C$23,2),0)</f>
      </c>
      <c r="D25" s="190" t="str">
        <f>=IFERROR(ROUND($D$18-$D$21-$D$22-$D$23,2),0)</f>
      </c>
      <c r="F25" s="188" t="s">
        <v>313</v>
      </c>
      <c r="G25" s="189" t="str">
        <f>=IFERROR(ROUND($G$18-$G$21-$G$22-$G$23,2),0)</f>
      </c>
      <c r="H25" s="190" t="str">
        <f>=IFERROR(ROUND($H$18-$H$21-$H$22-$H$23,2),0)</f>
      </c>
      <c r="J25" s="188" t="s">
        <v>313</v>
      </c>
      <c r="K25" s="189" t="str">
        <f>=IFERROR(ROUND($K$18-$K$21-$K$22-$K$23,2),0)</f>
      </c>
      <c r="L25" s="190" t="str">
        <f>=IFERROR(ROUND($L$18-$L$21-$L$22-$L$23,2),0)</f>
      </c>
      <c r="N25" s="188" t="s">
        <v>313</v>
      </c>
      <c r="O25" s="189" t="str">
        <f>=IFERROR(ROUND($O$18-$O$21-$O$22-$O$23,2),0)</f>
      </c>
      <c r="P25" s="190" t="str">
        <f>=IFERROR(ROUND($P$18-$P$21-$P$22-$P$23,2),0)</f>
      </c>
      <c r="R25" s="188" t="s">
        <v>313</v>
      </c>
      <c r="S25" s="189" t="str">
        <f>=IFERROR(ROUND($S$18-$S$21-$S$22-$S$23,2),0)</f>
      </c>
      <c r="T25" s="190" t="str">
        <f>=IFERROR(ROUND($T$18-$T$21-$T$22-$T$23,2),0)</f>
      </c>
      <c r="V25" s="188" t="s">
        <v>313</v>
      </c>
      <c r="W25" s="189" t="str">
        <f>=IFERROR(ROUND($W$18-$W$21-$W$22-$W$23,2),0)</f>
      </c>
      <c r="X25" s="190" t="str">
        <f>=IFERROR(ROUND($X$18-$X$21-$X$22-$X$23,2),0)</f>
      </c>
      <c r="Z25" s="188" t="s">
        <v>313</v>
      </c>
      <c r="AA25" s="189" t="str">
        <f>=IFERROR(ROUND($AA$18-$AA$21-$AA$22-$AA$23,2),0)</f>
      </c>
      <c r="AB25" s="190" t="str">
        <f>=IFERROR(ROUND($AB$18-$AB$21-$AB$22-$AB$23,2),0)</f>
      </c>
      <c r="AD25" s="188" t="s">
        <v>313</v>
      </c>
      <c r="AE25" s="189" t="str">
        <f>=IFERROR(ROUND($AE$18-$AE$21-$AE$22-$AE$23,2),0)</f>
      </c>
      <c r="AF25" s="190" t="str">
        <f>=IFERROR(ROUND($AF$18-$AF$21-$AF$22-$AF$23,2),0)</f>
      </c>
      <c r="AH25" s="188" t="s">
        <v>313</v>
      </c>
      <c r="AI25" s="189" t="str">
        <f>=IFERROR(ROUND($AI$18-$AI$21-$AI$22-$AI$23,2),0)</f>
      </c>
      <c r="AJ25" s="190" t="str">
        <f>=IFERROR(ROUND($AJ$18-$AJ$21-$AJ$22-$AJ$23,2),0)</f>
      </c>
      <c r="AL25" s="188" t="s">
        <v>313</v>
      </c>
      <c r="AM25" s="189" t="str">
        <f>=IFERROR(ROUND($AM$18-$AM$21-$AM$22-$AM$23,2),0)</f>
      </c>
      <c r="AN25" s="190" t="str">
        <f>=IFERROR(ROUND($AN$18-$AN$21-$AN$22-$AN$23,2),0)</f>
      </c>
      <c r="AP25" s="188" t="s">
        <v>313</v>
      </c>
      <c r="AQ25" s="189" t="str">
        <f>=IFERROR(ROUND($AQ$18-$AQ$21-$AQ$22-$AQ$23,2),0)</f>
      </c>
      <c r="AR25" s="190" t="str">
        <f>=IFERROR(ROUND($AR$18-$AR$21-$AR$22-$AR$23,2),0)</f>
      </c>
      <c r="AT25" s="188" t="s">
        <v>313</v>
      </c>
      <c r="AU25" s="189" t="str">
        <f>=IFERROR(ROUND($AU$18-$AU$21-$AU$22-$AU$23,2),0)</f>
      </c>
      <c r="AV25" s="190" t="str">
        <f>=IFERROR(ROUND($AV$18-$AV$21-$AV$22-$AV$23,2),0)</f>
      </c>
      <c r="AX25" s="188" t="s">
        <v>313</v>
      </c>
      <c r="AY25" s="189" t="str">
        <f>=IFERROR(ROUND($AY$18-$AY$21-$AY$22-$AY$23,2),0)</f>
      </c>
      <c r="AZ25" s="190" t="str">
        <f>=IFERROR(ROUND($AZ$18-$AZ$21-$AZ$22-$AZ$23,2),0)</f>
      </c>
      <c r="BB25" s="188" t="s">
        <v>313</v>
      </c>
      <c r="BC25" s="189" t="str">
        <f>=IFERROR(ROUND($BC$18-$BC$21-$BC$22-$BC$23,2),0)</f>
      </c>
      <c r="BD25" s="190" t="str">
        <f>=IFERROR(ROUND($BD$18-$BD$21-$BD$22-$BD$23,2),0)</f>
      </c>
      <c r="BF25" s="188" t="s">
        <v>313</v>
      </c>
      <c r="BG25" s="189" t="str">
        <f>=IFERROR(ROUND($BG$18-$BG$21-$BG$22-$BG$23,2),0)</f>
      </c>
      <c r="BH25" s="190" t="str">
        <f>=IFERROR(ROUND($BH$18-$BH$21-$BH$22-$BH$23,2),0)</f>
      </c>
      <c r="BJ25" s="188" t="s">
        <v>313</v>
      </c>
      <c r="BK25" s="189" t="str">
        <f>=IFERROR(ROUND($BK$18-$BK$21-$BK$22-$BK$23,2),0)</f>
      </c>
      <c r="BL25" s="190" t="str">
        <f>=IFERROR(ROUND($BL$18-$BL$21-$BL$22-$BL$23,2),0)</f>
      </c>
      <c r="BN25" s="188" t="s">
        <v>313</v>
      </c>
      <c r="BO25" s="189" t="str">
        <f>=IFERROR(ROUND($BO$18-$BO$21-$BO$22-$BO$23,2),0)</f>
      </c>
      <c r="BP25" s="190" t="str">
        <f>=IFERROR(ROUND($BP$18-$BP$21-$BP$22-$BP$23,2),0)</f>
      </c>
      <c r="BR25" s="188" t="s">
        <v>313</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'Daten'!$A$1:$A$18</formula1>
    </dataValidation>
    <dataValidation allowBlank="true" sqref="G5" type="list">
      <formula1>'Daten'!$A$1:$A$18</formula1>
    </dataValidation>
    <dataValidation allowBlank="true" sqref="K5" type="list">
      <formula1>'Daten'!$A$1:$A$18</formula1>
    </dataValidation>
    <dataValidation allowBlank="true" sqref="O5" type="list">
      <formula1>'Daten'!$A$1:$A$18</formula1>
    </dataValidation>
    <dataValidation allowBlank="true" sqref="S5" type="list">
      <formula1>'Daten'!$A$1:$A$18</formula1>
    </dataValidation>
    <dataValidation allowBlank="true" sqref="W5" type="list">
      <formula1>'Daten'!$A$1:$A$18</formula1>
    </dataValidation>
    <dataValidation allowBlank="true" sqref="AA5" type="list">
      <formula1>'Daten'!$A$1:$A$18</formula1>
    </dataValidation>
    <dataValidation allowBlank="true" sqref="AE5" type="list">
      <formula1>'Daten'!$A$1:$A$18</formula1>
    </dataValidation>
    <dataValidation allowBlank="true" sqref="AI5" type="list">
      <formula1>'Daten'!$A$1:$A$18</formula1>
    </dataValidation>
    <dataValidation allowBlank="true" sqref="AM5" type="list">
      <formula1>'Daten'!$A$1:$A$18</formula1>
    </dataValidation>
    <dataValidation allowBlank="true" sqref="AQ5" type="list">
      <formula1>'Daten'!$A$1:$A$18</formula1>
    </dataValidation>
    <dataValidation allowBlank="true" sqref="AU5" type="list">
      <formula1>'Daten'!$A$1:$A$18</formula1>
    </dataValidation>
    <dataValidation allowBlank="true" sqref="AY5" type="list">
      <formula1>'Daten'!$A$1:$A$18</formula1>
    </dataValidation>
    <dataValidation allowBlank="true" sqref="BC5" type="list">
      <formula1>'Daten'!$A$1:$A$18</formula1>
    </dataValidation>
    <dataValidation allowBlank="true" sqref="BG5" type="list">
      <formula1>'Daten'!$A$1:$A$18</formula1>
    </dataValidation>
    <dataValidation allowBlank="true" sqref="BK5" type="list">
      <formula1>'Daten'!$A$1:$A$18</formula1>
    </dataValidation>
    <dataValidation allowBlank="true" sqref="BO5" type="list">
      <formula1>'Daten'!$A$1:$A$18</formula1>
    </dataValidation>
    <dataValidation allowBlank="true" sqref="BS5"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dimension ref="A1"/>
  <sheetViews>
    <sheetView workbookViewId="0"/>
  </sheetViews>
  <sheetData>
    <row r="1">
      <c r="A1" t="s">
        <v>226</v>
      </c>
      <c r="C1" s="191" t="s">
        <v>315</v>
      </c>
      <c r="I1" s="191" t="s">
        <v>316</v>
      </c>
      <c r="O1" s="191" t="s">
        <v>317</v>
      </c>
      <c r="U1" s="191" t="s">
        <v>318</v>
      </c>
    </row>
    <row r="2">
      <c r="A2" t="s">
        <v>227</v>
      </c>
      <c r="C2" t="str">
        <f>_xlfn.LET(v, 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 _xlfn.FILTER(v, (_xlfn.CHOOSECOLS(v,3)&lt;&gt;0)+(_xlfn.CHOOSECOLS(v,4)&lt;&gt;0), ""))</f>
      </c>
      <c r="I2" t="str">
        <f>_xlfn.LET(v, 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 _xlfn.FILTER(v, (_xlfn.CHOOSECOLS(v,3)&lt;&gt;0)+(_xlfn.CHOOSECOLS(v,4)&lt;&gt;0), ""))</f>
      </c>
      <c r="O2" t="str">
        <f>_xlfn.LET(v, 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 _xlfn.FILTER(v, (_xlfn.CHOOSECOLS(v,2)&lt;&gt;0)+(_xlfn.CHOOSECOLS(v,3)&lt;&gt;0), ""))</f>
      </c>
      <c r="U2" t="str">
        <f>_xlfn.LET(v, _xlfn.VSTACK('IV. MA'!$B$10:$D$17,'IV. MA'!$F$10:$H$17,'IV. MA'!$J$10:$L$17,'IV. MA'!$N$10:$P$17,'IV. MA'!$R$10:$T$17,'IV. MA'!$V$10:$X$17,'IV. MA'!$Z$10:$AB$17,'IV. MA'!$AD$10:$AF$17,'IV. MA'!$AH$10:$AJ$17,'IV. MA'!$AL$10:$AN$17,'IV. MA'!$AP$10:$AR$17,'IV. MA'!$AT$10:$AV$17,'IV. MA'!$AX$10:$AZ$17,'IV. MA'!$BB$10:$BD$17,'IV. MA'!$BF$10:$BH$17,'IV. MA'!$BJ$10:$BL$17,'IV. MA'!$BN$10:$BP$17,'IV. MA'!$BR$10:$BT$17), _xlfn.FILTER(v, (_xlfn.CHOOSECOLS(v,2)&lt;&gt;0)+(_xlfn.CHOOSECOLS(v,3)&lt;&gt;0), ""))</f>
      </c>
    </row>
    <row r="3">
      <c r="A3" t="s">
        <v>228</v>
      </c>
    </row>
    <row r="4">
      <c r="A4" t="s">
        <v>229</v>
      </c>
    </row>
    <row r="5">
      <c r="A5" t="s">
        <v>230</v>
      </c>
    </row>
    <row r="6">
      <c r="A6" t="s">
        <v>231</v>
      </c>
    </row>
    <row r="7">
      <c r="A7" t="s">
        <v>232</v>
      </c>
    </row>
    <row r="8">
      <c r="A8" t="s">
        <v>233</v>
      </c>
    </row>
    <row r="9">
      <c r="A9" t="s">
        <v>234</v>
      </c>
    </row>
    <row r="10">
      <c r="A10" t="s">
        <v>235</v>
      </c>
    </row>
    <row r="11">
      <c r="A11" t="s">
        <v>236</v>
      </c>
    </row>
    <row r="12">
      <c r="A12" t="s">
        <v>237</v>
      </c>
    </row>
    <row r="13">
      <c r="A13" t="s">
        <v>238</v>
      </c>
    </row>
    <row r="14">
      <c r="A14" t="s">
        <v>239</v>
      </c>
    </row>
    <row r="15">
      <c r="A15" t="s">
        <v>240</v>
      </c>
    </row>
    <row r="16">
      <c r="A16" t="s">
        <v>241</v>
      </c>
    </row>
    <row r="17">
      <c r="A17" t="s">
        <v>242</v>
      </c>
    </row>
    <row r="18">
      <c r="A18" t="s">
        <v>243</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