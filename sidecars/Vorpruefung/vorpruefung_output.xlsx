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<sst xmlns="http://schemas.openxmlformats.org/spreadsheetml/2006/main" count="384" uniqueCount="384">
  <si>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</si>
  <si>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</si>
  <si>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</si>
  <si>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</si>
  <si>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</si>
  <si>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</si>
  <si>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</si>
  <si>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</si>
  <si>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</si>
  <si>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</si>
  <si>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</si>
  <si>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</si>
  <si>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</si>
  <si>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</si>
  <si>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</si>
  <si>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</si>
  <si>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</si>
  <si>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</si>
  <si>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</si>
  <si>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</si>
  <si>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</si>
  <si>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</si>
  <si>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</si>
  <si>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</si>
  <si>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</si>
  <si>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</si>
  <si>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</si>
  <si>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</si>
  <si>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</si>
  <si>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</si>
  <si>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</si>
  <si>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</si>
  <si>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</si>
  <si>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</si>
  <si>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</si>
  <si>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</si>
  <si>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</si>
  <si>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</si>
  <si>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</si>
  <si>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</si>
  <si>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</si>
  <si>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</si>
  <si>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</si>
  <si>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</si>
  <si>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</si>
  <si>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</si>
  <si>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</si>
  <si>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</si>
  <si>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</si>
  <si>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</si>
  <si>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</si>
  <si>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</si>
  <si>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</si>
  <si>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</si>
  <si>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</si>
  <si>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</si>
  <si>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</si>
  <si>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</si>
  <si>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</si>
  <si>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</si>
  <si>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</si>
  <si>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</si>
  <si>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</si>
  <si>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</si>
  <si>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</si>
  <si>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</si>
  <si>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</si>
  <si>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</si>
  <si>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</si>
  <si>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</si>
  <si>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</si>
  <si>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</si>
  <si>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</si>
  <si>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</si>
  <si>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</si>
  <si>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</si>
  <si>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</si>
  <si>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</si>
  <si>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</si>
  <si>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</si>
  <si>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</si>
  <si>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</si>
  <si>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</si>
  <si>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</si>
  <si>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</si>
  <si>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</si>
  <si>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</si>
  <si>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</si>
  <si>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</si>
  <si>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</si>
  <si>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</si>
  <si>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</si>
  <si>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</si>
  <si>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</si>
  <si>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</si>
  <si>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</si>
  <si>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</si>
  <si>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</si>
  <si>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</si>
  <si>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</si>
  <si>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</si>
  <si>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</si>
  <si>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</si>
  <si>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</si>
  <si>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</si>
  <si>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</si>
  <si>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</si>
  <si>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</si>
  <si>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</si>
  <si>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</si>
  <si>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</si>
  <si>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</si>
  <si>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</si>
  <si>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</si>
  <si>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</si>
  <si>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</si>
  <si>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</si>
  <si>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</si>
  <si>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</si>
  <si>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</si>
  <si>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</si>
  <si>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</si>
  <si>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</si>
  <si>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</si>
  <si>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</si>
  <si>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</si>
  <si>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</si>
  <si>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</si>
  <si>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</si>
  <si>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</si>
  <si>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</si>
  <si>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</si>
  <si>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</si>
  <si>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</si>
  <si>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</si>
  <si>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</si>
  <si>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</si>
  <si>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</si>
  <si>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</si>
  <si>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</si>
  <si>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</si>
  <si>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</si>
  <si>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</si>
  <si>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</si>
  <si>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</si>
  <si>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</si>
  <si>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</si>
  <si>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</si>
  <si>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</si>
  <si>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</si>
  <si>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</si>
  <si>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</si>
  <si>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</si>
  <si>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</si>
  <si>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</si>
  <si>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</si>
  <si>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</si>
  <si>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</si>
  <si>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</si>
  <si>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</si>
  <si>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</si>
  <si>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</si>
  <si>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</si>
  <si>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</si>
  <si>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</si>
  <si>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</si>
  <si>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</si>
  <si>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</si>
  <si>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</si>
  <si>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</si>
  <si>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</si>
  <si>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</si>
  <si>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</si>
  <si>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</si>
  <si>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</si>
  <si>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</si>
  <si>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</si>
  <si>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</si>
  <si>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</si>
  <si>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</si>
  <si>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</si>
  <si>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</si>
  <si>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</si>
  <si>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</si>
  <si>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</si>
  <si>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</si>
  <si>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</si>
  <si>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</si>
  <si>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</si>
  <si>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</si>
  <si>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</si>
  <si>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</si>
  <si>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</si>
  <si>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</si>
  <si>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</si>
  <si>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</si>
  <si>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</si>
  <si>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</si>
  <si>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</si>
  <si>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</si>
  <si>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</si>
  <si>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</si>
  <si>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</si>
  <si>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</si>
  <si>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</si>
  <si>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</si>
  <si>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</si>
  <si>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</si>
  <si>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</si>
  <si>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</si>
  <si>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</si>
  <si>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</si>
  <si>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</si>
  <si>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</si>
  <si>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</si>
  <si>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</si>
  <si>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</si>
  <si>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</si>
  <si>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</si>
  <si>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</si>
  <si>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</si>
  <si>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</si>
  <si>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</si>
  <si>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</si>
  <si>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</si>
  <si>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</si>
  <si>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</si>
  <si>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</si>
  <si>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</si>
  <si>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</si>
  <si>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</si>
  <si>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</si>
  <si>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</si>
  <si>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</si>
  <si>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</si>
  <si>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</si>
  <si>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</si>
  <si>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</si>
  <si>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</si>
  <si>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</si>
  <si>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</si>
  <si>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</si>
  <si>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</si>
  <si>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</si>
  <si>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</si>
  <si>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</si>
  <si>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</si>
  <si>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</si>
  <si>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</si>
  <si>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</si>
  <si>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</si>
  <si>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</si>
  <si>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</si>
  <si>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</si>
  <si>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</si>
  <si>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</si>
  <si>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</si>
  <si>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</si>
  <si>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</si>
  <si>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</si>
  <si>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</si>
  <si>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</si>
  <si>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</si>
  <si>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</si>
  <si>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</si>
  <si>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</si>
  <si>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</si>
  <si>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</si>
  <si>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</si>
  <si>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</si>
  <si>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</si>
  <si>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</si>
  <si>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</si>
  <si>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</si>
  <si>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</si>
  <si>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</si>
  <si>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</si>
  <si>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</si>
  <si>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</si>
  <si>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</si>
  <si>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</si>
  <si>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</si>
  <si>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</si>
  <si>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</si>
  <si>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</si>
  <si>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</si>
  <si>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</si>
  <si>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</si>
  <si>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</si>
  <si>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</si>
  <si>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</si>
  <si>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</si>
  <si>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</si>
  <si>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</si>
  <si>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</si>
  <si>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</si>
  <si>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</si>
  <si>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</si>
  <si>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</si>
  <si>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</si>
  <si>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</si>
  <si>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</si>
  <si>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</si>
  <si>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</si>
  <si>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</si>
  <si>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</si>
  <si>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</si>
  <si>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</si>
  <si>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</si>
  <si>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</si>
  <si>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</si>
  <si>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</si>
  <si>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</si>
  <si>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</si>
  <si>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</si>
  <si>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</si>
  <si>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</si>
  <si>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</si>
  <si>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</si>
  <si>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</si>
  <si>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</si>
  <si>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</si>
  <si>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</si>
  <si>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</si>
  <si>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</si>
  <si>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</si>
  <si>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</si>
  <si>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</si>
  <si>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</si>
  <si>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</si>
  <si>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</si>
  <si>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</si>
  <si>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</si>
  <si>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</si>
  <si>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</si>
  <si>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</si>
  <si>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</si>
  <si>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</si>
  <si>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</si>
  <si>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</si>
  <si>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</si>
  <si>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</si>
  <si>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</si>
  <si>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</si>
  <si>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</si>
  <si>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</si>
  <si>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</si>
  <si>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</si>
  <si>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</si>
  <si>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</si>
  <si>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</si>
  <si>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</si>
  <si>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</si>
  <si>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</si>
  <si>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</si>
  <si>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</si>
  <si>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</si>
  <si>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</si>
  <si>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</si>
  <si>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</si>
  <si>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</si>
  <si>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</si>
  <si>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</si>
  <si>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</si>
  <si>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</si>
  <si>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</si>
  <si>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</si>
  <si>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</si>
  <si>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</si>
  <si>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Geprüfte Periode (N)</t>
  </si>
  <si>
    <t>Saldo (LC)</t>
  </si>
  <si>
    <t>KMW-Mittelprüfung</t>
  </si>
  <si>
    <t>Finanzierungsanteile</t>
  </si>
  <si>
    <t>Kumulativ (LC)</t>
  </si>
  <si>
    <t>Kumulativ (EUR)</t>
  </si>
  <si>
    <t>Soll-Ist Abweichungsprüfung</t>
  </si>
  <si>
    <t>Aktuelle Mittelanforderung</t>
  </si>
  <si>
    <t>abzüglich Eigenmittel:</t>
  </si>
  <si>
    <t>abzüglich Drittmittel:</t>
  </si>
  <si>
    <t>Aktueller Finanzbericht</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</si>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</sst>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dd.mm.yyyy"/>
    <numFmt numFmtId="165" formatCode="0.0000"/>
    <numFmt numFmtId="166" formatCode="#,##0.00"/>
    <numFmt numFmtId="167" formatCode="#,##0.00&quot; €&quot;"/>
    <numFmt numFmtId="168" formatCode="0.000000"/>
    <numFmt numFmtId="169" formatCode="@"/>
    <numFmt numFmtId="170" formatCode="DD.MM.YYYY"/>
    <numFmt numFmtId="171" formatCode="0"/>
    <numFmt numFmtId="172"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46">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1"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171"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1"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1"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1" fontId="3" fillId="8" borderId="18" xfId="0" applyNumberFormat="true" applyFont="true" applyFill="true" applyBorder="true" applyAlignment="true">
      <alignment horizontal="center" vertical="center"/>
    </xf>
    <xf numFmtId="171" fontId="3" fillId="5" borderId="18" xfId="0" applyNumberFormat="true" applyFont="true" applyFill="true" applyBorder="true" applyAlignment="true">
      <alignment horizontal="center" vertical="center"/>
    </xf>
    <xf numFmtId="171" fontId="3" fillId="5" borderId="18" xfId="0" applyNumberFormat="true" applyFont="true" applyFill="true" applyBorder="true" applyAlignment="true">
      <alignment horizontal="center" vertical="center"/>
    </xf>
    <xf numFmtId="171"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2" fontId="3" fillId="8" borderId="20" xfId="0" applyNumberFormat="true" applyFont="true" applyFill="true" applyBorder="true" applyAlignment="true">
      <alignment horizontal="right" vertical="center"/>
    </xf>
    <xf numFmtId="172"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2"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2"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2"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1"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6" fillId="11" borderId="33" xfId="0" applyNumberFormat="true" applyFont="true" applyFill="true" applyBorder="true" applyAlignment="true">
      <alignment horizontal="right" vertical="center"/>
    </xf>
    <xf numFmtId="172"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9C0006"/>
      </font>
      <fill>
        <patternFill patternType="solid">
          <bgColor rgb="FFFFC7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006100"/>
      </font>
      <fill>
        <patternFill patternType="solid">
          <bgColor rgb="FFC6EFCE"/>
        </patternFill>
      </fill>
      <alignment horizontal="center" vertical="center"/>
      <border>
        <left style="thin">
          <color rgb="FF808080"/>
        </left>
        <right style="medium">
          <color rgb="FF808080"/>
        </right>
        <top style="thin">
          <color rgb="FF808080"/>
        </top>
        <bottom style="thin">
          <color rgb="FF808080"/>
        </bottom>
      </border>
    </dxf>
    <dxf>
      <font>
        <name val="Segoe UI"/>
        <family val="2"/>
        <b val="1"/>
        <color rgb="FF9C0006"/>
      </font>
      <fill>
        <patternFill patternType="solid">
          <bgColor rgb="FFFFC7CE"/>
        </patternFill>
      </fill>
      <alignment horizontal="center" vertical="center"/>
      <border>
        <left style="thin">
          <color rgb="FF808080"/>
        </left>
        <right style="medium">
          <color rgb="FF808080"/>
        </right>
        <top style="thin">
          <color rgb="FF808080"/>
        </top>
        <bottom style="thin">
          <color rgb="FF808080"/>
        </bottom>
      </border>
    </dxf>
    <dxf>
      <font>
        <name val="Segoe UI"/>
        <family val="2"/>
        <b val="1"/>
        <color rgb="FF9C0006"/>
      </font>
      <numFmt numFmtId="165" formatCode="#,##0.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0006"/>
      </font>
      <numFmt numFmtId="166" formatCode="#,##0.00&quot; €&quot;"/>
      <fill>
        <patternFill patternType="solid">
          <bgColor rgb="FFFFC7CE"/>
        </patternFill>
      </fill>
      <alignment horizontal="right" vertical="center"/>
      <border>
        <left style="thin">
          <color rgb="FF808080"/>
        </left>
        <right style="medium">
          <color rgb="FF808080"/>
        </right>
        <top style="thin">
          <color rgb="FF808080"/>
        </top>
        <bottom style="thin">
          <color rgb="FF808080"/>
        </bottom>
      </bord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34"/>
    <col customWidth="true" max="10" min="3" width="16"/>
    <col customWidth="true" max="11" min="11" width="3"/>
    <col customWidth="true" max="12" min="12" width="25"/>
    <col customWidth="true" max="16" min="13" width="18"/>
    <col customWidth="true" hidden="true" max="30" min="30" width="9.140625"/>
  </cols>
  <sheetData>
    <row r="2" ht="30" customHeight="true">
      <c r="B2" s="191" t="s">
        <v>315</v>
      </c>
      <c r="C2" s="191"/>
      <c r="D2" s="191"/>
      <c r="E2" s="191"/>
      <c r="F2" s="191"/>
      <c r="G2" s="191"/>
      <c r="H2" s="191"/>
      <c r="I2" s="191"/>
      <c r="J2" s="191"/>
    </row>
    <row r="3" ht="18" customHeight="true">
      <c r="B3" s="192" t="s">
        <v>316</v>
      </c>
      <c r="C3" s="192"/>
      <c r="D3" s="192"/>
      <c r="E3" s="192"/>
      <c r="F3" s="192"/>
      <c r="G3" s="192"/>
      <c r="H3" s="192"/>
      <c r="I3" s="192"/>
      <c r="J3" s="192"/>
    </row>
    <row r="5" ht="22" customHeight="true">
      <c r="B5" s="193" t="s">
        <v>317</v>
      </c>
      <c r="C5" s="193"/>
      <c r="D5" s="193"/>
      <c r="E5" s="193"/>
      <c r="F5" s="193"/>
      <c r="G5" s="193"/>
      <c r="H5" s="193"/>
      <c r="I5" s="193"/>
      <c r="J5" s="193"/>
      <c r="L5" s="201" t="s">
        <v>376</v>
      </c>
      <c r="M5" s="202"/>
      <c r="N5" s="203"/>
      <c r="AD5" t="str">
        <f>=IFERROR(SUMPRODUCT('Daten'!$BA$1:$BA$18,('Daten'!$BB$1:$BB$18=F10)*('Daten'!$BD$1:$BD$18=F11)),0)</f>
      </c>
    </row>
    <row r="6">
      <c r="B6" s="194" t="s">
        <v>318</v>
      </c>
      <c r="C6" s="194"/>
      <c r="D6" s="194"/>
      <c r="E6" s="194"/>
      <c r="F6" s="194"/>
      <c r="G6" s="194"/>
      <c r="H6" s="194"/>
      <c r="I6" s="194"/>
      <c r="J6" s="194"/>
      <c r="L6" s="314" t="s">
        <v>267</v>
      </c>
      <c r="M6" s="307" t="str">
        <f>=IFERROR(CHOOSE($AD$5,'IV. MA'!$C$5,'IV. MA'!$G$5,'IV. MA'!$K$5,'IV. MA'!$O$5,'IV. MA'!$S$5,'IV. MA'!$W$5,'IV. MA'!$AA$5,'IV. MA'!$AE$5,'IV. MA'!$AI$5,'IV. MA'!$AM$5,'IV. MA'!$AQ$5,'IV. MA'!$AU$5,'IV. MA'!$AY$5,'IV. MA'!$BC$5,'IV. MA'!$BG$5,'IV. MA'!$BK$5,'IV. MA'!$BO$5,'IV. MA'!$BS$5),"")</f>
      </c>
      <c r="N6" s="315"/>
    </row>
    <row r="7">
      <c r="L7" s="314" t="s">
        <v>268</v>
      </c>
      <c r="M7" s="308" t="str">
        <f>=IFERROR(CHOOSE($AD$5,'IV. MA'!$C$6,'IV. MA'!$G$6,'IV. MA'!$K$6,'IV. MA'!$O$6,'IV. MA'!$S$6,'IV. MA'!$W$6,'IV. MA'!$AA$6,'IV. MA'!$AE$6,'IV. MA'!$AI$6,'IV. MA'!$AM$6,'IV. MA'!$AQ$6,'IV. MA'!$AU$6,'IV. MA'!$AY$6,'IV. MA'!$BC$6,'IV. MA'!$BG$6,'IV. MA'!$BK$6,'IV. MA'!$BO$6,'IV. MA'!$BS$6),"")</f>
      </c>
      <c r="N7" s="316"/>
    </row>
    <row r="8" ht="22" customHeight="true">
      <c r="C8" s="201" t="s">
        <v>319</v>
      </c>
      <c r="D8" s="202"/>
      <c r="E8" s="202"/>
      <c r="F8" s="202"/>
      <c r="G8" s="202"/>
      <c r="H8" s="202"/>
      <c r="I8" s="203"/>
      <c r="L8" s="314" t="s">
        <v>305</v>
      </c>
      <c r="M8" s="309" t="str">
        <f>=IFERROR(CHOOSE($AD$5,'IV. MA'!$C$7,'IV. MA'!$G$7,'IV. MA'!$K$7,'IV. MA'!$O$7,'IV. MA'!$S$7,'IV. MA'!$W$7,'IV. MA'!$AA$7,'IV. MA'!$AE$7,'IV. MA'!$AI$7,'IV. MA'!$AM$7,'IV. MA'!$AQ$7,'IV. MA'!$AU$7,'IV. MA'!$AY$7,'IV. MA'!$BC$7,'IV. MA'!$BG$7,'IV. MA'!$BK$7,'IV. MA'!$BO$7,'IV. MA'!$BS$7),"")</f>
      </c>
      <c r="N8" s="317"/>
    </row>
    <row r="9">
      <c r="C9" s="204" t="s">
        <v>320</v>
      </c>
      <c r="D9" s="196"/>
      <c r="E9" s="196"/>
      <c r="F9" s="33" t="s">
        <v>158</v>
      </c>
      <c r="G9" s="33"/>
      <c r="H9" s="33"/>
      <c r="I9" s="205"/>
      <c r="L9" s="47"/>
      <c r="N9" s="48"/>
    </row>
    <row r="10">
      <c r="C10" s="204" t="s">
        <v>321</v>
      </c>
      <c r="D10" s="196"/>
      <c r="E10" s="196"/>
      <c r="F10" s="197" t="str">
        <f>=F82+1</f>
        <v>0</v>
      </c>
      <c r="G10" s="197"/>
      <c r="H10" s="197"/>
      <c r="I10" s="206"/>
      <c r="L10" s="318" t="s">
        <v>202</v>
      </c>
      <c r="M10" s="179" t="s">
        <v>306</v>
      </c>
      <c r="N10" s="319" t="s">
        <v>307</v>
      </c>
    </row>
    <row r="11">
      <c r="C11" s="204" t="s">
        <v>322</v>
      </c>
      <c r="D11" s="196"/>
      <c r="E11" s="196"/>
      <c r="F11" s="197" t="str">
        <f>=IFERROR(VALUE(MID(F9,FIND("(#",F9)+2,FIND(")",F9)-FIND("(#",F9)-2)),0)</f>
      </c>
      <c r="G11" s="197"/>
      <c r="H11" s="197"/>
      <c r="I11" s="207"/>
      <c r="L11" s="142" t="s">
        <v>205</v>
      </c>
      <c r="M11" s="115" t="str">
        <f>=IFERROR(CHOOSE($AD$5,'IV. MA'!$C$10,'IV. MA'!$G$10,'IV. MA'!$K$10,'IV. MA'!$O$10,'IV. MA'!$S$10,'IV. MA'!$W$10,'IV. MA'!$AA$10,'IV. MA'!$AE$10,'IV. MA'!$AI$10,'IV. MA'!$AM$10,'IV. MA'!$AQ$10,'IV. MA'!$AU$10,'IV. MA'!$AY$10,'IV. MA'!$BC$10,'IV. MA'!$BG$10,'IV. MA'!$BK$10,'IV. MA'!$BO$10,'IV. MA'!$BS$10),"")</f>
      </c>
      <c r="N11" s="143" t="str">
        <f>=IFERROR(CHOOSE($AD$5,'IV. MA'!$D$10,'IV. MA'!$H$10,'IV. MA'!$L$10,'IV. MA'!$P$10,'IV. MA'!$T$10,'IV. MA'!$X$10,'IV. MA'!$AB$10,'IV. MA'!$AF$10,'IV. MA'!$AJ$10,'IV. MA'!$AN$10,'IV. MA'!$AR$10,'IV. MA'!$AV$10,'IV. MA'!$AZ$10,'IV. MA'!$BD$10,'IV. MA'!$BH$10,'IV. MA'!$BL$10,'IV. MA'!$BP$10,'IV. MA'!$BT$10),"")</f>
      </c>
    </row>
    <row r="12">
      <c r="C12" s="208" t="s">
        <v>323</v>
      </c>
      <c r="D12" s="198"/>
      <c r="E12" s="198"/>
      <c r="F12" s="198"/>
      <c r="G12" s="198"/>
      <c r="H12" s="198"/>
      <c r="I12" s="209"/>
      <c r="L12" s="142" t="s">
        <v>206</v>
      </c>
      <c r="M12" s="115" t="str">
        <f>=IFERROR(CHOOSE($AD$5,'IV. MA'!$C$11,'IV. MA'!$G$11,'IV. MA'!$K$11,'IV. MA'!$O$11,'IV. MA'!$S$11,'IV. MA'!$W$11,'IV. MA'!$AA$11,'IV. MA'!$AE$11,'IV. MA'!$AI$11,'IV. MA'!$AM$11,'IV. MA'!$AQ$11,'IV. MA'!$AU$11,'IV. MA'!$AY$11,'IV. MA'!$BC$11,'IV. MA'!$BG$11,'IV. MA'!$BK$11,'IV. MA'!$BO$11,'IV. MA'!$BS$11),"")</f>
      </c>
      <c r="N12" s="143" t="str">
        <f>=IFERROR(CHOOSE($AD$5,'IV. MA'!$D$11,'IV. MA'!$H$11,'IV. MA'!$L$11,'IV. MA'!$P$11,'IV. MA'!$T$11,'IV. MA'!$X$11,'IV. MA'!$AB$11,'IV. MA'!$AF$11,'IV. MA'!$AJ$11,'IV. MA'!$AN$11,'IV. MA'!$AR$11,'IV. MA'!$AV$11,'IV. MA'!$AZ$11,'IV. MA'!$BD$11,'IV. MA'!$BH$11,'IV. MA'!$BL$11,'IV. MA'!$BP$11,'IV. MA'!$BT$11),"")</f>
      </c>
    </row>
    <row r="13">
      <c r="C13" s="210" t="str">
        <f>=IF(1&lt;=F11,"Periode "&amp;F10&amp;" (#1)","")</f>
      </c>
      <c r="D13" s="199"/>
      <c r="E13" s="199"/>
      <c r="F13" s="200" t="str">
        <f>=IF(1&lt;=F11,IFERROR(SUMIFS('Daten'!$BF$1:$BF$18,'Daten'!$BB$1:$BB$18,F10,'Daten'!$BD$1:$BD$18,1),0),"")</f>
      </c>
      <c r="G13" s="200"/>
      <c r="H13" s="181" t="str">
        <f>=IF(1&lt;=F11,IFERROR(SUMIFS('Daten'!$BG$1:$BG$18,'Daten'!$BB$1:$BB$18,F10,'Daten'!$BD$1:$BD$18,1),0),"")</f>
      </c>
      <c r="I13" s="211"/>
      <c r="L13" s="142" t="s">
        <v>207</v>
      </c>
      <c r="M13" s="115" t="str">
        <f>=IFERROR(CHOOSE($AD$5,'IV. MA'!$C$12,'IV. MA'!$G$12,'IV. MA'!$K$12,'IV. MA'!$O$12,'IV. MA'!$S$12,'IV. MA'!$W$12,'IV. MA'!$AA$12,'IV. MA'!$AE$12,'IV. MA'!$AI$12,'IV. MA'!$AM$12,'IV. MA'!$AQ$12,'IV. MA'!$AU$12,'IV. MA'!$AY$12,'IV. MA'!$BC$12,'IV. MA'!$BG$12,'IV. MA'!$BK$12,'IV. MA'!$BO$12,'IV. MA'!$BS$12),"")</f>
      </c>
      <c r="N13" s="143" t="str">
        <f>=IFERROR(CHOOSE($AD$5,'IV. MA'!$D$12,'IV. MA'!$H$12,'IV. MA'!$L$12,'IV. MA'!$P$12,'IV. MA'!$T$12,'IV. MA'!$X$12,'IV. MA'!$AB$12,'IV. MA'!$AF$12,'IV. MA'!$AJ$12,'IV. MA'!$AN$12,'IV. MA'!$AR$12,'IV. MA'!$AV$12,'IV. MA'!$AZ$12,'IV. MA'!$BD$12,'IV. MA'!$BH$12,'IV. MA'!$BL$12,'IV. MA'!$BP$12,'IV. MA'!$BT$12),"")</f>
      </c>
    </row>
    <row r="14">
      <c r="C14" s="210" t="str">
        <f>=IF(2&lt;=F11,"Periode "&amp;F10&amp;" (#2)","")</f>
      </c>
      <c r="D14" s="199"/>
      <c r="E14" s="199"/>
      <c r="F14" s="200" t="str">
        <f>=IF(2&lt;=F11,IFERROR(SUMIFS('Daten'!$BF$1:$BF$18,'Daten'!$BB$1:$BB$18,F10,'Daten'!$BD$1:$BD$18,2),0),"")</f>
      </c>
      <c r="G14" s="200"/>
      <c r="H14" s="181" t="str">
        <f>=IF(2&lt;=F11,IFERROR(SUMIFS('Daten'!$BG$1:$BG$18,'Daten'!$BB$1:$BB$18,F10,'Daten'!$BD$1:$BD$18,2),0),"")</f>
      </c>
      <c r="I14" s="211"/>
      <c r="L14" s="142" t="s">
        <v>208</v>
      </c>
      <c r="M14" s="115" t="str">
        <f>=IFERROR(CHOOSE($AD$5,'IV. MA'!$C$13,'IV. MA'!$G$13,'IV. MA'!$K$13,'IV. MA'!$O$13,'IV. MA'!$S$13,'IV. MA'!$W$13,'IV. MA'!$AA$13,'IV. MA'!$AE$13,'IV. MA'!$AI$13,'IV. MA'!$AM$13,'IV. MA'!$AQ$13,'IV. MA'!$AU$13,'IV. MA'!$AY$13,'IV. MA'!$BC$13,'IV. MA'!$BG$13,'IV. MA'!$BK$13,'IV. MA'!$BO$13,'IV. MA'!$BS$13),"")</f>
      </c>
      <c r="N14" s="143" t="str">
        <f>=IFERROR(CHOOSE($AD$5,'IV. MA'!$D$13,'IV. MA'!$H$13,'IV. MA'!$L$13,'IV. MA'!$P$13,'IV. MA'!$T$13,'IV. MA'!$X$13,'IV. MA'!$AB$13,'IV. MA'!$AF$13,'IV. MA'!$AJ$13,'IV. MA'!$AN$13,'IV. MA'!$AR$13,'IV. MA'!$AV$13,'IV. MA'!$AZ$13,'IV. MA'!$BD$13,'IV. MA'!$BH$13,'IV. MA'!$BL$13,'IV. MA'!$BP$13,'IV. MA'!$BT$13),"")</f>
      </c>
    </row>
    <row r="15">
      <c r="C15" s="210" t="str">
        <f>=IF(3&lt;=F11,"Periode "&amp;F10&amp;" (#3)","")</f>
      </c>
      <c r="D15" s="199"/>
      <c r="E15" s="199"/>
      <c r="F15" s="200" t="str">
        <f>=IF(3&lt;=F11,IFERROR(SUMIFS('Daten'!$BF$1:$BF$18,'Daten'!$BB$1:$BB$18,F10,'Daten'!$BD$1:$BD$18,3),0),"")</f>
      </c>
      <c r="G15" s="200"/>
      <c r="H15" s="181" t="str">
        <f>=IF(3&lt;=F11,IFERROR(SUMIFS('Daten'!$BG$1:$BG$18,'Daten'!$BB$1:$BB$18,F10,'Daten'!$BD$1:$BD$18,3),0),"")</f>
      </c>
      <c r="I15" s="211"/>
      <c r="L15" s="142" t="s">
        <v>209</v>
      </c>
      <c r="M15" s="115" t="str">
        <f>=IFERROR(CHOOSE($AD$5,'IV. MA'!$C$14,'IV. MA'!$G$14,'IV. MA'!$K$14,'IV. MA'!$O$14,'IV. MA'!$S$14,'IV. MA'!$W$14,'IV. MA'!$AA$14,'IV. MA'!$AE$14,'IV. MA'!$AI$14,'IV. MA'!$AM$14,'IV. MA'!$AQ$14,'IV. MA'!$AU$14,'IV. MA'!$AY$14,'IV. MA'!$BC$14,'IV. MA'!$BG$14,'IV. MA'!$BK$14,'IV. MA'!$BO$14,'IV. MA'!$BS$14),"")</f>
      </c>
      <c r="N15" s="143" t="str">
        <f>=IFERROR(CHOOSE($AD$5,'IV. MA'!$D$14,'IV. MA'!$H$14,'IV. MA'!$L$14,'IV. MA'!$P$14,'IV. MA'!$T$14,'IV. MA'!$X$14,'IV. MA'!$AB$14,'IV. MA'!$AF$14,'IV. MA'!$AJ$14,'IV. MA'!$AN$14,'IV. MA'!$AR$14,'IV. MA'!$AV$14,'IV. MA'!$AZ$14,'IV. MA'!$BD$14,'IV. MA'!$BH$14,'IV. MA'!$BL$14,'IV. MA'!$BP$14,'IV. MA'!$BT$14),"")</f>
      </c>
    </row>
    <row r="16">
      <c r="C16" s="210" t="str">
        <f>=IF(4&lt;=F11,"Periode "&amp;F10&amp;" (#4)","")</f>
      </c>
      <c r="D16" s="199"/>
      <c r="E16" s="199"/>
      <c r="F16" s="200" t="str">
        <f>=IF(4&lt;=F11,IFERROR(SUMIFS('Daten'!$BF$1:$BF$18,'Daten'!$BB$1:$BB$18,F10,'Daten'!$BD$1:$BD$18,4),0),"")</f>
      </c>
      <c r="G16" s="200"/>
      <c r="H16" s="181" t="str">
        <f>=IF(4&lt;=F11,IFERROR(SUMIFS('Daten'!$BG$1:$BG$18,'Daten'!$BB$1:$BB$18,F10,'Daten'!$BD$1:$BD$18,4),0),"")</f>
      </c>
      <c r="I16" s="211"/>
      <c r="L16" s="142" t="s">
        <v>210</v>
      </c>
      <c r="M16" s="115" t="str">
        <f>=IFERROR(CHOOSE($AD$5,'IV. MA'!$C$15,'IV. MA'!$G$15,'IV. MA'!$K$15,'IV. MA'!$O$15,'IV. MA'!$S$15,'IV. MA'!$W$15,'IV. MA'!$AA$15,'IV. MA'!$AE$15,'IV. MA'!$AI$15,'IV. MA'!$AM$15,'IV. MA'!$AQ$15,'IV. MA'!$AU$15,'IV. MA'!$AY$15,'IV. MA'!$BC$15,'IV. MA'!$BG$15,'IV. MA'!$BK$15,'IV. MA'!$BO$15,'IV. MA'!$BS$15),"")</f>
      </c>
      <c r="N16" s="143" t="str">
        <f>=IFERROR(CHOOSE($AD$5,'IV. MA'!$D$15,'IV. MA'!$H$15,'IV. MA'!$L$15,'IV. MA'!$P$15,'IV. MA'!$T$15,'IV. MA'!$X$15,'IV. MA'!$AB$15,'IV. MA'!$AF$15,'IV. MA'!$AJ$15,'IV. MA'!$AN$15,'IV. MA'!$AR$15,'IV. MA'!$AV$15,'IV. MA'!$AZ$15,'IV. MA'!$BD$15,'IV. MA'!$BH$15,'IV. MA'!$BL$15,'IV. MA'!$BP$15,'IV. MA'!$BT$15),"")</f>
      </c>
    </row>
    <row r="17">
      <c r="C17" s="210" t="str">
        <f>=IF(5&lt;=F11,"Periode "&amp;F10&amp;" (#5)","")</f>
      </c>
      <c r="D17" s="199"/>
      <c r="E17" s="199"/>
      <c r="F17" s="200" t="str">
        <f>=IF(5&lt;=F11,IFERROR(SUMIFS('Daten'!$BF$1:$BF$18,'Daten'!$BB$1:$BB$18,F10,'Daten'!$BD$1:$BD$18,5),0),"")</f>
      </c>
      <c r="G17" s="200"/>
      <c r="H17" s="181" t="str">
        <f>=IF(5&lt;=F11,IFERROR(SUMIFS('Daten'!$BG$1:$BG$18,'Daten'!$BB$1:$BB$18,F10,'Daten'!$BD$1:$BD$18,5),0),"")</f>
      </c>
      <c r="I17" s="211"/>
      <c r="L17" s="142" t="s">
        <v>211</v>
      </c>
      <c r="M17" s="115" t="str">
        <f>=IFERROR(CHOOSE($AD$5,'IV. MA'!$C$16,'IV. MA'!$G$16,'IV. MA'!$K$16,'IV. MA'!$O$16,'IV. MA'!$S$16,'IV. MA'!$W$16,'IV. MA'!$AA$16,'IV. MA'!$AE$16,'IV. MA'!$AI$16,'IV. MA'!$AM$16,'IV. MA'!$AQ$16,'IV. MA'!$AU$16,'IV. MA'!$AY$16,'IV. MA'!$BC$16,'IV. MA'!$BG$16,'IV. MA'!$BK$16,'IV. MA'!$BO$16,'IV. MA'!$BS$16),"")</f>
      </c>
      <c r="N17" s="143" t="str">
        <f>=IFERROR(CHOOSE($AD$5,'IV. MA'!$D$16,'IV. MA'!$H$16,'IV. MA'!$L$16,'IV. MA'!$P$16,'IV. MA'!$T$16,'IV. MA'!$X$16,'IV. MA'!$AB$16,'IV. MA'!$AF$16,'IV. MA'!$AJ$16,'IV. MA'!$AN$16,'IV. MA'!$AR$16,'IV. MA'!$AV$16,'IV. MA'!$AZ$16,'IV. MA'!$BD$16,'IV. MA'!$BH$16,'IV. MA'!$BL$16,'IV. MA'!$BP$16,'IV. MA'!$BT$16),"")</f>
      </c>
    </row>
    <row r="18">
      <c r="C18" s="212" t="str">
        <f>=IF(6&lt;=F11,"Periode "&amp;F10&amp;" (#6)","")</f>
      </c>
      <c r="D18" s="213"/>
      <c r="E18" s="213"/>
      <c r="F18" s="214" t="str">
        <f>=IF(6&lt;=F11,IFERROR(SUMIFS('Daten'!$BF$1:$BF$18,'Daten'!$BB$1:$BB$18,F10,'Daten'!$BD$1:$BD$18,6),0),"")</f>
      </c>
      <c r="G18" s="214"/>
      <c r="H18" s="215" t="str">
        <f>=IF(6&lt;=F11,IFERROR(SUMIFS('Daten'!$BG$1:$BG$18,'Daten'!$BB$1:$BB$18,F10,'Daten'!$BD$1:$BD$18,6),0),"")</f>
      </c>
      <c r="I18" s="216"/>
      <c r="L18" s="142" t="s">
        <v>212</v>
      </c>
      <c r="M18" s="115" t="str">
        <f>=IFERROR(CHOOSE($AD$5,'IV. MA'!$C$17,'IV. MA'!$G$17,'IV. MA'!$K$17,'IV. MA'!$O$17,'IV. MA'!$S$17,'IV. MA'!$W$17,'IV. MA'!$AA$17,'IV. MA'!$AE$17,'IV. MA'!$AI$17,'IV. MA'!$AM$17,'IV. MA'!$AQ$17,'IV. MA'!$AU$17,'IV. MA'!$AY$17,'IV. MA'!$BC$17,'IV. MA'!$BG$17,'IV. MA'!$BK$17,'IV. MA'!$BO$17,'IV. MA'!$BS$17),"")</f>
      </c>
      <c r="N18" s="143" t="str">
        <f>=IFERROR(CHOOSE($AD$5,'IV. MA'!$D$17,'IV. MA'!$H$17,'IV. MA'!$L$17,'IV. MA'!$P$17,'IV. MA'!$T$17,'IV. MA'!$X$17,'IV. MA'!$AB$17,'IV. MA'!$AF$17,'IV. MA'!$AJ$17,'IV. MA'!$AN$17,'IV. MA'!$AR$17,'IV. MA'!$AV$17,'IV. MA'!$AZ$17,'IV. MA'!$BD$17,'IV. MA'!$BH$17,'IV. MA'!$BL$17,'IV. MA'!$BP$17,'IV. MA'!$BT$17),"")</f>
      </c>
    </row>
    <row r="19">
      <c r="L19" s="320" t="s">
        <v>308</v>
      </c>
      <c r="M19" s="242" t="str">
        <f>=IFERROR(CHOOSE($AD$5,'IV. MA'!$C$18,'IV. MA'!$G$18,'IV. MA'!$K$18,'IV. MA'!$O$18,'IV. MA'!$S$18,'IV. MA'!$W$18,'IV. MA'!$AA$18,'IV. MA'!$AE$18,'IV. MA'!$AI$18,'IV. MA'!$AM$18,'IV. MA'!$AQ$18,'IV. MA'!$AU$18,'IV. MA'!$AY$18,'IV. MA'!$BC$18,'IV. MA'!$BG$18,'IV. MA'!$BK$18,'IV. MA'!$BO$18,'IV. MA'!$BS$18),"")</f>
      </c>
      <c r="N19" s="235" t="str">
        <f>=IFERROR(CHOOSE($AD$5,'IV. MA'!$D$18,'IV. MA'!$H$18,'IV. MA'!$L$18,'IV. MA'!$P$18,'IV. MA'!$T$18,'IV. MA'!$X$18,'IV. MA'!$AB$18,'IV. MA'!$AF$18,'IV. MA'!$AJ$18,'IV. MA'!$AN$18,'IV. MA'!$AR$18,'IV. MA'!$AV$18,'IV. MA'!$AZ$18,'IV. MA'!$BD$18,'IV. MA'!$BH$18,'IV. MA'!$BL$18,'IV. MA'!$BP$18,'IV. MA'!$BT$18),"")</f>
      </c>
    </row>
    <row r="20" ht="22" customHeight="true">
      <c r="B20" s="18" t="s">
        <v>324</v>
      </c>
      <c r="C20" s="18"/>
      <c r="D20" s="18"/>
      <c r="E20" s="18"/>
      <c r="F20" s="18"/>
      <c r="G20" s="18"/>
      <c r="H20" s="18"/>
      <c r="I20" s="18"/>
      <c r="J20" s="18"/>
      <c r="L20" s="47"/>
      <c r="N20" s="48"/>
    </row>
    <row r="21">
      <c r="L21" s="142" t="s">
        <v>309</v>
      </c>
      <c r="M21" s="115" t="str">
        <f>=IFERROR(CHOOSE($AD$5,'IV. MA'!$C$20,'IV. MA'!$G$20,'IV. MA'!$K$20,'IV. MA'!$O$20,'IV. MA'!$S$20,'IV. MA'!$W$20,'IV. MA'!$AA$20,'IV. MA'!$AE$20,'IV. MA'!$AI$20,'IV. MA'!$AM$20,'IV. MA'!$AQ$20,'IV. MA'!$AU$20,'IV. MA'!$AY$20,'IV. MA'!$BC$20,'IV. MA'!$BG$20,'IV. MA'!$BK$20,'IV. MA'!$BO$20,'IV. MA'!$BS$20),"")</f>
      </c>
      <c r="N21" s="143" t="str">
        <f>=IFERROR(CHOOSE($AD$5,'IV. MA'!$D$20,'IV. MA'!$H$20,'IV. MA'!$L$20,'IV. MA'!$P$20,'IV. MA'!$T$20,'IV. MA'!$X$20,'IV. MA'!$AB$20,'IV. MA'!$AF$20,'IV. MA'!$AJ$20,'IV. MA'!$AN$20,'IV. MA'!$AR$20,'IV. MA'!$AV$20,'IV. MA'!$AZ$20,'IV. MA'!$BD$20,'IV. MA'!$BH$20,'IV. MA'!$BL$20,'IV. MA'!$BP$20,'IV. MA'!$BT$20),"")</f>
      </c>
    </row>
    <row r="22">
      <c r="B22" s="223" t="s">
        <v>325</v>
      </c>
      <c r="C22" s="224"/>
      <c r="D22" s="225" t="str">
        <f>=IFERROR(ROUND(KMW_Mittel_EUR,2),0)</f>
      </c>
      <c r="F22" s="230" t="s">
        <v>330</v>
      </c>
      <c r="G22" s="231"/>
      <c r="H22" s="231"/>
      <c r="I22" s="232"/>
      <c r="L22" s="142" t="s">
        <v>377</v>
      </c>
      <c r="M22" s="115" t="str">
        <f>=IFERROR(CHOOSE($AD$5,'IV. MA'!$C$21,'IV. MA'!$G$21,'IV. MA'!$K$21,'IV. MA'!$O$21,'IV. MA'!$S$21,'IV. MA'!$W$21,'IV. MA'!$AA$21,'IV. MA'!$AE$21,'IV. MA'!$AI$21,'IV. MA'!$AM$21,'IV. MA'!$AQ$21,'IV. MA'!$AU$21,'IV. MA'!$AY$21,'IV. MA'!$BC$21,'IV. MA'!$BG$21,'IV. MA'!$BK$21,'IV. MA'!$BO$21,'IV. MA'!$BS$21),"")</f>
      </c>
      <c r="N22" s="143" t="str">
        <f>=IFERROR(CHOOSE($AD$5,'IV. MA'!$D$21,'IV. MA'!$H$21,'IV. MA'!$L$21,'IV. MA'!$P$21,'IV. MA'!$T$21,'IV. MA'!$X$21,'IV. MA'!$AB$21,'IV. MA'!$AF$21,'IV. MA'!$AJ$21,'IV. MA'!$AN$21,'IV. MA'!$AR$21,'IV. MA'!$AV$21,'IV. MA'!$AZ$21,'IV. MA'!$BD$21,'IV. MA'!$BH$21,'IV. MA'!$BL$21,'IV. MA'!$BP$21,'IV. MA'!$BT$21),"")</f>
      </c>
    </row>
    <row r="23">
      <c r="B23" s="204" t="s">
        <v>326</v>
      </c>
      <c r="C23" s="196"/>
      <c r="D23" s="226" t="str">
        <f>=IFERROR(ROUND(Kosten_Reserve_EUR,2),0)</f>
      </c>
      <c r="F23" s="233" t="s">
        <v>331</v>
      </c>
      <c r="G23" s="196" t="s">
        <v>332</v>
      </c>
      <c r="H23" s="196"/>
      <c r="I23" s="234" t="str">
        <f>=IFERROR(ROUND(Saldovortrag_EUR,2),0)</f>
      </c>
      <c r="L23" s="142" t="s">
        <v>378</v>
      </c>
      <c r="M23" s="115" t="str">
        <f>=IFERROR(CHOOSE($AD$5,'IV. MA'!$C$22,'IV. MA'!$G$22,'IV. MA'!$K$22,'IV. MA'!$O$22,'IV. MA'!$S$22,'IV. MA'!$W$22,'IV. MA'!$AA$22,'IV. MA'!$AE$22,'IV. MA'!$AI$22,'IV. MA'!$AM$22,'IV. MA'!$AQ$22,'IV. MA'!$AU$22,'IV. MA'!$AY$22,'IV. MA'!$BC$22,'IV. MA'!$BG$22,'IV. MA'!$BK$22,'IV. MA'!$BO$22,'IV. MA'!$BS$22),"")</f>
      </c>
      <c r="N23" s="143" t="str">
        <f>=IFERROR(CHOOSE($AD$5,'IV. MA'!$D$22,'IV. MA'!$H$22,'IV. MA'!$L$22,'IV. MA'!$P$22,'IV. MA'!$T$22,'IV. MA'!$X$22,'IV. MA'!$AB$22,'IV. MA'!$AF$22,'IV. MA'!$AJ$22,'IV. MA'!$AN$22,'IV. MA'!$AR$22,'IV. MA'!$AV$22,'IV. MA'!$AZ$22,'IV. MA'!$BD$22,'IV. MA'!$BH$22,'IV. MA'!$BL$22,'IV. MA'!$BP$22,'IV. MA'!$BT$22),"")</f>
      </c>
    </row>
    <row r="24">
      <c r="B24" s="204" t="s">
        <v>327</v>
      </c>
      <c r="C24" s="196"/>
      <c r="D24" s="226" t="str">
        <f>=ROUND($D$22-$D$23,2)</f>
      </c>
      <c r="F24" s="233" t="s">
        <v>331</v>
      </c>
      <c r="G24" s="196" t="s">
        <v>333</v>
      </c>
      <c r="H24" s="196"/>
      <c r="I24" s="234" t="str">
        <f>=I90</f>
        <v>0</v>
      </c>
      <c r="L24" s="142" t="str">
        <f>=IFERROR(CHOOSE($AD$5,'IV. MA'!$B$23,'IV. MA'!$F$23,'IV. MA'!$J$23,'IV. MA'!$N$23,'IV. MA'!$R$23,'IV. MA'!$V$23,'IV. MA'!$Z$23,'IV. MA'!$AD$23,'IV. MA'!$AH$23,'IV. MA'!$AL$23,'IV. MA'!$AP$23,'IV. MA'!$AT$23,'IV. MA'!$AX$23,'IV. MA'!$BB$23,'IV. MA'!$BF$23,'IV. MA'!$BJ$23,'IV. MA'!$BN$23,'IV. MA'!$BR$23),"")</f>
      </c>
      <c r="M24" s="115" t="str">
        <f>=IFERROR(CHOOSE($AD$5,'IV. MA'!$C$23,'IV. MA'!$G$23,'IV. MA'!$K$23,'IV. MA'!$O$23,'IV. MA'!$S$23,'IV. MA'!$W$23,'IV. MA'!$AA$23,'IV. MA'!$AE$23,'IV. MA'!$AI$23,'IV. MA'!$AM$23,'IV. MA'!$AQ$23,'IV. MA'!$AU$23,'IV. MA'!$AY$23,'IV. MA'!$BC$23,'IV. MA'!$BG$23,'IV. MA'!$BK$23,'IV. MA'!$BO$23,'IV. MA'!$BS$23),"")</f>
      </c>
      <c r="N24" s="143" t="str">
        <f>=IFERROR(CHOOSE($AD$5,'IV. MA'!$D$23,'IV. MA'!$H$23,'IV. MA'!$L$23,'IV. MA'!$P$23,'IV. MA'!$T$23,'IV. MA'!$X$23,'IV. MA'!$AB$23,'IV. MA'!$AF$23,'IV. MA'!$AJ$23,'IV. MA'!$AN$23,'IV. MA'!$AR$23,'IV. MA'!$AV$23,'IV. MA'!$AZ$23,'IV. MA'!$BD$23,'IV. MA'!$BH$23,'IV. MA'!$BL$23,'IV. MA'!$BP$23,'IV. MA'!$BT$23),"")</f>
      </c>
    </row>
    <row r="25">
      <c r="B25" s="204" t="s">
        <v>328</v>
      </c>
      <c r="C25" s="196"/>
      <c r="D25" s="226" t="str">
        <f>=IFERROR(ROUND(SUBTOTAL(109,TblKMWMittel[Betrag]),2),0)</f>
      </c>
      <c r="F25" s="233" t="s">
        <v>331</v>
      </c>
      <c r="G25" s="196" t="s">
        <v>334</v>
      </c>
      <c r="H25" s="196"/>
      <c r="I25" s="234" t="str">
        <f>=ROUND(MAX(0,MAX(0,(SUM($G$99:$G$102)-$G$101)+SUMIFS('Daten'!$BH$1:$BH$18,'Daten'!$BB$1:$BB$18,F10,'Daten'!$BD$1:$BD$18,"&lt;="&amp;F11,'Daten'!$BD$1:$BD$18,"&gt;=1")-(SUM($H$99:$H$102)-$H$101))-I90),2)</f>
        <v>0</v>
      </c>
      <c r="L25" s="47"/>
      <c r="N25" s="48"/>
    </row>
    <row r="26">
      <c r="B26" s="227" t="s">
        <v>329</v>
      </c>
      <c r="C26" s="228"/>
      <c r="D26" s="229" t="str">
        <f>=ROUND($D$24-$D$25,2)</f>
      </c>
      <c r="F26" s="47"/>
      <c r="G26" s="218" t="s">
        <v>335</v>
      </c>
      <c r="H26" s="218"/>
      <c r="I26" s="235" t="str">
        <f>=ROUND(IF($F$23="Abzug",MAX(0,$I$23),0)+IF($F$24="Abzug",MAX(0,$I$24),0)+IF($F$25="Abzug",MAX(0,$I$25),0),2)</f>
      </c>
      <c r="L26" s="321" t="s">
        <v>313</v>
      </c>
      <c r="M26" s="322" t="str">
        <f>=IFERROR(CHOOSE($AD$5,'IV. MA'!$C$25,'IV. MA'!$G$25,'IV. MA'!$K$25,'IV. MA'!$O$25,'IV. MA'!$S$25,'IV. MA'!$W$25,'IV. MA'!$AA$25,'IV. MA'!$AE$25,'IV. MA'!$AI$25,'IV. MA'!$AM$25,'IV. MA'!$AQ$25,'IV. MA'!$AU$25,'IV. MA'!$AY$25,'IV. MA'!$BC$25,'IV. MA'!$BG$25,'IV. MA'!$BK$25,'IV. MA'!$BO$25,'IV. MA'!$BS$25),"")</f>
      </c>
      <c r="N26" s="323" t="str">
        <f>=IFERROR(CHOOSE($AD$5,'IV. MA'!$D$25,'IV. MA'!$H$25,'IV. MA'!$L$25,'IV. MA'!$P$25,'IV. MA'!$T$25,'IV. MA'!$X$25,'IV. MA'!$AB$25,'IV. MA'!$AF$25,'IV. MA'!$AJ$25,'IV. MA'!$AN$25,'IV. MA'!$AR$25,'IV. MA'!$AV$25,'IV. MA'!$AZ$25,'IV. MA'!$BD$25,'IV. MA'!$BH$25,'IV. MA'!$BL$25,'IV. MA'!$BP$25,'IV. MA'!$BT$25),"")</f>
      </c>
    </row>
    <row r="27">
      <c r="F27" s="236"/>
      <c r="G27" s="228" t="s">
        <v>336</v>
      </c>
      <c r="H27" s="228"/>
      <c r="I27" s="229" t="str">
        <f>=ROUND($D$26-$I$26,2)</f>
      </c>
    </row>
    <row r="29">
      <c r="B29" s="223" t="s">
        <v>337</v>
      </c>
      <c r="C29" s="224"/>
      <c r="D29" s="237">
        <v>0</v>
      </c>
      <c r="F29" s="223" t="s">
        <v>337</v>
      </c>
      <c r="G29" s="224"/>
      <c r="H29" s="224"/>
      <c r="I29" s="237">
        <v>0</v>
      </c>
    </row>
    <row r="30">
      <c r="B30" s="227" t="s">
        <v>338</v>
      </c>
      <c r="C30" s="228"/>
      <c r="D30" s="229" t="str">
        <f>=ROUND($D$26-MAX(0,$D$29),2)</f>
      </c>
      <c r="F30" s="227" t="s">
        <v>339</v>
      </c>
      <c r="G30" s="228"/>
      <c r="H30" s="228"/>
      <c r="I30" s="229" t="str">
        <f>=ROUND($I$27-MAX(0,$I$29),2)</f>
      </c>
    </row>
    <row r="32">
      <c r="B32" s="223" t="s">
        <v>340</v>
      </c>
      <c r="C32" s="224"/>
      <c r="D32" s="237">
        <v>0</v>
      </c>
      <c r="F32" s="223" t="s">
        <v>340</v>
      </c>
      <c r="G32" s="224"/>
      <c r="H32" s="224"/>
      <c r="I32" s="237">
        <v>0</v>
      </c>
    </row>
    <row r="33">
      <c r="B33" s="227" t="s">
        <v>338</v>
      </c>
      <c r="C33" s="228"/>
      <c r="D33" s="229" t="str">
        <f>=ROUND($D$26-MAX(0,$D$29)-MAX(0,$D$32),2)</f>
      </c>
      <c r="F33" s="227" t="s">
        <v>339</v>
      </c>
      <c r="G33" s="228"/>
      <c r="H33" s="228"/>
      <c r="I33" s="229" t="str">
        <f>=ROUND($I$27-MAX(0,$I$29)-MAX(0,$I$32),2)</f>
      </c>
    </row>
    <row r="36" ht="22" customHeight="true">
      <c r="B36" s="18" t="s">
        <v>341</v>
      </c>
      <c r="C36" s="18"/>
      <c r="D36" s="18"/>
      <c r="E36" s="18"/>
      <c r="F36" s="18"/>
      <c r="G36" s="18"/>
      <c r="H36" s="18"/>
      <c r="I36" s="18"/>
      <c r="J36" s="18"/>
    </row>
    <row r="38">
      <c r="B38" s="223" t="s">
        <v>158</v>
      </c>
      <c r="C38" s="224"/>
      <c r="D38" s="245" t="s">
        <v>342</v>
      </c>
      <c r="E38" s="246" t="s">
        <v>343</v>
      </c>
    </row>
    <row r="39">
      <c r="B39" s="204" t="s">
        <v>344</v>
      </c>
      <c r="C39" s="196"/>
      <c r="D39" s="239" t="str">
        <f>=F10</f>
      </c>
      <c r="E39" s="247"/>
    </row>
    <row r="40">
      <c r="B40" s="204" t="s">
        <v>345</v>
      </c>
      <c r="C40" s="196"/>
      <c r="D40" s="240" t="str">
        <f>=IFERROR(ROUND(SUMIFS('Daten'!$BF$1:$BF$18,'Daten'!$BB$1:$BB$18,F10,'Daten'!$BD$1:$BD$18,"&lt;="&amp;F11,'Daten'!$BD$1:$BD$18,"&gt;=1"),2),0)</f>
      </c>
      <c r="E40" s="226" t="str">
        <f>=IFERROR(ROUND(SUMIFS('Daten'!$BG$1:$BG$18,'Daten'!$BB$1:$BB$18,F10,'Daten'!$BD$1:$BD$18,"&lt;="&amp;F11,'Daten'!$BD$1:$BD$18,"&gt;=1"),2),0)</f>
      </c>
    </row>
    <row r="41">
      <c r="B41" s="204" t="s">
        <v>346</v>
      </c>
      <c r="C41" s="196"/>
      <c r="D41" s="33" t="s">
        <v>189</v>
      </c>
      <c r="E41" s="205"/>
    </row>
    <row r="42">
      <c r="B42" s="204" t="s">
        <v>347</v>
      </c>
      <c r="C42" s="196"/>
      <c r="D42" s="240" t="str">
        <f>=IFERROR(ROUND(CHOOSE(MATCH($D$41,{"Jahr 1";"Jahr 2";"Jahr 3"},0),SUBTOTAL(109,TblBudgetAusgaben[Jahr 1]),SUBTOTAL(109,TblBudgetAusgaben[Jahr 2]),SUBTOTAL(109,TblBudgetAusgaben[Jahr 3])),2),0)</f>
      </c>
      <c r="E42" s="226" t="str">
        <f>=IFERROR(ROUND($D$42/IFERROR(INDIRECT("MA_Kurs_"&amp;F10),0),2),0)</f>
      </c>
    </row>
    <row r="43">
      <c r="B43" s="204" t="s">
        <v>348</v>
      </c>
      <c r="C43" s="196"/>
      <c r="D43" s="241">
        <v>8</v>
      </c>
      <c r="E43" s="248"/>
    </row>
    <row r="44">
      <c r="B44" s="204" t="s">
        <v>349</v>
      </c>
      <c r="C44" s="196"/>
      <c r="D44" s="241">
        <v>12</v>
      </c>
      <c r="E44" s="249"/>
    </row>
    <row r="45">
      <c r="B45" s="204" t="s">
        <v>350</v>
      </c>
      <c r="C45" s="196"/>
      <c r="D45" s="241">
        <v>6</v>
      </c>
      <c r="E45" s="250"/>
    </row>
    <row r="46">
      <c r="B46" s="251" t="s">
        <v>351</v>
      </c>
      <c r="C46" s="218"/>
      <c r="D46" s="242" t="str">
        <f>=IFERROR(ROUND($D$42*$D$43/$D$44,2),0)</f>
      </c>
      <c r="E46" s="235" t="str">
        <f>=IFERROR(ROUND($E$42*$D$43/$D$44,2),0)</f>
      </c>
    </row>
    <row r="47">
      <c r="B47" s="251" t="s">
        <v>352</v>
      </c>
      <c r="C47" s="218"/>
      <c r="D47" s="243" t="str">
        <f>=IF($D$40&lt;=$D$46,"OK","ÜBERSCHRITTEN")</f>
      </c>
      <c r="E47" s="252" t="str">
        <f>=IF($E$40&lt;=$E$46,"OK","ÜBERSCHRITTEN")</f>
      </c>
    </row>
    <row r="48">
      <c r="B48" s="204" t="s">
        <v>353</v>
      </c>
      <c r="C48" s="196"/>
      <c r="D48" s="240" t="str">
        <f>=ROUND(MAX(0,$D$40-$D$46),2)</f>
      </c>
      <c r="E48" s="226" t="str">
        <f>=ROUND(MAX(0,$E$40-$E$46),2)</f>
      </c>
    </row>
    <row r="49">
      <c r="B49" s="253" t="s">
        <v>354</v>
      </c>
      <c r="C49" s="254"/>
      <c r="D49" s="255" t="str">
        <f>=IFERROR($D$40/$D$46,0)</f>
      </c>
      <c r="E49" s="256" t="str">
        <f>=IFERROR($E$40/$E$46,0)</f>
      </c>
    </row>
    <row r="51" ht="22" customHeight="true">
      <c r="B51" s="18" t="s">
        <v>355</v>
      </c>
      <c r="C51" s="18"/>
      <c r="D51" s="18"/>
      <c r="E51" s="18"/>
      <c r="F51" s="18"/>
      <c r="G51" s="18"/>
      <c r="H51" s="18"/>
      <c r="I51" s="18"/>
      <c r="J51" s="18"/>
    </row>
    <row r="53" ht="28" customHeight="true">
      <c r="B53" s="263" t="s">
        <v>356</v>
      </c>
      <c r="C53" s="264" t="s">
        <v>357</v>
      </c>
      <c r="D53" s="264" t="s">
        <v>358</v>
      </c>
      <c r="E53" s="264" t="s">
        <v>359</v>
      </c>
      <c r="F53" s="264" t="s">
        <v>360</v>
      </c>
      <c r="G53" s="264" t="s">
        <v>361</v>
      </c>
      <c r="H53" s="264" t="s">
        <v>362</v>
      </c>
      <c r="I53" s="264" t="s">
        <v>363</v>
      </c>
      <c r="J53" s="265" t="s">
        <v>364</v>
      </c>
    </row>
    <row r="54">
      <c r="B54" s="266" t="s">
        <v>194</v>
      </c>
      <c r="C54" s="24">
        <v>0</v>
      </c>
      <c r="D54" s="240" t="str">
        <f>=IFERROR(ROUND(Eigenmittel_LW,2),0)</f>
      </c>
      <c r="E54" s="200" t="str">
        <f>=ROUND(IFERROR($C$54-$D$54,0),2)</f>
      </c>
      <c r="F54" s="258" t="str">
        <f>=ROUND(IFERROR(($C$54/$D$54)-1,0),4)</f>
      </c>
      <c r="G54" s="25">
        <v>0</v>
      </c>
      <c r="H54" s="217" t="str">
        <f>=IFERROR(ROUND(Eigenmittel_EUR,2),0)</f>
      </c>
      <c r="I54" s="181" t="str">
        <f>=ROUND(IFERROR($G$54-$H$54,0),2)</f>
      </c>
      <c r="J54" s="267" t="str">
        <f>=ROUND(IFERROR(($G$54/$H$54)-1,0),4)</f>
      </c>
    </row>
    <row r="55">
      <c r="B55" s="266" t="s">
        <v>277</v>
      </c>
      <c r="C55" s="24">
        <v>0</v>
      </c>
      <c r="D55" s="240" t="str">
        <f>=IFERROR(ROUND(Drittmittel_LW,2),0)</f>
      </c>
      <c r="E55" s="200" t="str">
        <f>=ROUND(IFERROR($C$55-$D$55,0),2)</f>
      </c>
      <c r="F55" s="258" t="str">
        <f>=ROUND(IFERROR(($C$55/$D$55)-1,0),4)</f>
      </c>
      <c r="G55" s="25">
        <v>0</v>
      </c>
      <c r="H55" s="217" t="str">
        <f>=IFERROR(ROUND(Drittmittel_EUR,2),0)</f>
      </c>
      <c r="I55" s="181" t="str">
        <f>=ROUND(IFERROR($G$55-$H$55,0),2)</f>
      </c>
      <c r="J55" s="268" t="str">
        <f>=ROUND(IFERROR(($G$55/$H$55)-1,0),4)</f>
      </c>
    </row>
    <row r="56">
      <c r="B56" s="266" t="s">
        <v>199</v>
      </c>
      <c r="C56" s="24">
        <v>0</v>
      </c>
      <c r="D56" s="240" t="str">
        <f>=IFERROR(ROUND(KMW_Mittel_LW,2),0)</f>
      </c>
      <c r="E56" s="200" t="str">
        <f>=ROUND(IFERROR($C$56-$D$56,0),2)</f>
      </c>
      <c r="F56" s="258" t="str">
        <f>=ROUND(IFERROR(($C$56/$D$56)-1,0),4)</f>
      </c>
      <c r="G56" s="25">
        <v>0</v>
      </c>
      <c r="H56" s="217" t="str">
        <f>=IFERROR(ROUND(KMW_Mittel_EUR,2),0)</f>
      </c>
      <c r="I56" s="181" t="str">
        <f>=ROUND(IFERROR($G$56-$H$56,0),2)</f>
      </c>
      <c r="J56" s="269" t="str">
        <f>=ROUND(IFERROR(($G$56/$H$56)-1,0),4)</f>
      </c>
    </row>
    <row r="57">
      <c r="B57" s="266" t="s">
        <v>278</v>
      </c>
      <c r="C57" s="24">
        <v>0</v>
      </c>
      <c r="D57" s="240" t="str">
        <f>=IFERROR(ROUND(0,2),0)</f>
      </c>
      <c r="E57" s="200" t="str">
        <f>=ROUND(IFERROR($C$57-$D$57,0),2)</f>
      </c>
      <c r="F57" s="258" t="str">
        <f>=ROUND(IFERROR(($C$57/$D$57)-1,0),4)</f>
      </c>
      <c r="G57" s="25">
        <v>0</v>
      </c>
      <c r="H57" s="217" t="str">
        <f>=IFERROR(ROUND(0,2),0)</f>
      </c>
      <c r="I57" s="181" t="str">
        <f>=ROUND(IFERROR($G$57-$H$57,0),2)</f>
      </c>
      <c r="J57" s="270" t="str">
        <f>=ROUND(IFERROR(($G$57/$H$57)-1,0),4)</f>
      </c>
    </row>
    <row r="58" ht="20" customHeight="true">
      <c r="B58" s="271" t="s">
        <v>266</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365</v>
      </c>
      <c r="C60" s="18"/>
      <c r="D60" s="18"/>
      <c r="E60" s="18"/>
      <c r="F60" s="18"/>
      <c r="G60" s="18"/>
      <c r="H60" s="18"/>
      <c r="I60" s="18"/>
      <c r="J60" s="18"/>
    </row>
    <row r="62" ht="28" customHeight="true">
      <c r="B62" s="263" t="s">
        <v>356</v>
      </c>
      <c r="C62" s="264" t="s">
        <v>357</v>
      </c>
      <c r="D62" s="264" t="s">
        <v>358</v>
      </c>
      <c r="E62" s="264" t="s">
        <v>359</v>
      </c>
      <c r="F62" s="264" t="s">
        <v>360</v>
      </c>
      <c r="G62" s="264" t="s">
        <v>361</v>
      </c>
      <c r="H62" s="264" t="s">
        <v>362</v>
      </c>
      <c r="I62" s="264" t="s">
        <v>363</v>
      </c>
      <c r="J62" s="265" t="s">
        <v>364</v>
      </c>
    </row>
    <row r="63">
      <c r="B63" s="266" t="s">
        <v>205</v>
      </c>
      <c r="C63" s="240" t="str">
        <f>=IFERROR(ROUND(SUMIFS('Daten'!$BU$1:$BU$144,'Daten'!$BT$1:$BT$144,"Bauausgaben",'Daten'!$BR$1:$BR$144,F10,'Daten'!$BS$1:$BS$144,"&lt;="&amp;F11,'Daten'!$BS$1:$BS$144,"&gt;=1"),2),0)</f>
      </c>
      <c r="D63" s="240" t="str">
        <f>=IFERROR(ROUND(Kosten_Bauausgaben_LW,2),0)</f>
      </c>
      <c r="E63" s="200" t="str">
        <f>=ROUND(IFERROR($C$63-$D$63,0),2)</f>
      </c>
      <c r="F63" s="258" t="str">
        <f>=ROUND(IFERROR(($C$63/$D$63)-1,0),4)</f>
      </c>
      <c r="G63" s="217" t="str">
        <f>=IFERROR(ROUND(SUMIFS('Daten'!$BV$1:$BV$144,'Daten'!$BT$1:$BT$144,"Bauausgaben",'Daten'!$BR$1:$BR$144,F10,'Daten'!$BS$1:$BS$144,"&lt;="&amp;F11,'Daten'!$BS$1:$BS$144,"&gt;=1"),2),0)</f>
      </c>
      <c r="H63" s="217" t="str">
        <f>=IFERROR(ROUND(Kosten_Bauausgaben_EUR,2),0)</f>
      </c>
      <c r="I63" s="181" t="str">
        <f>=ROUND(IFERROR($G$63-$H$63,0),2)</f>
      </c>
      <c r="J63" s="276" t="str">
        <f>=ROUND(IFERROR(($G$63/$H$63)-1,0),4)</f>
      </c>
    </row>
    <row r="64">
      <c r="B64" s="266" t="s">
        <v>206</v>
      </c>
      <c r="C64" s="240" t="str">
        <f>=IFERROR(ROUND(SUMIFS('Daten'!$BU$1:$BU$144,'Daten'!$BT$1:$BT$144,"Investitionen",'Daten'!$BR$1:$BR$144,F10,'Daten'!$BS$1:$BS$144,"&lt;="&amp;F11,'Daten'!$BS$1:$BS$144,"&gt;=1"),2),0)</f>
      </c>
      <c r="D64" s="240" t="str">
        <f>=IFERROR(ROUND(Kosten_Investitionen_LW,2),0)</f>
      </c>
      <c r="E64" s="200" t="str">
        <f>=ROUND(IFERROR($C$64-$D$64,0),2)</f>
      </c>
      <c r="F64" s="258" t="str">
        <f>=ROUND(IFERROR(($C$64/$D$64)-1,0),4)</f>
      </c>
      <c r="G64" s="217" t="str">
        <f>=IFERROR(ROUND(SUMIFS('Daten'!$BV$1:$BV$144,'Daten'!$BT$1:$BT$144,"Investitionen",'Daten'!$BR$1:$BR$144,F10,'Daten'!$BS$1:$BS$144,"&lt;="&amp;F11,'Daten'!$BS$1:$BS$144,"&gt;=1"),2),0)</f>
      </c>
      <c r="H64" s="217" t="str">
        <f>=IFERROR(ROUND(Kosten_Investitionen_EUR,2),0)</f>
      </c>
      <c r="I64" s="181" t="str">
        <f>=ROUND(IFERROR($G$64-$H$64,0),2)</f>
      </c>
      <c r="J64" s="277" t="str">
        <f>=ROUND(IFERROR(($G$64/$H$64)-1,0),4)</f>
      </c>
    </row>
    <row r="65">
      <c r="B65" s="266" t="s">
        <v>207</v>
      </c>
      <c r="C65" s="240" t="str">
        <f>=IFERROR(ROUND(SUMIFS('Daten'!$BU$1:$BU$144,'Daten'!$BT$1:$BT$144,"Personalkosten",'Daten'!$BR$1:$BR$144,F10,'Daten'!$BS$1:$BS$144,"&lt;="&amp;F11,'Daten'!$BS$1:$BS$144,"&gt;=1"),2),0)</f>
      </c>
      <c r="D65" s="240" t="str">
        <f>=IFERROR(ROUND(Kosten_Personalkosten_LW,2),0)</f>
      </c>
      <c r="E65" s="200" t="str">
        <f>=ROUND(IFERROR($C$65-$D$65,0),2)</f>
      </c>
      <c r="F65" s="258" t="str">
        <f>=ROUND(IFERROR(($C$65/$D$65)-1,0),4)</f>
      </c>
      <c r="G65" s="217" t="str">
        <f>=IFERROR(ROUND(SUMIFS('Daten'!$BV$1:$BV$144,'Daten'!$BT$1:$BT$144,"Personalkosten",'Daten'!$BR$1:$BR$144,F10,'Daten'!$BS$1:$BS$144,"&lt;="&amp;F11,'Daten'!$BS$1:$BS$144,"&gt;=1"),2),0)</f>
      </c>
      <c r="H65" s="217" t="str">
        <f>=IFERROR(ROUND(Kosten_Personalkosten_EUR,2),0)</f>
      </c>
      <c r="I65" s="181" t="str">
        <f>=ROUND(IFERROR($G$65-$H$65,0),2)</f>
      </c>
      <c r="J65" s="278" t="str">
        <f>=ROUND(IFERROR(($G$65/$H$65)-1,0),4)</f>
      </c>
    </row>
    <row r="66">
      <c r="B66" s="266" t="s">
        <v>208</v>
      </c>
      <c r="C66" s="240" t="str">
        <f>=IFERROR(ROUND(SUMIFS('Daten'!$BU$1:$BU$144,'Daten'!$BT$1:$BT$144,"Projektaktivitaeten",'Daten'!$BR$1:$BR$144,F10,'Daten'!$BS$1:$BS$144,"&lt;="&amp;F11,'Daten'!$BS$1:$BS$144,"&gt;=1"),2),0)</f>
      </c>
      <c r="D66" s="240" t="str">
        <f>=IFERROR(ROUND(Kosten_Projektaktivitaeten_LW,2),0)</f>
      </c>
      <c r="E66" s="200" t="str">
        <f>=ROUND(IFERROR($C$66-$D$66,0),2)</f>
      </c>
      <c r="F66" s="258" t="str">
        <f>=ROUND(IFERROR(($C$66/$D$66)-1,0),4)</f>
      </c>
      <c r="G66" s="217" t="str">
        <f>=IFERROR(ROUND(SUMIFS('Daten'!$BV$1:$BV$144,'Daten'!$BT$1:$BT$144,"Projektaktivitaeten",'Daten'!$BR$1:$BR$144,F10,'Daten'!$BS$1:$BS$144,"&lt;="&amp;F11,'Daten'!$BS$1:$BS$144,"&gt;=1"),2),0)</f>
      </c>
      <c r="H66" s="217" t="str">
        <f>=IFERROR(ROUND(Kosten_Projektaktivitaeten_EUR,2),0)</f>
      </c>
      <c r="I66" s="181" t="str">
        <f>=ROUND(IFERROR($G$66-$H$66,0),2)</f>
      </c>
      <c r="J66" s="279" t="str">
        <f>=ROUND(IFERROR(($G$66/$H$66)-1,0),4)</f>
      </c>
    </row>
    <row r="67">
      <c r="B67" s="266" t="s">
        <v>209</v>
      </c>
      <c r="C67" s="240" t="str">
        <f>=IFERROR(ROUND(SUMIFS('Daten'!$BU$1:$BU$144,'Daten'!$BT$1:$BT$144,"Projektverwaltung",'Daten'!$BR$1:$BR$144,F10,'Daten'!$BS$1:$BS$144,"&lt;="&amp;F11,'Daten'!$BS$1:$BS$144,"&gt;=1"),2),0)</f>
      </c>
      <c r="D67" s="240" t="str">
        <f>=IFERROR(ROUND(Kosten_Projektverwaltung_LW,2),0)</f>
      </c>
      <c r="E67" s="200" t="str">
        <f>=ROUND(IFERROR($C$67-$D$67,0),2)</f>
      </c>
      <c r="F67" s="258" t="str">
        <f>=ROUND(IFERROR(($C$67/$D$67)-1,0),4)</f>
      </c>
      <c r="G67" s="217" t="str">
        <f>=IFERROR(ROUND(SUMIFS('Daten'!$BV$1:$BV$144,'Daten'!$BT$1:$BT$144,"Projektverwaltung",'Daten'!$BR$1:$BR$144,F10,'Daten'!$BS$1:$BS$144,"&lt;="&amp;F11,'Daten'!$BS$1:$BS$144,"&gt;=1"),2),0)</f>
      </c>
      <c r="H67" s="217" t="str">
        <f>=IFERROR(ROUND(Kosten_Projektverwaltung_EUR,2),0)</f>
      </c>
      <c r="I67" s="181" t="str">
        <f>=ROUND(IFERROR($G$67-$H$67,0),2)</f>
      </c>
      <c r="J67" s="280" t="str">
        <f>=ROUND(IFERROR(($G$67/$H$67)-1,0),4)</f>
      </c>
    </row>
    <row r="68">
      <c r="B68" s="266" t="s">
        <v>210</v>
      </c>
      <c r="C68" s="240" t="str">
        <f>=IFERROR(ROUND(SUMIFS('Daten'!$BU$1:$BU$144,'Daten'!$BT$1:$BT$144,"Evaluierung",'Daten'!$BR$1:$BR$144,F10,'Daten'!$BS$1:$BS$144,"&lt;="&amp;F11,'Daten'!$BS$1:$BS$144,"&gt;=1"),2),0)</f>
      </c>
      <c r="D68" s="240" t="str">
        <f>=IFERROR(ROUND(Kosten_Evaluierung_LW,2),0)</f>
      </c>
      <c r="E68" s="200" t="str">
        <f>=ROUND(IFERROR($C$68-$D$68,0),2)</f>
      </c>
      <c r="F68" s="258" t="str">
        <f>=ROUND(IFERROR(($C$68/$D$68)-1,0),4)</f>
      </c>
      <c r="G68" s="217" t="str">
        <f>=IFERROR(ROUND(SUMIFS('Daten'!$BV$1:$BV$144,'Daten'!$BT$1:$BT$144,"Evaluierung",'Daten'!$BR$1:$BR$144,F10,'Daten'!$BS$1:$BS$144,"&lt;="&amp;F11,'Daten'!$BS$1:$BS$144,"&gt;=1"),2),0)</f>
      </c>
      <c r="H68" s="217" t="str">
        <f>=IFERROR(ROUND(Kosten_Evaluierung_EUR,2),0)</f>
      </c>
      <c r="I68" s="181" t="str">
        <f>=ROUND(IFERROR($G$68-$H$68,0),2)</f>
      </c>
      <c r="J68" s="281" t="str">
        <f>=ROUND(IFERROR(($G$68/$H$68)-1,0),4)</f>
      </c>
    </row>
    <row r="69">
      <c r="B69" s="266" t="s">
        <v>211</v>
      </c>
      <c r="C69" s="240" t="str">
        <f>=IFERROR(ROUND(SUMIFS('Daten'!$BU$1:$BU$144,'Daten'!$BT$1:$BT$144,"Audit",'Daten'!$BR$1:$BR$144,F10,'Daten'!$BS$1:$BS$144,"&lt;="&amp;F11,'Daten'!$BS$1:$BS$144,"&gt;=1"),2),0)</f>
      </c>
      <c r="D69" s="240" t="str">
        <f>=IFERROR(ROUND(Kosten_Audit_LW,2),0)</f>
      </c>
      <c r="E69" s="200" t="str">
        <f>=ROUND(IFERROR($C$69-$D$69,0),2)</f>
      </c>
      <c r="F69" s="258" t="str">
        <f>=ROUND(IFERROR(($C$69/$D$69)-1,0),4)</f>
      </c>
      <c r="G69" s="217" t="str">
        <f>=IFERROR(ROUND(SUMIFS('Daten'!$BV$1:$BV$144,'Daten'!$BT$1:$BT$144,"Audit",'Daten'!$BR$1:$BR$144,F10,'Daten'!$BS$1:$BS$144,"&lt;="&amp;F11,'Daten'!$BS$1:$BS$144,"&gt;=1"),2),0)</f>
      </c>
      <c r="H69" s="217" t="str">
        <f>=IFERROR(ROUND(Kosten_Audit_EUR,2),0)</f>
      </c>
      <c r="I69" s="181" t="str">
        <f>=ROUND(IFERROR($G$69-$H$69,0),2)</f>
      </c>
      <c r="J69" s="282" t="str">
        <f>=ROUND(IFERROR(($G$69/$H$69)-1,0),4)</f>
      </c>
    </row>
    <row r="70">
      <c r="B70" s="266" t="s">
        <v>212</v>
      </c>
      <c r="C70" s="240" t="str">
        <f>=IFERROR(ROUND(SUMIFS('Daten'!$BU$1:$BU$144,'Daten'!$BT$1:$BT$144,"Reserve",'Daten'!$BR$1:$BR$144,F10,'Daten'!$BS$1:$BS$144,"&lt;="&amp;F11,'Daten'!$BS$1:$BS$144,"&gt;=1"),2),0)</f>
      </c>
      <c r="D70" s="240" t="str">
        <f>=IFERROR(ROUND(Kosten_Reserve_LW,2),0)</f>
      </c>
      <c r="E70" s="200" t="str">
        <f>=ROUND(IFERROR($C$70-$D$70,0),2)</f>
      </c>
      <c r="F70" s="258" t="str">
        <f>=ROUND(IFERROR(($C$70/$D$70)-1,0),4)</f>
      </c>
      <c r="G70" s="217" t="str">
        <f>=IFERROR(ROUND(SUMIFS('Daten'!$BV$1:$BV$144,'Daten'!$BT$1:$BT$144,"Reserve",'Daten'!$BR$1:$BR$144,F10,'Daten'!$BS$1:$BS$144,"&lt;="&amp;F11,'Daten'!$BS$1:$BS$144,"&gt;=1"),2),0)</f>
      </c>
      <c r="H70" s="217" t="str">
        <f>=IFERROR(ROUND(Kosten_Reserve_EUR,2),0)</f>
      </c>
      <c r="I70" s="181" t="str">
        <f>=ROUND(IFERROR($G$70-$H$70,0),2)</f>
      </c>
      <c r="J70" s="283" t="str">
        <f>=ROUND(IFERROR(($G$70/$H$70)-1,0),4)</f>
      </c>
    </row>
    <row r="71" ht="20" customHeight="true">
      <c r="B71" s="271" t="s">
        <v>266</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3" t="s">
        <v>366</v>
      </c>
      <c r="C77" s="193"/>
      <c r="D77" s="193"/>
      <c r="E77" s="193"/>
      <c r="F77" s="193"/>
      <c r="G77" s="193"/>
      <c r="H77" s="193"/>
      <c r="I77" s="193"/>
      <c r="J77" s="193"/>
      <c r="L77" s="201" t="s">
        <v>379</v>
      </c>
      <c r="M77" s="202"/>
      <c r="N77" s="202"/>
      <c r="O77" s="202"/>
      <c r="P77" s="203"/>
    </row>
    <row r="78">
      <c r="B78" s="194" t="s">
        <v>367</v>
      </c>
      <c r="C78" s="194"/>
      <c r="D78" s="194"/>
      <c r="E78" s="194"/>
      <c r="F78" s="194"/>
      <c r="G78" s="194"/>
      <c r="H78" s="194"/>
      <c r="I78" s="194"/>
      <c r="J78" s="194"/>
      <c r="L78" s="314" t="s">
        <v>267</v>
      </c>
      <c r="M78" s="324"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4"/>
      <c r="O78" s="324"/>
      <c r="P78" s="333"/>
    </row>
    <row r="79">
      <c r="L79" s="314" t="s">
        <v>268</v>
      </c>
      <c r="M79" s="324"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4"/>
      <c r="O79" s="324"/>
      <c r="P79" s="333"/>
    </row>
    <row r="80" ht="22" customHeight="true">
      <c r="C80" s="201" t="s">
        <v>368</v>
      </c>
      <c r="D80" s="202"/>
      <c r="E80" s="202"/>
      <c r="F80" s="202"/>
      <c r="G80" s="202"/>
      <c r="H80" s="202"/>
      <c r="I80" s="203"/>
      <c r="L80" s="314" t="s">
        <v>269</v>
      </c>
      <c r="M80" s="325"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5"/>
      <c r="O80" s="325"/>
      <c r="P80" s="334"/>
    </row>
    <row r="81">
      <c r="C81" s="204" t="s">
        <v>320</v>
      </c>
      <c r="D81" s="196"/>
      <c r="E81" s="196"/>
      <c r="F81" s="33" t="s">
        <v>158</v>
      </c>
      <c r="G81" s="33"/>
      <c r="H81" s="33"/>
      <c r="I81" s="205"/>
      <c r="L81" s="47"/>
      <c r="P81" s="48"/>
    </row>
    <row r="82">
      <c r="C82" s="204" t="s">
        <v>369</v>
      </c>
      <c r="D82" s="196"/>
      <c r="E82" s="196"/>
      <c r="F82" s="197" t="str">
        <f>=IF(LEFT(F81,8)="Periode ",IFERROR(VALUE(TRIM(MID(F81,9,5))),0),0)</f>
      </c>
      <c r="G82" s="197"/>
      <c r="H82" s="197"/>
      <c r="I82" s="286"/>
      <c r="L82" s="335" t="s">
        <v>270</v>
      </c>
      <c r="M82" s="326"/>
      <c r="N82" s="326"/>
      <c r="O82" s="326"/>
      <c r="P82" s="336"/>
    </row>
    <row r="83" ht="26" customHeight="true">
      <c r="C83" s="204" t="s">
        <v>370</v>
      </c>
      <c r="D83" s="196"/>
      <c r="E83" s="196"/>
      <c r="F83" s="240" t="str">
        <f>=IFERROR(ROUND(INDIRECT("FB_SaldoLC_"&amp;F82),2),0)</f>
      </c>
      <c r="G83" s="240"/>
      <c r="H83" s="240"/>
      <c r="I83" s="287"/>
      <c r="L83" s="337" t="s">
        <v>271</v>
      </c>
      <c r="M83" s="327" t="s">
        <v>272</v>
      </c>
      <c r="N83" s="327" t="s">
        <v>273</v>
      </c>
      <c r="O83" s="327" t="s">
        <v>274</v>
      </c>
      <c r="P83" s="338" t="s">
        <v>275</v>
      </c>
    </row>
    <row r="84">
      <c r="C84" s="253" t="s">
        <v>171</v>
      </c>
      <c r="D84" s="254"/>
      <c r="E84" s="254"/>
      <c r="F84" s="288" t="str">
        <f>=IFERROR(ROUND(INDIRECT("FB_SaldoEUR_"&amp;F82),2),0)</f>
      </c>
      <c r="G84" s="288"/>
      <c r="H84" s="288"/>
      <c r="I84" s="289"/>
      <c r="L84" s="142"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4" s="115"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4" s="116"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4" s="115"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4" s="143"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5">
      <c r="L85" s="142" t="s">
        <v>194</v>
      </c>
      <c r="M85" s="115"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5" s="116"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5" s="115"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5" s="143"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6" ht="22" customHeight="true">
      <c r="B86" s="18" t="s">
        <v>371</v>
      </c>
      <c r="C86" s="18"/>
      <c r="D86" s="18"/>
      <c r="E86" s="18"/>
      <c r="F86" s="18"/>
      <c r="G86" s="18"/>
      <c r="H86" s="18"/>
      <c r="I86" s="18"/>
      <c r="J86" s="18"/>
      <c r="L86" s="142" t="s">
        <v>277</v>
      </c>
      <c r="M86" s="115"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6" s="116"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6" s="115"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6" s="143"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7">
      <c r="L87" s="142" t="s">
        <v>199</v>
      </c>
      <c r="M87" s="115"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7" s="116"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7" s="115"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7" s="143"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8">
      <c r="B88" s="223" t="s">
        <v>325</v>
      </c>
      <c r="C88" s="224"/>
      <c r="D88" s="225" t="str">
        <f>=IFERROR(ROUND(KMW_Mittel_EUR,2),0)</f>
      </c>
      <c r="F88" s="230" t="s">
        <v>330</v>
      </c>
      <c r="G88" s="231"/>
      <c r="H88" s="231"/>
      <c r="I88" s="232"/>
      <c r="L88" s="142" t="s">
        <v>278</v>
      </c>
      <c r="M88" s="115"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8" s="116"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8" s="115"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8" s="143"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89">
      <c r="B89" s="204" t="s">
        <v>326</v>
      </c>
      <c r="C89" s="196"/>
      <c r="D89" s="226" t="str">
        <f>=IFERROR(ROUND(Kosten_Reserve_EUR,2),0)</f>
      </c>
      <c r="F89" s="233" t="s">
        <v>331</v>
      </c>
      <c r="G89" s="196" t="s">
        <v>332</v>
      </c>
      <c r="H89" s="196"/>
      <c r="I89" s="234" t="str">
        <f>=IFERROR(ROUND(Saldovortrag_EUR,2),0)</f>
      </c>
      <c r="L89" s="339" t="s">
        <v>279</v>
      </c>
      <c r="M89" s="329"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89" s="330"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89" s="329"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89" s="340"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0">
      <c r="B90" s="204" t="s">
        <v>327</v>
      </c>
      <c r="C90" s="196"/>
      <c r="D90" s="226" t="str">
        <f>=ROUND($D$88-$D$89,2)</f>
      </c>
      <c r="F90" s="233" t="s">
        <v>331</v>
      </c>
      <c r="G90" s="196" t="s">
        <v>333</v>
      </c>
      <c r="H90" s="196"/>
      <c r="I90" s="234" t="str">
        <f>=IFERROR(ROUND(MAX(0,(SUM($G$99:$G$102)-$G$101)-(SUM($H$99:$H$102)-$H$101)),2),0)</f>
        <v>0</v>
      </c>
      <c r="L90" s="335" t="s">
        <v>280</v>
      </c>
      <c r="M90" s="326"/>
      <c r="N90" s="326"/>
      <c r="O90" s="326"/>
      <c r="P90" s="336"/>
    </row>
    <row r="91" ht="26" customHeight="true">
      <c r="B91" s="204" t="s">
        <v>328</v>
      </c>
      <c r="C91" s="196"/>
      <c r="D91" s="226" t="str">
        <f>=IFERROR(ROUND(SUBTOTAL(109,TblKMWMittel[Betrag]),2),0)</f>
      </c>
      <c r="F91" s="47"/>
      <c r="G91" s="218" t="s">
        <v>335</v>
      </c>
      <c r="H91" s="218"/>
      <c r="I91" s="235" t="str">
        <f>=ROUND(IF($F$89="Abzug",MAX(0,$I$89),0)+IF($F$90="Abzug",MAX(0,$I$90),0),2)</f>
      </c>
      <c r="L91" s="337" t="s">
        <v>203</v>
      </c>
      <c r="M91" s="327" t="s">
        <v>281</v>
      </c>
      <c r="N91" s="327" t="s">
        <v>282</v>
      </c>
      <c r="O91" s="327" t="s">
        <v>283</v>
      </c>
      <c r="P91" s="338" t="s">
        <v>284</v>
      </c>
    </row>
    <row r="92">
      <c r="B92" s="227" t="s">
        <v>329</v>
      </c>
      <c r="C92" s="228"/>
      <c r="D92" s="229" t="str">
        <f>=ROUND($D$90-$D$91,2)</f>
      </c>
      <c r="F92" s="236"/>
      <c r="G92" s="228" t="s">
        <v>336</v>
      </c>
      <c r="H92" s="228"/>
      <c r="I92" s="229" t="str">
        <f>=ROUND($D$92-$I$91,2)</f>
      </c>
      <c r="L92" s="142"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2" s="115"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2" s="116"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2" s="115"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2" s="143"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3">
      <c r="L93" s="142"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3" s="115"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3" s="116"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3" s="115"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3" s="143"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4">
      <c r="L94" s="142"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4" s="115"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4" s="116"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4" s="115"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4" s="143"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5">
      <c r="L95" s="142"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5" s="115"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5" s="116"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5" s="115"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5" s="143"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6" ht="22" customHeight="true">
      <c r="B96" s="18" t="s">
        <v>372</v>
      </c>
      <c r="C96" s="18"/>
      <c r="D96" s="18"/>
      <c r="E96" s="18"/>
      <c r="F96" s="18"/>
      <c r="G96" s="18"/>
      <c r="H96" s="18"/>
      <c r="I96" s="18"/>
      <c r="J96" s="18"/>
      <c r="L96" s="142"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6" s="115"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6" s="116"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6" s="115"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6" s="143"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7">
      <c r="L97" s="142"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7" s="115"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7" s="116"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7" s="115"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7" s="143"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8" ht="28" customHeight="true">
      <c r="B98" s="263" t="s">
        <v>356</v>
      </c>
      <c r="C98" s="264" t="s">
        <v>373</v>
      </c>
      <c r="D98" s="264" t="s">
        <v>358</v>
      </c>
      <c r="E98" s="264" t="s">
        <v>359</v>
      </c>
      <c r="F98" s="264" t="s">
        <v>360</v>
      </c>
      <c r="G98" s="264" t="s">
        <v>374</v>
      </c>
      <c r="H98" s="264" t="s">
        <v>362</v>
      </c>
      <c r="I98" s="264" t="s">
        <v>363</v>
      </c>
      <c r="J98" s="265" t="s">
        <v>364</v>
      </c>
      <c r="L98" s="142"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8" s="115"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8" s="116"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8" s="115"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8" s="143"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99">
      <c r="B99" s="266" t="s">
        <v>194</v>
      </c>
      <c r="C99" s="240"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0" t="str">
        <f>=IFERROR(ROUND(Eigenmittel_LW,2),0)</f>
      </c>
      <c r="E99" s="200" t="str">
        <f>=ROUND(IFERROR($C$99-$D$99,0),2)</f>
      </c>
      <c r="F99" s="258" t="str">
        <f>=ROUND(IFERROR(($C$99/$D$99)-1,0),4)</f>
      </c>
      <c r="G99" s="217"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7" t="str">
        <f>=IFERROR(ROUND(Eigenmittel_EUR,2),0)</f>
      </c>
      <c r="I99" s="181" t="str">
        <f>=ROUND(IFERROR($G$99-$H$99,0),2)</f>
      </c>
      <c r="J99" s="290" t="str">
        <f>=ROUND(IFERROR(($G$99/$H$99)-1,0),4)</f>
      </c>
      <c r="L99" s="142"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99" s="115"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99" s="116"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99" s="115"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99" s="143"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0">
      <c r="B100" s="266" t="s">
        <v>277</v>
      </c>
      <c r="C100" s="240"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0" t="str">
        <f>=IFERROR(ROUND(Drittmittel_LW,2),0)</f>
      </c>
      <c r="E100" s="200" t="str">
        <f>=ROUND(IFERROR($C$100-$D$100,0),2)</f>
      </c>
      <c r="F100" s="258" t="str">
        <f>=ROUND(IFERROR(($C$100/$D$100)-1,0),4)</f>
      </c>
      <c r="G100" s="217"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7" t="str">
        <f>=IFERROR(ROUND(Drittmittel_EUR,2),0)</f>
      </c>
      <c r="I100" s="181" t="str">
        <f>=ROUND(IFERROR($G$100-$H$100,0),2)</f>
      </c>
      <c r="J100" s="291" t="str">
        <f>=ROUND(IFERROR(($G$100/$H$100)-1,0),4)</f>
      </c>
      <c r="L100" s="339" t="s">
        <v>285</v>
      </c>
      <c r="M100" s="329"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0" s="330"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0" s="329"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0" s="340"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1">
      <c r="B101" s="266" t="s">
        <v>199</v>
      </c>
      <c r="C101" s="240"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0" t="str">
        <f>=IFERROR(ROUND(KMW_Mittel_LW,2),0)</f>
      </c>
      <c r="E101" s="200" t="str">
        <f>=ROUND(IFERROR($C$101-$D$101,0),2)</f>
      </c>
      <c r="F101" s="258" t="str">
        <f>=ROUND(IFERROR(($C$101/$D$101)-1,0),4)</f>
      </c>
      <c r="G101" s="217"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7" t="str">
        <f>=IFERROR(ROUND(KMW_Mittel_EUR,2),0)</f>
      </c>
      <c r="I101" s="181" t="str">
        <f>=ROUND(IFERROR($G$101-$H$101,0),2)</f>
      </c>
      <c r="J101" s="292" t="str">
        <f>=ROUND(IFERROR(($G$101/$H$101)-1,0),4)</f>
      </c>
      <c r="L101" s="47"/>
      <c r="P101" s="48"/>
    </row>
    <row r="102">
      <c r="B102" s="266" t="s">
        <v>278</v>
      </c>
      <c r="C102" s="240"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0" t="str">
        <f>=IFERROR(ROUND(0,2),0)</f>
      </c>
      <c r="E102" s="200" t="str">
        <f>=ROUND(IFERROR($C$102-$D$102,0),2)</f>
      </c>
      <c r="F102" s="258" t="str">
        <f>=ROUND(IFERROR(($C$102/$D$102)-1,0),4)</f>
      </c>
      <c r="G102" s="217"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7" t="str">
        <f>=IFERROR(ROUND(0,2),0)</f>
      </c>
      <c r="I102" s="181" t="str">
        <f>=ROUND(IFERROR($G$102-$H$102,0),2)</f>
      </c>
      <c r="J102" s="293" t="str">
        <f>=ROUND(IFERROR(($G$102/$H$102)-1,0),4)</f>
      </c>
      <c r="L102" s="341" t="s">
        <v>286</v>
      </c>
      <c r="M102" s="342"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2" s="343"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2" s="342"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2" s="344"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3" ht="20" customHeight="true">
      <c r="B103" s="271" t="s">
        <v>266</v>
      </c>
      <c r="C103" s="272" t="str">
        <f>=ROUND(SUM($C$99:$C$102),2)</f>
      </c>
      <c r="D103" s="272" t="str">
        <f>=ROUND(SUM($D$99:$D$102),2)</f>
      </c>
      <c r="E103" s="272" t="str">
        <f>=ROUND(SUM($E$99:$E$102),2)</f>
      </c>
      <c r="F103" s="294" t="str">
        <f>=ROUND(IFERROR(($C$103/$D$103)-1,0),4)</f>
      </c>
      <c r="G103" s="274" t="str">
        <f>=ROUND(SUM($G$99:$G$102),2)</f>
      </c>
      <c r="H103" s="274" t="str">
        <f>=ROUND(SUM($H$99:$H$102),2)</f>
      </c>
      <c r="I103" s="274" t="str">
        <f>=ROUND(SUM($I$99:$I$102),2)</f>
      </c>
      <c r="J103" s="295" t="str">
        <f>=ROUND(IFERROR(($G$103/$H$103)-1,0),4)</f>
      </c>
    </row>
    <row r="105" ht="22" customHeight="true">
      <c r="B105" s="18" t="s">
        <v>375</v>
      </c>
      <c r="C105" s="18"/>
      <c r="D105" s="18"/>
      <c r="E105" s="18"/>
      <c r="F105" s="18"/>
      <c r="G105" s="18"/>
      <c r="H105" s="18"/>
      <c r="I105" s="18"/>
      <c r="J105" s="18"/>
    </row>
    <row r="107" ht="28" customHeight="true">
      <c r="B107" s="263" t="s">
        <v>356</v>
      </c>
      <c r="C107" s="264" t="s">
        <v>373</v>
      </c>
      <c r="D107" s="264" t="s">
        <v>358</v>
      </c>
      <c r="E107" s="264" t="s">
        <v>359</v>
      </c>
      <c r="F107" s="264" t="s">
        <v>360</v>
      </c>
      <c r="G107" s="264" t="s">
        <v>374</v>
      </c>
      <c r="H107" s="264" t="s">
        <v>362</v>
      </c>
      <c r="I107" s="264" t="s">
        <v>363</v>
      </c>
      <c r="J107" s="265" t="s">
        <v>364</v>
      </c>
    </row>
    <row r="108">
      <c r="B108" s="266" t="s">
        <v>205</v>
      </c>
      <c r="C108" s="240"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40" t="str">
        <f>=IFERROR(ROUND(Kosten_Bauausgaben_LW,2),0)</f>
      </c>
      <c r="E108" s="200" t="str">
        <f>=ROUND(IFERROR($C$108-$D$108,0),2)</f>
      </c>
      <c r="F108" s="258" t="str">
        <f>=ROUND(IFERROR(($C$108/$D$108)-1,0),4)</f>
      </c>
      <c r="G108" s="217"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7" t="str">
        <f>=IFERROR(ROUND(Kosten_Bauausgaben_EUR,2),0)</f>
      </c>
      <c r="I108" s="181" t="str">
        <f>=ROUND(IFERROR($G$108-$H$108,0),2)</f>
      </c>
      <c r="J108" s="296" t="str">
        <f>=ROUND(IFERROR(($G$108/$H$108)-1,0),4)</f>
      </c>
    </row>
    <row r="109">
      <c r="B109" s="266" t="s">
        <v>206</v>
      </c>
      <c r="C109" s="240"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40" t="str">
        <f>=IFERROR(ROUND(Kosten_Investitionen_LW,2),0)</f>
      </c>
      <c r="E109" s="200" t="str">
        <f>=ROUND(IFERROR($C$109-$D$109,0),2)</f>
      </c>
      <c r="F109" s="258" t="str">
        <f>=ROUND(IFERROR(($C$109/$D$109)-1,0),4)</f>
      </c>
      <c r="G109" s="217"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7" t="str">
        <f>=IFERROR(ROUND(Kosten_Investitionen_EUR,2),0)</f>
      </c>
      <c r="I109" s="181" t="str">
        <f>=ROUND(IFERROR($G$109-$H$109,0),2)</f>
      </c>
      <c r="J109" s="297" t="str">
        <f>=ROUND(IFERROR(($G$109/$H$109)-1,0),4)</f>
      </c>
    </row>
    <row r="110">
      <c r="B110" s="266" t="s">
        <v>207</v>
      </c>
      <c r="C110" s="240"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40" t="str">
        <f>=IFERROR(ROUND(Kosten_Personalkosten_LW,2),0)</f>
      </c>
      <c r="E110" s="200" t="str">
        <f>=ROUND(IFERROR($C$110-$D$110,0),2)</f>
      </c>
      <c r="F110" s="258" t="str">
        <f>=ROUND(IFERROR(($C$110/$D$110)-1,0),4)</f>
      </c>
      <c r="G110" s="217"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7" t="str">
        <f>=IFERROR(ROUND(Kosten_Personalkosten_EUR,2),0)</f>
      </c>
      <c r="I110" s="181" t="str">
        <f>=ROUND(IFERROR($G$110-$H$110,0),2)</f>
      </c>
      <c r="J110" s="298" t="str">
        <f>=ROUND(IFERROR(($G$110/$H$110)-1,0),4)</f>
      </c>
    </row>
    <row r="111">
      <c r="B111" s="266" t="s">
        <v>208</v>
      </c>
      <c r="C111" s="240"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40" t="str">
        <f>=IFERROR(ROUND(Kosten_Projektaktivitaeten_LW,2),0)</f>
      </c>
      <c r="E111" s="200" t="str">
        <f>=ROUND(IFERROR($C$111-$D$111,0),2)</f>
      </c>
      <c r="F111" s="258" t="str">
        <f>=ROUND(IFERROR(($C$111/$D$111)-1,0),4)</f>
      </c>
      <c r="G111" s="217"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7" t="str">
        <f>=IFERROR(ROUND(Kosten_Projektaktivitaeten_EUR,2),0)</f>
      </c>
      <c r="I111" s="181" t="str">
        <f>=ROUND(IFERROR($G$111-$H$111,0),2)</f>
      </c>
      <c r="J111" s="299" t="str">
        <f>=ROUND(IFERROR(($G$111/$H$111)-1,0),4)</f>
      </c>
    </row>
    <row r="112">
      <c r="B112" s="266" t="s">
        <v>209</v>
      </c>
      <c r="C112" s="240"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40" t="str">
        <f>=IFERROR(ROUND(Kosten_Projektverwaltung_LW,2),0)</f>
      </c>
      <c r="E112" s="200" t="str">
        <f>=ROUND(IFERROR($C$112-$D$112,0),2)</f>
      </c>
      <c r="F112" s="258" t="str">
        <f>=ROUND(IFERROR(($C$112/$D$112)-1,0),4)</f>
      </c>
      <c r="G112" s="217"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7" t="str">
        <f>=IFERROR(ROUND(Kosten_Projektverwaltung_EUR,2),0)</f>
      </c>
      <c r="I112" s="181" t="str">
        <f>=ROUND(IFERROR($G$112-$H$112,0),2)</f>
      </c>
      <c r="J112" s="300" t="str">
        <f>=ROUND(IFERROR(($G$112/$H$112)-1,0),4)</f>
      </c>
    </row>
    <row r="113">
      <c r="B113" s="266" t="s">
        <v>210</v>
      </c>
      <c r="C113" s="240"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40" t="str">
        <f>=IFERROR(ROUND(Kosten_Evaluierung_LW,2),0)</f>
      </c>
      <c r="E113" s="200" t="str">
        <f>=ROUND(IFERROR($C$113-$D$113,0),2)</f>
      </c>
      <c r="F113" s="258" t="str">
        <f>=ROUND(IFERROR(($C$113/$D$113)-1,0),4)</f>
      </c>
      <c r="G113" s="217"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7" t="str">
        <f>=IFERROR(ROUND(Kosten_Evaluierung_EUR,2),0)</f>
      </c>
      <c r="I113" s="181" t="str">
        <f>=ROUND(IFERROR($G$113-$H$113,0),2)</f>
      </c>
      <c r="J113" s="301" t="str">
        <f>=ROUND(IFERROR(($G$113/$H$113)-1,0),4)</f>
      </c>
    </row>
    <row r="114">
      <c r="B114" s="266" t="s">
        <v>211</v>
      </c>
      <c r="C114" s="240"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40" t="str">
        <f>=IFERROR(ROUND(Kosten_Audit_LW,2),0)</f>
      </c>
      <c r="E114" s="200" t="str">
        <f>=ROUND(IFERROR($C$114-$D$114,0),2)</f>
      </c>
      <c r="F114" s="258" t="str">
        <f>=ROUND(IFERROR(($C$114/$D$114)-1,0),4)</f>
      </c>
      <c r="G114" s="217"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7" t="str">
        <f>=IFERROR(ROUND(Kosten_Audit_EUR,2),0)</f>
      </c>
      <c r="I114" s="181" t="str">
        <f>=ROUND(IFERROR($G$114-$H$114,0),2)</f>
      </c>
      <c r="J114" s="302" t="str">
        <f>=ROUND(IFERROR(($G$114/$H$114)-1,0),4)</f>
      </c>
    </row>
    <row r="115">
      <c r="B115" s="266" t="s">
        <v>212</v>
      </c>
      <c r="C115" s="240"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40" t="str">
        <f>=IFERROR(ROUND(Kosten_Reserve_LW,2),0)</f>
      </c>
      <c r="E115" s="200" t="str">
        <f>=ROUND(IFERROR($C$115-$D$115,0),2)</f>
      </c>
      <c r="F115" s="258" t="str">
        <f>=ROUND(IFERROR(($C$115/$D$115)-1,0),4)</f>
      </c>
      <c r="G115" s="217"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7" t="str">
        <f>=IFERROR(ROUND(Kosten_Reserve_EUR,2),0)</f>
      </c>
      <c r="I115" s="181" t="str">
        <f>=ROUND(IFERROR($G$115-$H$115,0),2)</f>
      </c>
      <c r="J115" s="303" t="str">
        <f>=ROUND(IFERROR(($G$115/$H$115)-1,0),4)</f>
      </c>
    </row>
    <row r="116" ht="20" customHeight="true">
      <c r="B116" s="271" t="s">
        <v>266</v>
      </c>
      <c r="C116" s="272" t="str">
        <f>=ROUND(SUM($C$108:$C$115),2)</f>
      </c>
      <c r="D116" s="272" t="str">
        <f>=ROUND(SUM($D$108:$D$115),2)</f>
      </c>
      <c r="E116" s="272" t="str">
        <f>=ROUND(SUM($E$108:$E$115),2)</f>
      </c>
      <c r="F116" s="304" t="str">
        <f>=ROUND(IFERROR(($C$116/$D$116)-1,0),4)</f>
      </c>
      <c r="G116" s="274" t="str">
        <f>=ROUND(SUM($G$108:$G$115),2)</f>
      </c>
      <c r="H116" s="274" t="str">
        <f>=ROUND(SUM($H$108:$H$115),2)</f>
      </c>
      <c r="I116" s="274" t="str">
        <f>=ROUND(SUM($I$108:$I$115),2)</f>
      </c>
      <c r="J116" s="305" t="str">
        <f>=ROUND(IFERROR(($G$116/$H$116)-1,0),4)</f>
      </c>
    </row>
  </sheetData>
  <mergeCells count="104">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L77:P77"/>
    <mergeCell ref="M78:P78"/>
    <mergeCell ref="M79:P79"/>
    <mergeCell ref="M80:P80"/>
    <mergeCell ref="L82:P82"/>
    <mergeCell ref="L90:P90"/>
  </mergeCells>
  <conditionalFormatting sqref="C13:I13">
    <cfRule type="expression" dxfId="9" priority="1">
      <formula>$C$13&lt;&gt;""</formula>
    </cfRule>
  </conditionalFormatting>
  <conditionalFormatting sqref="C14:I14">
    <cfRule type="expression" dxfId="9" priority="2">
      <formula>$C$14&lt;&gt;""</formula>
    </cfRule>
  </conditionalFormatting>
  <conditionalFormatting sqref="C15:I15">
    <cfRule type="expression" dxfId="9" priority="3">
      <formula>$C$15&lt;&gt;""</formula>
    </cfRule>
  </conditionalFormatting>
  <conditionalFormatting sqref="C16:I16">
    <cfRule type="expression" dxfId="9" priority="4">
      <formula>$C$16&lt;&gt;""</formula>
    </cfRule>
  </conditionalFormatting>
  <conditionalFormatting sqref="C17:I17">
    <cfRule type="expression" dxfId="9" priority="5">
      <formula>$C$17&lt;&gt;""</formula>
    </cfRule>
  </conditionalFormatting>
  <conditionalFormatting sqref="C18:I18">
    <cfRule type="expression" dxfId="9" priority="6">
      <formula>$C$18&lt;&gt;""</formula>
    </cfRule>
  </conditionalFormatting>
  <conditionalFormatting sqref="D47">
    <cfRule type="expression" dxfId="10" priority="7">
      <formula>$D$47="OK"</formula>
    </cfRule>
  </conditionalFormatting>
  <conditionalFormatting sqref="D47">
    <cfRule type="expression" dxfId="11" priority="8">
      <formula>$D$47&lt;&gt;"OK"</formula>
    </cfRule>
  </conditionalFormatting>
  <conditionalFormatting sqref="E47">
    <cfRule type="expression" dxfId="12" priority="9">
      <formula>$E$47="OK"</formula>
    </cfRule>
  </conditionalFormatting>
  <conditionalFormatting sqref="E47">
    <cfRule type="expression" dxfId="13" priority="10">
      <formula>$E$47&lt;&gt;"OK"</formula>
    </cfRule>
  </conditionalFormatting>
  <conditionalFormatting sqref="D48">
    <cfRule type="expression" dxfId="14" priority="11">
      <formula>$D$48&gt;0</formula>
    </cfRule>
  </conditionalFormatting>
  <conditionalFormatting sqref="E48">
    <cfRule type="expression" dxfId="15" priority="12">
      <formula>$E$48&gt;0</formula>
    </cfRule>
  </conditionalFormatting>
  <conditionalFormatting sqref="F63:F70">
    <cfRule type="expression" dxfId="16" priority="13">
      <formula>F63&gt;0.2</formula>
    </cfRule>
  </conditionalFormatting>
  <conditionalFormatting sqref="F63:F70">
    <cfRule type="expression" dxfId="17" priority="14">
      <formula>AND(F63&gt;=0.1,F63&lt;=0.2)</formula>
    </cfRule>
  </conditionalFormatting>
  <conditionalFormatting sqref="J63:J70">
    <cfRule type="expression" dxfId="16" priority="15">
      <formula>J63&gt;0.2</formula>
    </cfRule>
  </conditionalFormatting>
  <conditionalFormatting sqref="J63:J70">
    <cfRule type="expression" dxfId="17" priority="16">
      <formula>AND(J63&gt;=0.1,J63&lt;=0.2)</formula>
    </cfRule>
  </conditionalFormatting>
  <conditionalFormatting sqref="F108:F115">
    <cfRule type="expression" dxfId="16" priority="17">
      <formula>F108&gt;0.2</formula>
    </cfRule>
  </conditionalFormatting>
  <conditionalFormatting sqref="F108:F115">
    <cfRule type="expression" dxfId="17" priority="18">
      <formula>AND(F108&gt;=0.1,F108&lt;=0.2)</formula>
    </cfRule>
  </conditionalFormatting>
  <conditionalFormatting sqref="J108:J115">
    <cfRule type="expression" dxfId="16" priority="19">
      <formula>J108&gt;0.2</formula>
    </cfRule>
  </conditionalFormatting>
  <conditionalFormatting sqref="J108:J115">
    <cfRule type="expression" dxfId="17" priority="20">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45" t="s">
        <v>380</v>
      </c>
      <c r="I1" s="345" t="s">
        <v>381</v>
      </c>
      <c r="O1" s="345" t="s">
        <v>382</v>
      </c>
      <c r="U1" s="345" t="s">
        <v>383</v>
      </c>
      <c r="BA1">
        <v>1</v>
      </c>
      <c r="BB1" t="str">
        <f>=IFERROR(VALUE(TRIM(MID('IV. MA'!C5,9,5))),0)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_xlfn._xlws.FILTER($BE$1:$BE$18,($BB$1:$BB$18='V. AUSWERTUNG'!F82+1)*($BC$1:$BC$18=1),"")</f>
        <v>0</v>
      </c>
      <c r="BP1" cm="1" s="3">
        <f t="array" ref="BP1">_xlfn.VSTACK("Kein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MA'!G5,9,5))),0)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MA'!K5,9,5))),0)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MA'!O5,9,5))),0)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MA'!S5,9,5))),0)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MA'!W5,9,5))),0)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MA'!AA5,9,5))),0)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MA'!AE5,9,5))),0)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MA'!AI5,9,5))),0)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=$BB$2</f>
      </c>
      <c r="BS9" t="str">
        <f>=$BD$2</f>
      </c>
      <c r="BT9" t="s">
        <v>205</v>
      </c>
      <c r="BU9" t="str">
        <f>=IFERROR('IV. MA'!G10,0)</f>
      </c>
      <c r="BV9" t="str">
        <f>=IFERROR('IV. MA'!H10,0)</f>
      </c>
    </row>
    <row r="10">
      <c r="A10" t="s">
        <v>235</v>
      </c>
      <c r="BA10">
        <v>10</v>
      </c>
      <c r="BB10" t="str">
        <f>=IFERROR(VALUE(TRIM(MID('IV. MA'!AM5,9,5))),0)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=$BB$2</f>
      </c>
      <c r="BS10" t="str">
        <f>=$BD$2</f>
      </c>
      <c r="BT10" t="s">
        <v>206</v>
      </c>
      <c r="BU10" t="str">
        <f>=IFERROR('IV. MA'!G11,0)</f>
      </c>
      <c r="BV10" t="str">
        <f>=IFERROR('IV. MA'!H11,0)</f>
      </c>
    </row>
    <row r="11">
      <c r="A11" t="s">
        <v>236</v>
      </c>
      <c r="BA11">
        <v>11</v>
      </c>
      <c r="BB11" t="str">
        <f>=IFERROR(VALUE(TRIM(MID('IV. MA'!AQ5,9,5))),0)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=$BB$2</f>
      </c>
      <c r="BS11" t="str">
        <f>=$BD$2</f>
      </c>
      <c r="BT11" t="s">
        <v>207</v>
      </c>
      <c r="BU11" t="str">
        <f>=IFERROR('IV. MA'!G12,0)</f>
      </c>
      <c r="BV11" t="str">
        <f>=IFERROR('IV. MA'!H12,0)</f>
      </c>
    </row>
    <row r="12">
      <c r="A12" t="s">
        <v>237</v>
      </c>
      <c r="BA12">
        <v>12</v>
      </c>
      <c r="BB12" t="str">
        <f>=IFERROR(VALUE(TRIM(MID('IV. MA'!AU5,9,5))),0)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208</v>
      </c>
      <c r="BU12" t="str">
        <f>=IFERROR('IV. MA'!G13,0)</f>
      </c>
      <c r="BV12" t="str">
        <f>=IFERROR('IV. MA'!H13,0)</f>
      </c>
    </row>
    <row r="13">
      <c r="A13" t="s">
        <v>238</v>
      </c>
      <c r="BA13">
        <v>13</v>
      </c>
      <c r="BB13" t="str">
        <f>=IFERROR(VALUE(TRIM(MID('IV. MA'!AY5,9,5))),0)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209</v>
      </c>
      <c r="BU13" t="str">
        <f>=IFERROR('IV. MA'!G14,0)</f>
      </c>
      <c r="BV13" t="str">
        <f>=IFERROR('IV. MA'!H14,0)</f>
      </c>
    </row>
    <row r="14">
      <c r="A14" t="s">
        <v>239</v>
      </c>
      <c r="BA14">
        <v>14</v>
      </c>
      <c r="BB14" t="str">
        <f>=IFERROR(VALUE(TRIM(MID('IV. MA'!BC5,9,5))),0)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210</v>
      </c>
      <c r="BU14" t="str">
        <f>=IFERROR('IV. MA'!G15,0)</f>
      </c>
      <c r="BV14" t="str">
        <f>=IFERROR('IV. MA'!H15,0)</f>
      </c>
    </row>
    <row r="15">
      <c r="A15" t="s">
        <v>240</v>
      </c>
      <c r="BA15">
        <v>15</v>
      </c>
      <c r="BB15" t="str">
        <f>=IFERROR(VALUE(TRIM(MID('IV. MA'!BG5,9,5))),0)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211</v>
      </c>
      <c r="BU15" t="str">
        <f>=IFERROR('IV. MA'!G16,0)</f>
      </c>
      <c r="BV15" t="str">
        <f>=IFERROR('IV. MA'!H16,0)</f>
      </c>
    </row>
    <row r="16">
      <c r="A16" t="s">
        <v>241</v>
      </c>
      <c r="BA16">
        <v>16</v>
      </c>
      <c r="BB16" t="str">
        <f>=IFERROR(VALUE(TRIM(MID('IV. MA'!BK5,9,5))),0)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212</v>
      </c>
      <c r="BU16" t="str">
        <f>=IFERROR('IV. MA'!G17,0)</f>
      </c>
      <c r="BV16" t="str">
        <f>=IFERROR('IV. MA'!H17,0)</f>
      </c>
    </row>
    <row r="17">
      <c r="A17" t="s">
        <v>242</v>
      </c>
      <c r="BA17">
        <v>17</v>
      </c>
      <c r="BB17" t="str">
        <f>=IFERROR(VALUE(TRIM(MID('IV. MA'!BO5,9,5))),0)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=$BB$3</f>
      </c>
      <c r="BS17" t="str">
        <f>=$BD$3</f>
      </c>
      <c r="BT17" t="s">
        <v>205</v>
      </c>
      <c r="BU17" t="str">
        <f>=IFERROR('IV. MA'!K10,0)</f>
      </c>
      <c r="BV17" t="str">
        <f>=IFERROR('IV. MA'!L10,0)</f>
      </c>
    </row>
    <row r="18">
      <c r="A18" t="s">
        <v>243</v>
      </c>
      <c r="BA18">
        <v>18</v>
      </c>
      <c r="BB18" t="str">
        <f>=IFERROR(VALUE(TRIM(MID('IV. MA'!BS5,9,5))),0)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=$BB$3</f>
      </c>
      <c r="BS18" t="str">
        <f>=$BD$3</f>
      </c>
      <c r="BT18" t="s">
        <v>206</v>
      </c>
      <c r="BU18" t="str">
        <f>=IFERROR('IV. MA'!K11,0)</f>
      </c>
      <c r="BV18" t="str">
        <f>=IFERROR('IV. MA'!L11,0)</f>
      </c>
    </row>
    <row r="19">
      <c r="BR19" t="str">
        <f>=$BB$3</f>
      </c>
      <c r="BS19" t="str">
        <f>=$BD$3</f>
      </c>
      <c r="BT19" t="s">
        <v>207</v>
      </c>
      <c r="BU19" t="str">
        <f>=IFERROR('IV. MA'!K12,0)</f>
      </c>
      <c r="BV19" t="str">
        <f>=IFERROR('IV. MA'!L12,0)</f>
      </c>
    </row>
    <row r="20">
      <c r="BR20" t="str">
        <f>=$BB$3</f>
      </c>
      <c r="BS20" t="str">
        <f>=$BD$3</f>
      </c>
      <c r="BT20" t="s">
        <v>208</v>
      </c>
      <c r="BU20" t="str">
        <f>=IFERROR('IV. MA'!K13,0)</f>
      </c>
      <c r="BV20" t="str">
        <f>=IFERROR('IV. MA'!L13,0)</f>
      </c>
    </row>
    <row r="21">
      <c r="BR21" t="str">
        <f>=$BB$3</f>
      </c>
      <c r="BS21" t="str">
        <f>=$BD$3</f>
      </c>
      <c r="BT21" t="s">
        <v>209</v>
      </c>
      <c r="BU21" t="str">
        <f>=IFERROR('IV. MA'!K14,0)</f>
      </c>
      <c r="BV21" t="str">
        <f>=IFERROR('IV. MA'!L14,0)</f>
      </c>
    </row>
    <row r="22">
      <c r="BR22" t="str">
        <f>=$BB$3</f>
      </c>
      <c r="BS22" t="str">
        <f>=$BD$3</f>
      </c>
      <c r="BT22" t="s">
        <v>210</v>
      </c>
      <c r="BU22" t="str">
        <f>=IFERROR('IV. MA'!K15,0)</f>
      </c>
      <c r="BV22" t="str">
        <f>=IFERROR('IV. MA'!L15,0)</f>
      </c>
    </row>
    <row r="23">
      <c r="BR23" t="str">
        <f>=$BB$3</f>
      </c>
      <c r="BS23" t="str">
        <f>=$BD$3</f>
      </c>
      <c r="BT23" t="s">
        <v>211</v>
      </c>
      <c r="BU23" t="str">
        <f>=IFERROR('IV. MA'!K16,0)</f>
      </c>
      <c r="BV23" t="str">
        <f>=IFERROR('IV. MA'!L16,0)</f>
      </c>
    </row>
    <row r="24">
      <c r="BR24" t="str">
        <f>=$BB$3</f>
      </c>
      <c r="BS24" t="str">
        <f>=$BD$3</f>
      </c>
      <c r="BT24" t="s">
        <v>212</v>
      </c>
      <c r="BU24" t="str">
        <f>=IFERROR('IV. MA'!K17,0)</f>
      </c>
      <c r="BV24" t="str">
        <f>=IFERROR('IV. MA'!L17,0)</f>
      </c>
    </row>
    <row r="25">
      <c r="BR25" t="str">
        <f>=$BB$4</f>
      </c>
      <c r="BS25" t="str">
        <f>=$BD$4</f>
      </c>
      <c r="BT25" t="s">
        <v>205</v>
      </c>
      <c r="BU25" t="str">
        <f>=IFERROR('IV. MA'!O10,0)</f>
      </c>
      <c r="BV25" t="str">
        <f>=IFERROR('IV. MA'!P10,0)</f>
      </c>
    </row>
    <row r="26">
      <c r="BR26" t="str">
        <f>=$BB$4</f>
      </c>
      <c r="BS26" t="str">
        <f>=$BD$4</f>
      </c>
      <c r="BT26" t="s">
        <v>206</v>
      </c>
      <c r="BU26" t="str">
        <f>=IFERROR('IV. MA'!O11,0)</f>
      </c>
      <c r="BV26" t="str">
        <f>=IFERROR('IV. MA'!P11,0)</f>
      </c>
    </row>
    <row r="27">
      <c r="BR27" t="str">
        <f>=$BB$4</f>
      </c>
      <c r="BS27" t="str">
        <f>=$BD$4</f>
      </c>
      <c r="BT27" t="s">
        <v>207</v>
      </c>
      <c r="BU27" t="str">
        <f>=IFERROR('IV. MA'!O12,0)</f>
      </c>
      <c r="BV27" t="str">
        <f>=IFERROR('IV. MA'!P12,0)</f>
      </c>
    </row>
    <row r="28">
      <c r="BR28" t="str">
        <f>=$BB$4</f>
      </c>
      <c r="BS28" t="str">
        <f>=$BD$4</f>
      </c>
      <c r="BT28" t="s">
        <v>208</v>
      </c>
      <c r="BU28" t="str">
        <f>=IFERROR('IV. MA'!O13,0)</f>
      </c>
      <c r="BV28" t="str">
        <f>=IFERROR('IV. MA'!P13,0)</f>
      </c>
    </row>
    <row r="29">
      <c r="BR29" t="str">
        <f>=$BB$4</f>
      </c>
      <c r="BS29" t="str">
        <f>=$BD$4</f>
      </c>
      <c r="BT29" t="s">
        <v>209</v>
      </c>
      <c r="BU29" t="str">
        <f>=IFERROR('IV. MA'!O14,0)</f>
      </c>
      <c r="BV29" t="str">
        <f>=IFERROR('IV. MA'!P14,0)</f>
      </c>
    </row>
    <row r="30">
      <c r="BR30" t="str">
        <f>=$BB$4</f>
      </c>
      <c r="BS30" t="str">
        <f>=$BD$4</f>
      </c>
      <c r="BT30" t="s">
        <v>210</v>
      </c>
      <c r="BU30" t="str">
        <f>=IFERROR('IV. MA'!O15,0)</f>
      </c>
      <c r="BV30" t="str">
        <f>=IFERROR('IV. MA'!P15,0)</f>
      </c>
    </row>
    <row r="31">
      <c r="BR31" t="str">
        <f>=$BB$4</f>
      </c>
      <c r="BS31" t="str">
        <f>=$BD$4</f>
      </c>
      <c r="BT31" t="s">
        <v>211</v>
      </c>
      <c r="BU31" t="str">
        <f>=IFERROR('IV. MA'!O16,0)</f>
      </c>
      <c r="BV31" t="str">
        <f>=IFERROR('IV. MA'!P16,0)</f>
      </c>
    </row>
    <row r="32">
      <c r="BR32" t="str">
        <f>=$BB$4</f>
      </c>
      <c r="BS32" t="str">
        <f>=$BD$4</f>
      </c>
      <c r="BT32" t="s">
        <v>212</v>
      </c>
      <c r="BU32" t="str">
        <f>=IFERROR('IV. MA'!O17,0)</f>
      </c>
      <c r="BV32" t="str">
        <f>=IFERROR('IV. MA'!P17,0)</f>
      </c>
    </row>
    <row r="33">
      <c r="BR33" t="str">
        <f>=$BB$5</f>
      </c>
      <c r="BS33" t="str">
        <f>=$BD$5</f>
      </c>
      <c r="BT33" t="s">
        <v>205</v>
      </c>
      <c r="BU33" t="str">
        <f>=IFERROR('IV. MA'!S10,0)</f>
      </c>
      <c r="BV33" t="str">
        <f>=IFERROR('IV. MA'!T10,0)</f>
      </c>
    </row>
    <row r="34">
      <c r="BR34" t="str">
        <f>=$BB$5</f>
      </c>
      <c r="BS34" t="str">
        <f>=$BD$5</f>
      </c>
      <c r="BT34" t="s">
        <v>206</v>
      </c>
      <c r="BU34" t="str">
        <f>=IFERROR('IV. MA'!S11,0)</f>
      </c>
      <c r="BV34" t="str">
        <f>=IFERROR('IV. MA'!T11,0)</f>
      </c>
    </row>
    <row r="35">
      <c r="BR35" t="str">
        <f>=$BB$5</f>
      </c>
      <c r="BS35" t="str">
        <f>=$BD$5</f>
      </c>
      <c r="BT35" t="s">
        <v>207</v>
      </c>
      <c r="BU35" t="str">
        <f>=IFERROR('IV. MA'!S12,0)</f>
      </c>
      <c r="BV35" t="str">
        <f>=IFERROR('IV. MA'!T12,0)</f>
      </c>
    </row>
    <row r="36">
      <c r="BR36" t="str">
        <f>=$BB$5</f>
      </c>
      <c r="BS36" t="str">
        <f>=$BD$5</f>
      </c>
      <c r="BT36" t="s">
        <v>208</v>
      </c>
      <c r="BU36" t="str">
        <f>=IFERROR('IV. MA'!S13,0)</f>
      </c>
      <c r="BV36" t="str">
        <f>=IFERROR('IV. MA'!T13,0)</f>
      </c>
    </row>
    <row r="37">
      <c r="BR37" t="str">
        <f>=$BB$5</f>
      </c>
      <c r="BS37" t="str">
        <f>=$BD$5</f>
      </c>
      <c r="BT37" t="s">
        <v>209</v>
      </c>
      <c r="BU37" t="str">
        <f>=IFERROR('IV. MA'!S14,0)</f>
      </c>
      <c r="BV37" t="str">
        <f>=IFERROR('IV. MA'!T14,0)</f>
      </c>
    </row>
    <row r="38">
      <c r="BR38" t="str">
        <f>=$BB$5</f>
      </c>
      <c r="BS38" t="str">
        <f>=$BD$5</f>
      </c>
      <c r="BT38" t="s">
        <v>210</v>
      </c>
      <c r="BU38" t="str">
        <f>=IFERROR('IV. MA'!S15,0)</f>
      </c>
      <c r="BV38" t="str">
        <f>=IFERROR('IV. MA'!T15,0)</f>
      </c>
    </row>
    <row r="39">
      <c r="BR39" t="str">
        <f>=$BB$5</f>
      </c>
      <c r="BS39" t="str">
        <f>=$BD$5</f>
      </c>
      <c r="BT39" t="s">
        <v>211</v>
      </c>
      <c r="BU39" t="str">
        <f>=IFERROR('IV. MA'!S16,0)</f>
      </c>
      <c r="BV39" t="str">
        <f>=IFERROR('IV. MA'!T16,0)</f>
      </c>
    </row>
    <row r="40">
      <c r="BR40" t="str">
        <f>=$BB$5</f>
      </c>
      <c r="BS40" t="str">
        <f>=$BD$5</f>
      </c>
      <c r="BT40" t="s">
        <v>212</v>
      </c>
      <c r="BU40" t="str">
        <f>=IFERROR('IV. MA'!S17,0)</f>
      </c>
      <c r="BV40" t="str">
        <f>=IFERROR('IV. MA'!T17,0)</f>
      </c>
    </row>
    <row r="41">
      <c r="BR41" t="str">
        <f>=$BB$6</f>
      </c>
      <c r="BS41" t="str">
        <f>=$BD$6</f>
      </c>
      <c r="BT41" t="s">
        <v>205</v>
      </c>
      <c r="BU41" t="str">
        <f>=IFERROR('IV. MA'!W10,0)</f>
      </c>
      <c r="BV41" t="str">
        <f>=IFERROR('IV. MA'!X10,0)</f>
      </c>
    </row>
    <row r="42">
      <c r="BR42" t="str">
        <f>=$BB$6</f>
      </c>
      <c r="BS42" t="str">
        <f>=$BD$6</f>
      </c>
      <c r="BT42" t="s">
        <v>206</v>
      </c>
      <c r="BU42" t="str">
        <f>=IFERROR('IV. MA'!W11,0)</f>
      </c>
      <c r="BV42" t="str">
        <f>=IFERROR('IV. MA'!X11,0)</f>
      </c>
    </row>
    <row r="43">
      <c r="BR43" t="str">
        <f>=$BB$6</f>
      </c>
      <c r="BS43" t="str">
        <f>=$BD$6</f>
      </c>
      <c r="BT43" t="s">
        <v>207</v>
      </c>
      <c r="BU43" t="str">
        <f>=IFERROR('IV. MA'!W12,0)</f>
      </c>
      <c r="BV43" t="str">
        <f>=IFERROR('IV. MA'!X12,0)</f>
      </c>
    </row>
    <row r="44">
      <c r="BR44" t="str">
        <f>=$BB$6</f>
      </c>
      <c r="BS44" t="str">
        <f>=$BD$6</f>
      </c>
      <c r="BT44" t="s">
        <v>208</v>
      </c>
      <c r="BU44" t="str">
        <f>=IFERROR('IV. MA'!W13,0)</f>
      </c>
      <c r="BV44" t="str">
        <f>=IFERROR('IV. MA'!X13,0)</f>
      </c>
    </row>
    <row r="45">
      <c r="BR45" t="str">
        <f>=$BB$6</f>
      </c>
      <c r="BS45" t="str">
        <f>=$BD$6</f>
      </c>
      <c r="BT45" t="s">
        <v>209</v>
      </c>
      <c r="BU45" t="str">
        <f>=IFERROR('IV. MA'!W14,0)</f>
      </c>
      <c r="BV45" t="str">
        <f>=IFERROR('IV. MA'!X14,0)</f>
      </c>
    </row>
    <row r="46">
      <c r="BR46" t="str">
        <f>=$BB$6</f>
      </c>
      <c r="BS46" t="str">
        <f>=$BD$6</f>
      </c>
      <c r="BT46" t="s">
        <v>210</v>
      </c>
      <c r="BU46" t="str">
        <f>=IFERROR('IV. MA'!W15,0)</f>
      </c>
      <c r="BV46" t="str">
        <f>=IFERROR('IV. MA'!X15,0)</f>
      </c>
    </row>
    <row r="47">
      <c r="BR47" t="str">
        <f>=$BB$6</f>
      </c>
      <c r="BS47" t="str">
        <f>=$BD$6</f>
      </c>
      <c r="BT47" t="s">
        <v>211</v>
      </c>
      <c r="BU47" t="str">
        <f>=IFERROR('IV. MA'!W16,0)</f>
      </c>
      <c r="BV47" t="str">
        <f>=IFERROR('IV. MA'!X16,0)</f>
      </c>
    </row>
    <row r="48">
      <c r="BR48" t="str">
        <f>=$BB$6</f>
      </c>
      <c r="BS48" t="str">
        <f>=$BD$6</f>
      </c>
      <c r="BT48" t="s">
        <v>212</v>
      </c>
      <c r="BU48" t="str">
        <f>=IFERROR('IV. MA'!W17,0)</f>
      </c>
      <c r="BV48" t="str">
        <f>=IFERROR('IV. MA'!X17,0)</f>
      </c>
    </row>
    <row r="49">
      <c r="BR49" t="str">
        <f>=$BB$7</f>
      </c>
      <c r="BS49" t="str">
        <f>=$BD$7</f>
      </c>
      <c r="BT49" t="s">
        <v>205</v>
      </c>
      <c r="BU49" t="str">
        <f>=IFERROR('IV. MA'!AA10,0)</f>
      </c>
      <c r="BV49" t="str">
        <f>=IFERROR('IV. MA'!AB10,0)</f>
      </c>
    </row>
    <row r="50">
      <c r="BR50" t="str">
        <f>=$BB$7</f>
      </c>
      <c r="BS50" t="str">
        <f>=$BD$7</f>
      </c>
      <c r="BT50" t="s">
        <v>206</v>
      </c>
      <c r="BU50" t="str">
        <f>=IFERROR('IV. MA'!AA11,0)</f>
      </c>
      <c r="BV50" t="str">
        <f>=IFERROR('IV. MA'!AB11,0)</f>
      </c>
    </row>
    <row r="51">
      <c r="BR51" t="str">
        <f>=$BB$7</f>
      </c>
      <c r="BS51" t="str">
        <f>=$BD$7</f>
      </c>
      <c r="BT51" t="s">
        <v>207</v>
      </c>
      <c r="BU51" t="str">
        <f>=IFERROR('IV. MA'!AA12,0)</f>
      </c>
      <c r="BV51" t="str">
        <f>=IFERROR('IV. MA'!AB12,0)</f>
      </c>
    </row>
    <row r="52">
      <c r="BR52" t="str">
        <f>=$BB$7</f>
      </c>
      <c r="BS52" t="str">
        <f>=$BD$7</f>
      </c>
      <c r="BT52" t="s">
        <v>208</v>
      </c>
      <c r="BU52" t="str">
        <f>=IFERROR('IV. MA'!AA13,0)</f>
      </c>
      <c r="BV52" t="str">
        <f>=IFERROR('IV. MA'!AB13,0)</f>
      </c>
    </row>
    <row r="53">
      <c r="BR53" t="str">
        <f>=$BB$7</f>
      </c>
      <c r="BS53" t="str">
        <f>=$BD$7</f>
      </c>
      <c r="BT53" t="s">
        <v>209</v>
      </c>
      <c r="BU53" t="str">
        <f>=IFERROR('IV. MA'!AA14,0)</f>
      </c>
      <c r="BV53" t="str">
        <f>=IFERROR('IV. MA'!AB14,0)</f>
      </c>
    </row>
    <row r="54">
      <c r="BR54" t="str">
        <f>=$BB$7</f>
      </c>
      <c r="BS54" t="str">
        <f>=$BD$7</f>
      </c>
      <c r="BT54" t="s">
        <v>210</v>
      </c>
      <c r="BU54" t="str">
        <f>=IFERROR('IV. MA'!AA15,0)</f>
      </c>
      <c r="BV54" t="str">
        <f>=IFERROR('IV. MA'!AB15,0)</f>
      </c>
    </row>
    <row r="55">
      <c r="BR55" t="str">
        <f>=$BB$7</f>
      </c>
      <c r="BS55" t="str">
        <f>=$BD$7</f>
      </c>
      <c r="BT55" t="s">
        <v>211</v>
      </c>
      <c r="BU55" t="str">
        <f>=IFERROR('IV. MA'!AA16,0)</f>
      </c>
      <c r="BV55" t="str">
        <f>=IFERROR('IV. MA'!AB16,0)</f>
      </c>
    </row>
    <row r="56">
      <c r="BR56" t="str">
        <f>=$BB$7</f>
      </c>
      <c r="BS56" t="str">
        <f>=$BD$7</f>
      </c>
      <c r="BT56" t="s">
        <v>212</v>
      </c>
      <c r="BU56" t="str">
        <f>=IFERROR('IV. MA'!AA17,0)</f>
      </c>
      <c r="BV56" t="str">
        <f>=IFERROR('IV. MA'!AB17,0)</f>
      </c>
    </row>
    <row r="57">
      <c r="BR57" t="str">
        <f>=$BB$8</f>
      </c>
      <c r="BS57" t="str">
        <f>=$BD$8</f>
      </c>
      <c r="BT57" t="s">
        <v>205</v>
      </c>
      <c r="BU57" t="str">
        <f>=IFERROR('IV. MA'!AE10,0)</f>
      </c>
      <c r="BV57" t="str">
        <f>=IFERROR('IV. MA'!AF10,0)</f>
      </c>
    </row>
    <row r="58">
      <c r="BR58" t="str">
        <f>=$BB$8</f>
      </c>
      <c r="BS58" t="str">
        <f>=$BD$8</f>
      </c>
      <c r="BT58" t="s">
        <v>206</v>
      </c>
      <c r="BU58" t="str">
        <f>=IFERROR('IV. MA'!AE11,0)</f>
      </c>
      <c r="BV58" t="str">
        <f>=IFERROR('IV. MA'!AF11,0)</f>
      </c>
    </row>
    <row r="59">
      <c r="BR59" t="str">
        <f>=$BB$8</f>
      </c>
      <c r="BS59" t="str">
        <f>=$BD$8</f>
      </c>
      <c r="BT59" t="s">
        <v>207</v>
      </c>
      <c r="BU59" t="str">
        <f>=IFERROR('IV. MA'!AE12,0)</f>
      </c>
      <c r="BV59" t="str">
        <f>=IFERROR('IV. MA'!AF12,0)</f>
      </c>
    </row>
    <row r="60">
      <c r="BR60" t="str">
        <f>=$BB$8</f>
      </c>
      <c r="BS60" t="str">
        <f>=$BD$8</f>
      </c>
      <c r="BT60" t="s">
        <v>208</v>
      </c>
      <c r="BU60" t="str">
        <f>=IFERROR('IV. MA'!AE13,0)</f>
      </c>
      <c r="BV60" t="str">
        <f>=IFERROR('IV. MA'!AF13,0)</f>
      </c>
    </row>
    <row r="61">
      <c r="BR61" t="str">
        <f>=$BB$8</f>
      </c>
      <c r="BS61" t="str">
        <f>=$BD$8</f>
      </c>
      <c r="BT61" t="s">
        <v>209</v>
      </c>
      <c r="BU61" t="str">
        <f>=IFERROR('IV. MA'!AE14,0)</f>
      </c>
      <c r="BV61" t="str">
        <f>=IFERROR('IV. MA'!AF14,0)</f>
      </c>
    </row>
    <row r="62">
      <c r="BR62" t="str">
        <f>=$BB$8</f>
      </c>
      <c r="BS62" t="str">
        <f>=$BD$8</f>
      </c>
      <c r="BT62" t="s">
        <v>210</v>
      </c>
      <c r="BU62" t="str">
        <f>=IFERROR('IV. MA'!AE15,0)</f>
      </c>
      <c r="BV62" t="str">
        <f>=IFERROR('IV. MA'!AF15,0)</f>
      </c>
    </row>
    <row r="63">
      <c r="BR63" t="str">
        <f>=$BB$8</f>
      </c>
      <c r="BS63" t="str">
        <f>=$BD$8</f>
      </c>
      <c r="BT63" t="s">
        <v>211</v>
      </c>
      <c r="BU63" t="str">
        <f>=IFERROR('IV. MA'!AE16,0)</f>
      </c>
      <c r="BV63" t="str">
        <f>=IFERROR('IV. MA'!AF16,0)</f>
      </c>
    </row>
    <row r="64">
      <c r="BR64" t="str">
        <f>=$BB$8</f>
      </c>
      <c r="BS64" t="str">
        <f>=$BD$8</f>
      </c>
      <c r="BT64" t="s">
        <v>212</v>
      </c>
      <c r="BU64" t="str">
        <f>=IFERROR('IV. MA'!AE17,0)</f>
      </c>
      <c r="BV64" t="str">
        <f>=IFERROR('IV. MA'!AF17,0)</f>
      </c>
    </row>
    <row r="65">
      <c r="BR65" t="str">
        <f>=$BB$9</f>
      </c>
      <c r="BS65" t="str">
        <f>=$BD$9</f>
      </c>
      <c r="BT65" t="s">
        <v>205</v>
      </c>
      <c r="BU65" t="str">
        <f>=IFERROR('IV. MA'!AI10,0)</f>
      </c>
      <c r="BV65" t="str">
        <f>=IFERROR('IV. MA'!AJ10,0)</f>
      </c>
    </row>
    <row r="66">
      <c r="BR66" t="str">
        <f>=$BB$9</f>
      </c>
      <c r="BS66" t="str">
        <f>=$BD$9</f>
      </c>
      <c r="BT66" t="s">
        <v>206</v>
      </c>
      <c r="BU66" t="str">
        <f>=IFERROR('IV. MA'!AI11,0)</f>
      </c>
      <c r="BV66" t="str">
        <f>=IFERROR('IV. MA'!AJ11,0)</f>
      </c>
    </row>
    <row r="67">
      <c r="BR67" t="str">
        <f>=$BB$9</f>
      </c>
      <c r="BS67" t="str">
        <f>=$BD$9</f>
      </c>
      <c r="BT67" t="s">
        <v>207</v>
      </c>
      <c r="BU67" t="str">
        <f>=IFERROR('IV. MA'!AI12,0)</f>
      </c>
      <c r="BV67" t="str">
        <f>=IFERROR('IV. MA'!AJ12,0)</f>
      </c>
    </row>
    <row r="68">
      <c r="BR68" t="str">
        <f>=$BB$9</f>
      </c>
      <c r="BS68" t="str">
        <f>=$BD$9</f>
      </c>
      <c r="BT68" t="s">
        <v>208</v>
      </c>
      <c r="BU68" t="str">
        <f>=IFERROR('IV. MA'!AI13,0)</f>
      </c>
      <c r="BV68" t="str">
        <f>=IFERROR('IV. MA'!AJ13,0)</f>
      </c>
    </row>
    <row r="69">
      <c r="BR69" t="str">
        <f>=$BB$9</f>
      </c>
      <c r="BS69" t="str">
        <f>=$BD$9</f>
      </c>
      <c r="BT69" t="s">
        <v>209</v>
      </c>
      <c r="BU69" t="str">
        <f>=IFERROR('IV. MA'!AI14,0)</f>
      </c>
      <c r="BV69" t="str">
        <f>=IFERROR('IV. MA'!AJ14,0)</f>
      </c>
    </row>
    <row r="70">
      <c r="BR70" t="str">
        <f>=$BB$9</f>
      </c>
      <c r="BS70" t="str">
        <f>=$BD$9</f>
      </c>
      <c r="BT70" t="s">
        <v>210</v>
      </c>
      <c r="BU70" t="str">
        <f>=IFERROR('IV. MA'!AI15,0)</f>
      </c>
      <c r="BV70" t="str">
        <f>=IFERROR('IV. MA'!AJ15,0)</f>
      </c>
    </row>
    <row r="71">
      <c r="BR71" t="str">
        <f>=$BB$9</f>
      </c>
      <c r="BS71" t="str">
        <f>=$BD$9</f>
      </c>
      <c r="BT71" t="s">
        <v>211</v>
      </c>
      <c r="BU71" t="str">
        <f>=IFERROR('IV. MA'!AI16,0)</f>
      </c>
      <c r="BV71" t="str">
        <f>=IFERROR('IV. MA'!AJ16,0)</f>
      </c>
    </row>
    <row r="72">
      <c r="BR72" t="str">
        <f>=$BB$9</f>
      </c>
      <c r="BS72" t="str">
        <f>=$BD$9</f>
      </c>
      <c r="BT72" t="s">
        <v>212</v>
      </c>
      <c r="BU72" t="str">
        <f>=IFERROR('IV. MA'!AI17,0)</f>
      </c>
      <c r="BV72" t="str">
        <f>=IFERROR('IV. MA'!AJ17,0)</f>
      </c>
    </row>
    <row r="73">
      <c r="BR73" t="str">
        <f>=$BB$10</f>
      </c>
      <c r="BS73" t="str">
        <f>=$BD$10</f>
      </c>
      <c r="BT73" t="s">
        <v>205</v>
      </c>
      <c r="BU73" t="str">
        <f>=IFERROR('IV. MA'!AM10,0)</f>
      </c>
      <c r="BV73" t="str">
        <f>=IFERROR('IV. MA'!AN10,0)</f>
      </c>
    </row>
    <row r="74">
      <c r="BR74" t="str">
        <f>=$BB$10</f>
      </c>
      <c r="BS74" t="str">
        <f>=$BD$10</f>
      </c>
      <c r="BT74" t="s">
        <v>206</v>
      </c>
      <c r="BU74" t="str">
        <f>=IFERROR('IV. MA'!AM11,0)</f>
      </c>
      <c r="BV74" t="str">
        <f>=IFERROR('IV. MA'!AN11,0)</f>
      </c>
    </row>
    <row r="75">
      <c r="BR75" t="str">
        <f>=$BB$10</f>
      </c>
      <c r="BS75" t="str">
        <f>=$BD$10</f>
      </c>
      <c r="BT75" t="s">
        <v>207</v>
      </c>
      <c r="BU75" t="str">
        <f>=IFERROR('IV. MA'!AM12,0)</f>
      </c>
      <c r="BV75" t="str">
        <f>=IFERROR('IV. MA'!AN12,0)</f>
      </c>
    </row>
    <row r="76">
      <c r="BR76" t="str">
        <f>=$BB$10</f>
      </c>
      <c r="BS76" t="str">
        <f>=$BD$10</f>
      </c>
      <c r="BT76" t="s">
        <v>208</v>
      </c>
      <c r="BU76" t="str">
        <f>=IFERROR('IV. MA'!AM13,0)</f>
      </c>
      <c r="BV76" t="str">
        <f>=IFERROR('IV. MA'!AN13,0)</f>
      </c>
    </row>
    <row r="77">
      <c r="BR77" t="str">
        <f>=$BB$10</f>
      </c>
      <c r="BS77" t="str">
        <f>=$BD$10</f>
      </c>
      <c r="BT77" t="s">
        <v>209</v>
      </c>
      <c r="BU77" t="str">
        <f>=IFERROR('IV. MA'!AM14,0)</f>
      </c>
      <c r="BV77" t="str">
        <f>=IFERROR('IV. MA'!AN14,0)</f>
      </c>
    </row>
    <row r="78">
      <c r="BR78" t="str">
        <f>=$BB$10</f>
      </c>
      <c r="BS78" t="str">
        <f>=$BD$10</f>
      </c>
      <c r="BT78" t="s">
        <v>210</v>
      </c>
      <c r="BU78" t="str">
        <f>=IFERROR('IV. MA'!AM15,0)</f>
      </c>
      <c r="BV78" t="str">
        <f>=IFERROR('IV. MA'!AN15,0)</f>
      </c>
    </row>
    <row r="79">
      <c r="BR79" t="str">
        <f>=$BB$10</f>
      </c>
      <c r="BS79" t="str">
        <f>=$BD$10</f>
      </c>
      <c r="BT79" t="s">
        <v>211</v>
      </c>
      <c r="BU79" t="str">
        <f>=IFERROR('IV. MA'!AM16,0)</f>
      </c>
      <c r="BV79" t="str">
        <f>=IFERROR('IV. MA'!AN16,0)</f>
      </c>
    </row>
    <row r="80">
      <c r="BR80" t="str">
        <f>=$BB$10</f>
      </c>
      <c r="BS80" t="str">
        <f>=$BD$10</f>
      </c>
      <c r="BT80" t="s">
        <v>212</v>
      </c>
      <c r="BU80" t="str">
        <f>=IFERROR('IV. MA'!AM17,0)</f>
      </c>
      <c r="BV80" t="str">
        <f>=IFERROR('IV. MA'!AN17,0)</f>
      </c>
    </row>
    <row r="81">
      <c r="BR81" t="str">
        <f>=$BB$11</f>
      </c>
      <c r="BS81" t="str">
        <f>=$BD$11</f>
      </c>
      <c r="BT81" t="s">
        <v>205</v>
      </c>
      <c r="BU81" t="str">
        <f>=IFERROR('IV. MA'!AQ10,0)</f>
      </c>
      <c r="BV81" t="str">
        <f>=IFERROR('IV. MA'!AR10,0)</f>
      </c>
    </row>
    <row r="82">
      <c r="BR82" t="str">
        <f>=$BB$11</f>
      </c>
      <c r="BS82" t="str">
        <f>=$BD$11</f>
      </c>
      <c r="BT82" t="s">
        <v>206</v>
      </c>
      <c r="BU82" t="str">
        <f>=IFERROR('IV. MA'!AQ11,0)</f>
      </c>
      <c r="BV82" t="str">
        <f>=IFERROR('IV. MA'!AR11,0)</f>
      </c>
    </row>
    <row r="83">
      <c r="BR83" t="str">
        <f>=$BB$11</f>
      </c>
      <c r="BS83" t="str">
        <f>=$BD$11</f>
      </c>
      <c r="BT83" t="s">
        <v>207</v>
      </c>
      <c r="BU83" t="str">
        <f>=IFERROR('IV. MA'!AQ12,0)</f>
      </c>
      <c r="BV83" t="str">
        <f>=IFERROR('IV. MA'!AR12,0)</f>
      </c>
    </row>
    <row r="84">
      <c r="BR84" t="str">
        <f>=$BB$11</f>
      </c>
      <c r="BS84" t="str">
        <f>=$BD$11</f>
      </c>
      <c r="BT84" t="s">
        <v>208</v>
      </c>
      <c r="BU84" t="str">
        <f>=IFERROR('IV. MA'!AQ13,0)</f>
      </c>
      <c r="BV84" t="str">
        <f>=IFERROR('IV. MA'!AR13,0)</f>
      </c>
    </row>
    <row r="85">
      <c r="BR85" t="str">
        <f>=$BB$11</f>
      </c>
      <c r="BS85" t="str">
        <f>=$BD$11</f>
      </c>
      <c r="BT85" t="s">
        <v>209</v>
      </c>
      <c r="BU85" t="str">
        <f>=IFERROR('IV. MA'!AQ14,0)</f>
      </c>
      <c r="BV85" t="str">
        <f>=IFERROR('IV. MA'!AR14,0)</f>
      </c>
    </row>
    <row r="86">
      <c r="BR86" t="str">
        <f>=$BB$11</f>
      </c>
      <c r="BS86" t="str">
        <f>=$BD$11</f>
      </c>
      <c r="BT86" t="s">
        <v>210</v>
      </c>
      <c r="BU86" t="str">
        <f>=IFERROR('IV. MA'!AQ15,0)</f>
      </c>
      <c r="BV86" t="str">
        <f>=IFERROR('IV. MA'!AR15,0)</f>
      </c>
    </row>
    <row r="87">
      <c r="BR87" t="str">
        <f>=$BB$11</f>
      </c>
      <c r="BS87" t="str">
        <f>=$BD$11</f>
      </c>
      <c r="BT87" t="s">
        <v>211</v>
      </c>
      <c r="BU87" t="str">
        <f>=IFERROR('IV. MA'!AQ16,0)</f>
      </c>
      <c r="BV87" t="str">
        <f>=IFERROR('IV. MA'!AR16,0)</f>
      </c>
    </row>
    <row r="88">
      <c r="BR88" t="str">
        <f>=$BB$11</f>
      </c>
      <c r="BS88" t="str">
        <f>=$BD$11</f>
      </c>
      <c r="BT88" t="s">
        <v>212</v>
      </c>
      <c r="BU88" t="str">
        <f>=IFERROR('IV. MA'!AQ17,0)</f>
      </c>
      <c r="BV88" t="str">
        <f>=IFERROR('IV. MA'!AR17,0)</f>
      </c>
    </row>
    <row r="89">
      <c r="BR89" t="str">
        <f>=$BB$12</f>
      </c>
      <c r="BS89" t="str">
        <f>=$BD$12</f>
      </c>
      <c r="BT89" t="s">
        <v>205</v>
      </c>
      <c r="BU89" t="str">
        <f>=IFERROR('IV. MA'!AU10,0)</f>
      </c>
      <c r="BV89" t="str">
        <f>=IFERROR('IV. MA'!AV10,0)</f>
      </c>
    </row>
    <row r="90">
      <c r="BR90" t="str">
        <f>=$BB$12</f>
      </c>
      <c r="BS90" t="str">
        <f>=$BD$12</f>
      </c>
      <c r="BT90" t="s">
        <v>206</v>
      </c>
      <c r="BU90" t="str">
        <f>=IFERROR('IV. MA'!AU11,0)</f>
      </c>
      <c r="BV90" t="str">
        <f>=IFERROR('IV. MA'!AV11,0)</f>
      </c>
    </row>
    <row r="91">
      <c r="BR91" t="str">
        <f>=$BB$12</f>
      </c>
      <c r="BS91" t="str">
        <f>=$BD$12</f>
      </c>
      <c r="BT91" t="s">
        <v>207</v>
      </c>
      <c r="BU91" t="str">
        <f>=IFERROR('IV. MA'!AU12,0)</f>
      </c>
      <c r="BV91" t="str">
        <f>=IFERROR('IV. MA'!AV12,0)</f>
      </c>
    </row>
    <row r="92">
      <c r="BR92" t="str">
        <f>=$BB$12</f>
      </c>
      <c r="BS92" t="str">
        <f>=$BD$12</f>
      </c>
      <c r="BT92" t="s">
        <v>208</v>
      </c>
      <c r="BU92" t="str">
        <f>=IFERROR('IV. MA'!AU13,0)</f>
      </c>
      <c r="BV92" t="str">
        <f>=IFERROR('IV. MA'!AV13,0)</f>
      </c>
    </row>
    <row r="93">
      <c r="BR93" t="str">
        <f>=$BB$12</f>
      </c>
      <c r="BS93" t="str">
        <f>=$BD$12</f>
      </c>
      <c r="BT93" t="s">
        <v>209</v>
      </c>
      <c r="BU93" t="str">
        <f>=IFERROR('IV. MA'!AU14,0)</f>
      </c>
      <c r="BV93" t="str">
        <f>=IFERROR('IV. MA'!AV14,0)</f>
      </c>
    </row>
    <row r="94">
      <c r="BR94" t="str">
        <f>=$BB$12</f>
      </c>
      <c r="BS94" t="str">
        <f>=$BD$12</f>
      </c>
      <c r="BT94" t="s">
        <v>210</v>
      </c>
      <c r="BU94" t="str">
        <f>=IFERROR('IV. MA'!AU15,0)</f>
      </c>
      <c r="BV94" t="str">
        <f>=IFERROR('IV. MA'!AV15,0)</f>
      </c>
    </row>
    <row r="95">
      <c r="BR95" t="str">
        <f>=$BB$12</f>
      </c>
      <c r="BS95" t="str">
        <f>=$BD$12</f>
      </c>
      <c r="BT95" t="s">
        <v>211</v>
      </c>
      <c r="BU95" t="str">
        <f>=IFERROR('IV. MA'!AU16,0)</f>
      </c>
      <c r="BV95" t="str">
        <f>=IFERROR('IV. MA'!AV16,0)</f>
      </c>
    </row>
    <row r="96">
      <c r="BR96" t="str">
        <f>=$BB$12</f>
      </c>
      <c r="BS96" t="str">
        <f>=$BD$12</f>
      </c>
      <c r="BT96" t="s">
        <v>212</v>
      </c>
      <c r="BU96" t="str">
        <f>=IFERROR('IV. MA'!AU17,0)</f>
      </c>
      <c r="BV96" t="str">
        <f>=IFERROR('IV. MA'!AV17,0)</f>
      </c>
    </row>
    <row r="97">
      <c r="BR97" t="str">
        <f>=$BB$13</f>
      </c>
      <c r="BS97" t="str">
        <f>=$BD$13</f>
      </c>
      <c r="BT97" t="s">
        <v>205</v>
      </c>
      <c r="BU97" t="str">
        <f>=IFERROR('IV. MA'!AY10,0)</f>
      </c>
      <c r="BV97" t="str">
        <f>=IFERROR('IV. MA'!AZ10,0)</f>
      </c>
    </row>
    <row r="98">
      <c r="BR98" t="str">
        <f>=$BB$13</f>
      </c>
      <c r="BS98" t="str">
        <f>=$BD$13</f>
      </c>
      <c r="BT98" t="s">
        <v>206</v>
      </c>
      <c r="BU98" t="str">
        <f>=IFERROR('IV. MA'!AY11,0)</f>
      </c>
      <c r="BV98" t="str">
        <f>=IFERROR('IV. MA'!AZ11,0)</f>
      </c>
    </row>
    <row r="99">
      <c r="BR99" t="str">
        <f>=$BB$13</f>
      </c>
      <c r="BS99" t="str">
        <f>=$BD$13</f>
      </c>
      <c r="BT99" t="s">
        <v>207</v>
      </c>
      <c r="BU99" t="str">
        <f>=IFERROR('IV. MA'!AY12,0)</f>
      </c>
      <c r="BV99" t="str">
        <f>=IFERROR('IV. MA'!AZ12,0)</f>
      </c>
    </row>
    <row r="100">
      <c r="BR100" t="str">
        <f>=$BB$13</f>
      </c>
      <c r="BS100" t="str">
        <f>=$BD$13</f>
      </c>
      <c r="BT100" t="s">
        <v>208</v>
      </c>
      <c r="BU100" t="str">
        <f>=IFERROR('IV. MA'!AY13,0)</f>
      </c>
      <c r="BV100" t="str">
        <f>=IFERROR('IV. MA'!AZ13,0)</f>
      </c>
    </row>
    <row r="101">
      <c r="BR101" t="str">
        <f>=$BB$13</f>
      </c>
      <c r="BS101" t="str">
        <f>=$BD$13</f>
      </c>
      <c r="BT101" t="s">
        <v>209</v>
      </c>
      <c r="BU101" t="str">
        <f>=IFERROR('IV. MA'!AY14,0)</f>
      </c>
      <c r="BV101" t="str">
        <f>=IFERROR('IV. MA'!AZ14,0)</f>
      </c>
    </row>
    <row r="102">
      <c r="BR102" t="str">
        <f>=$BB$13</f>
      </c>
      <c r="BS102" t="str">
        <f>=$BD$13</f>
      </c>
      <c r="BT102" t="s">
        <v>210</v>
      </c>
      <c r="BU102" t="str">
        <f>=IFERROR('IV. MA'!AY15,0)</f>
      </c>
      <c r="BV102" t="str">
        <f>=IFERROR('IV. MA'!AZ15,0)</f>
      </c>
    </row>
    <row r="103">
      <c r="BR103" t="str">
        <f>=$BB$13</f>
      </c>
      <c r="BS103" t="str">
        <f>=$BD$13</f>
      </c>
      <c r="BT103" t="s">
        <v>211</v>
      </c>
      <c r="BU103" t="str">
        <f>=IFERROR('IV. MA'!AY16,0)</f>
      </c>
      <c r="BV103" t="str">
        <f>=IFERROR('IV. MA'!AZ16,0)</f>
      </c>
    </row>
    <row r="104">
      <c r="BR104" t="str">
        <f>=$BB$13</f>
      </c>
      <c r="BS104" t="str">
        <f>=$BD$13</f>
      </c>
      <c r="BT104" t="s">
        <v>212</v>
      </c>
      <c r="BU104" t="str">
        <f>=IFERROR('IV. MA'!AY17,0)</f>
      </c>
      <c r="BV104" t="str">
        <f>=IFERROR('IV. MA'!AZ17,0)</f>
      </c>
    </row>
    <row r="105">
      <c r="BR105" t="str">
        <f>=$BB$14</f>
      </c>
      <c r="BS105" t="str">
        <f>=$BD$14</f>
      </c>
      <c r="BT105" t="s">
        <v>205</v>
      </c>
      <c r="BU105" t="str">
        <f>=IFERROR('IV. MA'!BC10,0)</f>
      </c>
      <c r="BV105" t="str">
        <f>=IFERROR('IV. MA'!BD10,0)</f>
      </c>
    </row>
    <row r="106">
      <c r="BR106" t="str">
        <f>=$BB$14</f>
      </c>
      <c r="BS106" t="str">
        <f>=$BD$14</f>
      </c>
      <c r="BT106" t="s">
        <v>206</v>
      </c>
      <c r="BU106" t="str">
        <f>=IFERROR('IV. MA'!BC11,0)</f>
      </c>
      <c r="BV106" t="str">
        <f>=IFERROR('IV. MA'!BD11,0)</f>
      </c>
    </row>
    <row r="107">
      <c r="BR107" t="str">
        <f>=$BB$14</f>
      </c>
      <c r="BS107" t="str">
        <f>=$BD$14</f>
      </c>
      <c r="BT107" t="s">
        <v>207</v>
      </c>
      <c r="BU107" t="str">
        <f>=IFERROR('IV. MA'!BC12,0)</f>
      </c>
      <c r="BV107" t="str">
        <f>=IFERROR('IV. MA'!BD12,0)</f>
      </c>
    </row>
    <row r="108">
      <c r="BR108" t="str">
        <f>=$BB$14</f>
      </c>
      <c r="BS108" t="str">
        <f>=$BD$14</f>
      </c>
      <c r="BT108" t="s">
        <v>208</v>
      </c>
      <c r="BU108" t="str">
        <f>=IFERROR('IV. MA'!BC13,0)</f>
      </c>
      <c r="BV108" t="str">
        <f>=IFERROR('IV. MA'!BD13,0)</f>
      </c>
    </row>
    <row r="109">
      <c r="BR109" t="str">
        <f>=$BB$14</f>
      </c>
      <c r="BS109" t="str">
        <f>=$BD$14</f>
      </c>
      <c r="BT109" t="s">
        <v>209</v>
      </c>
      <c r="BU109" t="str">
        <f>=IFERROR('IV. MA'!BC14,0)</f>
      </c>
      <c r="BV109" t="str">
        <f>=IFERROR('IV. MA'!BD14,0)</f>
      </c>
    </row>
    <row r="110">
      <c r="BR110" t="str">
        <f>=$BB$14</f>
      </c>
      <c r="BS110" t="str">
        <f>=$BD$14</f>
      </c>
      <c r="BT110" t="s">
        <v>210</v>
      </c>
      <c r="BU110" t="str">
        <f>=IFERROR('IV. MA'!BC15,0)</f>
      </c>
      <c r="BV110" t="str">
        <f>=IFERROR('IV. MA'!BD15,0)</f>
      </c>
    </row>
    <row r="111">
      <c r="BR111" t="str">
        <f>=$BB$14</f>
      </c>
      <c r="BS111" t="str">
        <f>=$BD$14</f>
      </c>
      <c r="BT111" t="s">
        <v>211</v>
      </c>
      <c r="BU111" t="str">
        <f>=IFERROR('IV. MA'!BC16,0)</f>
      </c>
      <c r="BV111" t="str">
        <f>=IFERROR('IV. MA'!BD16,0)</f>
      </c>
    </row>
    <row r="112">
      <c r="BR112" t="str">
        <f>=$BB$14</f>
      </c>
      <c r="BS112" t="str">
        <f>=$BD$14</f>
      </c>
      <c r="BT112" t="s">
        <v>212</v>
      </c>
      <c r="BU112" t="str">
        <f>=IFERROR('IV. MA'!BC17,0)</f>
      </c>
      <c r="BV112" t="str">
        <f>=IFERROR('IV. MA'!BD17,0)</f>
      </c>
    </row>
    <row r="113">
      <c r="BR113" t="str">
        <f>=$BB$15</f>
      </c>
      <c r="BS113" t="str">
        <f>=$BD$15</f>
      </c>
      <c r="BT113" t="s">
        <v>205</v>
      </c>
      <c r="BU113" t="str">
        <f>=IFERROR('IV. MA'!BG10,0)</f>
      </c>
      <c r="BV113" t="str">
        <f>=IFERROR('IV. MA'!BH10,0)</f>
      </c>
    </row>
    <row r="114">
      <c r="BR114" t="str">
        <f>=$BB$15</f>
      </c>
      <c r="BS114" t="str">
        <f>=$BD$15</f>
      </c>
      <c r="BT114" t="s">
        <v>206</v>
      </c>
      <c r="BU114" t="str">
        <f>=IFERROR('IV. MA'!BG11,0)</f>
      </c>
      <c r="BV114" t="str">
        <f>=IFERROR('IV. MA'!BH11,0)</f>
      </c>
    </row>
    <row r="115">
      <c r="BR115" t="str">
        <f>=$BB$15</f>
      </c>
      <c r="BS115" t="str">
        <f>=$BD$15</f>
      </c>
      <c r="BT115" t="s">
        <v>207</v>
      </c>
      <c r="BU115" t="str">
        <f>=IFERROR('IV. MA'!BG12,0)</f>
      </c>
      <c r="BV115" t="str">
        <f>=IFERROR('IV. MA'!BH12,0)</f>
      </c>
    </row>
    <row r="116">
      <c r="BR116" t="str">
        <f>=$BB$15</f>
      </c>
      <c r="BS116" t="str">
        <f>=$BD$15</f>
      </c>
      <c r="BT116" t="s">
        <v>208</v>
      </c>
      <c r="BU116" t="str">
        <f>=IFERROR('IV. MA'!BG13,0)</f>
      </c>
      <c r="BV116" t="str">
        <f>=IFERROR('IV. MA'!BH13,0)</f>
      </c>
    </row>
    <row r="117">
      <c r="BR117" t="str">
        <f>=$BB$15</f>
      </c>
      <c r="BS117" t="str">
        <f>=$BD$15</f>
      </c>
      <c r="BT117" t="s">
        <v>209</v>
      </c>
      <c r="BU117" t="str">
        <f>=IFERROR('IV. MA'!BG14,0)</f>
      </c>
      <c r="BV117" t="str">
        <f>=IFERROR('IV. MA'!BH14,0)</f>
      </c>
    </row>
    <row r="118">
      <c r="BR118" t="str">
        <f>=$BB$15</f>
      </c>
      <c r="BS118" t="str">
        <f>=$BD$15</f>
      </c>
      <c r="BT118" t="s">
        <v>210</v>
      </c>
      <c r="BU118" t="str">
        <f>=IFERROR('IV. MA'!BG15,0)</f>
      </c>
      <c r="BV118" t="str">
        <f>=IFERROR('IV. MA'!BH15,0)</f>
      </c>
    </row>
    <row r="119">
      <c r="BR119" t="str">
        <f>=$BB$15</f>
      </c>
      <c r="BS119" t="str">
        <f>=$BD$15</f>
      </c>
      <c r="BT119" t="s">
        <v>211</v>
      </c>
      <c r="BU119" t="str">
        <f>=IFERROR('IV. MA'!BG16,0)</f>
      </c>
      <c r="BV119" t="str">
        <f>=IFERROR('IV. MA'!BH16,0)</f>
      </c>
    </row>
    <row r="120">
      <c r="BR120" t="str">
        <f>=$BB$15</f>
      </c>
      <c r="BS120" t="str">
        <f>=$BD$15</f>
      </c>
      <c r="BT120" t="s">
        <v>212</v>
      </c>
      <c r="BU120" t="str">
        <f>=IFERROR('IV. MA'!BG17,0)</f>
      </c>
      <c r="BV120" t="str">
        <f>=IFERROR('IV. MA'!BH17,0)</f>
      </c>
    </row>
    <row r="121">
      <c r="BR121" t="str">
        <f>=$BB$16</f>
      </c>
      <c r="BS121" t="str">
        <f>=$BD$16</f>
      </c>
      <c r="BT121" t="s">
        <v>205</v>
      </c>
      <c r="BU121" t="str">
        <f>=IFERROR('IV. MA'!BK10,0)</f>
      </c>
      <c r="BV121" t="str">
        <f>=IFERROR('IV. MA'!BL10,0)</f>
      </c>
    </row>
    <row r="122">
      <c r="BR122" t="str">
        <f>=$BB$16</f>
      </c>
      <c r="BS122" t="str">
        <f>=$BD$16</f>
      </c>
      <c r="BT122" t="s">
        <v>206</v>
      </c>
      <c r="BU122" t="str">
        <f>=IFERROR('IV. MA'!BK11,0)</f>
      </c>
      <c r="BV122" t="str">
        <f>=IFERROR('IV. MA'!BL11,0)</f>
      </c>
    </row>
    <row r="123">
      <c r="BR123" t="str">
        <f>=$BB$16</f>
      </c>
      <c r="BS123" t="str">
        <f>=$BD$16</f>
      </c>
      <c r="BT123" t="s">
        <v>207</v>
      </c>
      <c r="BU123" t="str">
        <f>=IFERROR('IV. MA'!BK12,0)</f>
      </c>
      <c r="BV123" t="str">
        <f>=IFERROR('IV. MA'!BL12,0)</f>
      </c>
    </row>
    <row r="124">
      <c r="BR124" t="str">
        <f>=$BB$16</f>
      </c>
      <c r="BS124" t="str">
        <f>=$BD$16</f>
      </c>
      <c r="BT124" t="s">
        <v>208</v>
      </c>
      <c r="BU124" t="str">
        <f>=IFERROR('IV. MA'!BK13,0)</f>
      </c>
      <c r="BV124" t="str">
        <f>=IFERROR('IV. MA'!BL13,0)</f>
      </c>
    </row>
    <row r="125">
      <c r="BR125" t="str">
        <f>=$BB$16</f>
      </c>
      <c r="BS125" t="str">
        <f>=$BD$16</f>
      </c>
      <c r="BT125" t="s">
        <v>209</v>
      </c>
      <c r="BU125" t="str">
        <f>=IFERROR('IV. MA'!BK14,0)</f>
      </c>
      <c r="BV125" t="str">
        <f>=IFERROR('IV. MA'!BL14,0)</f>
      </c>
    </row>
    <row r="126">
      <c r="BR126" t="str">
        <f>=$BB$16</f>
      </c>
      <c r="BS126" t="str">
        <f>=$BD$16</f>
      </c>
      <c r="BT126" t="s">
        <v>210</v>
      </c>
      <c r="BU126" t="str">
        <f>=IFERROR('IV. MA'!BK15,0)</f>
      </c>
      <c r="BV126" t="str">
        <f>=IFERROR('IV. MA'!BL15,0)</f>
      </c>
    </row>
    <row r="127">
      <c r="BR127" t="str">
        <f>=$BB$16</f>
      </c>
      <c r="BS127" t="str">
        <f>=$BD$16</f>
      </c>
      <c r="BT127" t="s">
        <v>211</v>
      </c>
      <c r="BU127" t="str">
        <f>=IFERROR('IV. MA'!BK16,0)</f>
      </c>
      <c r="BV127" t="str">
        <f>=IFERROR('IV. MA'!BL16,0)</f>
      </c>
    </row>
    <row r="128">
      <c r="BR128" t="str">
        <f>=$BB$16</f>
      </c>
      <c r="BS128" t="str">
        <f>=$BD$16</f>
      </c>
      <c r="BT128" t="s">
        <v>212</v>
      </c>
      <c r="BU128" t="str">
        <f>=IFERROR('IV. MA'!BK17,0)</f>
      </c>
      <c r="BV128" t="str">
        <f>=IFERROR('IV. MA'!BL17,0)</f>
      </c>
    </row>
    <row r="129">
      <c r="BR129" t="str">
        <f>=$BB$17</f>
      </c>
      <c r="BS129" t="str">
        <f>=$BD$17</f>
      </c>
      <c r="BT129" t="s">
        <v>205</v>
      </c>
      <c r="BU129" t="str">
        <f>=IFERROR('IV. MA'!BO10,0)</f>
      </c>
      <c r="BV129" t="str">
        <f>=IFERROR('IV. MA'!BP10,0)</f>
      </c>
    </row>
    <row r="130">
      <c r="BR130" t="str">
        <f>=$BB$17</f>
      </c>
      <c r="BS130" t="str">
        <f>=$BD$17</f>
      </c>
      <c r="BT130" t="s">
        <v>206</v>
      </c>
      <c r="BU130" t="str">
        <f>=IFERROR('IV. MA'!BO11,0)</f>
      </c>
      <c r="BV130" t="str">
        <f>=IFERROR('IV. MA'!BP11,0)</f>
      </c>
    </row>
    <row r="131">
      <c r="BR131" t="str">
        <f>=$BB$17</f>
      </c>
      <c r="BS131" t="str">
        <f>=$BD$17</f>
      </c>
      <c r="BT131" t="s">
        <v>207</v>
      </c>
      <c r="BU131" t="str">
        <f>=IFERROR('IV. MA'!BO12,0)</f>
      </c>
      <c r="BV131" t="str">
        <f>=IFERROR('IV. MA'!BP12,0)</f>
      </c>
    </row>
    <row r="132">
      <c r="BR132" t="str">
        <f>=$BB$17</f>
      </c>
      <c r="BS132" t="str">
        <f>=$BD$17</f>
      </c>
      <c r="BT132" t="s">
        <v>208</v>
      </c>
      <c r="BU132" t="str">
        <f>=IFERROR('IV. MA'!BO13,0)</f>
      </c>
      <c r="BV132" t="str">
        <f>=IFERROR('IV. MA'!BP13,0)</f>
      </c>
    </row>
    <row r="133">
      <c r="BR133" t="str">
        <f>=$BB$17</f>
      </c>
      <c r="BS133" t="str">
        <f>=$BD$17</f>
      </c>
      <c r="BT133" t="s">
        <v>209</v>
      </c>
      <c r="BU133" t="str">
        <f>=IFERROR('IV. MA'!BO14,0)</f>
      </c>
      <c r="BV133" t="str">
        <f>=IFERROR('IV. MA'!BP14,0)</f>
      </c>
    </row>
    <row r="134">
      <c r="BR134" t="str">
        <f>=$BB$17</f>
      </c>
      <c r="BS134" t="str">
        <f>=$BD$17</f>
      </c>
      <c r="BT134" t="s">
        <v>210</v>
      </c>
      <c r="BU134" t="str">
        <f>=IFERROR('IV. MA'!BO15,0)</f>
      </c>
      <c r="BV134" t="str">
        <f>=IFERROR('IV. MA'!BP15,0)</f>
      </c>
    </row>
    <row r="135">
      <c r="BR135" t="str">
        <f>=$BB$17</f>
      </c>
      <c r="BS135" t="str">
        <f>=$BD$17</f>
      </c>
      <c r="BT135" t="s">
        <v>211</v>
      </c>
      <c r="BU135" t="str">
        <f>=IFERROR('IV. MA'!BO16,0)</f>
      </c>
      <c r="BV135" t="str">
        <f>=IFERROR('IV. MA'!BP16,0)</f>
      </c>
    </row>
    <row r="136">
      <c r="BR136" t="str">
        <f>=$BB$17</f>
      </c>
      <c r="BS136" t="str">
        <f>=$BD$17</f>
      </c>
      <c r="BT136" t="s">
        <v>212</v>
      </c>
      <c r="BU136" t="str">
        <f>=IFERROR('IV. MA'!BO17,0)</f>
      </c>
      <c r="BV136" t="str">
        <f>=IFERROR('IV. MA'!BP17,0)</f>
      </c>
    </row>
    <row r="137">
      <c r="BR137" t="str">
        <f>=$BB$18</f>
      </c>
      <c r="BS137" t="str">
        <f>=$BD$18</f>
      </c>
      <c r="BT137" t="s">
        <v>205</v>
      </c>
      <c r="BU137" t="str">
        <f>=IFERROR('IV. MA'!BS10,0)</f>
      </c>
      <c r="BV137" t="str">
        <f>=IFERROR('IV. MA'!BT10,0)</f>
      </c>
    </row>
    <row r="138">
      <c r="BR138" t="str">
        <f>=$BB$18</f>
      </c>
      <c r="BS138" t="str">
        <f>=$BD$18</f>
      </c>
      <c r="BT138" t="s">
        <v>206</v>
      </c>
      <c r="BU138" t="str">
        <f>=IFERROR('IV. MA'!BS11,0)</f>
      </c>
      <c r="BV138" t="str">
        <f>=IFERROR('IV. MA'!BT11,0)</f>
      </c>
    </row>
    <row r="139">
      <c r="BR139" t="str">
        <f>=$BB$18</f>
      </c>
      <c r="BS139" t="str">
        <f>=$BD$18</f>
      </c>
      <c r="BT139" t="s">
        <v>207</v>
      </c>
      <c r="BU139" t="str">
        <f>=IFERROR('IV. MA'!BS12,0)</f>
      </c>
      <c r="BV139" t="str">
        <f>=IFERROR('IV. MA'!BT12,0)</f>
      </c>
    </row>
    <row r="140">
      <c r="BR140" t="str">
        <f>=$BB$18</f>
      </c>
      <c r="BS140" t="str">
        <f>=$BD$18</f>
      </c>
      <c r="BT140" t="s">
        <v>208</v>
      </c>
      <c r="BU140" t="str">
        <f>=IFERROR('IV. MA'!BS13,0)</f>
      </c>
      <c r="BV140" t="str">
        <f>=IFERROR('IV. MA'!BT13,0)</f>
      </c>
    </row>
    <row r="141">
      <c r="BR141" t="str">
        <f>=$BB$18</f>
      </c>
      <c r="BS141" t="str">
        <f>=$BD$18</f>
      </c>
      <c r="BT141" t="s">
        <v>209</v>
      </c>
      <c r="BU141" t="str">
        <f>=IFERROR('IV. MA'!BS14,0)</f>
      </c>
      <c r="BV141" t="str">
        <f>=IFERROR('IV. MA'!BT14,0)</f>
      </c>
    </row>
    <row r="142">
      <c r="BR142" t="str">
        <f>=$BB$18</f>
      </c>
      <c r="BS142" t="str">
        <f>=$BD$18</f>
      </c>
      <c r="BT142" t="s">
        <v>210</v>
      </c>
      <c r="BU142" t="str">
        <f>=IFERROR('IV. MA'!BS15,0)</f>
      </c>
      <c r="BV142" t="str">
        <f>=IFERROR('IV. MA'!BT15,0)</f>
      </c>
    </row>
    <row r="143">
      <c r="BR143" t="str">
        <f>=$BB$18</f>
      </c>
      <c r="BS143" t="str">
        <f>=$BD$18</f>
      </c>
      <c r="BT143" t="s">
        <v>211</v>
      </c>
      <c r="BU143" t="str">
        <f>=IFERROR('IV. MA'!BS16,0)</f>
      </c>
      <c r="BV143" t="str">
        <f>=IFERROR('IV. MA'!BT16,0)</f>
      </c>
    </row>
    <row r="144">
      <c r="BR144" t="str">
        <f>=$BB$18</f>
      </c>
      <c r="BS144" t="str">
        <f>=$BD$18</f>
      </c>
      <c r="BT144" t="s">
        <v>212</v>
      </c>
      <c r="BU144" t="str">
        <f>=IFERROR('IV. MA'!BS17,0)</f>
      </c>
      <c r="BV144" t="str">
        <f>=IFERROR('IV. MA'!BT17,0)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