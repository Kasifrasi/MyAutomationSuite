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<sst xmlns="http://schemas.openxmlformats.org/spreadsheetml/2006/main" count="402" uniqueCount="402">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</sst>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tr">
        <f>=IFERROR(ROUND($C$11/$E$10,2),0)</f>
      </c>
      <c r="AA11" s="3" t="s">
        <v>12</v>
      </c>
    </row>
    <row r="12" ht="22" customHeight="true">
      <c r="B12" s="4" t="s">
        <v>172</v>
      </c>
      <c r="C12" s="10" t="s">
        <v>158</v>
      </c>
      <c r="D12" s="4" t="s">
        <v>169</v>
      </c>
      <c r="E12" s="11" t="s">
        <v>158</v>
      </c>
      <c r="AA12" s="3" t="s">
        <v>13</v>
      </c>
    </row>
    <row r="13" ht="22" customHeight="true">
      <c r="B13" s="4" t="s">
        <v>173</v>
      </c>
      <c r="C13" s="12" t="s">
        <v>158</v>
      </c>
      <c r="D13" s="4" t="s">
        <v>174</v>
      </c>
      <c r="E13" s="13" t="str">
        <f>=IFERROR(ROUND($C$13/$E$12,2),0)</f>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c r="C5" s="92"/>
      <c r="D5" s="93"/>
      <c r="E5" s="94"/>
      <c r="Z5" t="s">
        <v>251</v>
      </c>
    </row>
    <row r="6">
      <c r="B6" s="95"/>
      <c r="C6" s="82"/>
      <c r="D6" s="83"/>
      <c r="E6" s="96"/>
      <c r="Z6" t="s">
        <v>252</v>
      </c>
    </row>
    <row r="7">
      <c r="B7" s="95"/>
      <c r="C7" s="82"/>
      <c r="D7" s="83"/>
      <c r="E7" s="96"/>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c r="D5" s="108"/>
      <c r="F5" s="48"/>
      <c r="I5" s="138" t="s">
        <v>289</v>
      </c>
      <c r="J5" s="108"/>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c r="D6" s="108"/>
      <c r="F6" s="48"/>
      <c r="I6" s="138" t="s">
        <v>290</v>
      </c>
      <c r="J6" s="108"/>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c r="D19" s="117" t="str">
        <f>=IFERROR(ROUND(C19/FB_Kurs_1,2),0)</f>
      </c>
      <c r="E19" s="116" t="str">
        <f>=ROUND(C19,2)</f>
      </c>
      <c r="F19" s="144" t="str">
        <f>=ROUND(D19,2)</f>
      </c>
      <c r="I19" s="149" t="s">
        <v>206</v>
      </c>
      <c r="J19" s="24"/>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c r="D22" s="117" t="str">
        <f>=IFERROR(ROUND(C22/FB_Kurs_1,2),0)</f>
      </c>
      <c r="E22" s="116" t="str">
        <f>=ROUND(C22,2)</f>
      </c>
      <c r="F22" s="144" t="str">
        <f>=ROUND(D22,2)</f>
      </c>
      <c r="I22" s="149" t="s">
        <v>214</v>
      </c>
      <c r="J22" s="24"/>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c r="D23" s="117" t="str">
        <f>=IFERROR(ROUND(C23/FB_Kurs_1,2),0)</f>
      </c>
      <c r="E23" s="116" t="str">
        <f>=ROUND(C23,2)</f>
      </c>
      <c r="F23" s="144" t="str">
        <f>=ROUND(D23,2)</f>
      </c>
      <c r="I23" s="149" t="s">
        <v>216</v>
      </c>
      <c r="J23" s="24"/>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c r="D24" s="117" t="str">
        <f>=IFERROR(ROUND(C24/FB_Kurs_1,2),0)</f>
      </c>
      <c r="E24" s="116" t="str">
        <f>=ROUND(C24,2)</f>
      </c>
      <c r="F24" s="144" t="str">
        <f>=ROUND(D24,2)</f>
      </c>
      <c r="I24" s="149" t="s">
        <v>219</v>
      </c>
      <c r="J24" s="24"/>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c r="D25" s="117" t="str">
        <f>=IFERROR(ROUND(C25/FB_Kurs_1,2),0)</f>
      </c>
      <c r="E25" s="116" t="str">
        <f>=ROUND(C25,2)</f>
      </c>
      <c r="F25" s="144" t="str">
        <f>=ROUND(D25,2)</f>
      </c>
      <c r="I25" s="149" t="s">
        <v>222</v>
      </c>
      <c r="J25" s="24"/>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c r="D27" s="117" t="str">
        <f>=IFERROR(ROUND(C27/FB_Kurs_1,2),0)</f>
      </c>
      <c r="E27" s="116" t="str">
        <f>=ROUND(C27,2)</f>
      </c>
      <c r="F27" s="144" t="str">
        <f>=ROUND(D27,2)</f>
      </c>
      <c r="I27" s="149" t="s">
        <v>228</v>
      </c>
      <c r="J27" s="24"/>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c r="D34" s="130" t="str">
        <f>=IF(C34=0, 0, IF(ROUND(SUM(C35:C36), 2)=0, ROUND(D31 - 0, 2), ROUND(C34 / ROUND(SUM(C34:C36), 2) * D31, 2)))</f>
      </c>
      <c r="F34" s="48"/>
      <c r="I34" s="154" t="s">
        <v>311</v>
      </c>
      <c r="J34" s="129"/>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c r="E44" s="168"/>
      <c r="F44" s="169" t="str">
        <f>=ROUND(IFERROR(D44/E44,0),6)</f>
      </c>
      <c r="I44" s="165" t="s">
        <v>199</v>
      </c>
      <c r="J44" s="166" t="s">
        <v>158</v>
      </c>
      <c r="K44" s="167"/>
      <c r="L44" s="168"/>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c r="E52" s="175" t="str">
        <f>=IFERROR(ROUND(D52/$C$8,2),0)</f>
      </c>
      <c r="F52" s="169" t="str">
        <f>=ROUND(IFERROR(D52/E52,0),6)</f>
      </c>
      <c r="I52" s="165" t="s">
        <v>194</v>
      </c>
      <c r="J52" s="166" t="s">
        <v>158</v>
      </c>
      <c r="K52" s="167"/>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c r="E53" s="175" t="str">
        <f>=IFERROR(ROUND(D53/$C$8,2),0)</f>
      </c>
      <c r="F53" s="169" t="str">
        <f>=ROUND(IFERROR(D53/E53,0),6)</f>
      </c>
      <c r="I53" s="165" t="s">
        <v>300</v>
      </c>
      <c r="J53" s="166" t="s">
        <v>158</v>
      </c>
      <c r="K53" s="167"/>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c r="D5" s="108"/>
      <c r="F5" s="105" t="s">
        <v>289</v>
      </c>
      <c r="G5" s="108"/>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c r="D6" s="108"/>
      <c r="F6" s="105" t="s">
        <v>290</v>
      </c>
      <c r="G6" s="108"/>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c r="D8" s="179"/>
      <c r="F8" s="105" t="s">
        <v>326</v>
      </c>
      <c r="G8" s="179"/>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c r="D10" s="182" t="str">
        <f>=IFERROR(ROUND(C10/MA_Kurs_1,2),0)</f>
      </c>
      <c r="F10" s="181" t="s">
        <v>205</v>
      </c>
      <c r="G10" s="24"/>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c r="D12" s="182" t="str">
        <f>=IFERROR(ROUND(C12/MA_Kurs_1,2),0)</f>
      </c>
      <c r="F12" s="181" t="s">
        <v>213</v>
      </c>
      <c r="G12" s="24"/>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c r="D13" s="182" t="str">
        <f>=IFERROR(ROUND(C13/MA_Kurs_1,2),0)</f>
      </c>
      <c r="F13" s="181" t="s">
        <v>218</v>
      </c>
      <c r="G13" s="24"/>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c r="D14" s="182" t="str">
        <f>=IFERROR(ROUND(C14/MA_Kurs_1,2),0)</f>
      </c>
      <c r="F14" s="181" t="s">
        <v>221</v>
      </c>
      <c r="G14" s="24"/>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c r="D16" s="182" t="str">
        <f>=IFERROR(ROUND(C16/MA_Kurs_1,2),0)</f>
      </c>
      <c r="F16" s="181" t="s">
        <v>227</v>
      </c>
      <c r="G16" s="24"/>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c r="D21" s="182" t="str">
        <f>=IFERROR(ROUND($C$21/$C$8,2),0)</f>
      </c>
      <c r="F21" t="s">
        <v>331</v>
      </c>
      <c r="G21" s="24"/>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c r="D22" s="182" t="str">
        <f>=IFERROR(ROUND($C$22/$C$8,2),0)</f>
      </c>
      <c r="F22" t="s">
        <v>332</v>
      </c>
      <c r="G22" s="24"/>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