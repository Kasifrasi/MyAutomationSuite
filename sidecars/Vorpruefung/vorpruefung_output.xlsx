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s>
  <calcPr calcId="122211"/>
</workbook>
</file>

<file path=xl/sharedStrings.xml><?xml version="1.0" encoding="utf-8"?>
<sst xmlns="http://schemas.openxmlformats.org/spreadsheetml/2006/main" count="224" uniqueCount="224">
  <si>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</si>
  <si>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</si>
  <si>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</si>
  <si>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</si>
  <si>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</si>
  <si>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</si>
  <si>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</si>
  <si>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</si>
  <si>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</si>
  <si>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</si>
  <si>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</si>
  <si>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</si>
  <si>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</si>
  <si>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</si>
  <si>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</si>
  <si>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</si>
  <si>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</si>
  <si>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</si>
  <si>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</si>
  <si>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</si>
  <si>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</si>
  <si>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</si>
  <si>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</si>
  <si>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</si>
  <si>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</si>
  <si>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</si>
  <si>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</si>
  <si>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</si>
  <si>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</si>
  <si>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</si>
  <si>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</si>
  <si>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</si>
  <si>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</si>
  <si>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</si>
  <si>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</si>
  <si>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</si>
  <si>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</si>
  <si>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</si>
  <si>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</si>
  <si>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</si>
  <si>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</si>
  <si>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</si>
  <si>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</si>
  <si>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</si>
  <si>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</si>
  <si>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</si>
  <si>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</si>
  <si>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</si>
  <si>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</si>
  <si>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</si>
  <si>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</si>
  <si>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</si>
  <si>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</si>
  <si>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</si>
  <si>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</si>
  <si>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</si>
  <si>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</si>
  <si>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</si>
  <si>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</si>
  <si>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</si>
  <si>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</si>
  <si>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</si>
  <si>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</si>
  <si>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</si>
  <si>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</si>
  <si>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</si>
  <si>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</si>
  <si>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</si>
  <si>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</si>
  <si>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</si>
  <si>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</si>
  <si>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</si>
  <si>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</si>
  <si>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</si>
  <si>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</si>
  <si>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</si>
  <si>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</si>
  <si>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</si>
  <si>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</si>
  <si>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</si>
  <si>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</si>
  <si>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</si>
  <si>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</si>
  <si>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</si>
  <si>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</si>
  <si>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</si>
  <si>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</si>
  <si>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</si>
  <si>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</si>
  <si>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</si>
  <si>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</si>
  <si>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</si>
  <si>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</si>
  <si>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</si>
  <si>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</si>
  <si>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</si>
  <si>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</si>
  <si>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</si>
  <si>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</si>
  <si>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</si>
  <si>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</si>
  <si>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</si>
  <si>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</si>
  <si>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</si>
  <si>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</si>
  <si>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</si>
  <si>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</si>
  <si>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</si>
  <si>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</si>
  <si>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</si>
  <si>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</si>
  <si>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</si>
  <si>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</si>
  <si>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</si>
  <si>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</si>
  <si>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</si>
  <si>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</si>
  <si>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</si>
  <si>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</si>
  <si>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</si>
  <si>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</si>
  <si>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</si>
  <si>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</si>
  <si>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</si>
  <si>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</si>
  <si>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</si>
  <si>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</si>
  <si>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</si>
  <si>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</si>
  <si>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</si>
  <si>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</si>
  <si>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</si>
  <si>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</si>
  <si>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</si>
  <si>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</si>
  <si>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</si>
  <si>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</si>
  <si>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</si>
  <si>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</si>
  <si>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</si>
  <si>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</si>
  <si>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</si>
  <si>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</si>
  <si>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</si>
  <si>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</si>
  <si>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</si>
  <si>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</si>
  <si>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</si>
  <si>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</si>
  <si>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</si>
  <si>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</si>
  <si>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</si>
  <si>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</si>
  <si>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</si>
  <si>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</si>
  <si>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</si>
  <si>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</si>
  <si>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</si>
  <si>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</si>
  <si>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</si>
  <si>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</si>
  <si>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</si>
  <si>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</si>
  <si>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</si>
  <si>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</si>
  <si>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</si>
  <si>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</si>
  <si>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</si>
  <si>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</si>
  <si>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</si>
  <si>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</si>
  <si>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</si>
  <si>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</si>
  <si>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</si>
  <si>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</si>
  <si>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</si>
  <si>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</si>
  <si>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</si>
  <si>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</si>
  <si>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</si>
  <si>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</si>
  <si>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</si>
  <si>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</si>
  <si>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</si>
  <si>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</si>
  <si>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</si>
  <si>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</si>
  <si>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</si>
  <si>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</si>
  <si>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</si>
  <si>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</si>
  <si>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</si>
  <si>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</si>
  <si>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</si>
  <si>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</si>
  <si>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</si>
  <si>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</si>
  <si>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</si>
  <si>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</si>
  <si>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</si>
  <si>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</si>
  <si>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</si>
  <si>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</si>
  <si>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</si>
  <si>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</si>
  <si>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</si>
  <si>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</si>
  <si>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</si>
  <si>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</si>
  <si>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</si>
  <si>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</si>
  <si>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</si>
  <si>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</si>
  <si>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</si>
  <si>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</si>
  <si>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</si>
  <si>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Nein</t>
  </si>
  <si>
    <t>Begruendung</t>
  </si>
  <si>
    <t>Budgetpruefung</t>
  </si>
  <si>
    <t>Einnahmen = Ausgaben (LC)</t>
  </si>
  <si>
    <t>Einnahmen = Ausgaben (EUR)</t>
  </si>
  <si>
    <t>Gleicher Budget-Kurs</t>
  </si>
  <si>
    <t>Einnahmen: Jahre = Gesamt (LC)</t>
  </si>
  <si>
    <t>Ausgaben: Jahre = Gesamt (LC)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</si>
</sst>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4">
    <numFmt numFmtId="164" formatCode="dd.mm.yyyy"/>
    <numFmt numFmtId="165" formatCode="0.0000"/>
    <numFmt numFmtId="166" formatCode="#,##0.00"/>
    <numFmt numFmtId="167" formatCode="#,##0.00&quot; €&quot;"/>
  </numFmts>
  <fonts count="18">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s>
  <fills count="9">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s>
  <borders count="4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s>
  <cellStyleXfs count="1">
    <xf numFmtId="0" fontId="0" fillId="0" borderId="0"/>
  </cellStyleXfs>
  <cellXfs count="80">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25"/>
    <col customWidth="true" max="3" min="3" width="31"/>
    <col customWidth="true" max="4" min="4" width="22.5"/>
    <col customWidth="true" max="5" min="5" width="2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b">
        <v>1</v>
      </c>
      <c r="AA5" s="3" t="s">
        <v>6</v>
      </c>
    </row>
    <row r="6" ht="22" customHeight="true">
      <c r="B6" s="4" t="s">
        <v>160</v>
      </c>
      <c r="C6" s="5" t="s">
        <v>158</v>
      </c>
      <c r="D6" s="5"/>
      <c r="E6" s="5"/>
      <c r="AA6" s="3" t="s">
        <v>7</v>
      </c>
    </row>
    <row r="7" ht="22" customHeight="true">
      <c r="B7" s="4" t="s">
        <v>161</v>
      </c>
      <c r="C7" s="5" t="s">
        <v>158</v>
      </c>
      <c r="D7" s="4" t="s">
        <v>162</v>
      </c>
      <c r="E7" s="5" t="s">
        <v>158</v>
      </c>
      <c r="AA7" s="3" t="s">
        <v>8</v>
      </c>
    </row>
    <row r="8" ht="22" customHeight="true">
      <c r="B8" s="4" t="s">
        <v>163</v>
      </c>
      <c r="C8" s="5" t="s">
        <v>158</v>
      </c>
      <c r="D8" s="4" t="s">
        <v>164</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165</v>
      </c>
      <c r="C9" s="9" t="s">
        <v>158</v>
      </c>
      <c r="D9" s="8" t="s">
        <v>166</v>
      </c>
      <c r="E9" s="9" t="s">
        <v>158</v>
      </c>
      <c r="AA9" s="3" t="s">
        <v>10</v>
      </c>
    </row>
    <row r="10" ht="22" customHeight="true">
      <c r="B10" s="4" t="s">
        <v>167</v>
      </c>
      <c r="C10" s="10" t="s">
        <v>158</v>
      </c>
      <c r="D10" s="4" t="s">
        <v>168</v>
      </c>
      <c r="E10" s="11" t="s">
        <v>158</v>
      </c>
      <c r="AA10" s="3" t="s">
        <v>11</v>
      </c>
    </row>
    <row r="11" ht="22" customHeight="true">
      <c r="B11" s="4" t="s">
        <v>169</v>
      </c>
      <c r="C11" s="12" t="s">
        <v>158</v>
      </c>
      <c r="D11" s="4" t="s">
        <v>170</v>
      </c>
      <c r="E11" s="13" t="s">
        <v>158</v>
      </c>
      <c r="AA11" s="3" t="s">
        <v>12</v>
      </c>
    </row>
    <row r="12" ht="22" customHeight="true">
      <c r="B12" s="4" t="s">
        <v>171</v>
      </c>
      <c r="C12" s="10" t="s">
        <v>158</v>
      </c>
      <c r="D12" s="4" t="s">
        <v>168</v>
      </c>
      <c r="E12" s="11" t="s">
        <v>158</v>
      </c>
      <c r="AA12" s="3" t="s">
        <v>13</v>
      </c>
    </row>
    <row r="13" ht="22" customHeight="true">
      <c r="B13" s="4" t="s">
        <v>172</v>
      </c>
      <c r="C13" s="12" t="s">
        <v>158</v>
      </c>
      <c r="D13" s="4" t="s">
        <v>173</v>
      </c>
      <c r="E13" s="13" t="s">
        <v>158</v>
      </c>
      <c r="AA13" s="3" t="s">
        <v>14</v>
      </c>
    </row>
    <row r="14">
      <c r="AA14" s="3" t="s">
        <v>15</v>
      </c>
    </row>
    <row r="15" ht="22" customHeight="true">
      <c r="B15" s="14" t="s">
        <v>174</v>
      </c>
      <c r="C15" s="14"/>
      <c r="D15" s="15" t="b">
        <v>0</v>
      </c>
      <c r="E15" s="16" t="s">
        <v>175</v>
      </c>
      <c r="AA15" s="3" t="s">
        <v>16</v>
      </c>
    </row>
    <row r="16" ht="22" customHeight="true">
      <c r="B16" s="14"/>
      <c r="C16" s="14"/>
      <c r="D16" s="15" t="b">
        <v>0</v>
      </c>
      <c r="E16" s="16" t="s">
        <v>176</v>
      </c>
      <c r="AA16" s="3" t="s">
        <v>17</v>
      </c>
    </row>
    <row r="17" ht="22" customHeight="true">
      <c r="B17" s="14"/>
      <c r="C17" s="14"/>
      <c r="D17" s="15" t="b">
        <v>0</v>
      </c>
      <c r="E17" s="16" t="s">
        <v>177</v>
      </c>
      <c r="AA17" s="3" t="s">
        <v>18</v>
      </c>
    </row>
    <row r="18" ht="22" customHeight="true">
      <c r="B18" s="14"/>
      <c r="C18" s="14"/>
      <c r="D18" s="15" t="b">
        <v>0</v>
      </c>
      <c r="E18" s="16" t="s">
        <v>178</v>
      </c>
      <c r="AA18" s="3" t="s">
        <v>19</v>
      </c>
    </row>
    <row r="19" ht="22" customHeight="true">
      <c r="B19" s="14"/>
      <c r="C19" s="14"/>
      <c r="D19" s="15" t="b">
        <v>0</v>
      </c>
      <c r="E19" s="16" t="s">
        <v>179</v>
      </c>
      <c r="AA19" s="3" t="s">
        <v>20</v>
      </c>
    </row>
    <row r="20" ht="22" customHeight="true">
      <c r="B20" s="14"/>
      <c r="C20" s="14"/>
      <c r="D20" s="15" t="b">
        <v>0</v>
      </c>
      <c r="E20" s="16" t="s">
        <v>180</v>
      </c>
      <c r="AA20" s="3" t="s">
        <v>21</v>
      </c>
    </row>
    <row r="21" ht="22" customHeight="true">
      <c r="B21" s="14"/>
      <c r="C21" s="14"/>
      <c r="D21" s="15" t="b">
        <v>0</v>
      </c>
      <c r="E21" s="16" t="s">
        <v>181</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$E$5=FALSE</formula>
    </cfRule>
  </conditionalFormatting>
  <conditionalFormatting sqref="E15:E21">
    <cfRule type="expression" dxfId="1" priority="2">
      <formula>$D15=FALSE</formula>
    </cfRule>
  </conditionalFormatting>
  <conditionalFormatting sqref="D15:E15">
    <cfRule type="expression" dxfId="0" priority="3">
      <formula>$E$5=FALSE</formula>
    </cfRule>
  </conditionalFormatting>
  <dataValidations count="2">
    <dataValidation allowBlank="true" sqref="E7" type="list">
      <formula1>'Dashboard'!$AA$1:$AA$155</formula1>
    </dataValidation>
    <dataValidation allowBlank="true" sqref="E9" type="list">
      <formula1>'Dashboard'!$AA$1:$AA$155</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182</v>
      </c>
      <c r="C2" s="17"/>
      <c r="D2" s="17"/>
      <c r="E2" s="17"/>
      <c r="F2" s="17"/>
      <c r="G2" s="17"/>
      <c r="H2" s="17"/>
      <c r="I2" s="46"/>
      <c r="K2" s="64" t="s">
        <v>214</v>
      </c>
    </row>
    <row r="3">
      <c r="B3" s="47"/>
      <c r="I3" s="48"/>
      <c r="K3" s="65" t="str">
        <f>=$P$11</f>
      </c>
    </row>
    <row r="4" ht="24" customHeight="true">
      <c r="B4" s="49" t="s">
        <v>183</v>
      </c>
      <c r="C4" s="18"/>
      <c r="D4" s="18"/>
      <c r="E4" s="18"/>
      <c r="F4" s="18"/>
      <c r="G4" s="19" t="s">
        <v>184</v>
      </c>
      <c r="H4" s="20" t="str">
        <f>=IFERROR($E$15/$I$15,0)</f>
      </c>
      <c r="I4" s="50"/>
      <c r="K4" s="66" t="s">
        <v>215</v>
      </c>
      <c r="O4" s="3" t="str">
        <f>=SUMIFS(TblBudgetAusgaben[Betrag (LC)],TblBudgetAusgaben[Kostenkategorie],"Bauausgaben")</f>
      </c>
      <c r="P4" s="3" t="str">
        <f>=SUMIFS(TblBudgetAusgaben[Betrag (EUR)],TblBudgetAusgaben[Kostenkategorie],"Bauausgaben")</f>
      </c>
    </row>
    <row r="5">
      <c r="B5" s="38" t="s">
        <v>185</v>
      </c>
      <c r="C5" s="21"/>
      <c r="D5" s="21"/>
      <c r="E5" s="21" t="s">
        <v>186</v>
      </c>
      <c r="F5" s="21" t="s">
        <v>187</v>
      </c>
      <c r="G5" s="21" t="s">
        <v>188</v>
      </c>
      <c r="H5" s="21" t="s">
        <v>189</v>
      </c>
      <c r="I5" s="39" t="s">
        <v>190</v>
      </c>
      <c r="K5" s="67" t="s">
        <v>216</v>
      </c>
      <c r="O5" s="3" t="str">
        <f>=SUMIFS(TblBudgetAusgaben[Betrag (LC)],TblBudgetAusgaben[Kostenkategorie],"Investitionen")</f>
      </c>
      <c r="P5" s="3" t="str">
        <f>=SUMIFS(TblBudgetAusgaben[Betrag (EUR)],TblBudgetAusgaben[Kostenkategorie],"Investitionen")</f>
      </c>
    </row>
    <row r="6" ht="20" customHeight="true">
      <c r="B6" s="51" t="s">
        <v>191</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192</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217</v>
      </c>
      <c r="L8" s="69"/>
      <c r="M8" s="69"/>
      <c r="O8" s="3" t="str">
        <f>=SUMIFS(TblBudgetAusgaben[Betrag (LC)],TblBudgetAusgaben[Kostenkategorie],"Projektverwaltung")</f>
      </c>
      <c r="P8" s="3" t="str">
        <f>=SUMIFS(TblBudgetAusgaben[Betrag (EUR)],TblBudgetAusgaben[Kostenkategorie],"Projektverwaltung")</f>
      </c>
    </row>
    <row r="9" ht="20" customHeight="true">
      <c r="B9" s="51" t="s">
        <v>193</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194</v>
      </c>
      <c r="D10" s="26" t="s">
        <v>195</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196</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197</v>
      </c>
      <c r="E13" s="24"/>
      <c r="F13" s="24"/>
      <c r="G13" s="24"/>
      <c r="H13" s="24"/>
      <c r="I13" s="41"/>
    </row>
    <row r="14">
      <c r="B14" s="47"/>
      <c r="I14" s="48"/>
    </row>
    <row r="15" ht="20" customHeight="true">
      <c r="B15" s="55" t="s">
        <v>198</v>
      </c>
      <c r="C15" s="31"/>
      <c r="D15" s="31"/>
      <c r="E15" s="31" t="str">
        <f>=E7+E10+E13</f>
      </c>
      <c r="F15" s="31" t="str">
        <f>=F7+F10+F13</f>
      </c>
      <c r="G15" s="31" t="str">
        <f>=G7+G10+G13</f>
      </c>
      <c r="H15" s="31" t="str">
        <f>=H7+H10+H13</f>
      </c>
      <c r="I15" s="56" t="str">
        <f>=I7+I10+I13</f>
      </c>
    </row>
    <row r="16">
      <c r="B16" s="47"/>
      <c r="I16" s="48"/>
    </row>
    <row r="17" ht="24" customHeight="true">
      <c r="B17" s="49" t="s">
        <v>199</v>
      </c>
      <c r="C17" s="18"/>
      <c r="D17" s="18"/>
      <c r="E17" s="18"/>
      <c r="F17" s="18"/>
      <c r="G17" s="18"/>
      <c r="H17" s="18"/>
      <c r="I17" s="50"/>
      <c r="K17" s="35" t="s">
        <v>212</v>
      </c>
      <c r="L17" s="36"/>
      <c r="M17" s="37"/>
    </row>
    <row r="18">
      <c r="B18" s="38" t="s">
        <v>200</v>
      </c>
      <c r="C18" s="21" t="s">
        <v>201</v>
      </c>
      <c r="D18" s="21" t="s">
        <v>202</v>
      </c>
      <c r="E18" s="21" t="s">
        <v>186</v>
      </c>
      <c r="F18" s="21" t="s">
        <v>187</v>
      </c>
      <c r="G18" s="21" t="s">
        <v>188</v>
      </c>
      <c r="H18" s="21" t="s">
        <v>189</v>
      </c>
      <c r="I18" s="39" t="s">
        <v>190</v>
      </c>
      <c r="K18" s="38" t="s">
        <v>213</v>
      </c>
      <c r="L18" s="21" t="s">
        <v>186</v>
      </c>
      <c r="M18" s="39" t="s">
        <v>190</v>
      </c>
    </row>
    <row r="19">
      <c r="B19" s="40" t="s">
        <v>203</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204</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205</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206</v>
      </c>
      <c r="C22" s="33" t="str">
        <f>=IF(B22="","",MATCH(B22,{"Bauausgaben";"Investitionen";"Personalkosten";"Projektaktivitaeten";"Projektverwaltung";"Evaluierung";"Audit";"Reserve"},0)&amp;"."&amp;COUNTIF(B$19:B22,B22))</f>
      </c>
      <c r="D22" s="32" t="s">
        <v>158</v>
      </c>
      <c r="E22" s="24"/>
      <c r="F22" s="24"/>
      <c r="G22" s="24"/>
      <c r="H22" s="24"/>
      <c r="I22" s="41"/>
    </row>
    <row r="23">
      <c r="B23" s="40" t="s">
        <v>207</v>
      </c>
      <c r="C23" s="33" t="str">
        <f>=IF(B23="","",MATCH(B23,{"Bauausgaben";"Investitionen";"Personalkosten";"Projektaktivitaeten";"Projektverwaltung";"Evaluierung";"Audit";"Reserve"},0)&amp;"."&amp;COUNTIF(B$19:B23,B23))</f>
      </c>
      <c r="D23" s="32" t="s">
        <v>158</v>
      </c>
      <c r="E23" s="24"/>
      <c r="F23" s="24"/>
      <c r="G23" s="24"/>
      <c r="H23" s="24"/>
      <c r="I23" s="41"/>
    </row>
    <row r="24">
      <c r="B24" s="40" t="s">
        <v>208</v>
      </c>
      <c r="C24" s="33" t="str">
        <f>=IF(B24="","",MATCH(B24,{"Bauausgaben";"Investitionen";"Personalkosten";"Projektaktivitaeten";"Projektverwaltung";"Evaluierung";"Audit";"Reserve"},0)&amp;"."&amp;COUNTIF(B$19:B24,B24))</f>
      </c>
      <c r="D24" s="32" t="s">
        <v>158</v>
      </c>
      <c r="E24" s="24"/>
      <c r="F24" s="24"/>
      <c r="G24" s="24"/>
      <c r="H24" s="24"/>
      <c r="I24" s="41"/>
    </row>
    <row r="25">
      <c r="B25" s="40" t="s">
        <v>209</v>
      </c>
      <c r="C25" s="33" t="str">
        <f>=IF(B25="","",MATCH(B25,{"Bauausgaben";"Investitionen";"Personalkosten";"Projektaktivitaeten";"Projektverwaltung";"Evaluierung";"Audit";"Reserve"},0)&amp;"."&amp;COUNTIF(B$19:B25,B25))</f>
      </c>
      <c r="D25" s="32" t="s">
        <v>158</v>
      </c>
      <c r="E25" s="24"/>
      <c r="F25" s="24"/>
      <c r="G25" s="24"/>
      <c r="H25" s="24"/>
      <c r="I25" s="41"/>
    </row>
    <row r="26">
      <c r="B26" s="40" t="s">
        <v>210</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211</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218</v>
      </c>
      <c r="C29" s="73"/>
      <c r="D29" s="73"/>
      <c r="E29" s="74"/>
    </row>
    <row r="30">
      <c r="B30" s="75" t="s">
        <v>219</v>
      </c>
      <c r="C30" s="71"/>
      <c r="D30" s="71"/>
      <c r="E30" s="76" t="str">
        <f>=IF(ROUND($E$15-$O$12,2)=0,"OK","Abweichung")</f>
      </c>
    </row>
    <row r="31">
      <c r="B31" s="75" t="s">
        <v>220</v>
      </c>
      <c r="C31" s="71"/>
      <c r="D31" s="71"/>
      <c r="E31" s="76" t="str">
        <f>=IF(ROUND($I$15-$P$12,2)=0,"OK","Abweichung")</f>
      </c>
    </row>
    <row r="32">
      <c r="B32" s="75" t="s">
        <v>221</v>
      </c>
      <c r="C32" s="71"/>
      <c r="D32" s="71"/>
      <c r="E32" s="76" t="str">
        <f>=IF(ROUND($H$4,4)=ROUND(IFERROR($O$12/$P$12,0),4),"OK","Abweichung")</f>
      </c>
    </row>
    <row r="33">
      <c r="B33" s="75" t="s">
        <v>222</v>
      </c>
      <c r="C33" s="71"/>
      <c r="D33" s="71"/>
      <c r="E33" s="76" t="str">
        <f>=IF(ROUND(($F$15+$G$15+$H$15)-$E$15,2)=0,"OK","Abweichung")</f>
      </c>
    </row>
    <row r="34">
      <c r="B34" s="77" t="s">
        <v>223</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