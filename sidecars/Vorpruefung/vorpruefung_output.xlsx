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<sst xmlns="http://schemas.openxmlformats.org/spreadsheetml/2006/main" count="367" uniqueCount="367">
  <si>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</si>
  <si>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</si>
  <si>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</si>
  <si>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</si>
  <si>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</si>
  <si>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</si>
  <si>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</si>
  <si>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</si>
  <si>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</si>
  <si>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</si>
  <si>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</si>
  <si>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</si>
  <si>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</si>
  <si>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</si>
  <si>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</si>
  <si>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</si>
  <si>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</si>
  <si>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</si>
  <si>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</si>
  <si>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</si>
  <si>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</si>
  <si>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</si>
  <si>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</si>
  <si>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</si>
  <si>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</si>
  <si>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</si>
  <si>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</si>
  <si>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</si>
  <si>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</si>
  <si>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</si>
  <si>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</si>
  <si>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</si>
  <si>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</si>
  <si>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</si>
  <si>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</si>
  <si>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</si>
  <si>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</si>
  <si>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</si>
  <si>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</si>
  <si>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</si>
  <si>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</si>
  <si>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</si>
  <si>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</si>
  <si>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</si>
  <si>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</si>
  <si>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</si>
  <si>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</si>
  <si>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</si>
  <si>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</si>
  <si>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</si>
  <si>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</si>
  <si>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</si>
  <si>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</si>
  <si>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</si>
  <si>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</si>
  <si>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</si>
  <si>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</si>
  <si>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</si>
  <si>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</si>
  <si>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</si>
  <si>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</si>
  <si>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</si>
  <si>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</si>
  <si>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</si>
  <si>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</si>
  <si>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</si>
  <si>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</si>
  <si>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</si>
  <si>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</si>
  <si>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</si>
  <si>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</si>
  <si>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</si>
  <si>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</si>
  <si>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</si>
  <si>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</si>
  <si>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</si>
  <si>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</si>
  <si>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</si>
  <si>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</si>
  <si>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</si>
  <si>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</si>
  <si>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</si>
  <si>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</si>
  <si>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</si>
  <si>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</si>
  <si>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</si>
  <si>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</si>
  <si>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</si>
  <si>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</si>
  <si>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</si>
  <si>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</si>
  <si>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</si>
  <si>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</si>
  <si>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</si>
  <si>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</si>
  <si>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</si>
  <si>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</si>
  <si>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</si>
  <si>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</si>
  <si>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</si>
  <si>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</si>
  <si>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</si>
  <si>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</si>
  <si>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</si>
  <si>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</si>
  <si>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</si>
  <si>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</si>
  <si>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</si>
  <si>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</si>
  <si>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</si>
  <si>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</si>
  <si>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</si>
  <si>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</si>
  <si>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</si>
  <si>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</si>
  <si>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</si>
  <si>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</si>
  <si>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</si>
  <si>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</si>
  <si>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</si>
  <si>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</si>
  <si>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</si>
  <si>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</si>
  <si>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</si>
  <si>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</si>
  <si>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</si>
  <si>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</si>
  <si>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</si>
  <si>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</si>
  <si>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</si>
  <si>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</si>
  <si>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</si>
  <si>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</si>
  <si>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</si>
  <si>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</si>
  <si>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</si>
  <si>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</si>
  <si>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</si>
  <si>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</si>
  <si>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</si>
  <si>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</si>
  <si>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</si>
  <si>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</si>
  <si>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</si>
  <si>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</si>
  <si>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</si>
  <si>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</si>
  <si>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</si>
  <si>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</si>
  <si>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</si>
  <si>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</si>
  <si>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</si>
  <si>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</si>
  <si>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</si>
  <si>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</si>
  <si>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</si>
  <si>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</si>
  <si>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</si>
  <si>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</si>
  <si>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</si>
  <si>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</si>
  <si>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</si>
  <si>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</si>
  <si>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</si>
  <si>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</si>
  <si>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</si>
  <si>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</si>
  <si>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</si>
  <si>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</si>
  <si>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</si>
  <si>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</si>
  <si>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</si>
  <si>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</si>
  <si>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</si>
  <si>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</si>
  <si>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</si>
  <si>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</si>
  <si>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</si>
  <si>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</si>
  <si>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</si>
  <si>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</si>
  <si>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</si>
  <si>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</si>
  <si>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</si>
  <si>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</si>
  <si>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</si>
  <si>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</si>
  <si>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</si>
  <si>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</si>
  <si>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</si>
  <si>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</si>
  <si>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</si>
  <si>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</si>
  <si>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</si>
  <si>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</si>
  <si>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</si>
  <si>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</si>
  <si>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</si>
  <si>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</si>
  <si>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</si>
  <si>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</si>
  <si>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</si>
  <si>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</si>
  <si>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</si>
  <si>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</si>
  <si>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</si>
  <si>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</si>
  <si>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</si>
  <si>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</si>
  <si>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</si>
  <si>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</si>
  <si>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</si>
  <si>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</si>
  <si>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</si>
  <si>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</si>
  <si>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</si>
  <si>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</si>
  <si>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</si>
  <si>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</si>
  <si>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</si>
  <si>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</si>
  <si>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</si>
  <si>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</si>
  <si>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</si>
  <si>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</si>
  <si>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</si>
  <si>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</si>
  <si>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</si>
  <si>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</si>
  <si>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</si>
  <si>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</si>
  <si>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</si>
  <si>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</si>
  <si>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</si>
  <si>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</si>
  <si>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</si>
  <si>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</si>
  <si>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</si>
  <si>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</si>
  <si>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</si>
  <si>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</si>
  <si>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</si>
  <si>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</si>
  <si>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</si>
  <si>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</si>
  <si>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</si>
  <si>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</si>
  <si>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</si>
  <si>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</si>
  <si>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</si>
  <si>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</si>
  <si>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</si>
  <si>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</si>
  <si>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</si>
  <si>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</si>
  <si>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</si>
  <si>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</si>
  <si>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</si>
  <si>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</si>
  <si>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</si>
  <si>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</si>
  <si>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</si>
  <si>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</si>
  <si>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</si>
  <si>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</si>
  <si>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</si>
  <si>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</si>
  <si>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</si>
  <si>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</si>
  <si>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</si>
  <si>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</si>
  <si>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</si>
  <si>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</si>
  <si>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</si>
  <si>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</si>
  <si>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</si>
  <si>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</si>
  <si>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</si>
  <si>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</si>
  <si>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</si>
  <si>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</si>
  <si>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</si>
  <si>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</si>
  <si>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</si>
  <si>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</si>
  <si>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</si>
  <si>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</si>
  <si>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</si>
  <si>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</si>
  <si>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</si>
  <si>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</si>
  <si>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</si>
  <si>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</si>
  <si>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</si>
  <si>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</si>
  <si>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</si>
  <si>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</si>
  <si>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</si>
  <si>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</si>
  <si>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</si>
  <si>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</si>
  <si>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</si>
  <si>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</si>
  <si>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</si>
  <si>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</si>
  <si>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</si>
  <si>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</si>
  <si>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</si>
  <si>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</si>
  <si>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</si>
  <si>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</si>
  <si>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</si>
  <si>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</si>
  <si>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</si>
  <si>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</si>
  <si>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</si>
  <si>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</si>
  <si>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</si>
  <si>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aktuelle Mittelanforderung</t>
  </si>
  <si>
    <t>KMW-Mittelprüfung (Mittelanforderung)</t>
  </si>
  <si>
    <t>Bewilligte KMW-Mittel</t>
  </si>
  <si>
    <t>Davon Reserve</t>
  </si>
  <si>
    <t>Operatives Budget (abzgl. Reserve)</t>
  </si>
  <si>
    <t>Bereitgestellte KMW-Mittel</t>
  </si>
  <si>
    <t>Verfügbare KMW-Mittel</t>
  </si>
  <si>
    <t>Abzugsoptionen KMW-Mittel</t>
  </si>
  <si>
    <t>− Saldovortrag</t>
  </si>
  <si>
    <t>− Mehreinnahmen</t>
  </si>
  <si>
    <t>Verfügbare KMW-Mittel (bereinigt)</t>
  </si>
  <si>
    <t>Abzüglich aktuelle Anforderung</t>
  </si>
  <si>
    <t>Verbleibende KMW-Mittel</t>
  </si>
  <si>
    <t>Verbleibende KMW-Mittel (bereinigt)</t>
  </si>
  <si>
    <t>Abzüglich manueller Betrag</t>
  </si>
  <si>
    <t>Monatslimit-Prüfung (Lokalwährung)</t>
  </si>
  <si>
    <t>Aktuelle Periode</t>
  </si>
  <si>
    <t>Anforderungshöhe (LC)</t>
  </si>
  <si>
    <t>Jahr</t>
  </si>
  <si>
    <t>Jahresbudget (LC)</t>
  </si>
  <si>
    <t>Limit-Monate</t>
  </si>
  <si>
    <t>Bezugszeitraum (Monate)</t>
  </si>
  <si>
    <t>Anforderung deckt (Monate)</t>
  </si>
  <si>
    <t>8-Monats-Limit (LC)</t>
  </si>
  <si>
    <t>Status</t>
  </si>
  <si>
    <t>Überschreitung (LC)</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</si>
  <si>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</si>
  <si>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</si>
  <si>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</si>
  <si>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</si>
  <si>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</si>
  <si>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</si>
  <si>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</si>
  <si>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</si>
  <si>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</si>
  <si>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</si>
  <si>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</si>
  <si>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</si>
  <si>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</si>
  <si>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aktuelle Finanzberichte</t>
  </si>
  <si>
    <t>KMW-Mittelprüfung</t>
  </si>
  <si>
    <t>Finanzierungsanteile</t>
  </si>
  <si>
    <t>Kumulativ (LC)</t>
  </si>
  <si>
    <t>Kumulativ (EUR)</t>
  </si>
  <si>
    <t>Soll-Ist Abweichungsprüfung</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</si>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</sst>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dd.mm.yyyy"/>
    <numFmt numFmtId="165" formatCode="0.0000"/>
    <numFmt numFmtId="166" formatCode="#,##0.00"/>
    <numFmt numFmtId="167" formatCode="#,##0.00&quot; €&quot;"/>
    <numFmt numFmtId="168" formatCode="0.000000"/>
    <numFmt numFmtId="169" formatCode="@"/>
    <numFmt numFmtId="170" formatCode="DD.MM.YYYY"/>
    <numFmt numFmtId="171" formatCode="0"/>
    <numFmt numFmtId="172"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color rgb="FF9C0006"/>
    </font>
    <font>
      <name val="Segoe UI"/>
      <family val="2"/>
      <b val="1"/>
      <color rgb="FFFFFFFF"/>
      <sz val="9"/>
    </font>
    <font>
      <name val="Segoe UI"/>
      <family val="2"/>
      <b val="1"/>
      <color rgb="FFFFFFFF"/>
    </font>
  </fonts>
  <fills count="12">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s>
  <borders count="53">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s>
  <cellStyleXfs count="1">
    <xf numFmtId="0" fontId="0" fillId="0" borderId="0"/>
  </cellStyleXfs>
  <cellXfs count="276">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10" fillId="0" borderId="10" xfId="0" applyFont="true" applyBorder="true" applyAlignment="true">
      <alignment horizontal="lef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0" fontId="10" fillId="0" borderId="17" xfId="0" applyFont="true" applyBorder="true" applyAlignment="true">
      <alignment horizontal="lef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4" fillId="0" borderId="38" xfId="0" applyFont="true" applyBorder="true" applyAlignment="true">
      <alignment horizontal="left" vertical="center"/>
    </xf>
    <xf numFmtId="0" fontId="4" fillId="0" borderId="39" xfId="0" applyFont="true" applyBorder="true" applyAlignment="true">
      <alignment horizontal="left" vertical="center"/>
    </xf>
    <xf numFmtId="0" fontId="4" fillId="0" borderId="40" xfId="0" applyFont="true" applyBorder="true" applyAlignment="true">
      <alignment horizontal="left" vertical="center"/>
    </xf>
    <xf numFmtId="167" fontId="23" fillId="5" borderId="10" xfId="0" applyNumberFormat="true" applyFont="true" applyFill="true" applyBorder="true" applyAlignment="true">
      <alignment horizontal="right" vertical="center"/>
    </xf>
    <xf numFmtId="167" fontId="23" fillId="5" borderId="40" xfId="0" applyNumberFormat="true" applyFont="true" applyFill="true" applyBorder="true" applyAlignment="true">
      <alignment horizontal="right" vertical="center"/>
    </xf>
    <xf numFmtId="166" fontId="3" fillId="8" borderId="10" xfId="0" applyNumberFormat="true" applyFont="true" applyFill="true" applyBorder="true" applyAlignment="true">
      <alignment horizontal="right" vertical="center"/>
    </xf>
    <xf numFmtId="171" fontId="3" fillId="5" borderId="10" xfId="0" applyNumberFormat="true" applyFont="true" applyFill="true" applyBorder="true" applyAlignment="true">
      <alignment horizontal="right"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0" fontId="3" fillId="5" borderId="40" xfId="0"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0" fontId="3" fillId="5" borderId="18" xfId="0" applyFont="true" applyFill="true" applyBorder="true" applyAlignment="true">
      <alignment horizontal="center"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0" fontId="4" fillId="0" borderId="17" xfId="0" applyFont="true" applyBorder="true" applyAlignment="true">
      <alignment horizontal="left" vertical="center"/>
    </xf>
    <xf numFmtId="166" fontId="12" fillId="8" borderId="18" xfId="0" applyNumberFormat="true" applyFont="true" applyFill="true" applyBorder="true" applyAlignment="true">
      <alignment horizontal="righ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2"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66" fontId="3" fillId="0" borderId="10" xfId="0" applyNumberFormat="true" applyFont="true" applyBorder="true" applyAlignment="true">
      <alignment horizontal="right" vertical="center"/>
    </xf>
    <xf numFmtId="172" fontId="3" fillId="0" borderId="10" xfId="0" applyNumberFormat="true" applyFont="true" applyBorder="true" applyAlignment="true">
      <alignment horizontal="right" vertical="center"/>
    </xf>
    <xf numFmtId="0" fontId="3" fillId="0" borderId="10" xfId="0" applyFont="true" applyBorder="true" applyAlignment="true">
      <alignment/>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2"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3" fillId="0" borderId="18" xfId="0" applyFont="true" applyBorder="true" applyAlignment="true">
      <alignment/>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2"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14">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b val="1"/>
        <color rgb="FF006100"/>
      </font>
      <fill>
        <patternFill patternType="solid">
          <bgColor rgb="FFC6EF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fill>
        <patternFill patternType="solid">
          <bgColor rgb="FFFFC7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numFmt numFmtId="165" formatCode="#,##0.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0006"/>
      </font>
      <numFmt numFmtId="166"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7"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s>
  <sheetData>
    <row r="2" ht="30" customHeight="true">
      <c r="B2" s="191" t="s">
        <v>315</v>
      </c>
      <c r="C2" s="191"/>
      <c r="D2" s="191"/>
      <c r="E2" s="191"/>
      <c r="F2" s="191"/>
      <c r="G2" s="191"/>
      <c r="H2" s="191"/>
      <c r="I2" s="191"/>
      <c r="J2" s="191"/>
    </row>
    <row r="3" ht="18" customHeight="true">
      <c r="B3" s="192" t="s">
        <v>316</v>
      </c>
      <c r="C3" s="192"/>
      <c r="D3" s="192"/>
      <c r="E3" s="192"/>
      <c r="F3" s="192"/>
      <c r="G3" s="192"/>
      <c r="H3" s="192"/>
      <c r="I3" s="192"/>
      <c r="J3" s="192"/>
    </row>
    <row r="5" ht="26" customHeight="true">
      <c r="B5" s="193" t="s">
        <v>317</v>
      </c>
      <c r="C5" s="193"/>
      <c r="D5" s="193"/>
      <c r="E5" s="193"/>
      <c r="F5" s="193"/>
      <c r="G5" s="193"/>
      <c r="H5" s="193"/>
      <c r="I5" s="193"/>
      <c r="J5" s="193"/>
    </row>
    <row r="6">
      <c r="B6" s="194" t="s">
        <v>318</v>
      </c>
      <c r="C6" s="194"/>
      <c r="D6" s="194"/>
      <c r="E6" s="194"/>
      <c r="F6" s="194"/>
      <c r="G6" s="194"/>
      <c r="H6" s="194"/>
      <c r="I6" s="194"/>
      <c r="J6" s="194"/>
    </row>
    <row r="8" ht="22" customHeight="true">
      <c r="B8" s="18" t="s">
        <v>319</v>
      </c>
      <c r="C8" s="18"/>
      <c r="D8" s="18"/>
      <c r="E8" s="18"/>
      <c r="F8" s="18"/>
      <c r="G8" s="18"/>
      <c r="H8" s="18"/>
      <c r="I8" s="18"/>
      <c r="J8" s="18"/>
    </row>
    <row r="10">
      <c r="B10" s="199" t="s">
        <v>320</v>
      </c>
      <c r="C10" s="200"/>
      <c r="D10" s="201" t="str">
        <f>=IFERROR(ROUND(KMW_Mittel_EUR,2),0)</f>
      </c>
      <c r="F10" s="207" t="s">
        <v>325</v>
      </c>
      <c r="G10" s="208"/>
      <c r="H10" s="209"/>
    </row>
    <row r="11">
      <c r="B11" s="202" t="s">
        <v>321</v>
      </c>
      <c r="C11" s="195"/>
      <c r="D11" s="203" t="str">
        <f>=IFERROR(ROUND(Kosten_Reserve_EUR,2),0)</f>
      </c>
      <c r="F11" s="202" t="s">
        <v>326</v>
      </c>
      <c r="G11" s="195"/>
      <c r="H11" s="41" t="str">
        <f>=IFERROR(ROUND(Saldovortrag_EUR,2),0)</f>
      </c>
    </row>
    <row r="12">
      <c r="B12" s="202" t="s">
        <v>322</v>
      </c>
      <c r="C12" s="195"/>
      <c r="D12" s="203" t="str">
        <f>=ROUND($D$10-$D$11,2)</f>
      </c>
      <c r="F12" s="202" t="s">
        <v>327</v>
      </c>
      <c r="G12" s="195"/>
      <c r="H12" s="41">
        <v>0</v>
      </c>
    </row>
    <row r="13">
      <c r="B13" s="202" t="s">
        <v>323</v>
      </c>
      <c r="C13" s="195"/>
      <c r="D13" s="203" t="str">
        <f>=IFERROR(ROUND(SUBTOTAL(109,TblKMWMittel[Betrag]),2),0)</f>
      </c>
      <c r="F13" s="47"/>
      <c r="H13" s="48"/>
    </row>
    <row r="14">
      <c r="B14" s="204" t="s">
        <v>324</v>
      </c>
      <c r="C14" s="205"/>
      <c r="D14" s="206" t="str">
        <f>=ROUND($D$12-$D$13,2)</f>
      </c>
      <c r="F14" s="204" t="s">
        <v>328</v>
      </c>
      <c r="G14" s="205"/>
      <c r="H14" s="206" t="str">
        <f>=ROUND($D$14-MAX(0,$H$11)-MAX(0,$H$12),2)</f>
      </c>
    </row>
    <row r="16">
      <c r="B16" s="199" t="s">
        <v>329</v>
      </c>
      <c r="C16" s="200"/>
      <c r="D16" s="211">
        <v>0</v>
      </c>
      <c r="F16" s="199" t="s">
        <v>329</v>
      </c>
      <c r="G16" s="200"/>
      <c r="H16" s="211">
        <v>0</v>
      </c>
    </row>
    <row r="17">
      <c r="B17" s="204" t="s">
        <v>330</v>
      </c>
      <c r="C17" s="205"/>
      <c r="D17" s="206" t="str">
        <f>=ROUND($D$14-MAX(0,$D$16),2)</f>
      </c>
      <c r="F17" s="204" t="s">
        <v>331</v>
      </c>
      <c r="G17" s="205"/>
      <c r="H17" s="206" t="str">
        <f>=ROUND($H$14-MAX(0,$H$16),2)</f>
      </c>
    </row>
    <row r="19">
      <c r="B19" s="199" t="s">
        <v>332</v>
      </c>
      <c r="C19" s="200"/>
      <c r="D19" s="211">
        <v>0</v>
      </c>
      <c r="F19" s="199" t="s">
        <v>332</v>
      </c>
      <c r="G19" s="200"/>
      <c r="H19" s="211">
        <v>0</v>
      </c>
    </row>
    <row r="20">
      <c r="B20" s="204" t="s">
        <v>330</v>
      </c>
      <c r="C20" s="205"/>
      <c r="D20" s="206" t="str">
        <f>=ROUND($D$14-MAX(0,$D$16)-MAX(0,$D$19),2)</f>
      </c>
      <c r="F20" s="204" t="s">
        <v>331</v>
      </c>
      <c r="G20" s="205"/>
      <c r="H20" s="206" t="str">
        <f>=ROUND($H$14-MAX(0,$H$16)-MAX(0,$H$19),2)</f>
      </c>
    </row>
    <row r="23" ht="22" customHeight="true">
      <c r="B23" s="18" t="s">
        <v>333</v>
      </c>
      <c r="C23" s="18"/>
      <c r="D23" s="18"/>
      <c r="E23" s="18"/>
      <c r="F23" s="18"/>
      <c r="G23" s="18"/>
      <c r="H23" s="18"/>
      <c r="I23" s="18"/>
      <c r="J23" s="18"/>
    </row>
    <row r="25">
      <c r="B25" s="199" t="s">
        <v>334</v>
      </c>
      <c r="C25" s="200"/>
      <c r="D25" s="217" t="s">
        <v>226</v>
      </c>
    </row>
    <row r="26">
      <c r="B26" s="202" t="s">
        <v>335</v>
      </c>
      <c r="C26" s="195"/>
      <c r="D26" s="218" t="str">
        <f>=IFERROR(ROUND(SUBTOTAL(109,INDIRECT("MA_"&amp;VALUE(TRIM(MID($D$25,9,5)))&amp;"[Angefordert (LC)]")),2),0)</f>
      </c>
    </row>
    <row r="27">
      <c r="B27" s="202" t="s">
        <v>336</v>
      </c>
      <c r="C27" s="195"/>
      <c r="D27" s="219" t="s">
        <v>189</v>
      </c>
    </row>
    <row r="28">
      <c r="B28" s="202" t="s">
        <v>337</v>
      </c>
      <c r="C28" s="195"/>
      <c r="D28" s="218" t="str">
        <f>=IFERROR(ROUND(CHOOSE(MATCH($D$27,{"Jahr 1";"Jahr 2";"Jahr 3"},0),SUBTOTAL(109,TblBudgetAusgaben[Jahr 1]),SUBTOTAL(109,TblBudgetAusgaben[Jahr 2]),SUBTOTAL(109,TblBudgetAusgaben[Jahr 3])),2),0)</f>
      </c>
    </row>
    <row r="29">
      <c r="B29" s="202" t="s">
        <v>338</v>
      </c>
      <c r="C29" s="195"/>
      <c r="D29" s="220">
        <v>8</v>
      </c>
    </row>
    <row r="30">
      <c r="B30" s="202" t="s">
        <v>339</v>
      </c>
      <c r="C30" s="195"/>
      <c r="D30" s="221">
        <v>12</v>
      </c>
    </row>
    <row r="31">
      <c r="B31" s="202" t="s">
        <v>340</v>
      </c>
      <c r="C31" s="195"/>
      <c r="D31" s="222">
        <v>6</v>
      </c>
    </row>
    <row r="32">
      <c r="B32" s="223" t="s">
        <v>341</v>
      </c>
      <c r="C32" s="197"/>
      <c r="D32" s="224" t="str">
        <f>=IFERROR(ROUND($D$28*$D$29/$D$30,2),0)</f>
      </c>
    </row>
    <row r="33">
      <c r="B33" s="223" t="s">
        <v>342</v>
      </c>
      <c r="C33" s="197"/>
      <c r="D33" s="225" t="str">
        <f>=IF($D$26&lt;=$D$32,"OK","ÜBERSCHRITTEN")</f>
      </c>
    </row>
    <row r="34">
      <c r="B34" s="202" t="s">
        <v>343</v>
      </c>
      <c r="C34" s="195"/>
      <c r="D34" s="218" t="str">
        <f>=ROUND(MAX(0,$D$26-$D$32),2)</f>
      </c>
    </row>
    <row r="35">
      <c r="B35" s="226" t="s">
        <v>344</v>
      </c>
      <c r="C35" s="227"/>
      <c r="D35" s="228" t="str">
        <f>=IFERROR($D$26/$D$32,0)</f>
      </c>
    </row>
    <row r="37" ht="22" customHeight="true">
      <c r="B37" s="18" t="s">
        <v>345</v>
      </c>
      <c r="C37" s="18"/>
      <c r="D37" s="18"/>
      <c r="E37" s="18"/>
      <c r="F37" s="18"/>
      <c r="G37" s="18"/>
      <c r="H37" s="18"/>
      <c r="I37" s="18"/>
      <c r="J37" s="18"/>
    </row>
    <row r="39" ht="28" customHeight="true">
      <c r="B39" s="237" t="s">
        <v>346</v>
      </c>
      <c r="C39" s="238" t="s">
        <v>347</v>
      </c>
      <c r="D39" s="238" t="s">
        <v>348</v>
      </c>
      <c r="E39" s="238" t="s">
        <v>349</v>
      </c>
      <c r="F39" s="238" t="s">
        <v>350</v>
      </c>
      <c r="G39" s="238" t="s">
        <v>351</v>
      </c>
      <c r="H39" s="238" t="s">
        <v>352</v>
      </c>
      <c r="I39" s="238" t="s">
        <v>353</v>
      </c>
      <c r="J39" s="239" t="s">
        <v>354</v>
      </c>
    </row>
    <row r="40">
      <c r="B40" s="240" t="s">
        <v>194</v>
      </c>
      <c r="C40" s="24">
        <v>0</v>
      </c>
      <c r="D40" s="212" t="str">
        <f>=IFERROR(ROUND(Eigenmittel_LW,2),0)</f>
      </c>
      <c r="E40" s="230" t="str">
        <f>=ROUND(IFERROR($C$40-$D$40,0),2)</f>
      </c>
      <c r="F40" s="231" t="str">
        <f>=ROUND(IFERROR(($C$40/$D$40)-1,0),4)</f>
      </c>
      <c r="G40" s="25">
        <v>0</v>
      </c>
      <c r="H40" s="196" t="str">
        <f>=IFERROR(ROUND(Eigenmittel_EUR,2),0)</f>
      </c>
      <c r="I40" s="181" t="str">
        <f>=ROUND(IFERROR($G$40-$H$40,0),2)</f>
      </c>
      <c r="J40" s="241" t="str">
        <f>=ROUND(IFERROR(($G$40/$H$40)-1,0),4)</f>
      </c>
    </row>
    <row r="41">
      <c r="B41" s="240" t="s">
        <v>277</v>
      </c>
      <c r="C41" s="24">
        <v>0</v>
      </c>
      <c r="D41" s="212" t="str">
        <f>=IFERROR(ROUND(Drittmittel_LW,2),0)</f>
      </c>
      <c r="E41" s="230" t="str">
        <f>=ROUND(IFERROR($C$41-$D$41,0),2)</f>
      </c>
      <c r="F41" s="231" t="str">
        <f>=ROUND(IFERROR(($C$41/$D$41)-1,0),4)</f>
      </c>
      <c r="G41" s="25">
        <v>0</v>
      </c>
      <c r="H41" s="196" t="str">
        <f>=IFERROR(ROUND(Drittmittel_EUR,2),0)</f>
      </c>
      <c r="I41" s="181" t="str">
        <f>=ROUND(IFERROR($G$41-$H$41,0),2)</f>
      </c>
      <c r="J41" s="242" t="str">
        <f>=ROUND(IFERROR(($G$41/$H$41)-1,0),4)</f>
      </c>
    </row>
    <row r="42">
      <c r="B42" s="240" t="s">
        <v>199</v>
      </c>
      <c r="C42" s="24">
        <v>0</v>
      </c>
      <c r="D42" s="212" t="str">
        <f>=IFERROR(ROUND(KMW_Mittel_LW,2),0)</f>
      </c>
      <c r="E42" s="230" t="str">
        <f>=ROUND(IFERROR($C$42-$D$42,0),2)</f>
      </c>
      <c r="F42" s="231" t="str">
        <f>=ROUND(IFERROR(($C$42/$D$42)-1,0),4)</f>
      </c>
      <c r="G42" s="25">
        <v>0</v>
      </c>
      <c r="H42" s="196" t="str">
        <f>=IFERROR(ROUND(KMW_Mittel_EUR,2),0)</f>
      </c>
      <c r="I42" s="181" t="str">
        <f>=ROUND(IFERROR($G$42-$H$42,0),2)</f>
      </c>
      <c r="J42" s="243" t="str">
        <f>=ROUND(IFERROR(($G$42/$H$42)-1,0),4)</f>
      </c>
    </row>
    <row r="43">
      <c r="B43" s="240" t="s">
        <v>278</v>
      </c>
      <c r="C43" s="232"/>
      <c r="D43" s="232"/>
      <c r="E43" s="232"/>
      <c r="F43" s="232"/>
      <c r="G43" s="232"/>
      <c r="H43" s="232"/>
      <c r="I43" s="232"/>
      <c r="J43" s="244"/>
    </row>
    <row r="44" ht="20" customHeight="true">
      <c r="B44" s="245" t="s">
        <v>266</v>
      </c>
      <c r="C44" s="246" t="str">
        <f>=ROUND(SUM($C$40:$C$43),2)</f>
      </c>
      <c r="D44" s="246" t="str">
        <f>=ROUND(SUM($D$40:$D$43),2)</f>
      </c>
      <c r="E44" s="246" t="str">
        <f>=ROUND(SUM($E$40:$E$43),2)</f>
      </c>
      <c r="F44" s="247" t="str">
        <f>=ROUND(IFERROR(($C$44/$D$44)-1,0),4)</f>
      </c>
      <c r="G44" s="248" t="str">
        <f>=ROUND(SUM($G$40:$G$43),2)</f>
      </c>
      <c r="H44" s="248" t="str">
        <f>=ROUND(SUM($H$40:$H$43),2)</f>
      </c>
      <c r="I44" s="248" t="str">
        <f>=ROUND(SUM($I$40:$I$43),2)</f>
      </c>
      <c r="J44" s="249" t="str">
        <f>=ROUND(IFERROR(($G$44/$H$44)-1,0),4)</f>
      </c>
    </row>
    <row r="46" ht="22" customHeight="true">
      <c r="B46" s="18" t="s">
        <v>355</v>
      </c>
      <c r="C46" s="18"/>
      <c r="D46" s="18"/>
      <c r="E46" s="18"/>
      <c r="F46" s="18"/>
      <c r="G46" s="18"/>
      <c r="H46" s="18"/>
      <c r="I46" s="18"/>
      <c r="J46" s="18"/>
    </row>
    <row r="48" ht="28" customHeight="true">
      <c r="B48" s="237" t="s">
        <v>346</v>
      </c>
      <c r="C48" s="238" t="s">
        <v>347</v>
      </c>
      <c r="D48" s="238" t="s">
        <v>348</v>
      </c>
      <c r="E48" s="238" t="s">
        <v>349</v>
      </c>
      <c r="F48" s="238" t="s">
        <v>350</v>
      </c>
      <c r="G48" s="238" t="s">
        <v>351</v>
      </c>
      <c r="H48" s="238" t="s">
        <v>352</v>
      </c>
      <c r="I48" s="238" t="s">
        <v>353</v>
      </c>
      <c r="J48" s="239" t="s">
        <v>354</v>
      </c>
    </row>
    <row r="49">
      <c r="B49" s="240" t="s">
        <v>205</v>
      </c>
      <c r="C49" s="212" t="str">
        <f>=ROUND(SUMIF('Daten'!$U$2:$U$500,"Bauausgaben",'Daten'!$V$2:$V$500),2)</f>
      </c>
      <c r="D49" s="212" t="str">
        <f>=IFERROR(ROUND(Kosten_Bauausgaben_LW,2),0)</f>
      </c>
      <c r="E49" s="230" t="str">
        <f>=ROUND(IFERROR($C$49-$D$49,0),2)</f>
      </c>
      <c r="F49" s="231" t="str">
        <f>=ROUND(IFERROR(($C$49/$D$49)-1,0),4)</f>
      </c>
      <c r="G49" s="196" t="str">
        <f>=ROUND(SUMIF('Daten'!$U$2:$U$500,"Bauausgaben",'Daten'!$W$2:$W$500),2)</f>
      </c>
      <c r="H49" s="196" t="str">
        <f>=IFERROR(ROUND(Kosten_Bauausgaben_EUR,2),0)</f>
      </c>
      <c r="I49" s="181" t="str">
        <f>=ROUND(IFERROR($G$49-$H$49,0),2)</f>
      </c>
      <c r="J49" s="250" t="str">
        <f>=ROUND(IFERROR(($G$49/$H$49)-1,0),4)</f>
      </c>
    </row>
    <row r="50">
      <c r="B50" s="240" t="s">
        <v>206</v>
      </c>
      <c r="C50" s="212" t="str">
        <f>=ROUND(SUMIF('Daten'!$U$2:$U$500,"Investitionen",'Daten'!$V$2:$V$500),2)</f>
      </c>
      <c r="D50" s="212" t="str">
        <f>=IFERROR(ROUND(Kosten_Investitionen_LW,2),0)</f>
      </c>
      <c r="E50" s="230" t="str">
        <f>=ROUND(IFERROR($C$50-$D$50,0),2)</f>
      </c>
      <c r="F50" s="231" t="str">
        <f>=ROUND(IFERROR(($C$50/$D$50)-1,0),4)</f>
      </c>
      <c r="G50" s="196" t="str">
        <f>=ROUND(SUMIF('Daten'!$U$2:$U$500,"Investitionen",'Daten'!$W$2:$W$500),2)</f>
      </c>
      <c r="H50" s="196" t="str">
        <f>=IFERROR(ROUND(Kosten_Investitionen_EUR,2),0)</f>
      </c>
      <c r="I50" s="181" t="str">
        <f>=ROUND(IFERROR($G$50-$H$50,0),2)</f>
      </c>
      <c r="J50" s="251" t="str">
        <f>=ROUND(IFERROR(($G$50/$H$50)-1,0),4)</f>
      </c>
    </row>
    <row r="51">
      <c r="B51" s="240" t="s">
        <v>207</v>
      </c>
      <c r="C51" s="212" t="str">
        <f>=ROUND(SUMIF('Daten'!$U$2:$U$500,"Personalkosten",'Daten'!$V$2:$V$500),2)</f>
      </c>
      <c r="D51" s="212" t="str">
        <f>=IFERROR(ROUND(Kosten_Personalkosten_LW,2),0)</f>
      </c>
      <c r="E51" s="230" t="str">
        <f>=ROUND(IFERROR($C$51-$D$51,0),2)</f>
      </c>
      <c r="F51" s="231" t="str">
        <f>=ROUND(IFERROR(($C$51/$D$51)-1,0),4)</f>
      </c>
      <c r="G51" s="196" t="str">
        <f>=ROUND(SUMIF('Daten'!$U$2:$U$500,"Personalkosten",'Daten'!$W$2:$W$500),2)</f>
      </c>
      <c r="H51" s="196" t="str">
        <f>=IFERROR(ROUND(Kosten_Personalkosten_EUR,2),0)</f>
      </c>
      <c r="I51" s="181" t="str">
        <f>=ROUND(IFERROR($G$51-$H$51,0),2)</f>
      </c>
      <c r="J51" s="252" t="str">
        <f>=ROUND(IFERROR(($G$51/$H$51)-1,0),4)</f>
      </c>
    </row>
    <row r="52">
      <c r="B52" s="240" t="s">
        <v>208</v>
      </c>
      <c r="C52" s="212" t="str">
        <f>=ROUND(SUMIF('Daten'!$U$2:$U$500,"Projektaktivitaeten",'Daten'!$V$2:$V$500),2)</f>
      </c>
      <c r="D52" s="212" t="str">
        <f>=IFERROR(ROUND(Kosten_Projektaktivitaeten_LW,2),0)</f>
      </c>
      <c r="E52" s="230" t="str">
        <f>=ROUND(IFERROR($C$52-$D$52,0),2)</f>
      </c>
      <c r="F52" s="231" t="str">
        <f>=ROUND(IFERROR(($C$52/$D$52)-1,0),4)</f>
      </c>
      <c r="G52" s="196" t="str">
        <f>=ROUND(SUMIF('Daten'!$U$2:$U$500,"Projektaktivitaeten",'Daten'!$W$2:$W$500),2)</f>
      </c>
      <c r="H52" s="196" t="str">
        <f>=IFERROR(ROUND(Kosten_Projektaktivitaeten_EUR,2),0)</f>
      </c>
      <c r="I52" s="181" t="str">
        <f>=ROUND(IFERROR($G$52-$H$52,0),2)</f>
      </c>
      <c r="J52" s="253" t="str">
        <f>=ROUND(IFERROR(($G$52/$H$52)-1,0),4)</f>
      </c>
    </row>
    <row r="53">
      <c r="B53" s="240" t="s">
        <v>209</v>
      </c>
      <c r="C53" s="212" t="str">
        <f>=ROUND(SUMIF('Daten'!$U$2:$U$500,"Projektverwaltung",'Daten'!$V$2:$V$500),2)</f>
      </c>
      <c r="D53" s="212" t="str">
        <f>=IFERROR(ROUND(Kosten_Projektverwaltung_LW,2),0)</f>
      </c>
      <c r="E53" s="230" t="str">
        <f>=ROUND(IFERROR($C$53-$D$53,0),2)</f>
      </c>
      <c r="F53" s="231" t="str">
        <f>=ROUND(IFERROR(($C$53/$D$53)-1,0),4)</f>
      </c>
      <c r="G53" s="196" t="str">
        <f>=ROUND(SUMIF('Daten'!$U$2:$U$500,"Projektverwaltung",'Daten'!$W$2:$W$500),2)</f>
      </c>
      <c r="H53" s="196" t="str">
        <f>=IFERROR(ROUND(Kosten_Projektverwaltung_EUR,2),0)</f>
      </c>
      <c r="I53" s="181" t="str">
        <f>=ROUND(IFERROR($G$53-$H$53,0),2)</f>
      </c>
      <c r="J53" s="254" t="str">
        <f>=ROUND(IFERROR(($G$53/$H$53)-1,0),4)</f>
      </c>
    </row>
    <row r="54">
      <c r="B54" s="240" t="s">
        <v>210</v>
      </c>
      <c r="C54" s="212" t="str">
        <f>=ROUND(SUMIF('Daten'!$U$2:$U$500,"Evaluierung",'Daten'!$V$2:$V$500),2)</f>
      </c>
      <c r="D54" s="212" t="str">
        <f>=IFERROR(ROUND(Kosten_Evaluierung_LW,2),0)</f>
      </c>
      <c r="E54" s="230" t="str">
        <f>=ROUND(IFERROR($C$54-$D$54,0),2)</f>
      </c>
      <c r="F54" s="231" t="str">
        <f>=ROUND(IFERROR(($C$54/$D$54)-1,0),4)</f>
      </c>
      <c r="G54" s="196" t="str">
        <f>=ROUND(SUMIF('Daten'!$U$2:$U$500,"Evaluierung",'Daten'!$W$2:$W$500),2)</f>
      </c>
      <c r="H54" s="196" t="str">
        <f>=IFERROR(ROUND(Kosten_Evaluierung_EUR,2),0)</f>
      </c>
      <c r="I54" s="181" t="str">
        <f>=ROUND(IFERROR($G$54-$H$54,0),2)</f>
      </c>
      <c r="J54" s="255" t="str">
        <f>=ROUND(IFERROR(($G$54/$H$54)-1,0),4)</f>
      </c>
    </row>
    <row r="55">
      <c r="B55" s="240" t="s">
        <v>211</v>
      </c>
      <c r="C55" s="212" t="str">
        <f>=ROUND(SUMIF('Daten'!$U$2:$U$500,"Audit",'Daten'!$V$2:$V$500),2)</f>
      </c>
      <c r="D55" s="212" t="str">
        <f>=IFERROR(ROUND(Kosten_Audit_LW,2),0)</f>
      </c>
      <c r="E55" s="230" t="str">
        <f>=ROUND(IFERROR($C$55-$D$55,0),2)</f>
      </c>
      <c r="F55" s="231" t="str">
        <f>=ROUND(IFERROR(($C$55/$D$55)-1,0),4)</f>
      </c>
      <c r="G55" s="196" t="str">
        <f>=ROUND(SUMIF('Daten'!$U$2:$U$500,"Audit",'Daten'!$W$2:$W$500),2)</f>
      </c>
      <c r="H55" s="196" t="str">
        <f>=IFERROR(ROUND(Kosten_Audit_EUR,2),0)</f>
      </c>
      <c r="I55" s="181" t="str">
        <f>=ROUND(IFERROR($G$55-$H$55,0),2)</f>
      </c>
      <c r="J55" s="256" t="str">
        <f>=ROUND(IFERROR(($G$55/$H$55)-1,0),4)</f>
      </c>
    </row>
    <row r="56">
      <c r="B56" s="240" t="s">
        <v>212</v>
      </c>
      <c r="C56" s="212" t="str">
        <f>=ROUND(SUMIF('Daten'!$U$2:$U$500,"Reserve",'Daten'!$V$2:$V$500),2)</f>
      </c>
      <c r="D56" s="212" t="str">
        <f>=IFERROR(ROUND(Kosten_Reserve_LW,2),0)</f>
      </c>
      <c r="E56" s="230" t="str">
        <f>=ROUND(IFERROR($C$56-$D$56,0),2)</f>
      </c>
      <c r="F56" s="231" t="str">
        <f>=ROUND(IFERROR(($C$56/$D$56)-1,0),4)</f>
      </c>
      <c r="G56" s="196" t="str">
        <f>=ROUND(SUMIF('Daten'!$U$2:$U$500,"Reserve",'Daten'!$W$2:$W$500),2)</f>
      </c>
      <c r="H56" s="196" t="str">
        <f>=IFERROR(ROUND(Kosten_Reserve_EUR,2),0)</f>
      </c>
      <c r="I56" s="181" t="str">
        <f>=ROUND(IFERROR($G$56-$H$56,0),2)</f>
      </c>
      <c r="J56" s="257" t="str">
        <f>=ROUND(IFERROR(($G$56/$H$56)-1,0),4)</f>
      </c>
    </row>
    <row r="57" ht="20" customHeight="true">
      <c r="B57" s="245" t="s">
        <v>266</v>
      </c>
      <c r="C57" s="246" t="str">
        <f>=ROUND(SUM($C$49:$C$56),2)</f>
      </c>
      <c r="D57" s="246" t="str">
        <f>=ROUND(SUM($D$49:$D$56),2)</f>
      </c>
      <c r="E57" s="246" t="str">
        <f>=ROUND(SUM($E$49:$E$56),2)</f>
      </c>
      <c r="F57" s="258" t="str">
        <f>=ROUND(IFERROR(($C$57/$D$57)-1,0),4)</f>
      </c>
      <c r="G57" s="248" t="str">
        <f>=ROUND(SUM($G$49:$G$56),2)</f>
      </c>
      <c r="H57" s="248" t="str">
        <f>=ROUND(SUM($H$49:$H$56),2)</f>
      </c>
      <c r="I57" s="248" t="str">
        <f>=ROUND(SUM($I$49:$I$56),2)</f>
      </c>
      <c r="J57" s="259" t="str">
        <f>=ROUND(IFERROR(($G$57/$H$57)-1,0),4)</f>
      </c>
    </row>
    <row r="59" ht="26" customHeight="true">
      <c r="B59" s="193" t="s">
        <v>356</v>
      </c>
      <c r="C59" s="193"/>
      <c r="D59" s="193"/>
      <c r="E59" s="193"/>
      <c r="F59" s="193"/>
      <c r="G59" s="193"/>
      <c r="H59" s="193"/>
      <c r="I59" s="193"/>
      <c r="J59" s="193"/>
    </row>
    <row r="60">
      <c r="B60" s="194" t="s">
        <v>357</v>
      </c>
      <c r="C60" s="194"/>
      <c r="D60" s="194"/>
      <c r="E60" s="194"/>
      <c r="F60" s="194"/>
      <c r="G60" s="194"/>
      <c r="H60" s="194"/>
      <c r="I60" s="194"/>
      <c r="J60" s="194"/>
    </row>
    <row r="62" ht="22" customHeight="true">
      <c r="B62" s="18" t="s">
        <v>358</v>
      </c>
      <c r="C62" s="18"/>
      <c r="D62" s="18"/>
      <c r="E62" s="18"/>
      <c r="F62" s="18"/>
      <c r="G62" s="18"/>
      <c r="H62" s="18"/>
      <c r="I62" s="18"/>
      <c r="J62" s="18"/>
    </row>
    <row r="64">
      <c r="B64" s="199" t="s">
        <v>320</v>
      </c>
      <c r="C64" s="200"/>
      <c r="D64" s="201" t="str">
        <f>=IFERROR(ROUND(KMW_Mittel_EUR,2),0)</f>
      </c>
      <c r="F64" s="207" t="s">
        <v>325</v>
      </c>
      <c r="G64" s="208"/>
      <c r="H64" s="209"/>
    </row>
    <row r="65">
      <c r="B65" s="202" t="s">
        <v>321</v>
      </c>
      <c r="C65" s="195"/>
      <c r="D65" s="203" t="str">
        <f>=IFERROR(ROUND(Kosten_Reserve_EUR,2),0)</f>
      </c>
      <c r="F65" s="202" t="s">
        <v>326</v>
      </c>
      <c r="G65" s="195"/>
      <c r="H65" s="41" t="str">
        <f>=IFERROR(ROUND(Saldovortrag_EUR,2),0)</f>
      </c>
    </row>
    <row r="66">
      <c r="B66" s="202" t="s">
        <v>322</v>
      </c>
      <c r="C66" s="195"/>
      <c r="D66" s="203" t="str">
        <f>=ROUND($D$64-$D$65,2)</f>
      </c>
      <c r="F66" s="202" t="s">
        <v>327</v>
      </c>
      <c r="G66" s="195"/>
      <c r="H66" s="196" t="str">
        <f>=IFERROR(ROUND(MAX(0,(SUM($G$75:$G$78)-$G$77)-(SUM($H$75:$H$78)-$H$77)),2),0)</f>
        <v>0</v>
      </c>
    </row>
    <row r="67">
      <c r="B67" s="202" t="s">
        <v>323</v>
      </c>
      <c r="C67" s="195"/>
      <c r="D67" s="203" t="str">
        <f>=IFERROR(ROUND(SUBTOTAL(109,TblKMWMittel[Betrag]),2),0)</f>
      </c>
      <c r="F67" s="47"/>
      <c r="H67" s="48"/>
    </row>
    <row r="68">
      <c r="B68" s="204" t="s">
        <v>324</v>
      </c>
      <c r="C68" s="205"/>
      <c r="D68" s="206" t="str">
        <f>=ROUND($D$66-$D$67,2)</f>
      </c>
      <c r="F68" s="204" t="s">
        <v>328</v>
      </c>
      <c r="G68" s="205"/>
      <c r="H68" s="206" t="str">
        <f>=ROUND($D$68-MAX(0,$H$65)-MAX(0,$H$66),2)</f>
      </c>
    </row>
    <row r="72" ht="22" customHeight="true">
      <c r="B72" s="18" t="s">
        <v>359</v>
      </c>
      <c r="C72" s="18"/>
      <c r="D72" s="18"/>
      <c r="E72" s="18"/>
      <c r="F72" s="18"/>
      <c r="G72" s="18"/>
      <c r="H72" s="18"/>
      <c r="I72" s="18"/>
      <c r="J72" s="18"/>
    </row>
    <row r="74" ht="28" customHeight="true">
      <c r="B74" s="237" t="s">
        <v>346</v>
      </c>
      <c r="C74" s="238" t="s">
        <v>360</v>
      </c>
      <c r="D74" s="238" t="s">
        <v>348</v>
      </c>
      <c r="E74" s="238" t="s">
        <v>349</v>
      </c>
      <c r="F74" s="238" t="s">
        <v>350</v>
      </c>
      <c r="G74" s="238" t="s">
        <v>361</v>
      </c>
      <c r="H74" s="238" t="s">
        <v>352</v>
      </c>
      <c r="I74" s="238" t="s">
        <v>353</v>
      </c>
      <c r="J74" s="239" t="s">
        <v>354</v>
      </c>
    </row>
    <row r="75">
      <c r="B75" s="240" t="s">
        <v>194</v>
      </c>
      <c r="C75" s="212" t="str">
        <f>=ROUND(SUMIF('Daten'!$C$2:$C$500,"Eigenmittel",'Daten'!$E$2:$E$500)+SUMIF('Daten'!$I$2:$I$500,"Eigenmittel",'Daten'!$K$2:$K$500),2)</f>
      </c>
      <c r="D75" s="212" t="str">
        <f>=IFERROR(ROUND(Eigenmittel_LW,2),0)</f>
      </c>
      <c r="E75" s="230" t="str">
        <f>=ROUND(IFERROR($C$75-$D$75,0),2)</f>
      </c>
      <c r="F75" s="231" t="str">
        <f>=ROUND(IFERROR(($C$75/$D$75)-1,0),4)</f>
      </c>
      <c r="G75" s="196" t="str">
        <f>=ROUND(SUMIF('Daten'!$C$2:$C$500,"Eigenmittel",'Daten'!$F$2:$F$500)+SUMIF('Daten'!$I$2:$I$500,"Eigenmittel",'Daten'!$L$2:$L$500),2)</f>
      </c>
      <c r="H75" s="196" t="str">
        <f>=IFERROR(ROUND(Eigenmittel_EUR,2),0)</f>
      </c>
      <c r="I75" s="181" t="str">
        <f>=ROUND(IFERROR($G$75-$H$75,0),2)</f>
      </c>
      <c r="J75" s="260" t="str">
        <f>=ROUND(IFERROR(($G$75/$H$75)-1,0),4)</f>
      </c>
    </row>
    <row r="76">
      <c r="B76" s="240" t="s">
        <v>277</v>
      </c>
      <c r="C76" s="212" t="str">
        <f>=ROUND(SUMIF('Daten'!$C$2:$C$500,"Drittmittel",'Daten'!$E$2:$E$500)+SUMIF('Daten'!$I$2:$I$500,"Drittmittel",'Daten'!$K$2:$K$500),2)</f>
      </c>
      <c r="D76" s="212" t="str">
        <f>=IFERROR(ROUND(Drittmittel_LW,2),0)</f>
      </c>
      <c r="E76" s="230" t="str">
        <f>=ROUND(IFERROR($C$76-$D$76,0),2)</f>
      </c>
      <c r="F76" s="231" t="str">
        <f>=ROUND(IFERROR(($C$76/$D$76)-1,0),4)</f>
      </c>
      <c r="G76" s="196" t="str">
        <f>=ROUND(SUMIF('Daten'!$C$2:$C$500,"Drittmittel",'Daten'!$F$2:$F$500)+SUMIF('Daten'!$I$2:$I$500,"Drittmittel",'Daten'!$L$2:$L$500),2)</f>
      </c>
      <c r="H76" s="196" t="str">
        <f>=IFERROR(ROUND(Drittmittel_EUR,2),0)</f>
      </c>
      <c r="I76" s="181" t="str">
        <f>=ROUND(IFERROR($G$76-$H$76,0),2)</f>
      </c>
      <c r="J76" s="261" t="str">
        <f>=ROUND(IFERROR(($G$76/$H$76)-1,0),4)</f>
      </c>
    </row>
    <row r="77">
      <c r="B77" s="240" t="s">
        <v>199</v>
      </c>
      <c r="C77" s="212" t="str">
        <f>=ROUND(SUMIF('Daten'!$C$2:$C$500,"KMW-Mittel",'Daten'!$E$2:$E$500)+SUMIF('Daten'!$I$2:$I$500,"KMW-Mittel",'Daten'!$K$2:$K$500),2)</f>
      </c>
      <c r="D77" s="212" t="str">
        <f>=IFERROR(ROUND(KMW_Mittel_LW,2),0)</f>
      </c>
      <c r="E77" s="230" t="str">
        <f>=ROUND(IFERROR($C$77-$D$77,0),2)</f>
      </c>
      <c r="F77" s="231" t="str">
        <f>=ROUND(IFERROR(($C$77/$D$77)-1,0),4)</f>
      </c>
      <c r="G77" s="196" t="str">
        <f>=ROUND(SUMIF('Daten'!$C$2:$C$500,"KMW-Mittel",'Daten'!$F$2:$F$500)+SUMIF('Daten'!$I$2:$I$500,"KMW-Mittel",'Daten'!$L$2:$L$500),2)</f>
      </c>
      <c r="H77" s="196" t="str">
        <f>=IFERROR(ROUND(KMW_Mittel_EUR,2),0)</f>
      </c>
      <c r="I77" s="181" t="str">
        <f>=ROUND(IFERROR($G$77-$H$77,0),2)</f>
      </c>
      <c r="J77" s="262" t="str">
        <f>=ROUND(IFERROR(($G$77/$H$77)-1,0),4)</f>
      </c>
    </row>
    <row r="78">
      <c r="B78" s="240" t="s">
        <v>278</v>
      </c>
      <c r="C78" s="232"/>
      <c r="D78" s="232"/>
      <c r="E78" s="232"/>
      <c r="F78" s="232"/>
      <c r="G78" s="232"/>
      <c r="H78" s="232"/>
      <c r="I78" s="232"/>
      <c r="J78" s="244"/>
    </row>
    <row r="79" ht="20" customHeight="true">
      <c r="B79" s="245" t="s">
        <v>266</v>
      </c>
      <c r="C79" s="246" t="str">
        <f>=ROUND(SUM($C$75:$C$78),2)</f>
      </c>
      <c r="D79" s="246" t="str">
        <f>=ROUND(SUM($D$75:$D$78),2)</f>
      </c>
      <c r="E79" s="246" t="str">
        <f>=ROUND(SUM($E$75:$E$78),2)</f>
      </c>
      <c r="F79" s="263" t="str">
        <f>=ROUND(IFERROR(($C$79/$D$79)-1,0),4)</f>
      </c>
      <c r="G79" s="248" t="str">
        <f>=ROUND(SUM($G$75:$G$78),2)</f>
      </c>
      <c r="H79" s="248" t="str">
        <f>=ROUND(SUM($H$75:$H$78),2)</f>
      </c>
      <c r="I79" s="248" t="str">
        <f>=ROUND(SUM($I$75:$I$78),2)</f>
      </c>
      <c r="J79" s="264" t="str">
        <f>=ROUND(IFERROR(($G$79/$H$79)-1,0),4)</f>
      </c>
    </row>
    <row r="81" ht="22" customHeight="true">
      <c r="B81" s="18" t="s">
        <v>362</v>
      </c>
      <c r="C81" s="18"/>
      <c r="D81" s="18"/>
      <c r="E81" s="18"/>
      <c r="F81" s="18"/>
      <c r="G81" s="18"/>
      <c r="H81" s="18"/>
      <c r="I81" s="18"/>
      <c r="J81" s="18"/>
    </row>
    <row r="83" ht="28" customHeight="true">
      <c r="B83" s="237" t="s">
        <v>346</v>
      </c>
      <c r="C83" s="238" t="s">
        <v>360</v>
      </c>
      <c r="D83" s="238" t="s">
        <v>348</v>
      </c>
      <c r="E83" s="238" t="s">
        <v>349</v>
      </c>
      <c r="F83" s="238" t="s">
        <v>350</v>
      </c>
      <c r="G83" s="238" t="s">
        <v>361</v>
      </c>
      <c r="H83" s="238" t="s">
        <v>352</v>
      </c>
      <c r="I83" s="238" t="s">
        <v>353</v>
      </c>
      <c r="J83" s="239" t="s">
        <v>354</v>
      </c>
    </row>
    <row r="84">
      <c r="B84" s="240" t="s">
        <v>205</v>
      </c>
      <c r="C84" s="212" t="str">
        <f>=ROUND(SUMIF('Daten'!$O$2:$O$500,"1.*",'Daten'!$P$2:$P$500),2)</f>
      </c>
      <c r="D84" s="212" t="str">
        <f>=IFERROR(ROUND(Kosten_Bauausgaben_LW,2),0)</f>
      </c>
      <c r="E84" s="230" t="str">
        <f>=ROUND(IFERROR($C$84-$D$84,0),2)</f>
      </c>
      <c r="F84" s="231" t="str">
        <f>=ROUND(IFERROR(($C$84/$D$84)-1,0),4)</f>
      </c>
      <c r="G84" s="196" t="str">
        <f>=ROUND(SUMIF('Daten'!$O$2:$O$500,"1.*",'Daten'!$Q$2:$Q$500),2)</f>
      </c>
      <c r="H84" s="196" t="str">
        <f>=IFERROR(ROUND(Kosten_Bauausgaben_EUR,2),0)</f>
      </c>
      <c r="I84" s="181" t="str">
        <f>=ROUND(IFERROR($G$84-$H$84,0),2)</f>
      </c>
      <c r="J84" s="265" t="str">
        <f>=ROUND(IFERROR(($G$84/$H$84)-1,0),4)</f>
      </c>
    </row>
    <row r="85">
      <c r="B85" s="240" t="s">
        <v>206</v>
      </c>
      <c r="C85" s="212" t="str">
        <f>=ROUND(SUMIF('Daten'!$O$2:$O$500,"2.*",'Daten'!$P$2:$P$500),2)</f>
      </c>
      <c r="D85" s="212" t="str">
        <f>=IFERROR(ROUND(Kosten_Investitionen_LW,2),0)</f>
      </c>
      <c r="E85" s="230" t="str">
        <f>=ROUND(IFERROR($C$85-$D$85,0),2)</f>
      </c>
      <c r="F85" s="231" t="str">
        <f>=ROUND(IFERROR(($C$85/$D$85)-1,0),4)</f>
      </c>
      <c r="G85" s="196" t="str">
        <f>=ROUND(SUMIF('Daten'!$O$2:$O$500,"2.*",'Daten'!$Q$2:$Q$500),2)</f>
      </c>
      <c r="H85" s="196" t="str">
        <f>=IFERROR(ROUND(Kosten_Investitionen_EUR,2),0)</f>
      </c>
      <c r="I85" s="181" t="str">
        <f>=ROUND(IFERROR($G$85-$H$85,0),2)</f>
      </c>
      <c r="J85" s="266" t="str">
        <f>=ROUND(IFERROR(($G$85/$H$85)-1,0),4)</f>
      </c>
    </row>
    <row r="86">
      <c r="B86" s="240" t="s">
        <v>207</v>
      </c>
      <c r="C86" s="212" t="str">
        <f>=ROUND(SUMIF('Daten'!$O$2:$O$500,"3.*",'Daten'!$P$2:$P$500),2)</f>
      </c>
      <c r="D86" s="212" t="str">
        <f>=IFERROR(ROUND(Kosten_Personalkosten_LW,2),0)</f>
      </c>
      <c r="E86" s="230" t="str">
        <f>=ROUND(IFERROR($C$86-$D$86,0),2)</f>
      </c>
      <c r="F86" s="231" t="str">
        <f>=ROUND(IFERROR(($C$86/$D$86)-1,0),4)</f>
      </c>
      <c r="G86" s="196" t="str">
        <f>=ROUND(SUMIF('Daten'!$O$2:$O$500,"3.*",'Daten'!$Q$2:$Q$500),2)</f>
      </c>
      <c r="H86" s="196" t="str">
        <f>=IFERROR(ROUND(Kosten_Personalkosten_EUR,2),0)</f>
      </c>
      <c r="I86" s="181" t="str">
        <f>=ROUND(IFERROR($G$86-$H$86,0),2)</f>
      </c>
      <c r="J86" s="267" t="str">
        <f>=ROUND(IFERROR(($G$86/$H$86)-1,0),4)</f>
      </c>
    </row>
    <row r="87">
      <c r="B87" s="240" t="s">
        <v>208</v>
      </c>
      <c r="C87" s="212" t="str">
        <f>=ROUND(SUMIF('Daten'!$O$2:$O$500,"4.*",'Daten'!$P$2:$P$500),2)</f>
      </c>
      <c r="D87" s="212" t="str">
        <f>=IFERROR(ROUND(Kosten_Projektaktivitaeten_LW,2),0)</f>
      </c>
      <c r="E87" s="230" t="str">
        <f>=ROUND(IFERROR($C$87-$D$87,0),2)</f>
      </c>
      <c r="F87" s="231" t="str">
        <f>=ROUND(IFERROR(($C$87/$D$87)-1,0),4)</f>
      </c>
      <c r="G87" s="196" t="str">
        <f>=ROUND(SUMIF('Daten'!$O$2:$O$500,"4.*",'Daten'!$Q$2:$Q$500),2)</f>
      </c>
      <c r="H87" s="196" t="str">
        <f>=IFERROR(ROUND(Kosten_Projektaktivitaeten_EUR,2),0)</f>
      </c>
      <c r="I87" s="181" t="str">
        <f>=ROUND(IFERROR($G$87-$H$87,0),2)</f>
      </c>
      <c r="J87" s="268" t="str">
        <f>=ROUND(IFERROR(($G$87/$H$87)-1,0),4)</f>
      </c>
    </row>
    <row r="88">
      <c r="B88" s="240" t="s">
        <v>209</v>
      </c>
      <c r="C88" s="212" t="str">
        <f>=ROUND(SUMIF('Daten'!$O$2:$O$500,"5.*",'Daten'!$P$2:$P$500),2)</f>
      </c>
      <c r="D88" s="212" t="str">
        <f>=IFERROR(ROUND(Kosten_Projektverwaltung_LW,2),0)</f>
      </c>
      <c r="E88" s="230" t="str">
        <f>=ROUND(IFERROR($C$88-$D$88,0),2)</f>
      </c>
      <c r="F88" s="231" t="str">
        <f>=ROUND(IFERROR(($C$88/$D$88)-1,0),4)</f>
      </c>
      <c r="G88" s="196" t="str">
        <f>=ROUND(SUMIF('Daten'!$O$2:$O$500,"5.*",'Daten'!$Q$2:$Q$500),2)</f>
      </c>
      <c r="H88" s="196" t="str">
        <f>=IFERROR(ROUND(Kosten_Projektverwaltung_EUR,2),0)</f>
      </c>
      <c r="I88" s="181" t="str">
        <f>=ROUND(IFERROR($G$88-$H$88,0),2)</f>
      </c>
      <c r="J88" s="269" t="str">
        <f>=ROUND(IFERROR(($G$88/$H$88)-1,0),4)</f>
      </c>
    </row>
    <row r="89">
      <c r="B89" s="240" t="s">
        <v>210</v>
      </c>
      <c r="C89" s="212" t="str">
        <f>=ROUND(SUMIF('Daten'!$O$2:$O$500,"6.*",'Daten'!$P$2:$P$500),2)</f>
      </c>
      <c r="D89" s="212" t="str">
        <f>=IFERROR(ROUND(Kosten_Evaluierung_LW,2),0)</f>
      </c>
      <c r="E89" s="230" t="str">
        <f>=ROUND(IFERROR($C$89-$D$89,0),2)</f>
      </c>
      <c r="F89" s="231" t="str">
        <f>=ROUND(IFERROR(($C$89/$D$89)-1,0),4)</f>
      </c>
      <c r="G89" s="196" t="str">
        <f>=ROUND(SUMIF('Daten'!$O$2:$O$500,"6.*",'Daten'!$Q$2:$Q$500),2)</f>
      </c>
      <c r="H89" s="196" t="str">
        <f>=IFERROR(ROUND(Kosten_Evaluierung_EUR,2),0)</f>
      </c>
      <c r="I89" s="181" t="str">
        <f>=ROUND(IFERROR($G$89-$H$89,0),2)</f>
      </c>
      <c r="J89" s="270" t="str">
        <f>=ROUND(IFERROR(($G$89/$H$89)-1,0),4)</f>
      </c>
    </row>
    <row r="90">
      <c r="B90" s="240" t="s">
        <v>211</v>
      </c>
      <c r="C90" s="212" t="str">
        <f>=ROUND(SUMIF('Daten'!$O$2:$O$500,"7.*",'Daten'!$P$2:$P$500),2)</f>
      </c>
      <c r="D90" s="212" t="str">
        <f>=IFERROR(ROUND(Kosten_Audit_LW,2),0)</f>
      </c>
      <c r="E90" s="230" t="str">
        <f>=ROUND(IFERROR($C$90-$D$90,0),2)</f>
      </c>
      <c r="F90" s="231" t="str">
        <f>=ROUND(IFERROR(($C$90/$D$90)-1,0),4)</f>
      </c>
      <c r="G90" s="196" t="str">
        <f>=ROUND(SUMIF('Daten'!$O$2:$O$500,"7.*",'Daten'!$Q$2:$Q$500),2)</f>
      </c>
      <c r="H90" s="196" t="str">
        <f>=IFERROR(ROUND(Kosten_Audit_EUR,2),0)</f>
      </c>
      <c r="I90" s="181" t="str">
        <f>=ROUND(IFERROR($G$90-$H$90,0),2)</f>
      </c>
      <c r="J90" s="271" t="str">
        <f>=ROUND(IFERROR(($G$90/$H$90)-1,0),4)</f>
      </c>
    </row>
    <row r="91">
      <c r="B91" s="240" t="s">
        <v>212</v>
      </c>
      <c r="C91" s="212" t="str">
        <f>=ROUND(SUMIF('Daten'!$O$2:$O$500,"8.*",'Daten'!$P$2:$P$500),2)</f>
      </c>
      <c r="D91" s="212" t="str">
        <f>=IFERROR(ROUND(Kosten_Reserve_LW,2),0)</f>
      </c>
      <c r="E91" s="230" t="str">
        <f>=ROUND(IFERROR($C$91-$D$91,0),2)</f>
      </c>
      <c r="F91" s="231" t="str">
        <f>=ROUND(IFERROR(($C$91/$D$91)-1,0),4)</f>
      </c>
      <c r="G91" s="196" t="str">
        <f>=ROUND(SUMIF('Daten'!$O$2:$O$500,"8.*",'Daten'!$Q$2:$Q$500),2)</f>
      </c>
      <c r="H91" s="196" t="str">
        <f>=IFERROR(ROUND(Kosten_Reserve_EUR,2),0)</f>
      </c>
      <c r="I91" s="181" t="str">
        <f>=ROUND(IFERROR($G$91-$H$91,0),2)</f>
      </c>
      <c r="J91" s="272" t="str">
        <f>=ROUND(IFERROR(($G$91/$H$91)-1,0),4)</f>
      </c>
    </row>
    <row r="92" ht="20" customHeight="true">
      <c r="B92" s="245" t="s">
        <v>266</v>
      </c>
      <c r="C92" s="246" t="str">
        <f>=ROUND(SUM($C$84:$C$91),2)</f>
      </c>
      <c r="D92" s="246" t="str">
        <f>=ROUND(SUM($D$84:$D$91),2)</f>
      </c>
      <c r="E92" s="246" t="str">
        <f>=ROUND(SUM($E$84:$E$91),2)</f>
      </c>
      <c r="F92" s="273" t="str">
        <f>=ROUND(IFERROR(($C$92/$D$92)-1,0),4)</f>
      </c>
      <c r="G92" s="248" t="str">
        <f>=ROUND(SUM($G$84:$G$91),2)</f>
      </c>
      <c r="H92" s="248" t="str">
        <f>=ROUND(SUM($H$84:$H$91),2)</f>
      </c>
      <c r="I92" s="248" t="str">
        <f>=ROUND(SUM($I$84:$I$91),2)</f>
      </c>
      <c r="J92" s="274" t="str">
        <f>=ROUND(IFERROR(($G$92/$H$92)-1,0),4)</f>
      </c>
    </row>
  </sheetData>
  <mergeCells count="50">
    <mergeCell ref="B2:J2"/>
    <mergeCell ref="B3:J3"/>
    <mergeCell ref="B5:J5"/>
    <mergeCell ref="B6:J6"/>
    <mergeCell ref="B8:J8"/>
    <mergeCell ref="B10:C10"/>
    <mergeCell ref="B11:C11"/>
    <mergeCell ref="B12:C12"/>
    <mergeCell ref="B13:C13"/>
    <mergeCell ref="B14:C14"/>
    <mergeCell ref="F10:H10"/>
    <mergeCell ref="F11:G11"/>
    <mergeCell ref="F12:G12"/>
    <mergeCell ref="F14:G14"/>
    <mergeCell ref="B16:C16"/>
    <mergeCell ref="F16:G16"/>
    <mergeCell ref="B17:C17"/>
    <mergeCell ref="F17:G17"/>
    <mergeCell ref="B19:C19"/>
    <mergeCell ref="F19:G19"/>
    <mergeCell ref="B20:C20"/>
    <mergeCell ref="F20:G20"/>
    <mergeCell ref="B23:J23"/>
    <mergeCell ref="B25:C25"/>
    <mergeCell ref="B26:C26"/>
    <mergeCell ref="B27:C27"/>
    <mergeCell ref="B28:C28"/>
    <mergeCell ref="B29:C29"/>
    <mergeCell ref="B30:C30"/>
    <mergeCell ref="B31:C31"/>
    <mergeCell ref="B32:C32"/>
    <mergeCell ref="B33:C33"/>
    <mergeCell ref="B34:C34"/>
    <mergeCell ref="B35:C35"/>
    <mergeCell ref="B37:J37"/>
    <mergeCell ref="B46:J46"/>
    <mergeCell ref="B59:J59"/>
    <mergeCell ref="B60:J60"/>
    <mergeCell ref="B62:J62"/>
    <mergeCell ref="B64:C64"/>
    <mergeCell ref="B65:C65"/>
    <mergeCell ref="B66:C66"/>
    <mergeCell ref="B67:C67"/>
    <mergeCell ref="B68:C68"/>
    <mergeCell ref="F64:H64"/>
    <mergeCell ref="F65:G65"/>
    <mergeCell ref="F66:G66"/>
    <mergeCell ref="F68:G68"/>
    <mergeCell ref="B72:J72"/>
    <mergeCell ref="B81:J81"/>
  </mergeCells>
  <conditionalFormatting sqref="D33">
    <cfRule type="expression" dxfId="9" priority="1">
      <formula>$D$33="OK"</formula>
    </cfRule>
  </conditionalFormatting>
  <conditionalFormatting sqref="D33">
    <cfRule type="expression" dxfId="10" priority="2">
      <formula>$D$33&lt;&gt;"OK"</formula>
    </cfRule>
  </conditionalFormatting>
  <conditionalFormatting sqref="D34">
    <cfRule type="expression" dxfId="11" priority="3">
      <formula>$D$34&gt;0</formula>
    </cfRule>
  </conditionalFormatting>
  <conditionalFormatting sqref="F49:F56">
    <cfRule type="expression" dxfId="12" priority="4">
      <formula>F49&gt;0.2</formula>
    </cfRule>
  </conditionalFormatting>
  <conditionalFormatting sqref="F49:F56">
    <cfRule type="expression" dxfId="13" priority="5">
      <formula>AND(F49&gt;=0.1,F49&lt;=0.2)</formula>
    </cfRule>
  </conditionalFormatting>
  <conditionalFormatting sqref="J49:J56">
    <cfRule type="expression" dxfId="12" priority="6">
      <formula>J49&gt;0.2</formula>
    </cfRule>
  </conditionalFormatting>
  <conditionalFormatting sqref="J49:J56">
    <cfRule type="expression" dxfId="13" priority="7">
      <formula>AND(J49&gt;=0.1,J49&lt;=0.2)</formula>
    </cfRule>
  </conditionalFormatting>
  <conditionalFormatting sqref="F84:F91">
    <cfRule type="expression" dxfId="12" priority="8">
      <formula>F84&gt;0.2</formula>
    </cfRule>
  </conditionalFormatting>
  <conditionalFormatting sqref="F84:F91">
    <cfRule type="expression" dxfId="13" priority="9">
      <formula>AND(F84&gt;=0.1,F84&lt;=0.2)</formula>
    </cfRule>
  </conditionalFormatting>
  <conditionalFormatting sqref="J84:J91">
    <cfRule type="expression" dxfId="12" priority="10">
      <formula>J84&gt;0.2</formula>
    </cfRule>
  </conditionalFormatting>
  <conditionalFormatting sqref="J84:J91">
    <cfRule type="expression" dxfId="13" priority="11">
      <formula>AND(J84&gt;=0.1,J84&lt;=0.2)</formula>
    </cfRule>
  </conditionalFormatting>
  <dataValidations count="2">
    <dataValidation allowBlank="true" sqref="D25" type="list">
      <formula1>'Daten'!$A$1:$A$18</formula1>
    </dataValidation>
    <dataValidation allowBlank="true" sqref="D27" type="list">
      <formula1>"Jahr 1,Jahr 2,Jahr 3"</formula1>
    </dataValidation>
  </dataValidations>
</worksheet>
</file>

<file path=xl/worksheets/sheet8.xml><?xml version="1.0" encoding="utf-8"?>
<worksheet xmlns="http://schemas.openxmlformats.org/spreadsheetml/2006/main">
  <dimension ref="A1"/>
  <sheetViews>
    <sheetView workbookViewId="0"/>
  </sheetViews>
  <sheetData>
    <row r="1">
      <c r="A1" t="s">
        <v>226</v>
      </c>
      <c r="C1" s="275" t="s">
        <v>363</v>
      </c>
      <c r="I1" s="275" t="s">
        <v>364</v>
      </c>
      <c r="O1" s="275" t="s">
        <v>365</v>
      </c>
      <c r="U1" s="275" t="s">
        <v>366</v>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