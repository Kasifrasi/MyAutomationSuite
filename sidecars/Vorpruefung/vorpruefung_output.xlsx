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ManBetrag_1">'IV. MA'!$D$27</definedName>
    <definedName name="MA_Kurs_2">'IV. MA'!$G$8</definedName>
    <definedName name="MA_ManBetrag_2">'IV. MA'!$H$27</definedName>
    <definedName name="MA_Kurs_3">'IV. MA'!$K$8</definedName>
    <definedName name="MA_ManBetrag_3">'IV. MA'!$L$27</definedName>
    <definedName name="MA_Kurs_4">'IV. MA'!$O$8</definedName>
    <definedName name="MA_ManBetrag_4">'IV. MA'!$P$27</definedName>
    <definedName name="MA_Kurs_5">'IV. MA'!$S$8</definedName>
    <definedName name="MA_ManBetrag_5">'IV. MA'!$T$27</definedName>
    <definedName name="MA_Kurs_6">'IV. MA'!$W$8</definedName>
    <definedName name="MA_ManBetrag_6">'IV. MA'!$X$27</definedName>
    <definedName name="MA_Kurs_7">'IV. MA'!$AA$8</definedName>
    <definedName name="MA_ManBetrag_7">'IV. MA'!$AB$27</definedName>
    <definedName name="MA_Kurs_8">'IV. MA'!$AE$8</definedName>
    <definedName name="MA_ManBetrag_8">'IV. MA'!$AF$27</definedName>
    <definedName name="MA_Kurs_9">'IV. MA'!$AI$8</definedName>
    <definedName name="MA_ManBetrag_9">'IV. MA'!$AJ$27</definedName>
    <definedName name="MA_Kurs_10">'IV. MA'!$AM$8</definedName>
    <definedName name="MA_ManBetrag_10">'IV. MA'!$AN$27</definedName>
    <definedName name="MA_Kurs_11">'IV. MA'!$AQ$8</definedName>
    <definedName name="MA_ManBetrag_11">'IV. MA'!$AR$27</definedName>
    <definedName name="MA_Kurs_12">'IV. MA'!$AU$8</definedName>
    <definedName name="MA_ManBetrag_12">'IV. MA'!$AV$27</definedName>
    <definedName name="MA_Kurs_13">'IV. MA'!$AY$8</definedName>
    <definedName name="MA_ManBetrag_13">'IV. MA'!$AZ$27</definedName>
    <definedName name="MA_Kurs_14">'IV. MA'!$BC$8</definedName>
    <definedName name="MA_ManBetrag_14">'IV. MA'!$BD$27</definedName>
    <definedName name="MA_Kurs_15">'IV. MA'!$BG$8</definedName>
    <definedName name="MA_ManBetrag_15">'IV. MA'!$BH$27</definedName>
    <definedName name="MA_Kurs_16">'IV. MA'!$BK$8</definedName>
    <definedName name="MA_ManBetrag_16">'IV. MA'!$BL$27</definedName>
    <definedName name="MA_Kurs_17">'IV. MA'!$BO$8</definedName>
    <definedName name="MA_ManBetrag_17">'IV. MA'!$BP$27</definedName>
    <definedName name="MA_Kurs_18">'IV. MA'!$BS$8</definedName>
    <definedName name="MA_ManBetrag_18">'IV. MA'!$BT$27</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<sst xmlns="http://schemas.openxmlformats.org/spreadsheetml/2006/main" count="403" uniqueCount="403">
  <si>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</si>
  <si>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</si>
  <si>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</si>
  <si>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</si>
  <si>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</si>
  <si>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</si>
  <si>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</si>
  <si>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</si>
  <si>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</si>
  <si>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</si>
  <si>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</si>
  <si>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</si>
  <si>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</si>
  <si>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</si>
  <si>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</si>
  <si>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</si>
  <si>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</si>
  <si>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</si>
  <si>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</si>
  <si>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</si>
  <si>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</si>
  <si>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</si>
  <si>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</si>
  <si>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</si>
  <si>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</si>
  <si>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</si>
  <si>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</si>
  <si>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</si>
  <si>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</si>
  <si>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</si>
  <si>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</si>
  <si>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</si>
  <si>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</si>
  <si>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</si>
  <si>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</si>
  <si>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</si>
  <si>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</si>
  <si>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</si>
  <si>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</si>
  <si>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</si>
  <si>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</si>
  <si>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</si>
  <si>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</si>
  <si>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</si>
  <si>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</si>
  <si>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</si>
  <si>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</si>
  <si>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</si>
  <si>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</si>
  <si>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</si>
  <si>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</si>
  <si>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</si>
  <si>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</si>
  <si>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</si>
  <si>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</si>
  <si>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</si>
  <si>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</si>
  <si>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</si>
  <si>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</si>
  <si>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</si>
  <si>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</si>
  <si>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</si>
  <si>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</si>
  <si>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</si>
  <si>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</si>
  <si>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</si>
  <si>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</si>
  <si>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</si>
  <si>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</si>
  <si>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</si>
  <si>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</si>
  <si>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</si>
  <si>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</si>
  <si>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</si>
  <si>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</si>
  <si>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</si>
  <si>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</si>
  <si>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</si>
  <si>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</si>
  <si>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</si>
  <si>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</si>
  <si>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</si>
  <si>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</si>
  <si>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</si>
  <si>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</si>
  <si>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</si>
  <si>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</si>
  <si>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</si>
  <si>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</si>
  <si>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</si>
  <si>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</si>
  <si>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</si>
  <si>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</si>
  <si>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</si>
  <si>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</si>
  <si>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</si>
  <si>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</si>
  <si>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</si>
  <si>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</si>
  <si>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</si>
  <si>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</si>
  <si>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</si>
  <si>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</si>
  <si>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</si>
  <si>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</si>
  <si>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</si>
  <si>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</si>
  <si>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</si>
  <si>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</si>
  <si>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</si>
  <si>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</si>
  <si>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</si>
  <si>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</si>
  <si>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</si>
  <si>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</si>
  <si>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</si>
  <si>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</si>
  <si>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</si>
  <si>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</si>
  <si>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</si>
  <si>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</si>
  <si>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</si>
  <si>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</si>
  <si>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</si>
  <si>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</si>
  <si>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</si>
  <si>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</si>
  <si>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</si>
  <si>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</si>
  <si>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</si>
  <si>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</si>
  <si>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</si>
  <si>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</si>
  <si>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</si>
  <si>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</si>
  <si>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</si>
  <si>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</si>
  <si>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</si>
  <si>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</si>
  <si>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</si>
  <si>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</si>
  <si>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</si>
  <si>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</si>
  <si>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</si>
  <si>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</si>
  <si>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</si>
  <si>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</si>
  <si>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</si>
  <si>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</si>
  <si>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</si>
  <si>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</si>
  <si>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</si>
  <si>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</si>
  <si>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</si>
  <si>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</si>
  <si>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</si>
  <si>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</si>
  <si>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</si>
  <si>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</si>
  <si>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</si>
  <si>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</si>
  <si>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</si>
  <si>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</si>
  <si>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</si>
  <si>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</si>
  <si>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</si>
  <si>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</si>
  <si>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</si>
  <si>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</si>
  <si>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</si>
  <si>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</si>
  <si>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</si>
  <si>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</si>
  <si>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</si>
  <si>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</si>
  <si>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</si>
  <si>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</si>
  <si>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</si>
  <si>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</si>
  <si>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</si>
  <si>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</si>
  <si>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</si>
  <si>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</si>
  <si>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</si>
  <si>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</si>
  <si>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</si>
  <si>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</si>
  <si>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</si>
  <si>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</si>
  <si>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</si>
  <si>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</si>
  <si>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</si>
  <si>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</si>
  <si>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</si>
  <si>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</si>
  <si>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</si>
  <si>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</si>
  <si>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</si>
  <si>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</si>
  <si>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</si>
  <si>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</si>
  <si>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</si>
  <si>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</si>
  <si>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</si>
  <si>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</si>
  <si>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</si>
  <si>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</si>
  <si>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</si>
  <si>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</si>
  <si>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</si>
  <si>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</si>
  <si>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</si>
  <si>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</si>
  <si>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</si>
  <si>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</si>
  <si>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</si>
  <si>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</si>
  <si>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</si>
  <si>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</si>
  <si>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</si>
  <si>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</si>
  <si>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</si>
  <si>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</si>
  <si>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</si>
  <si>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</si>
  <si>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</si>
  <si>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</si>
  <si>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</si>
  <si>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</si>
  <si>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</si>
  <si>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</si>
  <si>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</si>
  <si>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</si>
  <si>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</si>
  <si>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</si>
  <si>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</si>
  <si>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</si>
  <si>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</si>
  <si>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</si>
  <si>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</si>
  <si>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</si>
  <si>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</si>
  <si>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</si>
  <si>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</si>
  <si>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</si>
  <si>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</si>
  <si>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</si>
  <si>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</si>
  <si>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</si>
  <si>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</si>
  <si>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</si>
  <si>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</si>
  <si>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</si>
  <si>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</si>
  <si>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</si>
  <si>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</si>
  <si>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</si>
  <si>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</si>
  <si>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</si>
  <si>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</si>
  <si>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</si>
  <si>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</si>
  <si>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</si>
  <si>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</si>
  <si>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</si>
  <si>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</si>
  <si>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</si>
  <si>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</si>
  <si>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</si>
  <si>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</si>
  <si>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</si>
  <si>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</si>
  <si>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</si>
  <si>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</si>
  <si>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</si>
  <si>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</si>
  <si>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</si>
  <si>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</si>
  <si>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</si>
  <si>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</si>
  <si>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</si>
  <si>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</si>
  <si>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</si>
  <si>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</si>
  <si>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</si>
  <si>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</si>
  <si>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</si>
  <si>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</si>
  <si>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</si>
  <si>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</si>
  <si>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</si>
  <si>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</si>
  <si>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</si>
  <si>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</si>
  <si>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</si>
  <si>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</si>
  <si>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</si>
  <si>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</si>
  <si>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</si>
  <si>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</si>
  <si>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</si>
  <si>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</si>
  <si>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</si>
  <si>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</si>
  <si>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</si>
  <si>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</si>
  <si>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</si>
  <si>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</si>
  <si>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</si>
  <si>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</si>
  <si>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</si>
  <si>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</si>
  <si>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</si>
  <si>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</si>
  <si>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</si>
  <si>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</si>
  <si>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</si>
  <si>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</si>
  <si>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</si>
  <si>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</si>
  <si>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</si>
  <si>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</si>
  <si>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</si>
  <si>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</si>
  <si>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</si>
  <si>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</si>
  <si>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</si>
  <si>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</si>
  <si>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</si>
  <si>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</si>
  <si>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</si>
  <si>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</si>
  <si>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</si>
  <si>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</si>
  <si>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</si>
  <si>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Manueller Betrag (EUR):</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</si>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</sst>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6">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3" fillId="7" borderId="11"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6"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6"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6" fillId="0" borderId="19" xfId="0" applyFont="true" applyBorder="true" applyAlignment="true">
      <alignment horizontal="left" vertical="center"/>
    </xf>
    <xf numFmtId="0" fontId="16"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7" fillId="0" borderId="0" xfId="0" applyFont="true" applyAlignment="true">
      <alignment horizontal="left" vertical="center"/>
    </xf>
    <xf numFmtId="166" fontId="17" fillId="0" borderId="0" xfId="0" applyNumberFormat="true" applyFont="true" applyAlignment="true">
      <alignment horizontal="right" vertical="center"/>
    </xf>
    <xf numFmtId="167" fontId="17"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7" fillId="0" borderId="15" xfId="0" applyFont="true" applyBorder="true" applyAlignment="true">
      <alignment horizontal="left" vertical="center"/>
    </xf>
    <xf numFmtId="166" fontId="17" fillId="0" borderId="8" xfId="0" applyNumberFormat="true" applyFont="true" applyBorder="true" applyAlignment="true">
      <alignment horizontal="right" vertical="center"/>
    </xf>
    <xf numFmtId="167" fontId="17"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8"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19" fillId="0" borderId="50" xfId="0" applyFont="true" applyBorder="true" applyAlignment="true">
      <alignment horizontal="left" vertical="center"/>
    </xf>
    <xf numFmtId="166" fontId="19" fillId="10" borderId="49" xfId="0" applyNumberFormat="true" applyFont="true" applyFill="true" applyBorder="true" applyAlignment="true">
      <alignment horizontal="right" vertical="center"/>
    </xf>
    <xf numFmtId="167" fontId="19"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0" fillId="11" borderId="0" xfId="0" applyFont="true" applyFill="true" applyAlignment="true">
      <alignment horizontal="left" vertical="center"/>
    </xf>
    <xf numFmtId="0" fontId="21" fillId="11" borderId="0" xfId="0" applyFont="true" applyFill="true" applyAlignment="true">
      <alignment horizontal="center" vertical="center"/>
    </xf>
    <xf numFmtId="0" fontId="14" fillId="0" borderId="0" xfId="0" applyFont="true" applyAlignment="true">
      <alignment horizontal="center" vertical="center"/>
    </xf>
    <xf numFmtId="0" fontId="22"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2" fillId="11" borderId="51" xfId="0" applyFont="true" applyFill="true" applyBorder="true" applyAlignment="true">
      <alignment horizontal="center" vertical="center"/>
    </xf>
    <xf numFmtId="0" fontId="22" fillId="11" borderId="7" xfId="0" applyFont="true" applyFill="true" applyBorder="true" applyAlignment="true">
      <alignment horizontal="center" vertical="center"/>
    </xf>
    <xf numFmtId="0" fontId="22"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3"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12"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2" fontId="3" fillId="5" borderId="10" xfId="0" applyNumberFormat="true"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3" fontId="3" fillId="8" borderId="21"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5" fillId="11" borderId="11" xfId="0" applyFont="true" applyFill="true" applyBorder="true" applyAlignment="true">
      <alignment horizontal="left" vertical="center"/>
    </xf>
    <xf numFmtId="166" fontId="25" fillId="11" borderId="11" xfId="0" applyNumberFormat="true" applyFont="true" applyFill="true" applyBorder="true" applyAlignment="true">
      <alignment horizontal="right" vertical="center"/>
    </xf>
    <xf numFmtId="173" fontId="25" fillId="11" borderId="11" xfId="0" applyNumberFormat="true" applyFont="true" applyFill="true" applyBorder="true" applyAlignment="true">
      <alignment horizontal="right" vertical="center"/>
    </xf>
    <xf numFmtId="167" fontId="25" fillId="11" borderId="1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wrapText="true"/>
    </xf>
    <xf numFmtId="0" fontId="24" fillId="11" borderId="7" xfId="0" applyFont="true" applyFill="true" applyBorder="true" applyAlignment="true">
      <alignment horizontal="center" vertical="center" wrapText="true"/>
    </xf>
    <xf numFmtId="0" fontId="24"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5" fillId="11" borderId="32" xfId="0" applyFont="true" applyFill="true" applyBorder="true" applyAlignment="true">
      <alignment horizontal="left" vertical="center"/>
    </xf>
    <xf numFmtId="166" fontId="25" fillId="11" borderId="33" xfId="0" applyNumberFormat="true" applyFont="true" applyFill="true" applyBorder="true" applyAlignment="true">
      <alignment horizontal="right" vertical="center"/>
    </xf>
    <xf numFmtId="173" fontId="25" fillId="11" borderId="33" xfId="0" applyNumberFormat="true" applyFont="true" applyFill="true" applyBorder="true" applyAlignment="true">
      <alignment horizontal="right" vertical="center"/>
    </xf>
    <xf numFmtId="167"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color rgb="FFA0A0A0"/>
      </font>
      <numFmt numFmtId="165" formatCode="#,##0.00&quot; €&quot;"/>
      <fill>
        <patternFill patternType="solid">
          <bgColor rgb="FFD9D9D9"/>
        </patternFill>
      </fill>
      <alignment horizontal="right" vertical="center"/>
      <border>
        <left style="thin">
          <color rgb="FFD3D3D3"/>
        </left>
        <top style="thin">
          <color rgb="FFD3D3D3"/>
        </top>
        <bottom style="thin">
          <color rgb="FFD3D3D3"/>
        </bottom>
      </border>
    </dxf>
    <dxf>
      <font>
        <name val="Segoe UI"/>
        <family val="2"/>
        <color rgb="FF000000"/>
      </font>
      <alignment/>
      <border>
        <right style="medium">
          <color rgb="FF808080"/>
        </right>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6" formatCode="#,##0.00"/>
      <fill>
        <patternFill patternType="solid">
          <bgColor rgb="FFFFC7CE"/>
        </patternFill>
      </fill>
      <alignment horizontal="right" vertical="center"/>
    </dxf>
    <dxf>
      <font>
        <name val="Segoe UI"/>
        <family val="2"/>
        <b val="1"/>
        <color rgb="FF9C0006"/>
      </font>
      <numFmt numFmtId="167" formatCode="#,##0.00&quot; €&quot;"/>
      <fill>
        <patternFill patternType="solid">
          <bgColor rgb="FFFFC7CE"/>
        </patternFill>
      </fill>
      <alignment horizontal="right" vertical="center"/>
    </dxf>
    <dxf>
      <font>
        <name val="Segoe UI"/>
        <family val="2"/>
        <b val="1"/>
        <color rgb="FF9C0006"/>
      </font>
      <numFmt numFmtId="168" formatCode="0.0%"/>
      <fill>
        <patternFill patternType="solid">
          <bgColor rgb="FFFFC7CE"/>
        </patternFill>
      </fill>
      <alignment horizontal="right" vertical="center"/>
    </dxf>
    <dxf>
      <font>
        <name val="Segoe UI"/>
        <family val="2"/>
        <b val="1"/>
        <color rgb="FF9C640C"/>
      </font>
      <numFmt numFmtId="169"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43"/>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tr">
        <f>=IFERROR(ROUND($C$11/$E$10,2),0)</f>
      </c>
      <c r="AA11" s="3" t="s">
        <v>12</v>
      </c>
    </row>
    <row r="12" ht="22" customHeight="true">
      <c r="B12" s="4" t="s">
        <v>172</v>
      </c>
      <c r="C12" s="10" t="s">
        <v>158</v>
      </c>
      <c r="D12" s="4" t="s">
        <v>169</v>
      </c>
      <c r="E12" s="11" t="s">
        <v>158</v>
      </c>
      <c r="AA12" s="3" t="s">
        <v>13</v>
      </c>
    </row>
    <row r="13" ht="22" customHeight="true">
      <c r="B13" s="4" t="s">
        <v>173</v>
      </c>
      <c r="C13" s="12" t="s">
        <v>158</v>
      </c>
      <c r="D13" s="4" t="s">
        <v>174</v>
      </c>
      <c r="E13" s="13" t="str">
        <f>=IFERROR(ROUND($C$13/$E$12,2),0)</f>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9:M12">
    <cfRule type="expression" dxfId="3" priority="2">
      <formula>$K$5="Ja"</formula>
    </cfRule>
  </conditionalFormatting>
  <conditionalFormatting sqref="E32">
    <cfRule type="expression" dxfId="4" priority="3">
      <formula>$E$32="OK"</formula>
    </cfRule>
  </conditionalFormatting>
  <conditionalFormatting sqref="E32">
    <cfRule type="expression" dxfId="5" priority="4">
      <formula>$E$32&lt;&gt;"OK"</formula>
    </cfRule>
  </conditionalFormatting>
  <conditionalFormatting sqref="E33">
    <cfRule type="expression" dxfId="4" priority="5">
      <formula>$E$33="OK"</formula>
    </cfRule>
  </conditionalFormatting>
  <conditionalFormatting sqref="E33">
    <cfRule type="expression" dxfId="5" priority="6">
      <formula>$E$33&lt;&gt;"OK"</formula>
    </cfRule>
  </conditionalFormatting>
  <conditionalFormatting sqref="E34">
    <cfRule type="expression" dxfId="4" priority="7">
      <formula>$E$34="OK"</formula>
    </cfRule>
  </conditionalFormatting>
  <conditionalFormatting sqref="E34">
    <cfRule type="expression" dxfId="5" priority="8">
      <formula>$E$34&lt;&gt;"OK"</formula>
    </cfRule>
  </conditionalFormatting>
  <conditionalFormatting sqref="E35">
    <cfRule type="expression" dxfId="4" priority="9">
      <formula>$E$35="OK"</formula>
    </cfRule>
  </conditionalFormatting>
  <conditionalFormatting sqref="E35">
    <cfRule type="expression" dxfId="5" priority="10">
      <formula>$E$35&lt;&gt;"OK"</formula>
    </cfRule>
  </conditionalFormatting>
  <conditionalFormatting sqref="E36">
    <cfRule type="expression" dxfId="6" priority="11">
      <formula>$E$36="OK"</formula>
    </cfRule>
  </conditionalFormatting>
  <conditionalFormatting sqref="E36">
    <cfRule type="expression" dxfId="7" priority="12">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c r="C5" s="92"/>
      <c r="D5" s="93"/>
      <c r="E5" s="94"/>
      <c r="Z5" t="s">
        <v>251</v>
      </c>
    </row>
    <row r="6">
      <c r="B6" s="95"/>
      <c r="C6" s="82"/>
      <c r="D6" s="83"/>
      <c r="E6" s="96"/>
      <c r="Z6" t="s">
        <v>252</v>
      </c>
    </row>
    <row r="7">
      <c r="B7" s="95"/>
      <c r="C7" s="82"/>
      <c r="D7" s="83"/>
      <c r="E7" s="96"/>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0.43"/>
    <col customWidth="true" max="6" min="3" width="20.71"/>
    <col customWidth="true" hidden="true" max="9" min="9" outlineLevel="1" width="30.43"/>
    <col customWidth="true" hidden="true" max="13" min="10" outlineLevel="1" width="20.71"/>
    <col customWidth="true" hidden="true" max="16" min="16" outlineLevel="1" width="30.43"/>
    <col customWidth="true" hidden="true" max="20" min="17" outlineLevel="1" width="20.71"/>
    <col customWidth="true" hidden="true" max="23" min="23" outlineLevel="1" width="30.43"/>
    <col customWidth="true" hidden="true" max="27" min="24" outlineLevel="1" width="20.71"/>
    <col customWidth="true" hidden="true" max="30" min="30" outlineLevel="1" width="30.43"/>
    <col customWidth="true" hidden="true" max="34" min="31" outlineLevel="1" width="20.71"/>
    <col customWidth="true" hidden="true" max="37" min="37" outlineLevel="1" width="30.43"/>
    <col customWidth="true" hidden="true" max="41" min="38" outlineLevel="1" width="20.71"/>
    <col customWidth="true" hidden="true" max="44" min="44" outlineLevel="1" width="30.43"/>
    <col customWidth="true" hidden="true" max="48" min="45" outlineLevel="1" width="20.71"/>
    <col customWidth="true" hidden="true" max="51" min="51" outlineLevel="1" width="30.43"/>
    <col customWidth="true" hidden="true" max="55" min="52" outlineLevel="1" width="20.71"/>
    <col customWidth="true" hidden="true" max="58" min="58" outlineLevel="1" width="30.43"/>
    <col customWidth="true" hidden="true" max="62" min="59" outlineLevel="1" width="20.71"/>
    <col customWidth="true" hidden="true" max="65" min="65" outlineLevel="1" width="30.43"/>
    <col customWidth="true" hidden="true" max="69" min="66" outlineLevel="1" width="20.71"/>
    <col customWidth="true" hidden="true" max="72" min="72" outlineLevel="1" width="30.43"/>
    <col customWidth="true" hidden="true" max="76" min="73" outlineLevel="1" width="20.71"/>
    <col customWidth="true" hidden="true" max="79" min="79" outlineLevel="1" width="30.43"/>
    <col customWidth="true" hidden="true" max="83" min="80" outlineLevel="1" width="20.71"/>
    <col customWidth="true" hidden="true" max="86" min="86" outlineLevel="1" width="30.43"/>
    <col customWidth="true" hidden="true" max="90" min="87" outlineLevel="1" width="20.71"/>
    <col customWidth="true" hidden="true" max="93" min="93" outlineLevel="1" width="30.43"/>
    <col customWidth="true" hidden="true" max="97" min="94" outlineLevel="1" width="20.71"/>
    <col customWidth="true" hidden="true" max="100" min="100" outlineLevel="1" width="30.43"/>
    <col customWidth="true" hidden="true" max="104" min="101" outlineLevel="1" width="20.71"/>
    <col customWidth="true" hidden="true" max="107" min="107" outlineLevel="1" width="30.43"/>
    <col customWidth="true" hidden="true" max="111" min="108" outlineLevel="1" width="20.71"/>
    <col customWidth="true" hidden="true" max="114" min="114" outlineLevel="1" width="30.43"/>
    <col customWidth="true" hidden="true" max="118" min="115" outlineLevel="1" width="20.71"/>
    <col customWidth="true" hidden="true" max="121" min="121" outlineLevel="1" width="30.43"/>
    <col customWidth="true" hidden="true" max="125" min="122" outlineLevel="1" width="20.71"/>
  </cols>
  <sheetData>
    <row r="3">
      <c r="H3" s="176" t="s">
        <v>323</v>
      </c>
      <c r="O3" s="176" t="s">
        <v>323</v>
      </c>
      <c r="V3" s="176" t="s">
        <v>323</v>
      </c>
      <c r="AC3" s="176" t="s">
        <v>323</v>
      </c>
      <c r="AJ3" s="176" t="s">
        <v>323</v>
      </c>
      <c r="AQ3" s="176" t="s">
        <v>323</v>
      </c>
      <c r="AX3" s="176" t="s">
        <v>323</v>
      </c>
      <c r="BE3" s="176" t="s">
        <v>323</v>
      </c>
      <c r="BL3" s="176" t="s">
        <v>323</v>
      </c>
      <c r="BS3" s="176" t="s">
        <v>323</v>
      </c>
      <c r="BZ3" s="176" t="s">
        <v>323</v>
      </c>
      <c r="CG3" s="176" t="s">
        <v>323</v>
      </c>
      <c r="CN3" s="176" t="s">
        <v>323</v>
      </c>
      <c r="CU3" s="176" t="s">
        <v>323</v>
      </c>
      <c r="DB3" s="176" t="s">
        <v>323</v>
      </c>
      <c r="DI3" s="176" t="s">
        <v>323</v>
      </c>
      <c r="DP3" s="176" t="s">
        <v>323</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c r="D5" s="108"/>
      <c r="F5" s="48"/>
      <c r="I5" s="138" t="s">
        <v>289</v>
      </c>
      <c r="J5" s="108"/>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c r="D6" s="108"/>
      <c r="F6" s="48"/>
      <c r="I6" s="138" t="s">
        <v>290</v>
      </c>
      <c r="J6" s="108"/>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324</v>
      </c>
      <c r="J11" s="116" t="str">
        <f>=ROUND(FB_SaldoLC_1,2)</f>
      </c>
      <c r="K11" s="117" t="str">
        <f>=ROUND(FB_SaldoEUR_1,2)</f>
      </c>
      <c r="L11" s="116" t="str">
        <f>=ROUND(FB_SaldoLC_1,2)</f>
      </c>
      <c r="M11" s="144" t="str">
        <f>=ROUND(FB_SaldoEUR_1,2)</f>
      </c>
      <c r="P11" s="143" t="s">
        <v>324</v>
      </c>
      <c r="Q11" s="116" t="str">
        <f>=ROUND(FB_SaldoLC_2,2)</f>
      </c>
      <c r="R11" s="117" t="str">
        <f>=ROUND(FB_SaldoEUR_2,2)</f>
      </c>
      <c r="S11" s="116" t="str">
        <f>=ROUND(FB_SaldoLC_2,2)</f>
      </c>
      <c r="T11" s="144" t="str">
        <f>=ROUND(FB_SaldoEUR_2,2)</f>
      </c>
      <c r="W11" s="143" t="s">
        <v>324</v>
      </c>
      <c r="X11" s="116" t="str">
        <f>=ROUND(FB_SaldoLC_3,2)</f>
      </c>
      <c r="Y11" s="117" t="str">
        <f>=ROUND(FB_SaldoEUR_3,2)</f>
      </c>
      <c r="Z11" s="116" t="str">
        <f>=ROUND(FB_SaldoLC_3,2)</f>
      </c>
      <c r="AA11" s="144" t="str">
        <f>=ROUND(FB_SaldoEUR_3,2)</f>
      </c>
      <c r="AD11" s="143" t="s">
        <v>324</v>
      </c>
      <c r="AE11" s="116" t="str">
        <f>=ROUND(FB_SaldoLC_4,2)</f>
      </c>
      <c r="AF11" s="117" t="str">
        <f>=ROUND(FB_SaldoEUR_4,2)</f>
      </c>
      <c r="AG11" s="116" t="str">
        <f>=ROUND(FB_SaldoLC_4,2)</f>
      </c>
      <c r="AH11" s="144" t="str">
        <f>=ROUND(FB_SaldoEUR_4,2)</f>
      </c>
      <c r="AK11" s="143" t="s">
        <v>324</v>
      </c>
      <c r="AL11" s="116" t="str">
        <f>=ROUND(FB_SaldoLC_5,2)</f>
      </c>
      <c r="AM11" s="117" t="str">
        <f>=ROUND(FB_SaldoEUR_5,2)</f>
      </c>
      <c r="AN11" s="116" t="str">
        <f>=ROUND(FB_SaldoLC_5,2)</f>
      </c>
      <c r="AO11" s="144" t="str">
        <f>=ROUND(FB_SaldoEUR_5,2)</f>
      </c>
      <c r="AR11" s="143" t="s">
        <v>324</v>
      </c>
      <c r="AS11" s="116" t="str">
        <f>=ROUND(FB_SaldoLC_6,2)</f>
      </c>
      <c r="AT11" s="117" t="str">
        <f>=ROUND(FB_SaldoEUR_6,2)</f>
      </c>
      <c r="AU11" s="116" t="str">
        <f>=ROUND(FB_SaldoLC_6,2)</f>
      </c>
      <c r="AV11" s="144" t="str">
        <f>=ROUND(FB_SaldoEUR_6,2)</f>
      </c>
      <c r="AY11" s="143" t="s">
        <v>324</v>
      </c>
      <c r="AZ11" s="116" t="str">
        <f>=ROUND(FB_SaldoLC_7,2)</f>
      </c>
      <c r="BA11" s="117" t="str">
        <f>=ROUND(FB_SaldoEUR_7,2)</f>
      </c>
      <c r="BB11" s="116" t="str">
        <f>=ROUND(FB_SaldoLC_7,2)</f>
      </c>
      <c r="BC11" s="144" t="str">
        <f>=ROUND(FB_SaldoEUR_7,2)</f>
      </c>
      <c r="BF11" s="143" t="s">
        <v>324</v>
      </c>
      <c r="BG11" s="116" t="str">
        <f>=ROUND(FB_SaldoLC_8,2)</f>
      </c>
      <c r="BH11" s="117" t="str">
        <f>=ROUND(FB_SaldoEUR_8,2)</f>
      </c>
      <c r="BI11" s="116" t="str">
        <f>=ROUND(FB_SaldoLC_8,2)</f>
      </c>
      <c r="BJ11" s="144" t="str">
        <f>=ROUND(FB_SaldoEUR_8,2)</f>
      </c>
      <c r="BM11" s="143" t="s">
        <v>324</v>
      </c>
      <c r="BN11" s="116" t="str">
        <f>=ROUND(FB_SaldoLC_9,2)</f>
      </c>
      <c r="BO11" s="117" t="str">
        <f>=ROUND(FB_SaldoEUR_9,2)</f>
      </c>
      <c r="BP11" s="116" t="str">
        <f>=ROUND(FB_SaldoLC_9,2)</f>
      </c>
      <c r="BQ11" s="144" t="str">
        <f>=ROUND(FB_SaldoEUR_9,2)</f>
      </c>
      <c r="BT11" s="143" t="s">
        <v>324</v>
      </c>
      <c r="BU11" s="116" t="str">
        <f>=ROUND(FB_SaldoLC_10,2)</f>
      </c>
      <c r="BV11" s="117" t="str">
        <f>=ROUND(FB_SaldoEUR_10,2)</f>
      </c>
      <c r="BW11" s="116" t="str">
        <f>=ROUND(FB_SaldoLC_10,2)</f>
      </c>
      <c r="BX11" s="144" t="str">
        <f>=ROUND(FB_SaldoEUR_10,2)</f>
      </c>
      <c r="CA11" s="143" t="s">
        <v>324</v>
      </c>
      <c r="CB11" s="116" t="str">
        <f>=ROUND(FB_SaldoLC_11,2)</f>
      </c>
      <c r="CC11" s="117" t="str">
        <f>=ROUND(FB_SaldoEUR_11,2)</f>
      </c>
      <c r="CD11" s="116" t="str">
        <f>=ROUND(FB_SaldoLC_11,2)</f>
      </c>
      <c r="CE11" s="144" t="str">
        <f>=ROUND(FB_SaldoEUR_11,2)</f>
      </c>
      <c r="CH11" s="143" t="s">
        <v>324</v>
      </c>
      <c r="CI11" s="116" t="str">
        <f>=ROUND(FB_SaldoLC_12,2)</f>
      </c>
      <c r="CJ11" s="117" t="str">
        <f>=ROUND(FB_SaldoEUR_12,2)</f>
      </c>
      <c r="CK11" s="116" t="str">
        <f>=ROUND(FB_SaldoLC_12,2)</f>
      </c>
      <c r="CL11" s="144" t="str">
        <f>=ROUND(FB_SaldoEUR_12,2)</f>
      </c>
      <c r="CO11" s="143" t="s">
        <v>324</v>
      </c>
      <c r="CP11" s="116" t="str">
        <f>=ROUND(FB_SaldoLC_13,2)</f>
      </c>
      <c r="CQ11" s="117" t="str">
        <f>=ROUND(FB_SaldoEUR_13,2)</f>
      </c>
      <c r="CR11" s="116" t="str">
        <f>=ROUND(FB_SaldoLC_13,2)</f>
      </c>
      <c r="CS11" s="144" t="str">
        <f>=ROUND(FB_SaldoEUR_13,2)</f>
      </c>
      <c r="CV11" s="143" t="s">
        <v>324</v>
      </c>
      <c r="CW11" s="116" t="str">
        <f>=ROUND(FB_SaldoLC_14,2)</f>
      </c>
      <c r="CX11" s="117" t="str">
        <f>=ROUND(FB_SaldoEUR_14,2)</f>
      </c>
      <c r="CY11" s="116" t="str">
        <f>=ROUND(FB_SaldoLC_14,2)</f>
      </c>
      <c r="CZ11" s="144" t="str">
        <f>=ROUND(FB_SaldoEUR_14,2)</f>
      </c>
      <c r="DC11" s="143" t="s">
        <v>324</v>
      </c>
      <c r="DD11" s="116" t="str">
        <f>=ROUND(FB_SaldoLC_15,2)</f>
      </c>
      <c r="DE11" s="117" t="str">
        <f>=ROUND(FB_SaldoEUR_15,2)</f>
      </c>
      <c r="DF11" s="116" t="str">
        <f>=ROUND(FB_SaldoLC_15,2)</f>
      </c>
      <c r="DG11" s="144" t="str">
        <f>=ROUND(FB_SaldoEUR_15,2)</f>
      </c>
      <c r="DJ11" s="143" t="s">
        <v>324</v>
      </c>
      <c r="DK11" s="116" t="str">
        <f>=ROUND(FB_SaldoLC_16,2)</f>
      </c>
      <c r="DL11" s="117" t="str">
        <f>=ROUND(FB_SaldoEUR_16,2)</f>
      </c>
      <c r="DM11" s="116" t="str">
        <f>=ROUND(FB_SaldoLC_16,2)</f>
      </c>
      <c r="DN11" s="144" t="str">
        <f>=ROUND(FB_SaldoEUR_16,2)</f>
      </c>
      <c r="DQ11" s="143" t="s">
        <v>324</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c r="D19" s="117" t="str">
        <f>=IFERROR(ROUND(C19/FB_Kurs_1,2),0)</f>
      </c>
      <c r="E19" s="116" t="str">
        <f>=ROUND(C19,2)</f>
      </c>
      <c r="F19" s="144" t="str">
        <f>=ROUND(D19,2)</f>
      </c>
      <c r="I19" s="149" t="s">
        <v>206</v>
      </c>
      <c r="J19" s="24"/>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c r="D22" s="117" t="str">
        <f>=IFERROR(ROUND(C22/FB_Kurs_1,2),0)</f>
      </c>
      <c r="E22" s="116" t="str">
        <f>=ROUND(C22,2)</f>
      </c>
      <c r="F22" s="144" t="str">
        <f>=ROUND(D22,2)</f>
      </c>
      <c r="I22" s="149" t="s">
        <v>214</v>
      </c>
      <c r="J22" s="24"/>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c r="D23" s="117" t="str">
        <f>=IFERROR(ROUND(C23/FB_Kurs_1,2),0)</f>
      </c>
      <c r="E23" s="116" t="str">
        <f>=ROUND(C23,2)</f>
      </c>
      <c r="F23" s="144" t="str">
        <f>=ROUND(D23,2)</f>
      </c>
      <c r="I23" s="149" t="s">
        <v>216</v>
      </c>
      <c r="J23" s="24"/>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c r="D24" s="117" t="str">
        <f>=IFERROR(ROUND(C24/FB_Kurs_1,2),0)</f>
      </c>
      <c r="E24" s="116" t="str">
        <f>=ROUND(C24,2)</f>
      </c>
      <c r="F24" s="144" t="str">
        <f>=ROUND(D24,2)</f>
      </c>
      <c r="I24" s="149" t="s">
        <v>219</v>
      </c>
      <c r="J24" s="24"/>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c r="D25" s="117" t="str">
        <f>=IFERROR(ROUND(C25/FB_Kurs_1,2),0)</f>
      </c>
      <c r="E25" s="116" t="str">
        <f>=ROUND(C25,2)</f>
      </c>
      <c r="F25" s="144" t="str">
        <f>=ROUND(D25,2)</f>
      </c>
      <c r="I25" s="149" t="s">
        <v>222</v>
      </c>
      <c r="J25" s="24"/>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c r="D27" s="117" t="str">
        <f>=IFERROR(ROUND(C27/FB_Kurs_1,2),0)</f>
      </c>
      <c r="E27" s="116" t="str">
        <f>=ROUND(C27,2)</f>
      </c>
      <c r="F27" s="144" t="str">
        <f>=ROUND(D27,2)</f>
      </c>
      <c r="I27" s="149" t="s">
        <v>228</v>
      </c>
      <c r="J27" s="24"/>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c r="D34" s="130" t="str">
        <f>=IF(C34=0, 0, IF(ROUND(SUM(C35:C36), 2)=0, ROUND(D31 - 0, 2), ROUND(C34 / ROUND(SUM(C34:C36), 2) * D31, 2)))</f>
      </c>
      <c r="F34" s="48"/>
      <c r="I34" s="154" t="s">
        <v>311</v>
      </c>
      <c r="J34" s="129"/>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325</v>
      </c>
      <c r="J43" s="161" t="s">
        <v>158</v>
      </c>
      <c r="K43" s="162" t="str">
        <f>=ROUND(J11,2)</f>
      </c>
      <c r="L43" s="163" t="str">
        <f>=ROUND(K11,2)</f>
      </c>
      <c r="M43" s="164" t="str">
        <f>=ROUND(IFERROR(K43/L43,0),6)</f>
      </c>
      <c r="P43" s="160" t="s">
        <v>325</v>
      </c>
      <c r="Q43" s="161" t="s">
        <v>158</v>
      </c>
      <c r="R43" s="162" t="str">
        <f>=ROUND(Q11,2)</f>
      </c>
      <c r="S43" s="163" t="str">
        <f>=ROUND(R11,2)</f>
      </c>
      <c r="T43" s="164" t="str">
        <f>=ROUND(IFERROR(R43/S43,0),6)</f>
      </c>
      <c r="W43" s="160" t="s">
        <v>325</v>
      </c>
      <c r="X43" s="161" t="s">
        <v>158</v>
      </c>
      <c r="Y43" s="162" t="str">
        <f>=ROUND(X11,2)</f>
      </c>
      <c r="Z43" s="163" t="str">
        <f>=ROUND(Y11,2)</f>
      </c>
      <c r="AA43" s="164" t="str">
        <f>=ROUND(IFERROR(Y43/Z43,0),6)</f>
      </c>
      <c r="AD43" s="160" t="s">
        <v>325</v>
      </c>
      <c r="AE43" s="161" t="s">
        <v>158</v>
      </c>
      <c r="AF43" s="162" t="str">
        <f>=ROUND(AE11,2)</f>
      </c>
      <c r="AG43" s="163" t="str">
        <f>=ROUND(AF11,2)</f>
      </c>
      <c r="AH43" s="164" t="str">
        <f>=ROUND(IFERROR(AF43/AG43,0),6)</f>
      </c>
      <c r="AK43" s="160" t="s">
        <v>325</v>
      </c>
      <c r="AL43" s="161" t="s">
        <v>158</v>
      </c>
      <c r="AM43" s="162" t="str">
        <f>=ROUND(AL11,2)</f>
      </c>
      <c r="AN43" s="163" t="str">
        <f>=ROUND(AM11,2)</f>
      </c>
      <c r="AO43" s="164" t="str">
        <f>=ROUND(IFERROR(AM43/AN43,0),6)</f>
      </c>
      <c r="AR43" s="160" t="s">
        <v>325</v>
      </c>
      <c r="AS43" s="161" t="s">
        <v>158</v>
      </c>
      <c r="AT43" s="162" t="str">
        <f>=ROUND(AS11,2)</f>
      </c>
      <c r="AU43" s="163" t="str">
        <f>=ROUND(AT11,2)</f>
      </c>
      <c r="AV43" s="164" t="str">
        <f>=ROUND(IFERROR(AT43/AU43,0),6)</f>
      </c>
      <c r="AY43" s="160" t="s">
        <v>325</v>
      </c>
      <c r="AZ43" s="161" t="s">
        <v>158</v>
      </c>
      <c r="BA43" s="162" t="str">
        <f>=ROUND(AZ11,2)</f>
      </c>
      <c r="BB43" s="163" t="str">
        <f>=ROUND(BA11,2)</f>
      </c>
      <c r="BC43" s="164" t="str">
        <f>=ROUND(IFERROR(BA43/BB43,0),6)</f>
      </c>
      <c r="BF43" s="160" t="s">
        <v>325</v>
      </c>
      <c r="BG43" s="161" t="s">
        <v>158</v>
      </c>
      <c r="BH43" s="162" t="str">
        <f>=ROUND(BG11,2)</f>
      </c>
      <c r="BI43" s="163" t="str">
        <f>=ROUND(BH11,2)</f>
      </c>
      <c r="BJ43" s="164" t="str">
        <f>=ROUND(IFERROR(BH43/BI43,0),6)</f>
      </c>
      <c r="BM43" s="160" t="s">
        <v>325</v>
      </c>
      <c r="BN43" s="161" t="s">
        <v>158</v>
      </c>
      <c r="BO43" s="162" t="str">
        <f>=ROUND(BN11,2)</f>
      </c>
      <c r="BP43" s="163" t="str">
        <f>=ROUND(BO11,2)</f>
      </c>
      <c r="BQ43" s="164" t="str">
        <f>=ROUND(IFERROR(BO43/BP43,0),6)</f>
      </c>
      <c r="BT43" s="160" t="s">
        <v>325</v>
      </c>
      <c r="BU43" s="161" t="s">
        <v>158</v>
      </c>
      <c r="BV43" s="162" t="str">
        <f>=ROUND(BU11,2)</f>
      </c>
      <c r="BW43" s="163" t="str">
        <f>=ROUND(BV11,2)</f>
      </c>
      <c r="BX43" s="164" t="str">
        <f>=ROUND(IFERROR(BV43/BW43,0),6)</f>
      </c>
      <c r="CA43" s="160" t="s">
        <v>325</v>
      </c>
      <c r="CB43" s="161" t="s">
        <v>158</v>
      </c>
      <c r="CC43" s="162" t="str">
        <f>=ROUND(CB11,2)</f>
      </c>
      <c r="CD43" s="163" t="str">
        <f>=ROUND(CC11,2)</f>
      </c>
      <c r="CE43" s="164" t="str">
        <f>=ROUND(IFERROR(CC43/CD43,0),6)</f>
      </c>
      <c r="CH43" s="160" t="s">
        <v>325</v>
      </c>
      <c r="CI43" s="161" t="s">
        <v>158</v>
      </c>
      <c r="CJ43" s="162" t="str">
        <f>=ROUND(CI11,2)</f>
      </c>
      <c r="CK43" s="163" t="str">
        <f>=ROUND(CJ11,2)</f>
      </c>
      <c r="CL43" s="164" t="str">
        <f>=ROUND(IFERROR(CJ43/CK43,0),6)</f>
      </c>
      <c r="CO43" s="160" t="s">
        <v>325</v>
      </c>
      <c r="CP43" s="161" t="s">
        <v>158</v>
      </c>
      <c r="CQ43" s="162" t="str">
        <f>=ROUND(CP11,2)</f>
      </c>
      <c r="CR43" s="163" t="str">
        <f>=ROUND(CQ11,2)</f>
      </c>
      <c r="CS43" s="164" t="str">
        <f>=ROUND(IFERROR(CQ43/CR43,0),6)</f>
      </c>
      <c r="CV43" s="160" t="s">
        <v>325</v>
      </c>
      <c r="CW43" s="161" t="s">
        <v>158</v>
      </c>
      <c r="CX43" s="162" t="str">
        <f>=ROUND(CW11,2)</f>
      </c>
      <c r="CY43" s="163" t="str">
        <f>=ROUND(CX11,2)</f>
      </c>
      <c r="CZ43" s="164" t="str">
        <f>=ROUND(IFERROR(CX43/CY43,0),6)</f>
      </c>
      <c r="DC43" s="160" t="s">
        <v>325</v>
      </c>
      <c r="DD43" s="161" t="s">
        <v>158</v>
      </c>
      <c r="DE43" s="162" t="str">
        <f>=ROUND(DD11,2)</f>
      </c>
      <c r="DF43" s="163" t="str">
        <f>=ROUND(DE11,2)</f>
      </c>
      <c r="DG43" s="164" t="str">
        <f>=ROUND(IFERROR(DE43/DF43,0),6)</f>
      </c>
      <c r="DJ43" s="160" t="s">
        <v>325</v>
      </c>
      <c r="DK43" s="161" t="s">
        <v>158</v>
      </c>
      <c r="DL43" s="162" t="str">
        <f>=ROUND(DK11,2)</f>
      </c>
      <c r="DM43" s="163" t="str">
        <f>=ROUND(DL11,2)</f>
      </c>
      <c r="DN43" s="164" t="str">
        <f>=ROUND(IFERROR(DL43/DM43,0),6)</f>
      </c>
      <c r="DQ43" s="160" t="s">
        <v>325</v>
      </c>
      <c r="DR43" s="161" t="s">
        <v>158</v>
      </c>
      <c r="DS43" s="162" t="str">
        <f>=ROUND(DR11,2)</f>
      </c>
      <c r="DT43" s="163" t="str">
        <f>=ROUND(DS11,2)</f>
      </c>
      <c r="DU43" s="164" t="str">
        <f>=ROUND(IFERROR(DS43/DT43,0),6)</f>
      </c>
    </row>
    <row r="44">
      <c r="B44" s="165" t="s">
        <v>199</v>
      </c>
      <c r="C44" s="166" t="s">
        <v>158</v>
      </c>
      <c r="D44" s="167"/>
      <c r="E44" s="168"/>
      <c r="F44" s="169" t="str">
        <f>=ROUND(IFERROR(D44/E44,0),6)</f>
      </c>
      <c r="I44" s="165" t="s">
        <v>199</v>
      </c>
      <c r="J44" s="166" t="s">
        <v>158</v>
      </c>
      <c r="K44" s="167"/>
      <c r="L44" s="168"/>
      <c r="M44" s="169" t="str">
        <f>=ROUND(IFERROR(K44/L44,0),6)</f>
      </c>
      <c r="P44" s="165" t="s">
        <v>199</v>
      </c>
      <c r="Q44" s="166" t="s">
        <v>158</v>
      </c>
      <c r="R44" s="167"/>
      <c r="S44" s="168"/>
      <c r="T44" s="169" t="str">
        <f>=ROUND(IFERROR(R44/S44,0),6)</f>
      </c>
      <c r="W44" s="165" t="s">
        <v>199</v>
      </c>
      <c r="X44" s="166" t="s">
        <v>158</v>
      </c>
      <c r="Y44" s="167"/>
      <c r="Z44" s="168"/>
      <c r="AA44" s="169" t="str">
        <f>=ROUND(IFERROR(Y44/Z44,0),6)</f>
      </c>
      <c r="AD44" s="165" t="s">
        <v>199</v>
      </c>
      <c r="AE44" s="166" t="s">
        <v>158</v>
      </c>
      <c r="AF44" s="167"/>
      <c r="AG44" s="168"/>
      <c r="AH44" s="169" t="str">
        <f>=ROUND(IFERROR(AF44/AG44,0),6)</f>
      </c>
      <c r="AK44" s="165" t="s">
        <v>199</v>
      </c>
      <c r="AL44" s="166" t="s">
        <v>158</v>
      </c>
      <c r="AM44" s="167"/>
      <c r="AN44" s="168"/>
      <c r="AO44" s="169" t="str">
        <f>=ROUND(IFERROR(AM44/AN44,0),6)</f>
      </c>
      <c r="AR44" s="165" t="s">
        <v>199</v>
      </c>
      <c r="AS44" s="166" t="s">
        <v>158</v>
      </c>
      <c r="AT44" s="167"/>
      <c r="AU44" s="168"/>
      <c r="AV44" s="169" t="str">
        <f>=ROUND(IFERROR(AT44/AU44,0),6)</f>
      </c>
      <c r="AY44" s="165" t="s">
        <v>199</v>
      </c>
      <c r="AZ44" s="166" t="s">
        <v>158</v>
      </c>
      <c r="BA44" s="167"/>
      <c r="BB44" s="168"/>
      <c r="BC44" s="169" t="str">
        <f>=ROUND(IFERROR(BA44/BB44,0),6)</f>
      </c>
      <c r="BF44" s="165" t="s">
        <v>199</v>
      </c>
      <c r="BG44" s="166" t="s">
        <v>158</v>
      </c>
      <c r="BH44" s="167"/>
      <c r="BI44" s="168"/>
      <c r="BJ44" s="169" t="str">
        <f>=ROUND(IFERROR(BH44/BI44,0),6)</f>
      </c>
      <c r="BM44" s="165" t="s">
        <v>199</v>
      </c>
      <c r="BN44" s="166" t="s">
        <v>158</v>
      </c>
      <c r="BO44" s="167"/>
      <c r="BP44" s="168"/>
      <c r="BQ44" s="169" t="str">
        <f>=ROUND(IFERROR(BO44/BP44,0),6)</f>
      </c>
      <c r="BT44" s="165" t="s">
        <v>199</v>
      </c>
      <c r="BU44" s="166" t="s">
        <v>158</v>
      </c>
      <c r="BV44" s="167"/>
      <c r="BW44" s="168"/>
      <c r="BX44" s="169" t="str">
        <f>=ROUND(IFERROR(BV44/BW44,0),6)</f>
      </c>
      <c r="CA44" s="165" t="s">
        <v>199</v>
      </c>
      <c r="CB44" s="166" t="s">
        <v>158</v>
      </c>
      <c r="CC44" s="167"/>
      <c r="CD44" s="168"/>
      <c r="CE44" s="169" t="str">
        <f>=ROUND(IFERROR(CC44/CD44,0),6)</f>
      </c>
      <c r="CH44" s="165" t="s">
        <v>199</v>
      </c>
      <c r="CI44" s="166" t="s">
        <v>158</v>
      </c>
      <c r="CJ44" s="167"/>
      <c r="CK44" s="168"/>
      <c r="CL44" s="169" t="str">
        <f>=ROUND(IFERROR(CJ44/CK44,0),6)</f>
      </c>
      <c r="CO44" s="165" t="s">
        <v>199</v>
      </c>
      <c r="CP44" s="166" t="s">
        <v>158</v>
      </c>
      <c r="CQ44" s="167"/>
      <c r="CR44" s="168"/>
      <c r="CS44" s="169" t="str">
        <f>=ROUND(IFERROR(CQ44/CR44,0),6)</f>
      </c>
      <c r="CV44" s="165" t="s">
        <v>199</v>
      </c>
      <c r="CW44" s="166" t="s">
        <v>158</v>
      </c>
      <c r="CX44" s="167"/>
      <c r="CY44" s="168"/>
      <c r="CZ44" s="169" t="str">
        <f>=ROUND(IFERROR(CX44/CY44,0),6)</f>
      </c>
      <c r="DC44" s="165" t="s">
        <v>199</v>
      </c>
      <c r="DD44" s="166" t="s">
        <v>158</v>
      </c>
      <c r="DE44" s="167"/>
      <c r="DF44" s="168"/>
      <c r="DG44" s="169" t="str">
        <f>=ROUND(IFERROR(DE44/DF44,0),6)</f>
      </c>
      <c r="DJ44" s="165" t="s">
        <v>199</v>
      </c>
      <c r="DK44" s="166" t="s">
        <v>158</v>
      </c>
      <c r="DL44" s="167"/>
      <c r="DM44" s="168"/>
      <c r="DN44" s="169" t="str">
        <f>=ROUND(IFERROR(DL44/DM44,0),6)</f>
      </c>
      <c r="DQ44" s="165" t="s">
        <v>199</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320</v>
      </c>
      <c r="C48" s="171" t="s">
        <v>292</v>
      </c>
      <c r="D48" s="172" t="str">
        <f>=ROUND(SUBTOTAL(109,$D$43:$D$47),2)</f>
      </c>
      <c r="E48" s="173" t="str">
        <f>=ROUND(SUBTOTAL(109,$E$43:$E$47),2)</f>
      </c>
      <c r="F48" s="174" t="str">
        <f>=ROUND(IFERROR(D48/E48,0),6)</f>
      </c>
      <c r="I48" s="170" t="s">
        <v>320</v>
      </c>
      <c r="J48" s="171" t="s">
        <v>292</v>
      </c>
      <c r="K48" s="172" t="str">
        <f>=ROUND(SUBTOTAL(109,$K$43:$K$47),2)</f>
      </c>
      <c r="L48" s="173" t="str">
        <f>=ROUND(SUBTOTAL(109,$L$43:$L$47),2)</f>
      </c>
      <c r="M48" s="174" t="str">
        <f>=ROUND(IFERROR(K48/L48,0),6)</f>
      </c>
      <c r="P48" s="170" t="s">
        <v>320</v>
      </c>
      <c r="Q48" s="171" t="s">
        <v>292</v>
      </c>
      <c r="R48" s="172" t="str">
        <f>=ROUND(SUBTOTAL(109,$R$43:$R$47),2)</f>
      </c>
      <c r="S48" s="173" t="str">
        <f>=ROUND(SUBTOTAL(109,$S$43:$S$47),2)</f>
      </c>
      <c r="T48" s="174" t="str">
        <f>=ROUND(IFERROR(R48/S48,0),6)</f>
      </c>
      <c r="W48" s="170" t="s">
        <v>320</v>
      </c>
      <c r="X48" s="171" t="s">
        <v>292</v>
      </c>
      <c r="Y48" s="172" t="str">
        <f>=ROUND(SUBTOTAL(109,$Y$43:$Y$47),2)</f>
      </c>
      <c r="Z48" s="173" t="str">
        <f>=ROUND(SUBTOTAL(109,$Z$43:$Z$47),2)</f>
      </c>
      <c r="AA48" s="174" t="str">
        <f>=ROUND(IFERROR(Y48/Z48,0),6)</f>
      </c>
      <c r="AD48" s="170" t="s">
        <v>320</v>
      </c>
      <c r="AE48" s="171" t="s">
        <v>292</v>
      </c>
      <c r="AF48" s="172" t="str">
        <f>=ROUND(SUBTOTAL(109,$AF$43:$AF$47),2)</f>
      </c>
      <c r="AG48" s="173" t="str">
        <f>=ROUND(SUBTOTAL(109,$AG$43:$AG$47),2)</f>
      </c>
      <c r="AH48" s="174" t="str">
        <f>=ROUND(IFERROR(AF48/AG48,0),6)</f>
      </c>
      <c r="AK48" s="170" t="s">
        <v>320</v>
      </c>
      <c r="AL48" s="171" t="s">
        <v>292</v>
      </c>
      <c r="AM48" s="172" t="str">
        <f>=ROUND(SUBTOTAL(109,$AM$43:$AM$47),2)</f>
      </c>
      <c r="AN48" s="173" t="str">
        <f>=ROUND(SUBTOTAL(109,$AN$43:$AN$47),2)</f>
      </c>
      <c r="AO48" s="174" t="str">
        <f>=ROUND(IFERROR(AM48/AN48,0),6)</f>
      </c>
      <c r="AR48" s="170" t="s">
        <v>320</v>
      </c>
      <c r="AS48" s="171" t="s">
        <v>292</v>
      </c>
      <c r="AT48" s="172" t="str">
        <f>=ROUND(SUBTOTAL(109,$AT$43:$AT$47),2)</f>
      </c>
      <c r="AU48" s="173" t="str">
        <f>=ROUND(SUBTOTAL(109,$AU$43:$AU$47),2)</f>
      </c>
      <c r="AV48" s="174" t="str">
        <f>=ROUND(IFERROR(AT48/AU48,0),6)</f>
      </c>
      <c r="AY48" s="170" t="s">
        <v>320</v>
      </c>
      <c r="AZ48" s="171" t="s">
        <v>292</v>
      </c>
      <c r="BA48" s="172" t="str">
        <f>=ROUND(SUBTOTAL(109,$BA$43:$BA$47),2)</f>
      </c>
      <c r="BB48" s="173" t="str">
        <f>=ROUND(SUBTOTAL(109,$BB$43:$BB$47),2)</f>
      </c>
      <c r="BC48" s="174" t="str">
        <f>=ROUND(IFERROR(BA48/BB48,0),6)</f>
      </c>
      <c r="BF48" s="170" t="s">
        <v>320</v>
      </c>
      <c r="BG48" s="171" t="s">
        <v>292</v>
      </c>
      <c r="BH48" s="172" t="str">
        <f>=ROUND(SUBTOTAL(109,$BH$43:$BH$47),2)</f>
      </c>
      <c r="BI48" s="173" t="str">
        <f>=ROUND(SUBTOTAL(109,$BI$43:$BI$47),2)</f>
      </c>
      <c r="BJ48" s="174" t="str">
        <f>=ROUND(IFERROR(BH48/BI48,0),6)</f>
      </c>
      <c r="BM48" s="170" t="s">
        <v>320</v>
      </c>
      <c r="BN48" s="171" t="s">
        <v>292</v>
      </c>
      <c r="BO48" s="172" t="str">
        <f>=ROUND(SUBTOTAL(109,$BO$43:$BO$47),2)</f>
      </c>
      <c r="BP48" s="173" t="str">
        <f>=ROUND(SUBTOTAL(109,$BP$43:$BP$47),2)</f>
      </c>
      <c r="BQ48" s="174" t="str">
        <f>=ROUND(IFERROR(BO48/BP48,0),6)</f>
      </c>
      <c r="BT48" s="170" t="s">
        <v>320</v>
      </c>
      <c r="BU48" s="171" t="s">
        <v>292</v>
      </c>
      <c r="BV48" s="172" t="str">
        <f>=ROUND(SUBTOTAL(109,$BV$43:$BV$47),2)</f>
      </c>
      <c r="BW48" s="173" t="str">
        <f>=ROUND(SUBTOTAL(109,$BW$43:$BW$47),2)</f>
      </c>
      <c r="BX48" s="174" t="str">
        <f>=ROUND(IFERROR(BV48/BW48,0),6)</f>
      </c>
      <c r="CA48" s="170" t="s">
        <v>320</v>
      </c>
      <c r="CB48" s="171" t="s">
        <v>292</v>
      </c>
      <c r="CC48" s="172" t="str">
        <f>=ROUND(SUBTOTAL(109,$CC$43:$CC$47),2)</f>
      </c>
      <c r="CD48" s="173" t="str">
        <f>=ROUND(SUBTOTAL(109,$CD$43:$CD$47),2)</f>
      </c>
      <c r="CE48" s="174" t="str">
        <f>=ROUND(IFERROR(CC48/CD48,0),6)</f>
      </c>
      <c r="CH48" s="170" t="s">
        <v>320</v>
      </c>
      <c r="CI48" s="171" t="s">
        <v>292</v>
      </c>
      <c r="CJ48" s="172" t="str">
        <f>=ROUND(SUBTOTAL(109,$CJ$43:$CJ$47),2)</f>
      </c>
      <c r="CK48" s="173" t="str">
        <f>=ROUND(SUBTOTAL(109,$CK$43:$CK$47),2)</f>
      </c>
      <c r="CL48" s="174" t="str">
        <f>=ROUND(IFERROR(CJ48/CK48,0),6)</f>
      </c>
      <c r="CO48" s="170" t="s">
        <v>320</v>
      </c>
      <c r="CP48" s="171" t="s">
        <v>292</v>
      </c>
      <c r="CQ48" s="172" t="str">
        <f>=ROUND(SUBTOTAL(109,$CQ$43:$CQ$47),2)</f>
      </c>
      <c r="CR48" s="173" t="str">
        <f>=ROUND(SUBTOTAL(109,$CR$43:$CR$47),2)</f>
      </c>
      <c r="CS48" s="174" t="str">
        <f>=ROUND(IFERROR(CQ48/CR48,0),6)</f>
      </c>
      <c r="CV48" s="170" t="s">
        <v>320</v>
      </c>
      <c r="CW48" s="171" t="s">
        <v>292</v>
      </c>
      <c r="CX48" s="172" t="str">
        <f>=ROUND(SUBTOTAL(109,$CX$43:$CX$47),2)</f>
      </c>
      <c r="CY48" s="173" t="str">
        <f>=ROUND(SUBTOTAL(109,$CY$43:$CY$47),2)</f>
      </c>
      <c r="CZ48" s="174" t="str">
        <f>=ROUND(IFERROR(CX48/CY48,0),6)</f>
      </c>
      <c r="DC48" s="170" t="s">
        <v>320</v>
      </c>
      <c r="DD48" s="171" t="s">
        <v>292</v>
      </c>
      <c r="DE48" s="172" t="str">
        <f>=ROUND(SUBTOTAL(109,$DE$43:$DE$47),2)</f>
      </c>
      <c r="DF48" s="173" t="str">
        <f>=ROUND(SUBTOTAL(109,$DF$43:$DF$47),2)</f>
      </c>
      <c r="DG48" s="174" t="str">
        <f>=ROUND(IFERROR(DE48/DF48,0),6)</f>
      </c>
      <c r="DJ48" s="170" t="s">
        <v>320</v>
      </c>
      <c r="DK48" s="171" t="s">
        <v>292</v>
      </c>
      <c r="DL48" s="172" t="str">
        <f>=ROUND(SUBTOTAL(109,$DL$43:$DL$47),2)</f>
      </c>
      <c r="DM48" s="173" t="str">
        <f>=ROUND(SUBTOTAL(109,$DM$43:$DM$47),2)</f>
      </c>
      <c r="DN48" s="174" t="str">
        <f>=ROUND(IFERROR(DL48/DM48,0),6)</f>
      </c>
      <c r="DQ48" s="170" t="s">
        <v>320</v>
      </c>
      <c r="DR48" s="171" t="s">
        <v>292</v>
      </c>
      <c r="DS48" s="172" t="str">
        <f>=ROUND(SUBTOTAL(109,$DS$43:$DS$47),2)</f>
      </c>
      <c r="DT48" s="173" t="str">
        <f>=ROUND(SUBTOTAL(109,$DT$43:$DT$47),2)</f>
      </c>
      <c r="DU48" s="174" t="str">
        <f>=ROUND(IFERROR(DS48/DT48,0),6)</f>
      </c>
    </row>
    <row r="50">
      <c r="B50" s="105" t="s">
        <v>321</v>
      </c>
      <c r="I50" s="105" t="s">
        <v>321</v>
      </c>
      <c r="P50" s="105" t="s">
        <v>321</v>
      </c>
      <c r="W50" s="105" t="s">
        <v>321</v>
      </c>
      <c r="AD50" s="105" t="s">
        <v>321</v>
      </c>
      <c r="AK50" s="105" t="s">
        <v>321</v>
      </c>
      <c r="AR50" s="105" t="s">
        <v>321</v>
      </c>
      <c r="AY50" s="105" t="s">
        <v>321</v>
      </c>
      <c r="BF50" s="105" t="s">
        <v>321</v>
      </c>
      <c r="BM50" s="105" t="s">
        <v>321</v>
      </c>
      <c r="BT50" s="105" t="s">
        <v>321</v>
      </c>
      <c r="CA50" s="105" t="s">
        <v>321</v>
      </c>
      <c r="CH50" s="105" t="s">
        <v>321</v>
      </c>
      <c r="CO50" s="105" t="s">
        <v>321</v>
      </c>
      <c r="CV50" s="105" t="s">
        <v>321</v>
      </c>
      <c r="DC50" s="105" t="s">
        <v>321</v>
      </c>
      <c r="DJ50" s="105" t="s">
        <v>321</v>
      </c>
      <c r="DQ50" s="105" t="s">
        <v>321</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158</v>
      </c>
      <c r="D52" s="167"/>
      <c r="E52" s="175" t="str">
        <f>=IFERROR(ROUND(D52/$C$8,2),0)</f>
      </c>
      <c r="F52" s="169" t="str">
        <f>=ROUND(IFERROR(D52/E52,0),6)</f>
      </c>
      <c r="I52" s="165" t="s">
        <v>194</v>
      </c>
      <c r="J52" s="166" t="s">
        <v>158</v>
      </c>
      <c r="K52" s="167"/>
      <c r="L52" s="175" t="str">
        <f>=IFERROR(ROUND(K52/$J$8,2),0)</f>
      </c>
      <c r="M52" s="169" t="str">
        <f>=ROUND(IFERROR(K52/L52,0),6)</f>
      </c>
      <c r="P52" s="165" t="s">
        <v>194</v>
      </c>
      <c r="Q52" s="166" t="s">
        <v>158</v>
      </c>
      <c r="R52" s="167"/>
      <c r="S52" s="175" t="str">
        <f>=IFERROR(ROUND(R52/$Q$8,2),0)</f>
      </c>
      <c r="T52" s="169" t="str">
        <f>=ROUND(IFERROR(R52/S52,0),6)</f>
      </c>
      <c r="W52" s="165" t="s">
        <v>194</v>
      </c>
      <c r="X52" s="166" t="s">
        <v>158</v>
      </c>
      <c r="Y52" s="167"/>
      <c r="Z52" s="175" t="str">
        <f>=IFERROR(ROUND(Y52/$X$8,2),0)</f>
      </c>
      <c r="AA52" s="169" t="str">
        <f>=ROUND(IFERROR(Y52/Z52,0),6)</f>
      </c>
      <c r="AD52" s="165" t="s">
        <v>194</v>
      </c>
      <c r="AE52" s="166" t="s">
        <v>158</v>
      </c>
      <c r="AF52" s="167"/>
      <c r="AG52" s="175" t="str">
        <f>=IFERROR(ROUND(AF52/$AE$8,2),0)</f>
      </c>
      <c r="AH52" s="169" t="str">
        <f>=ROUND(IFERROR(AF52/AG52,0),6)</f>
      </c>
      <c r="AK52" s="165" t="s">
        <v>194</v>
      </c>
      <c r="AL52" s="166" t="s">
        <v>158</v>
      </c>
      <c r="AM52" s="167"/>
      <c r="AN52" s="175" t="str">
        <f>=IFERROR(ROUND(AM52/$AL$8,2),0)</f>
      </c>
      <c r="AO52" s="169" t="str">
        <f>=ROUND(IFERROR(AM52/AN52,0),6)</f>
      </c>
      <c r="AR52" s="165" t="s">
        <v>194</v>
      </c>
      <c r="AS52" s="166" t="s">
        <v>158</v>
      </c>
      <c r="AT52" s="167"/>
      <c r="AU52" s="175" t="str">
        <f>=IFERROR(ROUND(AT52/$AS$8,2),0)</f>
      </c>
      <c r="AV52" s="169" t="str">
        <f>=ROUND(IFERROR(AT52/AU52,0),6)</f>
      </c>
      <c r="AY52" s="165" t="s">
        <v>194</v>
      </c>
      <c r="AZ52" s="166" t="s">
        <v>158</v>
      </c>
      <c r="BA52" s="167"/>
      <c r="BB52" s="175" t="str">
        <f>=IFERROR(ROUND(BA52/$AZ$8,2),0)</f>
      </c>
      <c r="BC52" s="169" t="str">
        <f>=ROUND(IFERROR(BA52/BB52,0),6)</f>
      </c>
      <c r="BF52" s="165" t="s">
        <v>194</v>
      </c>
      <c r="BG52" s="166" t="s">
        <v>158</v>
      </c>
      <c r="BH52" s="167"/>
      <c r="BI52" s="175" t="str">
        <f>=IFERROR(ROUND(BH52/$BG$8,2),0)</f>
      </c>
      <c r="BJ52" s="169" t="str">
        <f>=ROUND(IFERROR(BH52/BI52,0),6)</f>
      </c>
      <c r="BM52" s="165" t="s">
        <v>194</v>
      </c>
      <c r="BN52" s="166" t="s">
        <v>158</v>
      </c>
      <c r="BO52" s="167"/>
      <c r="BP52" s="175" t="str">
        <f>=IFERROR(ROUND(BO52/$BN$8,2),0)</f>
      </c>
      <c r="BQ52" s="169" t="str">
        <f>=ROUND(IFERROR(BO52/BP52,0),6)</f>
      </c>
      <c r="BT52" s="165" t="s">
        <v>194</v>
      </c>
      <c r="BU52" s="166" t="s">
        <v>158</v>
      </c>
      <c r="BV52" s="167"/>
      <c r="BW52" s="175" t="str">
        <f>=IFERROR(ROUND(BV52/$BU$8,2),0)</f>
      </c>
      <c r="BX52" s="169" t="str">
        <f>=ROUND(IFERROR(BV52/BW52,0),6)</f>
      </c>
      <c r="CA52" s="165" t="s">
        <v>194</v>
      </c>
      <c r="CB52" s="166" t="s">
        <v>158</v>
      </c>
      <c r="CC52" s="167"/>
      <c r="CD52" s="175" t="str">
        <f>=IFERROR(ROUND(CC52/$CB$8,2),0)</f>
      </c>
      <c r="CE52" s="169" t="str">
        <f>=ROUND(IFERROR(CC52/CD52,0),6)</f>
      </c>
      <c r="CH52" s="165" t="s">
        <v>194</v>
      </c>
      <c r="CI52" s="166" t="s">
        <v>158</v>
      </c>
      <c r="CJ52" s="167"/>
      <c r="CK52" s="175" t="str">
        <f>=IFERROR(ROUND(CJ52/$CI$8,2),0)</f>
      </c>
      <c r="CL52" s="169" t="str">
        <f>=ROUND(IFERROR(CJ52/CK52,0),6)</f>
      </c>
      <c r="CO52" s="165" t="s">
        <v>194</v>
      </c>
      <c r="CP52" s="166" t="s">
        <v>158</v>
      </c>
      <c r="CQ52" s="167"/>
      <c r="CR52" s="175" t="str">
        <f>=IFERROR(ROUND(CQ52/$CP$8,2),0)</f>
      </c>
      <c r="CS52" s="169" t="str">
        <f>=ROUND(IFERROR(CQ52/CR52,0),6)</f>
      </c>
      <c r="CV52" s="165" t="s">
        <v>194</v>
      </c>
      <c r="CW52" s="166" t="s">
        <v>158</v>
      </c>
      <c r="CX52" s="167"/>
      <c r="CY52" s="175" t="str">
        <f>=IFERROR(ROUND(CX52/$CW$8,2),0)</f>
      </c>
      <c r="CZ52" s="169" t="str">
        <f>=ROUND(IFERROR(CX52/CY52,0),6)</f>
      </c>
      <c r="DC52" s="165" t="s">
        <v>194</v>
      </c>
      <c r="DD52" s="166" t="s">
        <v>158</v>
      </c>
      <c r="DE52" s="167"/>
      <c r="DF52" s="175" t="str">
        <f>=IFERROR(ROUND(DE52/$DD$8,2),0)</f>
      </c>
      <c r="DG52" s="169" t="str">
        <f>=ROUND(IFERROR(DE52/DF52,0),6)</f>
      </c>
      <c r="DJ52" s="165" t="s">
        <v>194</v>
      </c>
      <c r="DK52" s="166" t="s">
        <v>158</v>
      </c>
      <c r="DL52" s="167"/>
      <c r="DM52" s="175" t="str">
        <f>=IFERROR(ROUND(DL52/$DK$8,2),0)</f>
      </c>
      <c r="DN52" s="169" t="str">
        <f>=ROUND(IFERROR(DL52/DM52,0),6)</f>
      </c>
      <c r="DQ52" s="165" t="s">
        <v>194</v>
      </c>
      <c r="DR52" s="166" t="s">
        <v>158</v>
      </c>
      <c r="DS52" s="167"/>
      <c r="DT52" s="175" t="str">
        <f>=IFERROR(ROUND(DS52/$DR$8,2),0)</f>
      </c>
      <c r="DU52" s="169" t="str">
        <f>=ROUND(IFERROR(DS52/DT52,0),6)</f>
      </c>
    </row>
    <row r="53">
      <c r="B53" s="165" t="s">
        <v>300</v>
      </c>
      <c r="C53" s="166" t="s">
        <v>158</v>
      </c>
      <c r="D53" s="167"/>
      <c r="E53" s="175" t="str">
        <f>=IFERROR(ROUND(D53/$C$8,2),0)</f>
      </c>
      <c r="F53" s="169" t="str">
        <f>=ROUND(IFERROR(D53/E53,0),6)</f>
      </c>
      <c r="I53" s="165" t="s">
        <v>300</v>
      </c>
      <c r="J53" s="166" t="s">
        <v>158</v>
      </c>
      <c r="K53" s="167"/>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158</v>
      </c>
      <c r="D54" s="167"/>
      <c r="E54" s="175" t="str">
        <f>=IFERROR(ROUND(D54/$C$8,2),0)</f>
      </c>
      <c r="F54" s="169" t="str">
        <f>=ROUND(IFERROR(D54/E54,0),6)</f>
      </c>
      <c r="I54" s="165" t="s">
        <v>301</v>
      </c>
      <c r="J54" s="166" t="s">
        <v>158</v>
      </c>
      <c r="K54" s="167"/>
      <c r="L54" s="175" t="str">
        <f>=IFERROR(ROUND(K54/$J$8,2),0)</f>
      </c>
      <c r="M54" s="169" t="str">
        <f>=ROUND(IFERROR(K54/L54,0),6)</f>
      </c>
      <c r="P54" s="165" t="s">
        <v>301</v>
      </c>
      <c r="Q54" s="166" t="s">
        <v>158</v>
      </c>
      <c r="R54" s="167"/>
      <c r="S54" s="175" t="str">
        <f>=IFERROR(ROUND(R54/$Q$8,2),0)</f>
      </c>
      <c r="T54" s="169" t="str">
        <f>=ROUND(IFERROR(R54/S54,0),6)</f>
      </c>
      <c r="W54" s="165" t="s">
        <v>301</v>
      </c>
      <c r="X54" s="166" t="s">
        <v>158</v>
      </c>
      <c r="Y54" s="167"/>
      <c r="Z54" s="175" t="str">
        <f>=IFERROR(ROUND(Y54/$X$8,2),0)</f>
      </c>
      <c r="AA54" s="169" t="str">
        <f>=ROUND(IFERROR(Y54/Z54,0),6)</f>
      </c>
      <c r="AD54" s="165" t="s">
        <v>301</v>
      </c>
      <c r="AE54" s="166" t="s">
        <v>158</v>
      </c>
      <c r="AF54" s="167"/>
      <c r="AG54" s="175" t="str">
        <f>=IFERROR(ROUND(AF54/$AE$8,2),0)</f>
      </c>
      <c r="AH54" s="169" t="str">
        <f>=ROUND(IFERROR(AF54/AG54,0),6)</f>
      </c>
      <c r="AK54" s="165" t="s">
        <v>301</v>
      </c>
      <c r="AL54" s="166" t="s">
        <v>158</v>
      </c>
      <c r="AM54" s="167"/>
      <c r="AN54" s="175" t="str">
        <f>=IFERROR(ROUND(AM54/$AL$8,2),0)</f>
      </c>
      <c r="AO54" s="169" t="str">
        <f>=ROUND(IFERROR(AM54/AN54,0),6)</f>
      </c>
      <c r="AR54" s="165" t="s">
        <v>301</v>
      </c>
      <c r="AS54" s="166" t="s">
        <v>158</v>
      </c>
      <c r="AT54" s="167"/>
      <c r="AU54" s="175" t="str">
        <f>=IFERROR(ROUND(AT54/$AS$8,2),0)</f>
      </c>
      <c r="AV54" s="169" t="str">
        <f>=ROUND(IFERROR(AT54/AU54,0),6)</f>
      </c>
      <c r="AY54" s="165" t="s">
        <v>301</v>
      </c>
      <c r="AZ54" s="166" t="s">
        <v>158</v>
      </c>
      <c r="BA54" s="167"/>
      <c r="BB54" s="175" t="str">
        <f>=IFERROR(ROUND(BA54/$AZ$8,2),0)</f>
      </c>
      <c r="BC54" s="169" t="str">
        <f>=ROUND(IFERROR(BA54/BB54,0),6)</f>
      </c>
      <c r="BF54" s="165" t="s">
        <v>301</v>
      </c>
      <c r="BG54" s="166" t="s">
        <v>158</v>
      </c>
      <c r="BH54" s="167"/>
      <c r="BI54" s="175" t="str">
        <f>=IFERROR(ROUND(BH54/$BG$8,2),0)</f>
      </c>
      <c r="BJ54" s="169" t="str">
        <f>=ROUND(IFERROR(BH54/BI54,0),6)</f>
      </c>
      <c r="BM54" s="165" t="s">
        <v>301</v>
      </c>
      <c r="BN54" s="166" t="s">
        <v>158</v>
      </c>
      <c r="BO54" s="167"/>
      <c r="BP54" s="175" t="str">
        <f>=IFERROR(ROUND(BO54/$BN$8,2),0)</f>
      </c>
      <c r="BQ54" s="169" t="str">
        <f>=ROUND(IFERROR(BO54/BP54,0),6)</f>
      </c>
      <c r="BT54" s="165" t="s">
        <v>301</v>
      </c>
      <c r="BU54" s="166" t="s">
        <v>158</v>
      </c>
      <c r="BV54" s="167"/>
      <c r="BW54" s="175" t="str">
        <f>=IFERROR(ROUND(BV54/$BU$8,2),0)</f>
      </c>
      <c r="BX54" s="169" t="str">
        <f>=ROUND(IFERROR(BV54/BW54,0),6)</f>
      </c>
      <c r="CA54" s="165" t="s">
        <v>301</v>
      </c>
      <c r="CB54" s="166" t="s">
        <v>158</v>
      </c>
      <c r="CC54" s="167"/>
      <c r="CD54" s="175" t="str">
        <f>=IFERROR(ROUND(CC54/$CB$8,2),0)</f>
      </c>
      <c r="CE54" s="169" t="str">
        <f>=ROUND(IFERROR(CC54/CD54,0),6)</f>
      </c>
      <c r="CH54" s="165" t="s">
        <v>301</v>
      </c>
      <c r="CI54" s="166" t="s">
        <v>158</v>
      </c>
      <c r="CJ54" s="167"/>
      <c r="CK54" s="175" t="str">
        <f>=IFERROR(ROUND(CJ54/$CI$8,2),0)</f>
      </c>
      <c r="CL54" s="169" t="str">
        <f>=ROUND(IFERROR(CJ54/CK54,0),6)</f>
      </c>
      <c r="CO54" s="165" t="s">
        <v>301</v>
      </c>
      <c r="CP54" s="166" t="s">
        <v>158</v>
      </c>
      <c r="CQ54" s="167"/>
      <c r="CR54" s="175" t="str">
        <f>=IFERROR(ROUND(CQ54/$CP$8,2),0)</f>
      </c>
      <c r="CS54" s="169" t="str">
        <f>=ROUND(IFERROR(CQ54/CR54,0),6)</f>
      </c>
      <c r="CV54" s="165" t="s">
        <v>301</v>
      </c>
      <c r="CW54" s="166" t="s">
        <v>158</v>
      </c>
      <c r="CX54" s="167"/>
      <c r="CY54" s="175" t="str">
        <f>=IFERROR(ROUND(CX54/$CW$8,2),0)</f>
      </c>
      <c r="CZ54" s="169" t="str">
        <f>=ROUND(IFERROR(CX54/CY54,0),6)</f>
      </c>
      <c r="DC54" s="165" t="s">
        <v>301</v>
      </c>
      <c r="DD54" s="166" t="s">
        <v>158</v>
      </c>
      <c r="DE54" s="167"/>
      <c r="DF54" s="175" t="str">
        <f>=IFERROR(ROUND(DE54/$DD$8,2),0)</f>
      </c>
      <c r="DG54" s="169" t="str">
        <f>=ROUND(IFERROR(DE54/DF54,0),6)</f>
      </c>
      <c r="DJ54" s="165" t="s">
        <v>301</v>
      </c>
      <c r="DK54" s="166" t="s">
        <v>158</v>
      </c>
      <c r="DL54" s="167"/>
      <c r="DM54" s="175" t="str">
        <f>=IFERROR(ROUND(DL54/$DK$8,2),0)</f>
      </c>
      <c r="DN54" s="169" t="str">
        <f>=ROUND(IFERROR(DL54/DM54,0),6)</f>
      </c>
      <c r="DQ54" s="165" t="s">
        <v>301</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322</v>
      </c>
      <c r="C58" s="171" t="s">
        <v>292</v>
      </c>
      <c r="D58" s="172" t="str">
        <f>=ROUND(SUBTOTAL(109,$D$52:$D$57),2)</f>
      </c>
      <c r="E58" s="173" t="str">
        <f>=ROUND(SUBTOTAL(109,$E$52:$E$57),2)</f>
      </c>
      <c r="F58" s="174" t="str">
        <f>=ROUND(IFERROR(D58/E58,0),6)</f>
      </c>
      <c r="I58" s="170" t="s">
        <v>322</v>
      </c>
      <c r="J58" s="171" t="s">
        <v>292</v>
      </c>
      <c r="K58" s="172" t="str">
        <f>=ROUND(SUBTOTAL(109,$K$52:$K$57),2)</f>
      </c>
      <c r="L58" s="173" t="str">
        <f>=ROUND(SUBTOTAL(109,$L$52:$L$57),2)</f>
      </c>
      <c r="M58" s="174" t="str">
        <f>=ROUND(IFERROR(K58/L58,0),6)</f>
      </c>
      <c r="P58" s="170" t="s">
        <v>322</v>
      </c>
      <c r="Q58" s="171" t="s">
        <v>292</v>
      </c>
      <c r="R58" s="172" t="str">
        <f>=ROUND(SUBTOTAL(109,$R$52:$R$57),2)</f>
      </c>
      <c r="S58" s="173" t="str">
        <f>=ROUND(SUBTOTAL(109,$S$52:$S$57),2)</f>
      </c>
      <c r="T58" s="174" t="str">
        <f>=ROUND(IFERROR(R58/S58,0),6)</f>
      </c>
      <c r="W58" s="170" t="s">
        <v>322</v>
      </c>
      <c r="X58" s="171" t="s">
        <v>292</v>
      </c>
      <c r="Y58" s="172" t="str">
        <f>=ROUND(SUBTOTAL(109,$Y$52:$Y$57),2)</f>
      </c>
      <c r="Z58" s="173" t="str">
        <f>=ROUND(SUBTOTAL(109,$Z$52:$Z$57),2)</f>
      </c>
      <c r="AA58" s="174" t="str">
        <f>=ROUND(IFERROR(Y58/Z58,0),6)</f>
      </c>
      <c r="AD58" s="170" t="s">
        <v>322</v>
      </c>
      <c r="AE58" s="171" t="s">
        <v>292</v>
      </c>
      <c r="AF58" s="172" t="str">
        <f>=ROUND(SUBTOTAL(109,$AF$52:$AF$57),2)</f>
      </c>
      <c r="AG58" s="173" t="str">
        <f>=ROUND(SUBTOTAL(109,$AG$52:$AG$57),2)</f>
      </c>
      <c r="AH58" s="174" t="str">
        <f>=ROUND(IFERROR(AF58/AG58,0),6)</f>
      </c>
      <c r="AK58" s="170" t="s">
        <v>322</v>
      </c>
      <c r="AL58" s="171" t="s">
        <v>292</v>
      </c>
      <c r="AM58" s="172" t="str">
        <f>=ROUND(SUBTOTAL(109,$AM$52:$AM$57),2)</f>
      </c>
      <c r="AN58" s="173" t="str">
        <f>=ROUND(SUBTOTAL(109,$AN$52:$AN$57),2)</f>
      </c>
      <c r="AO58" s="174" t="str">
        <f>=ROUND(IFERROR(AM58/AN58,0),6)</f>
      </c>
      <c r="AR58" s="170" t="s">
        <v>322</v>
      </c>
      <c r="AS58" s="171" t="s">
        <v>292</v>
      </c>
      <c r="AT58" s="172" t="str">
        <f>=ROUND(SUBTOTAL(109,$AT$52:$AT$57),2)</f>
      </c>
      <c r="AU58" s="173" t="str">
        <f>=ROUND(SUBTOTAL(109,$AU$52:$AU$57),2)</f>
      </c>
      <c r="AV58" s="174" t="str">
        <f>=ROUND(IFERROR(AT58/AU58,0),6)</f>
      </c>
      <c r="AY58" s="170" t="s">
        <v>322</v>
      </c>
      <c r="AZ58" s="171" t="s">
        <v>292</v>
      </c>
      <c r="BA58" s="172" t="str">
        <f>=ROUND(SUBTOTAL(109,$BA$52:$BA$57),2)</f>
      </c>
      <c r="BB58" s="173" t="str">
        <f>=ROUND(SUBTOTAL(109,$BB$52:$BB$57),2)</f>
      </c>
      <c r="BC58" s="174" t="str">
        <f>=ROUND(IFERROR(BA58/BB58,0),6)</f>
      </c>
      <c r="BF58" s="170" t="s">
        <v>322</v>
      </c>
      <c r="BG58" s="171" t="s">
        <v>292</v>
      </c>
      <c r="BH58" s="172" t="str">
        <f>=ROUND(SUBTOTAL(109,$BH$52:$BH$57),2)</f>
      </c>
      <c r="BI58" s="173" t="str">
        <f>=ROUND(SUBTOTAL(109,$BI$52:$BI$57),2)</f>
      </c>
      <c r="BJ58" s="174" t="str">
        <f>=ROUND(IFERROR(BH58/BI58,0),6)</f>
      </c>
      <c r="BM58" s="170" t="s">
        <v>322</v>
      </c>
      <c r="BN58" s="171" t="s">
        <v>292</v>
      </c>
      <c r="BO58" s="172" t="str">
        <f>=ROUND(SUBTOTAL(109,$BO$52:$BO$57),2)</f>
      </c>
      <c r="BP58" s="173" t="str">
        <f>=ROUND(SUBTOTAL(109,$BP$52:$BP$57),2)</f>
      </c>
      <c r="BQ58" s="174" t="str">
        <f>=ROUND(IFERROR(BO58/BP58,0),6)</f>
      </c>
      <c r="BT58" s="170" t="s">
        <v>322</v>
      </c>
      <c r="BU58" s="171" t="s">
        <v>292</v>
      </c>
      <c r="BV58" s="172" t="str">
        <f>=ROUND(SUBTOTAL(109,$BV$52:$BV$57),2)</f>
      </c>
      <c r="BW58" s="173" t="str">
        <f>=ROUND(SUBTOTAL(109,$BW$52:$BW$57),2)</f>
      </c>
      <c r="BX58" s="174" t="str">
        <f>=ROUND(IFERROR(BV58/BW58,0),6)</f>
      </c>
      <c r="CA58" s="170" t="s">
        <v>322</v>
      </c>
      <c r="CB58" s="171" t="s">
        <v>292</v>
      </c>
      <c r="CC58" s="172" t="str">
        <f>=ROUND(SUBTOTAL(109,$CC$52:$CC$57),2)</f>
      </c>
      <c r="CD58" s="173" t="str">
        <f>=ROUND(SUBTOTAL(109,$CD$52:$CD$57),2)</f>
      </c>
      <c r="CE58" s="174" t="str">
        <f>=ROUND(IFERROR(CC58/CD58,0),6)</f>
      </c>
      <c r="CH58" s="170" t="s">
        <v>322</v>
      </c>
      <c r="CI58" s="171" t="s">
        <v>292</v>
      </c>
      <c r="CJ58" s="172" t="str">
        <f>=ROUND(SUBTOTAL(109,$CJ$52:$CJ$57),2)</f>
      </c>
      <c r="CK58" s="173" t="str">
        <f>=ROUND(SUBTOTAL(109,$CK$52:$CK$57),2)</f>
      </c>
      <c r="CL58" s="174" t="str">
        <f>=ROUND(IFERROR(CJ58/CK58,0),6)</f>
      </c>
      <c r="CO58" s="170" t="s">
        <v>322</v>
      </c>
      <c r="CP58" s="171" t="s">
        <v>292</v>
      </c>
      <c r="CQ58" s="172" t="str">
        <f>=ROUND(SUBTOTAL(109,$CQ$52:$CQ$57),2)</f>
      </c>
      <c r="CR58" s="173" t="str">
        <f>=ROUND(SUBTOTAL(109,$CR$52:$CR$57),2)</f>
      </c>
      <c r="CS58" s="174" t="str">
        <f>=ROUND(IFERROR(CQ58/CR58,0),6)</f>
      </c>
      <c r="CV58" s="170" t="s">
        <v>322</v>
      </c>
      <c r="CW58" s="171" t="s">
        <v>292</v>
      </c>
      <c r="CX58" s="172" t="str">
        <f>=ROUND(SUBTOTAL(109,$CX$52:$CX$57),2)</f>
      </c>
      <c r="CY58" s="173" t="str">
        <f>=ROUND(SUBTOTAL(109,$CY$52:$CY$57),2)</f>
      </c>
      <c r="CZ58" s="174" t="str">
        <f>=ROUND(IFERROR(CX58/CY58,0),6)</f>
      </c>
      <c r="DC58" s="170" t="s">
        <v>322</v>
      </c>
      <c r="DD58" s="171" t="s">
        <v>292</v>
      </c>
      <c r="DE58" s="172" t="str">
        <f>=ROUND(SUBTOTAL(109,$DE$52:$DE$57),2)</f>
      </c>
      <c r="DF58" s="173" t="str">
        <f>=ROUND(SUBTOTAL(109,$DF$52:$DF$57),2)</f>
      </c>
      <c r="DG58" s="174" t="str">
        <f>=ROUND(IFERROR(DE58/DF58,0),6)</f>
      </c>
      <c r="DJ58" s="170" t="s">
        <v>322</v>
      </c>
      <c r="DK58" s="171" t="s">
        <v>292</v>
      </c>
      <c r="DL58" s="172" t="str">
        <f>=ROUND(SUBTOTAL(109,$DL$52:$DL$57),2)</f>
      </c>
      <c r="DM58" s="173" t="str">
        <f>=ROUND(SUBTOTAL(109,$DM$52:$DM$57),2)</f>
      </c>
      <c r="DN58" s="174" t="str">
        <f>=ROUND(IFERROR(DL58/DM58,0),6)</f>
      </c>
      <c r="DQ58" s="170" t="s">
        <v>322</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2"/>
    <col customWidth="true" max="4" min="3" width="20.71"/>
    <col customWidth="true" hidden="true" max="6" min="6" outlineLevel="1" width="32"/>
    <col customWidth="true" hidden="true" max="8" min="7" outlineLevel="1" width="20.71"/>
    <col customWidth="true" hidden="true" max="10" min="10" outlineLevel="1" width="32"/>
    <col customWidth="true" hidden="true" max="12" min="11" outlineLevel="1" width="20.71"/>
    <col customWidth="true" hidden="true" max="14" min="14" outlineLevel="1" width="32"/>
    <col customWidth="true" hidden="true" max="16" min="15" outlineLevel="1" width="20.71"/>
    <col customWidth="true" hidden="true" max="18" min="18" outlineLevel="1" width="32"/>
    <col customWidth="true" hidden="true" max="20" min="19" outlineLevel="1" width="20.71"/>
    <col customWidth="true" hidden="true" max="22" min="22" outlineLevel="1" width="32"/>
    <col customWidth="true" hidden="true" max="24" min="23" outlineLevel="1" width="20.71"/>
    <col customWidth="true" hidden="true" max="26" min="26" outlineLevel="1" width="32"/>
    <col customWidth="true" hidden="true" max="28" min="27" outlineLevel="1" width="20.71"/>
    <col customWidth="true" hidden="true" max="30" min="30" outlineLevel="1" width="32"/>
    <col customWidth="true" hidden="true" max="32" min="31" outlineLevel="1" width="20.71"/>
    <col customWidth="true" hidden="true" max="34" min="34" outlineLevel="1" width="32"/>
    <col customWidth="true" hidden="true" max="36" min="35" outlineLevel="1" width="20.71"/>
    <col customWidth="true" hidden="true" max="38" min="38" outlineLevel="1" width="32"/>
    <col customWidth="true" hidden="true" max="40" min="39" outlineLevel="1" width="20.71"/>
    <col customWidth="true" hidden="true" max="42" min="42" outlineLevel="1" width="32"/>
    <col customWidth="true" hidden="true" max="44" min="43" outlineLevel="1" width="20.71"/>
    <col customWidth="true" hidden="true" max="46" min="46" outlineLevel="1" width="32"/>
    <col customWidth="true" hidden="true" max="48" min="47" outlineLevel="1" width="20.71"/>
    <col customWidth="true" hidden="true" max="50" min="50" outlineLevel="1" width="32"/>
    <col customWidth="true" hidden="true" max="52" min="51" outlineLevel="1" width="20.71"/>
    <col customWidth="true" hidden="true" max="54" min="54" outlineLevel="1" width="32"/>
    <col customWidth="true" hidden="true" max="56" min="55" outlineLevel="1" width="20.71"/>
    <col customWidth="true" hidden="true" max="58" min="58" outlineLevel="1" width="32"/>
    <col customWidth="true" hidden="true" max="60" min="59" outlineLevel="1" width="20.71"/>
    <col customWidth="true" hidden="true" max="62" min="62" outlineLevel="1" width="32"/>
    <col customWidth="true" hidden="true" max="64" min="63" outlineLevel="1" width="20.71"/>
    <col customWidth="true" hidden="true" max="66" min="66" outlineLevel="1" width="32"/>
    <col customWidth="true" hidden="true" max="68" min="67" outlineLevel="1" width="20.71"/>
    <col customWidth="true" hidden="true" max="70" min="70" outlineLevel="1" width="32"/>
    <col customWidth="true" hidden="true" max="72" min="71" outlineLevel="1" width="20.71"/>
  </cols>
  <sheetData>
    <row r="3">
      <c r="E3" s="176" t="s">
        <v>323</v>
      </c>
      <c r="I3" s="176" t="s">
        <v>323</v>
      </c>
      <c r="M3" s="176" t="s">
        <v>323</v>
      </c>
      <c r="Q3" s="176" t="s">
        <v>323</v>
      </c>
      <c r="U3" s="176" t="s">
        <v>323</v>
      </c>
      <c r="Y3" s="176" t="s">
        <v>323</v>
      </c>
      <c r="AC3" s="176" t="s">
        <v>323</v>
      </c>
      <c r="AG3" s="176" t="s">
        <v>323</v>
      </c>
      <c r="AK3" s="176" t="s">
        <v>323</v>
      </c>
      <c r="AO3" s="176" t="s">
        <v>323</v>
      </c>
      <c r="AS3" s="176" t="s">
        <v>323</v>
      </c>
      <c r="AW3" s="176" t="s">
        <v>323</v>
      </c>
      <c r="BA3" s="176" t="s">
        <v>323</v>
      </c>
      <c r="BE3" s="176" t="s">
        <v>323</v>
      </c>
      <c r="BI3" s="176" t="s">
        <v>323</v>
      </c>
      <c r="BM3" s="176" t="s">
        <v>323</v>
      </c>
      <c r="BQ3" s="176" t="s">
        <v>323</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c r="D5" s="108"/>
      <c r="F5" s="105" t="s">
        <v>289</v>
      </c>
      <c r="G5" s="108"/>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c r="D6" s="108"/>
      <c r="F6" s="105" t="s">
        <v>290</v>
      </c>
      <c r="G6" s="108"/>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326</v>
      </c>
      <c r="C8" s="179"/>
      <c r="D8" s="179"/>
      <c r="F8" s="105" t="s">
        <v>326</v>
      </c>
      <c r="G8" s="179"/>
      <c r="H8" s="179"/>
      <c r="J8" s="105" t="s">
        <v>326</v>
      </c>
      <c r="K8" s="179"/>
      <c r="L8" s="179"/>
      <c r="N8" s="105" t="s">
        <v>326</v>
      </c>
      <c r="O8" s="179"/>
      <c r="P8" s="179"/>
      <c r="R8" s="105" t="s">
        <v>326</v>
      </c>
      <c r="S8" s="179"/>
      <c r="T8" s="179"/>
      <c r="V8" s="105" t="s">
        <v>326</v>
      </c>
      <c r="W8" s="179"/>
      <c r="X8" s="179"/>
      <c r="Z8" s="105" t="s">
        <v>326</v>
      </c>
      <c r="AA8" s="179"/>
      <c r="AB8" s="179"/>
      <c r="AD8" s="105" t="s">
        <v>326</v>
      </c>
      <c r="AE8" s="179"/>
      <c r="AF8" s="179"/>
      <c r="AH8" s="105" t="s">
        <v>326</v>
      </c>
      <c r="AI8" s="179"/>
      <c r="AJ8" s="179"/>
      <c r="AL8" s="105" t="s">
        <v>326</v>
      </c>
      <c r="AM8" s="179"/>
      <c r="AN8" s="179"/>
      <c r="AP8" s="105" t="s">
        <v>326</v>
      </c>
      <c r="AQ8" s="179"/>
      <c r="AR8" s="179"/>
      <c r="AT8" s="105" t="s">
        <v>326</v>
      </c>
      <c r="AU8" s="179"/>
      <c r="AV8" s="179"/>
      <c r="AX8" s="105" t="s">
        <v>326</v>
      </c>
      <c r="AY8" s="179"/>
      <c r="AZ8" s="179"/>
      <c r="BB8" s="105" t="s">
        <v>326</v>
      </c>
      <c r="BC8" s="179"/>
      <c r="BD8" s="179"/>
      <c r="BF8" s="105" t="s">
        <v>326</v>
      </c>
      <c r="BG8" s="179"/>
      <c r="BH8" s="179"/>
      <c r="BJ8" s="105" t="s">
        <v>326</v>
      </c>
      <c r="BK8" s="179"/>
      <c r="BL8" s="179"/>
      <c r="BN8" s="105" t="s">
        <v>326</v>
      </c>
      <c r="BO8" s="179"/>
      <c r="BP8" s="179"/>
      <c r="BR8" s="105" t="s">
        <v>326</v>
      </c>
      <c r="BS8" s="179"/>
      <c r="BT8" s="179"/>
    </row>
    <row r="9">
      <c r="B9" s="180" t="s">
        <v>202</v>
      </c>
      <c r="C9" s="180" t="s">
        <v>327</v>
      </c>
      <c r="D9" s="180" t="s">
        <v>328</v>
      </c>
      <c r="F9" s="180" t="s">
        <v>202</v>
      </c>
      <c r="G9" s="180" t="s">
        <v>327</v>
      </c>
      <c r="H9" s="180" t="s">
        <v>328</v>
      </c>
      <c r="J9" s="180" t="s">
        <v>202</v>
      </c>
      <c r="K9" s="180" t="s">
        <v>327</v>
      </c>
      <c r="L9" s="180" t="s">
        <v>328</v>
      </c>
      <c r="N9" s="180" t="s">
        <v>202</v>
      </c>
      <c r="O9" s="180" t="s">
        <v>327</v>
      </c>
      <c r="P9" s="180" t="s">
        <v>328</v>
      </c>
      <c r="R9" s="180" t="s">
        <v>202</v>
      </c>
      <c r="S9" s="180" t="s">
        <v>327</v>
      </c>
      <c r="T9" s="180" t="s">
        <v>328</v>
      </c>
      <c r="V9" s="180" t="s">
        <v>202</v>
      </c>
      <c r="W9" s="180" t="s">
        <v>327</v>
      </c>
      <c r="X9" s="180" t="s">
        <v>328</v>
      </c>
      <c r="Z9" s="180" t="s">
        <v>202</v>
      </c>
      <c r="AA9" s="180" t="s">
        <v>327</v>
      </c>
      <c r="AB9" s="180" t="s">
        <v>328</v>
      </c>
      <c r="AD9" s="180" t="s">
        <v>202</v>
      </c>
      <c r="AE9" s="180" t="s">
        <v>327</v>
      </c>
      <c r="AF9" s="180" t="s">
        <v>328</v>
      </c>
      <c r="AH9" s="180" t="s">
        <v>202</v>
      </c>
      <c r="AI9" s="180" t="s">
        <v>327</v>
      </c>
      <c r="AJ9" s="180" t="s">
        <v>328</v>
      </c>
      <c r="AL9" s="180" t="s">
        <v>202</v>
      </c>
      <c r="AM9" s="180" t="s">
        <v>327</v>
      </c>
      <c r="AN9" s="180" t="s">
        <v>328</v>
      </c>
      <c r="AP9" s="180" t="s">
        <v>202</v>
      </c>
      <c r="AQ9" s="180" t="s">
        <v>327</v>
      </c>
      <c r="AR9" s="180" t="s">
        <v>328</v>
      </c>
      <c r="AT9" s="180" t="s">
        <v>202</v>
      </c>
      <c r="AU9" s="180" t="s">
        <v>327</v>
      </c>
      <c r="AV9" s="180" t="s">
        <v>328</v>
      </c>
      <c r="AX9" s="180" t="s">
        <v>202</v>
      </c>
      <c r="AY9" s="180" t="s">
        <v>327</v>
      </c>
      <c r="AZ9" s="180" t="s">
        <v>328</v>
      </c>
      <c r="BB9" s="180" t="s">
        <v>202</v>
      </c>
      <c r="BC9" s="180" t="s">
        <v>327</v>
      </c>
      <c r="BD9" s="180" t="s">
        <v>328</v>
      </c>
      <c r="BF9" s="180" t="s">
        <v>202</v>
      </c>
      <c r="BG9" s="180" t="s">
        <v>327</v>
      </c>
      <c r="BH9" s="180" t="s">
        <v>328</v>
      </c>
      <c r="BJ9" s="180" t="s">
        <v>202</v>
      </c>
      <c r="BK9" s="180" t="s">
        <v>327</v>
      </c>
      <c r="BL9" s="180" t="s">
        <v>328</v>
      </c>
      <c r="BN9" s="180" t="s">
        <v>202</v>
      </c>
      <c r="BO9" s="180" t="s">
        <v>327</v>
      </c>
      <c r="BP9" s="180" t="s">
        <v>328</v>
      </c>
      <c r="BR9" s="180" t="s">
        <v>202</v>
      </c>
      <c r="BS9" s="180" t="s">
        <v>327</v>
      </c>
      <c r="BT9" s="180" t="s">
        <v>328</v>
      </c>
    </row>
    <row r="10">
      <c r="B10" s="181" t="s">
        <v>205</v>
      </c>
      <c r="C10" s="24"/>
      <c r="D10" s="182" t="str">
        <f>=IFERROR(ROUND(C10/MA_Kurs_1,2),0)</f>
      </c>
      <c r="F10" s="181" t="s">
        <v>205</v>
      </c>
      <c r="G10" s="24"/>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c r="D12" s="182" t="str">
        <f>=IFERROR(ROUND(C12/MA_Kurs_1,2),0)</f>
      </c>
      <c r="F12" s="181" t="s">
        <v>213</v>
      </c>
      <c r="G12" s="24"/>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c r="D13" s="182" t="str">
        <f>=IFERROR(ROUND(C13/MA_Kurs_1,2),0)</f>
      </c>
      <c r="F13" s="181" t="s">
        <v>218</v>
      </c>
      <c r="G13" s="24"/>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c r="D14" s="182" t="str">
        <f>=IFERROR(ROUND(C14/MA_Kurs_1,2),0)</f>
      </c>
      <c r="F14" s="181" t="s">
        <v>221</v>
      </c>
      <c r="G14" s="24"/>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c r="D16" s="182" t="str">
        <f>=IFERROR(ROUND(C16/MA_Kurs_1,2),0)</f>
      </c>
      <c r="F16" s="181" t="s">
        <v>227</v>
      </c>
      <c r="G16" s="24"/>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329</v>
      </c>
      <c r="C18" s="184" t="str">
        <f>=ROUND(SUBTOTAL(109,MA_1[Angefordert (LC)]),2)</f>
      </c>
      <c r="D18" s="185" t="str">
        <f>=ROUND(SUBTOTAL(109,MA_1[Angefordert (EUR)]),2)</f>
      </c>
      <c r="F18" s="183" t="s">
        <v>329</v>
      </c>
      <c r="G18" s="184" t="str">
        <f>=ROUND(SUBTOTAL(109,MA_2[Angefordert (LC)]),2)</f>
      </c>
      <c r="H18" s="185" t="str">
        <f>=ROUND(SUBTOTAL(109,MA_2[Angefordert (EUR)]),2)</f>
      </c>
      <c r="J18" s="183" t="s">
        <v>329</v>
      </c>
      <c r="K18" s="184" t="str">
        <f>=ROUND(SUBTOTAL(109,MA_3[Angefordert (LC)]),2)</f>
      </c>
      <c r="L18" s="185" t="str">
        <f>=ROUND(SUBTOTAL(109,MA_3[Angefordert (EUR)]),2)</f>
      </c>
      <c r="N18" s="183" t="s">
        <v>329</v>
      </c>
      <c r="O18" s="184" t="str">
        <f>=ROUND(SUBTOTAL(109,MA_4[Angefordert (LC)]),2)</f>
      </c>
      <c r="P18" s="185" t="str">
        <f>=ROUND(SUBTOTAL(109,MA_4[Angefordert (EUR)]),2)</f>
      </c>
      <c r="R18" s="183" t="s">
        <v>329</v>
      </c>
      <c r="S18" s="184" t="str">
        <f>=ROUND(SUBTOTAL(109,MA_5[Angefordert (LC)]),2)</f>
      </c>
      <c r="T18" s="185" t="str">
        <f>=ROUND(SUBTOTAL(109,MA_5[Angefordert (EUR)]),2)</f>
      </c>
      <c r="V18" s="183" t="s">
        <v>329</v>
      </c>
      <c r="W18" s="184" t="str">
        <f>=ROUND(SUBTOTAL(109,MA_6[Angefordert (LC)]),2)</f>
      </c>
      <c r="X18" s="185" t="str">
        <f>=ROUND(SUBTOTAL(109,MA_6[Angefordert (EUR)]),2)</f>
      </c>
      <c r="Z18" s="183" t="s">
        <v>329</v>
      </c>
      <c r="AA18" s="184" t="str">
        <f>=ROUND(SUBTOTAL(109,MA_7[Angefordert (LC)]),2)</f>
      </c>
      <c r="AB18" s="185" t="str">
        <f>=ROUND(SUBTOTAL(109,MA_7[Angefordert (EUR)]),2)</f>
      </c>
      <c r="AD18" s="183" t="s">
        <v>329</v>
      </c>
      <c r="AE18" s="184" t="str">
        <f>=ROUND(SUBTOTAL(109,MA_8[Angefordert (LC)]),2)</f>
      </c>
      <c r="AF18" s="185" t="str">
        <f>=ROUND(SUBTOTAL(109,MA_8[Angefordert (EUR)]),2)</f>
      </c>
      <c r="AH18" s="183" t="s">
        <v>329</v>
      </c>
      <c r="AI18" s="184" t="str">
        <f>=ROUND(SUBTOTAL(109,MA_9[Angefordert (LC)]),2)</f>
      </c>
      <c r="AJ18" s="185" t="str">
        <f>=ROUND(SUBTOTAL(109,MA_9[Angefordert (EUR)]),2)</f>
      </c>
      <c r="AL18" s="183" t="s">
        <v>329</v>
      </c>
      <c r="AM18" s="184" t="str">
        <f>=ROUND(SUBTOTAL(109,MA_10[Angefordert (LC)]),2)</f>
      </c>
      <c r="AN18" s="185" t="str">
        <f>=ROUND(SUBTOTAL(109,MA_10[Angefordert (EUR)]),2)</f>
      </c>
      <c r="AP18" s="183" t="s">
        <v>329</v>
      </c>
      <c r="AQ18" s="184" t="str">
        <f>=ROUND(SUBTOTAL(109,MA_11[Angefordert (LC)]),2)</f>
      </c>
      <c r="AR18" s="185" t="str">
        <f>=ROUND(SUBTOTAL(109,MA_11[Angefordert (EUR)]),2)</f>
      </c>
      <c r="AT18" s="183" t="s">
        <v>329</v>
      </c>
      <c r="AU18" s="184" t="str">
        <f>=ROUND(SUBTOTAL(109,MA_12[Angefordert (LC)]),2)</f>
      </c>
      <c r="AV18" s="185" t="str">
        <f>=ROUND(SUBTOTAL(109,MA_12[Angefordert (EUR)]),2)</f>
      </c>
      <c r="AX18" s="183" t="s">
        <v>329</v>
      </c>
      <c r="AY18" s="184" t="str">
        <f>=ROUND(SUBTOTAL(109,MA_13[Angefordert (LC)]),2)</f>
      </c>
      <c r="AZ18" s="185" t="str">
        <f>=ROUND(SUBTOTAL(109,MA_13[Angefordert (EUR)]),2)</f>
      </c>
      <c r="BB18" s="183" t="s">
        <v>329</v>
      </c>
      <c r="BC18" s="184" t="str">
        <f>=ROUND(SUBTOTAL(109,MA_14[Angefordert (LC)]),2)</f>
      </c>
      <c r="BD18" s="185" t="str">
        <f>=ROUND(SUBTOTAL(109,MA_14[Angefordert (EUR)]),2)</f>
      </c>
      <c r="BF18" s="183" t="s">
        <v>329</v>
      </c>
      <c r="BG18" s="184" t="str">
        <f>=ROUND(SUBTOTAL(109,MA_15[Angefordert (LC)]),2)</f>
      </c>
      <c r="BH18" s="185" t="str">
        <f>=ROUND(SUBTOTAL(109,MA_15[Angefordert (EUR)]),2)</f>
      </c>
      <c r="BJ18" s="183" t="s">
        <v>329</v>
      </c>
      <c r="BK18" s="184" t="str">
        <f>=ROUND(SUBTOTAL(109,MA_16[Angefordert (LC)]),2)</f>
      </c>
      <c r="BL18" s="185" t="str">
        <f>=ROUND(SUBTOTAL(109,MA_16[Angefordert (EUR)]),2)</f>
      </c>
      <c r="BN18" s="183" t="s">
        <v>329</v>
      </c>
      <c r="BO18" s="184" t="str">
        <f>=ROUND(SUBTOTAL(109,MA_17[Angefordert (LC)]),2)</f>
      </c>
      <c r="BP18" s="185" t="str">
        <f>=ROUND(SUBTOTAL(109,MA_17[Angefordert (EUR)]),2)</f>
      </c>
      <c r="BR18" s="183" t="s">
        <v>329</v>
      </c>
      <c r="BS18" s="184" t="str">
        <f>=ROUND(SUBTOTAL(109,MA_18[Angefordert (LC)]),2)</f>
      </c>
      <c r="BT18" s="185" t="str">
        <f>=ROUND(SUBTOTAL(109,MA_18[Angefordert (EUR)]),2)</f>
      </c>
    </row>
    <row r="20">
      <c r="B20" t="s">
        <v>330</v>
      </c>
      <c r="C20" s="186" t="str">
        <f>=ROUND($C$18,2)</f>
      </c>
      <c r="D20" s="187" t="str">
        <f>=ROUND($D$18,2)</f>
      </c>
      <c r="F20" t="s">
        <v>330</v>
      </c>
      <c r="G20" s="186" t="str">
        <f>=ROUND($G$18,2)</f>
      </c>
      <c r="H20" s="187" t="str">
        <f>=ROUND($H$18,2)</f>
      </c>
      <c r="J20" t="s">
        <v>330</v>
      </c>
      <c r="K20" s="186" t="str">
        <f>=ROUND($K$18,2)</f>
      </c>
      <c r="L20" s="187" t="str">
        <f>=ROUND($L$18,2)</f>
      </c>
      <c r="N20" t="s">
        <v>330</v>
      </c>
      <c r="O20" s="186" t="str">
        <f>=ROUND($O$18,2)</f>
      </c>
      <c r="P20" s="187" t="str">
        <f>=ROUND($P$18,2)</f>
      </c>
      <c r="R20" t="s">
        <v>330</v>
      </c>
      <c r="S20" s="186" t="str">
        <f>=ROUND($S$18,2)</f>
      </c>
      <c r="T20" s="187" t="str">
        <f>=ROUND($T$18,2)</f>
      </c>
      <c r="V20" t="s">
        <v>330</v>
      </c>
      <c r="W20" s="186" t="str">
        <f>=ROUND($W$18,2)</f>
      </c>
      <c r="X20" s="187" t="str">
        <f>=ROUND($X$18,2)</f>
      </c>
      <c r="Z20" t="s">
        <v>330</v>
      </c>
      <c r="AA20" s="186" t="str">
        <f>=ROUND($AA$18,2)</f>
      </c>
      <c r="AB20" s="187" t="str">
        <f>=ROUND($AB$18,2)</f>
      </c>
      <c r="AD20" t="s">
        <v>330</v>
      </c>
      <c r="AE20" s="186" t="str">
        <f>=ROUND($AE$18,2)</f>
      </c>
      <c r="AF20" s="187" t="str">
        <f>=ROUND($AF$18,2)</f>
      </c>
      <c r="AH20" t="s">
        <v>330</v>
      </c>
      <c r="AI20" s="186" t="str">
        <f>=ROUND($AI$18,2)</f>
      </c>
      <c r="AJ20" s="187" t="str">
        <f>=ROUND($AJ$18,2)</f>
      </c>
      <c r="AL20" t="s">
        <v>330</v>
      </c>
      <c r="AM20" s="186" t="str">
        <f>=ROUND($AM$18,2)</f>
      </c>
      <c r="AN20" s="187" t="str">
        <f>=ROUND($AN$18,2)</f>
      </c>
      <c r="AP20" t="s">
        <v>330</v>
      </c>
      <c r="AQ20" s="186" t="str">
        <f>=ROUND($AQ$18,2)</f>
      </c>
      <c r="AR20" s="187" t="str">
        <f>=ROUND($AR$18,2)</f>
      </c>
      <c r="AT20" t="s">
        <v>330</v>
      </c>
      <c r="AU20" s="186" t="str">
        <f>=ROUND($AU$18,2)</f>
      </c>
      <c r="AV20" s="187" t="str">
        <f>=ROUND($AV$18,2)</f>
      </c>
      <c r="AX20" t="s">
        <v>330</v>
      </c>
      <c r="AY20" s="186" t="str">
        <f>=ROUND($AY$18,2)</f>
      </c>
      <c r="AZ20" s="187" t="str">
        <f>=ROUND($AZ$18,2)</f>
      </c>
      <c r="BB20" t="s">
        <v>330</v>
      </c>
      <c r="BC20" s="186" t="str">
        <f>=ROUND($BC$18,2)</f>
      </c>
      <c r="BD20" s="187" t="str">
        <f>=ROUND($BD$18,2)</f>
      </c>
      <c r="BF20" t="s">
        <v>330</v>
      </c>
      <c r="BG20" s="186" t="str">
        <f>=ROUND($BG$18,2)</f>
      </c>
      <c r="BH20" s="187" t="str">
        <f>=ROUND($BH$18,2)</f>
      </c>
      <c r="BJ20" t="s">
        <v>330</v>
      </c>
      <c r="BK20" s="186" t="str">
        <f>=ROUND($BK$18,2)</f>
      </c>
      <c r="BL20" s="187" t="str">
        <f>=ROUND($BL$18,2)</f>
      </c>
      <c r="BN20" t="s">
        <v>330</v>
      </c>
      <c r="BO20" s="186" t="str">
        <f>=ROUND($BO$18,2)</f>
      </c>
      <c r="BP20" s="187" t="str">
        <f>=ROUND($BP$18,2)</f>
      </c>
      <c r="BR20" t="s">
        <v>330</v>
      </c>
      <c r="BS20" s="186" t="str">
        <f>=ROUND($BS$18,2)</f>
      </c>
      <c r="BT20" s="187" t="str">
        <f>=ROUND($BT$18,2)</f>
      </c>
    </row>
    <row r="21">
      <c r="B21" t="s">
        <v>331</v>
      </c>
      <c r="C21" s="24"/>
      <c r="D21" s="182" t="str">
        <f>=IFERROR(ROUND($C$21/$C$8,2),0)</f>
      </c>
      <c r="F21" t="s">
        <v>331</v>
      </c>
      <c r="G21" s="24"/>
      <c r="H21" s="182" t="str">
        <f>=IFERROR(ROUND($G$21/$G$8,2),0)</f>
      </c>
      <c r="J21" t="s">
        <v>331</v>
      </c>
      <c r="K21" s="24"/>
      <c r="L21" s="182" t="str">
        <f>=IFERROR(ROUND($K$21/$K$8,2),0)</f>
      </c>
      <c r="N21" t="s">
        <v>331</v>
      </c>
      <c r="O21" s="24"/>
      <c r="P21" s="182" t="str">
        <f>=IFERROR(ROUND($O$21/$O$8,2),0)</f>
      </c>
      <c r="R21" t="s">
        <v>331</v>
      </c>
      <c r="S21" s="24"/>
      <c r="T21" s="182" t="str">
        <f>=IFERROR(ROUND($S$21/$S$8,2),0)</f>
      </c>
      <c r="V21" t="s">
        <v>331</v>
      </c>
      <c r="W21" s="24"/>
      <c r="X21" s="182" t="str">
        <f>=IFERROR(ROUND($W$21/$W$8,2),0)</f>
      </c>
      <c r="Z21" t="s">
        <v>331</v>
      </c>
      <c r="AA21" s="24"/>
      <c r="AB21" s="182" t="str">
        <f>=IFERROR(ROUND($AA$21/$AA$8,2),0)</f>
      </c>
      <c r="AD21" t="s">
        <v>331</v>
      </c>
      <c r="AE21" s="24"/>
      <c r="AF21" s="182" t="str">
        <f>=IFERROR(ROUND($AE$21/$AE$8,2),0)</f>
      </c>
      <c r="AH21" t="s">
        <v>331</v>
      </c>
      <c r="AI21" s="24"/>
      <c r="AJ21" s="182" t="str">
        <f>=IFERROR(ROUND($AI$21/$AI$8,2),0)</f>
      </c>
      <c r="AL21" t="s">
        <v>331</v>
      </c>
      <c r="AM21" s="24"/>
      <c r="AN21" s="182" t="str">
        <f>=IFERROR(ROUND($AM$21/$AM$8,2),0)</f>
      </c>
      <c r="AP21" t="s">
        <v>331</v>
      </c>
      <c r="AQ21" s="24"/>
      <c r="AR21" s="182" t="str">
        <f>=IFERROR(ROUND($AQ$21/$AQ$8,2),0)</f>
      </c>
      <c r="AT21" t="s">
        <v>331</v>
      </c>
      <c r="AU21" s="24"/>
      <c r="AV21" s="182" t="str">
        <f>=IFERROR(ROUND($AU$21/$AU$8,2),0)</f>
      </c>
      <c r="AX21" t="s">
        <v>331</v>
      </c>
      <c r="AY21" s="24"/>
      <c r="AZ21" s="182" t="str">
        <f>=IFERROR(ROUND($AY$21/$AY$8,2),0)</f>
      </c>
      <c r="BB21" t="s">
        <v>331</v>
      </c>
      <c r="BC21" s="24"/>
      <c r="BD21" s="182" t="str">
        <f>=IFERROR(ROUND($BC$21/$BC$8,2),0)</f>
      </c>
      <c r="BF21" t="s">
        <v>331</v>
      </c>
      <c r="BG21" s="24"/>
      <c r="BH21" s="182" t="str">
        <f>=IFERROR(ROUND($BG$21/$BG$8,2),0)</f>
      </c>
      <c r="BJ21" t="s">
        <v>331</v>
      </c>
      <c r="BK21" s="24"/>
      <c r="BL21" s="182" t="str">
        <f>=IFERROR(ROUND($BK$21/$BK$8,2),0)</f>
      </c>
      <c r="BN21" t="s">
        <v>331</v>
      </c>
      <c r="BO21" s="24"/>
      <c r="BP21" s="182" t="str">
        <f>=IFERROR(ROUND($BO$21/$BO$8,2),0)</f>
      </c>
      <c r="BR21" t="s">
        <v>331</v>
      </c>
      <c r="BS21" s="24"/>
      <c r="BT21" s="182" t="str">
        <f>=IFERROR(ROUND($BS$21/$BS$8,2),0)</f>
      </c>
    </row>
    <row r="22">
      <c r="B22" t="s">
        <v>332</v>
      </c>
      <c r="C22" s="24"/>
      <c r="D22" s="182" t="str">
        <f>=IFERROR(ROUND($C$22/$C$8,2),0)</f>
      </c>
      <c r="F22" t="s">
        <v>332</v>
      </c>
      <c r="G22" s="24"/>
      <c r="H22" s="182" t="str">
        <f>=IFERROR(ROUND($G$22/$G$8,2),0)</f>
      </c>
      <c r="J22" t="s">
        <v>332</v>
      </c>
      <c r="K22" s="24"/>
      <c r="L22" s="182" t="str">
        <f>=IFERROR(ROUND($K$22/$K$8,2),0)</f>
      </c>
      <c r="N22" t="s">
        <v>332</v>
      </c>
      <c r="O22" s="24"/>
      <c r="P22" s="182" t="str">
        <f>=IFERROR(ROUND($O$22/$O$8,2),0)</f>
      </c>
      <c r="R22" t="s">
        <v>332</v>
      </c>
      <c r="S22" s="24"/>
      <c r="T22" s="182" t="str">
        <f>=IFERROR(ROUND($S$22/$S$8,2),0)</f>
      </c>
      <c r="V22" t="s">
        <v>332</v>
      </c>
      <c r="W22" s="24"/>
      <c r="X22" s="182" t="str">
        <f>=IFERROR(ROUND($W$22/$W$8,2),0)</f>
      </c>
      <c r="Z22" t="s">
        <v>332</v>
      </c>
      <c r="AA22" s="24"/>
      <c r="AB22" s="182" t="str">
        <f>=IFERROR(ROUND($AA$22/$AA$8,2),0)</f>
      </c>
      <c r="AD22" t="s">
        <v>332</v>
      </c>
      <c r="AE22" s="24"/>
      <c r="AF22" s="182" t="str">
        <f>=IFERROR(ROUND($AE$22/$AE$8,2),0)</f>
      </c>
      <c r="AH22" t="s">
        <v>332</v>
      </c>
      <c r="AI22" s="24"/>
      <c r="AJ22" s="182" t="str">
        <f>=IFERROR(ROUND($AI$22/$AI$8,2),0)</f>
      </c>
      <c r="AL22" t="s">
        <v>332</v>
      </c>
      <c r="AM22" s="24"/>
      <c r="AN22" s="182" t="str">
        <f>=IFERROR(ROUND($AM$22/$AM$8,2),0)</f>
      </c>
      <c r="AP22" t="s">
        <v>332</v>
      </c>
      <c r="AQ22" s="24"/>
      <c r="AR22" s="182" t="str">
        <f>=IFERROR(ROUND($AQ$22/$AQ$8,2),0)</f>
      </c>
      <c r="AT22" t="s">
        <v>332</v>
      </c>
      <c r="AU22" s="24"/>
      <c r="AV22" s="182" t="str">
        <f>=IFERROR(ROUND($AU$22/$AU$8,2),0)</f>
      </c>
      <c r="AX22" t="s">
        <v>332</v>
      </c>
      <c r="AY22" s="24"/>
      <c r="AZ22" s="182" t="str">
        <f>=IFERROR(ROUND($AY$22/$AY$8,2),0)</f>
      </c>
      <c r="BB22" t="s">
        <v>332</v>
      </c>
      <c r="BC22" s="24"/>
      <c r="BD22" s="182" t="str">
        <f>=IFERROR(ROUND($BC$22/$BC$8,2),0)</f>
      </c>
      <c r="BF22" t="s">
        <v>332</v>
      </c>
      <c r="BG22" s="24"/>
      <c r="BH22" s="182" t="str">
        <f>=IFERROR(ROUND($BG$22/$BG$8,2),0)</f>
      </c>
      <c r="BJ22" t="s">
        <v>332</v>
      </c>
      <c r="BK22" s="24"/>
      <c r="BL22" s="182" t="str">
        <f>=IFERROR(ROUND($BK$22/$BK$8,2),0)</f>
      </c>
      <c r="BN22" t="s">
        <v>332</v>
      </c>
      <c r="BO22" s="24"/>
      <c r="BP22" s="182" t="str">
        <f>=IFERROR(ROUND($BO$22/$BO$8,2),0)</f>
      </c>
      <c r="BR22" t="s">
        <v>332</v>
      </c>
      <c r="BS22" s="24"/>
      <c r="BT22" s="182" t="str">
        <f>=IFERROR(ROUND($BS$22/$BS$8,2),0)</f>
      </c>
    </row>
    <row r="23">
      <c r="B23" t="s">
        <v>333</v>
      </c>
      <c r="C23" s="188" t="str">
        <f>=ROUND(IF(Saldovortrag_LW="",0,Saldovortrag_LW),2)</f>
      </c>
      <c r="D23" s="182" t="str">
        <f>=IFERROR(ROUND($C$23/$C$8,2),0)</f>
      </c>
      <c r="F23" t="s">
        <v>336</v>
      </c>
      <c r="G23" s="188" t="str">
        <f>=ROUND(IFERROR(FB_SaldoLC_1,0),2)</f>
      </c>
      <c r="H23" s="182" t="str">
        <f>=IFERROR(ROUND($G$23/$G$8,2),0)</f>
      </c>
      <c r="J23" t="s">
        <v>336</v>
      </c>
      <c r="K23" s="188" t="str">
        <f>=ROUND(IFERROR(FB_SaldoLC_2,0),2)</f>
      </c>
      <c r="L23" s="182" t="str">
        <f>=IFERROR(ROUND($K$23/$K$8,2),0)</f>
      </c>
      <c r="N23" t="s">
        <v>336</v>
      </c>
      <c r="O23" s="188" t="str">
        <f>=ROUND(IFERROR(FB_SaldoLC_3,0),2)</f>
      </c>
      <c r="P23" s="182" t="str">
        <f>=IFERROR(ROUND($O$23/$O$8,2),0)</f>
      </c>
      <c r="R23" t="s">
        <v>336</v>
      </c>
      <c r="S23" s="188" t="str">
        <f>=ROUND(IFERROR(FB_SaldoLC_4,0),2)</f>
      </c>
      <c r="T23" s="182" t="str">
        <f>=IFERROR(ROUND($S$23/$S$8,2),0)</f>
      </c>
      <c r="V23" t="s">
        <v>336</v>
      </c>
      <c r="W23" s="188" t="str">
        <f>=ROUND(IFERROR(FB_SaldoLC_5,0),2)</f>
      </c>
      <c r="X23" s="182" t="str">
        <f>=IFERROR(ROUND($W$23/$W$8,2),0)</f>
      </c>
      <c r="Z23" t="s">
        <v>336</v>
      </c>
      <c r="AA23" s="188" t="str">
        <f>=ROUND(IFERROR(FB_SaldoLC_6,0),2)</f>
      </c>
      <c r="AB23" s="182" t="str">
        <f>=IFERROR(ROUND($AA$23/$AA$8,2),0)</f>
      </c>
      <c r="AD23" t="s">
        <v>336</v>
      </c>
      <c r="AE23" s="188" t="str">
        <f>=ROUND(IFERROR(FB_SaldoLC_7,0),2)</f>
      </c>
      <c r="AF23" s="182" t="str">
        <f>=IFERROR(ROUND($AE$23/$AE$8,2),0)</f>
      </c>
      <c r="AH23" t="s">
        <v>336</v>
      </c>
      <c r="AI23" s="188" t="str">
        <f>=ROUND(IFERROR(FB_SaldoLC_8,0),2)</f>
      </c>
      <c r="AJ23" s="182" t="str">
        <f>=IFERROR(ROUND($AI$23/$AI$8,2),0)</f>
      </c>
      <c r="AL23" t="s">
        <v>336</v>
      </c>
      <c r="AM23" s="188" t="str">
        <f>=ROUND(IFERROR(FB_SaldoLC_9,0),2)</f>
      </c>
      <c r="AN23" s="182" t="str">
        <f>=IFERROR(ROUND($AM$23/$AM$8,2),0)</f>
      </c>
      <c r="AP23" t="s">
        <v>336</v>
      </c>
      <c r="AQ23" s="188" t="str">
        <f>=ROUND(IFERROR(FB_SaldoLC_10,0),2)</f>
      </c>
      <c r="AR23" s="182" t="str">
        <f>=IFERROR(ROUND($AQ$23/$AQ$8,2),0)</f>
      </c>
      <c r="AT23" t="s">
        <v>336</v>
      </c>
      <c r="AU23" s="188" t="str">
        <f>=ROUND(IFERROR(FB_SaldoLC_11,0),2)</f>
      </c>
      <c r="AV23" s="182" t="str">
        <f>=IFERROR(ROUND($AU$23/$AU$8,2),0)</f>
      </c>
      <c r="AX23" t="s">
        <v>336</v>
      </c>
      <c r="AY23" s="188" t="str">
        <f>=ROUND(IFERROR(FB_SaldoLC_12,0),2)</f>
      </c>
      <c r="AZ23" s="182" t="str">
        <f>=IFERROR(ROUND($AY$23/$AY$8,2),0)</f>
      </c>
      <c r="BB23" t="s">
        <v>336</v>
      </c>
      <c r="BC23" s="188" t="str">
        <f>=ROUND(IFERROR(FB_SaldoLC_13,0),2)</f>
      </c>
      <c r="BD23" s="182" t="str">
        <f>=IFERROR(ROUND($BC$23/$BC$8,2),0)</f>
      </c>
      <c r="BF23" t="s">
        <v>336</v>
      </c>
      <c r="BG23" s="188" t="str">
        <f>=ROUND(IFERROR(FB_SaldoLC_14,0),2)</f>
      </c>
      <c r="BH23" s="182" t="str">
        <f>=IFERROR(ROUND($BG$23/$BG$8,2),0)</f>
      </c>
      <c r="BJ23" t="s">
        <v>336</v>
      </c>
      <c r="BK23" s="188" t="str">
        <f>=ROUND(IFERROR(FB_SaldoLC_15,0),2)</f>
      </c>
      <c r="BL23" s="182" t="str">
        <f>=IFERROR(ROUND($BK$23/$BK$8,2),0)</f>
      </c>
      <c r="BN23" t="s">
        <v>336</v>
      </c>
      <c r="BO23" s="188" t="str">
        <f>=ROUND(IFERROR(FB_SaldoLC_16,0),2)</f>
      </c>
      <c r="BP23" s="182" t="str">
        <f>=IFERROR(ROUND($BO$23/$BO$8,2),0)</f>
      </c>
      <c r="BR23" t="s">
        <v>336</v>
      </c>
      <c r="BS23" s="188" t="str">
        <f>=ROUND(IFERROR(FB_SaldoLC_17,0),2)</f>
      </c>
      <c r="BT23" s="182" t="str">
        <f>=IFERROR(ROUND($BS$23/$BS$8,2),0)</f>
      </c>
    </row>
    <row r="25">
      <c r="B25" s="189" t="s">
        <v>334</v>
      </c>
      <c r="C25" s="190" t="str">
        <f>=IFERROR(ROUND($C$18-$C$21-$C$22-$C$23,2),0)</f>
      </c>
      <c r="D25" s="191" t="str">
        <f>=IFERROR(ROUND($D$18-$D$21-$D$22-$D$23,2),0)</f>
      </c>
      <c r="F25" s="189" t="s">
        <v>334</v>
      </c>
      <c r="G25" s="190" t="str">
        <f>=IFERROR(ROUND($G$18-$G$21-$G$22-$G$23,2),0)</f>
      </c>
      <c r="H25" s="191" t="str">
        <f>=IFERROR(ROUND($H$18-$H$21-$H$22-$H$23,2),0)</f>
      </c>
      <c r="J25" s="189" t="s">
        <v>334</v>
      </c>
      <c r="K25" s="190" t="str">
        <f>=IFERROR(ROUND($K$18-$K$21-$K$22-$K$23,2),0)</f>
      </c>
      <c r="L25" s="191" t="str">
        <f>=IFERROR(ROUND($L$18-$L$21-$L$22-$L$23,2),0)</f>
      </c>
      <c r="N25" s="189" t="s">
        <v>334</v>
      </c>
      <c r="O25" s="190" t="str">
        <f>=IFERROR(ROUND($O$18-$O$21-$O$22-$O$23,2),0)</f>
      </c>
      <c r="P25" s="191" t="str">
        <f>=IFERROR(ROUND($P$18-$P$21-$P$22-$P$23,2),0)</f>
      </c>
      <c r="R25" s="189" t="s">
        <v>334</v>
      </c>
      <c r="S25" s="190" t="str">
        <f>=IFERROR(ROUND($S$18-$S$21-$S$22-$S$23,2),0)</f>
      </c>
      <c r="T25" s="191" t="str">
        <f>=IFERROR(ROUND($T$18-$T$21-$T$22-$T$23,2),0)</f>
      </c>
      <c r="V25" s="189" t="s">
        <v>334</v>
      </c>
      <c r="W25" s="190" t="str">
        <f>=IFERROR(ROUND($W$18-$W$21-$W$22-$W$23,2),0)</f>
      </c>
      <c r="X25" s="191" t="str">
        <f>=IFERROR(ROUND($X$18-$X$21-$X$22-$X$23,2),0)</f>
      </c>
      <c r="Z25" s="189" t="s">
        <v>334</v>
      </c>
      <c r="AA25" s="190" t="str">
        <f>=IFERROR(ROUND($AA$18-$AA$21-$AA$22-$AA$23,2),0)</f>
      </c>
      <c r="AB25" s="191" t="str">
        <f>=IFERROR(ROUND($AB$18-$AB$21-$AB$22-$AB$23,2),0)</f>
      </c>
      <c r="AD25" s="189" t="s">
        <v>334</v>
      </c>
      <c r="AE25" s="190" t="str">
        <f>=IFERROR(ROUND($AE$18-$AE$21-$AE$22-$AE$23,2),0)</f>
      </c>
      <c r="AF25" s="191" t="str">
        <f>=IFERROR(ROUND($AF$18-$AF$21-$AF$22-$AF$23,2),0)</f>
      </c>
      <c r="AH25" s="189" t="s">
        <v>334</v>
      </c>
      <c r="AI25" s="190" t="str">
        <f>=IFERROR(ROUND($AI$18-$AI$21-$AI$22-$AI$23,2),0)</f>
      </c>
      <c r="AJ25" s="191" t="str">
        <f>=IFERROR(ROUND($AJ$18-$AJ$21-$AJ$22-$AJ$23,2),0)</f>
      </c>
      <c r="AL25" s="189" t="s">
        <v>334</v>
      </c>
      <c r="AM25" s="190" t="str">
        <f>=IFERROR(ROUND($AM$18-$AM$21-$AM$22-$AM$23,2),0)</f>
      </c>
      <c r="AN25" s="191" t="str">
        <f>=IFERROR(ROUND($AN$18-$AN$21-$AN$22-$AN$23,2),0)</f>
      </c>
      <c r="AP25" s="189" t="s">
        <v>334</v>
      </c>
      <c r="AQ25" s="190" t="str">
        <f>=IFERROR(ROUND($AQ$18-$AQ$21-$AQ$22-$AQ$23,2),0)</f>
      </c>
      <c r="AR25" s="191" t="str">
        <f>=IFERROR(ROUND($AR$18-$AR$21-$AR$22-$AR$23,2),0)</f>
      </c>
      <c r="AT25" s="189" t="s">
        <v>334</v>
      </c>
      <c r="AU25" s="190" t="str">
        <f>=IFERROR(ROUND($AU$18-$AU$21-$AU$22-$AU$23,2),0)</f>
      </c>
      <c r="AV25" s="191" t="str">
        <f>=IFERROR(ROUND($AV$18-$AV$21-$AV$22-$AV$23,2),0)</f>
      </c>
      <c r="AX25" s="189" t="s">
        <v>334</v>
      </c>
      <c r="AY25" s="190" t="str">
        <f>=IFERROR(ROUND($AY$18-$AY$21-$AY$22-$AY$23,2),0)</f>
      </c>
      <c r="AZ25" s="191" t="str">
        <f>=IFERROR(ROUND($AZ$18-$AZ$21-$AZ$22-$AZ$23,2),0)</f>
      </c>
      <c r="BB25" s="189" t="s">
        <v>334</v>
      </c>
      <c r="BC25" s="190" t="str">
        <f>=IFERROR(ROUND($BC$18-$BC$21-$BC$22-$BC$23,2),0)</f>
      </c>
      <c r="BD25" s="191" t="str">
        <f>=IFERROR(ROUND($BD$18-$BD$21-$BD$22-$BD$23,2),0)</f>
      </c>
      <c r="BF25" s="189" t="s">
        <v>334</v>
      </c>
      <c r="BG25" s="190" t="str">
        <f>=IFERROR(ROUND($BG$18-$BG$21-$BG$22-$BG$23,2),0)</f>
      </c>
      <c r="BH25" s="191" t="str">
        <f>=IFERROR(ROUND($BH$18-$BH$21-$BH$22-$BH$23,2),0)</f>
      </c>
      <c r="BJ25" s="189" t="s">
        <v>334</v>
      </c>
      <c r="BK25" s="190" t="str">
        <f>=IFERROR(ROUND($BK$18-$BK$21-$BK$22-$BK$23,2),0)</f>
      </c>
      <c r="BL25" s="191" t="str">
        <f>=IFERROR(ROUND($BL$18-$BL$21-$BL$22-$BL$23,2),0)</f>
      </c>
      <c r="BN25" s="189" t="s">
        <v>334</v>
      </c>
      <c r="BO25" s="190" t="str">
        <f>=IFERROR(ROUND($BO$18-$BO$21-$BO$22-$BO$23,2),0)</f>
      </c>
      <c r="BP25" s="191" t="str">
        <f>=IFERROR(ROUND($BP$18-$BP$21-$BP$22-$BP$23,2),0)</f>
      </c>
      <c r="BR25" s="189" t="s">
        <v>334</v>
      </c>
      <c r="BS25" s="190" t="str">
        <f>=IFERROR(ROUND($BS$18-$BS$21-$BS$22-$BS$23,2),0)</f>
      </c>
      <c r="BT25" s="191" t="str">
        <f>=IFERROR(ROUND($BT$18-$BT$21-$BT$22-$BT$23,2),0)</f>
      </c>
    </row>
    <row r="27">
      <c r="B27" s="181" t="s">
        <v>335</v>
      </c>
      <c r="C27" s="181"/>
      <c r="D27" s="25"/>
      <c r="F27" s="181" t="s">
        <v>335</v>
      </c>
      <c r="G27" s="181"/>
      <c r="H27" s="25"/>
      <c r="J27" s="181" t="s">
        <v>335</v>
      </c>
      <c r="K27" s="181"/>
      <c r="L27" s="25"/>
      <c r="N27" s="181" t="s">
        <v>335</v>
      </c>
      <c r="O27" s="181"/>
      <c r="P27" s="25"/>
      <c r="R27" s="181" t="s">
        <v>335</v>
      </c>
      <c r="S27" s="181"/>
      <c r="T27" s="25"/>
      <c r="V27" s="181" t="s">
        <v>335</v>
      </c>
      <c r="W27" s="181"/>
      <c r="X27" s="25"/>
      <c r="Z27" s="181" t="s">
        <v>335</v>
      </c>
      <c r="AA27" s="181"/>
      <c r="AB27" s="25"/>
      <c r="AD27" s="181" t="s">
        <v>335</v>
      </c>
      <c r="AE27" s="181"/>
      <c r="AF27" s="25"/>
      <c r="AH27" s="181" t="s">
        <v>335</v>
      </c>
      <c r="AI27" s="181"/>
      <c r="AJ27" s="25"/>
      <c r="AL27" s="181" t="s">
        <v>335</v>
      </c>
      <c r="AM27" s="181"/>
      <c r="AN27" s="25"/>
      <c r="AP27" s="181" t="s">
        <v>335</v>
      </c>
      <c r="AQ27" s="181"/>
      <c r="AR27" s="25"/>
      <c r="AT27" s="181" t="s">
        <v>335</v>
      </c>
      <c r="AU27" s="181"/>
      <c r="AV27" s="25"/>
      <c r="AX27" s="181" t="s">
        <v>335</v>
      </c>
      <c r="AY27" s="181"/>
      <c r="AZ27" s="25"/>
      <c r="BB27" s="181" t="s">
        <v>335</v>
      </c>
      <c r="BC27" s="181"/>
      <c r="BD27" s="25"/>
      <c r="BF27" s="181" t="s">
        <v>335</v>
      </c>
      <c r="BG27" s="181"/>
      <c r="BH27" s="25"/>
      <c r="BJ27" s="181" t="s">
        <v>335</v>
      </c>
      <c r="BK27" s="181"/>
      <c r="BL27" s="25"/>
      <c r="BN27" s="181" t="s">
        <v>335</v>
      </c>
      <c r="BO27" s="181"/>
      <c r="BP27" s="25"/>
      <c r="BR27" s="181" t="s">
        <v>335</v>
      </c>
      <c r="BS27" s="181"/>
      <c r="BT27" s="25"/>
    </row>
  </sheetData>
  <mergeCells count="108">
    <mergeCell ref="C4:D4"/>
    <mergeCell ref="C5:D5"/>
    <mergeCell ref="C6:D6"/>
    <mergeCell ref="C7:D7"/>
    <mergeCell ref="C8:D8"/>
    <mergeCell ref="B27:C27"/>
    <mergeCell ref="G4:H4"/>
    <mergeCell ref="G5:H5"/>
    <mergeCell ref="G6:H6"/>
    <mergeCell ref="G7:H7"/>
    <mergeCell ref="G8:H8"/>
    <mergeCell ref="F27:G27"/>
    <mergeCell ref="K4:L4"/>
    <mergeCell ref="K5:L5"/>
    <mergeCell ref="K6:L6"/>
    <mergeCell ref="K7:L7"/>
    <mergeCell ref="K8:L8"/>
    <mergeCell ref="J27:K27"/>
    <mergeCell ref="O4:P4"/>
    <mergeCell ref="O5:P5"/>
    <mergeCell ref="O6:P6"/>
    <mergeCell ref="O7:P7"/>
    <mergeCell ref="O8:P8"/>
    <mergeCell ref="N27:O27"/>
    <mergeCell ref="S4:T4"/>
    <mergeCell ref="S5:T5"/>
    <mergeCell ref="S6:T6"/>
    <mergeCell ref="S7:T7"/>
    <mergeCell ref="S8:T8"/>
    <mergeCell ref="R27:S27"/>
    <mergeCell ref="W4:X4"/>
    <mergeCell ref="W5:X5"/>
    <mergeCell ref="W6:X6"/>
    <mergeCell ref="W7:X7"/>
    <mergeCell ref="W8:X8"/>
    <mergeCell ref="V27:W27"/>
    <mergeCell ref="AA4:AB4"/>
    <mergeCell ref="AA5:AB5"/>
    <mergeCell ref="AA6:AB6"/>
    <mergeCell ref="AA7:AB7"/>
    <mergeCell ref="AA8:AB8"/>
    <mergeCell ref="Z27:AA27"/>
    <mergeCell ref="AE4:AF4"/>
    <mergeCell ref="AE5:AF5"/>
    <mergeCell ref="AE6:AF6"/>
    <mergeCell ref="AE7:AF7"/>
    <mergeCell ref="AE8:AF8"/>
    <mergeCell ref="AD27:AE27"/>
    <mergeCell ref="AI4:AJ4"/>
    <mergeCell ref="AI5:AJ5"/>
    <mergeCell ref="AI6:AJ6"/>
    <mergeCell ref="AI7:AJ7"/>
    <mergeCell ref="AI8:AJ8"/>
    <mergeCell ref="AH27:AI27"/>
    <mergeCell ref="AM4:AN4"/>
    <mergeCell ref="AM5:AN5"/>
    <mergeCell ref="AM6:AN6"/>
    <mergeCell ref="AM7:AN7"/>
    <mergeCell ref="AM8:AN8"/>
    <mergeCell ref="AL27:AM27"/>
    <mergeCell ref="AQ4:AR4"/>
    <mergeCell ref="AQ5:AR5"/>
    <mergeCell ref="AQ6:AR6"/>
    <mergeCell ref="AQ7:AR7"/>
    <mergeCell ref="AQ8:AR8"/>
    <mergeCell ref="AP27:AQ27"/>
    <mergeCell ref="AU4:AV4"/>
    <mergeCell ref="AU5:AV5"/>
    <mergeCell ref="AU6:AV6"/>
    <mergeCell ref="AU7:AV7"/>
    <mergeCell ref="AU8:AV8"/>
    <mergeCell ref="AT27:AU27"/>
    <mergeCell ref="AY4:AZ4"/>
    <mergeCell ref="AY5:AZ5"/>
    <mergeCell ref="AY6:AZ6"/>
    <mergeCell ref="AY7:AZ7"/>
    <mergeCell ref="AY8:AZ8"/>
    <mergeCell ref="AX27:AY27"/>
    <mergeCell ref="BC4:BD4"/>
    <mergeCell ref="BC5:BD5"/>
    <mergeCell ref="BC6:BD6"/>
    <mergeCell ref="BC7:BD7"/>
    <mergeCell ref="BC8:BD8"/>
    <mergeCell ref="BB27:BC27"/>
    <mergeCell ref="BG4:BH4"/>
    <mergeCell ref="BG5:BH5"/>
    <mergeCell ref="BG6:BH6"/>
    <mergeCell ref="BG7:BH7"/>
    <mergeCell ref="BG8:BH8"/>
    <mergeCell ref="BF27:BG27"/>
    <mergeCell ref="BK4:BL4"/>
    <mergeCell ref="BK5:BL5"/>
    <mergeCell ref="BK6:BL6"/>
    <mergeCell ref="BK7:BL7"/>
    <mergeCell ref="BK8:BL8"/>
    <mergeCell ref="BJ27:BK27"/>
    <mergeCell ref="BO4:BP4"/>
    <mergeCell ref="BO5:BP5"/>
    <mergeCell ref="BO6:BP6"/>
    <mergeCell ref="BO7:BP7"/>
    <mergeCell ref="BO8:BP8"/>
    <mergeCell ref="BN27:BO27"/>
    <mergeCell ref="BS4:BT4"/>
    <mergeCell ref="BS5:BT5"/>
    <mergeCell ref="BS6:BT6"/>
    <mergeCell ref="BS7:BT7"/>
    <mergeCell ref="BS8:BT8"/>
    <mergeCell ref="BR27:BS27"/>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337</v>
      </c>
      <c r="C2" s="192"/>
      <c r="D2" s="192"/>
      <c r="E2" s="192"/>
      <c r="F2" s="192"/>
      <c r="G2" s="192"/>
      <c r="H2" s="192"/>
      <c r="I2" s="192"/>
      <c r="J2" s="192"/>
    </row>
    <row r="3" ht="18" customHeight="true">
      <c r="B3" s="193" t="s">
        <v>338</v>
      </c>
      <c r="C3" s="193"/>
      <c r="D3" s="193"/>
      <c r="E3" s="193"/>
      <c r="F3" s="193"/>
      <c r="G3" s="193"/>
      <c r="H3" s="193"/>
      <c r="I3" s="193"/>
      <c r="J3" s="193"/>
    </row>
    <row r="5" ht="22" customHeight="true">
      <c r="B5" s="194" t="s">
        <v>339</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340</v>
      </c>
      <c r="C6" s="195"/>
      <c r="D6" s="195"/>
      <c r="E6" s="195"/>
      <c r="F6" s="195"/>
      <c r="G6" s="195"/>
      <c r="H6" s="195"/>
      <c r="I6" s="195"/>
      <c r="J6" s="195"/>
      <c r="L6" s="315" t="s">
        <v>288</v>
      </c>
      <c r="M6" s="307" t="str">
        <f>=IFERROR(CHOOSE($AD$5,'IV. MA'!$C$4,'IV. MA'!$G$4,'IV. MA'!$K$4,'IV. MA'!$O$4,'IV. MA'!$S$4,'IV. MA'!$W$4,'IV. MA'!$AA$4,'IV. MA'!$AE$4,'IV. MA'!$AI$4,'IV. MA'!$AM$4,'IV. MA'!$AQ$4,'IV. MA'!$AU$4,'IV. MA'!$AY$4,'IV. MA'!$BC$4,'IV. MA'!$BG$4,'IV. MA'!$BK$4,'IV. MA'!$BO$4,'IV. MA'!$BS$4),"")</f>
      </c>
      <c r="N6" s="316"/>
    </row>
    <row r="7">
      <c r="L7" s="315" t="s">
        <v>289</v>
      </c>
      <c r="M7" s="308" t="str">
        <f>=IFERROR(CHOOSE($AD$5,'IV. MA'!$C$5,'IV. MA'!$G$5,'IV. MA'!$K$5,'IV. MA'!$O$5,'IV. MA'!$S$5,'IV. MA'!$W$5,'IV. MA'!$AA$5,'IV. MA'!$AE$5,'IV. MA'!$AI$5,'IV. MA'!$AM$5,'IV. MA'!$AQ$5,'IV. MA'!$AU$5,'IV. MA'!$AY$5,'IV. MA'!$BC$5,'IV. MA'!$BG$5,'IV. MA'!$BK$5,'IV. MA'!$BO$5,'IV. MA'!$BS$5),"")</f>
      </c>
      <c r="N7" s="317"/>
    </row>
    <row r="8" ht="22" customHeight="true">
      <c r="C8" s="202" t="s">
        <v>341</v>
      </c>
      <c r="D8" s="203"/>
      <c r="E8" s="203"/>
      <c r="F8" s="203"/>
      <c r="G8" s="204"/>
      <c r="L8" s="315" t="s">
        <v>290</v>
      </c>
      <c r="M8" s="308" t="str">
        <f>=IFERROR(CHOOSE($AD$5,'IV. MA'!$C$6,'IV. MA'!$G$6,'IV. MA'!$K$6,'IV. MA'!$O$6,'IV. MA'!$S$6,'IV. MA'!$W$6,'IV. MA'!$AA$6,'IV. MA'!$AE$6,'IV. MA'!$AI$6,'IV. MA'!$AM$6,'IV. MA'!$AQ$6,'IV. MA'!$AU$6,'IV. MA'!$AY$6,'IV. MA'!$BC$6,'IV. MA'!$BG$6,'IV. MA'!$BK$6,'IV. MA'!$BO$6,'IV. MA'!$BS$6),"")</f>
      </c>
      <c r="N8" s="317"/>
    </row>
    <row r="9">
      <c r="C9" s="205" t="s">
        <v>342</v>
      </c>
      <c r="D9" s="197"/>
      <c r="E9" s="63" t="s">
        <v>343</v>
      </c>
      <c r="F9" s="63"/>
      <c r="G9" s="206"/>
      <c r="L9" s="315" t="s">
        <v>291</v>
      </c>
      <c r="M9" s="309" t="str">
        <f>=IFERROR(CHOOSE($AD$5,'IV. MA'!$C$7,'IV. MA'!$G$7,'IV. MA'!$K$7,'IV. MA'!$O$7,'IV. MA'!$S$7,'IV. MA'!$W$7,'IV. MA'!$AA$7,'IV. MA'!$AE$7,'IV. MA'!$AI$7,'IV. MA'!$AM$7,'IV. MA'!$AQ$7,'IV. MA'!$AU$7,'IV. MA'!$AY$7,'IV. MA'!$BC$7,'IV. MA'!$BG$7,'IV. MA'!$BK$7,'IV. MA'!$BO$7,'IV. MA'!$BS$7),"")</f>
      </c>
      <c r="N9" s="318"/>
    </row>
    <row r="10">
      <c r="C10" s="205" t="s">
        <v>344</v>
      </c>
      <c r="D10" s="197"/>
      <c r="E10" s="198" t="str">
        <f>=E81+1</f>
        <v>0</v>
      </c>
      <c r="F10" s="198"/>
      <c r="G10" s="207"/>
      <c r="L10" s="315" t="s">
        <v>326</v>
      </c>
      <c r="M10" s="310" t="str">
        <f>=IFERROR(CHOOSE($AD$5,'IV. MA'!$C$8,'IV. MA'!$G$8,'IV. MA'!$K$8,'IV. MA'!$O$8,'IV. MA'!$S$8,'IV. MA'!$W$8,'IV. MA'!$AA$8,'IV. MA'!$AE$8,'IV. MA'!$AI$8,'IV. MA'!$AM$8,'IV. MA'!$AQ$8,'IV. MA'!$AU$8,'IV. MA'!$AY$8,'IV. MA'!$BC$8,'IV. MA'!$BG$8,'IV. MA'!$BK$8,'IV. MA'!$BO$8,'IV. MA'!$BS$8),"")</f>
      </c>
      <c r="N10" s="319"/>
    </row>
    <row r="11">
      <c r="C11" s="205" t="s">
        <v>345</v>
      </c>
      <c r="D11" s="197"/>
      <c r="E11" s="198" t="str">
        <f>=IF(E9="Neuste MA",IFERROR(SUMPRODUCT(MAX(('Daten'!$BB$1:$BB$18=E10)*('Daten'!$BC$1:$BC$18=1)*'Daten'!$BD$1:$BD$18)),0),IFERROR(VALUE(MID(E9,FIND("(#",E9)+2,FIND(")",E9)-FIND("(#",E9)-2)),0))</f>
      </c>
      <c r="F11" s="198"/>
      <c r="G11" s="208"/>
      <c r="L11" s="47"/>
      <c r="N11" s="48"/>
    </row>
    <row r="12">
      <c r="C12" s="209" t="s">
        <v>346</v>
      </c>
      <c r="D12" s="199"/>
      <c r="E12" s="199"/>
      <c r="F12" s="199"/>
      <c r="G12" s="210"/>
      <c r="L12" s="320" t="s">
        <v>202</v>
      </c>
      <c r="M12" s="180" t="s">
        <v>327</v>
      </c>
      <c r="N12" s="321" t="s">
        <v>328</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347</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329</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348</v>
      </c>
      <c r="C22" s="224"/>
      <c r="D22" s="225" t="str">
        <f>=IFERROR(ROUND(KMW_Mittel_EUR,2),0)</f>
      </c>
      <c r="F22" s="230" t="s">
        <v>352</v>
      </c>
      <c r="G22" s="231"/>
      <c r="H22" s="231"/>
      <c r="I22" s="232"/>
      <c r="L22" s="47"/>
      <c r="N22" s="48"/>
    </row>
    <row r="23">
      <c r="B23" s="205" t="s">
        <v>349</v>
      </c>
      <c r="C23" s="197"/>
      <c r="D23" s="226" t="str">
        <f>=IFERROR(ROUND(Kosten_Reserve_EUR,2),0)</f>
      </c>
      <c r="F23" s="233" t="s">
        <v>353</v>
      </c>
      <c r="G23" s="197" t="s">
        <v>354</v>
      </c>
      <c r="H23" s="197"/>
      <c r="I23" s="234" t="str">
        <f>=IFERROR(ROUND(Saldovortrag_EUR,2),0)</f>
      </c>
      <c r="L23" s="143" t="s">
        <v>330</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353</v>
      </c>
      <c r="G24" s="197" t="s">
        <v>355</v>
      </c>
      <c r="H24" s="197"/>
      <c r="I24" s="234" t="str">
        <f>=I87</f>
        <v>0</v>
      </c>
      <c r="L24" s="143" t="s">
        <v>397</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350</v>
      </c>
      <c r="C25" s="197"/>
      <c r="D25" s="226" t="str">
        <f>=IFERROR(ROUND(SUBTOTAL(109,TblKMWMittel[Betrag]),2),0)</f>
      </c>
      <c r="F25" s="233" t="s">
        <v>353</v>
      </c>
      <c r="G25" s="197" t="s">
        <v>356</v>
      </c>
      <c r="H25" s="197"/>
      <c r="I25" s="234" t="str">
        <f>=ROUND(MAX(0,MAX(0,(SUM($G$96:$G$99)-$G$98)+SUMIFS('Daten'!$BH$1:$BH$18,'Daten'!$BB$1:$BB$18,E10,'Daten'!$BD$1:$BD$18,"&lt;="&amp;E11,'Daten'!$BD$1:$BD$18,"&gt;=1")-(SUM($H$96:$H$99)-$H$98))-I87),2)</f>
        <v>0</v>
      </c>
      <c r="L25" s="143" t="s">
        <v>398</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351</v>
      </c>
      <c r="C26" s="228"/>
      <c r="D26" s="229" t="str">
        <f>=ROUND($D$24-$D$25,2)</f>
      </c>
      <c r="F26" s="47"/>
      <c r="G26" s="218" t="s">
        <v>357</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358</v>
      </c>
      <c r="H27" s="228"/>
      <c r="I27" s="229" t="str">
        <f>=ROUND($D$26-$I$26,2)</f>
      </c>
      <c r="L27" s="47"/>
      <c r="N27" s="48"/>
    </row>
    <row r="28">
      <c r="L28" s="323" t="s">
        <v>334</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359</v>
      </c>
      <c r="C29" s="224"/>
      <c r="D29" s="225" t="str">
        <f>=IFERROR(ROUND(SUMIFS('Daten'!$BV$1:$BV$198,'Daten'!$BT$1:$BT$198,"KMW-Mittel",'Daten'!$BR$1:$BR$198,E10,'Daten'!$BS$1:$BS$198,E11),2),0)</f>
      </c>
      <c r="F29" s="223" t="s">
        <v>359</v>
      </c>
      <c r="G29" s="224"/>
      <c r="H29" s="224"/>
      <c r="I29" s="225" t="str">
        <f>=IFERROR(ROUND(SUMIFS('Daten'!$BV$1:$BV$198,'Daten'!$BT$1:$BT$198,"KMW-Mittel",'Daten'!$BR$1:$BR$198,E10,'Daten'!$BS$1:$BS$198,E11),2),0)</f>
      </c>
    </row>
    <row r="30">
      <c r="B30" s="227" t="s">
        <v>360</v>
      </c>
      <c r="C30" s="228"/>
      <c r="D30" s="229" t="str">
        <f>=ROUND($D$26-MAX(0,$D$29),2)</f>
      </c>
      <c r="F30" s="227" t="s">
        <v>361</v>
      </c>
      <c r="G30" s="228"/>
      <c r="H30" s="228"/>
      <c r="I30" s="229" t="str">
        <f>=ROUND($I$27-MAX(0,$I$29),2)</f>
      </c>
    </row>
    <row r="32">
      <c r="B32" s="223" t="s">
        <v>362</v>
      </c>
      <c r="C32" s="224"/>
      <c r="D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c r="F32" s="223" t="s">
        <v>362</v>
      </c>
      <c r="G32" s="224"/>
      <c r="H32" s="224"/>
      <c r="I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row>
    <row r="33">
      <c r="B33" s="227" t="s">
        <v>360</v>
      </c>
      <c r="C33" s="228"/>
      <c r="D33" s="229" t="str">
        <f>=ROUND(MAX(0,$D$26-MAX(0,$D$32)),2)</f>
      </c>
      <c r="F33" s="227" t="s">
        <v>361</v>
      </c>
      <c r="G33" s="228"/>
      <c r="H33" s="228"/>
      <c r="I33" s="229" t="str">
        <f>=ROUND(MAX(0,$I$27-MAX(0,$I$32)),2)</f>
      </c>
    </row>
    <row r="36" ht="22" customHeight="true">
      <c r="B36" s="18" t="s">
        <v>363</v>
      </c>
      <c r="C36" s="18"/>
      <c r="D36" s="18"/>
      <c r="E36" s="18"/>
      <c r="F36" s="18"/>
      <c r="G36" s="18"/>
      <c r="H36" s="18"/>
      <c r="I36" s="18"/>
      <c r="J36" s="18"/>
    </row>
    <row r="38">
      <c r="B38" s="246" t="s">
        <v>158</v>
      </c>
      <c r="C38" s="247" t="s">
        <v>364</v>
      </c>
      <c r="D38" s="247" t="s">
        <v>365</v>
      </c>
      <c r="E38" s="248" t="s">
        <v>366</v>
      </c>
    </row>
    <row r="39">
      <c r="B39" s="205" t="s">
        <v>367</v>
      </c>
      <c r="C39" s="239" t="str">
        <f>=IFERROR(ROUND(SUMIFS('Daten'!$BF$1:$BF$18,'Daten'!$BB$1:$BB$18,E10,'Daten'!$BD$1:$BD$18,"&lt;="&amp;E11,'Daten'!$BD$1:$BD$18,"&gt;=1"),2),0)</f>
      </c>
      <c r="D39" s="240"/>
      <c r="E39" s="226" t="str">
        <f>=IFERROR(ROUND(SUMIFS('Daten'!$BG$1:$BG$18,'Daten'!$BB$1:$BB$18,E10,'Daten'!$BD$1:$BD$18,"&lt;="&amp;E11,'Daten'!$BD$1:$BD$18,"&gt;=1"),2),0)</f>
      </c>
    </row>
    <row r="40">
      <c r="B40" s="205" t="s">
        <v>368</v>
      </c>
      <c r="C40" s="239" t="str">
        <f>=IFERROR(ROUND(SUBTOTAL(109,TblBudgetAusgaben[Jahr 1]),2),0)</f>
      </c>
      <c r="D40" s="241">
        <v>8</v>
      </c>
      <c r="E40" s="226" t="str">
        <f>=IFERROR(ROUND($C$40/Budget_Kurs,2),0)</f>
      </c>
    </row>
    <row r="41">
      <c r="B41" s="205" t="s">
        <v>369</v>
      </c>
      <c r="C41" s="239" t="str">
        <f>=IFERROR(ROUND(SUBTOTAL(109,TblBudgetAusgaben[Jahr 2]),2),0)</f>
      </c>
      <c r="D41" s="241">
        <v>0</v>
      </c>
      <c r="E41" s="226" t="str">
        <f>=IFERROR(ROUND($C$41/Budget_Kurs,2),0)</f>
      </c>
    </row>
    <row r="42">
      <c r="B42" s="205" t="s">
        <v>370</v>
      </c>
      <c r="C42" s="239" t="str">
        <f>=IFERROR(ROUND(SUBTOTAL(109,TblBudgetAusgaben[Jahr 3]),2),0)</f>
      </c>
      <c r="D42" s="241">
        <v>0</v>
      </c>
      <c r="E42" s="226" t="str">
        <f>=IFERROR(ROUND($C$42/Budget_Kurs,2),0)</f>
      </c>
    </row>
    <row r="43">
      <c r="B43" s="205" t="s">
        <v>371</v>
      </c>
      <c r="C43" s="242" t="str">
        <f>=$D$40+$D$41+$D$42</f>
      </c>
      <c r="D43" s="242"/>
      <c r="E43" s="249"/>
    </row>
    <row r="44">
      <c r="B44" s="205" t="s">
        <v>372</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373</v>
      </c>
      <c r="C45" s="243" t="str">
        <f>=IFERROR(ROUND($C$40*$D$40/12+$C$41*$D$41/12+$C$42*$D$42/12,2),0)</f>
      </c>
      <c r="D45" s="240"/>
      <c r="E45" s="235" t="str">
        <f>=IFERROR(ROUND($E$40*$D$40/12+$E$41*$D$41/12+$E$42*$D$42/12,2),0)</f>
      </c>
    </row>
    <row r="46">
      <c r="B46" s="251" t="s">
        <v>374</v>
      </c>
      <c r="C46" s="244" t="str">
        <f>=IF($C$39&lt;=$C$45,"OK","ÜBERSCHRITTEN")</f>
      </c>
      <c r="D46" s="240"/>
      <c r="E46" s="252" t="str">
        <f>=IF($E$39&lt;=$E$45,"OK","ÜBERSCHRITTEN")</f>
      </c>
    </row>
    <row r="47">
      <c r="B47" s="205" t="s">
        <v>375</v>
      </c>
      <c r="C47" s="239" t="str">
        <f>=ROUND(MAX(0,$C$39-$C$45),2)</f>
      </c>
      <c r="D47" s="240"/>
      <c r="E47" s="226" t="str">
        <f>=ROUND(MAX(0,$E$39-$E$45),2)</f>
      </c>
    </row>
    <row r="48">
      <c r="B48" s="253" t="s">
        <v>376</v>
      </c>
      <c r="C48" s="254" t="str">
        <f>=IFERROR($C$39/$C$45,0)</f>
      </c>
      <c r="D48" s="255"/>
      <c r="E48" s="256" t="str">
        <f>=IFERROR($E$39/$E$45,0)</f>
      </c>
    </row>
    <row r="50" ht="22" customHeight="true">
      <c r="B50" s="18" t="s">
        <v>377</v>
      </c>
      <c r="C50" s="18"/>
      <c r="D50" s="18"/>
      <c r="E50" s="18"/>
      <c r="F50" s="18"/>
      <c r="G50" s="18"/>
      <c r="H50" s="18"/>
      <c r="I50" s="18"/>
      <c r="J50" s="18"/>
    </row>
    <row r="52" ht="28" customHeight="true">
      <c r="B52" s="263" t="s">
        <v>378</v>
      </c>
      <c r="C52" s="264" t="s">
        <v>379</v>
      </c>
      <c r="D52" s="264" t="s">
        <v>380</v>
      </c>
      <c r="E52" s="264" t="s">
        <v>381</v>
      </c>
      <c r="F52" s="264" t="s">
        <v>382</v>
      </c>
      <c r="G52" s="264" t="s">
        <v>383</v>
      </c>
      <c r="H52" s="264" t="s">
        <v>384</v>
      </c>
      <c r="I52" s="264" t="s">
        <v>385</v>
      </c>
      <c r="J52" s="265" t="s">
        <v>386</v>
      </c>
    </row>
    <row r="53">
      <c r="B53" s="266" t="s">
        <v>194</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300</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199</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301</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287</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387</v>
      </c>
      <c r="C59" s="18"/>
      <c r="D59" s="18"/>
      <c r="E59" s="18"/>
      <c r="F59" s="18"/>
      <c r="G59" s="18"/>
      <c r="H59" s="18"/>
      <c r="I59" s="18"/>
      <c r="J59" s="18"/>
    </row>
    <row r="61" ht="28" customHeight="true">
      <c r="B61" s="263" t="s">
        <v>378</v>
      </c>
      <c r="C61" s="264" t="s">
        <v>379</v>
      </c>
      <c r="D61" s="264" t="s">
        <v>380</v>
      </c>
      <c r="E61" s="264" t="s">
        <v>381</v>
      </c>
      <c r="F61" s="264" t="s">
        <v>382</v>
      </c>
      <c r="G61" s="264" t="s">
        <v>383</v>
      </c>
      <c r="H61" s="264" t="s">
        <v>384</v>
      </c>
      <c r="I61" s="264" t="s">
        <v>385</v>
      </c>
      <c r="J61" s="265" t="s">
        <v>386</v>
      </c>
    </row>
    <row r="62">
      <c r="B62" s="266" t="s">
        <v>205</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210</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213</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218</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221</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224</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227</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230</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287</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388</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389</v>
      </c>
      <c r="C77" s="195"/>
      <c r="D77" s="195"/>
      <c r="E77" s="195"/>
      <c r="F77" s="195"/>
      <c r="G77" s="195"/>
      <c r="H77" s="195"/>
      <c r="I77" s="195"/>
      <c r="J77" s="195"/>
      <c r="L77" s="315" t="s">
        <v>288</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289</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390</v>
      </c>
      <c r="D79" s="203"/>
      <c r="E79" s="203"/>
      <c r="F79" s="203"/>
      <c r="G79" s="204"/>
      <c r="L79" s="315" t="s">
        <v>290</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342</v>
      </c>
      <c r="D80" s="197"/>
      <c r="E80" s="63" t="s">
        <v>391</v>
      </c>
      <c r="F80" s="63"/>
      <c r="G80" s="206"/>
      <c r="L80" s="315" t="s">
        <v>291</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344</v>
      </c>
      <c r="D81" s="286"/>
      <c r="E81" s="287" t="str">
        <f>=IF(E80="Neuester FB",IFERROR(SUMPRODUCT(MAX(('Daten'!$BK$1:$BK$18=1)*'Daten'!$BJ$1:$BJ$18)),0),IF(LEFT(E80,8)="Periode ",IFERROR(VALUE(TRIM(MID(E80,9,5))),0),0))</f>
      </c>
      <c r="F81" s="288"/>
      <c r="G81" s="289"/>
      <c r="L81" s="315" t="s">
        <v>292</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392</v>
      </c>
      <c r="C83" s="18"/>
      <c r="D83" s="18"/>
      <c r="E83" s="18"/>
      <c r="F83" s="18"/>
      <c r="G83" s="18"/>
      <c r="H83" s="18"/>
      <c r="I83" s="18"/>
      <c r="J83" s="18"/>
      <c r="L83" s="341" t="s">
        <v>293</v>
      </c>
      <c r="M83" s="330"/>
      <c r="N83" s="330"/>
      <c r="O83" s="330"/>
      <c r="P83" s="342"/>
    </row>
    <row r="84" ht="26" customHeight="true">
      <c r="L84" s="343" t="s">
        <v>294</v>
      </c>
      <c r="M84" s="331" t="s">
        <v>295</v>
      </c>
      <c r="N84" s="331" t="s">
        <v>296</v>
      </c>
      <c r="O84" s="331" t="s">
        <v>297</v>
      </c>
      <c r="P84" s="344" t="s">
        <v>298</v>
      </c>
    </row>
    <row r="85">
      <c r="B85" s="223" t="s">
        <v>348</v>
      </c>
      <c r="C85" s="224"/>
      <c r="D85" s="225" t="str">
        <f>=IFERROR(ROUND(KMW_Mittel_EUR,2),0)</f>
      </c>
      <c r="F85" s="230" t="s">
        <v>352</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349</v>
      </c>
      <c r="C86" s="197"/>
      <c r="D86" s="226" t="str">
        <f>=IFERROR(ROUND(Kosten_Reserve_EUR,2),0)</f>
      </c>
      <c r="F86" s="233" t="s">
        <v>353</v>
      </c>
      <c r="G86" s="197" t="s">
        <v>354</v>
      </c>
      <c r="H86" s="197"/>
      <c r="I86" s="234" t="str">
        <f>=IFERROR(ROUND(Saldovortrag_EUR,2),0)</f>
      </c>
      <c r="L86" s="143" t="s">
        <v>194</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353</v>
      </c>
      <c r="G87" s="197" t="s">
        <v>355</v>
      </c>
      <c r="H87" s="197"/>
      <c r="I87" s="234" t="str">
        <f>=IFERROR(ROUND(MAX(0,(SUM($G$96:$G$99)-$G$98)-(SUM($H$96:$H$99)-$H$98)),2),0)</f>
        <v>0</v>
      </c>
      <c r="L87" s="143" t="s">
        <v>300</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350</v>
      </c>
      <c r="C88" s="197"/>
      <c r="D88" s="226" t="str">
        <f>=IFERROR(ROUND(SUBTOTAL(109,TblKMWMittel[Betrag]),2),0)</f>
      </c>
      <c r="F88" s="47"/>
      <c r="G88" s="218" t="s">
        <v>357</v>
      </c>
      <c r="H88" s="218"/>
      <c r="I88" s="235" t="str">
        <f>=ROUND(IF($F$86="Abzug",MAX(0,$I$86),0)+IF($F$87="Abzug",MAX(0,$I$87),0),2)</f>
      </c>
      <c r="L88" s="143" t="s">
        <v>199</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351</v>
      </c>
      <c r="C89" s="228"/>
      <c r="D89" s="229" t="str">
        <f>=ROUND($D$87-$D$88,2)</f>
      </c>
      <c r="F89" s="236"/>
      <c r="G89" s="228" t="s">
        <v>358</v>
      </c>
      <c r="H89" s="228"/>
      <c r="I89" s="229" t="str">
        <f>=ROUND($D$89-$I$88,2)</f>
      </c>
      <c r="L89" s="143" t="s">
        <v>301</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302</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303</v>
      </c>
      <c r="M91" s="330"/>
      <c r="N91" s="330"/>
      <c r="O91" s="330"/>
      <c r="P91" s="342"/>
    </row>
    <row r="92" ht="26" customHeight="true">
      <c r="L92" s="343" t="s">
        <v>203</v>
      </c>
      <c r="M92" s="331" t="s">
        <v>304</v>
      </c>
      <c r="N92" s="331" t="s">
        <v>305</v>
      </c>
      <c r="O92" s="331" t="s">
        <v>306</v>
      </c>
      <c r="P92" s="344" t="s">
        <v>307</v>
      </c>
    </row>
    <row r="93" ht="22" customHeight="true">
      <c r="B93" s="18" t="s">
        <v>393</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378</v>
      </c>
      <c r="C95" s="264" t="s">
        <v>394</v>
      </c>
      <c r="D95" s="264" t="s">
        <v>380</v>
      </c>
      <c r="E95" s="264" t="s">
        <v>381</v>
      </c>
      <c r="F95" s="264" t="s">
        <v>382</v>
      </c>
      <c r="G95" s="264" t="s">
        <v>395</v>
      </c>
      <c r="H95" s="264" t="s">
        <v>384</v>
      </c>
      <c r="I95" s="264" t="s">
        <v>385</v>
      </c>
      <c r="J95" s="265" t="s">
        <v>386</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194</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300</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199</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301</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287</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396</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308</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378</v>
      </c>
      <c r="C104" s="264" t="s">
        <v>394</v>
      </c>
      <c r="D104" s="264" t="s">
        <v>380</v>
      </c>
      <c r="E104" s="264" t="s">
        <v>381</v>
      </c>
      <c r="F104" s="264" t="s">
        <v>382</v>
      </c>
      <c r="G104" s="264" t="s">
        <v>395</v>
      </c>
      <c r="H104" s="264" t="s">
        <v>384</v>
      </c>
      <c r="I104" s="264" t="s">
        <v>385</v>
      </c>
      <c r="J104" s="265" t="s">
        <v>386</v>
      </c>
      <c r="L104" s="47"/>
      <c r="P104" s="48"/>
    </row>
    <row r="105">
      <c r="B105" s="266" t="s">
        <v>205</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309</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210</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213</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218</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221</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224</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227</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230</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287</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8" priority="1">
      <formula>$C$13&lt;&gt;""</formula>
    </cfRule>
  </conditionalFormatting>
  <conditionalFormatting sqref="E13:F13">
    <cfRule type="expression" dxfId="9" priority="2">
      <formula>$C$13&lt;&gt;""</formula>
    </cfRule>
  </conditionalFormatting>
  <conditionalFormatting sqref="G13:G13">
    <cfRule type="expression" dxfId="10" priority="3">
      <formula>$C$13&lt;&gt;""</formula>
    </cfRule>
  </conditionalFormatting>
  <conditionalFormatting sqref="C14:D14">
    <cfRule type="expression" dxfId="8" priority="4">
      <formula>$C$14&lt;&gt;""</formula>
    </cfRule>
  </conditionalFormatting>
  <conditionalFormatting sqref="E14:F14">
    <cfRule type="expression" dxfId="9" priority="5">
      <formula>$C$14&lt;&gt;""</formula>
    </cfRule>
  </conditionalFormatting>
  <conditionalFormatting sqref="G14:G14">
    <cfRule type="expression" dxfId="10" priority="6">
      <formula>$C$14&lt;&gt;""</formula>
    </cfRule>
  </conditionalFormatting>
  <conditionalFormatting sqref="C15:D15">
    <cfRule type="expression" dxfId="8" priority="7">
      <formula>$C$15&lt;&gt;""</formula>
    </cfRule>
  </conditionalFormatting>
  <conditionalFormatting sqref="E15:F15">
    <cfRule type="expression" dxfId="9" priority="8">
      <formula>$C$15&lt;&gt;""</formula>
    </cfRule>
  </conditionalFormatting>
  <conditionalFormatting sqref="G15:G15">
    <cfRule type="expression" dxfId="10" priority="9">
      <formula>$C$15&lt;&gt;""</formula>
    </cfRule>
  </conditionalFormatting>
  <conditionalFormatting sqref="C16:D16">
    <cfRule type="expression" dxfId="8" priority="10">
      <formula>$C$16&lt;&gt;""</formula>
    </cfRule>
  </conditionalFormatting>
  <conditionalFormatting sqref="E16:F16">
    <cfRule type="expression" dxfId="9" priority="11">
      <formula>$C$16&lt;&gt;""</formula>
    </cfRule>
  </conditionalFormatting>
  <conditionalFormatting sqref="G16:G16">
    <cfRule type="expression" dxfId="10" priority="12">
      <formula>$C$16&lt;&gt;""</formula>
    </cfRule>
  </conditionalFormatting>
  <conditionalFormatting sqref="C17:D17">
    <cfRule type="expression" dxfId="8" priority="13">
      <formula>$C$17&lt;&gt;""</formula>
    </cfRule>
  </conditionalFormatting>
  <conditionalFormatting sqref="E17:F17">
    <cfRule type="expression" dxfId="9" priority="14">
      <formula>$C$17&lt;&gt;""</formula>
    </cfRule>
  </conditionalFormatting>
  <conditionalFormatting sqref="G17:G17">
    <cfRule type="expression" dxfId="10" priority="15">
      <formula>$C$17&lt;&gt;""</formula>
    </cfRule>
  </conditionalFormatting>
  <conditionalFormatting sqref="C18:D18">
    <cfRule type="expression" dxfId="8" priority="16">
      <formula>$C$18&lt;&gt;""</formula>
    </cfRule>
  </conditionalFormatting>
  <conditionalFormatting sqref="E18:F18">
    <cfRule type="expression" dxfId="9" priority="17">
      <formula>$C$18&lt;&gt;""</formula>
    </cfRule>
  </conditionalFormatting>
  <conditionalFormatting sqref="G18:G18">
    <cfRule type="expression" dxfId="10" priority="18">
      <formula>$C$18&lt;&gt;""</formula>
    </cfRule>
  </conditionalFormatting>
  <conditionalFormatting sqref="I23">
    <cfRule type="expression" dxfId="11" priority="19">
      <formula>$F$23="Kein Abzug"</formula>
    </cfRule>
  </conditionalFormatting>
  <conditionalFormatting sqref="I23">
    <cfRule type="expression" dxfId="12" priority="20">
      <formula>$F$23="Kein Abzug"</formula>
    </cfRule>
  </conditionalFormatting>
  <conditionalFormatting sqref="I24">
    <cfRule type="expression" dxfId="11" priority="21">
      <formula>$F$24="Kein Abzug"</formula>
    </cfRule>
  </conditionalFormatting>
  <conditionalFormatting sqref="I24">
    <cfRule type="expression" dxfId="12" priority="22">
      <formula>$F$24="Kein Abzug"</formula>
    </cfRule>
  </conditionalFormatting>
  <conditionalFormatting sqref="I25">
    <cfRule type="expression" dxfId="11" priority="23">
      <formula>$F$25="Kein Abzug"</formula>
    </cfRule>
  </conditionalFormatting>
  <conditionalFormatting sqref="I25">
    <cfRule type="expression" dxfId="12" priority="24">
      <formula>$F$25="Kein Abzug"</formula>
    </cfRule>
  </conditionalFormatting>
  <conditionalFormatting sqref="C46">
    <cfRule type="expression" dxfId="13" priority="25">
      <formula>$C$46="OK"</formula>
    </cfRule>
  </conditionalFormatting>
  <conditionalFormatting sqref="C46">
    <cfRule type="expression" dxfId="14" priority="26">
      <formula>$C$46&lt;&gt;"OK"</formula>
    </cfRule>
  </conditionalFormatting>
  <conditionalFormatting sqref="E46">
    <cfRule type="expression" dxfId="13" priority="27">
      <formula>$E$46="OK"</formula>
    </cfRule>
  </conditionalFormatting>
  <conditionalFormatting sqref="E46">
    <cfRule type="expression" dxfId="14" priority="28">
      <formula>$E$46&lt;&gt;"OK"</formula>
    </cfRule>
  </conditionalFormatting>
  <conditionalFormatting sqref="C47">
    <cfRule type="expression" dxfId="15" priority="29">
      <formula>$C$47&gt;0</formula>
    </cfRule>
  </conditionalFormatting>
  <conditionalFormatting sqref="E47">
    <cfRule type="expression" dxfId="16" priority="30">
      <formula>$E$47&gt;0</formula>
    </cfRule>
  </conditionalFormatting>
  <conditionalFormatting sqref="F53:F56">
    <cfRule type="expression" dxfId="17" priority="31">
      <formula>F53&gt;=0.2</formula>
    </cfRule>
  </conditionalFormatting>
  <conditionalFormatting sqref="F53:F56">
    <cfRule type="expression" dxfId="18" priority="32">
      <formula>AND(F53&gt;=0.1,F53&lt;0.2)</formula>
    </cfRule>
  </conditionalFormatting>
  <conditionalFormatting sqref="J53:J56">
    <cfRule type="expression" dxfId="17" priority="33">
      <formula>J53&gt;=0.2</formula>
    </cfRule>
  </conditionalFormatting>
  <conditionalFormatting sqref="J53:J56">
    <cfRule type="expression" dxfId="18" priority="34">
      <formula>AND(J53&gt;=0.1,J53&lt;0.2)</formula>
    </cfRule>
  </conditionalFormatting>
  <conditionalFormatting sqref="F62:F69">
    <cfRule type="expression" dxfId="17" priority="35">
      <formula>F62&gt;=0.2</formula>
    </cfRule>
  </conditionalFormatting>
  <conditionalFormatting sqref="F62:F69">
    <cfRule type="expression" dxfId="18" priority="36">
      <formula>AND(F62&gt;=0.1,F62&lt;0.2)</formula>
    </cfRule>
  </conditionalFormatting>
  <conditionalFormatting sqref="J62:J69">
    <cfRule type="expression" dxfId="17" priority="37">
      <formula>J62&gt;=0.2</formula>
    </cfRule>
  </conditionalFormatting>
  <conditionalFormatting sqref="J62:J69">
    <cfRule type="expression" dxfId="18" priority="38">
      <formula>AND(J62&gt;=0.1,J62&lt;0.2)</formula>
    </cfRule>
  </conditionalFormatting>
  <conditionalFormatting sqref="I86">
    <cfRule type="expression" dxfId="11" priority="39">
      <formula>$F$86="Kein Abzug"</formula>
    </cfRule>
  </conditionalFormatting>
  <conditionalFormatting sqref="I86">
    <cfRule type="expression" dxfId="12" priority="40">
      <formula>$F$86="Kein Abzug"</formula>
    </cfRule>
  </conditionalFormatting>
  <conditionalFormatting sqref="I87">
    <cfRule type="expression" dxfId="11" priority="41">
      <formula>$F$87="Kein Abzug"</formula>
    </cfRule>
  </conditionalFormatting>
  <conditionalFormatting sqref="I87">
    <cfRule type="expression" dxfId="12" priority="42">
      <formula>$F$87="Kein Abzug"</formula>
    </cfRule>
  </conditionalFormatting>
  <conditionalFormatting sqref="F96:F99">
    <cfRule type="expression" dxfId="17" priority="43">
      <formula>F96&gt;=0.2</formula>
    </cfRule>
  </conditionalFormatting>
  <conditionalFormatting sqref="F96:F99">
    <cfRule type="expression" dxfId="18" priority="44">
      <formula>AND(F96&gt;=0.1,F96&lt;0.2)</formula>
    </cfRule>
  </conditionalFormatting>
  <conditionalFormatting sqref="J96:J99">
    <cfRule type="expression" dxfId="17" priority="45">
      <formula>J96&gt;=0.2</formula>
    </cfRule>
  </conditionalFormatting>
  <conditionalFormatting sqref="J96:J99">
    <cfRule type="expression" dxfId="18" priority="46">
      <formula>AND(J96&gt;=0.1,J96&lt;0.2)</formula>
    </cfRule>
  </conditionalFormatting>
  <conditionalFormatting sqref="F105:F112">
    <cfRule type="expression" dxfId="17" priority="47">
      <formula>F105&gt;=0.2</formula>
    </cfRule>
  </conditionalFormatting>
  <conditionalFormatting sqref="F105:F112">
    <cfRule type="expression" dxfId="18" priority="48">
      <formula>AND(F105&gt;=0.1,F105&lt;0.2)</formula>
    </cfRule>
  </conditionalFormatting>
  <conditionalFormatting sqref="J105:J112">
    <cfRule type="expression" dxfId="17" priority="49">
      <formula>J105&gt;=0.2</formula>
    </cfRule>
  </conditionalFormatting>
  <conditionalFormatting sqref="J105:J112">
    <cfRule type="expression" dxfId="18" priority="5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1" t="s">
        <v>399</v>
      </c>
      <c r="I1" s="351" t="s">
        <v>400</v>
      </c>
      <c r="O1" s="351" t="s">
        <v>401</v>
      </c>
      <c r="U1" s="351" t="s">
        <v>402</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