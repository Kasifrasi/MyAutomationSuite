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<sst xmlns="http://schemas.openxmlformats.org/spreadsheetml/2006/main" count="405" uniqueCount="405">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</sst>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7">
        <v>45658</v>
      </c>
      <c r="D8" s="4" t="s">
        <v>165</v>
      </c>
      <c r="E8" s="7">
        <v>46752</v>
      </c>
      <c r="AA8" s="3" t="s">
        <v>9</v>
      </c>
    </row>
    <row r="9" ht="22" customHeight="true">
      <c r="B9" s="4" t="s">
        <v>166</v>
      </c>
      <c r="C9" s="8" t="str">
        <f>=IF(AND(ISNUMBER($C$8),ISNUMBER($E$8)),TEXT($C$8,"DD.MM.YYYY")&amp;" - "&amp;TEXT($E$8,"DD.MM.YYYY"),"")</f>
      </c>
      <c r="D9" s="4" t="s">
        <v>167</v>
      </c>
      <c r="E9" s="8" t="str">
        <f>=IF(AND(ISNUMBER($C$8),ISNUMBER($E$8)),DATEDIF($C$8,$E$8+1,"M"),"")</f>
      </c>
      <c r="AA9" s="3" t="s">
        <v>10</v>
      </c>
    </row>
    <row r="10" ht="22" customHeight="true">
      <c r="B10" s="9" t="s">
        <v>168</v>
      </c>
      <c r="C10" s="10" t="inlineStr">
        <is>
          <t>PRJ-2022-017</t>
        </is>
      </c>
      <c r="D10" s="9" t="s">
        <v>169</v>
      </c>
      <c r="E10" s="10" t="inlineStr">
        <is>
          <t>USD</t>
        </is>
      </c>
      <c r="AA10" s="3" t="s">
        <v>11</v>
      </c>
    </row>
    <row r="11" ht="22" customHeight="true">
      <c r="B11" s="4" t="s">
        <v>170</v>
      </c>
      <c r="C11" s="7">
        <v>45657</v>
      </c>
      <c r="D11" s="4" t="s">
        <v>171</v>
      </c>
      <c r="E11" s="11">
        <v>125</v>
      </c>
      <c r="AA11" s="3" t="s">
        <v>12</v>
      </c>
    </row>
    <row r="12" ht="22" customHeight="true">
      <c r="B12" s="4" t="s">
        <v>172</v>
      </c>
      <c r="C12" s="12">
        <v>200000</v>
      </c>
      <c r="D12" s="4" t="s">
        <v>173</v>
      </c>
      <c r="E12" s="13">
        <v>1600</v>
      </c>
      <c r="AA12" s="3" t="s">
        <v>13</v>
      </c>
    </row>
    <row r="13" ht="22" customHeight="true">
      <c r="B13" s="4" t="s">
        <v>174</v>
      </c>
      <c r="C13" s="7">
        <v>45658</v>
      </c>
      <c r="D13" s="4" t="s">
        <v>171</v>
      </c>
      <c r="E13" s="11">
        <v>125</v>
      </c>
      <c r="AA13" s="3" t="s">
        <v>14</v>
      </c>
    </row>
    <row r="14" ht="22" customHeight="true">
      <c r="B14" s="4" t="s">
        <v>175</v>
      </c>
      <c r="C14" s="12">
        <v>200000</v>
      </c>
      <c r="D14" s="4" t="s">
        <v>176</v>
      </c>
      <c r="E14" s="13">
        <v>1600</v>
      </c>
      <c r="AA14" s="3" t="s">
        <v>15</v>
      </c>
    </row>
    <row r="15">
      <c r="AA15" s="3" t="s">
        <v>16</v>
      </c>
    </row>
    <row r="16" ht="22" customHeight="true">
      <c r="B16" s="14" t="s">
        <v>177</v>
      </c>
      <c r="C16" s="14"/>
      <c r="D16" s="15" t="inlineStr">
        <is>
          <t>Ja</t>
        </is>
      </c>
      <c r="E16" s="16" t="s">
        <v>179</v>
      </c>
      <c r="AA16" s="3" t="s">
        <v>17</v>
      </c>
    </row>
    <row r="17" ht="22" customHeight="true">
      <c r="B17" s="14"/>
      <c r="C17" s="14"/>
      <c r="D17" s="15" t="inlineStr">
        <is>
          <t>Ja</t>
        </is>
      </c>
      <c r="E17" s="16" t="s">
        <v>180</v>
      </c>
      <c r="AA17" s="3" t="s">
        <v>18</v>
      </c>
    </row>
    <row r="18" ht="22" customHeight="true">
      <c r="B18" s="14"/>
      <c r="C18" s="14"/>
      <c r="D18" s="15" t="inlineStr">
        <is>
          <t>Ja</t>
        </is>
      </c>
      <c r="E18" s="16" t="s">
        <v>181</v>
      </c>
      <c r="AA18" s="3" t="s">
        <v>19</v>
      </c>
    </row>
    <row r="19" ht="22" customHeight="true">
      <c r="B19" s="14"/>
      <c r="C19" s="14"/>
      <c r="D19" s="15" t="inlineStr">
        <is>
          <t>Ja</t>
        </is>
      </c>
      <c r="E19" s="16" t="s">
        <v>182</v>
      </c>
      <c r="AA19" s="3" t="s">
        <v>20</v>
      </c>
    </row>
    <row r="20" ht="22" customHeight="true">
      <c r="B20" s="14"/>
      <c r="C20" s="14"/>
      <c r="D20" s="15" t="inlineStr">
        <is>
          <t>Ja</t>
        </is>
      </c>
      <c r="E20" s="16" t="s">
        <v>183</v>
      </c>
      <c r="AA20" s="3" t="s">
        <v>21</v>
      </c>
    </row>
    <row r="21" ht="22" customHeight="true">
      <c r="B21" s="14"/>
      <c r="C21" s="14"/>
      <c r="D21" s="15" t="inlineStr">
        <is>
          <t>Ja</t>
        </is>
      </c>
      <c r="E21" s="16" t="s">
        <v>184</v>
      </c>
      <c r="AA21" s="3" t="s">
        <v>22</v>
      </c>
    </row>
    <row r="22" ht="22" customHeight="true">
      <c r="B22" s="14"/>
      <c r="C22" s="14"/>
      <c r="D22" s="15" t="inlineStr">
        <is>
          <t>Ja</t>
        </is>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t="inlineStr">
        <is>
          <t>Periode 1</t>
        </is>
      </c>
      <c r="C5" s="92" t="inlineStr">
        <is>
          <t>EUR</t>
        </is>
      </c>
      <c r="D5" s="93">
        <v>10000</v>
      </c>
      <c r="E5" s="94">
        <v>45672</v>
      </c>
      <c r="Z5" t="s">
        <v>253</v>
      </c>
    </row>
    <row r="6">
      <c r="B6" s="95" t="inlineStr">
        <is>
          <t>Periode 1</t>
        </is>
      </c>
      <c r="C6" s="82" t="inlineStr">
        <is>
          <t>EUR</t>
        </is>
      </c>
      <c r="D6" s="83">
        <v>8000</v>
      </c>
      <c r="E6" s="96">
        <v>45762</v>
      </c>
      <c r="Z6" t="s">
        <v>254</v>
      </c>
    </row>
    <row r="7">
      <c r="B7" s="95" t="inlineStr">
        <is>
          <t>Periode 2</t>
        </is>
      </c>
      <c r="C7" s="82" t="inlineStr">
        <is>
          <t>EUR</t>
        </is>
      </c>
      <c r="D7" s="83">
        <v>9000</v>
      </c>
      <c r="E7" s="96">
        <v>45853</v>
      </c>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v>45658</v>
      </c>
      <c r="D5" s="108"/>
      <c r="F5" s="48"/>
      <c r="I5" s="138" t="s">
        <v>291</v>
      </c>
      <c r="J5" s="108">
        <v>45839</v>
      </c>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v>45838</v>
      </c>
      <c r="D6" s="108"/>
      <c r="F6" s="48"/>
      <c r="I6" s="138" t="s">
        <v>292</v>
      </c>
      <c r="J6" s="108">
        <v>46022</v>
      </c>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v>600000</v>
      </c>
      <c r="D19" s="117" t="str">
        <f>=IFERROR(ROUND(C19/FB_Kurs_1,2),0)</f>
      </c>
      <c r="E19" s="116" t="str">
        <f>=ROUND(C19,2)</f>
      </c>
      <c r="F19" s="144" t="str">
        <f>=ROUND(D19,2)</f>
      </c>
      <c r="I19" s="149" t="s">
        <v>208</v>
      </c>
      <c r="J19" s="24">
        <v>400000</v>
      </c>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v>300000</v>
      </c>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v>300000</v>
      </c>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v>200000</v>
      </c>
      <c r="D22" s="117" t="str">
        <f>=IFERROR(ROUND(C22/FB_Kurs_1,2),0)</f>
      </c>
      <c r="E22" s="116" t="str">
        <f>=ROUND(C22,2)</f>
      </c>
      <c r="F22" s="144" t="str">
        <f>=ROUND(D22,2)</f>
      </c>
      <c r="I22" s="149" t="s">
        <v>216</v>
      </c>
      <c r="J22" s="24">
        <v>200000</v>
      </c>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v>150000</v>
      </c>
      <c r="D23" s="117" t="str">
        <f>=IFERROR(ROUND(C23/FB_Kurs_1,2),0)</f>
      </c>
      <c r="E23" s="116" t="str">
        <f>=ROUND(C23,2)</f>
      </c>
      <c r="F23" s="144" t="str">
        <f>=ROUND(D23,2)</f>
      </c>
      <c r="I23" s="149" t="s">
        <v>218</v>
      </c>
      <c r="J23" s="24">
        <v>150000</v>
      </c>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v>120000</v>
      </c>
      <c r="D24" s="117" t="str">
        <f>=IFERROR(ROUND(C24/FB_Kurs_1,2),0)</f>
      </c>
      <c r="E24" s="116" t="str">
        <f>=ROUND(C24,2)</f>
      </c>
      <c r="F24" s="144" t="str">
        <f>=ROUND(D24,2)</f>
      </c>
      <c r="I24" s="149" t="s">
        <v>221</v>
      </c>
      <c r="J24" s="24">
        <v>100000</v>
      </c>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v>80000</v>
      </c>
      <c r="D25" s="117" t="str">
        <f>=IFERROR(ROUND(C25/FB_Kurs_1,2),0)</f>
      </c>
      <c r="E25" s="116" t="str">
        <f>=ROUND(C25,2)</f>
      </c>
      <c r="F25" s="144" t="str">
        <f>=ROUND(D25,2)</f>
      </c>
      <c r="I25" s="149" t="s">
        <v>224</v>
      </c>
      <c r="J25" s="24">
        <v>70000</v>
      </c>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v>50000</v>
      </c>
      <c r="D27" s="117" t="str">
        <f>=IFERROR(ROUND(C27/FB_Kurs_1,2),0)</f>
      </c>
      <c r="E27" s="116" t="str">
        <f>=ROUND(C27,2)</f>
      </c>
      <c r="F27" s="144" t="str">
        <f>=ROUND(D27,2)</f>
      </c>
      <c r="I27" s="149" t="s">
        <v>230</v>
      </c>
      <c r="J27" s="24">
        <v>30000</v>
      </c>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v>325000</v>
      </c>
      <c r="D34" s="130" t="str">
        <f>=IF(C34=0, 0, IF(ROUND(SUM(C35:C36), 2)=0, ROUND(D31 - 0, 2), ROUND(C34 / ROUND(SUM(C34:C36), 2) * D31, 2)))</f>
      </c>
      <c r="F34" s="48"/>
      <c r="I34" s="154" t="s">
        <v>313</v>
      </c>
      <c r="J34" s="129">
        <v>375000</v>
      </c>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v>1250000</v>
      </c>
      <c r="E44" s="168">
        <v>10000</v>
      </c>
      <c r="F44" s="169" t="str">
        <f>=ROUND(IFERROR(D44/E44,0),6)</f>
      </c>
      <c r="I44" s="165" t="s">
        <v>201</v>
      </c>
      <c r="J44" s="166" t="s">
        <v>158</v>
      </c>
      <c r="K44" s="167">
        <v>1000000</v>
      </c>
      <c r="L44" s="168">
        <v>8000</v>
      </c>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v>250000</v>
      </c>
      <c r="E52" s="175" t="str">
        <f>=IFERROR(ROUND(D52/$C$8,2),0)</f>
      </c>
      <c r="F52" s="169" t="str">
        <f>=ROUND(IFERROR(D52/E52,0),6)</f>
      </c>
      <c r="I52" s="165" t="s">
        <v>196</v>
      </c>
      <c r="J52" s="166" t="s">
        <v>158</v>
      </c>
      <c r="K52" s="167">
        <v>200000</v>
      </c>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v>125000</v>
      </c>
      <c r="E53" s="175" t="str">
        <f>=IFERROR(ROUND(D53/$C$8,2),0)</f>
      </c>
      <c r="F53" s="169" t="str">
        <f>=ROUND(IFERROR(D53/E53,0),6)</f>
      </c>
      <c r="I53" s="165" t="s">
        <v>302</v>
      </c>
      <c r="J53" s="166" t="s">
        <v>158</v>
      </c>
      <c r="K53" s="167">
        <v>100000</v>
      </c>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v>45658</v>
      </c>
      <c r="D5" s="108"/>
      <c r="F5" s="105" t="s">
        <v>291</v>
      </c>
      <c r="G5" s="108">
        <v>45839</v>
      </c>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v>45838</v>
      </c>
      <c r="D6" s="108"/>
      <c r="F6" s="105" t="s">
        <v>292</v>
      </c>
      <c r="G6" s="108">
        <v>46022</v>
      </c>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v>125</v>
      </c>
      <c r="D8" s="179"/>
      <c r="F8" s="105" t="s">
        <v>328</v>
      </c>
      <c r="G8" s="179">
        <v>125</v>
      </c>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v>700000</v>
      </c>
      <c r="D10" s="182" t="str">
        <f>=IFERROR(ROUND(C10/MA_Kurs_1,2),0)</f>
      </c>
      <c r="F10" s="181" t="s">
        <v>207</v>
      </c>
      <c r="G10" s="24">
        <v>400000</v>
      </c>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v>300000</v>
      </c>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v>350000</v>
      </c>
      <c r="D12" s="182" t="str">
        <f>=IFERROR(ROUND(C12/MA_Kurs_1,2),0)</f>
      </c>
      <c r="F12" s="181" t="s">
        <v>215</v>
      </c>
      <c r="G12" s="24">
        <v>350000</v>
      </c>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v>130000</v>
      </c>
      <c r="D13" s="182" t="str">
        <f>=IFERROR(ROUND(C13/MA_Kurs_1,2),0)</f>
      </c>
      <c r="F13" s="181" t="s">
        <v>220</v>
      </c>
      <c r="G13" s="24">
        <v>100000</v>
      </c>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v>80000</v>
      </c>
      <c r="D14" s="182" t="str">
        <f>=IFERROR(ROUND(C14/MA_Kurs_1,2),0)</f>
      </c>
      <c r="F14" s="181" t="s">
        <v>223</v>
      </c>
      <c r="G14" s="24">
        <v>70000</v>
      </c>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v>50000</v>
      </c>
      <c r="D16" s="182" t="str">
        <f>=IFERROR(ROUND(C16/MA_Kurs_1,2),0)</f>
      </c>
      <c r="F16" s="181" t="s">
        <v>229</v>
      </c>
      <c r="G16" s="24">
        <v>30000</v>
      </c>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v>250000</v>
      </c>
      <c r="D21" s="182" t="str">
        <f>=IFERROR(ROUND($C$21/$C$8,2),0)</f>
      </c>
      <c r="F21" t="s">
        <v>333</v>
      </c>
      <c r="G21" s="24">
        <v>200000</v>
      </c>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v>125000</v>
      </c>
      <c r="D22" s="182" t="str">
        <f>=IFERROR(ROUND($C$22/$C$8,2),0)</f>
      </c>
      <c r="F22" t="s">
        <v>334</v>
      </c>
      <c r="G22" s="24">
        <v>100000</v>
      </c>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