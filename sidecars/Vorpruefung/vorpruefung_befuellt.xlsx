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<sst xmlns="http://schemas.openxmlformats.org/spreadsheetml/2006/main" count="402" uniqueCount="402">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</sst>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2">
    <cfRule type="expression" dxfId="5" priority="4">
      <formula>$E$32="OK"</formula>
    </cfRule>
  </conditionalFormatting>
  <conditionalFormatting sqref="E32">
    <cfRule type="expression" dxfId="6" priority="5">
      <formula>$E$32&lt;&gt;"OK"</formula>
    </cfRule>
  </conditionalFormatting>
  <conditionalFormatting sqref="E33">
    <cfRule type="expression" dxfId="5" priority="6">
      <formula>$E$33="OK"</formula>
    </cfRule>
  </conditionalFormatting>
  <conditionalFormatting sqref="E33">
    <cfRule type="expression" dxfId="6" priority="7">
      <formula>$E$33&lt;&gt;"OK"</formula>
    </cfRule>
  </conditionalFormatting>
  <conditionalFormatting sqref="E34">
    <cfRule type="expression" dxfId="5" priority="8">
      <formula>$E$34="OK"</formula>
    </cfRule>
  </conditionalFormatting>
  <conditionalFormatting sqref="E34">
    <cfRule type="expression" dxfId="6" priority="9">
      <formula>$E$34&lt;&gt;"OK"</formula>
    </cfRule>
  </conditionalFormatting>
  <conditionalFormatting sqref="E35">
    <cfRule type="expression" dxfId="5" priority="10">
      <formula>$E$35="OK"</formula>
    </cfRule>
  </conditionalFormatting>
  <conditionalFormatting sqref="E35">
    <cfRule type="expression" dxfId="6" priority="11">
      <formula>$E$35&lt;&gt;"OK"</formula>
    </cfRule>
  </conditionalFormatting>
  <conditionalFormatting sqref="E36">
    <cfRule type="expression" dxfId="7" priority="12">
      <formula>$E$36="OK"</formula>
    </cfRule>
  </conditionalFormatting>
  <conditionalFormatting sqref="E36">
    <cfRule type="expression" dxfId="8" priority="13">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325000</v>
      </c>
      <c r="D34" s="130" t="str">
        <f>=IF(C34=0, 0, IF(ROUND(SUM(C35:C36), 2)=0, ROUND(D31 - 0, 2), ROUND(C34 / ROUND(SUM(C34:C36), 2) * D31, 2)))</f>
      </c>
      <c r="F34" s="48"/>
      <c r="I34" s="154" t="s">
        <v>311</v>
      </c>
      <c r="J34" s="129">
        <v>375000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v>1250000</v>
      </c>
      <c r="E44" s="168">
        <v>10000</v>
      </c>
      <c r="F44" s="169" t="str">
        <f>=ROUND(IFERROR(D44/E44,0),6)</f>
      </c>
      <c r="I44" s="165" t="s">
        <v>199</v>
      </c>
      <c r="J44" s="166" t="s">
        <v>158</v>
      </c>
      <c r="K44" s="167">
        <v>1000000</v>
      </c>
      <c r="L44" s="168">
        <v>8000</v>
      </c>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v>250000</v>
      </c>
      <c r="E52" s="175" t="str">
        <f>=IFERROR(ROUND(D52/$C$8,2),0)</f>
      </c>
      <c r="F52" s="169" t="str">
        <f>=ROUND(IFERROR(D52/E52,0),6)</f>
      </c>
      <c r="I52" s="165" t="s">
        <v>194</v>
      </c>
      <c r="J52" s="166" t="s">
        <v>158</v>
      </c>
      <c r="K52" s="167">
        <v>200000</v>
      </c>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v>125</v>
      </c>
      <c r="D8" s="179"/>
      <c r="F8" s="105" t="s">
        <v>326</v>
      </c>
      <c r="G8" s="179">
        <v>125</v>
      </c>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v>250000</v>
      </c>
      <c r="D21" s="182" t="str">
        <f>=IFERROR(ROUND($C$21/$C$8,2),0)</f>
      </c>
      <c r="F21" t="s">
        <v>331</v>
      </c>
      <c r="G21" s="24">
        <v>200000</v>
      </c>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v>125000</v>
      </c>
      <c r="D22" s="182" t="str">
        <f>=IFERROR(ROUND($C$22/$C$8,2),0)</f>
      </c>
      <c r="F22" t="s">
        <v>332</v>
      </c>
      <c r="G22" s="24">
        <v>100000</v>
      </c>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335</v>
      </c>
      <c r="G23" s="188" t="str">
        <f>=ROUND(IFERROR(FB_SaldoLC_1,0),2)</f>
      </c>
      <c r="H23" s="182" t="str">
        <f>=IFERROR(ROUND($G$23/$G$8,2),0)</f>
      </c>
      <c r="J23" t="s">
        <v>335</v>
      </c>
      <c r="K23" s="188" t="str">
        <f>=ROUND(IFERROR(FB_SaldoLC_2,0),2)</f>
      </c>
      <c r="L23" s="182" t="str">
        <f>=IFERROR(ROUND($K$23/$K$8,2),0)</f>
      </c>
      <c r="N23" t="s">
        <v>335</v>
      </c>
      <c r="O23" s="188" t="str">
        <f>=ROUND(IFERROR(FB_SaldoLC_3,0),2)</f>
      </c>
      <c r="P23" s="182" t="str">
        <f>=IFERROR(ROUND($O$23/$O$8,2),0)</f>
      </c>
      <c r="R23" t="s">
        <v>335</v>
      </c>
      <c r="S23" s="188" t="str">
        <f>=ROUND(IFERROR(FB_SaldoLC_4,0),2)</f>
      </c>
      <c r="T23" s="182" t="str">
        <f>=IFERROR(ROUND($S$23/$S$8,2),0)</f>
      </c>
      <c r="V23" t="s">
        <v>335</v>
      </c>
      <c r="W23" s="188" t="str">
        <f>=ROUND(IFERROR(FB_SaldoLC_5,0),2)</f>
      </c>
      <c r="X23" s="182" t="str">
        <f>=IFERROR(ROUND($W$23/$W$8,2),0)</f>
      </c>
      <c r="Z23" t="s">
        <v>335</v>
      </c>
      <c r="AA23" s="188" t="str">
        <f>=ROUND(IFERROR(FB_SaldoLC_6,0),2)</f>
      </c>
      <c r="AB23" s="182" t="str">
        <f>=IFERROR(ROUND($AA$23/$AA$8,2),0)</f>
      </c>
      <c r="AD23" t="s">
        <v>335</v>
      </c>
      <c r="AE23" s="188" t="str">
        <f>=ROUND(IFERROR(FB_SaldoLC_7,0),2)</f>
      </c>
      <c r="AF23" s="182" t="str">
        <f>=IFERROR(ROUND($AE$23/$AE$8,2),0)</f>
      </c>
      <c r="AH23" t="s">
        <v>335</v>
      </c>
      <c r="AI23" s="188" t="str">
        <f>=ROUND(IFERROR(FB_SaldoLC_8,0),2)</f>
      </c>
      <c r="AJ23" s="182" t="str">
        <f>=IFERROR(ROUND($AI$23/$AI$8,2),0)</f>
      </c>
      <c r="AL23" t="s">
        <v>335</v>
      </c>
      <c r="AM23" s="188" t="str">
        <f>=ROUND(IFERROR(FB_SaldoLC_9,0),2)</f>
      </c>
      <c r="AN23" s="182" t="str">
        <f>=IFERROR(ROUND($AM$23/$AM$8,2),0)</f>
      </c>
      <c r="AP23" t="s">
        <v>335</v>
      </c>
      <c r="AQ23" s="188" t="str">
        <f>=ROUND(IFERROR(FB_SaldoLC_10,0),2)</f>
      </c>
      <c r="AR23" s="182" t="str">
        <f>=IFERROR(ROUND($AQ$23/$AQ$8,2),0)</f>
      </c>
      <c r="AT23" t="s">
        <v>335</v>
      </c>
      <c r="AU23" s="188" t="str">
        <f>=ROUND(IFERROR(FB_SaldoLC_11,0),2)</f>
      </c>
      <c r="AV23" s="182" t="str">
        <f>=IFERROR(ROUND($AU$23/$AU$8,2),0)</f>
      </c>
      <c r="AX23" t="s">
        <v>335</v>
      </c>
      <c r="AY23" s="188" t="str">
        <f>=ROUND(IFERROR(FB_SaldoLC_12,0),2)</f>
      </c>
      <c r="AZ23" s="182" t="str">
        <f>=IFERROR(ROUND($AY$23/$AY$8,2),0)</f>
      </c>
      <c r="BB23" t="s">
        <v>335</v>
      </c>
      <c r="BC23" s="188" t="str">
        <f>=ROUND(IFERROR(FB_SaldoLC_13,0),2)</f>
      </c>
      <c r="BD23" s="182" t="str">
        <f>=IFERROR(ROUND($BC$23/$BC$8,2),0)</f>
      </c>
      <c r="BF23" t="s">
        <v>335</v>
      </c>
      <c r="BG23" s="188" t="str">
        <f>=ROUND(IFERROR(FB_SaldoLC_14,0),2)</f>
      </c>
      <c r="BH23" s="182" t="str">
        <f>=IFERROR(ROUND($BG$23/$BG$8,2),0)</f>
      </c>
      <c r="BJ23" t="s">
        <v>335</v>
      </c>
      <c r="BK23" s="188" t="str">
        <f>=ROUND(IFERROR(FB_SaldoLC_15,0),2)</f>
      </c>
      <c r="BL23" s="182" t="str">
        <f>=IFERROR(ROUND($BK$23/$BK$8,2),0)</f>
      </c>
      <c r="BN23" t="s">
        <v>335</v>
      </c>
      <c r="BO23" s="188" t="str">
        <f>=ROUND(IFERROR(FB_SaldoLC_16,0),2)</f>
      </c>
      <c r="BP23" s="182" t="str">
        <f>=IFERROR(ROUND($BO$23/$BO$8,2),0)</f>
      </c>
      <c r="BR23" t="s">
        <v>335</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336</v>
      </c>
      <c r="C2" s="192"/>
      <c r="D2" s="192"/>
      <c r="E2" s="192"/>
      <c r="F2" s="192"/>
      <c r="G2" s="192"/>
      <c r="H2" s="192"/>
      <c r="I2" s="192"/>
      <c r="J2" s="192"/>
    </row>
    <row r="3" ht="18" customHeight="true">
      <c r="B3" s="193" t="s">
        <v>337</v>
      </c>
      <c r="C3" s="193"/>
      <c r="D3" s="193"/>
      <c r="E3" s="193"/>
      <c r="F3" s="193"/>
      <c r="G3" s="193"/>
      <c r="H3" s="193"/>
      <c r="I3" s="193"/>
      <c r="J3" s="193"/>
    </row>
    <row r="5" ht="22" customHeight="true">
      <c r="B5" s="194" t="s">
        <v>338</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339</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340</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341</v>
      </c>
      <c r="D9" s="197"/>
      <c r="E9" s="63" t="s">
        <v>342</v>
      </c>
      <c r="F9" s="63"/>
      <c r="G9" s="206"/>
      <c r="L9" s="315" t="s">
        <v>291</v>
      </c>
      <c r="M9" s="309" t="str">
        <f>=IFERROR(CHOOSE($AD$5,'IV. MA'!$C$7,'IV. MA'!$G$7,'IV. MA'!$K$7,'IV. MA'!$O$7,'IV. MA'!$S$7,'IV. MA'!$W$7,'IV. MA'!$AA$7,'IV. MA'!$AE$7,'IV. MA'!$AI$7,'IV. MA'!$AM$7,'IV. MA'!$AQ$7,'IV. MA'!$AU$7,'IV. MA'!$AY$7,'IV. MA'!$BC$7,'IV. MA'!$BG$7,'IV. MA'!$BK$7,'IV. MA'!$BO$7,'IV. MA'!$BS$7),"")</f>
      </c>
      <c r="N9" s="318"/>
    </row>
    <row r="10">
      <c r="C10" s="205" t="s">
        <v>343</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344</v>
      </c>
      <c r="D11" s="197"/>
      <c r="E11" s="198" t="str">
        <f>=IF(E9="Neuste MA",IFERROR(SUMPRODUCT(MAX(('Daten'!$BB$1:$BB$18=E10)*('Daten'!$BC$1:$BC$18=1)*'Daten'!$BD$1:$BD$18)),0),IFERROR(VALUE(MID(E9,FIND("(#",E9)+2,FIND(")",E9)-FIND("(#",E9)-2)),0))</f>
      </c>
      <c r="F11" s="198"/>
      <c r="G11" s="208"/>
      <c r="L11" s="47"/>
      <c r="N11" s="48"/>
    </row>
    <row r="12">
      <c r="C12" s="209" t="s">
        <v>345</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346</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347</v>
      </c>
      <c r="C22" s="224"/>
      <c r="D22" s="225" t="str">
        <f>=IFERROR(ROUND(KMW_Mittel_EUR,2),0)</f>
      </c>
      <c r="F22" s="230" t="s">
        <v>351</v>
      </c>
      <c r="G22" s="231"/>
      <c r="H22" s="231"/>
      <c r="I22" s="232"/>
      <c r="L22" s="47"/>
      <c r="N22" s="48"/>
    </row>
    <row r="23">
      <c r="B23" s="205" t="s">
        <v>348</v>
      </c>
      <c r="C23" s="197"/>
      <c r="D23" s="226" t="str">
        <f>=IFERROR(ROUND(Kosten_Reserve_EUR,2),0)</f>
      </c>
      <c r="F23" s="233" t="s">
        <v>352</v>
      </c>
      <c r="G23" s="197" t="s">
        <v>353</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352</v>
      </c>
      <c r="G24" s="197" t="s">
        <v>354</v>
      </c>
      <c r="H24" s="197"/>
      <c r="I24" s="234" t="str">
        <f>=I87</f>
        <v>0</v>
      </c>
      <c r="L24" s="143" t="s">
        <v>396</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349</v>
      </c>
      <c r="C25" s="197"/>
      <c r="D25" s="226" t="str">
        <f>=IFERROR(ROUND(SUBTOTAL(109,TblKMWMittel[Betrag]),2),0)</f>
      </c>
      <c r="F25" s="233" t="s">
        <v>352</v>
      </c>
      <c r="G25" s="197" t="s">
        <v>355</v>
      </c>
      <c r="H25" s="197"/>
      <c r="I25" s="234" t="str">
        <f>=ROUND(MAX(0,MAX(0,(SUM($G$96:$G$99)-$G$98)+SUMIFS('Daten'!$BH$1:$BH$18,'Daten'!$BB$1:$BB$18,E10,'Daten'!$BD$1:$BD$18,"&lt;="&amp;E11,'Daten'!$BD$1:$BD$18,"&gt;=1")-(SUM($H$96:$H$99)-$H$98))-I87),2)</f>
        <v>0</v>
      </c>
      <c r="L25" s="143" t="s">
        <v>397</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350</v>
      </c>
      <c r="C26" s="228"/>
      <c r="D26" s="229" t="str">
        <f>=ROUND($D$24-$D$25,2)</f>
      </c>
      <c r="F26" s="47"/>
      <c r="G26" s="218" t="s">
        <v>356</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357</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358</v>
      </c>
      <c r="C29" s="224"/>
      <c r="D29" s="225" t="str">
        <f>=IFERROR(ROUND(SUMIFS('Daten'!$BV$1:$BV$198,'Daten'!$BT$1:$BT$198,"KMW-Mittel",'Daten'!$BR$1:$BR$198,E10,'Daten'!$BS$1:$BS$198,E11),2),0)</f>
      </c>
      <c r="F29" s="223" t="s">
        <v>358</v>
      </c>
      <c r="G29" s="224"/>
      <c r="H29" s="224"/>
      <c r="I29" s="225" t="str">
        <f>=IFERROR(ROUND(SUMIFS('Daten'!$BV$1:$BV$198,'Daten'!$BT$1:$BT$198,"KMW-Mittel",'Daten'!$BR$1:$BR$198,E10,'Daten'!$BS$1:$BS$198,E11),2),0)</f>
      </c>
    </row>
    <row r="30">
      <c r="B30" s="227" t="s">
        <v>359</v>
      </c>
      <c r="C30" s="228"/>
      <c r="D30" s="229" t="str">
        <f>=ROUND($D$26-MAX(0,$D$29),2)</f>
      </c>
      <c r="F30" s="227" t="s">
        <v>360</v>
      </c>
      <c r="G30" s="228"/>
      <c r="H30" s="228"/>
      <c r="I30" s="229" t="str">
        <f>=ROUND($I$27-MAX(0,$I$29),2)</f>
      </c>
    </row>
    <row r="32">
      <c r="B32" s="223" t="s">
        <v>361</v>
      </c>
      <c r="C32" s="224"/>
      <c r="D32" s="237"/>
      <c r="F32" s="223" t="s">
        <v>361</v>
      </c>
      <c r="G32" s="224"/>
      <c r="H32" s="224"/>
      <c r="I32" s="237"/>
    </row>
    <row r="33">
      <c r="B33" s="227" t="s">
        <v>359</v>
      </c>
      <c r="C33" s="228"/>
      <c r="D33" s="229" t="str">
        <f>=ROUND($D$26-MAX(0,$D$29)-MAX(0,$D$32),2)</f>
      </c>
      <c r="F33" s="227" t="s">
        <v>360</v>
      </c>
      <c r="G33" s="228"/>
      <c r="H33" s="228"/>
      <c r="I33" s="229" t="str">
        <f>=ROUND($I$27-MAX(0,$I$29)-MAX(0,$I$32),2)</f>
      </c>
    </row>
    <row r="36" ht="22" customHeight="true">
      <c r="B36" s="18" t="s">
        <v>362</v>
      </c>
      <c r="C36" s="18"/>
      <c r="D36" s="18"/>
      <c r="E36" s="18"/>
      <c r="F36" s="18"/>
      <c r="G36" s="18"/>
      <c r="H36" s="18"/>
      <c r="I36" s="18"/>
      <c r="J36" s="18"/>
    </row>
    <row r="38">
      <c r="B38" s="246" t="s">
        <v>158</v>
      </c>
      <c r="C38" s="247" t="s">
        <v>363</v>
      </c>
      <c r="D38" s="247" t="s">
        <v>364</v>
      </c>
      <c r="E38" s="248" t="s">
        <v>365</v>
      </c>
    </row>
    <row r="39">
      <c r="B39" s="205" t="s">
        <v>366</v>
      </c>
      <c r="C39" s="239" t="str">
        <f>=IFERROR(ROUND(SUMIFS('Daten'!$BF$1:$BF$18,'Daten'!$BB$1:$BB$18,E10,'Daten'!$BD$1:$BD$18,"&lt;="&amp;E11,'Daten'!$BD$1:$BD$18,"&gt;=1"),2),0)</f>
      </c>
      <c r="D39" s="240"/>
      <c r="E39" s="226" t="str">
        <f>=IFERROR(ROUND(SUMIFS('Daten'!$BG$1:$BG$18,'Daten'!$BB$1:$BB$18,E10,'Daten'!$BD$1:$BD$18,"&lt;="&amp;E11,'Daten'!$BD$1:$BD$18,"&gt;=1"),2),0)</f>
      </c>
    </row>
    <row r="40">
      <c r="B40" s="205" t="s">
        <v>367</v>
      </c>
      <c r="C40" s="239" t="str">
        <f>=IFERROR(ROUND(SUBTOTAL(109,TblBudgetAusgaben[Jahr 1]),2),0)</f>
      </c>
      <c r="D40" s="241">
        <v>8</v>
      </c>
      <c r="E40" s="226" t="str">
        <f>=IFERROR(ROUND($C$40/Budget_Kurs,2),0)</f>
      </c>
    </row>
    <row r="41">
      <c r="B41" s="205" t="s">
        <v>368</v>
      </c>
      <c r="C41" s="239" t="str">
        <f>=IFERROR(ROUND(SUBTOTAL(109,TblBudgetAusgaben[Jahr 2]),2),0)</f>
      </c>
      <c r="D41" s="241">
        <v>0</v>
      </c>
      <c r="E41" s="226" t="str">
        <f>=IFERROR(ROUND($C$41/Budget_Kurs,2),0)</f>
      </c>
    </row>
    <row r="42">
      <c r="B42" s="205" t="s">
        <v>369</v>
      </c>
      <c r="C42" s="239" t="str">
        <f>=IFERROR(ROUND(SUBTOTAL(109,TblBudgetAusgaben[Jahr 3]),2),0)</f>
      </c>
      <c r="D42" s="241">
        <v>0</v>
      </c>
      <c r="E42" s="226" t="str">
        <f>=IFERROR(ROUND($C$42/Budget_Kurs,2),0)</f>
      </c>
    </row>
    <row r="43">
      <c r="B43" s="205" t="s">
        <v>370</v>
      </c>
      <c r="C43" s="242" t="str">
        <f>=$D$40+$D$41+$D$42</f>
      </c>
      <c r="D43" s="242"/>
      <c r="E43" s="249"/>
    </row>
    <row r="44">
      <c r="B44" s="205" t="s">
        <v>371</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372</v>
      </c>
      <c r="C45" s="243" t="str">
        <f>=IFERROR(ROUND($C$40*$D$40/12+$C$41*$D$41/12+$C$42*$D$42/12,2),0)</f>
      </c>
      <c r="D45" s="240"/>
      <c r="E45" s="235" t="str">
        <f>=IFERROR(ROUND($E$40*$D$40/12+$E$41*$D$41/12+$E$42*$D$42/12,2),0)</f>
      </c>
    </row>
    <row r="46">
      <c r="B46" s="251" t="s">
        <v>373</v>
      </c>
      <c r="C46" s="244" t="str">
        <f>=IF($C$39&lt;=$C$45,"OK","ÜBERSCHRITTEN")</f>
      </c>
      <c r="D46" s="240"/>
      <c r="E46" s="252" t="str">
        <f>=IF($E$39&lt;=$E$45,"OK","ÜBERSCHRITTEN")</f>
      </c>
    </row>
    <row r="47">
      <c r="B47" s="205" t="s">
        <v>374</v>
      </c>
      <c r="C47" s="239" t="str">
        <f>=ROUND(MAX(0,$C$39-$C$45),2)</f>
      </c>
      <c r="D47" s="240"/>
      <c r="E47" s="226" t="str">
        <f>=ROUND(MAX(0,$E$39-$E$45),2)</f>
      </c>
    </row>
    <row r="48">
      <c r="B48" s="253" t="s">
        <v>375</v>
      </c>
      <c r="C48" s="254" t="str">
        <f>=IFERROR($C$39/$C$45,0)</f>
      </c>
      <c r="D48" s="255"/>
      <c r="E48" s="256" t="str">
        <f>=IFERROR($E$39/$E$45,0)</f>
      </c>
    </row>
    <row r="50" ht="22" customHeight="true">
      <c r="B50" s="18" t="s">
        <v>376</v>
      </c>
      <c r="C50" s="18"/>
      <c r="D50" s="18"/>
      <c r="E50" s="18"/>
      <c r="F50" s="18"/>
      <c r="G50" s="18"/>
      <c r="H50" s="18"/>
      <c r="I50" s="18"/>
      <c r="J50" s="18"/>
    </row>
    <row r="52" ht="28" customHeight="true">
      <c r="B52" s="263" t="s">
        <v>377</v>
      </c>
      <c r="C52" s="264" t="s">
        <v>378</v>
      </c>
      <c r="D52" s="264" t="s">
        <v>379</v>
      </c>
      <c r="E52" s="264" t="s">
        <v>380</v>
      </c>
      <c r="F52" s="264" t="s">
        <v>381</v>
      </c>
      <c r="G52" s="264" t="s">
        <v>382</v>
      </c>
      <c r="H52" s="264" t="s">
        <v>383</v>
      </c>
      <c r="I52" s="264" t="s">
        <v>384</v>
      </c>
      <c r="J52" s="265" t="s">
        <v>385</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386</v>
      </c>
      <c r="C59" s="18"/>
      <c r="D59" s="18"/>
      <c r="E59" s="18"/>
      <c r="F59" s="18"/>
      <c r="G59" s="18"/>
      <c r="H59" s="18"/>
      <c r="I59" s="18"/>
      <c r="J59" s="18"/>
    </row>
    <row r="61" ht="28" customHeight="true">
      <c r="B61" s="263" t="s">
        <v>377</v>
      </c>
      <c r="C61" s="264" t="s">
        <v>378</v>
      </c>
      <c r="D61" s="264" t="s">
        <v>379</v>
      </c>
      <c r="E61" s="264" t="s">
        <v>380</v>
      </c>
      <c r="F61" s="264" t="s">
        <v>381</v>
      </c>
      <c r="G61" s="264" t="s">
        <v>382</v>
      </c>
      <c r="H61" s="264" t="s">
        <v>383</v>
      </c>
      <c r="I61" s="264" t="s">
        <v>384</v>
      </c>
      <c r="J61" s="265" t="s">
        <v>385</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387</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388</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389</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341</v>
      </c>
      <c r="D80" s="197"/>
      <c r="E80" s="63" t="s">
        <v>390</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343</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391</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347</v>
      </c>
      <c r="C85" s="224"/>
      <c r="D85" s="225" t="str">
        <f>=IFERROR(ROUND(KMW_Mittel_EUR,2),0)</f>
      </c>
      <c r="F85" s="230" t="s">
        <v>351</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348</v>
      </c>
      <c r="C86" s="197"/>
      <c r="D86" s="226" t="str">
        <f>=IFERROR(ROUND(Kosten_Reserve_EUR,2),0)</f>
      </c>
      <c r="F86" s="233" t="s">
        <v>352</v>
      </c>
      <c r="G86" s="197" t="s">
        <v>353</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352</v>
      </c>
      <c r="G87" s="197" t="s">
        <v>354</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349</v>
      </c>
      <c r="C88" s="197"/>
      <c r="D88" s="226" t="str">
        <f>=IFERROR(ROUND(SUBTOTAL(109,TblKMWMittel[Betrag]),2),0)</f>
      </c>
      <c r="F88" s="47"/>
      <c r="G88" s="218" t="s">
        <v>356</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350</v>
      </c>
      <c r="C89" s="228"/>
      <c r="D89" s="229" t="str">
        <f>=ROUND($D$87-$D$88,2)</f>
      </c>
      <c r="F89" s="236"/>
      <c r="G89" s="228" t="s">
        <v>357</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392</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377</v>
      </c>
      <c r="C95" s="264" t="s">
        <v>393</v>
      </c>
      <c r="D95" s="264" t="s">
        <v>379</v>
      </c>
      <c r="E95" s="264" t="s">
        <v>380</v>
      </c>
      <c r="F95" s="264" t="s">
        <v>381</v>
      </c>
      <c r="G95" s="264" t="s">
        <v>394</v>
      </c>
      <c r="H95" s="264" t="s">
        <v>383</v>
      </c>
      <c r="I95" s="264" t="s">
        <v>384</v>
      </c>
      <c r="J95" s="265" t="s">
        <v>385</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395</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377</v>
      </c>
      <c r="C104" s="264" t="s">
        <v>393</v>
      </c>
      <c r="D104" s="264" t="s">
        <v>379</v>
      </c>
      <c r="E104" s="264" t="s">
        <v>380</v>
      </c>
      <c r="F104" s="264" t="s">
        <v>381</v>
      </c>
      <c r="G104" s="264" t="s">
        <v>394</v>
      </c>
      <c r="H104" s="264" t="s">
        <v>383</v>
      </c>
      <c r="I104" s="264" t="s">
        <v>384</v>
      </c>
      <c r="J104" s="265" t="s">
        <v>385</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C46">
    <cfRule type="expression" dxfId="12" priority="19">
      <formula>$C$46="OK"</formula>
    </cfRule>
  </conditionalFormatting>
  <conditionalFormatting sqref="C46">
    <cfRule type="expression" dxfId="13" priority="20">
      <formula>$C$46&lt;&gt;"OK"</formula>
    </cfRule>
  </conditionalFormatting>
  <conditionalFormatting sqref="E46">
    <cfRule type="expression" dxfId="12" priority="21">
      <formula>$E$46="OK"</formula>
    </cfRule>
  </conditionalFormatting>
  <conditionalFormatting sqref="E46">
    <cfRule type="expression" dxfId="13" priority="22">
      <formula>$E$46&lt;&gt;"OK"</formula>
    </cfRule>
  </conditionalFormatting>
  <conditionalFormatting sqref="C47">
    <cfRule type="expression" dxfId="14" priority="23">
      <formula>$C$47&gt;0</formula>
    </cfRule>
  </conditionalFormatting>
  <conditionalFormatting sqref="E47">
    <cfRule type="expression" dxfId="15" priority="24">
      <formula>$E$47&gt;0</formula>
    </cfRule>
  </conditionalFormatting>
  <conditionalFormatting sqref="F53:F56">
    <cfRule type="expression" dxfId="16" priority="25">
      <formula>F53&gt;=0.2</formula>
    </cfRule>
  </conditionalFormatting>
  <conditionalFormatting sqref="F53:F56">
    <cfRule type="expression" dxfId="17" priority="26">
      <formula>AND(F53&gt;=0.1,F53&lt;0.2)</formula>
    </cfRule>
  </conditionalFormatting>
  <conditionalFormatting sqref="J53:J56">
    <cfRule type="expression" dxfId="16" priority="27">
      <formula>J53&gt;=0.2</formula>
    </cfRule>
  </conditionalFormatting>
  <conditionalFormatting sqref="J53:J56">
    <cfRule type="expression" dxfId="17" priority="28">
      <formula>AND(J53&gt;=0.1,J53&lt;0.2)</formula>
    </cfRule>
  </conditionalFormatting>
  <conditionalFormatting sqref="F62:F69">
    <cfRule type="expression" dxfId="16" priority="29">
      <formula>F62&gt;=0.2</formula>
    </cfRule>
  </conditionalFormatting>
  <conditionalFormatting sqref="F62:F69">
    <cfRule type="expression" dxfId="17" priority="30">
      <formula>AND(F62&gt;=0.1,F62&lt;0.2)</formula>
    </cfRule>
  </conditionalFormatting>
  <conditionalFormatting sqref="J62:J69">
    <cfRule type="expression" dxfId="16" priority="31">
      <formula>J62&gt;=0.2</formula>
    </cfRule>
  </conditionalFormatting>
  <conditionalFormatting sqref="J62:J69">
    <cfRule type="expression" dxfId="17" priority="32">
      <formula>AND(J62&gt;=0.1,J62&lt;0.2)</formula>
    </cfRule>
  </conditionalFormatting>
  <conditionalFormatting sqref="F96:F99">
    <cfRule type="expression" dxfId="16" priority="33">
      <formula>F96&gt;=0.2</formula>
    </cfRule>
  </conditionalFormatting>
  <conditionalFormatting sqref="F96:F99">
    <cfRule type="expression" dxfId="17" priority="34">
      <formula>AND(F96&gt;=0.1,F96&lt;0.2)</formula>
    </cfRule>
  </conditionalFormatting>
  <conditionalFormatting sqref="J96:J99">
    <cfRule type="expression" dxfId="16" priority="35">
      <formula>J96&gt;=0.2</formula>
    </cfRule>
  </conditionalFormatting>
  <conditionalFormatting sqref="J96:J99">
    <cfRule type="expression" dxfId="17" priority="36">
      <formula>AND(J96&gt;=0.1,J96&lt;0.2)</formula>
    </cfRule>
  </conditionalFormatting>
  <conditionalFormatting sqref="F105:F112">
    <cfRule type="expression" dxfId="16" priority="37">
      <formula>F105&gt;=0.2</formula>
    </cfRule>
  </conditionalFormatting>
  <conditionalFormatting sqref="F105:F112">
    <cfRule type="expression" dxfId="17" priority="38">
      <formula>AND(F105&gt;=0.1,F105&lt;0.2)</formula>
    </cfRule>
  </conditionalFormatting>
  <conditionalFormatting sqref="J105:J112">
    <cfRule type="expression" dxfId="16" priority="39">
      <formula>J105&gt;=0.2</formula>
    </cfRule>
  </conditionalFormatting>
  <conditionalFormatting sqref="J105:J112">
    <cfRule type="expression" dxfId="17"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398</v>
      </c>
      <c r="I1" s="351" t="s">
        <v>399</v>
      </c>
      <c r="O1" s="351" t="s">
        <v>400</v>
      </c>
      <c r="U1" s="351" t="s">
        <v>401</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