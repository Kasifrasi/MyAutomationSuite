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OFFSET('I. Budget'!$R$1, 0, 0, COUNTA('I. Budget'!R:R), 1)</definedName>
    <definedName name="Budget_ID_Liste">OFFSET('I. Budget'!$S$1, 0, 0, COUNTA('I. Budget'!S:S), 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Kurs_2">'IV. MA'!$G$8</definedName>
    <definedName name="MA_Kurs_3">'IV. MA'!$K$8</definedName>
    <definedName name="MA_Kurs_4">'IV. MA'!$O$8</definedName>
    <definedName name="MA_Kurs_5">'IV. MA'!$S$8</definedName>
    <definedName name="MA_Kurs_6">'IV. MA'!$W$8</definedName>
    <definedName name="MA_Kurs_7">'IV. MA'!$AA$8</definedName>
    <definedName name="MA_Kurs_8">'IV. MA'!$AE$8</definedName>
    <definedName name="MA_Kurs_9">'IV. MA'!$AI$8</definedName>
    <definedName name="MA_Kurs_10">'IV. MA'!$AM$8</definedName>
    <definedName name="MA_Kurs_11">'IV. MA'!$AQ$8</definedName>
    <definedName name="MA_Kurs_12">'IV. MA'!$AU$8</definedName>
    <definedName name="MA_Kurs_13">'IV. MA'!$AY$8</definedName>
    <definedName name="MA_Kurs_14">'IV. MA'!$BC$8</definedName>
    <definedName name="MA_Kurs_15">'IV. MA'!$BG$8</definedName>
    <definedName name="MA_Kurs_16">'IV. MA'!$BK$8</definedName>
    <definedName name="MA_Kurs_17">'IV. MA'!$BO$8</definedName>
    <definedName name="MA_Kurs_18">'IV. MA'!$BS$8</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<sst xmlns="http://schemas.openxmlformats.org/spreadsheetml/2006/main" count="404" uniqueCount="404">
  <si>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</si>
  <si>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</si>
  <si>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</si>
  <si>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</si>
  <si>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</si>
  <si>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</si>
  <si>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</si>
  <si>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</si>
  <si>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</si>
  <si>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</si>
  <si>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</si>
  <si>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</si>
  <si>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</si>
  <si>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</si>
  <si>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</si>
  <si>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</si>
  <si>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</si>
  <si>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</si>
  <si>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</si>
  <si>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</si>
  <si>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</si>
  <si>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</si>
  <si>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</si>
  <si>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</si>
  <si>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</si>
  <si>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</si>
  <si>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</si>
  <si>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</si>
  <si>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</si>
  <si>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</si>
  <si>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</si>
  <si>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</si>
  <si>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</si>
  <si>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</si>
  <si>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</si>
  <si>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</si>
  <si>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</si>
  <si>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</si>
  <si>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</si>
  <si>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</si>
  <si>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</si>
  <si>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</si>
  <si>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</si>
  <si>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</si>
  <si>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</si>
  <si>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</si>
  <si>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</si>
  <si>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</si>
  <si>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</si>
  <si>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</si>
  <si>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</si>
  <si>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</si>
  <si>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</si>
  <si>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</si>
  <si>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</si>
  <si>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</si>
  <si>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</si>
  <si>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</si>
  <si>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</si>
  <si>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</si>
  <si>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</si>
  <si>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</si>
  <si>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</si>
  <si>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</si>
  <si>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</si>
  <si>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</si>
  <si>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</si>
  <si>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</si>
  <si>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</si>
  <si>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</si>
  <si>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</si>
  <si>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</si>
  <si>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</si>
  <si>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</si>
  <si>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</si>
  <si>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</si>
  <si>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</si>
  <si>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</si>
  <si>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</si>
  <si>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</si>
  <si>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</si>
  <si>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</si>
  <si>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</si>
  <si>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</si>
  <si>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</si>
  <si>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</si>
  <si>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</si>
  <si>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</si>
  <si>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</si>
  <si>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</si>
  <si>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</si>
  <si>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</si>
  <si>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</si>
  <si>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</si>
  <si>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</si>
  <si>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</si>
  <si>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</si>
  <si>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</si>
  <si>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</si>
  <si>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</si>
  <si>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</si>
  <si>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</si>
  <si>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</si>
  <si>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</si>
  <si>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</si>
  <si>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</si>
  <si>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</si>
  <si>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</si>
  <si>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</si>
  <si>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</si>
  <si>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</si>
  <si>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</si>
  <si>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</si>
  <si>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</si>
  <si>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</si>
  <si>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</si>
  <si>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</si>
  <si>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</si>
  <si>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</si>
  <si>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</si>
  <si>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</si>
  <si>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</si>
  <si>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</si>
  <si>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</si>
  <si>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</si>
  <si>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</si>
  <si>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</si>
  <si>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</si>
  <si>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</si>
  <si>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</si>
  <si>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</si>
  <si>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</si>
  <si>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</si>
  <si>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</si>
  <si>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</si>
  <si>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</si>
  <si>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</si>
  <si>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</si>
  <si>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</si>
  <si>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</si>
  <si>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</si>
  <si>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</si>
  <si>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</si>
  <si>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</si>
  <si>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</si>
  <si>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</si>
  <si>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</si>
  <si>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</si>
  <si>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</si>
  <si>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</si>
  <si>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</si>
  <si>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</si>
  <si>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</si>
  <si>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</si>
  <si>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</si>
  <si>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</si>
  <si>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</si>
  <si>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</si>
  <si>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</si>
  <si>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</si>
  <si>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</si>
  <si>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</si>
  <si>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</si>
  <si>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</si>
  <si>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</si>
  <si>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</si>
  <si>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</si>
  <si>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</si>
  <si>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</si>
  <si>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</si>
  <si>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</si>
  <si>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</si>
  <si>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</si>
  <si>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</si>
  <si>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</si>
  <si>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</si>
  <si>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</si>
  <si>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</si>
  <si>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</si>
  <si>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</si>
  <si>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</si>
  <si>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</si>
  <si>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</si>
  <si>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</si>
  <si>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</si>
  <si>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</si>
  <si>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</si>
  <si>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</si>
  <si>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</si>
  <si>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</si>
  <si>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</si>
  <si>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</si>
  <si>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</si>
  <si>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</si>
  <si>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</si>
  <si>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</si>
  <si>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</si>
  <si>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</si>
  <si>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</si>
  <si>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</si>
  <si>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</si>
  <si>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</si>
  <si>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</si>
  <si>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</si>
  <si>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</si>
  <si>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</si>
  <si>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</si>
  <si>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</si>
  <si>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</si>
  <si>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</si>
  <si>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</si>
  <si>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</si>
  <si>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</si>
  <si>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</si>
  <si>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</si>
  <si>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</si>
  <si>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</si>
  <si>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</si>
  <si>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</si>
  <si>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</si>
  <si>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</si>
  <si>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</si>
  <si>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</si>
  <si>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</si>
  <si>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</si>
  <si>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</si>
  <si>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</si>
  <si>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</si>
  <si>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</si>
  <si>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</si>
  <si>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</si>
  <si>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</si>
  <si>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</si>
  <si>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</si>
  <si>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</si>
  <si>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</si>
  <si>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</si>
  <si>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</si>
  <si>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</si>
  <si>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</si>
  <si>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</si>
  <si>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</si>
  <si>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</si>
  <si>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</si>
  <si>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</si>
  <si>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</si>
  <si>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</si>
  <si>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</si>
  <si>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</si>
  <si>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</si>
  <si>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</si>
  <si>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</si>
  <si>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</si>
  <si>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</si>
  <si>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</si>
  <si>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</si>
  <si>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</si>
  <si>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</si>
  <si>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</si>
  <si>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</si>
  <si>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</si>
  <si>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</si>
  <si>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</si>
  <si>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</si>
  <si>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</si>
  <si>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</si>
  <si>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</si>
  <si>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</si>
  <si>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</si>
  <si>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</si>
  <si>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</si>
  <si>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</si>
  <si>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</si>
  <si>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</si>
  <si>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</si>
  <si>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</si>
  <si>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</si>
  <si>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</si>
  <si>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</si>
  <si>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</si>
  <si>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</si>
  <si>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</si>
  <si>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</si>
  <si>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</si>
  <si>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</si>
  <si>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</si>
  <si>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</si>
  <si>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</si>
  <si>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</si>
  <si>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</si>
  <si>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</si>
  <si>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</si>
  <si>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</si>
  <si>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</si>
  <si>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</si>
  <si>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</si>
  <si>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</si>
  <si>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</si>
  <si>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</si>
  <si>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</si>
  <si>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</si>
  <si>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</si>
  <si>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</si>
  <si>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</si>
  <si>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</si>
  <si>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</si>
  <si>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</si>
  <si>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</si>
  <si>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</si>
  <si>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</si>
  <si>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</si>
  <si>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</si>
  <si>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</si>
  <si>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</si>
  <si>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</si>
  <si>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</si>
  <si>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</si>
  <si>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</si>
  <si>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</si>
  <si>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</si>
  <si>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</si>
  <si>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</si>
  <si>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</si>
  <si>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</si>
  <si>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</si>
  <si>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</si>
  <si>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</si>
  <si>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</si>
  <si>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</si>
  <si>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</si>
  <si>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</si>
  <si>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</si>
  <si>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</si>
  <si>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</si>
  <si>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</si>
  <si>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</si>
  <si>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</si>
  <si>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</si>
  <si>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</si>
  <si>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</si>
  <si>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</si>
  <si>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</si>
  <si>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</si>
  <si>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</si>
  <si>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</si>
  <si>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</si>
  <si>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</si>
  <si>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</si>
  <si>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</si>
  <si>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</si>
  <si>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</si>
  <si>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</si>
  <si>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</si>
  <si>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</si>
  <si>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</si>
  <si>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</si>
  <si>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</si>
  <si>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</si>
  <si>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</si>
  <si>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</si>
  <si>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</si>
  <si>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</si>
  <si>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</si>
  <si>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</si>
  <si>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</si>
  <si>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</si>
  <si>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Euro</t>
  </si>
  <si>
    <t>Geprüfte Periode (aus MA-Auswahl)</t>
  </si>
  <si>
    <t>Anforderungshöhe</t>
  </si>
  <si>
    <t>Jahr</t>
  </si>
  <si>
    <t>Jahresbudget</t>
  </si>
  <si>
    <t>Limit-Monate</t>
  </si>
  <si>
    <t>Bezugszeitraum (Monate)</t>
  </si>
  <si>
    <t>Anforderung deckt (Monate)</t>
  </si>
  <si>
    <t>8-Monats-Limit</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</si>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</sst>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7">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1">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1" fillId="11" borderId="0" xfId="0" applyFont="true" applyFill="true" applyAlignment="true">
      <alignment horizontal="left" vertical="center"/>
    </xf>
    <xf numFmtId="0" fontId="22" fillId="11" borderId="0" xfId="0" applyFont="true" applyFill="true" applyAlignment="true">
      <alignment horizontal="center" vertical="center"/>
    </xf>
    <xf numFmtId="0" fontId="14" fillId="0" borderId="0" xfId="0" applyFont="true" applyAlignment="true">
      <alignment horizontal="center" vertical="center"/>
    </xf>
    <xf numFmtId="0" fontId="23"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xf>
    <xf numFmtId="0" fontId="24" fillId="11" borderId="7" xfId="0" applyFont="true" applyFill="true" applyBorder="true" applyAlignment="true">
      <alignment horizontal="center" vertical="center"/>
    </xf>
    <xf numFmtId="0" fontId="24"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5"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172" fontId="3" fillId="5"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0" fontId="10" fillId="0" borderId="20"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173" fontId="3" fillId="8" borderId="21" xfId="0" applyNumberFormat="true" applyFont="true" applyFill="true" applyBorder="true" applyAlignment="true">
      <alignment horizontal="right" vertical="center"/>
    </xf>
    <xf numFmtId="0" fontId="25"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6" fillId="11" borderId="11" xfId="0" applyFont="true" applyFill="true" applyBorder="true" applyAlignment="true">
      <alignment horizontal="left" vertical="center"/>
    </xf>
    <xf numFmtId="166" fontId="26" fillId="11" borderId="11" xfId="0" applyNumberFormat="true" applyFont="true" applyFill="true" applyBorder="true" applyAlignment="true">
      <alignment horizontal="right" vertical="center"/>
    </xf>
    <xf numFmtId="173" fontId="26" fillId="11" borderId="11" xfId="0" applyNumberFormat="true" applyFont="true" applyFill="true" applyBorder="true" applyAlignment="true">
      <alignment horizontal="right" vertical="center"/>
    </xf>
    <xf numFmtId="167" fontId="26" fillId="11" borderId="11" xfId="0" applyNumberFormat="true" applyFont="true" applyFill="true" applyBorder="true" applyAlignment="true">
      <alignment horizontal="right" vertical="center"/>
    </xf>
    <xf numFmtId="0" fontId="25" fillId="11" borderId="51" xfId="0" applyFont="true" applyFill="true" applyBorder="true" applyAlignment="true">
      <alignment horizontal="center" vertical="center" wrapText="true"/>
    </xf>
    <xf numFmtId="0" fontId="25" fillId="11" borderId="7" xfId="0" applyFont="true" applyFill="true" applyBorder="true" applyAlignment="true">
      <alignment horizontal="center" vertical="center" wrapText="true"/>
    </xf>
    <xf numFmtId="0" fontId="25"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6" fillId="11" borderId="32" xfId="0" applyFont="true" applyFill="true" applyBorder="true" applyAlignment="true">
      <alignment horizontal="left" vertical="center"/>
    </xf>
    <xf numFmtId="166" fontId="26" fillId="11" borderId="33" xfId="0" applyNumberFormat="true" applyFont="true" applyFill="true" applyBorder="true" applyAlignment="true">
      <alignment horizontal="right" vertical="center"/>
    </xf>
    <xf numFmtId="173" fontId="26" fillId="11" borderId="33" xfId="0" applyNumberFormat="true" applyFont="true" applyFill="true" applyBorder="true" applyAlignment="true">
      <alignment horizontal="right" vertical="center"/>
    </xf>
    <xf numFmtId="167"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2" fontId="12" fillId="8" borderId="20" xfId="0" applyNumberFormat="true" applyFont="true" applyFill="true" applyBorder="true" applyAlignment="true">
      <alignment horizontal="center" vertical="center"/>
    </xf>
    <xf numFmtId="172" fontId="12" fillId="8" borderId="20" xfId="0" applyNumberFormat="true" applyFont="true" applyFill="true" applyBorder="true" applyAlignment="true">
      <alignment horizontal="center" vertical="center"/>
    </xf>
    <xf numFmtId="172" fontId="12" fillId="8" borderId="21" xfId="0" applyNumberFormat="true" applyFont="true" applyFill="true" applyBorder="true" applyAlignment="true">
      <alignment horizontal="center"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8">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border>
        <left style="thin">
          <color rgb="FFD3D3D3"/>
        </left>
        <right style="thin">
          <color rgb="FFD3D3D3"/>
        </right>
        <top style="thin">
          <color rgb="FFD3D3D3"/>
        </top>
        <bottom style="thin">
          <color rgb="FFD3D3D3"/>
        </bottom>
      </border>
    </dxf>
    <dxf>
      <font>
        <name val="Segoe UI"/>
        <family val="2"/>
        <b val="1"/>
        <color rgb="FF9C640C"/>
      </font>
      <numFmt numFmtId="168" formatCode="0.0%"/>
      <fill>
        <patternFill patternType="solid">
          <bgColor rgb="FFFCF3CF"/>
        </patternFill>
      </fill>
      <alignment horizontal="right" vertical="center"/>
      <border>
        <left style="thin">
          <color rgb="FFD3D3D3"/>
        </left>
        <right style="thin">
          <color rgb="FFD3D3D3"/>
        </right>
        <top style="thin">
          <color rgb="FFD3D3D3"/>
        </top>
        <bottom style="thin">
          <color rgb="FFD3D3D3"/>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cm="1" s="3">
        <f t="array" ref="R1">_xlfn.VSTACK({"Projektpartner";"Bank"},IFERROR(_xlfn._xlws.FILTER(TblDrittmittel[Name des Gebers],TblDrittmittel[Name des Gebers]&lt;&gt;""),""))</f>
        <v>0</v>
      </c>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2">
    <cfRule type="expression" dxfId="5" priority="4">
      <formula>$E$32="OK"</formula>
    </cfRule>
  </conditionalFormatting>
  <conditionalFormatting sqref="E32">
    <cfRule type="expression" dxfId="6" priority="5">
      <formula>$E$32&lt;&gt;"OK"</formula>
    </cfRule>
  </conditionalFormatting>
  <conditionalFormatting sqref="E33">
    <cfRule type="expression" dxfId="5" priority="6">
      <formula>$E$33="OK"</formula>
    </cfRule>
  </conditionalFormatting>
  <conditionalFormatting sqref="E33">
    <cfRule type="expression" dxfId="6" priority="7">
      <formula>$E$33&lt;&gt;"OK"</formula>
    </cfRule>
  </conditionalFormatting>
  <conditionalFormatting sqref="E34">
    <cfRule type="expression" dxfId="5" priority="8">
      <formula>$E$34="OK"</formula>
    </cfRule>
  </conditionalFormatting>
  <conditionalFormatting sqref="E34">
    <cfRule type="expression" dxfId="6" priority="9">
      <formula>$E$34&lt;&gt;"OK"</formula>
    </cfRule>
  </conditionalFormatting>
  <conditionalFormatting sqref="E35">
    <cfRule type="expression" dxfId="5" priority="10">
      <formula>$E$35="OK"</formula>
    </cfRule>
  </conditionalFormatting>
  <conditionalFormatting sqref="E35">
    <cfRule type="expression" dxfId="6" priority="11">
      <formula>$E$35&lt;&gt;"OK"</formula>
    </cfRule>
  </conditionalFormatting>
  <conditionalFormatting sqref="E36">
    <cfRule type="expression" dxfId="7" priority="12">
      <formula>$E$36="OK"</formula>
    </cfRule>
  </conditionalFormatting>
  <conditionalFormatting sqref="E36">
    <cfRule type="expression" dxfId="8" priority="13">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t="inlineStr">
        <is>
          <t>Periode 1</t>
        </is>
      </c>
      <c r="C5" s="92" t="inlineStr">
        <is>
          <t>EUR</t>
        </is>
      </c>
      <c r="D5" s="93">
        <v>10000</v>
      </c>
      <c r="E5" s="94">
        <v>45672</v>
      </c>
      <c r="Z5" t="s">
        <v>251</v>
      </c>
    </row>
    <row r="6">
      <c r="B6" s="95" t="inlineStr">
        <is>
          <t>Periode 1</t>
        </is>
      </c>
      <c r="C6" s="82" t="inlineStr">
        <is>
          <t>EUR</t>
        </is>
      </c>
      <c r="D6" s="83">
        <v>8000</v>
      </c>
      <c r="E6" s="96">
        <v>45762</v>
      </c>
      <c r="Z6" t="s">
        <v>252</v>
      </c>
    </row>
    <row r="7">
      <c r="B7" s="95" t="inlineStr">
        <is>
          <t>Periode 2</t>
        </is>
      </c>
      <c r="C7" s="82" t="inlineStr">
        <is>
          <t>EUR</t>
        </is>
      </c>
      <c r="D7" s="83">
        <v>9000</v>
      </c>
      <c r="E7" s="96">
        <v>45853</v>
      </c>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6" t="s">
        <v>325</v>
      </c>
      <c r="O3" s="176" t="s">
        <v>325</v>
      </c>
      <c r="V3" s="176" t="s">
        <v>325</v>
      </c>
      <c r="AC3" s="176" t="s">
        <v>325</v>
      </c>
      <c r="AJ3" s="176" t="s">
        <v>325</v>
      </c>
      <c r="AQ3" s="176" t="s">
        <v>325</v>
      </c>
      <c r="AX3" s="176" t="s">
        <v>325</v>
      </c>
      <c r="BE3" s="176" t="s">
        <v>325</v>
      </c>
      <c r="BL3" s="176" t="s">
        <v>325</v>
      </c>
      <c r="BS3" s="176" t="s">
        <v>325</v>
      </c>
      <c r="BZ3" s="176" t="s">
        <v>325</v>
      </c>
      <c r="CG3" s="176" t="s">
        <v>325</v>
      </c>
      <c r="CN3" s="176" t="s">
        <v>325</v>
      </c>
      <c r="CU3" s="176" t="s">
        <v>325</v>
      </c>
      <c r="DB3" s="176" t="s">
        <v>325</v>
      </c>
      <c r="DI3" s="176" t="s">
        <v>325</v>
      </c>
      <c r="DP3" s="176" t="s">
        <v>325</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v>45658</v>
      </c>
      <c r="D5" s="108"/>
      <c r="F5" s="48"/>
      <c r="I5" s="138" t="s">
        <v>289</v>
      </c>
      <c r="J5" s="108">
        <v>45839</v>
      </c>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v>45838</v>
      </c>
      <c r="D6" s="108"/>
      <c r="F6" s="48"/>
      <c r="I6" s="138" t="s">
        <v>290</v>
      </c>
      <c r="J6" s="108">
        <v>46022</v>
      </c>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326</v>
      </c>
      <c r="J11" s="116" t="str">
        <f>=ROUND(FB_SaldoLC_1,2)</f>
      </c>
      <c r="K11" s="117" t="str">
        <f>=ROUND(FB_SaldoEUR_1,2)</f>
      </c>
      <c r="L11" s="116" t="str">
        <f>=ROUND(FB_SaldoLC_1,2)</f>
      </c>
      <c r="M11" s="144" t="str">
        <f>=ROUND(FB_SaldoEUR_1,2)</f>
      </c>
      <c r="P11" s="143" t="s">
        <v>326</v>
      </c>
      <c r="Q11" s="116" t="str">
        <f>=ROUND(FB_SaldoLC_2,2)</f>
      </c>
      <c r="R11" s="117" t="str">
        <f>=ROUND(FB_SaldoEUR_2,2)</f>
      </c>
      <c r="S11" s="116" t="str">
        <f>=ROUND(FB_SaldoLC_2,2)</f>
      </c>
      <c r="T11" s="144" t="str">
        <f>=ROUND(FB_SaldoEUR_2,2)</f>
      </c>
      <c r="W11" s="143" t="s">
        <v>326</v>
      </c>
      <c r="X11" s="116" t="str">
        <f>=ROUND(FB_SaldoLC_3,2)</f>
      </c>
      <c r="Y11" s="117" t="str">
        <f>=ROUND(FB_SaldoEUR_3,2)</f>
      </c>
      <c r="Z11" s="116" t="str">
        <f>=ROUND(FB_SaldoLC_3,2)</f>
      </c>
      <c r="AA11" s="144" t="str">
        <f>=ROUND(FB_SaldoEUR_3,2)</f>
      </c>
      <c r="AD11" s="143" t="s">
        <v>326</v>
      </c>
      <c r="AE11" s="116" t="str">
        <f>=ROUND(FB_SaldoLC_4,2)</f>
      </c>
      <c r="AF11" s="117" t="str">
        <f>=ROUND(FB_SaldoEUR_4,2)</f>
      </c>
      <c r="AG11" s="116" t="str">
        <f>=ROUND(FB_SaldoLC_4,2)</f>
      </c>
      <c r="AH11" s="144" t="str">
        <f>=ROUND(FB_SaldoEUR_4,2)</f>
      </c>
      <c r="AK11" s="143" t="s">
        <v>326</v>
      </c>
      <c r="AL11" s="116" t="str">
        <f>=ROUND(FB_SaldoLC_5,2)</f>
      </c>
      <c r="AM11" s="117" t="str">
        <f>=ROUND(FB_SaldoEUR_5,2)</f>
      </c>
      <c r="AN11" s="116" t="str">
        <f>=ROUND(FB_SaldoLC_5,2)</f>
      </c>
      <c r="AO11" s="144" t="str">
        <f>=ROUND(FB_SaldoEUR_5,2)</f>
      </c>
      <c r="AR11" s="143" t="s">
        <v>326</v>
      </c>
      <c r="AS11" s="116" t="str">
        <f>=ROUND(FB_SaldoLC_6,2)</f>
      </c>
      <c r="AT11" s="117" t="str">
        <f>=ROUND(FB_SaldoEUR_6,2)</f>
      </c>
      <c r="AU11" s="116" t="str">
        <f>=ROUND(FB_SaldoLC_6,2)</f>
      </c>
      <c r="AV11" s="144" t="str">
        <f>=ROUND(FB_SaldoEUR_6,2)</f>
      </c>
      <c r="AY11" s="143" t="s">
        <v>326</v>
      </c>
      <c r="AZ11" s="116" t="str">
        <f>=ROUND(FB_SaldoLC_7,2)</f>
      </c>
      <c r="BA11" s="117" t="str">
        <f>=ROUND(FB_SaldoEUR_7,2)</f>
      </c>
      <c r="BB11" s="116" t="str">
        <f>=ROUND(FB_SaldoLC_7,2)</f>
      </c>
      <c r="BC11" s="144" t="str">
        <f>=ROUND(FB_SaldoEUR_7,2)</f>
      </c>
      <c r="BF11" s="143" t="s">
        <v>326</v>
      </c>
      <c r="BG11" s="116" t="str">
        <f>=ROUND(FB_SaldoLC_8,2)</f>
      </c>
      <c r="BH11" s="117" t="str">
        <f>=ROUND(FB_SaldoEUR_8,2)</f>
      </c>
      <c r="BI11" s="116" t="str">
        <f>=ROUND(FB_SaldoLC_8,2)</f>
      </c>
      <c r="BJ11" s="144" t="str">
        <f>=ROUND(FB_SaldoEUR_8,2)</f>
      </c>
      <c r="BM11" s="143" t="s">
        <v>326</v>
      </c>
      <c r="BN11" s="116" t="str">
        <f>=ROUND(FB_SaldoLC_9,2)</f>
      </c>
      <c r="BO11" s="117" t="str">
        <f>=ROUND(FB_SaldoEUR_9,2)</f>
      </c>
      <c r="BP11" s="116" t="str">
        <f>=ROUND(FB_SaldoLC_9,2)</f>
      </c>
      <c r="BQ11" s="144" t="str">
        <f>=ROUND(FB_SaldoEUR_9,2)</f>
      </c>
      <c r="BT11" s="143" t="s">
        <v>326</v>
      </c>
      <c r="BU11" s="116" t="str">
        <f>=ROUND(FB_SaldoLC_10,2)</f>
      </c>
      <c r="BV11" s="117" t="str">
        <f>=ROUND(FB_SaldoEUR_10,2)</f>
      </c>
      <c r="BW11" s="116" t="str">
        <f>=ROUND(FB_SaldoLC_10,2)</f>
      </c>
      <c r="BX11" s="144" t="str">
        <f>=ROUND(FB_SaldoEUR_10,2)</f>
      </c>
      <c r="CA11" s="143" t="s">
        <v>326</v>
      </c>
      <c r="CB11" s="116" t="str">
        <f>=ROUND(FB_SaldoLC_11,2)</f>
      </c>
      <c r="CC11" s="117" t="str">
        <f>=ROUND(FB_SaldoEUR_11,2)</f>
      </c>
      <c r="CD11" s="116" t="str">
        <f>=ROUND(FB_SaldoLC_11,2)</f>
      </c>
      <c r="CE11" s="144" t="str">
        <f>=ROUND(FB_SaldoEUR_11,2)</f>
      </c>
      <c r="CH11" s="143" t="s">
        <v>326</v>
      </c>
      <c r="CI11" s="116" t="str">
        <f>=ROUND(FB_SaldoLC_12,2)</f>
      </c>
      <c r="CJ11" s="117" t="str">
        <f>=ROUND(FB_SaldoEUR_12,2)</f>
      </c>
      <c r="CK11" s="116" t="str">
        <f>=ROUND(FB_SaldoLC_12,2)</f>
      </c>
      <c r="CL11" s="144" t="str">
        <f>=ROUND(FB_SaldoEUR_12,2)</f>
      </c>
      <c r="CO11" s="143" t="s">
        <v>326</v>
      </c>
      <c r="CP11" s="116" t="str">
        <f>=ROUND(FB_SaldoLC_13,2)</f>
      </c>
      <c r="CQ11" s="117" t="str">
        <f>=ROUND(FB_SaldoEUR_13,2)</f>
      </c>
      <c r="CR11" s="116" t="str">
        <f>=ROUND(FB_SaldoLC_13,2)</f>
      </c>
      <c r="CS11" s="144" t="str">
        <f>=ROUND(FB_SaldoEUR_13,2)</f>
      </c>
      <c r="CV11" s="143" t="s">
        <v>326</v>
      </c>
      <c r="CW11" s="116" t="str">
        <f>=ROUND(FB_SaldoLC_14,2)</f>
      </c>
      <c r="CX11" s="117" t="str">
        <f>=ROUND(FB_SaldoEUR_14,2)</f>
      </c>
      <c r="CY11" s="116" t="str">
        <f>=ROUND(FB_SaldoLC_14,2)</f>
      </c>
      <c r="CZ11" s="144" t="str">
        <f>=ROUND(FB_SaldoEUR_14,2)</f>
      </c>
      <c r="DC11" s="143" t="s">
        <v>326</v>
      </c>
      <c r="DD11" s="116" t="str">
        <f>=ROUND(FB_SaldoLC_15,2)</f>
      </c>
      <c r="DE11" s="117" t="str">
        <f>=ROUND(FB_SaldoEUR_15,2)</f>
      </c>
      <c r="DF11" s="116" t="str">
        <f>=ROUND(FB_SaldoLC_15,2)</f>
      </c>
      <c r="DG11" s="144" t="str">
        <f>=ROUND(FB_SaldoEUR_15,2)</f>
      </c>
      <c r="DJ11" s="143" t="s">
        <v>326</v>
      </c>
      <c r="DK11" s="116" t="str">
        <f>=ROUND(FB_SaldoLC_16,2)</f>
      </c>
      <c r="DL11" s="117" t="str">
        <f>=ROUND(FB_SaldoEUR_16,2)</f>
      </c>
      <c r="DM11" s="116" t="str">
        <f>=ROUND(FB_SaldoLC_16,2)</f>
      </c>
      <c r="DN11" s="144" t="str">
        <f>=ROUND(FB_SaldoEUR_16,2)</f>
      </c>
      <c r="DQ11" s="143" t="s">
        <v>326</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v>600000</v>
      </c>
      <c r="D19" s="117" t="str">
        <f>=IFERROR(ROUND(C19/FB_Kurs_1,2),0)</f>
      </c>
      <c r="E19" s="116" t="str">
        <f>=ROUND(C19,2)</f>
      </c>
      <c r="F19" s="144" t="str">
        <f>=ROUND(D19,2)</f>
      </c>
      <c r="I19" s="149" t="s">
        <v>206</v>
      </c>
      <c r="J19" s="24">
        <v>400000</v>
      </c>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v>300000</v>
      </c>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v>300000</v>
      </c>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v>200000</v>
      </c>
      <c r="D22" s="117" t="str">
        <f>=IFERROR(ROUND(C22/FB_Kurs_1,2),0)</f>
      </c>
      <c r="E22" s="116" t="str">
        <f>=ROUND(C22,2)</f>
      </c>
      <c r="F22" s="144" t="str">
        <f>=ROUND(D22,2)</f>
      </c>
      <c r="I22" s="149" t="s">
        <v>214</v>
      </c>
      <c r="J22" s="24">
        <v>200000</v>
      </c>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v>150000</v>
      </c>
      <c r="D23" s="117" t="str">
        <f>=IFERROR(ROUND(C23/FB_Kurs_1,2),0)</f>
      </c>
      <c r="E23" s="116" t="str">
        <f>=ROUND(C23,2)</f>
      </c>
      <c r="F23" s="144" t="str">
        <f>=ROUND(D23,2)</f>
      </c>
      <c r="I23" s="149" t="s">
        <v>216</v>
      </c>
      <c r="J23" s="24">
        <v>150000</v>
      </c>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v>120000</v>
      </c>
      <c r="D24" s="117" t="str">
        <f>=IFERROR(ROUND(C24/FB_Kurs_1,2),0)</f>
      </c>
      <c r="E24" s="116" t="str">
        <f>=ROUND(C24,2)</f>
      </c>
      <c r="F24" s="144" t="str">
        <f>=ROUND(D24,2)</f>
      </c>
      <c r="I24" s="149" t="s">
        <v>219</v>
      </c>
      <c r="J24" s="24">
        <v>100000</v>
      </c>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v>80000</v>
      </c>
      <c r="D25" s="117" t="str">
        <f>=IFERROR(ROUND(C25/FB_Kurs_1,2),0)</f>
      </c>
      <c r="E25" s="116" t="str">
        <f>=ROUND(C25,2)</f>
      </c>
      <c r="F25" s="144" t="str">
        <f>=ROUND(D25,2)</f>
      </c>
      <c r="I25" s="149" t="s">
        <v>222</v>
      </c>
      <c r="J25" s="24">
        <v>70000</v>
      </c>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v>50000</v>
      </c>
      <c r="D27" s="117" t="str">
        <f>=IFERROR(ROUND(C27/FB_Kurs_1,2),0)</f>
      </c>
      <c r="E27" s="116" t="str">
        <f>=ROUND(C27,2)</f>
      </c>
      <c r="F27" s="144" t="str">
        <f>=ROUND(D27,2)</f>
      </c>
      <c r="I27" s="149" t="s">
        <v>228</v>
      </c>
      <c r="J27" s="24">
        <v>30000</v>
      </c>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v>125000</v>
      </c>
      <c r="D34" s="130" t="str">
        <f>=IF(C34=0, 0, IF(ROUND(SUM(C35:C36), 2)=0, ROUND(D31 - 0, 2), ROUND(C34 / ROUND(SUM(C34:C36), 2) * D31, 2)))</f>
      </c>
      <c r="F34" s="48"/>
      <c r="I34" s="154" t="s">
        <v>311</v>
      </c>
      <c r="J34" s="129">
        <v>175000</v>
      </c>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327</v>
      </c>
      <c r="J43" s="161" t="s">
        <v>158</v>
      </c>
      <c r="K43" s="162" t="str">
        <f>=ROUND(J11,2)</f>
      </c>
      <c r="L43" s="163" t="str">
        <f>=ROUND(K11,2)</f>
      </c>
      <c r="M43" s="164" t="str">
        <f>=ROUND(IFERROR(K43/L43,0),6)</f>
      </c>
      <c r="P43" s="160" t="s">
        <v>327</v>
      </c>
      <c r="Q43" s="161" t="s">
        <v>158</v>
      </c>
      <c r="R43" s="162" t="str">
        <f>=ROUND(Q11,2)</f>
      </c>
      <c r="S43" s="163" t="str">
        <f>=ROUND(R11,2)</f>
      </c>
      <c r="T43" s="164" t="str">
        <f>=ROUND(IFERROR(R43/S43,0),6)</f>
      </c>
      <c r="W43" s="160" t="s">
        <v>327</v>
      </c>
      <c r="X43" s="161" t="s">
        <v>158</v>
      </c>
      <c r="Y43" s="162" t="str">
        <f>=ROUND(X11,2)</f>
      </c>
      <c r="Z43" s="163" t="str">
        <f>=ROUND(Y11,2)</f>
      </c>
      <c r="AA43" s="164" t="str">
        <f>=ROUND(IFERROR(Y43/Z43,0),6)</f>
      </c>
      <c r="AD43" s="160" t="s">
        <v>327</v>
      </c>
      <c r="AE43" s="161" t="s">
        <v>158</v>
      </c>
      <c r="AF43" s="162" t="str">
        <f>=ROUND(AE11,2)</f>
      </c>
      <c r="AG43" s="163" t="str">
        <f>=ROUND(AF11,2)</f>
      </c>
      <c r="AH43" s="164" t="str">
        <f>=ROUND(IFERROR(AF43/AG43,0),6)</f>
      </c>
      <c r="AK43" s="160" t="s">
        <v>327</v>
      </c>
      <c r="AL43" s="161" t="s">
        <v>158</v>
      </c>
      <c r="AM43" s="162" t="str">
        <f>=ROUND(AL11,2)</f>
      </c>
      <c r="AN43" s="163" t="str">
        <f>=ROUND(AM11,2)</f>
      </c>
      <c r="AO43" s="164" t="str">
        <f>=ROUND(IFERROR(AM43/AN43,0),6)</f>
      </c>
      <c r="AR43" s="160" t="s">
        <v>327</v>
      </c>
      <c r="AS43" s="161" t="s">
        <v>158</v>
      </c>
      <c r="AT43" s="162" t="str">
        <f>=ROUND(AS11,2)</f>
      </c>
      <c r="AU43" s="163" t="str">
        <f>=ROUND(AT11,2)</f>
      </c>
      <c r="AV43" s="164" t="str">
        <f>=ROUND(IFERROR(AT43/AU43,0),6)</f>
      </c>
      <c r="AY43" s="160" t="s">
        <v>327</v>
      </c>
      <c r="AZ43" s="161" t="s">
        <v>158</v>
      </c>
      <c r="BA43" s="162" t="str">
        <f>=ROUND(AZ11,2)</f>
      </c>
      <c r="BB43" s="163" t="str">
        <f>=ROUND(BA11,2)</f>
      </c>
      <c r="BC43" s="164" t="str">
        <f>=ROUND(IFERROR(BA43/BB43,0),6)</f>
      </c>
      <c r="BF43" s="160" t="s">
        <v>327</v>
      </c>
      <c r="BG43" s="161" t="s">
        <v>158</v>
      </c>
      <c r="BH43" s="162" t="str">
        <f>=ROUND(BG11,2)</f>
      </c>
      <c r="BI43" s="163" t="str">
        <f>=ROUND(BH11,2)</f>
      </c>
      <c r="BJ43" s="164" t="str">
        <f>=ROUND(IFERROR(BH43/BI43,0),6)</f>
      </c>
      <c r="BM43" s="160" t="s">
        <v>327</v>
      </c>
      <c r="BN43" s="161" t="s">
        <v>158</v>
      </c>
      <c r="BO43" s="162" t="str">
        <f>=ROUND(BN11,2)</f>
      </c>
      <c r="BP43" s="163" t="str">
        <f>=ROUND(BO11,2)</f>
      </c>
      <c r="BQ43" s="164" t="str">
        <f>=ROUND(IFERROR(BO43/BP43,0),6)</f>
      </c>
      <c r="BT43" s="160" t="s">
        <v>327</v>
      </c>
      <c r="BU43" s="161" t="s">
        <v>158</v>
      </c>
      <c r="BV43" s="162" t="str">
        <f>=ROUND(BU11,2)</f>
      </c>
      <c r="BW43" s="163" t="str">
        <f>=ROUND(BV11,2)</f>
      </c>
      <c r="BX43" s="164" t="str">
        <f>=ROUND(IFERROR(BV43/BW43,0),6)</f>
      </c>
      <c r="CA43" s="160" t="s">
        <v>327</v>
      </c>
      <c r="CB43" s="161" t="s">
        <v>158</v>
      </c>
      <c r="CC43" s="162" t="str">
        <f>=ROUND(CB11,2)</f>
      </c>
      <c r="CD43" s="163" t="str">
        <f>=ROUND(CC11,2)</f>
      </c>
      <c r="CE43" s="164" t="str">
        <f>=ROUND(IFERROR(CC43/CD43,0),6)</f>
      </c>
      <c r="CH43" s="160" t="s">
        <v>327</v>
      </c>
      <c r="CI43" s="161" t="s">
        <v>158</v>
      </c>
      <c r="CJ43" s="162" t="str">
        <f>=ROUND(CI11,2)</f>
      </c>
      <c r="CK43" s="163" t="str">
        <f>=ROUND(CJ11,2)</f>
      </c>
      <c r="CL43" s="164" t="str">
        <f>=ROUND(IFERROR(CJ43/CK43,0),6)</f>
      </c>
      <c r="CO43" s="160" t="s">
        <v>327</v>
      </c>
      <c r="CP43" s="161" t="s">
        <v>158</v>
      </c>
      <c r="CQ43" s="162" t="str">
        <f>=ROUND(CP11,2)</f>
      </c>
      <c r="CR43" s="163" t="str">
        <f>=ROUND(CQ11,2)</f>
      </c>
      <c r="CS43" s="164" t="str">
        <f>=ROUND(IFERROR(CQ43/CR43,0),6)</f>
      </c>
      <c r="CV43" s="160" t="s">
        <v>327</v>
      </c>
      <c r="CW43" s="161" t="s">
        <v>158</v>
      </c>
      <c r="CX43" s="162" t="str">
        <f>=ROUND(CW11,2)</f>
      </c>
      <c r="CY43" s="163" t="str">
        <f>=ROUND(CX11,2)</f>
      </c>
      <c r="CZ43" s="164" t="str">
        <f>=ROUND(IFERROR(CX43/CY43,0),6)</f>
      </c>
      <c r="DC43" s="160" t="s">
        <v>327</v>
      </c>
      <c r="DD43" s="161" t="s">
        <v>158</v>
      </c>
      <c r="DE43" s="162" t="str">
        <f>=ROUND(DD11,2)</f>
      </c>
      <c r="DF43" s="163" t="str">
        <f>=ROUND(DE11,2)</f>
      </c>
      <c r="DG43" s="164" t="str">
        <f>=ROUND(IFERROR(DE43/DF43,0),6)</f>
      </c>
      <c r="DJ43" s="160" t="s">
        <v>327</v>
      </c>
      <c r="DK43" s="161" t="s">
        <v>158</v>
      </c>
      <c r="DL43" s="162" t="str">
        <f>=ROUND(DK11,2)</f>
      </c>
      <c r="DM43" s="163" t="str">
        <f>=ROUND(DL11,2)</f>
      </c>
      <c r="DN43" s="164" t="str">
        <f>=ROUND(IFERROR(DL43/DM43,0),6)</f>
      </c>
      <c r="DQ43" s="160" t="s">
        <v>327</v>
      </c>
      <c r="DR43" s="161" t="s">
        <v>158</v>
      </c>
      <c r="DS43" s="162" t="str">
        <f>=ROUND(DR11,2)</f>
      </c>
      <c r="DT43" s="163" t="str">
        <f>=ROUND(DS11,2)</f>
      </c>
      <c r="DU43" s="164" t="str">
        <f>=ROUND(IFERROR(DS43/DT43,0),6)</f>
      </c>
    </row>
    <row r="44">
      <c r="B44" s="165" t="s">
        <v>199</v>
      </c>
      <c r="C44" s="166" t="s">
        <v>320</v>
      </c>
      <c r="D44" s="167">
        <v>1250000</v>
      </c>
      <c r="E44" s="168">
        <v>10000</v>
      </c>
      <c r="F44" s="169" t="str">
        <f>=ROUND(IFERROR(D44/E44,0),6)</f>
      </c>
      <c r="I44" s="165" t="s">
        <v>199</v>
      </c>
      <c r="J44" s="166" t="s">
        <v>320</v>
      </c>
      <c r="K44" s="167">
        <v>1000000</v>
      </c>
      <c r="L44" s="168">
        <v>8000</v>
      </c>
      <c r="M44" s="169" t="str">
        <f>=ROUND(IFERROR(K44/L44,0),6)</f>
      </c>
      <c r="P44" s="165" t="s">
        <v>199</v>
      </c>
      <c r="Q44" s="166" t="s">
        <v>320</v>
      </c>
      <c r="R44" s="167"/>
      <c r="S44" s="168"/>
      <c r="T44" s="169" t="str">
        <f>=ROUND(IFERROR(R44/S44,0),6)</f>
      </c>
      <c r="W44" s="165" t="s">
        <v>199</v>
      </c>
      <c r="X44" s="166" t="s">
        <v>320</v>
      </c>
      <c r="Y44" s="167"/>
      <c r="Z44" s="168"/>
      <c r="AA44" s="169" t="str">
        <f>=ROUND(IFERROR(Y44/Z44,0),6)</f>
      </c>
      <c r="AD44" s="165" t="s">
        <v>199</v>
      </c>
      <c r="AE44" s="166" t="s">
        <v>320</v>
      </c>
      <c r="AF44" s="167"/>
      <c r="AG44" s="168"/>
      <c r="AH44" s="169" t="str">
        <f>=ROUND(IFERROR(AF44/AG44,0),6)</f>
      </c>
      <c r="AK44" s="165" t="s">
        <v>199</v>
      </c>
      <c r="AL44" s="166" t="s">
        <v>320</v>
      </c>
      <c r="AM44" s="167"/>
      <c r="AN44" s="168"/>
      <c r="AO44" s="169" t="str">
        <f>=ROUND(IFERROR(AM44/AN44,0),6)</f>
      </c>
      <c r="AR44" s="165" t="s">
        <v>199</v>
      </c>
      <c r="AS44" s="166" t="s">
        <v>320</v>
      </c>
      <c r="AT44" s="167"/>
      <c r="AU44" s="168"/>
      <c r="AV44" s="169" t="str">
        <f>=ROUND(IFERROR(AT44/AU44,0),6)</f>
      </c>
      <c r="AY44" s="165" t="s">
        <v>199</v>
      </c>
      <c r="AZ44" s="166" t="s">
        <v>320</v>
      </c>
      <c r="BA44" s="167"/>
      <c r="BB44" s="168"/>
      <c r="BC44" s="169" t="str">
        <f>=ROUND(IFERROR(BA44/BB44,0),6)</f>
      </c>
      <c r="BF44" s="165" t="s">
        <v>199</v>
      </c>
      <c r="BG44" s="166" t="s">
        <v>320</v>
      </c>
      <c r="BH44" s="167"/>
      <c r="BI44" s="168"/>
      <c r="BJ44" s="169" t="str">
        <f>=ROUND(IFERROR(BH44/BI44,0),6)</f>
      </c>
      <c r="BM44" s="165" t="s">
        <v>199</v>
      </c>
      <c r="BN44" s="166" t="s">
        <v>320</v>
      </c>
      <c r="BO44" s="167"/>
      <c r="BP44" s="168"/>
      <c r="BQ44" s="169" t="str">
        <f>=ROUND(IFERROR(BO44/BP44,0),6)</f>
      </c>
      <c r="BT44" s="165" t="s">
        <v>199</v>
      </c>
      <c r="BU44" s="166" t="s">
        <v>320</v>
      </c>
      <c r="BV44" s="167"/>
      <c r="BW44" s="168"/>
      <c r="BX44" s="169" t="str">
        <f>=ROUND(IFERROR(BV44/BW44,0),6)</f>
      </c>
      <c r="CA44" s="165" t="s">
        <v>199</v>
      </c>
      <c r="CB44" s="166" t="s">
        <v>320</v>
      </c>
      <c r="CC44" s="167"/>
      <c r="CD44" s="168"/>
      <c r="CE44" s="169" t="str">
        <f>=ROUND(IFERROR(CC44/CD44,0),6)</f>
      </c>
      <c r="CH44" s="165" t="s">
        <v>199</v>
      </c>
      <c r="CI44" s="166" t="s">
        <v>320</v>
      </c>
      <c r="CJ44" s="167"/>
      <c r="CK44" s="168"/>
      <c r="CL44" s="169" t="str">
        <f>=ROUND(IFERROR(CJ44/CK44,0),6)</f>
      </c>
      <c r="CO44" s="165" t="s">
        <v>199</v>
      </c>
      <c r="CP44" s="166" t="s">
        <v>320</v>
      </c>
      <c r="CQ44" s="167"/>
      <c r="CR44" s="168"/>
      <c r="CS44" s="169" t="str">
        <f>=ROUND(IFERROR(CQ44/CR44,0),6)</f>
      </c>
      <c r="CV44" s="165" t="s">
        <v>199</v>
      </c>
      <c r="CW44" s="166" t="s">
        <v>320</v>
      </c>
      <c r="CX44" s="167"/>
      <c r="CY44" s="168"/>
      <c r="CZ44" s="169" t="str">
        <f>=ROUND(IFERROR(CX44/CY44,0),6)</f>
      </c>
      <c r="DC44" s="165" t="s">
        <v>199</v>
      </c>
      <c r="DD44" s="166" t="s">
        <v>320</v>
      </c>
      <c r="DE44" s="167"/>
      <c r="DF44" s="168"/>
      <c r="DG44" s="169" t="str">
        <f>=ROUND(IFERROR(DE44/DF44,0),6)</f>
      </c>
      <c r="DJ44" s="165" t="s">
        <v>199</v>
      </c>
      <c r="DK44" s="166" t="s">
        <v>320</v>
      </c>
      <c r="DL44" s="167"/>
      <c r="DM44" s="168"/>
      <c r="DN44" s="169" t="str">
        <f>=ROUND(IFERROR(DL44/DM44,0),6)</f>
      </c>
      <c r="DQ44" s="165" t="s">
        <v>199</v>
      </c>
      <c r="DR44" s="166" t="s">
        <v>320</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321</v>
      </c>
      <c r="C48" s="171" t="s">
        <v>292</v>
      </c>
      <c r="D48" s="172" t="str">
        <f>=ROUND(SUBTOTAL(109,$D$43:$D$47),2)</f>
      </c>
      <c r="E48" s="173" t="str">
        <f>=ROUND(SUBTOTAL(109,$E$43:$E$47),2)</f>
      </c>
      <c r="F48" s="174" t="str">
        <f>=ROUND(IFERROR(D48/E48,0),6)</f>
      </c>
      <c r="I48" s="170" t="s">
        <v>321</v>
      </c>
      <c r="J48" s="171" t="s">
        <v>292</v>
      </c>
      <c r="K48" s="172" t="str">
        <f>=ROUND(SUBTOTAL(109,$K$43:$K$47),2)</f>
      </c>
      <c r="L48" s="173" t="str">
        <f>=ROUND(SUBTOTAL(109,$L$43:$L$47),2)</f>
      </c>
      <c r="M48" s="174" t="str">
        <f>=ROUND(IFERROR(K48/L48,0),6)</f>
      </c>
      <c r="P48" s="170" t="s">
        <v>321</v>
      </c>
      <c r="Q48" s="171" t="s">
        <v>292</v>
      </c>
      <c r="R48" s="172" t="str">
        <f>=ROUND(SUBTOTAL(109,$R$43:$R$47),2)</f>
      </c>
      <c r="S48" s="173" t="str">
        <f>=ROUND(SUBTOTAL(109,$S$43:$S$47),2)</f>
      </c>
      <c r="T48" s="174" t="str">
        <f>=ROUND(IFERROR(R48/S48,0),6)</f>
      </c>
      <c r="W48" s="170" t="s">
        <v>321</v>
      </c>
      <c r="X48" s="171" t="s">
        <v>292</v>
      </c>
      <c r="Y48" s="172" t="str">
        <f>=ROUND(SUBTOTAL(109,$Y$43:$Y$47),2)</f>
      </c>
      <c r="Z48" s="173" t="str">
        <f>=ROUND(SUBTOTAL(109,$Z$43:$Z$47),2)</f>
      </c>
      <c r="AA48" s="174" t="str">
        <f>=ROUND(IFERROR(Y48/Z48,0),6)</f>
      </c>
      <c r="AD48" s="170" t="s">
        <v>321</v>
      </c>
      <c r="AE48" s="171" t="s">
        <v>292</v>
      </c>
      <c r="AF48" s="172" t="str">
        <f>=ROUND(SUBTOTAL(109,$AF$43:$AF$47),2)</f>
      </c>
      <c r="AG48" s="173" t="str">
        <f>=ROUND(SUBTOTAL(109,$AG$43:$AG$47),2)</f>
      </c>
      <c r="AH48" s="174" t="str">
        <f>=ROUND(IFERROR(AF48/AG48,0),6)</f>
      </c>
      <c r="AK48" s="170" t="s">
        <v>321</v>
      </c>
      <c r="AL48" s="171" t="s">
        <v>292</v>
      </c>
      <c r="AM48" s="172" t="str">
        <f>=ROUND(SUBTOTAL(109,$AM$43:$AM$47),2)</f>
      </c>
      <c r="AN48" s="173" t="str">
        <f>=ROUND(SUBTOTAL(109,$AN$43:$AN$47),2)</f>
      </c>
      <c r="AO48" s="174" t="str">
        <f>=ROUND(IFERROR(AM48/AN48,0),6)</f>
      </c>
      <c r="AR48" s="170" t="s">
        <v>321</v>
      </c>
      <c r="AS48" s="171" t="s">
        <v>292</v>
      </c>
      <c r="AT48" s="172" t="str">
        <f>=ROUND(SUBTOTAL(109,$AT$43:$AT$47),2)</f>
      </c>
      <c r="AU48" s="173" t="str">
        <f>=ROUND(SUBTOTAL(109,$AU$43:$AU$47),2)</f>
      </c>
      <c r="AV48" s="174" t="str">
        <f>=ROUND(IFERROR(AT48/AU48,0),6)</f>
      </c>
      <c r="AY48" s="170" t="s">
        <v>321</v>
      </c>
      <c r="AZ48" s="171" t="s">
        <v>292</v>
      </c>
      <c r="BA48" s="172" t="str">
        <f>=ROUND(SUBTOTAL(109,$BA$43:$BA$47),2)</f>
      </c>
      <c r="BB48" s="173" t="str">
        <f>=ROUND(SUBTOTAL(109,$BB$43:$BB$47),2)</f>
      </c>
      <c r="BC48" s="174" t="str">
        <f>=ROUND(IFERROR(BA48/BB48,0),6)</f>
      </c>
      <c r="BF48" s="170" t="s">
        <v>321</v>
      </c>
      <c r="BG48" s="171" t="s">
        <v>292</v>
      </c>
      <c r="BH48" s="172" t="str">
        <f>=ROUND(SUBTOTAL(109,$BH$43:$BH$47),2)</f>
      </c>
      <c r="BI48" s="173" t="str">
        <f>=ROUND(SUBTOTAL(109,$BI$43:$BI$47),2)</f>
      </c>
      <c r="BJ48" s="174" t="str">
        <f>=ROUND(IFERROR(BH48/BI48,0),6)</f>
      </c>
      <c r="BM48" s="170" t="s">
        <v>321</v>
      </c>
      <c r="BN48" s="171" t="s">
        <v>292</v>
      </c>
      <c r="BO48" s="172" t="str">
        <f>=ROUND(SUBTOTAL(109,$BO$43:$BO$47),2)</f>
      </c>
      <c r="BP48" s="173" t="str">
        <f>=ROUND(SUBTOTAL(109,$BP$43:$BP$47),2)</f>
      </c>
      <c r="BQ48" s="174" t="str">
        <f>=ROUND(IFERROR(BO48/BP48,0),6)</f>
      </c>
      <c r="BT48" s="170" t="s">
        <v>321</v>
      </c>
      <c r="BU48" s="171" t="s">
        <v>292</v>
      </c>
      <c r="BV48" s="172" t="str">
        <f>=ROUND(SUBTOTAL(109,$BV$43:$BV$47),2)</f>
      </c>
      <c r="BW48" s="173" t="str">
        <f>=ROUND(SUBTOTAL(109,$BW$43:$BW$47),2)</f>
      </c>
      <c r="BX48" s="174" t="str">
        <f>=ROUND(IFERROR(BV48/BW48,0),6)</f>
      </c>
      <c r="CA48" s="170" t="s">
        <v>321</v>
      </c>
      <c r="CB48" s="171" t="s">
        <v>292</v>
      </c>
      <c r="CC48" s="172" t="str">
        <f>=ROUND(SUBTOTAL(109,$CC$43:$CC$47),2)</f>
      </c>
      <c r="CD48" s="173" t="str">
        <f>=ROUND(SUBTOTAL(109,$CD$43:$CD$47),2)</f>
      </c>
      <c r="CE48" s="174" t="str">
        <f>=ROUND(IFERROR(CC48/CD48,0),6)</f>
      </c>
      <c r="CH48" s="170" t="s">
        <v>321</v>
      </c>
      <c r="CI48" s="171" t="s">
        <v>292</v>
      </c>
      <c r="CJ48" s="172" t="str">
        <f>=ROUND(SUBTOTAL(109,$CJ$43:$CJ$47),2)</f>
      </c>
      <c r="CK48" s="173" t="str">
        <f>=ROUND(SUBTOTAL(109,$CK$43:$CK$47),2)</f>
      </c>
      <c r="CL48" s="174" t="str">
        <f>=ROUND(IFERROR(CJ48/CK48,0),6)</f>
      </c>
      <c r="CO48" s="170" t="s">
        <v>321</v>
      </c>
      <c r="CP48" s="171" t="s">
        <v>292</v>
      </c>
      <c r="CQ48" s="172" t="str">
        <f>=ROUND(SUBTOTAL(109,$CQ$43:$CQ$47),2)</f>
      </c>
      <c r="CR48" s="173" t="str">
        <f>=ROUND(SUBTOTAL(109,$CR$43:$CR$47),2)</f>
      </c>
      <c r="CS48" s="174" t="str">
        <f>=ROUND(IFERROR(CQ48/CR48,0),6)</f>
      </c>
      <c r="CV48" s="170" t="s">
        <v>321</v>
      </c>
      <c r="CW48" s="171" t="s">
        <v>292</v>
      </c>
      <c r="CX48" s="172" t="str">
        <f>=ROUND(SUBTOTAL(109,$CX$43:$CX$47),2)</f>
      </c>
      <c r="CY48" s="173" t="str">
        <f>=ROUND(SUBTOTAL(109,$CY$43:$CY$47),2)</f>
      </c>
      <c r="CZ48" s="174" t="str">
        <f>=ROUND(IFERROR(CX48/CY48,0),6)</f>
      </c>
      <c r="DC48" s="170" t="s">
        <v>321</v>
      </c>
      <c r="DD48" s="171" t="s">
        <v>292</v>
      </c>
      <c r="DE48" s="172" t="str">
        <f>=ROUND(SUBTOTAL(109,$DE$43:$DE$47),2)</f>
      </c>
      <c r="DF48" s="173" t="str">
        <f>=ROUND(SUBTOTAL(109,$DF$43:$DF$47),2)</f>
      </c>
      <c r="DG48" s="174" t="str">
        <f>=ROUND(IFERROR(DE48/DF48,0),6)</f>
      </c>
      <c r="DJ48" s="170" t="s">
        <v>321</v>
      </c>
      <c r="DK48" s="171" t="s">
        <v>292</v>
      </c>
      <c r="DL48" s="172" t="str">
        <f>=ROUND(SUBTOTAL(109,$DL$43:$DL$47),2)</f>
      </c>
      <c r="DM48" s="173" t="str">
        <f>=ROUND(SUBTOTAL(109,$DM$43:$DM$47),2)</f>
      </c>
      <c r="DN48" s="174" t="str">
        <f>=ROUND(IFERROR(DL48/DM48,0),6)</f>
      </c>
      <c r="DQ48" s="170" t="s">
        <v>321</v>
      </c>
      <c r="DR48" s="171" t="s">
        <v>292</v>
      </c>
      <c r="DS48" s="172" t="str">
        <f>=ROUND(SUBTOTAL(109,$DS$43:$DS$47),2)</f>
      </c>
      <c r="DT48" s="173" t="str">
        <f>=ROUND(SUBTOTAL(109,$DT$43:$DT$47),2)</f>
      </c>
      <c r="DU48" s="174" t="str">
        <f>=ROUND(IFERROR(DS48/DT48,0),6)</f>
      </c>
    </row>
    <row r="50">
      <c r="B50" s="105" t="s">
        <v>322</v>
      </c>
      <c r="I50" s="105" t="s">
        <v>322</v>
      </c>
      <c r="P50" s="105" t="s">
        <v>322</v>
      </c>
      <c r="W50" s="105" t="s">
        <v>322</v>
      </c>
      <c r="AD50" s="105" t="s">
        <v>322</v>
      </c>
      <c r="AK50" s="105" t="s">
        <v>322</v>
      </c>
      <c r="AR50" s="105" t="s">
        <v>322</v>
      </c>
      <c r="AY50" s="105" t="s">
        <v>322</v>
      </c>
      <c r="BF50" s="105" t="s">
        <v>322</v>
      </c>
      <c r="BM50" s="105" t="s">
        <v>322</v>
      </c>
      <c r="BT50" s="105" t="s">
        <v>322</v>
      </c>
      <c r="CA50" s="105" t="s">
        <v>322</v>
      </c>
      <c r="CH50" s="105" t="s">
        <v>322</v>
      </c>
      <c r="CO50" s="105" t="s">
        <v>322</v>
      </c>
      <c r="CV50" s="105" t="s">
        <v>322</v>
      </c>
      <c r="DC50" s="105" t="s">
        <v>322</v>
      </c>
      <c r="DJ50" s="105" t="s">
        <v>322</v>
      </c>
      <c r="DQ50" s="105" t="s">
        <v>322</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323</v>
      </c>
      <c r="D52" s="167">
        <v>250000</v>
      </c>
      <c r="E52" s="175" t="str">
        <f>=IFERROR(ROUND(D52/$C$8,2),0)</f>
      </c>
      <c r="F52" s="169" t="str">
        <f>=ROUND(IFERROR(D52/E52,0),6)</f>
      </c>
      <c r="I52" s="165" t="s">
        <v>194</v>
      </c>
      <c r="J52" s="166" t="s">
        <v>323</v>
      </c>
      <c r="K52" s="167">
        <v>200000</v>
      </c>
      <c r="L52" s="175" t="str">
        <f>=IFERROR(ROUND(K52/$J$8,2),0)</f>
      </c>
      <c r="M52" s="169" t="str">
        <f>=ROUND(IFERROR(K52/L52,0),6)</f>
      </c>
      <c r="P52" s="165" t="s">
        <v>194</v>
      </c>
      <c r="Q52" s="166" t="s">
        <v>323</v>
      </c>
      <c r="R52" s="167"/>
      <c r="S52" s="175" t="str">
        <f>=IFERROR(ROUND(R52/$Q$8,2),0)</f>
      </c>
      <c r="T52" s="169" t="str">
        <f>=ROUND(IFERROR(R52/S52,0),6)</f>
      </c>
      <c r="W52" s="165" t="s">
        <v>194</v>
      </c>
      <c r="X52" s="166" t="s">
        <v>323</v>
      </c>
      <c r="Y52" s="167"/>
      <c r="Z52" s="175" t="str">
        <f>=IFERROR(ROUND(Y52/$X$8,2),0)</f>
      </c>
      <c r="AA52" s="169" t="str">
        <f>=ROUND(IFERROR(Y52/Z52,0),6)</f>
      </c>
      <c r="AD52" s="165" t="s">
        <v>194</v>
      </c>
      <c r="AE52" s="166" t="s">
        <v>323</v>
      </c>
      <c r="AF52" s="167"/>
      <c r="AG52" s="175" t="str">
        <f>=IFERROR(ROUND(AF52/$AE$8,2),0)</f>
      </c>
      <c r="AH52" s="169" t="str">
        <f>=ROUND(IFERROR(AF52/AG52,0),6)</f>
      </c>
      <c r="AK52" s="165" t="s">
        <v>194</v>
      </c>
      <c r="AL52" s="166" t="s">
        <v>323</v>
      </c>
      <c r="AM52" s="167"/>
      <c r="AN52" s="175" t="str">
        <f>=IFERROR(ROUND(AM52/$AL$8,2),0)</f>
      </c>
      <c r="AO52" s="169" t="str">
        <f>=ROUND(IFERROR(AM52/AN52,0),6)</f>
      </c>
      <c r="AR52" s="165" t="s">
        <v>194</v>
      </c>
      <c r="AS52" s="166" t="s">
        <v>323</v>
      </c>
      <c r="AT52" s="167"/>
      <c r="AU52" s="175" t="str">
        <f>=IFERROR(ROUND(AT52/$AS$8,2),0)</f>
      </c>
      <c r="AV52" s="169" t="str">
        <f>=ROUND(IFERROR(AT52/AU52,0),6)</f>
      </c>
      <c r="AY52" s="165" t="s">
        <v>194</v>
      </c>
      <c r="AZ52" s="166" t="s">
        <v>323</v>
      </c>
      <c r="BA52" s="167"/>
      <c r="BB52" s="175" t="str">
        <f>=IFERROR(ROUND(BA52/$AZ$8,2),0)</f>
      </c>
      <c r="BC52" s="169" t="str">
        <f>=ROUND(IFERROR(BA52/BB52,0),6)</f>
      </c>
      <c r="BF52" s="165" t="s">
        <v>194</v>
      </c>
      <c r="BG52" s="166" t="s">
        <v>323</v>
      </c>
      <c r="BH52" s="167"/>
      <c r="BI52" s="175" t="str">
        <f>=IFERROR(ROUND(BH52/$BG$8,2),0)</f>
      </c>
      <c r="BJ52" s="169" t="str">
        <f>=ROUND(IFERROR(BH52/BI52,0),6)</f>
      </c>
      <c r="BM52" s="165" t="s">
        <v>194</v>
      </c>
      <c r="BN52" s="166" t="s">
        <v>323</v>
      </c>
      <c r="BO52" s="167"/>
      <c r="BP52" s="175" t="str">
        <f>=IFERROR(ROUND(BO52/$BN$8,2),0)</f>
      </c>
      <c r="BQ52" s="169" t="str">
        <f>=ROUND(IFERROR(BO52/BP52,0),6)</f>
      </c>
      <c r="BT52" s="165" t="s">
        <v>194</v>
      </c>
      <c r="BU52" s="166" t="s">
        <v>323</v>
      </c>
      <c r="BV52" s="167"/>
      <c r="BW52" s="175" t="str">
        <f>=IFERROR(ROUND(BV52/$BU$8,2),0)</f>
      </c>
      <c r="BX52" s="169" t="str">
        <f>=ROUND(IFERROR(BV52/BW52,0),6)</f>
      </c>
      <c r="CA52" s="165" t="s">
        <v>194</v>
      </c>
      <c r="CB52" s="166" t="s">
        <v>323</v>
      </c>
      <c r="CC52" s="167"/>
      <c r="CD52" s="175" t="str">
        <f>=IFERROR(ROUND(CC52/$CB$8,2),0)</f>
      </c>
      <c r="CE52" s="169" t="str">
        <f>=ROUND(IFERROR(CC52/CD52,0),6)</f>
      </c>
      <c r="CH52" s="165" t="s">
        <v>194</v>
      </c>
      <c r="CI52" s="166" t="s">
        <v>323</v>
      </c>
      <c r="CJ52" s="167"/>
      <c r="CK52" s="175" t="str">
        <f>=IFERROR(ROUND(CJ52/$CI$8,2),0)</f>
      </c>
      <c r="CL52" s="169" t="str">
        <f>=ROUND(IFERROR(CJ52/CK52,0),6)</f>
      </c>
      <c r="CO52" s="165" t="s">
        <v>194</v>
      </c>
      <c r="CP52" s="166" t="s">
        <v>323</v>
      </c>
      <c r="CQ52" s="167"/>
      <c r="CR52" s="175" t="str">
        <f>=IFERROR(ROUND(CQ52/$CP$8,2),0)</f>
      </c>
      <c r="CS52" s="169" t="str">
        <f>=ROUND(IFERROR(CQ52/CR52,0),6)</f>
      </c>
      <c r="CV52" s="165" t="s">
        <v>194</v>
      </c>
      <c r="CW52" s="166" t="s">
        <v>323</v>
      </c>
      <c r="CX52" s="167"/>
      <c r="CY52" s="175" t="str">
        <f>=IFERROR(ROUND(CX52/$CW$8,2),0)</f>
      </c>
      <c r="CZ52" s="169" t="str">
        <f>=ROUND(IFERROR(CX52/CY52,0),6)</f>
      </c>
      <c r="DC52" s="165" t="s">
        <v>194</v>
      </c>
      <c r="DD52" s="166" t="s">
        <v>323</v>
      </c>
      <c r="DE52" s="167"/>
      <c r="DF52" s="175" t="str">
        <f>=IFERROR(ROUND(DE52/$DD$8,2),0)</f>
      </c>
      <c r="DG52" s="169" t="str">
        <f>=ROUND(IFERROR(DE52/DF52,0),6)</f>
      </c>
      <c r="DJ52" s="165" t="s">
        <v>194</v>
      </c>
      <c r="DK52" s="166" t="s">
        <v>323</v>
      </c>
      <c r="DL52" s="167"/>
      <c r="DM52" s="175" t="str">
        <f>=IFERROR(ROUND(DL52/$DK$8,2),0)</f>
      </c>
      <c r="DN52" s="169" t="str">
        <f>=ROUND(IFERROR(DL52/DM52,0),6)</f>
      </c>
      <c r="DQ52" s="165" t="s">
        <v>194</v>
      </c>
      <c r="DR52" s="166" t="s">
        <v>323</v>
      </c>
      <c r="DS52" s="167"/>
      <c r="DT52" s="175" t="str">
        <f>=IFERROR(ROUND(DS52/$DR$8,2),0)</f>
      </c>
      <c r="DU52" s="169" t="str">
        <f>=ROUND(IFERROR(DS52/DT52,0),6)</f>
      </c>
    </row>
    <row r="53">
      <c r="B53" s="165" t="s">
        <v>300</v>
      </c>
      <c r="C53" s="166" t="s">
        <v>158</v>
      </c>
      <c r="D53" s="167">
        <v>125000</v>
      </c>
      <c r="E53" s="175" t="str">
        <f>=IFERROR(ROUND(D53/$C$8,2),0)</f>
      </c>
      <c r="F53" s="169" t="str">
        <f>=ROUND(IFERROR(D53/E53,0),6)</f>
      </c>
      <c r="I53" s="165" t="s">
        <v>300</v>
      </c>
      <c r="J53" s="166" t="s">
        <v>158</v>
      </c>
      <c r="K53" s="167">
        <v>100000</v>
      </c>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311</v>
      </c>
      <c r="D54" s="167"/>
      <c r="E54" s="175" t="str">
        <f>=IFERROR(ROUND(D54/$C$8,2),0)</f>
      </c>
      <c r="F54" s="169" t="str">
        <f>=ROUND(IFERROR(D54/E54,0),6)</f>
      </c>
      <c r="I54" s="165" t="s">
        <v>301</v>
      </c>
      <c r="J54" s="166" t="s">
        <v>311</v>
      </c>
      <c r="K54" s="167"/>
      <c r="L54" s="175" t="str">
        <f>=IFERROR(ROUND(K54/$J$8,2),0)</f>
      </c>
      <c r="M54" s="169" t="str">
        <f>=ROUND(IFERROR(K54/L54,0),6)</f>
      </c>
      <c r="P54" s="165" t="s">
        <v>301</v>
      </c>
      <c r="Q54" s="166" t="s">
        <v>311</v>
      </c>
      <c r="R54" s="167"/>
      <c r="S54" s="175" t="str">
        <f>=IFERROR(ROUND(R54/$Q$8,2),0)</f>
      </c>
      <c r="T54" s="169" t="str">
        <f>=ROUND(IFERROR(R54/S54,0),6)</f>
      </c>
      <c r="W54" s="165" t="s">
        <v>301</v>
      </c>
      <c r="X54" s="166" t="s">
        <v>311</v>
      </c>
      <c r="Y54" s="167"/>
      <c r="Z54" s="175" t="str">
        <f>=IFERROR(ROUND(Y54/$X$8,2),0)</f>
      </c>
      <c r="AA54" s="169" t="str">
        <f>=ROUND(IFERROR(Y54/Z54,0),6)</f>
      </c>
      <c r="AD54" s="165" t="s">
        <v>301</v>
      </c>
      <c r="AE54" s="166" t="s">
        <v>311</v>
      </c>
      <c r="AF54" s="167"/>
      <c r="AG54" s="175" t="str">
        <f>=IFERROR(ROUND(AF54/$AE$8,2),0)</f>
      </c>
      <c r="AH54" s="169" t="str">
        <f>=ROUND(IFERROR(AF54/AG54,0),6)</f>
      </c>
      <c r="AK54" s="165" t="s">
        <v>301</v>
      </c>
      <c r="AL54" s="166" t="s">
        <v>311</v>
      </c>
      <c r="AM54" s="167"/>
      <c r="AN54" s="175" t="str">
        <f>=IFERROR(ROUND(AM54/$AL$8,2),0)</f>
      </c>
      <c r="AO54" s="169" t="str">
        <f>=ROUND(IFERROR(AM54/AN54,0),6)</f>
      </c>
      <c r="AR54" s="165" t="s">
        <v>301</v>
      </c>
      <c r="AS54" s="166" t="s">
        <v>311</v>
      </c>
      <c r="AT54" s="167"/>
      <c r="AU54" s="175" t="str">
        <f>=IFERROR(ROUND(AT54/$AS$8,2),0)</f>
      </c>
      <c r="AV54" s="169" t="str">
        <f>=ROUND(IFERROR(AT54/AU54,0),6)</f>
      </c>
      <c r="AY54" s="165" t="s">
        <v>301</v>
      </c>
      <c r="AZ54" s="166" t="s">
        <v>311</v>
      </c>
      <c r="BA54" s="167"/>
      <c r="BB54" s="175" t="str">
        <f>=IFERROR(ROUND(BA54/$AZ$8,2),0)</f>
      </c>
      <c r="BC54" s="169" t="str">
        <f>=ROUND(IFERROR(BA54/BB54,0),6)</f>
      </c>
      <c r="BF54" s="165" t="s">
        <v>301</v>
      </c>
      <c r="BG54" s="166" t="s">
        <v>311</v>
      </c>
      <c r="BH54" s="167"/>
      <c r="BI54" s="175" t="str">
        <f>=IFERROR(ROUND(BH54/$BG$8,2),0)</f>
      </c>
      <c r="BJ54" s="169" t="str">
        <f>=ROUND(IFERROR(BH54/BI54,0),6)</f>
      </c>
      <c r="BM54" s="165" t="s">
        <v>301</v>
      </c>
      <c r="BN54" s="166" t="s">
        <v>311</v>
      </c>
      <c r="BO54" s="167"/>
      <c r="BP54" s="175" t="str">
        <f>=IFERROR(ROUND(BO54/$BN$8,2),0)</f>
      </c>
      <c r="BQ54" s="169" t="str">
        <f>=ROUND(IFERROR(BO54/BP54,0),6)</f>
      </c>
      <c r="BT54" s="165" t="s">
        <v>301</v>
      </c>
      <c r="BU54" s="166" t="s">
        <v>311</v>
      </c>
      <c r="BV54" s="167"/>
      <c r="BW54" s="175" t="str">
        <f>=IFERROR(ROUND(BV54/$BU$8,2),0)</f>
      </c>
      <c r="BX54" s="169" t="str">
        <f>=ROUND(IFERROR(BV54/BW54,0),6)</f>
      </c>
      <c r="CA54" s="165" t="s">
        <v>301</v>
      </c>
      <c r="CB54" s="166" t="s">
        <v>311</v>
      </c>
      <c r="CC54" s="167"/>
      <c r="CD54" s="175" t="str">
        <f>=IFERROR(ROUND(CC54/$CB$8,2),0)</f>
      </c>
      <c r="CE54" s="169" t="str">
        <f>=ROUND(IFERROR(CC54/CD54,0),6)</f>
      </c>
      <c r="CH54" s="165" t="s">
        <v>301</v>
      </c>
      <c r="CI54" s="166" t="s">
        <v>311</v>
      </c>
      <c r="CJ54" s="167"/>
      <c r="CK54" s="175" t="str">
        <f>=IFERROR(ROUND(CJ54/$CI$8,2),0)</f>
      </c>
      <c r="CL54" s="169" t="str">
        <f>=ROUND(IFERROR(CJ54/CK54,0),6)</f>
      </c>
      <c r="CO54" s="165" t="s">
        <v>301</v>
      </c>
      <c r="CP54" s="166" t="s">
        <v>311</v>
      </c>
      <c r="CQ54" s="167"/>
      <c r="CR54" s="175" t="str">
        <f>=IFERROR(ROUND(CQ54/$CP$8,2),0)</f>
      </c>
      <c r="CS54" s="169" t="str">
        <f>=ROUND(IFERROR(CQ54/CR54,0),6)</f>
      </c>
      <c r="CV54" s="165" t="s">
        <v>301</v>
      </c>
      <c r="CW54" s="166" t="s">
        <v>311</v>
      </c>
      <c r="CX54" s="167"/>
      <c r="CY54" s="175" t="str">
        <f>=IFERROR(ROUND(CX54/$CW$8,2),0)</f>
      </c>
      <c r="CZ54" s="169" t="str">
        <f>=ROUND(IFERROR(CX54/CY54,0),6)</f>
      </c>
      <c r="DC54" s="165" t="s">
        <v>301</v>
      </c>
      <c r="DD54" s="166" t="s">
        <v>311</v>
      </c>
      <c r="DE54" s="167"/>
      <c r="DF54" s="175" t="str">
        <f>=IFERROR(ROUND(DE54/$DD$8,2),0)</f>
      </c>
      <c r="DG54" s="169" t="str">
        <f>=ROUND(IFERROR(DE54/DF54,0),6)</f>
      </c>
      <c r="DJ54" s="165" t="s">
        <v>301</v>
      </c>
      <c r="DK54" s="166" t="s">
        <v>311</v>
      </c>
      <c r="DL54" s="167"/>
      <c r="DM54" s="175" t="str">
        <f>=IFERROR(ROUND(DL54/$DK$8,2),0)</f>
      </c>
      <c r="DN54" s="169" t="str">
        <f>=ROUND(IFERROR(DL54/DM54,0),6)</f>
      </c>
      <c r="DQ54" s="165" t="s">
        <v>301</v>
      </c>
      <c r="DR54" s="166" t="s">
        <v>311</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324</v>
      </c>
      <c r="C58" s="171" t="s">
        <v>292</v>
      </c>
      <c r="D58" s="172" t="str">
        <f>=ROUND(SUBTOTAL(109,$D$52:$D$57),2)</f>
      </c>
      <c r="E58" s="173" t="str">
        <f>=ROUND(SUBTOTAL(109,$E$52:$E$57),2)</f>
      </c>
      <c r="F58" s="174" t="str">
        <f>=ROUND(IFERROR(D58/E58,0),6)</f>
      </c>
      <c r="I58" s="170" t="s">
        <v>324</v>
      </c>
      <c r="J58" s="171" t="s">
        <v>292</v>
      </c>
      <c r="K58" s="172" t="str">
        <f>=ROUND(SUBTOTAL(109,$K$52:$K$57),2)</f>
      </c>
      <c r="L58" s="173" t="str">
        <f>=ROUND(SUBTOTAL(109,$L$52:$L$57),2)</f>
      </c>
      <c r="M58" s="174" t="str">
        <f>=ROUND(IFERROR(K58/L58,0),6)</f>
      </c>
      <c r="P58" s="170" t="s">
        <v>324</v>
      </c>
      <c r="Q58" s="171" t="s">
        <v>292</v>
      </c>
      <c r="R58" s="172" t="str">
        <f>=ROUND(SUBTOTAL(109,$R$52:$R$57),2)</f>
      </c>
      <c r="S58" s="173" t="str">
        <f>=ROUND(SUBTOTAL(109,$S$52:$S$57),2)</f>
      </c>
      <c r="T58" s="174" t="str">
        <f>=ROUND(IFERROR(R58/S58,0),6)</f>
      </c>
      <c r="W58" s="170" t="s">
        <v>324</v>
      </c>
      <c r="X58" s="171" t="s">
        <v>292</v>
      </c>
      <c r="Y58" s="172" t="str">
        <f>=ROUND(SUBTOTAL(109,$Y$52:$Y$57),2)</f>
      </c>
      <c r="Z58" s="173" t="str">
        <f>=ROUND(SUBTOTAL(109,$Z$52:$Z$57),2)</f>
      </c>
      <c r="AA58" s="174" t="str">
        <f>=ROUND(IFERROR(Y58/Z58,0),6)</f>
      </c>
      <c r="AD58" s="170" t="s">
        <v>324</v>
      </c>
      <c r="AE58" s="171" t="s">
        <v>292</v>
      </c>
      <c r="AF58" s="172" t="str">
        <f>=ROUND(SUBTOTAL(109,$AF$52:$AF$57),2)</f>
      </c>
      <c r="AG58" s="173" t="str">
        <f>=ROUND(SUBTOTAL(109,$AG$52:$AG$57),2)</f>
      </c>
      <c r="AH58" s="174" t="str">
        <f>=ROUND(IFERROR(AF58/AG58,0),6)</f>
      </c>
      <c r="AK58" s="170" t="s">
        <v>324</v>
      </c>
      <c r="AL58" s="171" t="s">
        <v>292</v>
      </c>
      <c r="AM58" s="172" t="str">
        <f>=ROUND(SUBTOTAL(109,$AM$52:$AM$57),2)</f>
      </c>
      <c r="AN58" s="173" t="str">
        <f>=ROUND(SUBTOTAL(109,$AN$52:$AN$57),2)</f>
      </c>
      <c r="AO58" s="174" t="str">
        <f>=ROUND(IFERROR(AM58/AN58,0),6)</f>
      </c>
      <c r="AR58" s="170" t="s">
        <v>324</v>
      </c>
      <c r="AS58" s="171" t="s">
        <v>292</v>
      </c>
      <c r="AT58" s="172" t="str">
        <f>=ROUND(SUBTOTAL(109,$AT$52:$AT$57),2)</f>
      </c>
      <c r="AU58" s="173" t="str">
        <f>=ROUND(SUBTOTAL(109,$AU$52:$AU$57),2)</f>
      </c>
      <c r="AV58" s="174" t="str">
        <f>=ROUND(IFERROR(AT58/AU58,0),6)</f>
      </c>
      <c r="AY58" s="170" t="s">
        <v>324</v>
      </c>
      <c r="AZ58" s="171" t="s">
        <v>292</v>
      </c>
      <c r="BA58" s="172" t="str">
        <f>=ROUND(SUBTOTAL(109,$BA$52:$BA$57),2)</f>
      </c>
      <c r="BB58" s="173" t="str">
        <f>=ROUND(SUBTOTAL(109,$BB$52:$BB$57),2)</f>
      </c>
      <c r="BC58" s="174" t="str">
        <f>=ROUND(IFERROR(BA58/BB58,0),6)</f>
      </c>
      <c r="BF58" s="170" t="s">
        <v>324</v>
      </c>
      <c r="BG58" s="171" t="s">
        <v>292</v>
      </c>
      <c r="BH58" s="172" t="str">
        <f>=ROUND(SUBTOTAL(109,$BH$52:$BH$57),2)</f>
      </c>
      <c r="BI58" s="173" t="str">
        <f>=ROUND(SUBTOTAL(109,$BI$52:$BI$57),2)</f>
      </c>
      <c r="BJ58" s="174" t="str">
        <f>=ROUND(IFERROR(BH58/BI58,0),6)</f>
      </c>
      <c r="BM58" s="170" t="s">
        <v>324</v>
      </c>
      <c r="BN58" s="171" t="s">
        <v>292</v>
      </c>
      <c r="BO58" s="172" t="str">
        <f>=ROUND(SUBTOTAL(109,$BO$52:$BO$57),2)</f>
      </c>
      <c r="BP58" s="173" t="str">
        <f>=ROUND(SUBTOTAL(109,$BP$52:$BP$57),2)</f>
      </c>
      <c r="BQ58" s="174" t="str">
        <f>=ROUND(IFERROR(BO58/BP58,0),6)</f>
      </c>
      <c r="BT58" s="170" t="s">
        <v>324</v>
      </c>
      <c r="BU58" s="171" t="s">
        <v>292</v>
      </c>
      <c r="BV58" s="172" t="str">
        <f>=ROUND(SUBTOTAL(109,$BV$52:$BV$57),2)</f>
      </c>
      <c r="BW58" s="173" t="str">
        <f>=ROUND(SUBTOTAL(109,$BW$52:$BW$57),2)</f>
      </c>
      <c r="BX58" s="174" t="str">
        <f>=ROUND(IFERROR(BV58/BW58,0),6)</f>
      </c>
      <c r="CA58" s="170" t="s">
        <v>324</v>
      </c>
      <c r="CB58" s="171" t="s">
        <v>292</v>
      </c>
      <c r="CC58" s="172" t="str">
        <f>=ROUND(SUBTOTAL(109,$CC$52:$CC$57),2)</f>
      </c>
      <c r="CD58" s="173" t="str">
        <f>=ROUND(SUBTOTAL(109,$CD$52:$CD$57),2)</f>
      </c>
      <c r="CE58" s="174" t="str">
        <f>=ROUND(IFERROR(CC58/CD58,0),6)</f>
      </c>
      <c r="CH58" s="170" t="s">
        <v>324</v>
      </c>
      <c r="CI58" s="171" t="s">
        <v>292</v>
      </c>
      <c r="CJ58" s="172" t="str">
        <f>=ROUND(SUBTOTAL(109,$CJ$52:$CJ$57),2)</f>
      </c>
      <c r="CK58" s="173" t="str">
        <f>=ROUND(SUBTOTAL(109,$CK$52:$CK$57),2)</f>
      </c>
      <c r="CL58" s="174" t="str">
        <f>=ROUND(IFERROR(CJ58/CK58,0),6)</f>
      </c>
      <c r="CO58" s="170" t="s">
        <v>324</v>
      </c>
      <c r="CP58" s="171" t="s">
        <v>292</v>
      </c>
      <c r="CQ58" s="172" t="str">
        <f>=ROUND(SUBTOTAL(109,$CQ$52:$CQ$57),2)</f>
      </c>
      <c r="CR58" s="173" t="str">
        <f>=ROUND(SUBTOTAL(109,$CR$52:$CR$57),2)</f>
      </c>
      <c r="CS58" s="174" t="str">
        <f>=ROUND(IFERROR(CQ58/CR58,0),6)</f>
      </c>
      <c r="CV58" s="170" t="s">
        <v>324</v>
      </c>
      <c r="CW58" s="171" t="s">
        <v>292</v>
      </c>
      <c r="CX58" s="172" t="str">
        <f>=ROUND(SUBTOTAL(109,$CX$52:$CX$57),2)</f>
      </c>
      <c r="CY58" s="173" t="str">
        <f>=ROUND(SUBTOTAL(109,$CY$52:$CY$57),2)</f>
      </c>
      <c r="CZ58" s="174" t="str">
        <f>=ROUND(IFERROR(CX58/CY58,0),6)</f>
      </c>
      <c r="DC58" s="170" t="s">
        <v>324</v>
      </c>
      <c r="DD58" s="171" t="s">
        <v>292</v>
      </c>
      <c r="DE58" s="172" t="str">
        <f>=ROUND(SUBTOTAL(109,$DE$52:$DE$57),2)</f>
      </c>
      <c r="DF58" s="173" t="str">
        <f>=ROUND(SUBTOTAL(109,$DF$52:$DF$57),2)</f>
      </c>
      <c r="DG58" s="174" t="str">
        <f>=ROUND(IFERROR(DE58/DF58,0),6)</f>
      </c>
      <c r="DJ58" s="170" t="s">
        <v>324</v>
      </c>
      <c r="DK58" s="171" t="s">
        <v>292</v>
      </c>
      <c r="DL58" s="172" t="str">
        <f>=ROUND(SUBTOTAL(109,$DL$52:$DL$57),2)</f>
      </c>
      <c r="DM58" s="173" t="str">
        <f>=ROUND(SUBTOTAL(109,$DM$52:$DM$57),2)</f>
      </c>
      <c r="DN58" s="174" t="str">
        <f>=ROUND(IFERROR(DL58/DM58,0),6)</f>
      </c>
      <c r="DQ58" s="170" t="s">
        <v>324</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6" t="s">
        <v>325</v>
      </c>
      <c r="I3" s="176" t="s">
        <v>325</v>
      </c>
      <c r="M3" s="176" t="s">
        <v>325</v>
      </c>
      <c r="Q3" s="176" t="s">
        <v>325</v>
      </c>
      <c r="U3" s="176" t="s">
        <v>325</v>
      </c>
      <c r="Y3" s="176" t="s">
        <v>325</v>
      </c>
      <c r="AC3" s="176" t="s">
        <v>325</v>
      </c>
      <c r="AG3" s="176" t="s">
        <v>325</v>
      </c>
      <c r="AK3" s="176" t="s">
        <v>325</v>
      </c>
      <c r="AO3" s="176" t="s">
        <v>325</v>
      </c>
      <c r="AS3" s="176" t="s">
        <v>325</v>
      </c>
      <c r="AW3" s="176" t="s">
        <v>325</v>
      </c>
      <c r="BA3" s="176" t="s">
        <v>325</v>
      </c>
      <c r="BE3" s="176" t="s">
        <v>325</v>
      </c>
      <c r="BI3" s="176" t="s">
        <v>325</v>
      </c>
      <c r="BM3" s="176" t="s">
        <v>325</v>
      </c>
      <c r="BQ3" s="176" t="s">
        <v>325</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v>45658</v>
      </c>
      <c r="D5" s="108"/>
      <c r="F5" s="105" t="s">
        <v>289</v>
      </c>
      <c r="G5" s="108">
        <v>45839</v>
      </c>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v>45838</v>
      </c>
      <c r="D6" s="108"/>
      <c r="F6" s="105" t="s">
        <v>290</v>
      </c>
      <c r="G6" s="108">
        <v>46022</v>
      </c>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328</v>
      </c>
      <c r="C8" s="179">
        <v>125</v>
      </c>
      <c r="D8" s="179"/>
      <c r="F8" s="105" t="s">
        <v>328</v>
      </c>
      <c r="G8" s="179">
        <v>125</v>
      </c>
      <c r="H8" s="179"/>
      <c r="J8" s="105" t="s">
        <v>328</v>
      </c>
      <c r="K8" s="179"/>
      <c r="L8" s="179"/>
      <c r="N8" s="105" t="s">
        <v>328</v>
      </c>
      <c r="O8" s="179"/>
      <c r="P8" s="179"/>
      <c r="R8" s="105" t="s">
        <v>328</v>
      </c>
      <c r="S8" s="179"/>
      <c r="T8" s="179"/>
      <c r="V8" s="105" t="s">
        <v>328</v>
      </c>
      <c r="W8" s="179"/>
      <c r="X8" s="179"/>
      <c r="Z8" s="105" t="s">
        <v>328</v>
      </c>
      <c r="AA8" s="179"/>
      <c r="AB8" s="179"/>
      <c r="AD8" s="105" t="s">
        <v>328</v>
      </c>
      <c r="AE8" s="179"/>
      <c r="AF8" s="179"/>
      <c r="AH8" s="105" t="s">
        <v>328</v>
      </c>
      <c r="AI8" s="179"/>
      <c r="AJ8" s="179"/>
      <c r="AL8" s="105" t="s">
        <v>328</v>
      </c>
      <c r="AM8" s="179"/>
      <c r="AN8" s="179"/>
      <c r="AP8" s="105" t="s">
        <v>328</v>
      </c>
      <c r="AQ8" s="179"/>
      <c r="AR8" s="179"/>
      <c r="AT8" s="105" t="s">
        <v>328</v>
      </c>
      <c r="AU8" s="179"/>
      <c r="AV8" s="179"/>
      <c r="AX8" s="105" t="s">
        <v>328</v>
      </c>
      <c r="AY8" s="179"/>
      <c r="AZ8" s="179"/>
      <c r="BB8" s="105" t="s">
        <v>328</v>
      </c>
      <c r="BC8" s="179"/>
      <c r="BD8" s="179"/>
      <c r="BF8" s="105" t="s">
        <v>328</v>
      </c>
      <c r="BG8" s="179"/>
      <c r="BH8" s="179"/>
      <c r="BJ8" s="105" t="s">
        <v>328</v>
      </c>
      <c r="BK8" s="179"/>
      <c r="BL8" s="179"/>
      <c r="BN8" s="105" t="s">
        <v>328</v>
      </c>
      <c r="BO8" s="179"/>
      <c r="BP8" s="179"/>
      <c r="BR8" s="105" t="s">
        <v>328</v>
      </c>
      <c r="BS8" s="179"/>
      <c r="BT8" s="179"/>
    </row>
    <row r="9">
      <c r="B9" s="180" t="s">
        <v>202</v>
      </c>
      <c r="C9" s="180" t="s">
        <v>329</v>
      </c>
      <c r="D9" s="180" t="s">
        <v>330</v>
      </c>
      <c r="F9" s="180" t="s">
        <v>202</v>
      </c>
      <c r="G9" s="180" t="s">
        <v>329</v>
      </c>
      <c r="H9" s="180" t="s">
        <v>330</v>
      </c>
      <c r="J9" s="180" t="s">
        <v>202</v>
      </c>
      <c r="K9" s="180" t="s">
        <v>329</v>
      </c>
      <c r="L9" s="180" t="s">
        <v>330</v>
      </c>
      <c r="N9" s="180" t="s">
        <v>202</v>
      </c>
      <c r="O9" s="180" t="s">
        <v>329</v>
      </c>
      <c r="P9" s="180" t="s">
        <v>330</v>
      </c>
      <c r="R9" s="180" t="s">
        <v>202</v>
      </c>
      <c r="S9" s="180" t="s">
        <v>329</v>
      </c>
      <c r="T9" s="180" t="s">
        <v>330</v>
      </c>
      <c r="V9" s="180" t="s">
        <v>202</v>
      </c>
      <c r="W9" s="180" t="s">
        <v>329</v>
      </c>
      <c r="X9" s="180" t="s">
        <v>330</v>
      </c>
      <c r="Z9" s="180" t="s">
        <v>202</v>
      </c>
      <c r="AA9" s="180" t="s">
        <v>329</v>
      </c>
      <c r="AB9" s="180" t="s">
        <v>330</v>
      </c>
      <c r="AD9" s="180" t="s">
        <v>202</v>
      </c>
      <c r="AE9" s="180" t="s">
        <v>329</v>
      </c>
      <c r="AF9" s="180" t="s">
        <v>330</v>
      </c>
      <c r="AH9" s="180" t="s">
        <v>202</v>
      </c>
      <c r="AI9" s="180" t="s">
        <v>329</v>
      </c>
      <c r="AJ9" s="180" t="s">
        <v>330</v>
      </c>
      <c r="AL9" s="180" t="s">
        <v>202</v>
      </c>
      <c r="AM9" s="180" t="s">
        <v>329</v>
      </c>
      <c r="AN9" s="180" t="s">
        <v>330</v>
      </c>
      <c r="AP9" s="180" t="s">
        <v>202</v>
      </c>
      <c r="AQ9" s="180" t="s">
        <v>329</v>
      </c>
      <c r="AR9" s="180" t="s">
        <v>330</v>
      </c>
      <c r="AT9" s="180" t="s">
        <v>202</v>
      </c>
      <c r="AU9" s="180" t="s">
        <v>329</v>
      </c>
      <c r="AV9" s="180" t="s">
        <v>330</v>
      </c>
      <c r="AX9" s="180" t="s">
        <v>202</v>
      </c>
      <c r="AY9" s="180" t="s">
        <v>329</v>
      </c>
      <c r="AZ9" s="180" t="s">
        <v>330</v>
      </c>
      <c r="BB9" s="180" t="s">
        <v>202</v>
      </c>
      <c r="BC9" s="180" t="s">
        <v>329</v>
      </c>
      <c r="BD9" s="180" t="s">
        <v>330</v>
      </c>
      <c r="BF9" s="180" t="s">
        <v>202</v>
      </c>
      <c r="BG9" s="180" t="s">
        <v>329</v>
      </c>
      <c r="BH9" s="180" t="s">
        <v>330</v>
      </c>
      <c r="BJ9" s="180" t="s">
        <v>202</v>
      </c>
      <c r="BK9" s="180" t="s">
        <v>329</v>
      </c>
      <c r="BL9" s="180" t="s">
        <v>330</v>
      </c>
      <c r="BN9" s="180" t="s">
        <v>202</v>
      </c>
      <c r="BO9" s="180" t="s">
        <v>329</v>
      </c>
      <c r="BP9" s="180" t="s">
        <v>330</v>
      </c>
      <c r="BR9" s="180" t="s">
        <v>202</v>
      </c>
      <c r="BS9" s="180" t="s">
        <v>329</v>
      </c>
      <c r="BT9" s="180" t="s">
        <v>330</v>
      </c>
    </row>
    <row r="10">
      <c r="B10" s="181" t="s">
        <v>205</v>
      </c>
      <c r="C10" s="24">
        <v>700000</v>
      </c>
      <c r="D10" s="182" t="str">
        <f>=IFERROR(ROUND(C10/MA_Kurs_1,2),0)</f>
      </c>
      <c r="F10" s="181" t="s">
        <v>205</v>
      </c>
      <c r="G10" s="24">
        <v>400000</v>
      </c>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v>300000</v>
      </c>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v>350000</v>
      </c>
      <c r="D12" s="182" t="str">
        <f>=IFERROR(ROUND(C12/MA_Kurs_1,2),0)</f>
      </c>
      <c r="F12" s="181" t="s">
        <v>213</v>
      </c>
      <c r="G12" s="24">
        <v>350000</v>
      </c>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v>130000</v>
      </c>
      <c r="D13" s="182" t="str">
        <f>=IFERROR(ROUND(C13/MA_Kurs_1,2),0)</f>
      </c>
      <c r="F13" s="181" t="s">
        <v>218</v>
      </c>
      <c r="G13" s="24">
        <v>100000</v>
      </c>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v>80000</v>
      </c>
      <c r="D14" s="182" t="str">
        <f>=IFERROR(ROUND(C14/MA_Kurs_1,2),0)</f>
      </c>
      <c r="F14" s="181" t="s">
        <v>221</v>
      </c>
      <c r="G14" s="24">
        <v>70000</v>
      </c>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v>50000</v>
      </c>
      <c r="D16" s="182" t="str">
        <f>=IFERROR(ROUND(C16/MA_Kurs_1,2),0)</f>
      </c>
      <c r="F16" s="181" t="s">
        <v>227</v>
      </c>
      <c r="G16" s="24">
        <v>30000</v>
      </c>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331</v>
      </c>
      <c r="C18" s="184" t="str">
        <f>=ROUND(SUBTOTAL(109,MA_1[Angefordert (LC)]),2)</f>
      </c>
      <c r="D18" s="185" t="str">
        <f>=ROUND(SUBTOTAL(109,MA_1[Angefordert (EUR)]),2)</f>
      </c>
      <c r="F18" s="183" t="s">
        <v>331</v>
      </c>
      <c r="G18" s="184" t="str">
        <f>=ROUND(SUBTOTAL(109,MA_2[Angefordert (LC)]),2)</f>
      </c>
      <c r="H18" s="185" t="str">
        <f>=ROUND(SUBTOTAL(109,MA_2[Angefordert (EUR)]),2)</f>
      </c>
      <c r="J18" s="183" t="s">
        <v>331</v>
      </c>
      <c r="K18" s="184" t="str">
        <f>=ROUND(SUBTOTAL(109,MA_3[Angefordert (LC)]),2)</f>
      </c>
      <c r="L18" s="185" t="str">
        <f>=ROUND(SUBTOTAL(109,MA_3[Angefordert (EUR)]),2)</f>
      </c>
      <c r="N18" s="183" t="s">
        <v>331</v>
      </c>
      <c r="O18" s="184" t="str">
        <f>=ROUND(SUBTOTAL(109,MA_4[Angefordert (LC)]),2)</f>
      </c>
      <c r="P18" s="185" t="str">
        <f>=ROUND(SUBTOTAL(109,MA_4[Angefordert (EUR)]),2)</f>
      </c>
      <c r="R18" s="183" t="s">
        <v>331</v>
      </c>
      <c r="S18" s="184" t="str">
        <f>=ROUND(SUBTOTAL(109,MA_5[Angefordert (LC)]),2)</f>
      </c>
      <c r="T18" s="185" t="str">
        <f>=ROUND(SUBTOTAL(109,MA_5[Angefordert (EUR)]),2)</f>
      </c>
      <c r="V18" s="183" t="s">
        <v>331</v>
      </c>
      <c r="W18" s="184" t="str">
        <f>=ROUND(SUBTOTAL(109,MA_6[Angefordert (LC)]),2)</f>
      </c>
      <c r="X18" s="185" t="str">
        <f>=ROUND(SUBTOTAL(109,MA_6[Angefordert (EUR)]),2)</f>
      </c>
      <c r="Z18" s="183" t="s">
        <v>331</v>
      </c>
      <c r="AA18" s="184" t="str">
        <f>=ROUND(SUBTOTAL(109,MA_7[Angefordert (LC)]),2)</f>
      </c>
      <c r="AB18" s="185" t="str">
        <f>=ROUND(SUBTOTAL(109,MA_7[Angefordert (EUR)]),2)</f>
      </c>
      <c r="AD18" s="183" t="s">
        <v>331</v>
      </c>
      <c r="AE18" s="184" t="str">
        <f>=ROUND(SUBTOTAL(109,MA_8[Angefordert (LC)]),2)</f>
      </c>
      <c r="AF18" s="185" t="str">
        <f>=ROUND(SUBTOTAL(109,MA_8[Angefordert (EUR)]),2)</f>
      </c>
      <c r="AH18" s="183" t="s">
        <v>331</v>
      </c>
      <c r="AI18" s="184" t="str">
        <f>=ROUND(SUBTOTAL(109,MA_9[Angefordert (LC)]),2)</f>
      </c>
      <c r="AJ18" s="185" t="str">
        <f>=ROUND(SUBTOTAL(109,MA_9[Angefordert (EUR)]),2)</f>
      </c>
      <c r="AL18" s="183" t="s">
        <v>331</v>
      </c>
      <c r="AM18" s="184" t="str">
        <f>=ROUND(SUBTOTAL(109,MA_10[Angefordert (LC)]),2)</f>
      </c>
      <c r="AN18" s="185" t="str">
        <f>=ROUND(SUBTOTAL(109,MA_10[Angefordert (EUR)]),2)</f>
      </c>
      <c r="AP18" s="183" t="s">
        <v>331</v>
      </c>
      <c r="AQ18" s="184" t="str">
        <f>=ROUND(SUBTOTAL(109,MA_11[Angefordert (LC)]),2)</f>
      </c>
      <c r="AR18" s="185" t="str">
        <f>=ROUND(SUBTOTAL(109,MA_11[Angefordert (EUR)]),2)</f>
      </c>
      <c r="AT18" s="183" t="s">
        <v>331</v>
      </c>
      <c r="AU18" s="184" t="str">
        <f>=ROUND(SUBTOTAL(109,MA_12[Angefordert (LC)]),2)</f>
      </c>
      <c r="AV18" s="185" t="str">
        <f>=ROUND(SUBTOTAL(109,MA_12[Angefordert (EUR)]),2)</f>
      </c>
      <c r="AX18" s="183" t="s">
        <v>331</v>
      </c>
      <c r="AY18" s="184" t="str">
        <f>=ROUND(SUBTOTAL(109,MA_13[Angefordert (LC)]),2)</f>
      </c>
      <c r="AZ18" s="185" t="str">
        <f>=ROUND(SUBTOTAL(109,MA_13[Angefordert (EUR)]),2)</f>
      </c>
      <c r="BB18" s="183" t="s">
        <v>331</v>
      </c>
      <c r="BC18" s="184" t="str">
        <f>=ROUND(SUBTOTAL(109,MA_14[Angefordert (LC)]),2)</f>
      </c>
      <c r="BD18" s="185" t="str">
        <f>=ROUND(SUBTOTAL(109,MA_14[Angefordert (EUR)]),2)</f>
      </c>
      <c r="BF18" s="183" t="s">
        <v>331</v>
      </c>
      <c r="BG18" s="184" t="str">
        <f>=ROUND(SUBTOTAL(109,MA_15[Angefordert (LC)]),2)</f>
      </c>
      <c r="BH18" s="185" t="str">
        <f>=ROUND(SUBTOTAL(109,MA_15[Angefordert (EUR)]),2)</f>
      </c>
      <c r="BJ18" s="183" t="s">
        <v>331</v>
      </c>
      <c r="BK18" s="184" t="str">
        <f>=ROUND(SUBTOTAL(109,MA_16[Angefordert (LC)]),2)</f>
      </c>
      <c r="BL18" s="185" t="str">
        <f>=ROUND(SUBTOTAL(109,MA_16[Angefordert (EUR)]),2)</f>
      </c>
      <c r="BN18" s="183" t="s">
        <v>331</v>
      </c>
      <c r="BO18" s="184" t="str">
        <f>=ROUND(SUBTOTAL(109,MA_17[Angefordert (LC)]),2)</f>
      </c>
      <c r="BP18" s="185" t="str">
        <f>=ROUND(SUBTOTAL(109,MA_17[Angefordert (EUR)]),2)</f>
      </c>
      <c r="BR18" s="183" t="s">
        <v>331</v>
      </c>
      <c r="BS18" s="184" t="str">
        <f>=ROUND(SUBTOTAL(109,MA_18[Angefordert (LC)]),2)</f>
      </c>
      <c r="BT18" s="185" t="str">
        <f>=ROUND(SUBTOTAL(109,MA_18[Angefordert (EUR)]),2)</f>
      </c>
    </row>
    <row r="20">
      <c r="B20" t="s">
        <v>332</v>
      </c>
      <c r="C20" s="186" t="str">
        <f>=ROUND($C$18,2)</f>
      </c>
      <c r="D20" s="187" t="str">
        <f>=ROUND($D$18,2)</f>
      </c>
      <c r="F20" t="s">
        <v>332</v>
      </c>
      <c r="G20" s="186" t="str">
        <f>=ROUND($G$18,2)</f>
      </c>
      <c r="H20" s="187" t="str">
        <f>=ROUND($H$18,2)</f>
      </c>
      <c r="J20" t="s">
        <v>332</v>
      </c>
      <c r="K20" s="186" t="str">
        <f>=ROUND($K$18,2)</f>
      </c>
      <c r="L20" s="187" t="str">
        <f>=ROUND($L$18,2)</f>
      </c>
      <c r="N20" t="s">
        <v>332</v>
      </c>
      <c r="O20" s="186" t="str">
        <f>=ROUND($O$18,2)</f>
      </c>
      <c r="P20" s="187" t="str">
        <f>=ROUND($P$18,2)</f>
      </c>
      <c r="R20" t="s">
        <v>332</v>
      </c>
      <c r="S20" s="186" t="str">
        <f>=ROUND($S$18,2)</f>
      </c>
      <c r="T20" s="187" t="str">
        <f>=ROUND($T$18,2)</f>
      </c>
      <c r="V20" t="s">
        <v>332</v>
      </c>
      <c r="W20" s="186" t="str">
        <f>=ROUND($W$18,2)</f>
      </c>
      <c r="X20" s="187" t="str">
        <f>=ROUND($X$18,2)</f>
      </c>
      <c r="Z20" t="s">
        <v>332</v>
      </c>
      <c r="AA20" s="186" t="str">
        <f>=ROUND($AA$18,2)</f>
      </c>
      <c r="AB20" s="187" t="str">
        <f>=ROUND($AB$18,2)</f>
      </c>
      <c r="AD20" t="s">
        <v>332</v>
      </c>
      <c r="AE20" s="186" t="str">
        <f>=ROUND($AE$18,2)</f>
      </c>
      <c r="AF20" s="187" t="str">
        <f>=ROUND($AF$18,2)</f>
      </c>
      <c r="AH20" t="s">
        <v>332</v>
      </c>
      <c r="AI20" s="186" t="str">
        <f>=ROUND($AI$18,2)</f>
      </c>
      <c r="AJ20" s="187" t="str">
        <f>=ROUND($AJ$18,2)</f>
      </c>
      <c r="AL20" t="s">
        <v>332</v>
      </c>
      <c r="AM20" s="186" t="str">
        <f>=ROUND($AM$18,2)</f>
      </c>
      <c r="AN20" s="187" t="str">
        <f>=ROUND($AN$18,2)</f>
      </c>
      <c r="AP20" t="s">
        <v>332</v>
      </c>
      <c r="AQ20" s="186" t="str">
        <f>=ROUND($AQ$18,2)</f>
      </c>
      <c r="AR20" s="187" t="str">
        <f>=ROUND($AR$18,2)</f>
      </c>
      <c r="AT20" t="s">
        <v>332</v>
      </c>
      <c r="AU20" s="186" t="str">
        <f>=ROUND($AU$18,2)</f>
      </c>
      <c r="AV20" s="187" t="str">
        <f>=ROUND($AV$18,2)</f>
      </c>
      <c r="AX20" t="s">
        <v>332</v>
      </c>
      <c r="AY20" s="186" t="str">
        <f>=ROUND($AY$18,2)</f>
      </c>
      <c r="AZ20" s="187" t="str">
        <f>=ROUND($AZ$18,2)</f>
      </c>
      <c r="BB20" t="s">
        <v>332</v>
      </c>
      <c r="BC20" s="186" t="str">
        <f>=ROUND($BC$18,2)</f>
      </c>
      <c r="BD20" s="187" t="str">
        <f>=ROUND($BD$18,2)</f>
      </c>
      <c r="BF20" t="s">
        <v>332</v>
      </c>
      <c r="BG20" s="186" t="str">
        <f>=ROUND($BG$18,2)</f>
      </c>
      <c r="BH20" s="187" t="str">
        <f>=ROUND($BH$18,2)</f>
      </c>
      <c r="BJ20" t="s">
        <v>332</v>
      </c>
      <c r="BK20" s="186" t="str">
        <f>=ROUND($BK$18,2)</f>
      </c>
      <c r="BL20" s="187" t="str">
        <f>=ROUND($BL$18,2)</f>
      </c>
      <c r="BN20" t="s">
        <v>332</v>
      </c>
      <c r="BO20" s="186" t="str">
        <f>=ROUND($BO$18,2)</f>
      </c>
      <c r="BP20" s="187" t="str">
        <f>=ROUND($BP$18,2)</f>
      </c>
      <c r="BR20" t="s">
        <v>332</v>
      </c>
      <c r="BS20" s="186" t="str">
        <f>=ROUND($BS$18,2)</f>
      </c>
      <c r="BT20" s="187" t="str">
        <f>=ROUND($BT$18,2)</f>
      </c>
    </row>
    <row r="21">
      <c r="B21" t="s">
        <v>333</v>
      </c>
      <c r="C21" s="24">
        <v>250000</v>
      </c>
      <c r="D21" s="182" t="str">
        <f>=IFERROR(ROUND($C$21/$C$8,2),0)</f>
      </c>
      <c r="F21" t="s">
        <v>333</v>
      </c>
      <c r="G21" s="24">
        <v>200000</v>
      </c>
      <c r="H21" s="182" t="str">
        <f>=IFERROR(ROUND($G$21/$G$8,2),0)</f>
      </c>
      <c r="J21" t="s">
        <v>333</v>
      </c>
      <c r="K21" s="24"/>
      <c r="L21" s="182" t="str">
        <f>=IFERROR(ROUND($K$21/$K$8,2),0)</f>
      </c>
      <c r="N21" t="s">
        <v>333</v>
      </c>
      <c r="O21" s="24"/>
      <c r="P21" s="182" t="str">
        <f>=IFERROR(ROUND($O$21/$O$8,2),0)</f>
      </c>
      <c r="R21" t="s">
        <v>333</v>
      </c>
      <c r="S21" s="24"/>
      <c r="T21" s="182" t="str">
        <f>=IFERROR(ROUND($S$21/$S$8,2),0)</f>
      </c>
      <c r="V21" t="s">
        <v>333</v>
      </c>
      <c r="W21" s="24"/>
      <c r="X21" s="182" t="str">
        <f>=IFERROR(ROUND($W$21/$W$8,2),0)</f>
      </c>
      <c r="Z21" t="s">
        <v>333</v>
      </c>
      <c r="AA21" s="24"/>
      <c r="AB21" s="182" t="str">
        <f>=IFERROR(ROUND($AA$21/$AA$8,2),0)</f>
      </c>
      <c r="AD21" t="s">
        <v>333</v>
      </c>
      <c r="AE21" s="24"/>
      <c r="AF21" s="182" t="str">
        <f>=IFERROR(ROUND($AE$21/$AE$8,2),0)</f>
      </c>
      <c r="AH21" t="s">
        <v>333</v>
      </c>
      <c r="AI21" s="24"/>
      <c r="AJ21" s="182" t="str">
        <f>=IFERROR(ROUND($AI$21/$AI$8,2),0)</f>
      </c>
      <c r="AL21" t="s">
        <v>333</v>
      </c>
      <c r="AM21" s="24"/>
      <c r="AN21" s="182" t="str">
        <f>=IFERROR(ROUND($AM$21/$AM$8,2),0)</f>
      </c>
      <c r="AP21" t="s">
        <v>333</v>
      </c>
      <c r="AQ21" s="24"/>
      <c r="AR21" s="182" t="str">
        <f>=IFERROR(ROUND($AQ$21/$AQ$8,2),0)</f>
      </c>
      <c r="AT21" t="s">
        <v>333</v>
      </c>
      <c r="AU21" s="24"/>
      <c r="AV21" s="182" t="str">
        <f>=IFERROR(ROUND($AU$21/$AU$8,2),0)</f>
      </c>
      <c r="AX21" t="s">
        <v>333</v>
      </c>
      <c r="AY21" s="24"/>
      <c r="AZ21" s="182" t="str">
        <f>=IFERROR(ROUND($AY$21/$AY$8,2),0)</f>
      </c>
      <c r="BB21" t="s">
        <v>333</v>
      </c>
      <c r="BC21" s="24"/>
      <c r="BD21" s="182" t="str">
        <f>=IFERROR(ROUND($BC$21/$BC$8,2),0)</f>
      </c>
      <c r="BF21" t="s">
        <v>333</v>
      </c>
      <c r="BG21" s="24"/>
      <c r="BH21" s="182" t="str">
        <f>=IFERROR(ROUND($BG$21/$BG$8,2),0)</f>
      </c>
      <c r="BJ21" t="s">
        <v>333</v>
      </c>
      <c r="BK21" s="24"/>
      <c r="BL21" s="182" t="str">
        <f>=IFERROR(ROUND($BK$21/$BK$8,2),0)</f>
      </c>
      <c r="BN21" t="s">
        <v>333</v>
      </c>
      <c r="BO21" s="24"/>
      <c r="BP21" s="182" t="str">
        <f>=IFERROR(ROUND($BO$21/$BO$8,2),0)</f>
      </c>
      <c r="BR21" t="s">
        <v>333</v>
      </c>
      <c r="BS21" s="24"/>
      <c r="BT21" s="182" t="str">
        <f>=IFERROR(ROUND($BS$21/$BS$8,2),0)</f>
      </c>
    </row>
    <row r="22">
      <c r="B22" t="s">
        <v>334</v>
      </c>
      <c r="C22" s="24">
        <v>125000</v>
      </c>
      <c r="D22" s="182" t="str">
        <f>=IFERROR(ROUND($C$22/$C$8,2),0)</f>
      </c>
      <c r="F22" t="s">
        <v>334</v>
      </c>
      <c r="G22" s="24">
        <v>100000</v>
      </c>
      <c r="H22" s="182" t="str">
        <f>=IFERROR(ROUND($G$22/$G$8,2),0)</f>
      </c>
      <c r="J22" t="s">
        <v>334</v>
      </c>
      <c r="K22" s="24"/>
      <c r="L22" s="182" t="str">
        <f>=IFERROR(ROUND($K$22/$K$8,2),0)</f>
      </c>
      <c r="N22" t="s">
        <v>334</v>
      </c>
      <c r="O22" s="24"/>
      <c r="P22" s="182" t="str">
        <f>=IFERROR(ROUND($O$22/$O$8,2),0)</f>
      </c>
      <c r="R22" t="s">
        <v>334</v>
      </c>
      <c r="S22" s="24"/>
      <c r="T22" s="182" t="str">
        <f>=IFERROR(ROUND($S$22/$S$8,2),0)</f>
      </c>
      <c r="V22" t="s">
        <v>334</v>
      </c>
      <c r="W22" s="24"/>
      <c r="X22" s="182" t="str">
        <f>=IFERROR(ROUND($W$22/$W$8,2),0)</f>
      </c>
      <c r="Z22" t="s">
        <v>334</v>
      </c>
      <c r="AA22" s="24"/>
      <c r="AB22" s="182" t="str">
        <f>=IFERROR(ROUND($AA$22/$AA$8,2),0)</f>
      </c>
      <c r="AD22" t="s">
        <v>334</v>
      </c>
      <c r="AE22" s="24"/>
      <c r="AF22" s="182" t="str">
        <f>=IFERROR(ROUND($AE$22/$AE$8,2),0)</f>
      </c>
      <c r="AH22" t="s">
        <v>334</v>
      </c>
      <c r="AI22" s="24"/>
      <c r="AJ22" s="182" t="str">
        <f>=IFERROR(ROUND($AI$22/$AI$8,2),0)</f>
      </c>
      <c r="AL22" t="s">
        <v>334</v>
      </c>
      <c r="AM22" s="24"/>
      <c r="AN22" s="182" t="str">
        <f>=IFERROR(ROUND($AM$22/$AM$8,2),0)</f>
      </c>
      <c r="AP22" t="s">
        <v>334</v>
      </c>
      <c r="AQ22" s="24"/>
      <c r="AR22" s="182" t="str">
        <f>=IFERROR(ROUND($AQ$22/$AQ$8,2),0)</f>
      </c>
      <c r="AT22" t="s">
        <v>334</v>
      </c>
      <c r="AU22" s="24"/>
      <c r="AV22" s="182" t="str">
        <f>=IFERROR(ROUND($AU$22/$AU$8,2),0)</f>
      </c>
      <c r="AX22" t="s">
        <v>334</v>
      </c>
      <c r="AY22" s="24"/>
      <c r="AZ22" s="182" t="str">
        <f>=IFERROR(ROUND($AY$22/$AY$8,2),0)</f>
      </c>
      <c r="BB22" t="s">
        <v>334</v>
      </c>
      <c r="BC22" s="24"/>
      <c r="BD22" s="182" t="str">
        <f>=IFERROR(ROUND($BC$22/$BC$8,2),0)</f>
      </c>
      <c r="BF22" t="s">
        <v>334</v>
      </c>
      <c r="BG22" s="24"/>
      <c r="BH22" s="182" t="str">
        <f>=IFERROR(ROUND($BG$22/$BG$8,2),0)</f>
      </c>
      <c r="BJ22" t="s">
        <v>334</v>
      </c>
      <c r="BK22" s="24"/>
      <c r="BL22" s="182" t="str">
        <f>=IFERROR(ROUND($BK$22/$BK$8,2),0)</f>
      </c>
      <c r="BN22" t="s">
        <v>334</v>
      </c>
      <c r="BO22" s="24"/>
      <c r="BP22" s="182" t="str">
        <f>=IFERROR(ROUND($BO$22/$BO$8,2),0)</f>
      </c>
      <c r="BR22" t="s">
        <v>334</v>
      </c>
      <c r="BS22" s="24"/>
      <c r="BT22" s="182" t="str">
        <f>=IFERROR(ROUND($BS$22/$BS$8,2),0)</f>
      </c>
    </row>
    <row r="23">
      <c r="B23" t="s">
        <v>335</v>
      </c>
      <c r="C23" s="188" t="str">
        <f>=ROUND(IF(Saldovortrag_LW="",0,Saldovortrag_LW),2)</f>
      </c>
      <c r="D23" s="182" t="str">
        <f>=IFERROR(ROUND($C$23/$C$8,2),0)</f>
      </c>
      <c r="F23" t="s">
        <v>337</v>
      </c>
      <c r="G23" s="188" t="str">
        <f>=ROUND(IFERROR(FB_SaldoLC_1,0),2)</f>
      </c>
      <c r="H23" s="182" t="str">
        <f>=IFERROR(ROUND($G$23/$G$8,2),0)</f>
      </c>
      <c r="J23" t="s">
        <v>337</v>
      </c>
      <c r="K23" s="188" t="str">
        <f>=ROUND(IFERROR(FB_SaldoLC_2,0),2)</f>
      </c>
      <c r="L23" s="182" t="str">
        <f>=IFERROR(ROUND($K$23/$K$8,2),0)</f>
      </c>
      <c r="N23" t="s">
        <v>337</v>
      </c>
      <c r="O23" s="188" t="str">
        <f>=ROUND(IFERROR(FB_SaldoLC_3,0),2)</f>
      </c>
      <c r="P23" s="182" t="str">
        <f>=IFERROR(ROUND($O$23/$O$8,2),0)</f>
      </c>
      <c r="R23" t="s">
        <v>337</v>
      </c>
      <c r="S23" s="188" t="str">
        <f>=ROUND(IFERROR(FB_SaldoLC_4,0),2)</f>
      </c>
      <c r="T23" s="182" t="str">
        <f>=IFERROR(ROUND($S$23/$S$8,2),0)</f>
      </c>
      <c r="V23" t="s">
        <v>337</v>
      </c>
      <c r="W23" s="188" t="str">
        <f>=ROUND(IFERROR(FB_SaldoLC_5,0),2)</f>
      </c>
      <c r="X23" s="182" t="str">
        <f>=IFERROR(ROUND($W$23/$W$8,2),0)</f>
      </c>
      <c r="Z23" t="s">
        <v>337</v>
      </c>
      <c r="AA23" s="188" t="str">
        <f>=ROUND(IFERROR(FB_SaldoLC_6,0),2)</f>
      </c>
      <c r="AB23" s="182" t="str">
        <f>=IFERROR(ROUND($AA$23/$AA$8,2),0)</f>
      </c>
      <c r="AD23" t="s">
        <v>337</v>
      </c>
      <c r="AE23" s="188" t="str">
        <f>=ROUND(IFERROR(FB_SaldoLC_7,0),2)</f>
      </c>
      <c r="AF23" s="182" t="str">
        <f>=IFERROR(ROUND($AE$23/$AE$8,2),0)</f>
      </c>
      <c r="AH23" t="s">
        <v>337</v>
      </c>
      <c r="AI23" s="188" t="str">
        <f>=ROUND(IFERROR(FB_SaldoLC_8,0),2)</f>
      </c>
      <c r="AJ23" s="182" t="str">
        <f>=IFERROR(ROUND($AI$23/$AI$8,2),0)</f>
      </c>
      <c r="AL23" t="s">
        <v>337</v>
      </c>
      <c r="AM23" s="188" t="str">
        <f>=ROUND(IFERROR(FB_SaldoLC_9,0),2)</f>
      </c>
      <c r="AN23" s="182" t="str">
        <f>=IFERROR(ROUND($AM$23/$AM$8,2),0)</f>
      </c>
      <c r="AP23" t="s">
        <v>337</v>
      </c>
      <c r="AQ23" s="188" t="str">
        <f>=ROUND(IFERROR(FB_SaldoLC_10,0),2)</f>
      </c>
      <c r="AR23" s="182" t="str">
        <f>=IFERROR(ROUND($AQ$23/$AQ$8,2),0)</f>
      </c>
      <c r="AT23" t="s">
        <v>337</v>
      </c>
      <c r="AU23" s="188" t="str">
        <f>=ROUND(IFERROR(FB_SaldoLC_11,0),2)</f>
      </c>
      <c r="AV23" s="182" t="str">
        <f>=IFERROR(ROUND($AU$23/$AU$8,2),0)</f>
      </c>
      <c r="AX23" t="s">
        <v>337</v>
      </c>
      <c r="AY23" s="188" t="str">
        <f>=ROUND(IFERROR(FB_SaldoLC_12,0),2)</f>
      </c>
      <c r="AZ23" s="182" t="str">
        <f>=IFERROR(ROUND($AY$23/$AY$8,2),0)</f>
      </c>
      <c r="BB23" t="s">
        <v>337</v>
      </c>
      <c r="BC23" s="188" t="str">
        <f>=ROUND(IFERROR(FB_SaldoLC_13,0),2)</f>
      </c>
      <c r="BD23" s="182" t="str">
        <f>=IFERROR(ROUND($BC$23/$BC$8,2),0)</f>
      </c>
      <c r="BF23" t="s">
        <v>337</v>
      </c>
      <c r="BG23" s="188" t="str">
        <f>=ROUND(IFERROR(FB_SaldoLC_14,0),2)</f>
      </c>
      <c r="BH23" s="182" t="str">
        <f>=IFERROR(ROUND($BG$23/$BG$8,2),0)</f>
      </c>
      <c r="BJ23" t="s">
        <v>337</v>
      </c>
      <c r="BK23" s="188" t="str">
        <f>=ROUND(IFERROR(FB_SaldoLC_15,0),2)</f>
      </c>
      <c r="BL23" s="182" t="str">
        <f>=IFERROR(ROUND($BK$23/$BK$8,2),0)</f>
      </c>
      <c r="BN23" t="s">
        <v>337</v>
      </c>
      <c r="BO23" s="188" t="str">
        <f>=ROUND(IFERROR(FB_SaldoLC_16,0),2)</f>
      </c>
      <c r="BP23" s="182" t="str">
        <f>=IFERROR(ROUND($BO$23/$BO$8,2),0)</f>
      </c>
      <c r="BR23" t="s">
        <v>337</v>
      </c>
      <c r="BS23" s="188" t="str">
        <f>=ROUND(IFERROR(FB_SaldoLC_17,0),2)</f>
      </c>
      <c r="BT23" s="182" t="str">
        <f>=IFERROR(ROUND($BS$23/$BS$8,2),0)</f>
      </c>
    </row>
    <row r="25">
      <c r="B25" s="189" t="s">
        <v>336</v>
      </c>
      <c r="C25" s="190" t="str">
        <f>=IFERROR(ROUND($C$18-$C$21-$C$22-$C$23,2),0)</f>
      </c>
      <c r="D25" s="191" t="str">
        <f>=IFERROR(ROUND($D$18-$D$21-$D$22-$D$23,2),0)</f>
      </c>
      <c r="F25" s="189" t="s">
        <v>336</v>
      </c>
      <c r="G25" s="190" t="str">
        <f>=IFERROR(ROUND($G$18-$G$21-$G$22-$G$23,2),0)</f>
      </c>
      <c r="H25" s="191" t="str">
        <f>=IFERROR(ROUND($H$18-$H$21-$H$22-$H$23,2),0)</f>
      </c>
      <c r="J25" s="189" t="s">
        <v>336</v>
      </c>
      <c r="K25" s="190" t="str">
        <f>=IFERROR(ROUND($K$18-$K$21-$K$22-$K$23,2),0)</f>
      </c>
      <c r="L25" s="191" t="str">
        <f>=IFERROR(ROUND($L$18-$L$21-$L$22-$L$23,2),0)</f>
      </c>
      <c r="N25" s="189" t="s">
        <v>336</v>
      </c>
      <c r="O25" s="190" t="str">
        <f>=IFERROR(ROUND($O$18-$O$21-$O$22-$O$23,2),0)</f>
      </c>
      <c r="P25" s="191" t="str">
        <f>=IFERROR(ROUND($P$18-$P$21-$P$22-$P$23,2),0)</f>
      </c>
      <c r="R25" s="189" t="s">
        <v>336</v>
      </c>
      <c r="S25" s="190" t="str">
        <f>=IFERROR(ROUND($S$18-$S$21-$S$22-$S$23,2),0)</f>
      </c>
      <c r="T25" s="191" t="str">
        <f>=IFERROR(ROUND($T$18-$T$21-$T$22-$T$23,2),0)</f>
      </c>
      <c r="V25" s="189" t="s">
        <v>336</v>
      </c>
      <c r="W25" s="190" t="str">
        <f>=IFERROR(ROUND($W$18-$W$21-$W$22-$W$23,2),0)</f>
      </c>
      <c r="X25" s="191" t="str">
        <f>=IFERROR(ROUND($X$18-$X$21-$X$22-$X$23,2),0)</f>
      </c>
      <c r="Z25" s="189" t="s">
        <v>336</v>
      </c>
      <c r="AA25" s="190" t="str">
        <f>=IFERROR(ROUND($AA$18-$AA$21-$AA$22-$AA$23,2),0)</f>
      </c>
      <c r="AB25" s="191" t="str">
        <f>=IFERROR(ROUND($AB$18-$AB$21-$AB$22-$AB$23,2),0)</f>
      </c>
      <c r="AD25" s="189" t="s">
        <v>336</v>
      </c>
      <c r="AE25" s="190" t="str">
        <f>=IFERROR(ROUND($AE$18-$AE$21-$AE$22-$AE$23,2),0)</f>
      </c>
      <c r="AF25" s="191" t="str">
        <f>=IFERROR(ROUND($AF$18-$AF$21-$AF$22-$AF$23,2),0)</f>
      </c>
      <c r="AH25" s="189" t="s">
        <v>336</v>
      </c>
      <c r="AI25" s="190" t="str">
        <f>=IFERROR(ROUND($AI$18-$AI$21-$AI$22-$AI$23,2),0)</f>
      </c>
      <c r="AJ25" s="191" t="str">
        <f>=IFERROR(ROUND($AJ$18-$AJ$21-$AJ$22-$AJ$23,2),0)</f>
      </c>
      <c r="AL25" s="189" t="s">
        <v>336</v>
      </c>
      <c r="AM25" s="190" t="str">
        <f>=IFERROR(ROUND($AM$18-$AM$21-$AM$22-$AM$23,2),0)</f>
      </c>
      <c r="AN25" s="191" t="str">
        <f>=IFERROR(ROUND($AN$18-$AN$21-$AN$22-$AN$23,2),0)</f>
      </c>
      <c r="AP25" s="189" t="s">
        <v>336</v>
      </c>
      <c r="AQ25" s="190" t="str">
        <f>=IFERROR(ROUND($AQ$18-$AQ$21-$AQ$22-$AQ$23,2),0)</f>
      </c>
      <c r="AR25" s="191" t="str">
        <f>=IFERROR(ROUND($AR$18-$AR$21-$AR$22-$AR$23,2),0)</f>
      </c>
      <c r="AT25" s="189" t="s">
        <v>336</v>
      </c>
      <c r="AU25" s="190" t="str">
        <f>=IFERROR(ROUND($AU$18-$AU$21-$AU$22-$AU$23,2),0)</f>
      </c>
      <c r="AV25" s="191" t="str">
        <f>=IFERROR(ROUND($AV$18-$AV$21-$AV$22-$AV$23,2),0)</f>
      </c>
      <c r="AX25" s="189" t="s">
        <v>336</v>
      </c>
      <c r="AY25" s="190" t="str">
        <f>=IFERROR(ROUND($AY$18-$AY$21-$AY$22-$AY$23,2),0)</f>
      </c>
      <c r="AZ25" s="191" t="str">
        <f>=IFERROR(ROUND($AZ$18-$AZ$21-$AZ$22-$AZ$23,2),0)</f>
      </c>
      <c r="BB25" s="189" t="s">
        <v>336</v>
      </c>
      <c r="BC25" s="190" t="str">
        <f>=IFERROR(ROUND($BC$18-$BC$21-$BC$22-$BC$23,2),0)</f>
      </c>
      <c r="BD25" s="191" t="str">
        <f>=IFERROR(ROUND($BD$18-$BD$21-$BD$22-$BD$23,2),0)</f>
      </c>
      <c r="BF25" s="189" t="s">
        <v>336</v>
      </c>
      <c r="BG25" s="190" t="str">
        <f>=IFERROR(ROUND($BG$18-$BG$21-$BG$22-$BG$23,2),0)</f>
      </c>
      <c r="BH25" s="191" t="str">
        <f>=IFERROR(ROUND($BH$18-$BH$21-$BH$22-$BH$23,2),0)</f>
      </c>
      <c r="BJ25" s="189" t="s">
        <v>336</v>
      </c>
      <c r="BK25" s="190" t="str">
        <f>=IFERROR(ROUND($BK$18-$BK$21-$BK$22-$BK$23,2),0)</f>
      </c>
      <c r="BL25" s="191" t="str">
        <f>=IFERROR(ROUND($BL$18-$BL$21-$BL$22-$BL$23,2),0)</f>
      </c>
      <c r="BN25" s="189" t="s">
        <v>336</v>
      </c>
      <c r="BO25" s="190" t="str">
        <f>=IFERROR(ROUND($BO$18-$BO$21-$BO$22-$BO$23,2),0)</f>
      </c>
      <c r="BP25" s="191" t="str">
        <f>=IFERROR(ROUND($BP$18-$BP$21-$BP$22-$BP$23,2),0)</f>
      </c>
      <c r="BR25" s="189" t="s">
        <v>336</v>
      </c>
      <c r="BS25" s="190" t="str">
        <f>=IFERROR(ROUND($BS$18-$BS$21-$BS$22-$BS$23,2),0)</f>
      </c>
      <c r="BT25" s="191" t="str">
        <f>=IFERROR(ROUND($BT$18-$BT$21-$BT$22-$BT$23,2),0)</f>
      </c>
    </row>
  </sheetData>
  <mergeCells count="90">
    <mergeCell ref="C4:D4"/>
    <mergeCell ref="C5:D5"/>
    <mergeCell ref="C6:D6"/>
    <mergeCell ref="C7:D7"/>
    <mergeCell ref="C8:D8"/>
    <mergeCell ref="G4:H4"/>
    <mergeCell ref="G5:H5"/>
    <mergeCell ref="G6:H6"/>
    <mergeCell ref="G7:H7"/>
    <mergeCell ref="G8:H8"/>
    <mergeCell ref="K4:L4"/>
    <mergeCell ref="K5:L5"/>
    <mergeCell ref="K6:L6"/>
    <mergeCell ref="K7:L7"/>
    <mergeCell ref="K8:L8"/>
    <mergeCell ref="O4:P4"/>
    <mergeCell ref="O5:P5"/>
    <mergeCell ref="O6:P6"/>
    <mergeCell ref="O7:P7"/>
    <mergeCell ref="O8:P8"/>
    <mergeCell ref="S4:T4"/>
    <mergeCell ref="S5:T5"/>
    <mergeCell ref="S6:T6"/>
    <mergeCell ref="S7:T7"/>
    <mergeCell ref="S8:T8"/>
    <mergeCell ref="W4:X4"/>
    <mergeCell ref="W5:X5"/>
    <mergeCell ref="W6:X6"/>
    <mergeCell ref="W7:X7"/>
    <mergeCell ref="W8:X8"/>
    <mergeCell ref="AA4:AB4"/>
    <mergeCell ref="AA5:AB5"/>
    <mergeCell ref="AA6:AB6"/>
    <mergeCell ref="AA7:AB7"/>
    <mergeCell ref="AA8:AB8"/>
    <mergeCell ref="AE4:AF4"/>
    <mergeCell ref="AE5:AF5"/>
    <mergeCell ref="AE6:AF6"/>
    <mergeCell ref="AE7:AF7"/>
    <mergeCell ref="AE8:AF8"/>
    <mergeCell ref="AI4:AJ4"/>
    <mergeCell ref="AI5:AJ5"/>
    <mergeCell ref="AI6:AJ6"/>
    <mergeCell ref="AI7:AJ7"/>
    <mergeCell ref="AI8:AJ8"/>
    <mergeCell ref="AM4:AN4"/>
    <mergeCell ref="AM5:AN5"/>
    <mergeCell ref="AM6:AN6"/>
    <mergeCell ref="AM7:AN7"/>
    <mergeCell ref="AM8:AN8"/>
    <mergeCell ref="AQ4:AR4"/>
    <mergeCell ref="AQ5:AR5"/>
    <mergeCell ref="AQ6:AR6"/>
    <mergeCell ref="AQ7:AR7"/>
    <mergeCell ref="AQ8:AR8"/>
    <mergeCell ref="AU4:AV4"/>
    <mergeCell ref="AU5:AV5"/>
    <mergeCell ref="AU6:AV6"/>
    <mergeCell ref="AU7:AV7"/>
    <mergeCell ref="AU8:AV8"/>
    <mergeCell ref="AY4:AZ4"/>
    <mergeCell ref="AY5:AZ5"/>
    <mergeCell ref="AY6:AZ6"/>
    <mergeCell ref="AY7:AZ7"/>
    <mergeCell ref="AY8:AZ8"/>
    <mergeCell ref="BC4:BD4"/>
    <mergeCell ref="BC5:BD5"/>
    <mergeCell ref="BC6:BD6"/>
    <mergeCell ref="BC7:BD7"/>
    <mergeCell ref="BC8:BD8"/>
    <mergeCell ref="BG4:BH4"/>
    <mergeCell ref="BG5:BH5"/>
    <mergeCell ref="BG6:BH6"/>
    <mergeCell ref="BG7:BH7"/>
    <mergeCell ref="BG8:BH8"/>
    <mergeCell ref="BK4:BL4"/>
    <mergeCell ref="BK5:BL5"/>
    <mergeCell ref="BK6:BL6"/>
    <mergeCell ref="BK7:BL7"/>
    <mergeCell ref="BK8:BL8"/>
    <mergeCell ref="BO4:BP4"/>
    <mergeCell ref="BO5:BP5"/>
    <mergeCell ref="BO6:BP6"/>
    <mergeCell ref="BO7:BP7"/>
    <mergeCell ref="BO8:BP8"/>
    <mergeCell ref="BS4:BT4"/>
    <mergeCell ref="BS5:BT5"/>
    <mergeCell ref="BS6:BT6"/>
    <mergeCell ref="BS7:BT7"/>
    <mergeCell ref="BS8:BT8"/>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338</v>
      </c>
      <c r="C2" s="192"/>
      <c r="D2" s="192"/>
      <c r="E2" s="192"/>
      <c r="F2" s="192"/>
      <c r="G2" s="192"/>
      <c r="H2" s="192"/>
      <c r="I2" s="192"/>
      <c r="J2" s="192"/>
    </row>
    <row r="3" ht="18" customHeight="true">
      <c r="B3" s="193" t="s">
        <v>339</v>
      </c>
      <c r="C3" s="193"/>
      <c r="D3" s="193"/>
      <c r="E3" s="193"/>
      <c r="F3" s="193"/>
      <c r="G3" s="193"/>
      <c r="H3" s="193"/>
      <c r="I3" s="193"/>
      <c r="J3" s="193"/>
    </row>
    <row r="5" ht="22" customHeight="true">
      <c r="B5" s="194" t="s">
        <v>340</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341</v>
      </c>
      <c r="C6" s="195"/>
      <c r="D6" s="195"/>
      <c r="E6" s="195"/>
      <c r="F6" s="195"/>
      <c r="G6" s="195"/>
      <c r="H6" s="195"/>
      <c r="I6" s="195"/>
      <c r="J6" s="195"/>
      <c r="L6" s="314" t="s">
        <v>288</v>
      </c>
      <c r="M6" s="306" t="str">
        <f>=IFERROR(CHOOSE($AD$5,'IV. MA'!$C$4,'IV. MA'!$G$4,'IV. MA'!$K$4,'IV. MA'!$O$4,'IV. MA'!$S$4,'IV. MA'!$W$4,'IV. MA'!$AA$4,'IV. MA'!$AE$4,'IV. MA'!$AI$4,'IV. MA'!$AM$4,'IV. MA'!$AQ$4,'IV. MA'!$AU$4,'IV. MA'!$AY$4,'IV. MA'!$BC$4,'IV. MA'!$BG$4,'IV. MA'!$BK$4,'IV. MA'!$BO$4,'IV. MA'!$BS$4),"")</f>
      </c>
      <c r="N6" s="315"/>
    </row>
    <row r="7">
      <c r="L7" s="314" t="s">
        <v>289</v>
      </c>
      <c r="M7" s="307" t="str">
        <f>=IFERROR(CHOOSE($AD$5,'IV. MA'!$C$5,'IV. MA'!$G$5,'IV. MA'!$K$5,'IV. MA'!$O$5,'IV. MA'!$S$5,'IV. MA'!$W$5,'IV. MA'!$AA$5,'IV. MA'!$AE$5,'IV. MA'!$AI$5,'IV. MA'!$AM$5,'IV. MA'!$AQ$5,'IV. MA'!$AU$5,'IV. MA'!$AY$5,'IV. MA'!$BC$5,'IV. MA'!$BG$5,'IV. MA'!$BK$5,'IV. MA'!$BO$5,'IV. MA'!$BS$5),"")</f>
      </c>
      <c r="N7" s="316"/>
    </row>
    <row r="8" ht="22" customHeight="true">
      <c r="C8" s="202" t="s">
        <v>342</v>
      </c>
      <c r="D8" s="203"/>
      <c r="E8" s="203"/>
      <c r="F8" s="203"/>
      <c r="G8" s="204"/>
      <c r="L8" s="314" t="s">
        <v>290</v>
      </c>
      <c r="M8" s="307" t="str">
        <f>=IFERROR(CHOOSE($AD$5,'IV. MA'!$C$6,'IV. MA'!$G$6,'IV. MA'!$K$6,'IV. MA'!$O$6,'IV. MA'!$S$6,'IV. MA'!$W$6,'IV. MA'!$AA$6,'IV. MA'!$AE$6,'IV. MA'!$AI$6,'IV. MA'!$AM$6,'IV. MA'!$AQ$6,'IV. MA'!$AU$6,'IV. MA'!$AY$6,'IV. MA'!$BC$6,'IV. MA'!$BG$6,'IV. MA'!$BK$6,'IV. MA'!$BO$6,'IV. MA'!$BS$6),"")</f>
      </c>
      <c r="N8" s="316"/>
    </row>
    <row r="9">
      <c r="C9" s="205" t="s">
        <v>343</v>
      </c>
      <c r="D9" s="197"/>
      <c r="E9" s="63" t="s">
        <v>344</v>
      </c>
      <c r="F9" s="63"/>
      <c r="G9" s="206"/>
      <c r="L9" s="314" t="s">
        <v>291</v>
      </c>
      <c r="M9" s="308" t="str">
        <f>=IFERROR(CHOOSE($AD$5,'IV. MA'!$C$7,'IV. MA'!$G$7,'IV. MA'!$K$7,'IV. MA'!$O$7,'IV. MA'!$S$7,'IV. MA'!$W$7,'IV. MA'!$AA$7,'IV. MA'!$AE$7,'IV. MA'!$AI$7,'IV. MA'!$AM$7,'IV. MA'!$AQ$7,'IV. MA'!$AU$7,'IV. MA'!$AY$7,'IV. MA'!$BC$7,'IV. MA'!$BG$7,'IV. MA'!$BK$7,'IV. MA'!$BO$7,'IV. MA'!$BS$7),"")</f>
      </c>
      <c r="N9" s="317"/>
    </row>
    <row r="10">
      <c r="C10" s="205" t="s">
        <v>345</v>
      </c>
      <c r="D10" s="197"/>
      <c r="E10" s="198" t="str">
        <f>=E82+1</f>
        <v>0</v>
      </c>
      <c r="F10" s="198"/>
      <c r="G10" s="207"/>
      <c r="L10" s="314" t="s">
        <v>328</v>
      </c>
      <c r="M10" s="309" t="str">
        <f>=IFERROR(CHOOSE($AD$5,'IV. MA'!$C$8,'IV. MA'!$G$8,'IV. MA'!$K$8,'IV. MA'!$O$8,'IV. MA'!$S$8,'IV. MA'!$W$8,'IV. MA'!$AA$8,'IV. MA'!$AE$8,'IV. MA'!$AI$8,'IV. MA'!$AM$8,'IV. MA'!$AQ$8,'IV. MA'!$AU$8,'IV. MA'!$AY$8,'IV. MA'!$BC$8,'IV. MA'!$BG$8,'IV. MA'!$BK$8,'IV. MA'!$BO$8,'IV. MA'!$BS$8),"")</f>
      </c>
      <c r="N10" s="318"/>
    </row>
    <row r="11">
      <c r="C11" s="205" t="s">
        <v>346</v>
      </c>
      <c r="D11" s="197"/>
      <c r="E11" s="198" t="str">
        <f>=IF(E9="Neuste MA",IFERROR(SUMPRODUCT(MAX(('Daten'!$BB$1:$BB$18=E10)*('Daten'!$BC$1:$BC$18=1)*'Daten'!$BD$1:$BD$18)),0),IFERROR(VALUE(MID(E9,FIND("(#",E9)+2,FIND(")",E9)-FIND("(#",E9)-2)),0))</f>
      </c>
      <c r="F11" s="198"/>
      <c r="G11" s="208"/>
      <c r="L11" s="47"/>
      <c r="N11" s="48"/>
    </row>
    <row r="12">
      <c r="C12" s="209" t="s">
        <v>347</v>
      </c>
      <c r="D12" s="199"/>
      <c r="E12" s="199"/>
      <c r="F12" s="199"/>
      <c r="G12" s="210"/>
      <c r="L12" s="319" t="s">
        <v>202</v>
      </c>
      <c r="M12" s="180" t="s">
        <v>329</v>
      </c>
      <c r="N12" s="320" t="s">
        <v>330</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348</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1" t="s">
        <v>331</v>
      </c>
      <c r="M21" s="242"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349</v>
      </c>
      <c r="C22" s="224"/>
      <c r="D22" s="225" t="str">
        <f>=IFERROR(ROUND(KMW_Mittel_EUR,2),0)</f>
      </c>
      <c r="F22" s="230" t="s">
        <v>353</v>
      </c>
      <c r="G22" s="231"/>
      <c r="H22" s="231"/>
      <c r="I22" s="232"/>
      <c r="L22" s="47"/>
      <c r="N22" s="48"/>
    </row>
    <row r="23">
      <c r="B23" s="205" t="s">
        <v>350</v>
      </c>
      <c r="C23" s="197"/>
      <c r="D23" s="226" t="str">
        <f>=IFERROR(ROUND(Kosten_Reserve_EUR,2),0)</f>
      </c>
      <c r="F23" s="233" t="s">
        <v>354</v>
      </c>
      <c r="G23" s="197" t="s">
        <v>355</v>
      </c>
      <c r="H23" s="197"/>
      <c r="I23" s="234" t="str">
        <f>=IFERROR(ROUND(Saldovortrag_EUR,2),0)</f>
      </c>
      <c r="L23" s="143" t="s">
        <v>332</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354</v>
      </c>
      <c r="G24" s="197" t="s">
        <v>356</v>
      </c>
      <c r="H24" s="197"/>
      <c r="I24" s="234" t="str">
        <f>=I88</f>
        <v>0</v>
      </c>
      <c r="L24" s="143" t="s">
        <v>398</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351</v>
      </c>
      <c r="C25" s="197"/>
      <c r="D25" s="226" t="str">
        <f>=IFERROR(ROUND(SUBTOTAL(109,TblKMWMittel[Betrag]),2),0)</f>
      </c>
      <c r="F25" s="233" t="s">
        <v>354</v>
      </c>
      <c r="G25" s="197" t="s">
        <v>357</v>
      </c>
      <c r="H25" s="197"/>
      <c r="I25" s="234" t="str">
        <f>=ROUND(MAX(0,MAX(0,(SUM($G$97:$G$100)-$G$99)+SUMIFS('Daten'!$BH$1:$BH$18,'Daten'!$BB$1:$BB$18,E10,'Daten'!$BD$1:$BD$18,"&lt;="&amp;E11,'Daten'!$BD$1:$BD$18,"&gt;=1")-(SUM($H$97:$H$100)-$H$99))-I88),2)</f>
        <v>0</v>
      </c>
      <c r="L25" s="143" t="s">
        <v>399</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352</v>
      </c>
      <c r="C26" s="228"/>
      <c r="D26" s="229" t="str">
        <f>=ROUND($D$24-$D$25,2)</f>
      </c>
      <c r="F26" s="47"/>
      <c r="G26" s="218" t="s">
        <v>358</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359</v>
      </c>
      <c r="H27" s="228"/>
      <c r="I27" s="229" t="str">
        <f>=ROUND($D$26-$I$26,2)</f>
      </c>
      <c r="L27" s="47"/>
      <c r="N27" s="48"/>
    </row>
    <row r="28">
      <c r="L28" s="322" t="s">
        <v>336</v>
      </c>
      <c r="M28" s="323" t="str">
        <f>=IFERROR(CHOOSE($AD$5,'IV. MA'!$C$25,'IV. MA'!$G$25,'IV. MA'!$K$25,'IV. MA'!$O$25,'IV. MA'!$S$25,'IV. MA'!$W$25,'IV. MA'!$AA$25,'IV. MA'!$AE$25,'IV. MA'!$AI$25,'IV. MA'!$AM$25,'IV. MA'!$AQ$25,'IV. MA'!$AU$25,'IV. MA'!$AY$25,'IV. MA'!$BC$25,'IV. MA'!$BG$25,'IV. MA'!$BK$25,'IV. MA'!$BO$25,'IV. MA'!$BS$25),"")</f>
      </c>
      <c r="N28" s="324" t="str">
        <f>=IFERROR(CHOOSE($AD$5,'IV. MA'!$D$25,'IV. MA'!$H$25,'IV. MA'!$L$25,'IV. MA'!$P$25,'IV. MA'!$T$25,'IV. MA'!$X$25,'IV. MA'!$AB$25,'IV. MA'!$AF$25,'IV. MA'!$AJ$25,'IV. MA'!$AN$25,'IV. MA'!$AR$25,'IV. MA'!$AV$25,'IV. MA'!$AZ$25,'IV. MA'!$BD$25,'IV. MA'!$BH$25,'IV. MA'!$BL$25,'IV. MA'!$BP$25,'IV. MA'!$BT$25),"")</f>
      </c>
    </row>
    <row r="29">
      <c r="B29" s="223" t="s">
        <v>360</v>
      </c>
      <c r="C29" s="224"/>
      <c r="D29" s="225" t="str">
        <f>=IFERROR(ROUND(SUMIFS('Daten'!$BV$1:$BV$198,'Daten'!$BT$1:$BT$198,"KMW-Mittel",'Daten'!$BR$1:$BR$198,E10,'Daten'!$BS$1:$BS$198,E11),2),0)</f>
      </c>
      <c r="F29" s="223" t="s">
        <v>360</v>
      </c>
      <c r="G29" s="224"/>
      <c r="H29" s="224"/>
      <c r="I29" s="225" t="str">
        <f>=IFERROR(ROUND(SUMIFS('Daten'!$BV$1:$BV$198,'Daten'!$BT$1:$BT$198,"KMW-Mittel",'Daten'!$BR$1:$BR$198,E10,'Daten'!$BS$1:$BS$198,E11),2),0)</f>
      </c>
    </row>
    <row r="30">
      <c r="B30" s="227" t="s">
        <v>361</v>
      </c>
      <c r="C30" s="228"/>
      <c r="D30" s="229" t="str">
        <f>=ROUND($D$26-MAX(0,$D$29),2)</f>
      </c>
      <c r="F30" s="227" t="s">
        <v>362</v>
      </c>
      <c r="G30" s="228"/>
      <c r="H30" s="228"/>
      <c r="I30" s="229" t="str">
        <f>=ROUND($I$27-MAX(0,$I$29),2)</f>
      </c>
    </row>
    <row r="32">
      <c r="B32" s="223" t="s">
        <v>363</v>
      </c>
      <c r="C32" s="224"/>
      <c r="D32" s="237"/>
      <c r="F32" s="223" t="s">
        <v>363</v>
      </c>
      <c r="G32" s="224"/>
      <c r="H32" s="224"/>
      <c r="I32" s="237"/>
    </row>
    <row r="33">
      <c r="B33" s="227" t="s">
        <v>361</v>
      </c>
      <c r="C33" s="228"/>
      <c r="D33" s="229" t="str">
        <f>=ROUND($D$26-MAX(0,$D$29)-MAX(0,$D$32),2)</f>
      </c>
      <c r="F33" s="227" t="s">
        <v>362</v>
      </c>
      <c r="G33" s="228"/>
      <c r="H33" s="228"/>
      <c r="I33" s="229" t="str">
        <f>=ROUND($I$27-MAX(0,$I$29)-MAX(0,$I$32),2)</f>
      </c>
    </row>
    <row r="36" ht="22" customHeight="true">
      <c r="B36" s="18" t="s">
        <v>364</v>
      </c>
      <c r="C36" s="18"/>
      <c r="D36" s="18"/>
      <c r="E36" s="18"/>
      <c r="F36" s="18"/>
      <c r="G36" s="18"/>
      <c r="H36" s="18"/>
      <c r="I36" s="18"/>
      <c r="J36" s="18"/>
    </row>
    <row r="38">
      <c r="B38" s="223" t="s">
        <v>158</v>
      </c>
      <c r="C38" s="224"/>
      <c r="D38" s="245" t="s">
        <v>365</v>
      </c>
      <c r="E38" s="246" t="s">
        <v>366</v>
      </c>
    </row>
    <row r="39">
      <c r="B39" s="205" t="s">
        <v>367</v>
      </c>
      <c r="C39" s="197"/>
      <c r="D39" s="239" t="str">
        <f>=E10</f>
      </c>
      <c r="E39" s="247"/>
    </row>
    <row r="40">
      <c r="B40" s="205" t="s">
        <v>368</v>
      </c>
      <c r="C40" s="197"/>
      <c r="D40" s="240" t="str">
        <f>=IFERROR(ROUND(SUMIFS('Daten'!$BF$1:$BF$18,'Daten'!$BB$1:$BB$18,E10,'Daten'!$BD$1:$BD$18,"&lt;="&amp;E11,'Daten'!$BD$1:$BD$18,"&gt;=1"),2),0)</f>
      </c>
      <c r="E40" s="226" t="str">
        <f>=IFERROR(ROUND(SUMIFS('Daten'!$BG$1:$BG$18,'Daten'!$BB$1:$BB$18,E10,'Daten'!$BD$1:$BD$18,"&lt;="&amp;E11,'Daten'!$BD$1:$BD$18,"&gt;=1"),2),0)</f>
      </c>
    </row>
    <row r="41">
      <c r="B41" s="205" t="s">
        <v>369</v>
      </c>
      <c r="C41" s="197"/>
      <c r="D41" s="63" t="s">
        <v>189</v>
      </c>
      <c r="E41" s="206"/>
    </row>
    <row r="42">
      <c r="B42" s="205" t="s">
        <v>370</v>
      </c>
      <c r="C42" s="197"/>
      <c r="D42" s="240" t="str">
        <f>=IFERROR(ROUND(CHOOSE(MATCH($D$41,{"Jahr 1";"Jahr 2";"Jahr 3"},0),SUBTOTAL(109,TblBudgetAusgaben[Jahr 1]),SUBTOTAL(109,TblBudgetAusgaben[Jahr 2]),SUBTOTAL(109,TblBudgetAusgaben[Jahr 3])),2),0)</f>
      </c>
      <c r="E42" s="226" t="str">
        <f>=IFERROR(ROUND($D$42/Budget_Kurs,2),0)</f>
      </c>
    </row>
    <row r="43">
      <c r="B43" s="205" t="s">
        <v>371</v>
      </c>
      <c r="C43" s="197"/>
      <c r="D43" s="241">
        <v>8</v>
      </c>
      <c r="E43" s="248"/>
    </row>
    <row r="44">
      <c r="B44" s="205" t="s">
        <v>372</v>
      </c>
      <c r="C44" s="197"/>
      <c r="D44" s="241">
        <v>12</v>
      </c>
      <c r="E44" s="249"/>
    </row>
    <row r="45">
      <c r="B45" s="205" t="s">
        <v>373</v>
      </c>
      <c r="C45" s="197"/>
      <c r="D45" s="241">
        <v>6</v>
      </c>
      <c r="E45" s="250"/>
    </row>
    <row r="46">
      <c r="B46" s="251" t="s">
        <v>374</v>
      </c>
      <c r="C46" s="218"/>
      <c r="D46" s="242" t="str">
        <f>=IFERROR(ROUND($D$42*$D$43/$D$44,2),0)</f>
      </c>
      <c r="E46" s="235" t="str">
        <f>=IFERROR(ROUND($E$42*$D$43/$D$44,2),0)</f>
      </c>
    </row>
    <row r="47">
      <c r="B47" s="251" t="s">
        <v>375</v>
      </c>
      <c r="C47" s="218"/>
      <c r="D47" s="243" t="str">
        <f>=IF($D$40&lt;=$D$46,"OK","ÜBERSCHRITTEN")</f>
      </c>
      <c r="E47" s="252" t="str">
        <f>=IF($E$40&lt;=$E$46,"OK","ÜBERSCHRITTEN")</f>
      </c>
    </row>
    <row r="48">
      <c r="B48" s="205" t="s">
        <v>376</v>
      </c>
      <c r="C48" s="197"/>
      <c r="D48" s="240" t="str">
        <f>=ROUND(MAX(0,$D$40-$D$46),2)</f>
      </c>
      <c r="E48" s="226" t="str">
        <f>=ROUND(MAX(0,$E$40-$E$46),2)</f>
      </c>
    </row>
    <row r="49">
      <c r="B49" s="253" t="s">
        <v>377</v>
      </c>
      <c r="C49" s="254"/>
      <c r="D49" s="255" t="str">
        <f>=IFERROR($D$40/$D$46,0)</f>
      </c>
      <c r="E49" s="256" t="str">
        <f>=IFERROR($E$40/$E$46,0)</f>
      </c>
    </row>
    <row r="51" ht="22" customHeight="true">
      <c r="B51" s="18" t="s">
        <v>378</v>
      </c>
      <c r="C51" s="18"/>
      <c r="D51" s="18"/>
      <c r="E51" s="18"/>
      <c r="F51" s="18"/>
      <c r="G51" s="18"/>
      <c r="H51" s="18"/>
      <c r="I51" s="18"/>
      <c r="J51" s="18"/>
    </row>
    <row r="53" ht="28" customHeight="true">
      <c r="B53" s="263" t="s">
        <v>379</v>
      </c>
      <c r="C53" s="264" t="s">
        <v>380</v>
      </c>
      <c r="D53" s="264" t="s">
        <v>381</v>
      </c>
      <c r="E53" s="264" t="s">
        <v>382</v>
      </c>
      <c r="F53" s="264" t="s">
        <v>383</v>
      </c>
      <c r="G53" s="264" t="s">
        <v>384</v>
      </c>
      <c r="H53" s="264" t="s">
        <v>385</v>
      </c>
      <c r="I53" s="264" t="s">
        <v>386</v>
      </c>
      <c r="J53" s="265" t="s">
        <v>387</v>
      </c>
    </row>
    <row r="54">
      <c r="B54" s="266" t="s">
        <v>194</v>
      </c>
      <c r="C54" s="240" t="str">
        <f>=IFERROR(ROUND(SUMIFS('Daten'!$BU$1:$BU$198,'Daten'!$BT$1:$BT$198,"Eigenmittel",'Daten'!$BR$1:$BR$198,E10,'Daten'!$BS$1:$BS$198,"&lt;="&amp;E11,'Daten'!$BS$1:$BS$198,"&gt;=1"),2),0)</f>
      </c>
      <c r="D54" s="240" t="str">
        <f>=IFERROR(ROUND(Eigenmittel_LW,2),0)</f>
      </c>
      <c r="E54" s="201" t="str">
        <f>=ROUND(IFERROR($C$54-$D$54,0),2)</f>
      </c>
      <c r="F54" s="258" t="str">
        <f>=ROUND(IFERROR(($C$54/$D$54)-1,0),4)</f>
      </c>
      <c r="G54" s="217" t="str">
        <f>=IFERROR(ROUND(SUMIFS('Daten'!$BV$1:$BV$198,'Daten'!$BT$1:$BT$198,"Eigenmittel",'Daten'!$BR$1:$BR$198,E10,'Daten'!$BS$1:$BS$198,"&lt;="&amp;E11,'Daten'!$BS$1:$BS$198,"&gt;=1"),2),0)</f>
      </c>
      <c r="H54" s="217" t="str">
        <f>=IFERROR(ROUND(Eigenmittel_EUR,2),0)</f>
      </c>
      <c r="I54" s="182" t="str">
        <f>=ROUND(IFERROR($G$54-$H$54,0),2)</f>
      </c>
      <c r="J54" s="267" t="str">
        <f>=ROUND(IFERROR(($G$54/$H$54)-1,0),4)</f>
      </c>
    </row>
    <row r="55">
      <c r="B55" s="266" t="s">
        <v>300</v>
      </c>
      <c r="C55" s="240" t="str">
        <f>=IFERROR(ROUND(SUMIFS('Daten'!$BU$1:$BU$198,'Daten'!$BT$1:$BT$198,"Drittmittel",'Daten'!$BR$1:$BR$198,E10,'Daten'!$BS$1:$BS$198,"&lt;="&amp;E11,'Daten'!$BS$1:$BS$198,"&gt;=1"),2),0)</f>
      </c>
      <c r="D55" s="240" t="str">
        <f>=IFERROR(ROUND(Drittmittel_LW,2),0)</f>
      </c>
      <c r="E55" s="201" t="str">
        <f>=ROUND(IFERROR($C$55-$D$55,0),2)</f>
      </c>
      <c r="F55" s="258" t="str">
        <f>=ROUND(IFERROR(($C$55/$D$55)-1,0),4)</f>
      </c>
      <c r="G55" s="217" t="str">
        <f>=IFERROR(ROUND(SUMIFS('Daten'!$BV$1:$BV$198,'Daten'!$BT$1:$BT$198,"Drittmittel",'Daten'!$BR$1:$BR$198,E10,'Daten'!$BS$1:$BS$198,"&lt;="&amp;E11,'Daten'!$BS$1:$BS$198,"&gt;=1"),2),0)</f>
      </c>
      <c r="H55" s="217" t="str">
        <f>=IFERROR(ROUND(Drittmittel_EUR,2),0)</f>
      </c>
      <c r="I55" s="182" t="str">
        <f>=ROUND(IFERROR($G$55-$H$55,0),2)</f>
      </c>
      <c r="J55" s="268" t="str">
        <f>=ROUND(IFERROR(($G$55/$H$55)-1,0),4)</f>
      </c>
    </row>
    <row r="56">
      <c r="B56" s="266" t="s">
        <v>199</v>
      </c>
      <c r="C56" s="240" t="str">
        <f>=IFERROR(ROUND(SUMIFS('Daten'!$BU$1:$BU$198,'Daten'!$BT$1:$BT$198,"KMW-Mittel",'Daten'!$BR$1:$BR$198,E10,'Daten'!$BS$1:$BS$198,"&lt;="&amp;E11,'Daten'!$BS$1:$BS$198,"&gt;=1"),2),0)</f>
      </c>
      <c r="D56" s="240" t="str">
        <f>=IFERROR(ROUND(KMW_Mittel_LW,2),0)</f>
      </c>
      <c r="E56" s="201" t="str">
        <f>=ROUND(IFERROR($C$56-$D$56,0),2)</f>
      </c>
      <c r="F56" s="258" t="str">
        <f>=ROUND(IFERROR(($C$56/$D$56)-1,0),4)</f>
      </c>
      <c r="G56" s="217" t="str">
        <f>=IFERROR(ROUND(SUMIFS('Daten'!$BV$1:$BV$198,'Daten'!$BT$1:$BT$198,"KMW-Mittel",'Daten'!$BR$1:$BR$198,E10,'Daten'!$BS$1:$BS$198,"&lt;="&amp;E11,'Daten'!$BS$1:$BS$198,"&gt;=1"),2),0)</f>
      </c>
      <c r="H56" s="217" t="str">
        <f>=IFERROR(ROUND(KMW_Mittel_EUR,2),0)</f>
      </c>
      <c r="I56" s="182" t="str">
        <f>=ROUND(IFERROR($G$56-$H$56,0),2)</f>
      </c>
      <c r="J56" s="269" t="str">
        <f>=ROUND(IFERROR(($G$56/$H$56)-1,0),4)</f>
      </c>
    </row>
    <row r="57">
      <c r="B57" s="266" t="s">
        <v>301</v>
      </c>
      <c r="C57" s="240" t="str">
        <f>=IFERROR(ROUND(SUMIFS('Daten'!$BU$1:$BU$198,'Daten'!$BT$1:$BT$198,"Zinsertraege",'Daten'!$BR$1:$BR$198,E10,'Daten'!$BS$1:$BS$198,"&lt;="&amp;E11,'Daten'!$BS$1:$BS$198,"&gt;=1"),2),0)</f>
      </c>
      <c r="D57" s="240" t="str">
        <f>=IFERROR(ROUND(0,2),0)</f>
      </c>
      <c r="E57" s="201" t="str">
        <f>=ROUND(IFERROR($C$57-$D$57,0),2)</f>
      </c>
      <c r="F57" s="258" t="str">
        <f>=ROUND(IFERROR(($C$57/$D$57)-1,0),4)</f>
      </c>
      <c r="G57" s="217" t="str">
        <f>=IFERROR(ROUND(SUMIFS('Daten'!$BV$1:$BV$198,'Daten'!$BT$1:$BT$198,"Zinsertraege",'Daten'!$BR$1:$BR$198,E10,'Daten'!$BS$1:$BS$198,"&lt;="&amp;E11,'Daten'!$BS$1:$BS$198,"&gt;=1"),2),0)</f>
      </c>
      <c r="H57" s="217" t="str">
        <f>=IFERROR(ROUND(0,2),0)</f>
      </c>
      <c r="I57" s="182" t="str">
        <f>=ROUND(IFERROR($G$57-$H$57,0),2)</f>
      </c>
      <c r="J57" s="270" t="str">
        <f>=ROUND(IFERROR(($G$57/$H$57)-1,0),4)</f>
      </c>
    </row>
    <row r="58" ht="20" customHeight="true">
      <c r="B58" s="271" t="s">
        <v>287</v>
      </c>
      <c r="C58" s="272" t="str">
        <f>=ROUND(SUM($C$54:$C$57),2)</f>
      </c>
      <c r="D58" s="272" t="str">
        <f>=ROUND(SUM($D$54:$D$57),2)</f>
      </c>
      <c r="E58" s="272" t="str">
        <f>=ROUND(SUM($E$54:$E$57),2)</f>
      </c>
      <c r="F58" s="273" t="str">
        <f>=ROUND(IFERROR(($C$58/$D$58)-1,0),4)</f>
      </c>
      <c r="G58" s="274" t="str">
        <f>=ROUND(SUM($G$54:$G$57),2)</f>
      </c>
      <c r="H58" s="274" t="str">
        <f>=ROUND(SUM($H$54:$H$57),2)</f>
      </c>
      <c r="I58" s="274" t="str">
        <f>=ROUND(SUM($I$54:$I$57),2)</f>
      </c>
      <c r="J58" s="275" t="str">
        <f>=ROUND(IFERROR(($G$58/$H$58)-1,0),4)</f>
      </c>
    </row>
    <row r="60" ht="22" customHeight="true">
      <c r="B60" s="18" t="s">
        <v>388</v>
      </c>
      <c r="C60" s="18"/>
      <c r="D60" s="18"/>
      <c r="E60" s="18"/>
      <c r="F60" s="18"/>
      <c r="G60" s="18"/>
      <c r="H60" s="18"/>
      <c r="I60" s="18"/>
      <c r="J60" s="18"/>
    </row>
    <row r="62" ht="28" customHeight="true">
      <c r="B62" s="263" t="s">
        <v>379</v>
      </c>
      <c r="C62" s="264" t="s">
        <v>380</v>
      </c>
      <c r="D62" s="264" t="s">
        <v>381</v>
      </c>
      <c r="E62" s="264" t="s">
        <v>382</v>
      </c>
      <c r="F62" s="264" t="s">
        <v>383</v>
      </c>
      <c r="G62" s="264" t="s">
        <v>384</v>
      </c>
      <c r="H62" s="264" t="s">
        <v>385</v>
      </c>
      <c r="I62" s="264" t="s">
        <v>386</v>
      </c>
      <c r="J62" s="265" t="s">
        <v>387</v>
      </c>
    </row>
    <row r="63">
      <c r="B63" s="266" t="s">
        <v>205</v>
      </c>
      <c r="C63" s="240" t="str">
        <f>=IFERROR(ROUND(SUMIFS('Daten'!$BU$1:$BU$198,'Daten'!$BT$1:$BT$198,"Bauausgaben",'Daten'!$BR$1:$BR$198,E10,'Daten'!$BS$1:$BS$198,"&lt;="&amp;E11,'Daten'!$BS$1:$BS$198,"&gt;=1"),2),0)</f>
      </c>
      <c r="D63" s="240" t="str">
        <f>=IFERROR(ROUND(Kosten_Bauausgaben_LW,2),0)</f>
      </c>
      <c r="E63" s="201" t="str">
        <f>=ROUND(IFERROR($C$63-$D$63,0),2)</f>
      </c>
      <c r="F63" s="258" t="str">
        <f>=ROUND(IFERROR(($C$63/$D$63)-1,0),4)</f>
      </c>
      <c r="G63" s="217" t="str">
        <f>=IFERROR(ROUND(SUMIFS('Daten'!$BV$1:$BV$198,'Daten'!$BT$1:$BT$198,"Bauausgaben",'Daten'!$BR$1:$BR$198,E10,'Daten'!$BS$1:$BS$198,"&lt;="&amp;E11,'Daten'!$BS$1:$BS$198,"&gt;=1"),2),0)</f>
      </c>
      <c r="H63" s="217" t="str">
        <f>=IFERROR(ROUND(Kosten_Bauausgaben_EUR,2),0)</f>
      </c>
      <c r="I63" s="182" t="str">
        <f>=ROUND(IFERROR($G$63-$H$63,0),2)</f>
      </c>
      <c r="J63" s="276" t="str">
        <f>=ROUND(IFERROR(($G$63/$H$63)-1,0),4)</f>
      </c>
    </row>
    <row r="64">
      <c r="B64" s="266" t="s">
        <v>210</v>
      </c>
      <c r="C64" s="240" t="str">
        <f>=IFERROR(ROUND(SUMIFS('Daten'!$BU$1:$BU$198,'Daten'!$BT$1:$BT$198,"Investitionen",'Daten'!$BR$1:$BR$198,E10,'Daten'!$BS$1:$BS$198,"&lt;="&amp;E11,'Daten'!$BS$1:$BS$198,"&gt;=1"),2),0)</f>
      </c>
      <c r="D64" s="240" t="str">
        <f>=IFERROR(ROUND(Kosten_Investitionen_LW,2),0)</f>
      </c>
      <c r="E64" s="201" t="str">
        <f>=ROUND(IFERROR($C$64-$D$64,0),2)</f>
      </c>
      <c r="F64" s="258" t="str">
        <f>=ROUND(IFERROR(($C$64/$D$64)-1,0),4)</f>
      </c>
      <c r="G64" s="217" t="str">
        <f>=IFERROR(ROUND(SUMIFS('Daten'!$BV$1:$BV$198,'Daten'!$BT$1:$BT$198,"Investitionen",'Daten'!$BR$1:$BR$198,E10,'Daten'!$BS$1:$BS$198,"&lt;="&amp;E11,'Daten'!$BS$1:$BS$198,"&gt;=1"),2),0)</f>
      </c>
      <c r="H64" s="217" t="str">
        <f>=IFERROR(ROUND(Kosten_Investitionen_EUR,2),0)</f>
      </c>
      <c r="I64" s="182" t="str">
        <f>=ROUND(IFERROR($G$64-$H$64,0),2)</f>
      </c>
      <c r="J64" s="277" t="str">
        <f>=ROUND(IFERROR(($G$64/$H$64)-1,0),4)</f>
      </c>
    </row>
    <row r="65">
      <c r="B65" s="266" t="s">
        <v>213</v>
      </c>
      <c r="C65" s="240" t="str">
        <f>=IFERROR(ROUND(SUMIFS('Daten'!$BU$1:$BU$198,'Daten'!$BT$1:$BT$198,"Personalkosten",'Daten'!$BR$1:$BR$198,E10,'Daten'!$BS$1:$BS$198,"&lt;="&amp;E11,'Daten'!$BS$1:$BS$198,"&gt;=1"),2),0)</f>
      </c>
      <c r="D65" s="240" t="str">
        <f>=IFERROR(ROUND(Kosten_Personalkosten_LW,2),0)</f>
      </c>
      <c r="E65" s="201" t="str">
        <f>=ROUND(IFERROR($C$65-$D$65,0),2)</f>
      </c>
      <c r="F65" s="258" t="str">
        <f>=ROUND(IFERROR(($C$65/$D$65)-1,0),4)</f>
      </c>
      <c r="G65" s="217" t="str">
        <f>=IFERROR(ROUND(SUMIFS('Daten'!$BV$1:$BV$198,'Daten'!$BT$1:$BT$198,"Personalkosten",'Daten'!$BR$1:$BR$198,E10,'Daten'!$BS$1:$BS$198,"&lt;="&amp;E11,'Daten'!$BS$1:$BS$198,"&gt;=1"),2),0)</f>
      </c>
      <c r="H65" s="217" t="str">
        <f>=IFERROR(ROUND(Kosten_Personalkosten_EUR,2),0)</f>
      </c>
      <c r="I65" s="182" t="str">
        <f>=ROUND(IFERROR($G$65-$H$65,0),2)</f>
      </c>
      <c r="J65" s="278" t="str">
        <f>=ROUND(IFERROR(($G$65/$H$65)-1,0),4)</f>
      </c>
    </row>
    <row r="66">
      <c r="B66" s="266" t="s">
        <v>218</v>
      </c>
      <c r="C66" s="240" t="str">
        <f>=IFERROR(ROUND(SUMIFS('Daten'!$BU$1:$BU$198,'Daten'!$BT$1:$BT$198,"Projektaktivitaeten",'Daten'!$BR$1:$BR$198,E10,'Daten'!$BS$1:$BS$198,"&lt;="&amp;E11,'Daten'!$BS$1:$BS$198,"&gt;=1"),2),0)</f>
      </c>
      <c r="D66" s="240" t="str">
        <f>=IFERROR(ROUND(Kosten_Projektaktivitaeten_LW,2),0)</f>
      </c>
      <c r="E66" s="201" t="str">
        <f>=ROUND(IFERROR($C$66-$D$66,0),2)</f>
      </c>
      <c r="F66" s="258" t="str">
        <f>=ROUND(IFERROR(($C$66/$D$66)-1,0),4)</f>
      </c>
      <c r="G66" s="217" t="str">
        <f>=IFERROR(ROUND(SUMIFS('Daten'!$BV$1:$BV$198,'Daten'!$BT$1:$BT$198,"Projektaktivitaeten",'Daten'!$BR$1:$BR$198,E10,'Daten'!$BS$1:$BS$198,"&lt;="&amp;E11,'Daten'!$BS$1:$BS$198,"&gt;=1"),2),0)</f>
      </c>
      <c r="H66" s="217" t="str">
        <f>=IFERROR(ROUND(Kosten_Projektaktivitaeten_EUR,2),0)</f>
      </c>
      <c r="I66" s="182" t="str">
        <f>=ROUND(IFERROR($G$66-$H$66,0),2)</f>
      </c>
      <c r="J66" s="279" t="str">
        <f>=ROUND(IFERROR(($G$66/$H$66)-1,0),4)</f>
      </c>
    </row>
    <row r="67">
      <c r="B67" s="266" t="s">
        <v>221</v>
      </c>
      <c r="C67" s="240" t="str">
        <f>=IFERROR(ROUND(SUMIFS('Daten'!$BU$1:$BU$198,'Daten'!$BT$1:$BT$198,"Projektverwaltung",'Daten'!$BR$1:$BR$198,E10,'Daten'!$BS$1:$BS$198,"&lt;="&amp;E11,'Daten'!$BS$1:$BS$198,"&gt;=1"),2),0)</f>
      </c>
      <c r="D67" s="240" t="str">
        <f>=IFERROR(ROUND(Kosten_Projektverwaltung_LW,2),0)</f>
      </c>
      <c r="E67" s="201" t="str">
        <f>=ROUND(IFERROR($C$67-$D$67,0),2)</f>
      </c>
      <c r="F67" s="258" t="str">
        <f>=ROUND(IFERROR(($C$67/$D$67)-1,0),4)</f>
      </c>
      <c r="G67" s="217" t="str">
        <f>=IFERROR(ROUND(SUMIFS('Daten'!$BV$1:$BV$198,'Daten'!$BT$1:$BT$198,"Projektverwaltung",'Daten'!$BR$1:$BR$198,E10,'Daten'!$BS$1:$BS$198,"&lt;="&amp;E11,'Daten'!$BS$1:$BS$198,"&gt;=1"),2),0)</f>
      </c>
      <c r="H67" s="217" t="str">
        <f>=IFERROR(ROUND(Kosten_Projektverwaltung_EUR,2),0)</f>
      </c>
      <c r="I67" s="182" t="str">
        <f>=ROUND(IFERROR($G$67-$H$67,0),2)</f>
      </c>
      <c r="J67" s="280" t="str">
        <f>=ROUND(IFERROR(($G$67/$H$67)-1,0),4)</f>
      </c>
    </row>
    <row r="68">
      <c r="B68" s="266" t="s">
        <v>224</v>
      </c>
      <c r="C68" s="240" t="str">
        <f>=IFERROR(ROUND(SUMIFS('Daten'!$BU$1:$BU$198,'Daten'!$BT$1:$BT$198,"Evaluierung",'Daten'!$BR$1:$BR$198,E10,'Daten'!$BS$1:$BS$198,"&lt;="&amp;E11,'Daten'!$BS$1:$BS$198,"&gt;=1"),2),0)</f>
      </c>
      <c r="D68" s="240" t="str">
        <f>=IFERROR(ROUND(Kosten_Evaluierung_LW,2),0)</f>
      </c>
      <c r="E68" s="201" t="str">
        <f>=ROUND(IFERROR($C$68-$D$68,0),2)</f>
      </c>
      <c r="F68" s="258" t="str">
        <f>=ROUND(IFERROR(($C$68/$D$68)-1,0),4)</f>
      </c>
      <c r="G68" s="217" t="str">
        <f>=IFERROR(ROUND(SUMIFS('Daten'!$BV$1:$BV$198,'Daten'!$BT$1:$BT$198,"Evaluierung",'Daten'!$BR$1:$BR$198,E10,'Daten'!$BS$1:$BS$198,"&lt;="&amp;E11,'Daten'!$BS$1:$BS$198,"&gt;=1"),2),0)</f>
      </c>
      <c r="H68" s="217" t="str">
        <f>=IFERROR(ROUND(Kosten_Evaluierung_EUR,2),0)</f>
      </c>
      <c r="I68" s="182" t="str">
        <f>=ROUND(IFERROR($G$68-$H$68,0),2)</f>
      </c>
      <c r="J68" s="281" t="str">
        <f>=ROUND(IFERROR(($G$68/$H$68)-1,0),4)</f>
      </c>
    </row>
    <row r="69">
      <c r="B69" s="266" t="s">
        <v>227</v>
      </c>
      <c r="C69" s="240" t="str">
        <f>=IFERROR(ROUND(SUMIFS('Daten'!$BU$1:$BU$198,'Daten'!$BT$1:$BT$198,"Audit",'Daten'!$BR$1:$BR$198,E10,'Daten'!$BS$1:$BS$198,"&lt;="&amp;E11,'Daten'!$BS$1:$BS$198,"&gt;=1"),2),0)</f>
      </c>
      <c r="D69" s="240" t="str">
        <f>=IFERROR(ROUND(Kosten_Audit_LW,2),0)</f>
      </c>
      <c r="E69" s="201" t="str">
        <f>=ROUND(IFERROR($C$69-$D$69,0),2)</f>
      </c>
      <c r="F69" s="258" t="str">
        <f>=ROUND(IFERROR(($C$69/$D$69)-1,0),4)</f>
      </c>
      <c r="G69" s="217" t="str">
        <f>=IFERROR(ROUND(SUMIFS('Daten'!$BV$1:$BV$198,'Daten'!$BT$1:$BT$198,"Audit",'Daten'!$BR$1:$BR$198,E10,'Daten'!$BS$1:$BS$198,"&lt;="&amp;E11,'Daten'!$BS$1:$BS$198,"&gt;=1"),2),0)</f>
      </c>
      <c r="H69" s="217" t="str">
        <f>=IFERROR(ROUND(Kosten_Audit_EUR,2),0)</f>
      </c>
      <c r="I69" s="182" t="str">
        <f>=ROUND(IFERROR($G$69-$H$69,0),2)</f>
      </c>
      <c r="J69" s="282" t="str">
        <f>=ROUND(IFERROR(($G$69/$H$69)-1,0),4)</f>
      </c>
    </row>
    <row r="70">
      <c r="B70" s="266" t="s">
        <v>230</v>
      </c>
      <c r="C70" s="240" t="str">
        <f>=IFERROR(ROUND(SUMIFS('Daten'!$BU$1:$BU$198,'Daten'!$BT$1:$BT$198,"Reserve",'Daten'!$BR$1:$BR$198,E10,'Daten'!$BS$1:$BS$198,"&lt;="&amp;E11,'Daten'!$BS$1:$BS$198,"&gt;=1"),2),0)</f>
      </c>
      <c r="D70" s="240" t="str">
        <f>=IFERROR(ROUND(Kosten_Reserve_LW,2),0)</f>
      </c>
      <c r="E70" s="201" t="str">
        <f>=ROUND(IFERROR($C$70-$D$70,0),2)</f>
      </c>
      <c r="F70" s="258" t="str">
        <f>=ROUND(IFERROR(($C$70/$D$70)-1,0),4)</f>
      </c>
      <c r="G70" s="217" t="str">
        <f>=IFERROR(ROUND(SUMIFS('Daten'!$BV$1:$BV$198,'Daten'!$BT$1:$BT$198,"Reserve",'Daten'!$BR$1:$BR$198,E10,'Daten'!$BS$1:$BS$198,"&lt;="&amp;E11,'Daten'!$BS$1:$BS$198,"&gt;=1"),2),0)</f>
      </c>
      <c r="H70" s="217" t="str">
        <f>=IFERROR(ROUND(Kosten_Reserve_EUR,2),0)</f>
      </c>
      <c r="I70" s="182" t="str">
        <f>=ROUND(IFERROR($G$70-$H$70,0),2)</f>
      </c>
      <c r="J70" s="283" t="str">
        <f>=ROUND(IFERROR(($G$70/$H$70)-1,0),4)</f>
      </c>
    </row>
    <row r="71" ht="20" customHeight="true">
      <c r="B71" s="271" t="s">
        <v>287</v>
      </c>
      <c r="C71" s="272" t="str">
        <f>=ROUND(SUM($C$63:$C$70),2)</f>
      </c>
      <c r="D71" s="272" t="str">
        <f>=ROUND(SUM($D$63:$D$70),2)</f>
      </c>
      <c r="E71" s="272" t="str">
        <f>=ROUND(SUM($E$63:$E$70),2)</f>
      </c>
      <c r="F71" s="284" t="str">
        <f>=ROUND(IFERROR(($C$71/$D$71)-1,0),4)</f>
      </c>
      <c r="G71" s="274" t="str">
        <f>=ROUND(SUM($G$63:$G$70),2)</f>
      </c>
      <c r="H71" s="274" t="str">
        <f>=ROUND(SUM($H$63:$H$70),2)</f>
      </c>
      <c r="I71" s="274" t="str">
        <f>=ROUND(SUM($I$63:$I$70),2)</f>
      </c>
      <c r="J71" s="285" t="str">
        <f>=ROUND(IFERROR(($G$71/$H$71)-1,0),4)</f>
      </c>
    </row>
    <row r="77" ht="22" customHeight="true">
      <c r="B77" s="194" t="s">
        <v>389</v>
      </c>
      <c r="C77" s="194"/>
      <c r="D77" s="194"/>
      <c r="E77" s="194"/>
      <c r="F77" s="194"/>
      <c r="G77" s="194"/>
      <c r="H77" s="194"/>
      <c r="I77" s="194"/>
      <c r="J77" s="194"/>
      <c r="L77" s="202" t="str">
        <f>=IF(E82=0,"Aktueller Finanzbericht (keiner gewählt)","Aktueller Finanzbericht – Periode "&amp;E82)</f>
      </c>
      <c r="M77" s="203"/>
      <c r="N77" s="203"/>
      <c r="O77" s="203"/>
      <c r="P77" s="204"/>
    </row>
    <row r="78">
      <c r="B78" s="195" t="s">
        <v>390</v>
      </c>
      <c r="C78" s="195"/>
      <c r="D78" s="195"/>
      <c r="E78" s="195"/>
      <c r="F78" s="195"/>
      <c r="G78" s="195"/>
      <c r="H78" s="195"/>
      <c r="I78" s="195"/>
      <c r="J78" s="195"/>
      <c r="L78" s="314" t="s">
        <v>288</v>
      </c>
      <c r="M78" s="325" t="str">
        <f>=IFERROR(CHOOSE(E82,'III.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8" s="325"/>
      <c r="O78" s="325"/>
      <c r="P78" s="336"/>
    </row>
    <row r="79">
      <c r="L79" s="314" t="s">
        <v>289</v>
      </c>
      <c r="M79" s="326" t="str">
        <f>=IFERROR(CHOOSE(E82,'III.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9" s="326"/>
      <c r="O79" s="326"/>
      <c r="P79" s="337"/>
    </row>
    <row r="80" ht="22" customHeight="true">
      <c r="C80" s="202" t="s">
        <v>391</v>
      </c>
      <c r="D80" s="203"/>
      <c r="E80" s="203"/>
      <c r="F80" s="203"/>
      <c r="G80" s="204"/>
      <c r="L80" s="314" t="s">
        <v>290</v>
      </c>
      <c r="M80" s="326" t="str">
        <f>=IFERROR(CHOOSE(E82,'III.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80" s="326"/>
      <c r="O80" s="326"/>
      <c r="P80" s="337"/>
    </row>
    <row r="81">
      <c r="C81" s="205" t="s">
        <v>343</v>
      </c>
      <c r="D81" s="197"/>
      <c r="E81" s="63" t="s">
        <v>392</v>
      </c>
      <c r="F81" s="63"/>
      <c r="G81" s="206"/>
      <c r="L81" s="314" t="s">
        <v>291</v>
      </c>
      <c r="M81" s="327" t="str">
        <f>=IFERROR(CHOOSE(E82,'III.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1" s="327"/>
      <c r="O81" s="327"/>
      <c r="P81" s="338"/>
    </row>
    <row r="82">
      <c r="C82" s="253" t="s">
        <v>345</v>
      </c>
      <c r="D82" s="254"/>
      <c r="E82" s="286" t="str">
        <f>=IF(E81="Neuester FB",IFERROR(SUMPRODUCT(MAX(('Daten'!$BK$1:$BK$18=1)*'Daten'!$BJ$1:$BJ$18)),0),IF(LEFT(E81,8)="Periode ",IFERROR(VALUE(TRIM(MID(E81,9,5))),0),0))</f>
      </c>
      <c r="F82" s="287"/>
      <c r="G82" s="288"/>
      <c r="L82" s="314" t="s">
        <v>292</v>
      </c>
      <c r="M82" s="328" t="str">
        <f>=IFERROR(CHOOSE(E82,'III.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2" s="328"/>
      <c r="O82" s="328"/>
      <c r="P82" s="339"/>
    </row>
    <row r="83">
      <c r="L83" s="47"/>
      <c r="P83" s="48"/>
    </row>
    <row r="84" ht="22" customHeight="true">
      <c r="B84" s="18" t="s">
        <v>393</v>
      </c>
      <c r="C84" s="18"/>
      <c r="D84" s="18"/>
      <c r="E84" s="18"/>
      <c r="F84" s="18"/>
      <c r="G84" s="18"/>
      <c r="H84" s="18"/>
      <c r="I84" s="18"/>
      <c r="J84" s="18"/>
      <c r="L84" s="340" t="s">
        <v>293</v>
      </c>
      <c r="M84" s="329"/>
      <c r="N84" s="329"/>
      <c r="O84" s="329"/>
      <c r="P84" s="341"/>
    </row>
    <row r="85" ht="26" customHeight="true">
      <c r="L85" s="342" t="s">
        <v>294</v>
      </c>
      <c r="M85" s="330" t="s">
        <v>295</v>
      </c>
      <c r="N85" s="330" t="s">
        <v>296</v>
      </c>
      <c r="O85" s="330" t="s">
        <v>297</v>
      </c>
      <c r="P85" s="343" t="s">
        <v>298</v>
      </c>
    </row>
    <row r="86">
      <c r="B86" s="223" t="s">
        <v>349</v>
      </c>
      <c r="C86" s="224"/>
      <c r="D86" s="225" t="str">
        <f>=IFERROR(ROUND(KMW_Mittel_EUR,2),0)</f>
      </c>
      <c r="F86" s="230" t="s">
        <v>353</v>
      </c>
      <c r="G86" s="231"/>
      <c r="H86" s="231"/>
      <c r="I86" s="232"/>
      <c r="L86" s="143" t="str">
        <f>=IFERROR(CHOOSE(E82,'III.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6" s="116" t="str">
        <f>=IFERROR(CHOOSE(E82,'III.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6" s="117" t="str">
        <f>=IFERROR(CHOOSE(E82,'III.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6" s="116" t="str">
        <f>=IFERROR(CHOOSE(E82,'III.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6" s="144" t="str">
        <f>=IFERROR(CHOOSE(E82,'III.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7">
      <c r="B87" s="205" t="s">
        <v>350</v>
      </c>
      <c r="C87" s="197"/>
      <c r="D87" s="226" t="str">
        <f>=IFERROR(ROUND(Kosten_Reserve_EUR,2),0)</f>
      </c>
      <c r="F87" s="233" t="s">
        <v>354</v>
      </c>
      <c r="G87" s="197" t="s">
        <v>355</v>
      </c>
      <c r="H87" s="197"/>
      <c r="I87" s="234" t="str">
        <f>=IFERROR(ROUND(Saldovortrag_EUR,2),0)</f>
      </c>
      <c r="L87" s="143" t="s">
        <v>194</v>
      </c>
      <c r="M87" s="116" t="str">
        <f>=IFERROR(CHOOSE(E82,'III.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7" s="117" t="str">
        <f>=IFERROR(CHOOSE(E82,'III.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7" s="116" t="str">
        <f>=IFERROR(CHOOSE(E82,'III.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7" s="144" t="str">
        <f>=IFERROR(CHOOSE(E82,'III.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8">
      <c r="B88" s="205" t="str">
        <f>=IF(Reserve_Freigabe="Ja","Operatives Budget (Reserve freigegeben)","Operatives Budget (abzgl. Reserve)")</f>
      </c>
      <c r="C88" s="197"/>
      <c r="D88" s="226" t="str">
        <f>=IF(Reserve_Freigabe="Ja",ROUND($D$86,2),ROUND($D$86-$D$87,2))</f>
      </c>
      <c r="F88" s="233" t="s">
        <v>354</v>
      </c>
      <c r="G88" s="197" t="s">
        <v>356</v>
      </c>
      <c r="H88" s="197"/>
      <c r="I88" s="234" t="str">
        <f>=IFERROR(ROUND(MAX(0,(SUM($G$97:$G$100)-$G$99)-(SUM($H$97:$H$100)-$H$99)),2),0)</f>
        <v>0</v>
      </c>
      <c r="L88" s="143" t="s">
        <v>300</v>
      </c>
      <c r="M88" s="116" t="str">
        <f>=IFERROR(CHOOSE(E82,'III.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8" s="117" t="str">
        <f>=IFERROR(CHOOSE(E82,'III.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8" s="116" t="str">
        <f>=IFERROR(CHOOSE(E82,'III.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8" s="144" t="str">
        <f>=IFERROR(CHOOSE(E82,'III.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9">
      <c r="B89" s="205" t="s">
        <v>351</v>
      </c>
      <c r="C89" s="197"/>
      <c r="D89" s="226" t="str">
        <f>=IFERROR(ROUND(SUBTOTAL(109,TblKMWMittel[Betrag]),2),0)</f>
      </c>
      <c r="F89" s="47"/>
      <c r="G89" s="218" t="s">
        <v>358</v>
      </c>
      <c r="H89" s="218"/>
      <c r="I89" s="235" t="str">
        <f>=ROUND(IF($F$87="Abzug",MAX(0,$I$87),0)+IF($F$88="Abzug",MAX(0,$I$88),0),2)</f>
      </c>
      <c r="L89" s="143" t="s">
        <v>199</v>
      </c>
      <c r="M89" s="116" t="str">
        <f>=IFERROR(CHOOSE(E82,'III.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9" s="117" t="str">
        <f>=IFERROR(CHOOSE(E82,'III.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9" s="116" t="str">
        <f>=IFERROR(CHOOSE(E82,'III.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9" s="144" t="str">
        <f>=IFERROR(CHOOSE(E82,'III.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90">
      <c r="B90" s="227" t="s">
        <v>352</v>
      </c>
      <c r="C90" s="228"/>
      <c r="D90" s="229" t="str">
        <f>=ROUND($D$88-$D$89,2)</f>
      </c>
      <c r="F90" s="236"/>
      <c r="G90" s="228" t="s">
        <v>359</v>
      </c>
      <c r="H90" s="228"/>
      <c r="I90" s="229" t="str">
        <f>=ROUND($D$90-$I$89,2)</f>
      </c>
      <c r="L90" s="143" t="s">
        <v>301</v>
      </c>
      <c r="M90" s="116" t="str">
        <f>=IFERROR(CHOOSE(E82,'III.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90" s="117" t="str">
        <f>=IFERROR(CHOOSE(E82,'III.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90" s="116" t="str">
        <f>=IFERROR(CHOOSE(E82,'III.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90" s="144" t="str">
        <f>=IFERROR(CHOOSE(E82,'III.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1">
      <c r="L91" s="344" t="s">
        <v>302</v>
      </c>
      <c r="M91" s="332" t="str">
        <f>=IFERROR(CHOOSE(E82,'III.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1" s="333" t="str">
        <f>=IFERROR(CHOOSE(E82,'III.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1" s="332" t="str">
        <f>=IFERROR(CHOOSE(E82,'III.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1" s="345" t="str">
        <f>=IFERROR(CHOOSE(E82,'III.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2">
      <c r="L92" s="340" t="s">
        <v>303</v>
      </c>
      <c r="M92" s="329"/>
      <c r="N92" s="329"/>
      <c r="O92" s="329"/>
      <c r="P92" s="341"/>
    </row>
    <row r="93" ht="26" customHeight="true">
      <c r="L93" s="342" t="s">
        <v>203</v>
      </c>
      <c r="M93" s="330" t="s">
        <v>304</v>
      </c>
      <c r="N93" s="330" t="s">
        <v>305</v>
      </c>
      <c r="O93" s="330" t="s">
        <v>306</v>
      </c>
      <c r="P93" s="343" t="s">
        <v>307</v>
      </c>
    </row>
    <row r="94" ht="22" customHeight="true">
      <c r="B94" s="18" t="s">
        <v>394</v>
      </c>
      <c r="C94" s="18"/>
      <c r="D94" s="18"/>
      <c r="E94" s="18"/>
      <c r="F94" s="18"/>
      <c r="G94" s="18"/>
      <c r="H94" s="18"/>
      <c r="I94" s="18"/>
      <c r="J94" s="18"/>
      <c r="L94" s="143" t="str">
        <f>=IFERROR(CHOOSE(E82,'III.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4" s="116" t="str">
        <f>=IFERROR(CHOOSE(E82,'III.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4" s="117" t="str">
        <f>=IFERROR(CHOOSE(E82,'III.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4" s="116" t="str">
        <f>=IFERROR(CHOOSE(E82,'III.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4" s="144" t="str">
        <f>=IFERROR(CHOOSE(E82,'III.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5">
      <c r="L95" s="143" t="str">
        <f>=IFERROR(CHOOSE(E82,'III.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5" s="116" t="str">
        <f>=IFERROR(CHOOSE(E82,'III.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5" s="117" t="str">
        <f>=IFERROR(CHOOSE(E82,'III.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5" s="116" t="str">
        <f>=IFERROR(CHOOSE(E82,'III.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5" s="144" t="str">
        <f>=IFERROR(CHOOSE(E82,'III.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6" ht="28" customHeight="true">
      <c r="B96" s="263" t="s">
        <v>379</v>
      </c>
      <c r="C96" s="264" t="s">
        <v>395</v>
      </c>
      <c r="D96" s="264" t="s">
        <v>381</v>
      </c>
      <c r="E96" s="264" t="s">
        <v>382</v>
      </c>
      <c r="F96" s="264" t="s">
        <v>383</v>
      </c>
      <c r="G96" s="264" t="s">
        <v>396</v>
      </c>
      <c r="H96" s="264" t="s">
        <v>385</v>
      </c>
      <c r="I96" s="264" t="s">
        <v>386</v>
      </c>
      <c r="J96" s="265" t="s">
        <v>387</v>
      </c>
      <c r="L96" s="143" t="str">
        <f>=IFERROR(CHOOSE(E82,'III.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6" s="116" t="str">
        <f>=IFERROR(CHOOSE(E82,'III.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6" s="117" t="str">
        <f>=IFERROR(CHOOSE(E82,'III.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6" s="116" t="str">
        <f>=IFERROR(CHOOSE(E82,'III.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6" s="144" t="str">
        <f>=IFERROR(CHOOSE(E82,'III.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7">
      <c r="B97" s="266" t="s">
        <v>194</v>
      </c>
      <c r="C97" s="240" t="str">
        <f>=IFERROR(ROUND(CHOOSE(E82,'III.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7" s="240" t="str">
        <f>=IFERROR(ROUND(Eigenmittel_LW,2),0)</f>
      </c>
      <c r="E97" s="201" t="str">
        <f>=ROUND(IFERROR($C$97-$D$97,0),2)</f>
      </c>
      <c r="F97" s="258" t="str">
        <f>=ROUND(IFERROR(($C$97/$D$97)-1,0),4)</f>
      </c>
      <c r="G97" s="217" t="str">
        <f>=IFERROR(ROUND(CHOOSE(E82,'III.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7" s="217" t="str">
        <f>=IFERROR(ROUND(Eigenmittel_EUR,2),0)</f>
      </c>
      <c r="I97" s="182" t="str">
        <f>=ROUND(IFERROR($G$97-$H$97,0),2)</f>
      </c>
      <c r="J97" s="289" t="str">
        <f>=ROUND(IFERROR(($G$97/$H$97)-1,0),4)</f>
      </c>
      <c r="L97" s="143" t="str">
        <f>=IFERROR(CHOOSE(E82,'III.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7" s="116" t="str">
        <f>=IFERROR(CHOOSE(E82,'III.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7" s="117" t="str">
        <f>=IFERROR(CHOOSE(E82,'III.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7" s="116" t="str">
        <f>=IFERROR(CHOOSE(E82,'III.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7" s="144" t="str">
        <f>=IFERROR(CHOOSE(E82,'III.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8">
      <c r="B98" s="266" t="s">
        <v>300</v>
      </c>
      <c r="C98" s="240" t="str">
        <f>=IFERROR(ROUND(CHOOSE(E82,'III.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8" s="240" t="str">
        <f>=IFERROR(ROUND(Drittmittel_LW,2),0)</f>
      </c>
      <c r="E98" s="201" t="str">
        <f>=ROUND(IFERROR($C$98-$D$98,0),2)</f>
      </c>
      <c r="F98" s="258" t="str">
        <f>=ROUND(IFERROR(($C$98/$D$98)-1,0),4)</f>
      </c>
      <c r="G98" s="217" t="str">
        <f>=IFERROR(ROUND(CHOOSE(E82,'III.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8" s="217" t="str">
        <f>=IFERROR(ROUND(Drittmittel_EUR,2),0)</f>
      </c>
      <c r="I98" s="182" t="str">
        <f>=ROUND(IFERROR($G$98-$H$98,0),2)</f>
      </c>
      <c r="J98" s="290" t="str">
        <f>=ROUND(IFERROR(($G$98/$H$98)-1,0),4)</f>
      </c>
      <c r="L98" s="143" t="str">
        <f>=IFERROR(CHOOSE(E82,'III.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8" s="116" t="str">
        <f>=IFERROR(CHOOSE(E82,'III.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8" s="117" t="str">
        <f>=IFERROR(CHOOSE(E82,'III.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8" s="116" t="str">
        <f>=IFERROR(CHOOSE(E82,'III.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8" s="144" t="str">
        <f>=IFERROR(CHOOSE(E82,'III.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9">
      <c r="B99" s="266" t="s">
        <v>199</v>
      </c>
      <c r="C99" s="240" t="str">
        <f>=IFERROR(ROUND(CHOOSE(E82,'III.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9" s="240" t="str">
        <f>=IFERROR(ROUND(KMW_Mittel_LW,2),0)</f>
      </c>
      <c r="E99" s="201" t="str">
        <f>=ROUND(IFERROR($C$99-$D$99,0),2)</f>
      </c>
      <c r="F99" s="258" t="str">
        <f>=ROUND(IFERROR(($C$99/$D$99)-1,0),4)</f>
      </c>
      <c r="G99" s="217" t="str">
        <f>=IFERROR(ROUND(CHOOSE(E82,'III.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9" s="217" t="str">
        <f>=IFERROR(ROUND(KMW_Mittel_EUR,2),0)</f>
      </c>
      <c r="I99" s="182" t="str">
        <f>=ROUND(IFERROR($G$99-$H$99,0),2)</f>
      </c>
      <c r="J99" s="291" t="str">
        <f>=ROUND(IFERROR(($G$99/$H$99)-1,0),4)</f>
      </c>
      <c r="L99" s="143" t="str">
        <f>=IFERROR(CHOOSE(E82,'III.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9" s="116" t="str">
        <f>=IFERROR(CHOOSE(E82,'III.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9" s="117" t="str">
        <f>=IFERROR(CHOOSE(E82,'III.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9" s="116" t="str">
        <f>=IFERROR(CHOOSE(E82,'III.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9" s="144" t="str">
        <f>=IFERROR(CHOOSE(E82,'III.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100">
      <c r="B100" s="266" t="s">
        <v>301</v>
      </c>
      <c r="C100" s="240" t="str">
        <f>=IFERROR(ROUND(CHOOSE(E82,'III.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100" s="240" t="str">
        <f>=IFERROR(ROUND(0,2),0)</f>
      </c>
      <c r="E100" s="201" t="str">
        <f>=ROUND(IFERROR($C$100-$D$100,0),2)</f>
      </c>
      <c r="F100" s="258" t="str">
        <f>=ROUND(IFERROR(($C$100/$D$100)-1,0),4)</f>
      </c>
      <c r="G100" s="217" t="str">
        <f>=IFERROR(ROUND(CHOOSE(E82,'III.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100" s="217" t="str">
        <f>=IFERROR(ROUND(0,2),0)</f>
      </c>
      <c r="I100" s="182" t="str">
        <f>=ROUND(IFERROR($G$100-$H$100,0),2)</f>
      </c>
      <c r="J100" s="292" t="str">
        <f>=ROUND(IFERROR(($G$100/$H$100)-1,0),4)</f>
      </c>
      <c r="L100" s="143" t="str">
        <f>=IFERROR(CHOOSE(E82,'III.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100" s="116" t="str">
        <f>=IFERROR(CHOOSE(E82,'III.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100" s="117" t="str">
        <f>=IFERROR(CHOOSE(E82,'III.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100" s="116" t="str">
        <f>=IFERROR(CHOOSE(E82,'III.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100" s="144" t="str">
        <f>=IFERROR(CHOOSE(E82,'III.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1" ht="20" customHeight="true">
      <c r="B101" s="271" t="s">
        <v>287</v>
      </c>
      <c r="C101" s="272" t="str">
        <f>=ROUND(SUM($C$97:$C$100),2)</f>
      </c>
      <c r="D101" s="272" t="str">
        <f>=ROUND(SUM($D$97:$D$100),2)</f>
      </c>
      <c r="E101" s="272" t="str">
        <f>=ROUND(SUM($E$97:$E$100),2)</f>
      </c>
      <c r="F101" s="293" t="str">
        <f>=ROUND(IFERROR(($C$101/$D$101)-1,0),4)</f>
      </c>
      <c r="G101" s="274" t="str">
        <f>=ROUND(SUM($G$97:$G$100),2)</f>
      </c>
      <c r="H101" s="274" t="str">
        <f>=ROUND(SUM($H$97:$H$100),2)</f>
      </c>
      <c r="I101" s="274" t="str">
        <f>=ROUND(SUM($I$97:$I$100),2)</f>
      </c>
      <c r="J101" s="294" t="str">
        <f>=ROUND(IFERROR(($G$101/$H$101)-1,0),4)</f>
      </c>
      <c r="L101" s="143" t="str">
        <f>=IFERROR(CHOOSE(E82,'III.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1" s="116" t="str">
        <f>=IFERROR(CHOOSE(E82,'III.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1" s="117" t="str">
        <f>=IFERROR(CHOOSE(E82,'III.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1" s="116" t="str">
        <f>=IFERROR(CHOOSE(E82,'III.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1" s="144" t="str">
        <f>=IFERROR(CHOOSE(E82,'III.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2">
      <c r="L102" s="143" t="str">
        <f>=IFERROR(CHOOSE(E82,'III.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2" s="116" t="str">
        <f>=IFERROR(CHOOSE(E82,'III.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2" s="117" t="str">
        <f>=IFERROR(CHOOSE(E82,'III.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2" s="116" t="str">
        <f>=IFERROR(CHOOSE(E82,'III.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2" s="144" t="str">
        <f>=IFERROR(CHOOSE(E82,'III.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3" ht="22" customHeight="true">
      <c r="B103" s="18" t="s">
        <v>397</v>
      </c>
      <c r="C103" s="18"/>
      <c r="D103" s="18"/>
      <c r="E103" s="18"/>
      <c r="F103" s="18"/>
      <c r="G103" s="18"/>
      <c r="H103" s="18"/>
      <c r="I103" s="18"/>
      <c r="J103" s="18"/>
      <c r="L103" s="143" t="str">
        <f>=IFERROR(CHOOSE(E82,'III.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3" s="116" t="str">
        <f>=IFERROR(CHOOSE(E82,'III.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3" s="117" t="str">
        <f>=IFERROR(CHOOSE(E82,'III.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3" s="116" t="str">
        <f>=IFERROR(CHOOSE(E82,'III.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3" s="144" t="str">
        <f>=IFERROR(CHOOSE(E82,'III.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4">
      <c r="L104" s="344" t="s">
        <v>308</v>
      </c>
      <c r="M104" s="332" t="str">
        <f>=IFERROR(CHOOSE(E82,'III.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4" s="333" t="str">
        <f>=IFERROR(CHOOSE(E82,'III.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4" s="332" t="str">
        <f>=IFERROR(CHOOSE(E82,'III.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4" s="345" t="str">
        <f>=IFERROR(CHOOSE(E82,'III.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5" ht="28" customHeight="true">
      <c r="B105" s="263" t="s">
        <v>379</v>
      </c>
      <c r="C105" s="264" t="s">
        <v>395</v>
      </c>
      <c r="D105" s="264" t="s">
        <v>381</v>
      </c>
      <c r="E105" s="264" t="s">
        <v>382</v>
      </c>
      <c r="F105" s="264" t="s">
        <v>383</v>
      </c>
      <c r="G105" s="264" t="s">
        <v>396</v>
      </c>
      <c r="H105" s="264" t="s">
        <v>385</v>
      </c>
      <c r="I105" s="264" t="s">
        <v>386</v>
      </c>
      <c r="J105" s="265" t="s">
        <v>387</v>
      </c>
      <c r="L105" s="47"/>
      <c r="P105" s="48"/>
    </row>
    <row r="106">
      <c r="B106" s="266" t="s">
        <v>205</v>
      </c>
      <c r="C106" s="240" t="str">
        <f>=IFERROR(ROUND(CHOOSE(E82,'III.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6" s="240" t="str">
        <f>=IFERROR(ROUND(Kosten_Bauausgaben_LW,2),0)</f>
      </c>
      <c r="E106" s="201" t="str">
        <f>=ROUND(IFERROR($C$106-$D$106,0),2)</f>
      </c>
      <c r="F106" s="258" t="str">
        <f>=ROUND(IFERROR(($C$106/$D$106)-1,0),4)</f>
      </c>
      <c r="G106" s="217" t="str">
        <f>=IFERROR(ROUND(CHOOSE(E82,'III.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6" s="217" t="str">
        <f>=IFERROR(ROUND(Kosten_Bauausgaben_EUR,2),0)</f>
      </c>
      <c r="I106" s="182" t="str">
        <f>=ROUND(IFERROR($G$106-$H$106,0),2)</f>
      </c>
      <c r="J106" s="295" t="str">
        <f>=ROUND(IFERROR(($G$106/$H$106)-1,0),4)</f>
      </c>
      <c r="L106" s="346" t="s">
        <v>309</v>
      </c>
      <c r="M106" s="347" t="str">
        <f>=IFERROR(CHOOSE(E82,'III.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6" s="348" t="str">
        <f>=IFERROR(CHOOSE(E82,'III.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6" s="347" t="str">
        <f>=IFERROR(CHOOSE(E82,'III.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6" s="349" t="str">
        <f>=IFERROR(CHOOSE(E82,'III.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7">
      <c r="B107" s="266" t="s">
        <v>210</v>
      </c>
      <c r="C107" s="240" t="str">
        <f>=IFERROR(ROUND(CHOOSE(E82,'III.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7" s="240" t="str">
        <f>=IFERROR(ROUND(Kosten_Investitionen_LW,2),0)</f>
      </c>
      <c r="E107" s="201" t="str">
        <f>=ROUND(IFERROR($C$107-$D$107,0),2)</f>
      </c>
      <c r="F107" s="258" t="str">
        <f>=ROUND(IFERROR(($C$107/$D$107)-1,0),4)</f>
      </c>
      <c r="G107" s="217" t="str">
        <f>=IFERROR(ROUND(CHOOSE(E82,'III.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7" s="217" t="str">
        <f>=IFERROR(ROUND(Kosten_Investitionen_EUR,2),0)</f>
      </c>
      <c r="I107" s="182" t="str">
        <f>=ROUND(IFERROR($G$107-$H$107,0),2)</f>
      </c>
      <c r="J107" s="296" t="str">
        <f>=ROUND(IFERROR(($G$107/$H$107)-1,0),4)</f>
      </c>
    </row>
    <row r="108">
      <c r="B108" s="266" t="s">
        <v>213</v>
      </c>
      <c r="C108" s="240" t="str">
        <f>=IFERROR(ROUND(CHOOSE(E82,'III.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8" s="240" t="str">
        <f>=IFERROR(ROUND(Kosten_Personalkosten_LW,2),0)</f>
      </c>
      <c r="E108" s="201" t="str">
        <f>=ROUND(IFERROR($C$108-$D$108,0),2)</f>
      </c>
      <c r="F108" s="258" t="str">
        <f>=ROUND(IFERROR(($C$108/$D$108)-1,0),4)</f>
      </c>
      <c r="G108" s="217" t="str">
        <f>=IFERROR(ROUND(CHOOSE(E82,'III.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8" s="217" t="str">
        <f>=IFERROR(ROUND(Kosten_Personalkosten_EUR,2),0)</f>
      </c>
      <c r="I108" s="182" t="str">
        <f>=ROUND(IFERROR($G$108-$H$108,0),2)</f>
      </c>
      <c r="J108" s="297" t="str">
        <f>=ROUND(IFERROR(($G$108/$H$108)-1,0),4)</f>
      </c>
    </row>
    <row r="109">
      <c r="B109" s="266" t="s">
        <v>218</v>
      </c>
      <c r="C109" s="240" t="str">
        <f>=IFERROR(ROUND(CHOOSE(E82,'III.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9" s="240" t="str">
        <f>=IFERROR(ROUND(Kosten_Projektaktivitaeten_LW,2),0)</f>
      </c>
      <c r="E109" s="201" t="str">
        <f>=ROUND(IFERROR($C$109-$D$109,0),2)</f>
      </c>
      <c r="F109" s="258" t="str">
        <f>=ROUND(IFERROR(($C$109/$D$109)-1,0),4)</f>
      </c>
      <c r="G109" s="217" t="str">
        <f>=IFERROR(ROUND(CHOOSE(E82,'III.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9" s="217" t="str">
        <f>=IFERROR(ROUND(Kosten_Projektaktivitaeten_EUR,2),0)</f>
      </c>
      <c r="I109" s="182" t="str">
        <f>=ROUND(IFERROR($G$109-$H$109,0),2)</f>
      </c>
      <c r="J109" s="298" t="str">
        <f>=ROUND(IFERROR(($G$109/$H$109)-1,0),4)</f>
      </c>
    </row>
    <row r="110">
      <c r="B110" s="266" t="s">
        <v>221</v>
      </c>
      <c r="C110" s="240" t="str">
        <f>=IFERROR(ROUND(CHOOSE(E82,'III.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10" s="240" t="str">
        <f>=IFERROR(ROUND(Kosten_Projektverwaltung_LW,2),0)</f>
      </c>
      <c r="E110" s="201" t="str">
        <f>=ROUND(IFERROR($C$110-$D$110,0),2)</f>
      </c>
      <c r="F110" s="258" t="str">
        <f>=ROUND(IFERROR(($C$110/$D$110)-1,0),4)</f>
      </c>
      <c r="G110" s="217" t="str">
        <f>=IFERROR(ROUND(CHOOSE(E82,'III.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10" s="217" t="str">
        <f>=IFERROR(ROUND(Kosten_Projektverwaltung_EUR,2),0)</f>
      </c>
      <c r="I110" s="182" t="str">
        <f>=ROUND(IFERROR($G$110-$H$110,0),2)</f>
      </c>
      <c r="J110" s="299" t="str">
        <f>=ROUND(IFERROR(($G$110/$H$110)-1,0),4)</f>
      </c>
    </row>
    <row r="111">
      <c r="B111" s="266" t="s">
        <v>224</v>
      </c>
      <c r="C111" s="240" t="str">
        <f>=IFERROR(ROUND(CHOOSE(E82,'III.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1" s="240" t="str">
        <f>=IFERROR(ROUND(Kosten_Evaluierung_LW,2),0)</f>
      </c>
      <c r="E111" s="201" t="str">
        <f>=ROUND(IFERROR($C$111-$D$111,0),2)</f>
      </c>
      <c r="F111" s="258" t="str">
        <f>=ROUND(IFERROR(($C$111/$D$111)-1,0),4)</f>
      </c>
      <c r="G111" s="217" t="str">
        <f>=IFERROR(ROUND(CHOOSE(E82,'III.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1" s="217" t="str">
        <f>=IFERROR(ROUND(Kosten_Evaluierung_EUR,2),0)</f>
      </c>
      <c r="I111" s="182" t="str">
        <f>=ROUND(IFERROR($G$111-$H$111,0),2)</f>
      </c>
      <c r="J111" s="300" t="str">
        <f>=ROUND(IFERROR(($G$111/$H$111)-1,0),4)</f>
      </c>
    </row>
    <row r="112">
      <c r="B112" s="266" t="s">
        <v>227</v>
      </c>
      <c r="C112" s="240" t="str">
        <f>=IFERROR(ROUND(CHOOSE(E82,'III.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2" s="240" t="str">
        <f>=IFERROR(ROUND(Kosten_Audit_LW,2),0)</f>
      </c>
      <c r="E112" s="201" t="str">
        <f>=ROUND(IFERROR($C$112-$D$112,0),2)</f>
      </c>
      <c r="F112" s="258" t="str">
        <f>=ROUND(IFERROR(($C$112/$D$112)-1,0),4)</f>
      </c>
      <c r="G112" s="217" t="str">
        <f>=IFERROR(ROUND(CHOOSE(E82,'III.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2" s="217" t="str">
        <f>=IFERROR(ROUND(Kosten_Audit_EUR,2),0)</f>
      </c>
      <c r="I112" s="182" t="str">
        <f>=ROUND(IFERROR($G$112-$H$112,0),2)</f>
      </c>
      <c r="J112" s="301" t="str">
        <f>=ROUND(IFERROR(($G$112/$H$112)-1,0),4)</f>
      </c>
    </row>
    <row r="113">
      <c r="B113" s="266" t="s">
        <v>230</v>
      </c>
      <c r="C113" s="240" t="str">
        <f>=IFERROR(ROUND(CHOOSE(E82,'III.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3" s="240" t="str">
        <f>=IFERROR(ROUND(Kosten_Reserve_LW,2),0)</f>
      </c>
      <c r="E113" s="201" t="str">
        <f>=ROUND(IFERROR($C$113-$D$113,0),2)</f>
      </c>
      <c r="F113" s="258" t="str">
        <f>=ROUND(IFERROR(($C$113/$D$113)-1,0),4)</f>
      </c>
      <c r="G113" s="217" t="str">
        <f>=IFERROR(ROUND(CHOOSE(E82,'III.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3" s="217" t="str">
        <f>=IFERROR(ROUND(Kosten_Reserve_EUR,2),0)</f>
      </c>
      <c r="I113" s="182" t="str">
        <f>=ROUND(IFERROR($G$113-$H$113,0),2)</f>
      </c>
      <c r="J113" s="302" t="str">
        <f>=ROUND(IFERROR(($G$113/$H$113)-1,0),4)</f>
      </c>
    </row>
    <row r="114" ht="20" customHeight="true">
      <c r="B114" s="271" t="s">
        <v>287</v>
      </c>
      <c r="C114" s="272" t="str">
        <f>=ROUND(SUM($C$106:$C$113),2)</f>
      </c>
      <c r="D114" s="272" t="str">
        <f>=ROUND(SUM($D$106:$D$113),2)</f>
      </c>
      <c r="E114" s="272" t="str">
        <f>=ROUND(SUM($E$106:$E$113),2)</f>
      </c>
      <c r="F114" s="303" t="str">
        <f>=ROUND(IFERROR(($C$114/$D$114)-1,0),4)</f>
      </c>
      <c r="G114" s="274" t="str">
        <f>=ROUND(SUM($G$106:$G$113),2)</f>
      </c>
      <c r="H114" s="274" t="str">
        <f>=ROUND(SUM($H$106:$H$113),2)</f>
      </c>
      <c r="I114" s="274" t="str">
        <f>=ROUND(SUM($I$106:$I$113),2)</f>
      </c>
      <c r="J114" s="304" t="str">
        <f>=ROUND(IFERROR(($G$114/$H$114)-1,0),4)</f>
      </c>
    </row>
  </sheetData>
  <mergeCells count="104">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B38:C38"/>
    <mergeCell ref="B39:C39"/>
    <mergeCell ref="D39:E39"/>
    <mergeCell ref="B40:C40"/>
    <mergeCell ref="B41:C41"/>
    <mergeCell ref="D41:E41"/>
    <mergeCell ref="B42:C42"/>
    <mergeCell ref="B43:C43"/>
    <mergeCell ref="D43:E43"/>
    <mergeCell ref="B44:C44"/>
    <mergeCell ref="D44:E44"/>
    <mergeCell ref="B45:C45"/>
    <mergeCell ref="D45:E45"/>
    <mergeCell ref="B46:C46"/>
    <mergeCell ref="B47:C47"/>
    <mergeCell ref="B48:C48"/>
    <mergeCell ref="B49:C49"/>
    <mergeCell ref="B51:J51"/>
    <mergeCell ref="B60:J60"/>
    <mergeCell ref="B77:J77"/>
    <mergeCell ref="B78:J78"/>
    <mergeCell ref="C80:G80"/>
    <mergeCell ref="C81:D81"/>
    <mergeCell ref="E81:G81"/>
    <mergeCell ref="C82:D82"/>
    <mergeCell ref="E82:G82"/>
    <mergeCell ref="B84:J84"/>
    <mergeCell ref="B86:C86"/>
    <mergeCell ref="B87:C87"/>
    <mergeCell ref="B88:C88"/>
    <mergeCell ref="B89:C89"/>
    <mergeCell ref="B90:C90"/>
    <mergeCell ref="F86:I86"/>
    <mergeCell ref="G87:H87"/>
    <mergeCell ref="G88:H88"/>
    <mergeCell ref="G89:H89"/>
    <mergeCell ref="G90:H90"/>
    <mergeCell ref="B94:J94"/>
    <mergeCell ref="B103:J103"/>
    <mergeCell ref="L5:N5"/>
    <mergeCell ref="M6:N6"/>
    <mergeCell ref="M7:N7"/>
    <mergeCell ref="M8:N8"/>
    <mergeCell ref="M9:N9"/>
    <mergeCell ref="M10:N10"/>
    <mergeCell ref="L77:P77"/>
    <mergeCell ref="M78:P78"/>
    <mergeCell ref="M79:P79"/>
    <mergeCell ref="M80:P80"/>
    <mergeCell ref="M81:P81"/>
    <mergeCell ref="M82:P82"/>
    <mergeCell ref="L84:P84"/>
    <mergeCell ref="L92:P92"/>
  </mergeCells>
  <conditionalFormatting sqref="C13:D13">
    <cfRule type="expression" dxfId="9" priority="1">
      <formula>$C$13&lt;&gt;""</formula>
    </cfRule>
  </conditionalFormatting>
  <conditionalFormatting sqref="E13:F13">
    <cfRule type="expression" dxfId="10" priority="2">
      <formula>$C$13&lt;&gt;""</formula>
    </cfRule>
  </conditionalFormatting>
  <conditionalFormatting sqref="G13:G13">
    <cfRule type="expression" dxfId="11" priority="3">
      <formula>$C$13&lt;&gt;""</formula>
    </cfRule>
  </conditionalFormatting>
  <conditionalFormatting sqref="C14:D14">
    <cfRule type="expression" dxfId="9" priority="4">
      <formula>$C$14&lt;&gt;""</formula>
    </cfRule>
  </conditionalFormatting>
  <conditionalFormatting sqref="E14:F14">
    <cfRule type="expression" dxfId="10" priority="5">
      <formula>$C$14&lt;&gt;""</formula>
    </cfRule>
  </conditionalFormatting>
  <conditionalFormatting sqref="G14:G14">
    <cfRule type="expression" dxfId="11" priority="6">
      <formula>$C$14&lt;&gt;""</formula>
    </cfRule>
  </conditionalFormatting>
  <conditionalFormatting sqref="C15:D15">
    <cfRule type="expression" dxfId="9" priority="7">
      <formula>$C$15&lt;&gt;""</formula>
    </cfRule>
  </conditionalFormatting>
  <conditionalFormatting sqref="E15:F15">
    <cfRule type="expression" dxfId="10" priority="8">
      <formula>$C$15&lt;&gt;""</formula>
    </cfRule>
  </conditionalFormatting>
  <conditionalFormatting sqref="G15:G15">
    <cfRule type="expression" dxfId="11" priority="9">
      <formula>$C$15&lt;&gt;""</formula>
    </cfRule>
  </conditionalFormatting>
  <conditionalFormatting sqref="C16:D16">
    <cfRule type="expression" dxfId="9" priority="10">
      <formula>$C$16&lt;&gt;""</formula>
    </cfRule>
  </conditionalFormatting>
  <conditionalFormatting sqref="E16:F16">
    <cfRule type="expression" dxfId="10" priority="11">
      <formula>$C$16&lt;&gt;""</formula>
    </cfRule>
  </conditionalFormatting>
  <conditionalFormatting sqref="G16:G16">
    <cfRule type="expression" dxfId="11" priority="12">
      <formula>$C$16&lt;&gt;""</formula>
    </cfRule>
  </conditionalFormatting>
  <conditionalFormatting sqref="C17:D17">
    <cfRule type="expression" dxfId="9" priority="13">
      <formula>$C$17&lt;&gt;""</formula>
    </cfRule>
  </conditionalFormatting>
  <conditionalFormatting sqref="E17:F17">
    <cfRule type="expression" dxfId="10" priority="14">
      <formula>$C$17&lt;&gt;""</formula>
    </cfRule>
  </conditionalFormatting>
  <conditionalFormatting sqref="G17:G17">
    <cfRule type="expression" dxfId="11" priority="15">
      <formula>$C$17&lt;&gt;""</formula>
    </cfRule>
  </conditionalFormatting>
  <conditionalFormatting sqref="C18:D18">
    <cfRule type="expression" dxfId="9" priority="16">
      <formula>$C$18&lt;&gt;""</formula>
    </cfRule>
  </conditionalFormatting>
  <conditionalFormatting sqref="E18:F18">
    <cfRule type="expression" dxfId="10" priority="17">
      <formula>$C$18&lt;&gt;""</formula>
    </cfRule>
  </conditionalFormatting>
  <conditionalFormatting sqref="G18:G18">
    <cfRule type="expression" dxfId="11" priority="18">
      <formula>$C$18&lt;&gt;""</formula>
    </cfRule>
  </conditionalFormatting>
  <conditionalFormatting sqref="D47">
    <cfRule type="expression" dxfId="12" priority="19">
      <formula>$D$47="OK"</formula>
    </cfRule>
  </conditionalFormatting>
  <conditionalFormatting sqref="D47">
    <cfRule type="expression" dxfId="13" priority="20">
      <formula>$D$47&lt;&gt;"OK"</formula>
    </cfRule>
  </conditionalFormatting>
  <conditionalFormatting sqref="E47">
    <cfRule type="expression" dxfId="12" priority="21">
      <formula>$E$47="OK"</formula>
    </cfRule>
  </conditionalFormatting>
  <conditionalFormatting sqref="E47">
    <cfRule type="expression" dxfId="13" priority="22">
      <formula>$E$47&lt;&gt;"OK"</formula>
    </cfRule>
  </conditionalFormatting>
  <conditionalFormatting sqref="D48">
    <cfRule type="expression" dxfId="14" priority="23">
      <formula>$D$48&gt;0</formula>
    </cfRule>
  </conditionalFormatting>
  <conditionalFormatting sqref="E48">
    <cfRule type="expression" dxfId="15" priority="24">
      <formula>$E$48&gt;0</formula>
    </cfRule>
  </conditionalFormatting>
  <conditionalFormatting sqref="F63:F70">
    <cfRule type="expression" dxfId="16" priority="25">
      <formula>F63&gt;0.2</formula>
    </cfRule>
  </conditionalFormatting>
  <conditionalFormatting sqref="F63:F70">
    <cfRule type="expression" dxfId="17" priority="26">
      <formula>AND(F63&gt;=0.1,F63&lt;=0.2)</formula>
    </cfRule>
  </conditionalFormatting>
  <conditionalFormatting sqref="J63:J70">
    <cfRule type="expression" dxfId="16" priority="27">
      <formula>J63&gt;0.2</formula>
    </cfRule>
  </conditionalFormatting>
  <conditionalFormatting sqref="J63:J70">
    <cfRule type="expression" dxfId="17" priority="28">
      <formula>AND(J63&gt;=0.1,J63&lt;=0.2)</formula>
    </cfRule>
  </conditionalFormatting>
  <conditionalFormatting sqref="F106:F113">
    <cfRule type="expression" dxfId="16" priority="29">
      <formula>F106&gt;0.2</formula>
    </cfRule>
  </conditionalFormatting>
  <conditionalFormatting sqref="F106:F113">
    <cfRule type="expression" dxfId="17" priority="30">
      <formula>AND(F106&gt;=0.1,F106&lt;=0.2)</formula>
    </cfRule>
  </conditionalFormatting>
  <conditionalFormatting sqref="J106:J113">
    <cfRule type="expression" dxfId="16" priority="31">
      <formula>J106&gt;0.2</formula>
    </cfRule>
  </conditionalFormatting>
  <conditionalFormatting sqref="J106:J113">
    <cfRule type="expression" dxfId="17" priority="32">
      <formula>AND(J106&gt;=0.1,J106&lt;=0.2)</formula>
    </cfRule>
  </conditionalFormatting>
  <dataValidations count="8">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sqref="D41" type="list">
      <formula1>"Jahr 1,Jahr 2,Jahr 3"</formula1>
    </dataValidation>
    <dataValidation allowBlank="true" sqref="E81" type="list">
      <formula1>=FB_Auswahl_Liste</formula1>
    </dataValidation>
    <dataValidation allowBlank="true" sqref="F87" type="list">
      <formula1>"Abzug,Kein Abzug"</formula1>
    </dataValidation>
    <dataValidation allowBlank="true" sqref="F88"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0" t="s">
        <v>400</v>
      </c>
      <c r="I1" s="350" t="s">
        <v>401</v>
      </c>
      <c r="O1" s="350" t="s">
        <v>402</v>
      </c>
      <c r="U1" s="350" t="s">
        <v>403</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AUSWERTUNG'!E82+1)*($BC$1:$BC$18=1),""))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