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MA'!$D$24</definedName>
    <definedName name="MA_Kurs_2">'IV. MA'!$G$8</definedName>
    <definedName name="MA_ManBetrag_2">'IV. MA'!$H$24</definedName>
    <definedName name="MA_Kurs_3">'IV. MA'!$K$8</definedName>
    <definedName name="MA_ManBetrag_3">'IV. MA'!$L$24</definedName>
    <definedName name="MA_Kurs_4">'IV. MA'!$O$8</definedName>
    <definedName name="MA_ManBetrag_4">'IV. MA'!$P$24</definedName>
    <definedName name="MA_Kurs_5">'IV. MA'!$S$8</definedName>
    <definedName name="MA_ManBetrag_5">'IV. MA'!$T$24</definedName>
    <definedName name="MA_Kurs_6">'IV. MA'!$W$8</definedName>
    <definedName name="MA_ManBetrag_6">'IV. MA'!$X$24</definedName>
    <definedName name="MA_Kurs_7">'IV. MA'!$AA$8</definedName>
    <definedName name="MA_ManBetrag_7">'IV. MA'!$AB$24</definedName>
    <definedName name="MA_Kurs_8">'IV. MA'!$AE$8</definedName>
    <definedName name="MA_ManBetrag_8">'IV. MA'!$AF$24</definedName>
    <definedName name="MA_Kurs_9">'IV. MA'!$AI$8</definedName>
    <definedName name="MA_ManBetrag_9">'IV. MA'!$AJ$24</definedName>
    <definedName name="MA_Kurs_10">'IV. MA'!$AM$8</definedName>
    <definedName name="MA_ManBetrag_10">'IV. MA'!$AN$24</definedName>
    <definedName name="MA_Kurs_11">'IV. MA'!$AQ$8</definedName>
    <definedName name="MA_ManBetrag_11">'IV. MA'!$AR$24</definedName>
    <definedName name="MA_Kurs_12">'IV. MA'!$AU$8</definedName>
    <definedName name="MA_ManBetrag_12">'IV. MA'!$AV$24</definedName>
    <definedName name="MA_Kurs_13">'IV. MA'!$AY$8</definedName>
    <definedName name="MA_ManBetrag_13">'IV. MA'!$AZ$24</definedName>
    <definedName name="MA_Kurs_14">'IV. MA'!$BC$8</definedName>
    <definedName name="MA_ManBetrag_14">'IV. MA'!$BD$24</definedName>
    <definedName name="MA_Kurs_15">'IV. MA'!$BG$8</definedName>
    <definedName name="MA_ManBetrag_15">'IV. MA'!$BH$24</definedName>
    <definedName name="MA_Kurs_16">'IV. MA'!$BK$8</definedName>
    <definedName name="MA_ManBetrag_16">'IV. MA'!$BL$24</definedName>
    <definedName name="MA_Kurs_17">'IV. MA'!$BO$8</definedName>
    <definedName name="MA_ManBetrag_17">'IV. MA'!$BP$24</definedName>
    <definedName name="MA_Kurs_18">'IV. MA'!$BS$8</definedName>
    <definedName name="MA_ManBetrag_18">'IV. MA'!$BT$24</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<sst xmlns="http://schemas.openxmlformats.org/spreadsheetml/2006/main" count="403" uniqueCount="403">
  <si>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</si>
  <si>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</si>
  <si>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</si>
  <si>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</si>
  <si>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</si>
  <si>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</si>
  <si>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</si>
  <si>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</si>
  <si>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</si>
  <si>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</si>
  <si>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</si>
  <si>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</si>
  <si>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</si>
  <si>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</si>
  <si>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</si>
  <si>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</si>
  <si>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</si>
  <si>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</si>
  <si>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</si>
  <si>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</si>
  <si>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</si>
  <si>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</si>
  <si>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</si>
  <si>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</si>
  <si>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</si>
  <si>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</si>
  <si>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</si>
  <si>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</si>
  <si>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</si>
  <si>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</si>
  <si>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</si>
  <si>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</si>
  <si>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</si>
  <si>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</si>
  <si>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</si>
  <si>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</si>
  <si>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</si>
  <si>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</si>
  <si>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</si>
  <si>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</si>
  <si>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</si>
  <si>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</si>
  <si>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</si>
  <si>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</si>
  <si>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</si>
  <si>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</si>
  <si>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</si>
  <si>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</si>
  <si>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</si>
  <si>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</si>
  <si>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</si>
  <si>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</si>
  <si>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</si>
  <si>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</si>
  <si>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</si>
  <si>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</si>
  <si>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</si>
  <si>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</si>
  <si>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</si>
  <si>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</si>
  <si>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</si>
  <si>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</si>
  <si>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</si>
  <si>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</si>
  <si>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</si>
  <si>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</si>
  <si>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</si>
  <si>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</si>
  <si>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</si>
  <si>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</si>
  <si>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</si>
  <si>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</si>
  <si>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</si>
  <si>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</si>
  <si>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</si>
  <si>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</si>
  <si>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</si>
  <si>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</si>
  <si>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</si>
  <si>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</si>
  <si>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</si>
  <si>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</si>
  <si>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</si>
  <si>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</si>
  <si>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</si>
  <si>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</si>
  <si>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</si>
  <si>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</si>
  <si>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</si>
  <si>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</si>
  <si>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</si>
  <si>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</si>
  <si>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</si>
  <si>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</si>
  <si>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</si>
  <si>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</si>
  <si>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</si>
  <si>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</si>
  <si>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</si>
  <si>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</si>
  <si>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</si>
  <si>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</si>
  <si>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</si>
  <si>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</si>
  <si>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</si>
  <si>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</si>
  <si>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</si>
  <si>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</si>
  <si>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</si>
  <si>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</si>
  <si>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</si>
  <si>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</si>
  <si>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</si>
  <si>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</si>
  <si>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</si>
  <si>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</si>
  <si>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</si>
  <si>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</si>
  <si>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</si>
  <si>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</si>
  <si>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</si>
  <si>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</si>
  <si>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</si>
  <si>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</si>
  <si>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</si>
  <si>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</si>
  <si>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</si>
  <si>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</si>
  <si>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</si>
  <si>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</si>
  <si>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</si>
  <si>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</si>
  <si>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</si>
  <si>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</si>
  <si>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</si>
  <si>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</si>
  <si>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</si>
  <si>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</si>
  <si>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</si>
  <si>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</si>
  <si>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</si>
  <si>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</si>
  <si>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</si>
  <si>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</si>
  <si>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</si>
  <si>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</si>
  <si>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</si>
  <si>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</si>
  <si>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</si>
  <si>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</si>
  <si>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</si>
  <si>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</si>
  <si>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</si>
  <si>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</si>
  <si>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</si>
  <si>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</si>
  <si>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</si>
  <si>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</si>
  <si>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</si>
  <si>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</si>
  <si>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</si>
  <si>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</si>
  <si>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</si>
  <si>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</si>
  <si>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</si>
  <si>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</si>
  <si>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</si>
  <si>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</si>
  <si>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</si>
  <si>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</si>
  <si>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</si>
  <si>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</si>
  <si>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</si>
  <si>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</si>
  <si>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</si>
  <si>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</si>
  <si>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</si>
  <si>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</si>
  <si>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</si>
  <si>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</si>
  <si>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</si>
  <si>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</si>
  <si>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</si>
  <si>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</si>
  <si>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</si>
  <si>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</si>
  <si>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</si>
  <si>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</si>
  <si>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</si>
  <si>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</si>
  <si>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</si>
  <si>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</si>
  <si>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</si>
  <si>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</si>
  <si>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</si>
  <si>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</si>
  <si>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</si>
  <si>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</si>
  <si>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</si>
  <si>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</si>
  <si>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</si>
  <si>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</si>
  <si>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</si>
  <si>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</si>
  <si>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</si>
  <si>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</si>
  <si>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</si>
  <si>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</si>
  <si>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</si>
  <si>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</si>
  <si>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</si>
  <si>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</si>
  <si>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</si>
  <si>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</si>
  <si>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</si>
  <si>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</si>
  <si>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</si>
  <si>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</si>
  <si>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</si>
  <si>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</si>
  <si>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</si>
  <si>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</si>
  <si>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</si>
  <si>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</si>
  <si>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</si>
  <si>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</si>
  <si>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</si>
  <si>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</si>
  <si>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</si>
  <si>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</si>
  <si>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</si>
  <si>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</si>
  <si>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</si>
  <si>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</si>
  <si>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</si>
  <si>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</si>
  <si>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</si>
  <si>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</si>
  <si>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</si>
  <si>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</si>
  <si>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</si>
  <si>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</si>
  <si>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</si>
  <si>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</si>
  <si>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</si>
  <si>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</si>
  <si>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</si>
  <si>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</si>
  <si>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</si>
  <si>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</si>
  <si>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</si>
  <si>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</si>
  <si>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</si>
  <si>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</si>
  <si>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</si>
  <si>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</si>
  <si>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</si>
  <si>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</si>
  <si>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</si>
  <si>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</si>
  <si>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</si>
  <si>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</si>
  <si>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</si>
  <si>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</si>
  <si>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</si>
  <si>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</si>
  <si>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</si>
  <si>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</si>
  <si>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</si>
  <si>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</si>
  <si>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</si>
  <si>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</si>
  <si>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</si>
  <si>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</si>
  <si>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</si>
  <si>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</si>
  <si>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</si>
  <si>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</si>
  <si>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</si>
  <si>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</si>
  <si>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</si>
  <si>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</si>
  <si>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</si>
  <si>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</si>
  <si>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</si>
  <si>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</si>
  <si>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</si>
  <si>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</si>
  <si>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</si>
  <si>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</si>
  <si>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</si>
  <si>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</si>
  <si>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</si>
  <si>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</si>
  <si>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</si>
  <si>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</si>
  <si>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</si>
  <si>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</si>
  <si>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</si>
  <si>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</si>
  <si>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</si>
  <si>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</si>
  <si>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</si>
  <si>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</si>
  <si>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</si>
  <si>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</si>
  <si>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</si>
  <si>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</si>
  <si>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</si>
  <si>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</si>
  <si>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</si>
  <si>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</si>
  <si>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</si>
  <si>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</si>
  <si>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</si>
  <si>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</si>
  <si>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</si>
  <si>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</si>
  <si>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</si>
  <si>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</si>
  <si>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</si>
  <si>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</si>
  <si>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</si>
  <si>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</si>
  <si>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</si>
  <si>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</si>
  <si>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</si>
  <si>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</si>
  <si>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</si>
  <si>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</si>
  <si>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</si>
  <si>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</si>
  <si>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</si>
  <si>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</si>
  <si>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Manueller Betrag:</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</si>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</sst>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3" fillId="8" borderId="10" xfId="0" applyFont="true" applyFill="true" applyBorder="true" applyAlignment="true">
      <alignment/>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4">
      <c r="B24" t="s">
        <v>334</v>
      </c>
      <c r="C24" s="189"/>
      <c r="D24" s="25"/>
      <c r="F24" t="s">
        <v>334</v>
      </c>
      <c r="G24" s="189"/>
      <c r="H24" s="25"/>
      <c r="J24" t="s">
        <v>334</v>
      </c>
      <c r="K24" s="189"/>
      <c r="L24" s="25"/>
      <c r="N24" t="s">
        <v>334</v>
      </c>
      <c r="O24" s="189"/>
      <c r="P24" s="25"/>
      <c r="R24" t="s">
        <v>334</v>
      </c>
      <c r="S24" s="189"/>
      <c r="T24" s="25"/>
      <c r="V24" t="s">
        <v>334</v>
      </c>
      <c r="W24" s="189"/>
      <c r="X24" s="25"/>
      <c r="Z24" t="s">
        <v>334</v>
      </c>
      <c r="AA24" s="189"/>
      <c r="AB24" s="25"/>
      <c r="AD24" t="s">
        <v>334</v>
      </c>
      <c r="AE24" s="189"/>
      <c r="AF24" s="25"/>
      <c r="AH24" t="s">
        <v>334</v>
      </c>
      <c r="AI24" s="189"/>
      <c r="AJ24" s="25"/>
      <c r="AL24" t="s">
        <v>334</v>
      </c>
      <c r="AM24" s="189"/>
      <c r="AN24" s="25"/>
      <c r="AP24" t="s">
        <v>334</v>
      </c>
      <c r="AQ24" s="189"/>
      <c r="AR24" s="25"/>
      <c r="AT24" t="s">
        <v>334</v>
      </c>
      <c r="AU24" s="189"/>
      <c r="AV24" s="25"/>
      <c r="AX24" t="s">
        <v>334</v>
      </c>
      <c r="AY24" s="189"/>
      <c r="AZ24" s="25"/>
      <c r="BB24" t="s">
        <v>334</v>
      </c>
      <c r="BC24" s="189"/>
      <c r="BD24" s="25"/>
      <c r="BF24" t="s">
        <v>334</v>
      </c>
      <c r="BG24" s="189"/>
      <c r="BH24" s="25"/>
      <c r="BJ24" t="s">
        <v>334</v>
      </c>
      <c r="BK24" s="189"/>
      <c r="BL24" s="25"/>
      <c r="BN24" t="s">
        <v>334</v>
      </c>
      <c r="BO24" s="189"/>
      <c r="BP24" s="25"/>
      <c r="BR24" t="s">
        <v>334</v>
      </c>
      <c r="BS24" s="189"/>
      <c r="BT24" s="25"/>
    </row>
    <row r="25">
      <c r="B25" s="190" t="s">
        <v>335</v>
      </c>
      <c r="C25" s="191" t="str">
        <f>=IFERROR(ROUND($C$18-$C$21-$C$22-$C$23,2),0)</f>
      </c>
      <c r="D25" s="192" t="str">
        <f>=IFERROR(ROUND($D$18-$D$21-$D$22-$D$23,2),0)</f>
      </c>
      <c r="F25" s="190" t="s">
        <v>335</v>
      </c>
      <c r="G25" s="191" t="str">
        <f>=IFERROR(ROUND($G$18-$G$21-$G$22-$G$23,2),0)</f>
      </c>
      <c r="H25" s="192" t="str">
        <f>=IFERROR(ROUND($H$18-$H$21-$H$22-$H$23,2),0)</f>
      </c>
      <c r="J25" s="190" t="s">
        <v>335</v>
      </c>
      <c r="K25" s="191" t="str">
        <f>=IFERROR(ROUND($K$18-$K$21-$K$22-$K$23,2),0)</f>
      </c>
      <c r="L25" s="192" t="str">
        <f>=IFERROR(ROUND($L$18-$L$21-$L$22-$L$23,2),0)</f>
      </c>
      <c r="N25" s="190" t="s">
        <v>335</v>
      </c>
      <c r="O25" s="191" t="str">
        <f>=IFERROR(ROUND($O$18-$O$21-$O$22-$O$23,2),0)</f>
      </c>
      <c r="P25" s="192" t="str">
        <f>=IFERROR(ROUND($P$18-$P$21-$P$22-$P$23,2),0)</f>
      </c>
      <c r="R25" s="190" t="s">
        <v>335</v>
      </c>
      <c r="S25" s="191" t="str">
        <f>=IFERROR(ROUND($S$18-$S$21-$S$22-$S$23,2),0)</f>
      </c>
      <c r="T25" s="192" t="str">
        <f>=IFERROR(ROUND($T$18-$T$21-$T$22-$T$23,2),0)</f>
      </c>
      <c r="V25" s="190" t="s">
        <v>335</v>
      </c>
      <c r="W25" s="191" t="str">
        <f>=IFERROR(ROUND($W$18-$W$21-$W$22-$W$23,2),0)</f>
      </c>
      <c r="X25" s="192" t="str">
        <f>=IFERROR(ROUND($X$18-$X$21-$X$22-$X$23,2),0)</f>
      </c>
      <c r="Z25" s="190" t="s">
        <v>335</v>
      </c>
      <c r="AA25" s="191" t="str">
        <f>=IFERROR(ROUND($AA$18-$AA$21-$AA$22-$AA$23,2),0)</f>
      </c>
      <c r="AB25" s="192" t="str">
        <f>=IFERROR(ROUND($AB$18-$AB$21-$AB$22-$AB$23,2),0)</f>
      </c>
      <c r="AD25" s="190" t="s">
        <v>335</v>
      </c>
      <c r="AE25" s="191" t="str">
        <f>=IFERROR(ROUND($AE$18-$AE$21-$AE$22-$AE$23,2),0)</f>
      </c>
      <c r="AF25" s="192" t="str">
        <f>=IFERROR(ROUND($AF$18-$AF$21-$AF$22-$AF$23,2),0)</f>
      </c>
      <c r="AH25" s="190" t="s">
        <v>335</v>
      </c>
      <c r="AI25" s="191" t="str">
        <f>=IFERROR(ROUND($AI$18-$AI$21-$AI$22-$AI$23,2),0)</f>
      </c>
      <c r="AJ25" s="192" t="str">
        <f>=IFERROR(ROUND($AJ$18-$AJ$21-$AJ$22-$AJ$23,2),0)</f>
      </c>
      <c r="AL25" s="190" t="s">
        <v>335</v>
      </c>
      <c r="AM25" s="191" t="str">
        <f>=IFERROR(ROUND($AM$18-$AM$21-$AM$22-$AM$23,2),0)</f>
      </c>
      <c r="AN25" s="192" t="str">
        <f>=IFERROR(ROUND($AN$18-$AN$21-$AN$22-$AN$23,2),0)</f>
      </c>
      <c r="AP25" s="190" t="s">
        <v>335</v>
      </c>
      <c r="AQ25" s="191" t="str">
        <f>=IFERROR(ROUND($AQ$18-$AQ$21-$AQ$22-$AQ$23,2),0)</f>
      </c>
      <c r="AR25" s="192" t="str">
        <f>=IFERROR(ROUND($AR$18-$AR$21-$AR$22-$AR$23,2),0)</f>
      </c>
      <c r="AT25" s="190" t="s">
        <v>335</v>
      </c>
      <c r="AU25" s="191" t="str">
        <f>=IFERROR(ROUND($AU$18-$AU$21-$AU$22-$AU$23,2),0)</f>
      </c>
      <c r="AV25" s="192" t="str">
        <f>=IFERROR(ROUND($AV$18-$AV$21-$AV$22-$AV$23,2),0)</f>
      </c>
      <c r="AX25" s="190" t="s">
        <v>335</v>
      </c>
      <c r="AY25" s="191" t="str">
        <f>=IFERROR(ROUND($AY$18-$AY$21-$AY$22-$AY$23,2),0)</f>
      </c>
      <c r="AZ25" s="192" t="str">
        <f>=IFERROR(ROUND($AZ$18-$AZ$21-$AZ$22-$AZ$23,2),0)</f>
      </c>
      <c r="BB25" s="190" t="s">
        <v>335</v>
      </c>
      <c r="BC25" s="191" t="str">
        <f>=IFERROR(ROUND($BC$18-$BC$21-$BC$22-$BC$23,2),0)</f>
      </c>
      <c r="BD25" s="192" t="str">
        <f>=IFERROR(ROUND($BD$18-$BD$21-$BD$22-$BD$23,2),0)</f>
      </c>
      <c r="BF25" s="190" t="s">
        <v>335</v>
      </c>
      <c r="BG25" s="191" t="str">
        <f>=IFERROR(ROUND($BG$18-$BG$21-$BG$22-$BG$23,2),0)</f>
      </c>
      <c r="BH25" s="192" t="str">
        <f>=IFERROR(ROUND($BH$18-$BH$21-$BH$22-$BH$23,2),0)</f>
      </c>
      <c r="BJ25" s="190" t="s">
        <v>335</v>
      </c>
      <c r="BK25" s="191" t="str">
        <f>=IFERROR(ROUND($BK$18-$BK$21-$BK$22-$BK$23,2),0)</f>
      </c>
      <c r="BL25" s="192" t="str">
        <f>=IFERROR(ROUND($BL$18-$BL$21-$BL$22-$BL$23,2),0)</f>
      </c>
      <c r="BN25" s="190" t="s">
        <v>335</v>
      </c>
      <c r="BO25" s="191" t="str">
        <f>=IFERROR(ROUND($BO$18-$BO$21-$BO$22-$BO$23,2),0)</f>
      </c>
      <c r="BP25" s="192" t="str">
        <f>=IFERROR(ROUND($BP$18-$BP$21-$BP$22-$BP$23,2),0)</f>
      </c>
      <c r="BR25" s="190" t="s">
        <v>335</v>
      </c>
      <c r="BS25" s="191" t="str">
        <f>=IFERROR(ROUND($BS$18-$BS$21-$BS$22-$BS$23,2),0)</f>
      </c>
      <c r="BT25" s="192"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3" t="s">
        <v>337</v>
      </c>
      <c r="C2" s="193"/>
      <c r="D2" s="193"/>
      <c r="E2" s="193"/>
      <c r="F2" s="193"/>
      <c r="G2" s="193"/>
      <c r="H2" s="193"/>
      <c r="I2" s="193"/>
      <c r="J2" s="193"/>
    </row>
    <row r="3" ht="18" customHeight="true">
      <c r="B3" s="194" t="s">
        <v>338</v>
      </c>
      <c r="C3" s="194"/>
      <c r="D3" s="194"/>
      <c r="E3" s="194"/>
      <c r="F3" s="194"/>
      <c r="G3" s="194"/>
      <c r="H3" s="194"/>
      <c r="I3" s="194"/>
      <c r="J3" s="194"/>
    </row>
    <row r="5" ht="22" customHeight="true">
      <c r="B5" s="195" t="s">
        <v>339</v>
      </c>
      <c r="C5" s="195"/>
      <c r="D5" s="195"/>
      <c r="E5" s="195"/>
      <c r="F5" s="195"/>
      <c r="G5" s="195"/>
      <c r="H5" s="195"/>
      <c r="I5" s="195"/>
      <c r="J5" s="195"/>
      <c r="L5" s="203" t="str">
        <f>=IF(E11=0,"Aktuelle Mittelanforderung (keine gewählt)","Aktuelle Mittelanforderung – Periode "&amp;E10&amp;" (#"&amp;E11&amp;")")</f>
      </c>
      <c r="M5" s="204"/>
      <c r="N5" s="205"/>
      <c r="AD5" t="str">
        <f>=IFERROR(SUMPRODUCT('Daten'!$BA$1:$BA$18,('Daten'!$BB$1:$BB$18=E10)*('Daten'!$BD$1:$BD$18=E11)),0)</f>
      </c>
    </row>
    <row r="6">
      <c r="B6" s="196" t="s">
        <v>340</v>
      </c>
      <c r="C6" s="196"/>
      <c r="D6" s="196"/>
      <c r="E6" s="196"/>
      <c r="F6" s="196"/>
      <c r="G6" s="196"/>
      <c r="H6" s="196"/>
      <c r="I6" s="196"/>
      <c r="J6" s="196"/>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3" t="s">
        <v>341</v>
      </c>
      <c r="D8" s="204"/>
      <c r="E8" s="204"/>
      <c r="F8" s="204"/>
      <c r="G8" s="205"/>
      <c r="L8" s="315" t="s">
        <v>290</v>
      </c>
      <c r="M8" s="308" t="str">
        <f>=IFERROR(CHOOSE($AD$5,'IV. MA'!$C$6,'IV. MA'!$G$6,'IV. MA'!$K$6,'IV. MA'!$O$6,'IV. MA'!$S$6,'IV. MA'!$W$6,'IV. MA'!$AA$6,'IV. MA'!$AE$6,'IV. MA'!$AI$6,'IV. MA'!$AM$6,'IV. MA'!$AQ$6,'IV. MA'!$AU$6,'IV. MA'!$AY$6,'IV. MA'!$BC$6,'IV. MA'!$BG$6,'IV. MA'!$BK$6,'IV. MA'!$BO$6,'IV. MA'!$BS$6),"")</f>
      </c>
      <c r="N8" s="317"/>
    </row>
    <row r="9">
      <c r="C9" s="206" t="s">
        <v>342</v>
      </c>
      <c r="D9" s="198"/>
      <c r="E9" s="63" t="s">
        <v>343</v>
      </c>
      <c r="F9" s="63"/>
      <c r="G9" s="207"/>
      <c r="L9" s="315" t="s">
        <v>291</v>
      </c>
      <c r="M9" s="309" t="str">
        <f>=IFERROR(CHOOSE($AD$5,'IV. MA'!$C$7,'IV. MA'!$G$7,'IV. MA'!$K$7,'IV. MA'!$O$7,'IV. MA'!$S$7,'IV. MA'!$W$7,'IV. MA'!$AA$7,'IV. MA'!$AE$7,'IV. MA'!$AI$7,'IV. MA'!$AM$7,'IV. MA'!$AQ$7,'IV. MA'!$AU$7,'IV. MA'!$AY$7,'IV. MA'!$BC$7,'IV. MA'!$BG$7,'IV. MA'!$BK$7,'IV. MA'!$BO$7,'IV. MA'!$BS$7),"")</f>
      </c>
      <c r="N9" s="318"/>
    </row>
    <row r="10">
      <c r="C10" s="206" t="s">
        <v>344</v>
      </c>
      <c r="D10" s="198"/>
      <c r="E10" s="199" t="str">
        <f>=E81+1</f>
        <v>0</v>
      </c>
      <c r="F10" s="199"/>
      <c r="G10" s="208"/>
      <c r="L10" s="315" t="s">
        <v>326</v>
      </c>
      <c r="M10" s="310" t="str">
        <f>=IFERROR(CHOOSE($AD$5,'IV. MA'!$C$8,'IV. MA'!$G$8,'IV. MA'!$K$8,'IV. MA'!$O$8,'IV. MA'!$S$8,'IV. MA'!$W$8,'IV. MA'!$AA$8,'IV. MA'!$AE$8,'IV. MA'!$AI$8,'IV. MA'!$AM$8,'IV. MA'!$AQ$8,'IV. MA'!$AU$8,'IV. MA'!$AY$8,'IV. MA'!$BC$8,'IV. MA'!$BG$8,'IV. MA'!$BK$8,'IV. MA'!$BO$8,'IV. MA'!$BS$8),"")</f>
      </c>
      <c r="N10" s="319"/>
    </row>
    <row r="11">
      <c r="C11" s="206" t="s">
        <v>345</v>
      </c>
      <c r="D11" s="198"/>
      <c r="E11" s="199" t="str">
        <f>=IF(E9="Neuste MA",IFERROR(SUMPRODUCT(MAX(('Daten'!$BB$1:$BB$18=E10)*('Daten'!$BC$1:$BC$18=1)*'Daten'!$BD$1:$BD$18)),0),IFERROR(VALUE(MID(E9,FIND("(#",E9)+2,FIND(")",E9)-FIND("(#",E9)-2)),0))</f>
      </c>
      <c r="F11" s="199"/>
      <c r="G11" s="209"/>
      <c r="L11" s="47"/>
      <c r="N11" s="48"/>
    </row>
    <row r="12">
      <c r="C12" s="210" t="s">
        <v>346</v>
      </c>
      <c r="D12" s="200"/>
      <c r="E12" s="200"/>
      <c r="F12" s="200"/>
      <c r="G12" s="211"/>
      <c r="L12" s="320" t="s">
        <v>202</v>
      </c>
      <c r="M12" s="180" t="s">
        <v>327</v>
      </c>
      <c r="N12" s="321" t="s">
        <v>328</v>
      </c>
    </row>
    <row r="13">
      <c r="C13" s="212" t="str">
        <f>=IF(1&lt;=E11,"Periode "&amp;E10&amp;" (#1)","")</f>
      </c>
      <c r="D13" s="201"/>
      <c r="E13" s="202" t="str">
        <f>=IF(1&lt;=E11,IFERROR(SUMIFS('Daten'!$BF$1:$BF$18,'Daten'!$BB$1:$BB$18,E10,'Daten'!$BD$1:$BD$18,1),0),"")</f>
      </c>
      <c r="F13" s="202"/>
      <c r="G13" s="213"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2" t="str">
        <f>=IF(2&lt;=E11,"Periode "&amp;E10&amp;" (#2)","")</f>
      </c>
      <c r="D14" s="201"/>
      <c r="E14" s="202" t="str">
        <f>=IF(2&lt;=E11,IFERROR(SUMIFS('Daten'!$BF$1:$BF$18,'Daten'!$BB$1:$BB$18,E10,'Daten'!$BD$1:$BD$18,2),0),"")</f>
      </c>
      <c r="F14" s="202"/>
      <c r="G14" s="213"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2" t="str">
        <f>=IF(3&lt;=E11,"Periode "&amp;E10&amp;" (#3)","")</f>
      </c>
      <c r="D15" s="201"/>
      <c r="E15" s="202" t="str">
        <f>=IF(3&lt;=E11,IFERROR(SUMIFS('Daten'!$BF$1:$BF$18,'Daten'!$BB$1:$BB$18,E10,'Daten'!$BD$1:$BD$18,3),0),"")</f>
      </c>
      <c r="F15" s="202"/>
      <c r="G15" s="213"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2" t="str">
        <f>=IF(4&lt;=E11,"Periode "&amp;E10&amp;" (#4)","")</f>
      </c>
      <c r="D16" s="201"/>
      <c r="E16" s="202" t="str">
        <f>=IF(4&lt;=E11,IFERROR(SUMIFS('Daten'!$BF$1:$BF$18,'Daten'!$BB$1:$BB$18,E10,'Daten'!$BD$1:$BD$18,4),0),"")</f>
      </c>
      <c r="F16" s="202"/>
      <c r="G16" s="213"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2" t="str">
        <f>=IF(5&lt;=E11,"Periode "&amp;E10&amp;" (#5)","")</f>
      </c>
      <c r="D17" s="201"/>
      <c r="E17" s="202" t="str">
        <f>=IF(5&lt;=E11,IFERROR(SUMIFS('Daten'!$BF$1:$BF$18,'Daten'!$BB$1:$BB$18,E10,'Daten'!$BD$1:$BD$18,5),0),"")</f>
      </c>
      <c r="F17" s="202"/>
      <c r="G17" s="213"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4" t="str">
        <f>=IF(6&lt;=E11,"Periode "&amp;E10&amp;" (#6)","")</f>
      </c>
      <c r="D18" s="215"/>
      <c r="E18" s="216" t="str">
        <f>=IF(6&lt;=E11,IFERROR(SUMIFS('Daten'!$BF$1:$BF$18,'Daten'!$BB$1:$BB$18,E10,'Daten'!$BD$1:$BD$18,6),0),"")</f>
      </c>
      <c r="F18" s="216"/>
      <c r="G18" s="217"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6" t="str">
        <f>=IFERROR(CHOOSE($AD$5,'IV. MA'!$D$18,'IV. MA'!$H$18,'IV. MA'!$L$18,'IV. MA'!$P$18,'IV. MA'!$T$18,'IV. MA'!$X$18,'IV. MA'!$AB$18,'IV. MA'!$AF$18,'IV. MA'!$AJ$18,'IV. MA'!$AN$18,'IV. MA'!$AR$18,'IV. MA'!$AV$18,'IV. MA'!$AZ$18,'IV. MA'!$BD$18,'IV. MA'!$BH$18,'IV. MA'!$BL$18,'IV. MA'!$BP$18,'IV. MA'!$BT$18),"")</f>
      </c>
    </row>
    <row r="22">
      <c r="B22" s="224" t="s">
        <v>348</v>
      </c>
      <c r="C22" s="225"/>
      <c r="D22" s="226" t="str">
        <f>=IFERROR(ROUND(KMW_Mittel_EUR,2),0)</f>
      </c>
      <c r="F22" s="231" t="s">
        <v>352</v>
      </c>
      <c r="G22" s="232"/>
      <c r="H22" s="232"/>
      <c r="I22" s="233"/>
      <c r="L22" s="47"/>
      <c r="N22" s="48"/>
    </row>
    <row r="23">
      <c r="B23" s="206" t="s">
        <v>349</v>
      </c>
      <c r="C23" s="198"/>
      <c r="D23" s="227" t="str">
        <f>=IFERROR(ROUND(Kosten_Reserve_EUR,2),0)</f>
      </c>
      <c r="F23" s="234" t="s">
        <v>353</v>
      </c>
      <c r="G23" s="198" t="s">
        <v>354</v>
      </c>
      <c r="H23" s="198"/>
      <c r="I23" s="235"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6" t="str">
        <f>=IF(Reserve_Freigabe="Ja","Operatives Budget (Reserve freigegeben)","Operatives Budget (abzgl. Reserve)")</f>
      </c>
      <c r="C24" s="198"/>
      <c r="D24" s="227" t="str">
        <f>=IF(Reserve_Freigabe="Ja",ROUND($D$22,2),ROUND($D$22-$D$23,2))</f>
      </c>
      <c r="F24" s="234" t="s">
        <v>353</v>
      </c>
      <c r="G24" s="198" t="s">
        <v>355</v>
      </c>
      <c r="H24" s="198"/>
      <c r="I24" s="235"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6" t="s">
        <v>350</v>
      </c>
      <c r="C25" s="198"/>
      <c r="D25" s="227" t="str">
        <f>=IFERROR(ROUND(SUBTOTAL(109,TblKMWMittel[Betrag]),2),0)</f>
      </c>
      <c r="F25" s="234" t="s">
        <v>353</v>
      </c>
      <c r="G25" s="198" t="s">
        <v>356</v>
      </c>
      <c r="H25" s="198"/>
      <c r="I25" s="235"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8" t="s">
        <v>351</v>
      </c>
      <c r="C26" s="229"/>
      <c r="D26" s="230" t="str">
        <f>=ROUND($D$24-$D$25,2)</f>
      </c>
      <c r="F26" s="47"/>
      <c r="G26" s="219" t="s">
        <v>357</v>
      </c>
      <c r="H26" s="219"/>
      <c r="I26" s="236"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7"/>
      <c r="G27" s="229" t="s">
        <v>358</v>
      </c>
      <c r="H27" s="229"/>
      <c r="I27" s="230" t="str">
        <f>=ROUND($D$26-$I$26,2)</f>
      </c>
      <c r="L27" s="47"/>
      <c r="N27" s="48"/>
    </row>
    <row r="28">
      <c r="L28" s="323" t="s">
        <v>335</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4" t="s">
        <v>359</v>
      </c>
      <c r="C29" s="225"/>
      <c r="D29" s="226" t="str">
        <f>=IFERROR(ROUND(SUMIFS('Daten'!$BV$1:$BV$198,'Daten'!$BT$1:$BT$198,"KMW-Mittel",'Daten'!$BR$1:$BR$198,E10,'Daten'!$BS$1:$BS$198,E11),2),0)</f>
      </c>
      <c r="F29" s="224" t="s">
        <v>359</v>
      </c>
      <c r="G29" s="225"/>
      <c r="H29" s="225"/>
      <c r="I29" s="226" t="str">
        <f>=IFERROR(ROUND(SUMIFS('Daten'!$BV$1:$BV$198,'Daten'!$BT$1:$BT$198,"KMW-Mittel",'Daten'!$BR$1:$BR$198,E10,'Daten'!$BS$1:$BS$198,E11),2),0)</f>
      </c>
    </row>
    <row r="30">
      <c r="B30" s="228" t="s">
        <v>360</v>
      </c>
      <c r="C30" s="229"/>
      <c r="D30" s="230" t="str">
        <f>=ROUND($D$26-MAX(0,$D$29),2)</f>
      </c>
      <c r="F30" s="228" t="s">
        <v>361</v>
      </c>
      <c r="G30" s="229"/>
      <c r="H30" s="229"/>
      <c r="I30" s="230" t="str">
        <f>=ROUND($I$27-MAX(0,$I$29),2)</f>
      </c>
    </row>
    <row r="32">
      <c r="B32" s="224" t="s">
        <v>362</v>
      </c>
      <c r="C32" s="225"/>
      <c r="D32" s="238"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4" t="s">
        <v>362</v>
      </c>
      <c r="G32" s="225"/>
      <c r="H32" s="225"/>
      <c r="I32" s="238"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8" t="s">
        <v>360</v>
      </c>
      <c r="C33" s="229"/>
      <c r="D33" s="230" t="str">
        <f>=ROUND($D$26-MAX(0,$D$29)-MAX(0,$D$32),2)</f>
      </c>
      <c r="F33" s="228" t="s">
        <v>361</v>
      </c>
      <c r="G33" s="229"/>
      <c r="H33" s="229"/>
      <c r="I33" s="230" t="str">
        <f>=ROUND($I$27-MAX(0,$I$29)-MAX(0,$I$32),2)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6" t="s">
        <v>367</v>
      </c>
      <c r="C39" s="240" t="str">
        <f>=IFERROR(ROUND(SUMIFS('Daten'!$BF$1:$BF$18,'Daten'!$BB$1:$BB$18,E10,'Daten'!$BD$1:$BD$18,"&lt;="&amp;E11,'Daten'!$BD$1:$BD$18,"&gt;=1"),2),0)</f>
      </c>
      <c r="D39" s="189"/>
      <c r="E39" s="227" t="str">
        <f>=IFERROR(ROUND(SUMIFS('Daten'!$BG$1:$BG$18,'Daten'!$BB$1:$BB$18,E10,'Daten'!$BD$1:$BD$18,"&lt;="&amp;E11,'Daten'!$BD$1:$BD$18,"&gt;=1"),2),0)</f>
      </c>
    </row>
    <row r="40">
      <c r="B40" s="206" t="s">
        <v>368</v>
      </c>
      <c r="C40" s="240" t="str">
        <f>=IFERROR(ROUND(SUBTOTAL(109,TblBudgetAusgaben[Jahr 1]),2),0)</f>
      </c>
      <c r="D40" s="241">
        <v>8</v>
      </c>
      <c r="E40" s="227" t="str">
        <f>=IFERROR(ROUND($C$40/Budget_Kurs,2),0)</f>
      </c>
    </row>
    <row r="41">
      <c r="B41" s="206" t="s">
        <v>369</v>
      </c>
      <c r="C41" s="240" t="str">
        <f>=IFERROR(ROUND(SUBTOTAL(109,TblBudgetAusgaben[Jahr 2]),2),0)</f>
      </c>
      <c r="D41" s="241">
        <v>0</v>
      </c>
      <c r="E41" s="227" t="str">
        <f>=IFERROR(ROUND($C$41/Budget_Kurs,2),0)</f>
      </c>
    </row>
    <row r="42">
      <c r="B42" s="206" t="s">
        <v>370</v>
      </c>
      <c r="C42" s="240" t="str">
        <f>=IFERROR(ROUND(SUBTOTAL(109,TblBudgetAusgaben[Jahr 3]),2),0)</f>
      </c>
      <c r="D42" s="241">
        <v>0</v>
      </c>
      <c r="E42" s="227" t="str">
        <f>=IFERROR(ROUND($C$42/Budget_Kurs,2),0)</f>
      </c>
    </row>
    <row r="43">
      <c r="B43" s="206" t="s">
        <v>371</v>
      </c>
      <c r="C43" s="242" t="str">
        <f>=$D$40+$D$41+$D$42</f>
      </c>
      <c r="D43" s="242"/>
      <c r="E43" s="249"/>
    </row>
    <row r="44">
      <c r="B44" s="206"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189"/>
      <c r="E45" s="236" t="str">
        <f>=IFERROR(ROUND($E$40*$D$40/12+$E$41*$D$41/12+$E$42*$D$42/12,2),0)</f>
      </c>
    </row>
    <row r="46">
      <c r="B46" s="251" t="s">
        <v>374</v>
      </c>
      <c r="C46" s="244" t="str">
        <f>=IF($C$39&lt;=$C$45,"OK","ÜBERSCHRITTEN")</f>
      </c>
      <c r="D46" s="189"/>
      <c r="E46" s="252" t="str">
        <f>=IF($E$39&lt;=$E$45,"OK","ÜBERSCHRITTEN")</f>
      </c>
    </row>
    <row r="47">
      <c r="B47" s="206" t="s">
        <v>375</v>
      </c>
      <c r="C47" s="240" t="str">
        <f>=ROUND(MAX(0,$C$39-$C$45),2)</f>
      </c>
      <c r="D47" s="189"/>
      <c r="E47" s="227"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40" t="str">
        <f>=IFERROR(ROUND(SUMIFS('Daten'!$BU$1:$BU$198,'Daten'!$BT$1:$BT$198,"Eigenmittel",'Daten'!$BR$1:$BR$198,E10,'Daten'!$BS$1:$BS$198,"&lt;="&amp;E11,'Daten'!$BS$1:$BS$198,"&gt;=1"),2),0)</f>
      </c>
      <c r="D53" s="240" t="str">
        <f>=IFERROR(ROUND(Eigenmittel_LW,2),0)</f>
      </c>
      <c r="E53" s="202" t="str">
        <f>=ROUND(IFERROR($C$53-$D$53,0),2)</f>
      </c>
      <c r="F53" s="258" t="str">
        <f>=ROUND(IFERROR(($C$53/$D$53)-1,0),4)</f>
      </c>
      <c r="G53" s="218" t="str">
        <f>=IFERROR(ROUND(SUMIFS('Daten'!$BV$1:$BV$198,'Daten'!$BT$1:$BT$198,"Eigenmittel",'Daten'!$BR$1:$BR$198,E10,'Daten'!$BS$1:$BS$198,"&lt;="&amp;E11,'Daten'!$BS$1:$BS$198,"&gt;=1"),2),0)</f>
      </c>
      <c r="H53" s="218" t="str">
        <f>=IFERROR(ROUND(Eigenmittel_EUR,2),0)</f>
      </c>
      <c r="I53" s="182" t="str">
        <f>=ROUND(IFERROR($G$53-$H$53,0),2)</f>
      </c>
      <c r="J53" s="267" t="str">
        <f>=ROUND(IFERROR(($G$53/$H$53)-1,0),4)</f>
      </c>
    </row>
    <row r="54">
      <c r="B54" s="266" t="s">
        <v>300</v>
      </c>
      <c r="C54" s="240" t="str">
        <f>=IFERROR(ROUND(SUMIFS('Daten'!$BU$1:$BU$198,'Daten'!$BT$1:$BT$198,"Drittmittel",'Daten'!$BR$1:$BR$198,E10,'Daten'!$BS$1:$BS$198,"&lt;="&amp;E11,'Daten'!$BS$1:$BS$198,"&gt;=1"),2),0)</f>
      </c>
      <c r="D54" s="240" t="str">
        <f>=IFERROR(ROUND(Drittmittel_LW,2),0)</f>
      </c>
      <c r="E54" s="202" t="str">
        <f>=ROUND(IFERROR($C$54-$D$54,0),2)</f>
      </c>
      <c r="F54" s="258" t="str">
        <f>=ROUND(IFERROR(($C$54/$D$54)-1,0),4)</f>
      </c>
      <c r="G54" s="218" t="str">
        <f>=IFERROR(ROUND(SUMIFS('Daten'!$BV$1:$BV$198,'Daten'!$BT$1:$BT$198,"Drittmittel",'Daten'!$BR$1:$BR$198,E10,'Daten'!$BS$1:$BS$198,"&lt;="&amp;E11,'Daten'!$BS$1:$BS$198,"&gt;=1"),2),0)</f>
      </c>
      <c r="H54" s="218" t="str">
        <f>=IFERROR(ROUND(Drittmittel_EUR,2),0)</f>
      </c>
      <c r="I54" s="182" t="str">
        <f>=ROUND(IFERROR($G$54-$H$54,0),2)</f>
      </c>
      <c r="J54" s="268" t="str">
        <f>=ROUND(IFERROR(($G$54/$H$54)-1,0),4)</f>
      </c>
    </row>
    <row r="55">
      <c r="B55" s="266" t="s">
        <v>199</v>
      </c>
      <c r="C55" s="240" t="str">
        <f>=IFERROR(ROUND(SUMIFS('Daten'!$BU$1:$BU$198,'Daten'!$BT$1:$BT$198,"KMW-Mittel",'Daten'!$BR$1:$BR$198,E10,'Daten'!$BS$1:$BS$198,"&lt;="&amp;E11,'Daten'!$BS$1:$BS$198,"&gt;=1"),2),0)</f>
      </c>
      <c r="D55" s="240" t="str">
        <f>=IFERROR(ROUND(KMW_Mittel_LW,2),0)</f>
      </c>
      <c r="E55" s="202" t="str">
        <f>=ROUND(IFERROR($C$55-$D$55,0),2)</f>
      </c>
      <c r="F55" s="258" t="str">
        <f>=ROUND(IFERROR(($C$55/$D$55)-1,0),4)</f>
      </c>
      <c r="G55" s="218" t="str">
        <f>=IFERROR(ROUND(SUMIFS('Daten'!$BV$1:$BV$198,'Daten'!$BT$1:$BT$198,"KMW-Mittel",'Daten'!$BR$1:$BR$198,E10,'Daten'!$BS$1:$BS$198,"&lt;="&amp;E11,'Daten'!$BS$1:$BS$198,"&gt;=1"),2),0)</f>
      </c>
      <c r="H55" s="218" t="str">
        <f>=IFERROR(ROUND(KMW_Mittel_EUR,2),0)</f>
      </c>
      <c r="I55" s="182" t="str">
        <f>=ROUND(IFERROR($G$55-$H$55,0),2)</f>
      </c>
      <c r="J55" s="269" t="str">
        <f>=ROUND(IFERROR(($G$55/$H$55)-1,0),4)</f>
      </c>
    </row>
    <row r="56">
      <c r="B56" s="266" t="s">
        <v>301</v>
      </c>
      <c r="C56" s="240" t="str">
        <f>=IFERROR(ROUND(SUMIFS('Daten'!$BU$1:$BU$198,'Daten'!$BT$1:$BT$198,"Zinsertraege",'Daten'!$BR$1:$BR$198,E10,'Daten'!$BS$1:$BS$198,"&lt;="&amp;E11,'Daten'!$BS$1:$BS$198,"&gt;=1"),2),0)</f>
      </c>
      <c r="D56" s="240" t="str">
        <f>=IFERROR(ROUND(0,2),0)</f>
      </c>
      <c r="E56" s="202" t="str">
        <f>=ROUND(IFERROR($C$56-$D$56,0),2)</f>
      </c>
      <c r="F56" s="258" t="str">
        <f>=ROUND(IFERROR(($C$56/$D$56)-1,0),4)</f>
      </c>
      <c r="G56" s="218" t="str">
        <f>=IFERROR(ROUND(SUMIFS('Daten'!$BV$1:$BV$198,'Daten'!$BT$1:$BT$198,"Zinsertraege",'Daten'!$BR$1:$BR$198,E10,'Daten'!$BS$1:$BS$198,"&lt;="&amp;E11,'Daten'!$BS$1:$BS$198,"&gt;=1"),2),0)</f>
      </c>
      <c r="H56" s="218"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40" t="str">
        <f>=IFERROR(ROUND(SUMIFS('Daten'!$BU$1:$BU$198,'Daten'!$BT$1:$BT$198,"Bauausgaben",'Daten'!$BR$1:$BR$198,E10,'Daten'!$BS$1:$BS$198,"&lt;="&amp;E11,'Daten'!$BS$1:$BS$198,"&gt;=1"),2),0)</f>
      </c>
      <c r="D62" s="240" t="str">
        <f>=IFERROR(ROUND(Kosten_Bauausgaben_LW,2),0)</f>
      </c>
      <c r="E62" s="202" t="str">
        <f>=ROUND(IFERROR($C$62-$D$62,0),2)</f>
      </c>
      <c r="F62" s="258" t="str">
        <f>=ROUND(IFERROR(($C$62/$D$62)-1,0),4)</f>
      </c>
      <c r="G62" s="218" t="str">
        <f>=IFERROR(ROUND(SUMIFS('Daten'!$BV$1:$BV$198,'Daten'!$BT$1:$BT$198,"Bauausgaben",'Daten'!$BR$1:$BR$198,E10,'Daten'!$BS$1:$BS$198,"&lt;="&amp;E11,'Daten'!$BS$1:$BS$198,"&gt;=1"),2),0)</f>
      </c>
      <c r="H62" s="218" t="str">
        <f>=IFERROR(ROUND(Kosten_Bauausgaben_EUR,2),0)</f>
      </c>
      <c r="I62" s="182" t="str">
        <f>=ROUND(IFERROR($G$62-$H$62,0),2)</f>
      </c>
      <c r="J62" s="276" t="str">
        <f>=ROUND(IFERROR(($G$62/$H$62)-1,0),4)</f>
      </c>
    </row>
    <row r="63">
      <c r="B63" s="266" t="s">
        <v>210</v>
      </c>
      <c r="C63" s="240" t="str">
        <f>=IFERROR(ROUND(SUMIFS('Daten'!$BU$1:$BU$198,'Daten'!$BT$1:$BT$198,"Investitionen",'Daten'!$BR$1:$BR$198,E10,'Daten'!$BS$1:$BS$198,"&lt;="&amp;E11,'Daten'!$BS$1:$BS$198,"&gt;=1"),2),0)</f>
      </c>
      <c r="D63" s="240" t="str">
        <f>=IFERROR(ROUND(Kosten_Investitionen_LW,2),0)</f>
      </c>
      <c r="E63" s="202" t="str">
        <f>=ROUND(IFERROR($C$63-$D$63,0),2)</f>
      </c>
      <c r="F63" s="258" t="str">
        <f>=ROUND(IFERROR(($C$63/$D$63)-1,0),4)</f>
      </c>
      <c r="G63" s="218" t="str">
        <f>=IFERROR(ROUND(SUMIFS('Daten'!$BV$1:$BV$198,'Daten'!$BT$1:$BT$198,"Investitionen",'Daten'!$BR$1:$BR$198,E10,'Daten'!$BS$1:$BS$198,"&lt;="&amp;E11,'Daten'!$BS$1:$BS$198,"&gt;=1"),2),0)</f>
      </c>
      <c r="H63" s="218" t="str">
        <f>=IFERROR(ROUND(Kosten_Investitionen_EUR,2),0)</f>
      </c>
      <c r="I63" s="182" t="str">
        <f>=ROUND(IFERROR($G$63-$H$63,0),2)</f>
      </c>
      <c r="J63" s="277" t="str">
        <f>=ROUND(IFERROR(($G$63/$H$63)-1,0),4)</f>
      </c>
    </row>
    <row r="64">
      <c r="B64" s="266" t="s">
        <v>213</v>
      </c>
      <c r="C64" s="240" t="str">
        <f>=IFERROR(ROUND(SUMIFS('Daten'!$BU$1:$BU$198,'Daten'!$BT$1:$BT$198,"Personalkosten",'Daten'!$BR$1:$BR$198,E10,'Daten'!$BS$1:$BS$198,"&lt;="&amp;E11,'Daten'!$BS$1:$BS$198,"&gt;=1"),2),0)</f>
      </c>
      <c r="D64" s="240" t="str">
        <f>=IFERROR(ROUND(Kosten_Personalkosten_LW,2),0)</f>
      </c>
      <c r="E64" s="202" t="str">
        <f>=ROUND(IFERROR($C$64-$D$64,0),2)</f>
      </c>
      <c r="F64" s="258" t="str">
        <f>=ROUND(IFERROR(($C$64/$D$64)-1,0),4)</f>
      </c>
      <c r="G64" s="218" t="str">
        <f>=IFERROR(ROUND(SUMIFS('Daten'!$BV$1:$BV$198,'Daten'!$BT$1:$BT$198,"Personalkosten",'Daten'!$BR$1:$BR$198,E10,'Daten'!$BS$1:$BS$198,"&lt;="&amp;E11,'Daten'!$BS$1:$BS$198,"&gt;=1"),2),0)</f>
      </c>
      <c r="H64" s="218" t="str">
        <f>=IFERROR(ROUND(Kosten_Personalkosten_EUR,2),0)</f>
      </c>
      <c r="I64" s="182" t="str">
        <f>=ROUND(IFERROR($G$64-$H$64,0),2)</f>
      </c>
      <c r="J64" s="278" t="str">
        <f>=ROUND(IFERROR(($G$64/$H$64)-1,0),4)</f>
      </c>
    </row>
    <row r="65">
      <c r="B65" s="266" t="s">
        <v>218</v>
      </c>
      <c r="C65" s="240" t="str">
        <f>=IFERROR(ROUND(SUMIFS('Daten'!$BU$1:$BU$198,'Daten'!$BT$1:$BT$198,"Projektaktivitaeten",'Daten'!$BR$1:$BR$198,E10,'Daten'!$BS$1:$BS$198,"&lt;="&amp;E11,'Daten'!$BS$1:$BS$198,"&gt;=1"),2),0)</f>
      </c>
      <c r="D65" s="240" t="str">
        <f>=IFERROR(ROUND(Kosten_Projektaktivitaeten_LW,2),0)</f>
      </c>
      <c r="E65" s="202" t="str">
        <f>=ROUND(IFERROR($C$65-$D$65,0),2)</f>
      </c>
      <c r="F65" s="258" t="str">
        <f>=ROUND(IFERROR(($C$65/$D$65)-1,0),4)</f>
      </c>
      <c r="G65" s="218" t="str">
        <f>=IFERROR(ROUND(SUMIFS('Daten'!$BV$1:$BV$198,'Daten'!$BT$1:$BT$198,"Projektaktivitaeten",'Daten'!$BR$1:$BR$198,E10,'Daten'!$BS$1:$BS$198,"&lt;="&amp;E11,'Daten'!$BS$1:$BS$198,"&gt;=1"),2),0)</f>
      </c>
      <c r="H65" s="218" t="str">
        <f>=IFERROR(ROUND(Kosten_Projektaktivitaeten_EUR,2),0)</f>
      </c>
      <c r="I65" s="182" t="str">
        <f>=ROUND(IFERROR($G$65-$H$65,0),2)</f>
      </c>
      <c r="J65" s="279" t="str">
        <f>=ROUND(IFERROR(($G$65/$H$65)-1,0),4)</f>
      </c>
    </row>
    <row r="66">
      <c r="B66" s="266" t="s">
        <v>221</v>
      </c>
      <c r="C66" s="240" t="str">
        <f>=IFERROR(ROUND(SUMIFS('Daten'!$BU$1:$BU$198,'Daten'!$BT$1:$BT$198,"Projektverwaltung",'Daten'!$BR$1:$BR$198,E10,'Daten'!$BS$1:$BS$198,"&lt;="&amp;E11,'Daten'!$BS$1:$BS$198,"&gt;=1"),2),0)</f>
      </c>
      <c r="D66" s="240" t="str">
        <f>=IFERROR(ROUND(Kosten_Projektverwaltung_LW,2),0)</f>
      </c>
      <c r="E66" s="202" t="str">
        <f>=ROUND(IFERROR($C$66-$D$66,0),2)</f>
      </c>
      <c r="F66" s="258" t="str">
        <f>=ROUND(IFERROR(($C$66/$D$66)-1,0),4)</f>
      </c>
      <c r="G66" s="218" t="str">
        <f>=IFERROR(ROUND(SUMIFS('Daten'!$BV$1:$BV$198,'Daten'!$BT$1:$BT$198,"Projektverwaltung",'Daten'!$BR$1:$BR$198,E10,'Daten'!$BS$1:$BS$198,"&lt;="&amp;E11,'Daten'!$BS$1:$BS$198,"&gt;=1"),2),0)</f>
      </c>
      <c r="H66" s="218" t="str">
        <f>=IFERROR(ROUND(Kosten_Projektverwaltung_EUR,2),0)</f>
      </c>
      <c r="I66" s="182" t="str">
        <f>=ROUND(IFERROR($G$66-$H$66,0),2)</f>
      </c>
      <c r="J66" s="280" t="str">
        <f>=ROUND(IFERROR(($G$66/$H$66)-1,0),4)</f>
      </c>
    </row>
    <row r="67">
      <c r="B67" s="266" t="s">
        <v>224</v>
      </c>
      <c r="C67" s="240" t="str">
        <f>=IFERROR(ROUND(SUMIFS('Daten'!$BU$1:$BU$198,'Daten'!$BT$1:$BT$198,"Evaluierung",'Daten'!$BR$1:$BR$198,E10,'Daten'!$BS$1:$BS$198,"&lt;="&amp;E11,'Daten'!$BS$1:$BS$198,"&gt;=1"),2),0)</f>
      </c>
      <c r="D67" s="240" t="str">
        <f>=IFERROR(ROUND(Kosten_Evaluierung_LW,2),0)</f>
      </c>
      <c r="E67" s="202" t="str">
        <f>=ROUND(IFERROR($C$67-$D$67,0),2)</f>
      </c>
      <c r="F67" s="258" t="str">
        <f>=ROUND(IFERROR(($C$67/$D$67)-1,0),4)</f>
      </c>
      <c r="G67" s="218" t="str">
        <f>=IFERROR(ROUND(SUMIFS('Daten'!$BV$1:$BV$198,'Daten'!$BT$1:$BT$198,"Evaluierung",'Daten'!$BR$1:$BR$198,E10,'Daten'!$BS$1:$BS$198,"&lt;="&amp;E11,'Daten'!$BS$1:$BS$198,"&gt;=1"),2),0)</f>
      </c>
      <c r="H67" s="218" t="str">
        <f>=IFERROR(ROUND(Kosten_Evaluierung_EUR,2),0)</f>
      </c>
      <c r="I67" s="182" t="str">
        <f>=ROUND(IFERROR($G$67-$H$67,0),2)</f>
      </c>
      <c r="J67" s="281" t="str">
        <f>=ROUND(IFERROR(($G$67/$H$67)-1,0),4)</f>
      </c>
    </row>
    <row r="68">
      <c r="B68" s="266" t="s">
        <v>227</v>
      </c>
      <c r="C68" s="240" t="str">
        <f>=IFERROR(ROUND(SUMIFS('Daten'!$BU$1:$BU$198,'Daten'!$BT$1:$BT$198,"Audit",'Daten'!$BR$1:$BR$198,E10,'Daten'!$BS$1:$BS$198,"&lt;="&amp;E11,'Daten'!$BS$1:$BS$198,"&gt;=1"),2),0)</f>
      </c>
      <c r="D68" s="240" t="str">
        <f>=IFERROR(ROUND(Kosten_Audit_LW,2),0)</f>
      </c>
      <c r="E68" s="202" t="str">
        <f>=ROUND(IFERROR($C$68-$D$68,0),2)</f>
      </c>
      <c r="F68" s="258" t="str">
        <f>=ROUND(IFERROR(($C$68/$D$68)-1,0),4)</f>
      </c>
      <c r="G68" s="218" t="str">
        <f>=IFERROR(ROUND(SUMIFS('Daten'!$BV$1:$BV$198,'Daten'!$BT$1:$BT$198,"Audit",'Daten'!$BR$1:$BR$198,E10,'Daten'!$BS$1:$BS$198,"&lt;="&amp;E11,'Daten'!$BS$1:$BS$198,"&gt;=1"),2),0)</f>
      </c>
      <c r="H68" s="218" t="str">
        <f>=IFERROR(ROUND(Kosten_Audit_EUR,2),0)</f>
      </c>
      <c r="I68" s="182" t="str">
        <f>=ROUND(IFERROR($G$68-$H$68,0),2)</f>
      </c>
      <c r="J68" s="282" t="str">
        <f>=ROUND(IFERROR(($G$68/$H$68)-1,0),4)</f>
      </c>
    </row>
    <row r="69">
      <c r="B69" s="266" t="s">
        <v>230</v>
      </c>
      <c r="C69" s="240" t="str">
        <f>=IFERROR(ROUND(SUMIFS('Daten'!$BU$1:$BU$198,'Daten'!$BT$1:$BT$198,"Reserve",'Daten'!$BR$1:$BR$198,E10,'Daten'!$BS$1:$BS$198,"&lt;="&amp;E11,'Daten'!$BS$1:$BS$198,"&gt;=1"),2),0)</f>
      </c>
      <c r="D69" s="240" t="str">
        <f>=IFERROR(ROUND(Kosten_Reserve_LW,2),0)</f>
      </c>
      <c r="E69" s="202" t="str">
        <f>=ROUND(IFERROR($C$69-$D$69,0),2)</f>
      </c>
      <c r="F69" s="258" t="str">
        <f>=ROUND(IFERROR(($C$69/$D$69)-1,0),4)</f>
      </c>
      <c r="G69" s="218" t="str">
        <f>=IFERROR(ROUND(SUMIFS('Daten'!$BV$1:$BV$198,'Daten'!$BT$1:$BT$198,"Reserve",'Daten'!$BR$1:$BR$198,E10,'Daten'!$BS$1:$BS$198,"&lt;="&amp;E11,'Daten'!$BS$1:$BS$198,"&gt;=1"),2),0)</f>
      </c>
      <c r="H69" s="218"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5" t="s">
        <v>388</v>
      </c>
      <c r="C76" s="195"/>
      <c r="D76" s="195"/>
      <c r="E76" s="195"/>
      <c r="F76" s="195"/>
      <c r="G76" s="195"/>
      <c r="H76" s="195"/>
      <c r="I76" s="195"/>
      <c r="J76" s="195"/>
      <c r="L76" s="203" t="str">
        <f>=IF(E81=0,"Aktueller Finanzbericht (keiner gewählt)","Aktueller Finanzbericht – Periode "&amp;E81)</f>
      </c>
      <c r="M76" s="204"/>
      <c r="N76" s="204"/>
      <c r="O76" s="204"/>
      <c r="P76" s="205"/>
    </row>
    <row r="77">
      <c r="B77" s="196" t="s">
        <v>389</v>
      </c>
      <c r="C77" s="196"/>
      <c r="D77" s="196"/>
      <c r="E77" s="196"/>
      <c r="F77" s="196"/>
      <c r="G77" s="196"/>
      <c r="H77" s="196"/>
      <c r="I77" s="196"/>
      <c r="J77" s="196"/>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3" t="s">
        <v>390</v>
      </c>
      <c r="D79" s="204"/>
      <c r="E79" s="204"/>
      <c r="F79" s="204"/>
      <c r="G79" s="205"/>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6" t="s">
        <v>342</v>
      </c>
      <c r="D80" s="198"/>
      <c r="E80" s="63" t="s">
        <v>391</v>
      </c>
      <c r="F80" s="63"/>
      <c r="G80" s="207"/>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4" t="s">
        <v>348</v>
      </c>
      <c r="C85" s="225"/>
      <c r="D85" s="226" t="str">
        <f>=IFERROR(ROUND(KMW_Mittel_EUR,2),0)</f>
      </c>
      <c r="F85" s="231" t="s">
        <v>352</v>
      </c>
      <c r="G85" s="232"/>
      <c r="H85" s="232"/>
      <c r="I85" s="233"/>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6" t="s">
        <v>349</v>
      </c>
      <c r="C86" s="198"/>
      <c r="D86" s="227" t="str">
        <f>=IFERROR(ROUND(Kosten_Reserve_EUR,2),0)</f>
      </c>
      <c r="F86" s="234" t="s">
        <v>353</v>
      </c>
      <c r="G86" s="198" t="s">
        <v>354</v>
      </c>
      <c r="H86" s="198"/>
      <c r="I86" s="235"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6" t="str">
        <f>=IF(Reserve_Freigabe="Ja","Operatives Budget (Reserve freigegeben)","Operatives Budget (abzgl. Reserve)")</f>
      </c>
      <c r="C87" s="198"/>
      <c r="D87" s="227" t="str">
        <f>=IF(Reserve_Freigabe="Ja",ROUND($D$85,2),ROUND($D$85-$D$86,2))</f>
      </c>
      <c r="F87" s="234" t="s">
        <v>353</v>
      </c>
      <c r="G87" s="198" t="s">
        <v>355</v>
      </c>
      <c r="H87" s="198"/>
      <c r="I87" s="235"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6" t="s">
        <v>350</v>
      </c>
      <c r="C88" s="198"/>
      <c r="D88" s="227" t="str">
        <f>=IFERROR(ROUND(SUBTOTAL(109,TblKMWMittel[Betrag]),2),0)</f>
      </c>
      <c r="F88" s="47"/>
      <c r="G88" s="219" t="s">
        <v>357</v>
      </c>
      <c r="H88" s="219"/>
      <c r="I88" s="236"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8" t="s">
        <v>351</v>
      </c>
      <c r="C89" s="229"/>
      <c r="D89" s="230" t="str">
        <f>=ROUND($D$87-$D$88,2)</f>
      </c>
      <c r="F89" s="237"/>
      <c r="G89" s="229" t="s">
        <v>358</v>
      </c>
      <c r="H89" s="229"/>
      <c r="I89" s="230"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40"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40" t="str">
        <f>=IFERROR(ROUND(Eigenmittel_LW,2),0)</f>
      </c>
      <c r="E96" s="202" t="str">
        <f>=ROUND(IFERROR($C$96-$D$96,0),2)</f>
      </c>
      <c r="F96" s="258" t="str">
        <f>=ROUND(IFERROR(($C$96/$D$96)-1,0),4)</f>
      </c>
      <c r="G96" s="218"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8"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40"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40" t="str">
        <f>=IFERROR(ROUND(Drittmittel_LW,2),0)</f>
      </c>
      <c r="E97" s="202" t="str">
        <f>=ROUND(IFERROR($C$97-$D$97,0),2)</f>
      </c>
      <c r="F97" s="258" t="str">
        <f>=ROUND(IFERROR(($C$97/$D$97)-1,0),4)</f>
      </c>
      <c r="G97" s="218"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8"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40"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40" t="str">
        <f>=IFERROR(ROUND(KMW_Mittel_LW,2),0)</f>
      </c>
      <c r="E98" s="202" t="str">
        <f>=ROUND(IFERROR($C$98-$D$98,0),2)</f>
      </c>
      <c r="F98" s="258" t="str">
        <f>=ROUND(IFERROR(($C$98/$D$98)-1,0),4)</f>
      </c>
      <c r="G98" s="218"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8"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40"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40" t="str">
        <f>=IFERROR(ROUND(0,2),0)</f>
      </c>
      <c r="E99" s="202" t="str">
        <f>=ROUND(IFERROR($C$99-$D$99,0),2)</f>
      </c>
      <c r="F99" s="258" t="str">
        <f>=ROUND(IFERROR(($C$99/$D$99)-1,0),4)</f>
      </c>
      <c r="G99" s="218"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8"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40"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40" t="str">
        <f>=IFERROR(ROUND(Kosten_Bauausgaben_LW,2),0)</f>
      </c>
      <c r="E105" s="202" t="str">
        <f>=ROUND(IFERROR($C$105-$D$105,0),2)</f>
      </c>
      <c r="F105" s="258" t="str">
        <f>=ROUND(IFERROR(($C$105/$D$105)-1,0),4)</f>
      </c>
      <c r="G105" s="218"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8"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40"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40" t="str">
        <f>=IFERROR(ROUND(Kosten_Investitionen_LW,2),0)</f>
      </c>
      <c r="E106" s="202" t="str">
        <f>=ROUND(IFERROR($C$106-$D$106,0),2)</f>
      </c>
      <c r="F106" s="258" t="str">
        <f>=ROUND(IFERROR(($C$106/$D$106)-1,0),4)</f>
      </c>
      <c r="G106" s="218"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8" t="str">
        <f>=IFERROR(ROUND(Kosten_Investitionen_EUR,2),0)</f>
      </c>
      <c r="I106" s="182" t="str">
        <f>=ROUND(IFERROR($G$106-$H$106,0),2)</f>
      </c>
      <c r="J106" s="297" t="str">
        <f>=ROUND(IFERROR(($G$106/$H$106)-1,0),4)</f>
      </c>
    </row>
    <row r="107">
      <c r="B107" s="266" t="s">
        <v>213</v>
      </c>
      <c r="C107" s="240"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40" t="str">
        <f>=IFERROR(ROUND(Kosten_Personalkosten_LW,2),0)</f>
      </c>
      <c r="E107" s="202" t="str">
        <f>=ROUND(IFERROR($C$107-$D$107,0),2)</f>
      </c>
      <c r="F107" s="258" t="str">
        <f>=ROUND(IFERROR(($C$107/$D$107)-1,0),4)</f>
      </c>
      <c r="G107" s="218"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8" t="str">
        <f>=IFERROR(ROUND(Kosten_Personalkosten_EUR,2),0)</f>
      </c>
      <c r="I107" s="182" t="str">
        <f>=ROUND(IFERROR($G$107-$H$107,0),2)</f>
      </c>
      <c r="J107" s="298" t="str">
        <f>=ROUND(IFERROR(($G$107/$H$107)-1,0),4)</f>
      </c>
    </row>
    <row r="108">
      <c r="B108" s="266" t="s">
        <v>218</v>
      </c>
      <c r="C108" s="240"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40" t="str">
        <f>=IFERROR(ROUND(Kosten_Projektaktivitaeten_LW,2),0)</f>
      </c>
      <c r="E108" s="202" t="str">
        <f>=ROUND(IFERROR($C$108-$D$108,0),2)</f>
      </c>
      <c r="F108" s="258" t="str">
        <f>=ROUND(IFERROR(($C$108/$D$108)-1,0),4)</f>
      </c>
      <c r="G108" s="218"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8" t="str">
        <f>=IFERROR(ROUND(Kosten_Projektaktivitaeten_EUR,2),0)</f>
      </c>
      <c r="I108" s="182" t="str">
        <f>=ROUND(IFERROR($G$108-$H$108,0),2)</f>
      </c>
      <c r="J108" s="299" t="str">
        <f>=ROUND(IFERROR(($G$108/$H$108)-1,0),4)</f>
      </c>
    </row>
    <row r="109">
      <c r="B109" s="266" t="s">
        <v>221</v>
      </c>
      <c r="C109" s="240"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40" t="str">
        <f>=IFERROR(ROUND(Kosten_Projektverwaltung_LW,2),0)</f>
      </c>
      <c r="E109" s="202" t="str">
        <f>=ROUND(IFERROR($C$109-$D$109,0),2)</f>
      </c>
      <c r="F109" s="258" t="str">
        <f>=ROUND(IFERROR(($C$109/$D$109)-1,0),4)</f>
      </c>
      <c r="G109" s="218"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8" t="str">
        <f>=IFERROR(ROUND(Kosten_Projektverwaltung_EUR,2),0)</f>
      </c>
      <c r="I109" s="182" t="str">
        <f>=ROUND(IFERROR($G$109-$H$109,0),2)</f>
      </c>
      <c r="J109" s="300" t="str">
        <f>=ROUND(IFERROR(($G$109/$H$109)-1,0),4)</f>
      </c>
    </row>
    <row r="110">
      <c r="B110" s="266" t="s">
        <v>224</v>
      </c>
      <c r="C110" s="240"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40" t="str">
        <f>=IFERROR(ROUND(Kosten_Evaluierung_LW,2),0)</f>
      </c>
      <c r="E110" s="202" t="str">
        <f>=ROUND(IFERROR($C$110-$D$110,0),2)</f>
      </c>
      <c r="F110" s="258" t="str">
        <f>=ROUND(IFERROR(($C$110/$D$110)-1,0),4)</f>
      </c>
      <c r="G110" s="218"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8" t="str">
        <f>=IFERROR(ROUND(Kosten_Evaluierung_EUR,2),0)</f>
      </c>
      <c r="I110" s="182" t="str">
        <f>=ROUND(IFERROR($G$110-$H$110,0),2)</f>
      </c>
      <c r="J110" s="301" t="str">
        <f>=ROUND(IFERROR(($G$110/$H$110)-1,0),4)</f>
      </c>
    </row>
    <row r="111">
      <c r="B111" s="266" t="s">
        <v>227</v>
      </c>
      <c r="C111" s="240"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40" t="str">
        <f>=IFERROR(ROUND(Kosten_Audit_LW,2),0)</f>
      </c>
      <c r="E111" s="202" t="str">
        <f>=ROUND(IFERROR($C$111-$D$111,0),2)</f>
      </c>
      <c r="F111" s="258" t="str">
        <f>=ROUND(IFERROR(($C$111/$D$111)-1,0),4)</f>
      </c>
      <c r="G111" s="218"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8" t="str">
        <f>=IFERROR(ROUND(Kosten_Audit_EUR,2),0)</f>
      </c>
      <c r="I111" s="182" t="str">
        <f>=ROUND(IFERROR($G$111-$H$111,0),2)</f>
      </c>
      <c r="J111" s="302" t="str">
        <f>=ROUND(IFERROR(($G$111/$H$111)-1,0),4)</f>
      </c>
    </row>
    <row r="112">
      <c r="B112" s="266" t="s">
        <v>230</v>
      </c>
      <c r="C112" s="240"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40" t="str">
        <f>=IFERROR(ROUND(Kosten_Reserve_LW,2),0)</f>
      </c>
      <c r="E112" s="202" t="str">
        <f>=ROUND(IFERROR($C$112-$D$112,0),2)</f>
      </c>
      <c r="F112" s="258" t="str">
        <f>=ROUND(IFERROR(($C$112/$D$112)-1,0),4)</f>
      </c>
      <c r="G112" s="218"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8"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