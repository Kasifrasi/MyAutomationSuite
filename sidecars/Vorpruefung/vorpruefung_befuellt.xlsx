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<sst xmlns="http://schemas.openxmlformats.org/spreadsheetml/2006/main" count="403" uniqueCount="403">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</sst>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7">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0.71"/>
    <col customWidth="true" hidden="true" max="9" min="9" outlineLevel="1" width="30.43"/>
    <col customWidth="true" hidden="true" max="13" min="10" outlineLevel="1" width="20.71"/>
    <col customWidth="true" hidden="true" max="16" min="16" outlineLevel="1" width="30.43"/>
    <col customWidth="true" hidden="true" max="20" min="17" outlineLevel="1" width="20.71"/>
    <col customWidth="true" hidden="true" max="23" min="23" outlineLevel="1" width="30.43"/>
    <col customWidth="true" hidden="true" max="27" min="24" outlineLevel="1" width="20.71"/>
    <col customWidth="true" hidden="true" max="30" min="30" outlineLevel="1" width="30.43"/>
    <col customWidth="true" hidden="true" max="34" min="31" outlineLevel="1" width="20.71"/>
    <col customWidth="true" hidden="true" max="37" min="37" outlineLevel="1" width="30.43"/>
    <col customWidth="true" hidden="true" max="41" min="38" outlineLevel="1" width="20.71"/>
    <col customWidth="true" hidden="true" max="44" min="44" outlineLevel="1" width="30.43"/>
    <col customWidth="true" hidden="true" max="48" min="45" outlineLevel="1" width="20.71"/>
    <col customWidth="true" hidden="true" max="51" min="51" outlineLevel="1" width="30.43"/>
    <col customWidth="true" hidden="true" max="55" min="52" outlineLevel="1" width="20.71"/>
    <col customWidth="true" hidden="true" max="58" min="58" outlineLevel="1" width="30.43"/>
    <col customWidth="true" hidden="true" max="62" min="59" outlineLevel="1" width="20.71"/>
    <col customWidth="true" hidden="true" max="65" min="65" outlineLevel="1" width="30.43"/>
    <col customWidth="true" hidden="true" max="69" min="66" outlineLevel="1" width="20.71"/>
    <col customWidth="true" hidden="true" max="72" min="72" outlineLevel="1" width="30.43"/>
    <col customWidth="true" hidden="true" max="76" min="73" outlineLevel="1" width="20.71"/>
    <col customWidth="true" hidden="true" max="79" min="79" outlineLevel="1" width="30.43"/>
    <col customWidth="true" hidden="true" max="83" min="80" outlineLevel="1" width="20.71"/>
    <col customWidth="true" hidden="true" max="86" min="86" outlineLevel="1" width="30.43"/>
    <col customWidth="true" hidden="true" max="90" min="87" outlineLevel="1" width="20.71"/>
    <col customWidth="true" hidden="true" max="93" min="93" outlineLevel="1" width="30.43"/>
    <col customWidth="true" hidden="true" max="97" min="94" outlineLevel="1" width="20.71"/>
    <col customWidth="true" hidden="true" max="100" min="100" outlineLevel="1" width="30.43"/>
    <col customWidth="true" hidden="true" max="104" min="101" outlineLevel="1" width="20.71"/>
    <col customWidth="true" hidden="true" max="107" min="107" outlineLevel="1" width="30.43"/>
    <col customWidth="true" hidden="true" max="111" min="108" outlineLevel="1" width="20.71"/>
    <col customWidth="true" hidden="true" max="114" min="114" outlineLevel="1" width="30.43"/>
    <col customWidth="true" hidden="true" max="118" min="115" outlineLevel="1" width="20.71"/>
    <col customWidth="true" hidden="true" max="121" min="121" outlineLevel="1" width="30.43"/>
    <col customWidth="true" hidden="true" max="125" min="122" outlineLevel="1" width="20.71"/>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v>1250000</v>
      </c>
      <c r="E44" s="168">
        <v>10000</v>
      </c>
      <c r="F44" s="169" t="str">
        <f>=ROUND(IFERROR(D44/E44,0),6)</f>
      </c>
      <c r="I44" s="165" t="s">
        <v>199</v>
      </c>
      <c r="J44" s="166" t="s">
        <v>158</v>
      </c>
      <c r="K44" s="167">
        <v>1000000</v>
      </c>
      <c r="L44" s="168">
        <v>8000</v>
      </c>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v>250000</v>
      </c>
      <c r="E52" s="175" t="str">
        <f>=IFERROR(ROUND(D52/$C$8,2),0)</f>
      </c>
      <c r="F52" s="169" t="str">
        <f>=ROUND(IFERROR(D52/E52,0),6)</f>
      </c>
      <c r="I52" s="165" t="s">
        <v>194</v>
      </c>
      <c r="J52" s="166" t="s">
        <v>158</v>
      </c>
      <c r="K52" s="167">
        <v>200000</v>
      </c>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14"/>
    <col customWidth="true" max="4" min="3" width="20.71"/>
    <col customWidth="true" hidden="true" max="6" min="6" outlineLevel="1" width="25.14"/>
    <col customWidth="true" hidden="true" max="8" min="7" outlineLevel="1" width="20.71"/>
    <col customWidth="true" hidden="true" max="10" min="10" outlineLevel="1" width="25.14"/>
    <col customWidth="true" hidden="true" max="12" min="11" outlineLevel="1" width="20.71"/>
    <col customWidth="true" hidden="true" max="14" min="14" outlineLevel="1" width="25.14"/>
    <col customWidth="true" hidden="true" max="16" min="15" outlineLevel="1" width="20.71"/>
    <col customWidth="true" hidden="true" max="18" min="18" outlineLevel="1" width="25.14"/>
    <col customWidth="true" hidden="true" max="20" min="19" outlineLevel="1" width="20.71"/>
    <col customWidth="true" hidden="true" max="22" min="22" outlineLevel="1" width="25.14"/>
    <col customWidth="true" hidden="true" max="24" min="23" outlineLevel="1" width="20.71"/>
    <col customWidth="true" hidden="true" max="26" min="26" outlineLevel="1" width="25.14"/>
    <col customWidth="true" hidden="true" max="28" min="27" outlineLevel="1" width="20.71"/>
    <col customWidth="true" hidden="true" max="30" min="30" outlineLevel="1" width="25.14"/>
    <col customWidth="true" hidden="true" max="32" min="31" outlineLevel="1" width="20.71"/>
    <col customWidth="true" hidden="true" max="34" min="34" outlineLevel="1" width="25.14"/>
    <col customWidth="true" hidden="true" max="36" min="35" outlineLevel="1" width="20.71"/>
    <col customWidth="true" hidden="true" max="38" min="38" outlineLevel="1" width="25.14"/>
    <col customWidth="true" hidden="true" max="40" min="39" outlineLevel="1" width="20.71"/>
    <col customWidth="true" hidden="true" max="42" min="42" outlineLevel="1" width="25.14"/>
    <col customWidth="true" hidden="true" max="44" min="43" outlineLevel="1" width="20.71"/>
    <col customWidth="true" hidden="true" max="46" min="46" outlineLevel="1" width="25.14"/>
    <col customWidth="true" hidden="true" max="48" min="47" outlineLevel="1" width="20.71"/>
    <col customWidth="true" hidden="true" max="50" min="50" outlineLevel="1" width="25.14"/>
    <col customWidth="true" hidden="true" max="52" min="51" outlineLevel="1" width="20.71"/>
    <col customWidth="true" hidden="true" max="54" min="54" outlineLevel="1" width="25.14"/>
    <col customWidth="true" hidden="true" max="56" min="55" outlineLevel="1" width="20.71"/>
    <col customWidth="true" hidden="true" max="58" min="58" outlineLevel="1" width="25.14"/>
    <col customWidth="true" hidden="true" max="60" min="59" outlineLevel="1" width="20.71"/>
    <col customWidth="true" hidden="true" max="62" min="62" outlineLevel="1" width="25.14"/>
    <col customWidth="true" hidden="true" max="64" min="63" outlineLevel="1" width="20.71"/>
    <col customWidth="true" hidden="true" max="66" min="66" outlineLevel="1" width="25.14"/>
    <col customWidth="true" hidden="true" max="68" min="67" outlineLevel="1" width="20.71"/>
    <col customWidth="true" hidden="true" max="70" min="70" outlineLevel="1" width="25.14"/>
    <col customWidth="true" hidden="true" max="72" min="71" outlineLevel="1" width="20.71"/>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v>125</v>
      </c>
      <c r="D8" s="179"/>
      <c r="F8" s="105" t="s">
        <v>326</v>
      </c>
      <c r="G8" s="179">
        <v>125</v>
      </c>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v>250000</v>
      </c>
      <c r="D21" s="182" t="str">
        <f>=IFERROR(ROUND($C$21/$C$8,2),0)</f>
      </c>
      <c r="F21" t="s">
        <v>331</v>
      </c>
      <c r="G21" s="24">
        <v>200000</v>
      </c>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v>125000</v>
      </c>
      <c r="D22" s="182" t="str">
        <f>=IFERROR(ROUND($C$22/$C$8,2),0)</f>
      </c>
      <c r="F22" t="s">
        <v>332</v>
      </c>
      <c r="G22" s="24">
        <v>100000</v>
      </c>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row r="27">
      <c r="B27" s="181" t="s">
        <v>335</v>
      </c>
      <c r="C27" s="181"/>
      <c r="D27" s="25"/>
      <c r="F27" s="181" t="s">
        <v>335</v>
      </c>
      <c r="G27" s="181"/>
      <c r="H27" s="25"/>
      <c r="J27" s="181" t="s">
        <v>335</v>
      </c>
      <c r="K27" s="181"/>
      <c r="L27" s="25"/>
      <c r="N27" s="181" t="s">
        <v>335</v>
      </c>
      <c r="O27" s="181"/>
      <c r="P27" s="25"/>
      <c r="R27" s="181" t="s">
        <v>335</v>
      </c>
      <c r="S27" s="181"/>
      <c r="T27" s="25"/>
      <c r="V27" s="181" t="s">
        <v>335</v>
      </c>
      <c r="W27" s="181"/>
      <c r="X27" s="25"/>
      <c r="Z27" s="181" t="s">
        <v>335</v>
      </c>
      <c r="AA27" s="181"/>
      <c r="AB27" s="25"/>
      <c r="AD27" s="181" t="s">
        <v>335</v>
      </c>
      <c r="AE27" s="181"/>
      <c r="AF27" s="25"/>
      <c r="AH27" s="181" t="s">
        <v>335</v>
      </c>
      <c r="AI27" s="181"/>
      <c r="AJ27" s="25"/>
      <c r="AL27" s="181" t="s">
        <v>335</v>
      </c>
      <c r="AM27" s="181"/>
      <c r="AN27" s="25"/>
      <c r="AP27" s="181" t="s">
        <v>335</v>
      </c>
      <c r="AQ27" s="181"/>
      <c r="AR27" s="25"/>
      <c r="AT27" s="181" t="s">
        <v>335</v>
      </c>
      <c r="AU27" s="181"/>
      <c r="AV27" s="25"/>
      <c r="AX27" s="181" t="s">
        <v>335</v>
      </c>
      <c r="AY27" s="181"/>
      <c r="AZ27" s="25"/>
      <c r="BB27" s="181" t="s">
        <v>335</v>
      </c>
      <c r="BC27" s="181"/>
      <c r="BD27" s="25"/>
      <c r="BF27" s="181" t="s">
        <v>335</v>
      </c>
      <c r="BG27" s="181"/>
      <c r="BH27" s="25"/>
      <c r="BJ27" s="181" t="s">
        <v>335</v>
      </c>
      <c r="BK27" s="181"/>
      <c r="BL27" s="25"/>
      <c r="BN27" s="181" t="s">
        <v>335</v>
      </c>
      <c r="BO27" s="181"/>
      <c r="BP27" s="25"/>
      <c r="BR27" s="181" t="s">
        <v>335</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337</v>
      </c>
      <c r="C2" s="192"/>
      <c r="D2" s="192"/>
      <c r="E2" s="192"/>
      <c r="F2" s="192"/>
      <c r="G2" s="192"/>
      <c r="H2" s="192"/>
      <c r="I2" s="192"/>
      <c r="J2" s="192"/>
    </row>
    <row r="3" ht="18" customHeight="true">
      <c r="B3" s="193" t="s">
        <v>338</v>
      </c>
      <c r="C3" s="193"/>
      <c r="D3" s="193"/>
      <c r="E3" s="193"/>
      <c r="F3" s="193"/>
      <c r="G3" s="193"/>
      <c r="H3" s="193"/>
      <c r="I3" s="193"/>
      <c r="J3" s="193"/>
    </row>
    <row r="5" ht="22" customHeight="true">
      <c r="B5" s="194" t="s">
        <v>339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340</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341</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342</v>
      </c>
      <c r="D9" s="197"/>
      <c r="E9" s="63" t="s">
        <v>343</v>
      </c>
      <c r="F9" s="63"/>
      <c r="G9" s="206"/>
      <c r="L9" s="315" t="s">
        <v>291</v>
      </c>
      <c r="M9" s="309" t="str">
        <f>=IFERROR(CHOOSE($AD$5,'IV. MA'!$C$7,'IV. MA'!$G$7,'IV. MA'!$K$7,'IV. MA'!$O$7,'IV. MA'!$S$7,'IV. MA'!$W$7,'IV. MA'!$AA$7,'IV. MA'!$AE$7,'IV. MA'!$AI$7,'IV. MA'!$AM$7,'IV. MA'!$AQ$7,'IV. MA'!$AU$7,'IV. MA'!$AY$7,'IV. MA'!$BC$7,'IV. MA'!$BG$7,'IV. MA'!$BK$7,'IV. MA'!$BO$7,'IV. MA'!$BS$7),"")</f>
      </c>
      <c r="N9" s="318"/>
    </row>
    <row r="10">
      <c r="C10" s="205" t="s">
        <v>344</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345</v>
      </c>
      <c r="D11" s="197"/>
      <c r="E11" s="198" t="str">
        <f>=IF(E9="Neuste MA",IFERROR(SUMPRODUCT(MAX(('Daten'!$BB$1:$BB$18=E10)*('Daten'!$BC$1:$BC$18=1)*'Daten'!$BD$1:$BD$18)),0),IFERROR(VALUE(MID(E9,FIND("(#",E9)+2,FIND(")",E9)-FIND("(#",E9)-2)),0))</f>
      </c>
      <c r="F11" s="198"/>
      <c r="G11" s="208"/>
      <c r="L11" s="47"/>
      <c r="N11" s="48"/>
    </row>
    <row r="12">
      <c r="C12" s="209" t="s">
        <v>346</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348</v>
      </c>
      <c r="C22" s="224"/>
      <c r="D22" s="225" t="str">
        <f>=IFERROR(ROUND(KMW_Mittel_EUR,2),0)</f>
      </c>
      <c r="F22" s="230" t="s">
        <v>352</v>
      </c>
      <c r="G22" s="231"/>
      <c r="H22" s="231"/>
      <c r="I22" s="232"/>
      <c r="L22" s="47"/>
      <c r="N22" s="48"/>
    </row>
    <row r="23">
      <c r="B23" s="205" t="s">
        <v>349</v>
      </c>
      <c r="C23" s="197"/>
      <c r="D23" s="226" t="str">
        <f>=IFERROR(ROUND(Kosten_Reserve_EUR,2),0)</f>
      </c>
      <c r="F23" s="233" t="s">
        <v>353</v>
      </c>
      <c r="G23" s="197" t="s">
        <v>354</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353</v>
      </c>
      <c r="G24" s="197" t="s">
        <v>355</v>
      </c>
      <c r="H24" s="197"/>
      <c r="I24" s="234"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350</v>
      </c>
      <c r="C25" s="197"/>
      <c r="D25" s="226" t="str">
        <f>=IFERROR(ROUND(SUBTOTAL(109,TblKMWMittel[Betrag]),2),0)</f>
      </c>
      <c r="F25" s="233" t="s">
        <v>353</v>
      </c>
      <c r="G25" s="197" t="s">
        <v>356</v>
      </c>
      <c r="H25" s="197"/>
      <c r="I25" s="234"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351</v>
      </c>
      <c r="C26" s="228"/>
      <c r="D26" s="229" t="str">
        <f>=ROUND($D$24-$D$25,2)</f>
      </c>
      <c r="F26" s="47"/>
      <c r="G26" s="218" t="s">
        <v>357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358</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359</v>
      </c>
      <c r="C29" s="224"/>
      <c r="D29" s="225" t="str">
        <f>=IFERROR(ROUND(SUMIFS('Daten'!$BV$1:$BV$198,'Daten'!$BT$1:$BT$198,"KMW-Mittel",'Daten'!$BR$1:$BR$198,E10,'Daten'!$BS$1:$BS$198,E11),2),0)</f>
      </c>
      <c r="F29" s="223" t="s">
        <v>359</v>
      </c>
      <c r="G29" s="224"/>
      <c r="H29" s="224"/>
      <c r="I29" s="225" t="str">
        <f>=IFERROR(ROUND(SUMIFS('Daten'!$BV$1:$BV$198,'Daten'!$BT$1:$BT$198,"KMW-Mittel",'Daten'!$BR$1:$BR$198,E10,'Daten'!$BS$1:$BS$198,E11),2),0)</f>
      </c>
    </row>
    <row r="30">
      <c r="B30" s="227" t="s">
        <v>360</v>
      </c>
      <c r="C30" s="228"/>
      <c r="D30" s="229" t="str">
        <f>=ROUND($D$26-MAX(0,$D$29),2)</f>
      </c>
      <c r="F30" s="227" t="s">
        <v>361</v>
      </c>
      <c r="G30" s="228"/>
      <c r="H30" s="228"/>
      <c r="I30" s="229" t="str">
        <f>=ROUND($I$27-MAX(0,$I$29),2)</f>
      </c>
    </row>
    <row r="32">
      <c r="B32" s="223" t="s">
        <v>362</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362</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360</v>
      </c>
      <c r="C33" s="228"/>
      <c r="D33" s="229" t="str">
        <f>=ROUND(MAX(0,$D$26-MAX(0,$D$32)),2)</f>
      </c>
      <c r="F33" s="227" t="s">
        <v>361</v>
      </c>
      <c r="G33" s="228"/>
      <c r="H33" s="228"/>
      <c r="I33" s="229" t="str">
        <f>=ROUND(MAX(0,$I$27-MAX(0,$I$32)),2)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5" t="s">
        <v>367</v>
      </c>
      <c r="C39" s="239" t="str">
        <f>=IFERROR(ROUND(SUMIFS('Daten'!$BF$1:$BF$18,'Daten'!$BB$1:$BB$18,E10,'Daten'!$BD$1:$BD$18,"&lt;="&amp;E11,'Daten'!$BD$1:$BD$18,"&gt;=1"),2),0)</f>
      </c>
      <c r="D39" s="240"/>
      <c r="E39" s="226" t="str">
        <f>=IFERROR(ROUND(SUMIFS('Daten'!$BG$1:$BG$18,'Daten'!$BB$1:$BB$18,E10,'Daten'!$BD$1:$BD$18,"&lt;="&amp;E11,'Daten'!$BD$1:$BD$18,"&gt;=1"),2),0)</f>
      </c>
    </row>
    <row r="40">
      <c r="B40" s="205" t="s">
        <v>368</v>
      </c>
      <c r="C40" s="239" t="str">
        <f>=IFERROR(ROUND(SUBTOTAL(109,TblBudgetAusgaben[Jahr 1]),2),0)</f>
      </c>
      <c r="D40" s="241">
        <v>8</v>
      </c>
      <c r="E40" s="226" t="str">
        <f>=IFERROR(ROUND($C$40/Budget_Kurs,2),0)</f>
      </c>
    </row>
    <row r="41">
      <c r="B41" s="205" t="s">
        <v>369</v>
      </c>
      <c r="C41" s="239" t="str">
        <f>=IFERROR(ROUND(SUBTOTAL(109,TblBudgetAusgaben[Jahr 2]),2),0)</f>
      </c>
      <c r="D41" s="241">
        <v>0</v>
      </c>
      <c r="E41" s="226" t="str">
        <f>=IFERROR(ROUND($C$41/Budget_Kurs,2),0)</f>
      </c>
    </row>
    <row r="42">
      <c r="B42" s="205" t="s">
        <v>370</v>
      </c>
      <c r="C42" s="239" t="str">
        <f>=IFERROR(ROUND(SUBTOTAL(109,TblBudgetAusgaben[Jahr 3]),2),0)</f>
      </c>
      <c r="D42" s="241">
        <v>0</v>
      </c>
      <c r="E42" s="226" t="str">
        <f>=IFERROR(ROUND($C$42/Budget_Kurs,2),0)</f>
      </c>
    </row>
    <row r="43">
      <c r="B43" s="205" t="s">
        <v>371</v>
      </c>
      <c r="C43" s="242" t="str">
        <f>=$D$40+$D$41+$D$42</f>
      </c>
      <c r="D43" s="242"/>
      <c r="E43" s="249"/>
    </row>
    <row r="44">
      <c r="B44" s="205"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240"/>
      <c r="E45" s="235" t="str">
        <f>=IFERROR(ROUND($E$40*$D$40/12+$E$41*$D$41/12+$E$42*$D$42/12,2),0)</f>
      </c>
    </row>
    <row r="46">
      <c r="B46" s="251" t="s">
        <v>374</v>
      </c>
      <c r="C46" s="244" t="str">
        <f>=IF($C$39&lt;=$C$45,"OK","ÜBERSCHRITTEN")</f>
      </c>
      <c r="D46" s="240"/>
      <c r="E46" s="252" t="str">
        <f>=IF($E$39&lt;=$E$45,"OK","ÜBERSCHRITTEN")</f>
      </c>
    </row>
    <row r="47">
      <c r="B47" s="205" t="s">
        <v>375</v>
      </c>
      <c r="C47" s="239" t="str">
        <f>=ROUND(MAX(0,$C$39-$C$45),2)</f>
      </c>
      <c r="D47" s="240"/>
      <c r="E47" s="226"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388</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389</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390</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342</v>
      </c>
      <c r="D80" s="197"/>
      <c r="E80" s="63" t="s">
        <v>391</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348</v>
      </c>
      <c r="C85" s="224"/>
      <c r="D85" s="225" t="str">
        <f>=IFERROR(ROUND(KMW_Mittel_EUR,2),0)</f>
      </c>
      <c r="F85" s="230" t="s">
        <v>352</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349</v>
      </c>
      <c r="C86" s="197"/>
      <c r="D86" s="226" t="str">
        <f>=IFERROR(ROUND(Kosten_Reserve_EUR,2),0)</f>
      </c>
      <c r="F86" s="233" t="s">
        <v>353</v>
      </c>
      <c r="G86" s="197" t="s">
        <v>354</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353</v>
      </c>
      <c r="G87" s="197" t="s">
        <v>355</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350</v>
      </c>
      <c r="C88" s="197"/>
      <c r="D88" s="226" t="str">
        <f>=IFERROR(ROUND(SUBTOTAL(109,TblKMWMittel[Betrag]),2),0)</f>
      </c>
      <c r="F88" s="47"/>
      <c r="G88" s="218" t="s">
        <v>357</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351</v>
      </c>
      <c r="C89" s="228"/>
      <c r="D89" s="229" t="str">
        <f>=ROUND($D$87-$D$88,2)</f>
      </c>
      <c r="F89" s="236"/>
      <c r="G89" s="228" t="s">
        <v>358</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C46">
    <cfRule type="expression" dxfId="11" priority="19">
      <formula>$C$46="OK"</formula>
    </cfRule>
  </conditionalFormatting>
  <conditionalFormatting sqref="C46">
    <cfRule type="expression" dxfId="12" priority="20">
      <formula>$C$46&lt;&gt;"OK"</formula>
    </cfRule>
  </conditionalFormatting>
  <conditionalFormatting sqref="E46">
    <cfRule type="expression" dxfId="11" priority="21">
      <formula>$E$46="OK"</formula>
    </cfRule>
  </conditionalFormatting>
  <conditionalFormatting sqref="E46">
    <cfRule type="expression" dxfId="12" priority="22">
      <formula>$E$46&lt;&gt;"OK"</formula>
    </cfRule>
  </conditionalFormatting>
  <conditionalFormatting sqref="C47">
    <cfRule type="expression" dxfId="13" priority="23">
      <formula>$C$47&gt;0</formula>
    </cfRule>
  </conditionalFormatting>
  <conditionalFormatting sqref="E47">
    <cfRule type="expression" dxfId="14" priority="24">
      <formula>$E$47&gt;0</formula>
    </cfRule>
  </conditionalFormatting>
  <conditionalFormatting sqref="F53:F56">
    <cfRule type="expression" dxfId="15" priority="25">
      <formula>F53&gt;=0.2</formula>
    </cfRule>
  </conditionalFormatting>
  <conditionalFormatting sqref="F53:F56">
    <cfRule type="expression" dxfId="16" priority="26">
      <formula>AND(F53&gt;=0.1,F53&lt;0.2)</formula>
    </cfRule>
  </conditionalFormatting>
  <conditionalFormatting sqref="J53:J56">
    <cfRule type="expression" dxfId="15" priority="27">
      <formula>J53&gt;=0.2</formula>
    </cfRule>
  </conditionalFormatting>
  <conditionalFormatting sqref="J53:J56">
    <cfRule type="expression" dxfId="16" priority="28">
      <formula>AND(J53&gt;=0.1,J53&lt;0.2)</formula>
    </cfRule>
  </conditionalFormatting>
  <conditionalFormatting sqref="F62:F69">
    <cfRule type="expression" dxfId="15" priority="29">
      <formula>F62&gt;=0.2</formula>
    </cfRule>
  </conditionalFormatting>
  <conditionalFormatting sqref="F62:F69">
    <cfRule type="expression" dxfId="16" priority="30">
      <formula>AND(F62&gt;=0.1,F62&lt;0.2)</formula>
    </cfRule>
  </conditionalFormatting>
  <conditionalFormatting sqref="J62:J69">
    <cfRule type="expression" dxfId="15" priority="31">
      <formula>J62&gt;=0.2</formula>
    </cfRule>
  </conditionalFormatting>
  <conditionalFormatting sqref="J62:J69">
    <cfRule type="expression" dxfId="16" priority="32">
      <formula>AND(J62&gt;=0.1,J62&lt;0.2)</formula>
    </cfRule>
  </conditionalFormatting>
  <conditionalFormatting sqref="F96:F99">
    <cfRule type="expression" dxfId="15" priority="33">
      <formula>F96&gt;=0.2</formula>
    </cfRule>
  </conditionalFormatting>
  <conditionalFormatting sqref="F96:F99">
    <cfRule type="expression" dxfId="16" priority="34">
      <formula>AND(F96&gt;=0.1,F96&lt;0.2)</formula>
    </cfRule>
  </conditionalFormatting>
  <conditionalFormatting sqref="J96:J99">
    <cfRule type="expression" dxfId="15" priority="35">
      <formula>J96&gt;=0.2</formula>
    </cfRule>
  </conditionalFormatting>
  <conditionalFormatting sqref="J96:J99">
    <cfRule type="expression" dxfId="16" priority="36">
      <formula>AND(J96&gt;=0.1,J96&lt;0.2)</formula>
    </cfRule>
  </conditionalFormatting>
  <conditionalFormatting sqref="F105:F112">
    <cfRule type="expression" dxfId="15" priority="37">
      <formula>F105&gt;=0.2</formula>
    </cfRule>
  </conditionalFormatting>
  <conditionalFormatting sqref="F105:F112">
    <cfRule type="expression" dxfId="16" priority="38">
      <formula>AND(F105&gt;=0.1,F105&lt;0.2)</formula>
    </cfRule>
  </conditionalFormatting>
  <conditionalFormatting sqref="J105:J112">
    <cfRule type="expression" dxfId="15" priority="39">
      <formula>J105&gt;=0.2</formula>
    </cfRule>
  </conditionalFormatting>
  <conditionalFormatting sqref="J105:J112">
    <cfRule type="expression" dxfId="16"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