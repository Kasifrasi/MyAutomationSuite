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<sst xmlns="http://schemas.openxmlformats.org/spreadsheetml/2006/main" count="404" uniqueCount="404">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</sst>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v>1250000</v>
      </c>
      <c r="E44" s="168">
        <v>10000</v>
      </c>
      <c r="F44" s="169" t="str">
        <f>=ROUND(IFERROR(D44/E44,0),6)</f>
      </c>
      <c r="I44" s="165" t="s">
        <v>199</v>
      </c>
      <c r="J44" s="166" t="s">
        <v>320</v>
      </c>
      <c r="K44" s="167">
        <v>1000000</v>
      </c>
      <c r="L44" s="168">
        <v>8000</v>
      </c>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v>250000</v>
      </c>
      <c r="E52" s="175" t="str">
        <f>=IFERROR(ROUND(D52/$C$8,2),0)</f>
      </c>
      <c r="F52" s="169" t="str">
        <f>=ROUND(IFERROR(D52/E52,0),6)</f>
      </c>
      <c r="I52" s="165" t="s">
        <v>194</v>
      </c>
      <c r="J52" s="166" t="s">
        <v>323</v>
      </c>
      <c r="K52" s="167">
        <v>200000</v>
      </c>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341</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342</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343</v>
      </c>
      <c r="D9" s="197"/>
      <c r="E9" s="63" t="s">
        <v>344</v>
      </c>
      <c r="F9" s="63"/>
      <c r="G9" s="206"/>
      <c r="L9" s="315" t="s">
        <v>291</v>
      </c>
      <c r="M9" s="309" t="str">
        <f>=IFERROR(CHOOSE($AD$5,'IV. MA'!$C$7,'IV. MA'!$G$7,'IV. MA'!$K$7,'IV. MA'!$O$7,'IV. MA'!$S$7,'IV. MA'!$W$7,'IV. MA'!$AA$7,'IV. MA'!$AE$7,'IV. MA'!$AI$7,'IV. MA'!$AM$7,'IV. MA'!$AQ$7,'IV. MA'!$AU$7,'IV. MA'!$AY$7,'IV. MA'!$BC$7,'IV. MA'!$BG$7,'IV. MA'!$BK$7,'IV. MA'!$BO$7,'IV. MA'!$BS$7),"")</f>
      </c>
      <c r="N9" s="318"/>
    </row>
    <row r="10">
      <c r="C10" s="205" t="s">
        <v>345</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346</v>
      </c>
      <c r="D11" s="197"/>
      <c r="E11" s="198" t="str">
        <f>=IF(E9="Neuste MA",IFERROR(SUMPRODUCT(MAX(('Daten'!$BB$1:$BB$18=E10)*('Daten'!$BC$1:$BC$18=1)*'Daten'!$BD$1:$BD$18)),0),IFERROR(VALUE(MID(E9,FIND("(#",E9)+2,FIND(")",E9)-FIND("(#",E9)-2)),0))</f>
      </c>
      <c r="F11" s="198"/>
      <c r="G11" s="208"/>
      <c r="L11" s="47"/>
      <c r="N11" s="48"/>
    </row>
    <row r="12">
      <c r="C12" s="209" t="s">
        <v>347</v>
      </c>
      <c r="D12" s="199"/>
      <c r="E12" s="199"/>
      <c r="F12" s="199"/>
      <c r="G12" s="210"/>
      <c r="L12" s="320" t="s">
        <v>202</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349</v>
      </c>
      <c r="C22" s="224"/>
      <c r="D22" s="225" t="str">
        <f>=IFERROR(ROUND(KMW_Mittel_EUR,2),0)</f>
      </c>
      <c r="F22" s="230" t="s">
        <v>353</v>
      </c>
      <c r="G22" s="231"/>
      <c r="H22" s="231"/>
      <c r="I22" s="232"/>
      <c r="L22" s="47"/>
      <c r="N22" s="48"/>
    </row>
    <row r="23">
      <c r="B23" s="205" t="s">
        <v>350</v>
      </c>
      <c r="C23" s="197"/>
      <c r="D23" s="226" t="str">
        <f>=IFERROR(ROUND(Kosten_Reserve_EUR,2),0)</f>
      </c>
      <c r="F23" s="233" t="s">
        <v>354</v>
      </c>
      <c r="G23" s="197" t="s">
        <v>355</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354</v>
      </c>
      <c r="G24" s="197" t="s">
        <v>356</v>
      </c>
      <c r="H24" s="197"/>
      <c r="I24" s="234" t="str">
        <f>=I87</f>
        <v>0</v>
      </c>
      <c r="L24" s="143" t="s">
        <v>398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351</v>
      </c>
      <c r="C25" s="197"/>
      <c r="D25" s="226" t="str">
        <f>=IFERROR(ROUND(SUBTOTAL(109,TblKMWMittel[Betrag]),2),0)</f>
      </c>
      <c r="F25" s="233" t="s">
        <v>354</v>
      </c>
      <c r="G25" s="197" t="s">
        <v>357</v>
      </c>
      <c r="H25" s="197"/>
      <c r="I25" s="234" t="str">
        <f>=ROUND(MAX(0,MAX(0,(SUM($G$96:$G$99)-$G$98)+SUMIFS('Daten'!$BH$1:$BH$18,'Daten'!$BB$1:$BB$18,E10,'Daten'!$BD$1:$BD$18,"&lt;="&amp;E11,'Daten'!$BD$1:$BD$18,"&gt;=1")-(SUM($H$96:$H$99)-$H$98))-I87),2)</f>
        <v>0</v>
      </c>
      <c r="L25" s="143" t="s">
        <v>399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352</v>
      </c>
      <c r="C26" s="228"/>
      <c r="D26" s="229" t="str">
        <f>=ROUND($D$24-$D$25,2)</f>
      </c>
      <c r="F26" s="47"/>
      <c r="G26" s="218" t="s">
        <v>358</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359</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360</v>
      </c>
      <c r="C29" s="224"/>
      <c r="D29" s="225" t="str">
        <f>=IFERROR(ROUND(SUMIFS('Daten'!$BV$1:$BV$198,'Daten'!$BT$1:$BT$198,"KMW-Mittel",'Daten'!$BR$1:$BR$198,E10,'Daten'!$BS$1:$BS$198,E11),2),0)</f>
      </c>
      <c r="F29" s="223" t="s">
        <v>360</v>
      </c>
      <c r="G29" s="224"/>
      <c r="H29" s="224"/>
      <c r="I29" s="225" t="str">
        <f>=IFERROR(ROUND(SUMIFS('Daten'!$BV$1:$BV$198,'Daten'!$BT$1:$BT$198,"KMW-Mittel",'Daten'!$BR$1:$BR$198,E10,'Daten'!$BS$1:$BS$198,E11),2),0)</f>
      </c>
    </row>
    <row r="30">
      <c r="B30" s="227" t="s">
        <v>361</v>
      </c>
      <c r="C30" s="228"/>
      <c r="D30" s="229" t="str">
        <f>=ROUND($D$26-MAX(0,$D$29),2)</f>
      </c>
      <c r="F30" s="227" t="s">
        <v>362</v>
      </c>
      <c r="G30" s="228"/>
      <c r="H30" s="228"/>
      <c r="I30" s="229" t="str">
        <f>=ROUND($I$27-MAX(0,$I$29),2)</f>
      </c>
    </row>
    <row r="32">
      <c r="B32" s="223" t="s">
        <v>363</v>
      </c>
      <c r="C32" s="224"/>
      <c r="D32" s="237"/>
      <c r="F32" s="223" t="s">
        <v>363</v>
      </c>
      <c r="G32" s="224"/>
      <c r="H32" s="224"/>
      <c r="I32" s="237"/>
    </row>
    <row r="33">
      <c r="B33" s="227" t="s">
        <v>361</v>
      </c>
      <c r="C33" s="228"/>
      <c r="D33" s="229" t="str">
        <f>=ROUND($D$26-MAX(0,$D$29)-MAX(0,$D$32),2)</f>
      </c>
      <c r="F33" s="227" t="s">
        <v>362</v>
      </c>
      <c r="G33" s="228"/>
      <c r="H33" s="228"/>
      <c r="I33" s="229" t="str">
        <f>=ROUND($I$27-MAX(0,$I$29)-MAX(0,$I$32),2)</f>
      </c>
    </row>
    <row r="36" ht="22" customHeight="true">
      <c r="B36" s="18" t="s">
        <v>364</v>
      </c>
      <c r="C36" s="18"/>
      <c r="D36" s="18"/>
      <c r="E36" s="18"/>
      <c r="F36" s="18"/>
      <c r="G36" s="18"/>
      <c r="H36" s="18"/>
      <c r="I36" s="18"/>
      <c r="J36" s="18"/>
    </row>
    <row r="38">
      <c r="B38" s="246" t="s">
        <v>158</v>
      </c>
      <c r="C38" s="247" t="s">
        <v>365</v>
      </c>
      <c r="D38" s="247" t="s">
        <v>366</v>
      </c>
      <c r="E38" s="248" t="s">
        <v>367</v>
      </c>
    </row>
    <row r="39">
      <c r="B39" s="205" t="s">
        <v>368</v>
      </c>
      <c r="C39" s="239" t="str">
        <f>=IFERROR(ROUND(SUMIFS('Daten'!$BF$1:$BF$18,'Daten'!$BB$1:$BB$18,E10,'Daten'!$BD$1:$BD$18,"&lt;="&amp;E11,'Daten'!$BD$1:$BD$18,"&gt;=1"),2),0)</f>
      </c>
      <c r="D39" s="240"/>
      <c r="E39" s="226" t="str">
        <f>=IFERROR(ROUND(SUMIFS('Daten'!$BG$1:$BG$18,'Daten'!$BB$1:$BB$18,E10,'Daten'!$BD$1:$BD$18,"&lt;="&amp;E11,'Daten'!$BD$1:$BD$18,"&gt;=1"),2),0)</f>
      </c>
    </row>
    <row r="40">
      <c r="B40" s="205" t="s">
        <v>369</v>
      </c>
      <c r="C40" s="239" t="str">
        <f>=IFERROR(ROUND(SUBTOTAL(109,TblBudgetAusgaben[Jahr 1]),2),0)</f>
      </c>
      <c r="D40" s="241">
        <v>8</v>
      </c>
      <c r="E40" s="226" t="str">
        <f>=IFERROR(ROUND($C$40/Budget_Kurs,2),0)</f>
      </c>
    </row>
    <row r="41">
      <c r="B41" s="205" t="s">
        <v>370</v>
      </c>
      <c r="C41" s="239" t="str">
        <f>=IFERROR(ROUND(SUBTOTAL(109,TblBudgetAusgaben[Jahr 2]),2),0)</f>
      </c>
      <c r="D41" s="241">
        <v>0</v>
      </c>
      <c r="E41" s="226" t="str">
        <f>=IFERROR(ROUND($C$41/Budget_Kurs,2),0)</f>
      </c>
    </row>
    <row r="42">
      <c r="B42" s="205" t="s">
        <v>371</v>
      </c>
      <c r="C42" s="239" t="str">
        <f>=IFERROR(ROUND(SUBTOTAL(109,TblBudgetAusgaben[Jahr 3]),2),0)</f>
      </c>
      <c r="D42" s="241">
        <v>0</v>
      </c>
      <c r="E42" s="226" t="str">
        <f>=IFERROR(ROUND($C$42/Budget_Kurs,2),0)</f>
      </c>
    </row>
    <row r="43">
      <c r="B43" s="205" t="s">
        <v>372</v>
      </c>
      <c r="C43" s="242" t="str">
        <f>=$D$40+$D$41+$D$42</f>
      </c>
      <c r="D43" s="242"/>
      <c r="E43" s="249"/>
    </row>
    <row r="44">
      <c r="B44" s="205" t="s">
        <v>373</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374</v>
      </c>
      <c r="C45" s="243" t="str">
        <f>=IFERROR(ROUND($C$40*$D$40/12+$C$41*$D$41/12+$C$42*$D$42/12,2),0)</f>
      </c>
      <c r="D45" s="240"/>
      <c r="E45" s="235" t="str">
        <f>=IFERROR(ROUND($E$40*$D$40/12+$E$41*$D$41/12+$E$42*$D$42/12,2),0)</f>
      </c>
    </row>
    <row r="46">
      <c r="B46" s="251" t="s">
        <v>375</v>
      </c>
      <c r="C46" s="244" t="str">
        <f>=IF($C$39&lt;=$C$45,"OK","ÜBERSCHRITTEN")</f>
      </c>
      <c r="D46" s="240"/>
      <c r="E46" s="252" t="str">
        <f>=IF($E$39&lt;=$E$45,"OK","ÜBERSCHRITTEN")</f>
      </c>
    </row>
    <row r="47">
      <c r="B47" s="205" t="s">
        <v>376</v>
      </c>
      <c r="C47" s="239" t="str">
        <f>=ROUND(MAX(0,$C$39-$C$45),2)</f>
      </c>
      <c r="D47" s="240"/>
      <c r="E47" s="226" t="str">
        <f>=ROUND(MAX(0,$E$39-$E$45),2)</f>
      </c>
    </row>
    <row r="48">
      <c r="B48" s="253" t="s">
        <v>377</v>
      </c>
      <c r="C48" s="254" t="str">
        <f>=IFERROR($C$39/$C$45,0)</f>
      </c>
      <c r="D48" s="255"/>
      <c r="E48" s="256" t="str">
        <f>=IFERROR($E$39/$E$45,0)</f>
      </c>
    </row>
    <row r="50" ht="22" customHeight="true">
      <c r="B50" s="18" t="s">
        <v>378</v>
      </c>
      <c r="C50" s="18"/>
      <c r="D50" s="18"/>
      <c r="E50" s="18"/>
      <c r="F50" s="18"/>
      <c r="G50" s="18"/>
      <c r="H50" s="18"/>
      <c r="I50" s="18"/>
      <c r="J50" s="18"/>
    </row>
    <row r="52" ht="28" customHeight="true">
      <c r="B52" s="263" t="s">
        <v>379</v>
      </c>
      <c r="C52" s="264" t="s">
        <v>380</v>
      </c>
      <c r="D52" s="264" t="s">
        <v>381</v>
      </c>
      <c r="E52" s="264" t="s">
        <v>382</v>
      </c>
      <c r="F52" s="264" t="s">
        <v>383</v>
      </c>
      <c r="G52" s="264" t="s">
        <v>384</v>
      </c>
      <c r="H52" s="264" t="s">
        <v>385</v>
      </c>
      <c r="I52" s="264" t="s">
        <v>386</v>
      </c>
      <c r="J52" s="265" t="s">
        <v>387</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388</v>
      </c>
      <c r="C59" s="18"/>
      <c r="D59" s="18"/>
      <c r="E59" s="18"/>
      <c r="F59" s="18"/>
      <c r="G59" s="18"/>
      <c r="H59" s="18"/>
      <c r="I59" s="18"/>
      <c r="J59" s="18"/>
    </row>
    <row r="61" ht="28" customHeight="true">
      <c r="B61" s="263" t="s">
        <v>379</v>
      </c>
      <c r="C61" s="264" t="s">
        <v>380</v>
      </c>
      <c r="D61" s="264" t="s">
        <v>381</v>
      </c>
      <c r="E61" s="264" t="s">
        <v>382</v>
      </c>
      <c r="F61" s="264" t="s">
        <v>383</v>
      </c>
      <c r="G61" s="264" t="s">
        <v>384</v>
      </c>
      <c r="H61" s="264" t="s">
        <v>385</v>
      </c>
      <c r="I61" s="264" t="s">
        <v>386</v>
      </c>
      <c r="J61" s="265" t="s">
        <v>387</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389</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390</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391</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343</v>
      </c>
      <c r="D80" s="197"/>
      <c r="E80" s="63" t="s">
        <v>392</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345</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393</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349</v>
      </c>
      <c r="C85" s="224"/>
      <c r="D85" s="225" t="str">
        <f>=IFERROR(ROUND(KMW_Mittel_EUR,2),0)</f>
      </c>
      <c r="F85" s="230" t="s">
        <v>353</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350</v>
      </c>
      <c r="C86" s="197"/>
      <c r="D86" s="226" t="str">
        <f>=IFERROR(ROUND(Kosten_Reserve_EUR,2),0)</f>
      </c>
      <c r="F86" s="233" t="s">
        <v>354</v>
      </c>
      <c r="G86" s="197" t="s">
        <v>355</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354</v>
      </c>
      <c r="G87" s="197" t="s">
        <v>356</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351</v>
      </c>
      <c r="C88" s="197"/>
      <c r="D88" s="226" t="str">
        <f>=IFERROR(ROUND(SUBTOTAL(109,TblKMWMittel[Betrag]),2),0)</f>
      </c>
      <c r="F88" s="47"/>
      <c r="G88" s="218" t="s">
        <v>358</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352</v>
      </c>
      <c r="C89" s="228"/>
      <c r="D89" s="229" t="str">
        <f>=ROUND($D$87-$D$88,2)</f>
      </c>
      <c r="F89" s="236"/>
      <c r="G89" s="228" t="s">
        <v>359</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394</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379</v>
      </c>
      <c r="C95" s="264" t="s">
        <v>395</v>
      </c>
      <c r="D95" s="264" t="s">
        <v>381</v>
      </c>
      <c r="E95" s="264" t="s">
        <v>382</v>
      </c>
      <c r="F95" s="264" t="s">
        <v>383</v>
      </c>
      <c r="G95" s="264" t="s">
        <v>396</v>
      </c>
      <c r="H95" s="264" t="s">
        <v>385</v>
      </c>
      <c r="I95" s="264" t="s">
        <v>386</v>
      </c>
      <c r="J95" s="265" t="s">
        <v>387</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397</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379</v>
      </c>
      <c r="C104" s="264" t="s">
        <v>395</v>
      </c>
      <c r="D104" s="264" t="s">
        <v>381</v>
      </c>
      <c r="E104" s="264" t="s">
        <v>382</v>
      </c>
      <c r="F104" s="264" t="s">
        <v>383</v>
      </c>
      <c r="G104" s="264" t="s">
        <v>396</v>
      </c>
      <c r="H104" s="264" t="s">
        <v>385</v>
      </c>
      <c r="I104" s="264" t="s">
        <v>386</v>
      </c>
      <c r="J104" s="265" t="s">
        <v>387</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400</v>
      </c>
      <c r="I1" s="351" t="s">
        <v>401</v>
      </c>
      <c r="O1" s="351" t="s">
        <v>402</v>
      </c>
      <c r="U1" s="351" t="s">
        <v>403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