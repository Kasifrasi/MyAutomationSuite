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worksheets/sheet6.xml" ContentType="application/vnd.openxmlformats-officedocument.spreadsheetml.worksheet+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metadata.xml" ContentType="application/vnd.openxmlformats-officedocument.spreadsheetml.sheetMetadata+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shboard" sheetId="2" r:id="rId4"/>
    <sheet name="I. Budget" sheetId="3" r:id="rId6"/>
    <sheet name="II. KMW-Mittel" sheetId="4" r:id="rId7"/>
    <sheet name="III. Finanzberichte" sheetId="5" r:id="rId8"/>
    <sheet name="IV. MA" sheetId="6" r:id="rId9"/>
    <sheet name="V. AUSWERTUNG" sheetId="7" r:id="rId10"/>
    <sheet name="Daten" sheetId="8" r:id="rId11" state="hidden"/>
  </sheets>
  <definedNames>
    <definedName name="Saldovortrag_LW">'Dashboard'!$C$13</definedName>
    <definedName name="Saldovortrag_EUR">'Dashboard'!$E$13</definedName>
    <definedName name="Budget_Kurs">'I. Budget'!$H$4</definedName>
    <definedName name="Eigenmittel_LW">'I. Budget'!$E$7</definedName>
    <definedName name="Eigenmittel_EUR">'I. Budget'!$I$7</definedName>
    <definedName name="Drittmittel_LW">'I. Budget'!$E$10</definedName>
    <definedName name="Drittmittel_EUR">'I. Budget'!$I$10</definedName>
    <definedName name="KMW_Mittel_LW">'I. Budget'!$E$13</definedName>
    <definedName name="KMW_Mittel_EUR">'I. Budget'!$I$13</definedName>
    <definedName name="Gesamtprojektmittel_LW">'I. Budget'!$E$15</definedName>
    <definedName name="Gesamtprojektmittel_EUR">'I. Budget'!$I$15</definedName>
    <definedName name="Kosten_Bauausgaben_LW">'I. Budget'!$O$4</definedName>
    <definedName name="Kosten_Bauausgaben_EUR">'I. Budget'!$P$4</definedName>
    <definedName name="Kosten_Investitionen_LW">'I. Budget'!$O$5</definedName>
    <definedName name="Kosten_Investitionen_EUR">'I. Budget'!$P$5</definedName>
    <definedName name="Kosten_Personalkosten_LW">'I. Budget'!$O$6</definedName>
    <definedName name="Kosten_Personalkosten_EUR">'I. Budget'!$P$6</definedName>
    <definedName name="Kosten_Projektaktivitaeten_LW">'I. Budget'!$O$7</definedName>
    <definedName name="Kosten_Projektaktivitaeten_EUR">'I. Budget'!$P$7</definedName>
    <definedName name="Kosten_Projektverwaltung_LW">'I. Budget'!$O$8</definedName>
    <definedName name="Kosten_Projektverwaltung_EUR">'I. Budget'!$P$8</definedName>
    <definedName name="Kosten_Evaluierung_LW">'I. Budget'!$O$9</definedName>
    <definedName name="Kosten_Evaluierung_EUR">'I. Budget'!$P$9</definedName>
    <definedName name="Kosten_Audit_LW">'I. Budget'!$O$10</definedName>
    <definedName name="Kosten_Audit_EUR">'I. Budget'!$P$10</definedName>
    <definedName name="Kosten_Reserve_LW">'I. Budget'!$O$11</definedName>
    <definedName name="Kosten_Reserve_EUR">'I. Budget'!$P$11</definedName>
    <definedName name="Gesamtausgaben_LW">'I. Budget'!$O$12</definedName>
    <definedName name="Gesamtausgaben_EUR">'I. Budget'!$P$12</definedName>
    <definedName name="Geber_Liste">OFFSET('I. Budget'!$R$1, 0, 0, COUNTA('I. Budget'!R:R), 1)</definedName>
    <definedName name="Budget_ID_Liste">OFFSET('I. Budget'!$S$1, 0, 0, COUNTA('I. Budget'!S:S), 1)</definedName>
    <definedName name="Reserve_Freigabe">'I. Budget'!$K$5</definedName>
    <definedName name="FB_Kurs_1">'III. Finanzberichte'!$C$8</definedName>
    <definedName name="FB_SaldoLC_1">'III. Finanzberichte'!$C$31</definedName>
    <definedName name="FB_SaldoEUR_1">'III. Finanzberichte'!$D$31</definedName>
    <definedName name="FB_Kurs_2">'III. Finanzberichte'!$J$8</definedName>
    <definedName name="FB_SaldoLC_2">'III. Finanzberichte'!$J$31</definedName>
    <definedName name="FB_SaldoEUR_2">'III. Finanzberichte'!$K$31</definedName>
    <definedName name="FB_Kurs_3">'III. Finanzberichte'!$Q$8</definedName>
    <definedName name="FB_SaldoLC_3">'III. Finanzberichte'!$Q$31</definedName>
    <definedName name="FB_SaldoEUR_3">'III. Finanzberichte'!$R$31</definedName>
    <definedName name="FB_Kurs_4">'III. Finanzberichte'!$X$8</definedName>
    <definedName name="FB_SaldoLC_4">'III. Finanzberichte'!$X$31</definedName>
    <definedName name="FB_SaldoEUR_4">'III. Finanzberichte'!$Y$31</definedName>
    <definedName name="FB_Kurs_5">'III. Finanzberichte'!$AE$8</definedName>
    <definedName name="FB_SaldoLC_5">'III. Finanzberichte'!$AE$31</definedName>
    <definedName name="FB_SaldoEUR_5">'III. Finanzberichte'!$AF$31</definedName>
    <definedName name="FB_Kurs_6">'III. Finanzberichte'!$AL$8</definedName>
    <definedName name="FB_SaldoLC_6">'III. Finanzberichte'!$AL$31</definedName>
    <definedName name="FB_SaldoEUR_6">'III. Finanzberichte'!$AM$31</definedName>
    <definedName name="FB_Kurs_7">'III. Finanzberichte'!$AS$8</definedName>
    <definedName name="FB_SaldoLC_7">'III. Finanzberichte'!$AS$31</definedName>
    <definedName name="FB_SaldoEUR_7">'III. Finanzberichte'!$AT$31</definedName>
    <definedName name="FB_Kurs_8">'III. Finanzberichte'!$AZ$8</definedName>
    <definedName name="FB_SaldoLC_8">'III. Finanzberichte'!$AZ$31</definedName>
    <definedName name="FB_SaldoEUR_8">'III. Finanzberichte'!$BA$31</definedName>
    <definedName name="FB_Kurs_9">'III. Finanzberichte'!$BG$8</definedName>
    <definedName name="FB_SaldoLC_9">'III. Finanzberichte'!$BG$31</definedName>
    <definedName name="FB_SaldoEUR_9">'III. Finanzberichte'!$BH$31</definedName>
    <definedName name="FB_Kurs_10">'III. Finanzberichte'!$BN$8</definedName>
    <definedName name="FB_SaldoLC_10">'III. Finanzberichte'!$BN$31</definedName>
    <definedName name="FB_SaldoEUR_10">'III. Finanzberichte'!$BO$31</definedName>
    <definedName name="FB_Kurs_11">'III. Finanzberichte'!$BU$8</definedName>
    <definedName name="FB_SaldoLC_11">'III. Finanzberichte'!$BU$31</definedName>
    <definedName name="FB_SaldoEUR_11">'III. Finanzberichte'!$BV$31</definedName>
    <definedName name="FB_Kurs_12">'III. Finanzberichte'!$CB$8</definedName>
    <definedName name="FB_SaldoLC_12">'III. Finanzberichte'!$CB$31</definedName>
    <definedName name="FB_SaldoEUR_12">'III. Finanzberichte'!$CC$31</definedName>
    <definedName name="FB_Kurs_13">'III. Finanzberichte'!$CI$8</definedName>
    <definedName name="FB_SaldoLC_13">'III. Finanzberichte'!$CI$31</definedName>
    <definedName name="FB_SaldoEUR_13">'III. Finanzberichte'!$CJ$31</definedName>
    <definedName name="FB_Kurs_14">'III. Finanzberichte'!$CP$8</definedName>
    <definedName name="FB_SaldoLC_14">'III. Finanzberichte'!$CP$31</definedName>
    <definedName name="FB_SaldoEUR_14">'III. Finanzberichte'!$CQ$31</definedName>
    <definedName name="FB_Kurs_15">'III. Finanzberichte'!$CW$8</definedName>
    <definedName name="FB_SaldoLC_15">'III. Finanzberichte'!$CW$31</definedName>
    <definedName name="FB_SaldoEUR_15">'III. Finanzberichte'!$CX$31</definedName>
    <definedName name="FB_Kurs_16">'III. Finanzberichte'!$DD$8</definedName>
    <definedName name="FB_SaldoLC_16">'III. Finanzberichte'!$DD$31</definedName>
    <definedName name="FB_SaldoEUR_16">'III. Finanzberichte'!$DE$31</definedName>
    <definedName name="FB_Kurs_17">'III. Finanzberichte'!$DK$8</definedName>
    <definedName name="FB_SaldoLC_17">'III. Finanzberichte'!$DK$31</definedName>
    <definedName name="FB_SaldoEUR_17">'III. Finanzberichte'!$DL$31</definedName>
    <definedName name="FB_Kurs_18">'III. Finanzberichte'!$DR$8</definedName>
    <definedName name="FB_SaldoLC_18">'III. Finanzberichte'!$DR$31</definedName>
    <definedName name="FB_SaldoEUR_18">'III. Finanzberichte'!$DS$31</definedName>
    <definedName name="MA_Kurs_1">'IV. MA'!$C$8</definedName>
    <definedName name="MA_Kurs_2">'IV. MA'!$G$8</definedName>
    <definedName name="MA_Kurs_3">'IV. MA'!$K$8</definedName>
    <definedName name="MA_Kurs_4">'IV. MA'!$O$8</definedName>
    <definedName name="MA_Kurs_5">'IV. MA'!$S$8</definedName>
    <definedName name="MA_Kurs_6">'IV. MA'!$W$8</definedName>
    <definedName name="MA_Kurs_7">'IV. MA'!$AA$8</definedName>
    <definedName name="MA_Kurs_8">'IV. MA'!$AE$8</definedName>
    <definedName name="MA_Kurs_9">'IV. MA'!$AI$8</definedName>
    <definedName name="MA_Kurs_10">'IV. MA'!$AM$8</definedName>
    <definedName name="MA_Kurs_11">'IV. MA'!$AQ$8</definedName>
    <definedName name="MA_Kurs_12">'IV. MA'!$AU$8</definedName>
    <definedName name="MA_Kurs_13">'IV. MA'!$AY$8</definedName>
    <definedName name="MA_Kurs_14">'IV. MA'!$BC$8</definedName>
    <definedName name="MA_Kurs_15">'IV. MA'!$BG$8</definedName>
    <definedName name="MA_Kurs_16">'IV. MA'!$BK$8</definedName>
    <definedName name="MA_Kurs_17">'IV. MA'!$BO$8</definedName>
    <definedName name="MA_Kurs_18">'IV. MA'!$BS$8</definedName>
    <definedName name="FB_Auswahl_Liste">OFFSET('Daten'!$BP$1,0,0,COUNTA('Daten'!$BP:$BP),1)</definedName>
    <definedName name="MA_Auswahl_Liste">OFFSET('Daten'!$BN$1,0,0,COUNTA('Daten'!$BN:$BN),1)</definedName>
  </definedNames>
  <calcPr calcId="122211" fullCalcOnLoad="true"/>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<sst xmlns="http://schemas.openxmlformats.org/spreadsheetml/2006/main" count="404" uniqueCount="404">
  <si>
    <t xml:space="preserve">  DASHBOARD (v1.0)</t>
  </si>
  <si>
    <t>Statische Projektinformationen</t>
  </si>
  <si>
    <t>AED</t>
  </si>
  <si>
    <t>AFN</t>
  </si>
  <si>
    <t>ALL</t>
  </si>
  <si>
    <t>AMD</t>
  </si>
  <si>
    <t>AOA</t>
  </si>
  <si>
    <t>ARS</t>
  </si>
  <si>
    <t>AUD</t>
  </si>
  <si>
    <t>AWG</t>
  </si>
  <si>
    <t>AZN</t>
  </si>
  <si>
    <t>BAM</t>
  </si>
  <si>
    <t>BBD</t>
  </si>
  <si>
    <t>BDT</t>
  </si>
  <si>
    <t>BHD</t>
  </si>
  <si>
    <t>BIF</t>
  </si>
  <si>
    <t>BMD</t>
  </si>
  <si>
    <t>BND</t>
  </si>
  <si>
    <t>BOB</t>
  </si>
  <si>
    <t>BRL</t>
  </si>
  <si>
    <t>BSD</t>
  </si>
  <si>
    <t>BTN</t>
  </si>
  <si>
    <t>BWP</t>
  </si>
  <si>
    <t>BYN</t>
  </si>
  <si>
    <t>BZD</t>
  </si>
  <si>
    <t>CAD</t>
  </si>
  <si>
    <t>CDF</t>
  </si>
  <si>
    <t>CHF</t>
  </si>
  <si>
    <t>CLP</t>
  </si>
  <si>
    <t>CNY</t>
  </si>
  <si>
    <t>COP</t>
  </si>
  <si>
    <t>CRC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</si>
  <si>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</si>
  <si>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</si>
  <si>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</si>
  <si>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</si>
  <si>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</si>
  <si>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</si>
  <si>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</si>
  <si>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</si>
  <si>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</si>
  <si>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</si>
  <si>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</si>
  <si>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</si>
  <si>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</si>
  <si>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</si>
  <si>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</si>
  <si>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</si>
  <si>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</si>
  <si>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</si>
  <si>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</si>
  <si>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</si>
  <si>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</si>
  <si>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</si>
  <si>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</si>
  <si>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</si>
  <si>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</si>
  <si>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</si>
  <si>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</si>
  <si>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</si>
  <si>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</si>
  <si>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</si>
  <si>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</si>
  <si>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</si>
  <si>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</si>
  <si>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</si>
  <si>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</si>
  <si>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</si>
  <si>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</si>
  <si>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</si>
  <si>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</si>
  <si>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</si>
  <si>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</si>
  <si>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</si>
  <si>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</si>
  <si>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</si>
  <si>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</si>
  <si>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</si>
  <si>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</si>
  <si>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</si>
  <si>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</si>
  <si>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</si>
  <si>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</si>
  <si>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</si>
  <si>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</si>
  <si>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</si>
  <si>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</si>
  <si>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</si>
  <si>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</si>
  <si>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</si>
  <si>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</si>
  <si>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</si>
  <si>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</si>
  <si>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</si>
  <si>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</si>
  <si>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</si>
  <si>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</si>
  <si>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</si>
  <si>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</si>
  <si>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</si>
  <si>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</si>
  <si>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</si>
  <si>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</si>
  <si>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</si>
  <si>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</si>
  <si>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</si>
  <si>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</si>
  <si>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</si>
  <si>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</si>
  <si>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</si>
  <si>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</si>
  <si>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</si>
  <si>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</si>
  <si>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</si>
  <si>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</si>
  <si>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</si>
  <si>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</si>
  <si>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</si>
  <si>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</si>
  <si>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</si>
  <si>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</si>
  <si>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SLE</t>
  </si>
  <si>
    <t>SOS</t>
  </si>
  <si>
    <t>SRD</t>
  </si>
  <si>
    <t>SSP</t>
  </si>
  <si>
    <t>STN</t>
  </si>
  <si>
    <t>SVC</t>
  </si>
  <si>
    <t>SYP</t>
  </si>
  <si>
    <t>SZL</t>
  </si>
  <si>
    <t>THB</t>
  </si>
  <si>
    <t>TJS</t>
  </si>
  <si>
    <t>TMT</t>
  </si>
  <si>
    <t>TND</t>
  </si>
  <si>
    <t>TOP</t>
  </si>
  <si>
    <t>TRY</t>
  </si>
  <si>
    <t>TTD</t>
  </si>
  <si>
    <t>TWD</t>
  </si>
  <si>
    <t>TZS</t>
  </si>
  <si>
    <t>UAH</t>
  </si>
  <si>
    <t>UGX</t>
  </si>
  <si>
    <t>USD</t>
  </si>
  <si>
    <t>UYU</t>
  </si>
  <si>
    <t>UZS</t>
  </si>
  <si>
    <t>VED</t>
  </si>
  <si>
    <t>VES</t>
  </si>
  <si>
    <t>VND</t>
  </si>
  <si>
    <t>VUV</t>
  </si>
  <si>
    <t>WST</t>
  </si>
  <si>
    <t>XAF</t>
  </si>
  <si>
    <t>XCD</t>
  </si>
  <si>
    <t>XCG</t>
  </si>
  <si>
    <t>XOF</t>
  </si>
  <si>
    <t>XPF</t>
  </si>
  <si>
    <t>YER</t>
  </si>
  <si>
    <t>ZAR</t>
  </si>
  <si>
    <t>ZMW</t>
  </si>
  <si>
    <t>ZWG</t>
  </si>
  <si>
    <t>Projektnummer</t>
  </si>
  <si>
    <t/>
  </si>
  <si>
    <t>Vorprojekt vorhanden</t>
  </si>
  <si>
    <t>Ja</t>
  </si>
  <si>
    <t>Projekttitel</t>
  </si>
  <si>
    <t>Projekttraeger</t>
  </si>
  <si>
    <t>Berichtswaehrung</t>
  </si>
  <si>
    <t>Projektlaufzeit (geplant)</t>
  </si>
  <si>
    <t>In Monate</t>
  </si>
  <si>
    <t>Vorprojektnummer</t>
  </si>
  <si>
    <t>VP-Berichtswaehrung</t>
  </si>
  <si>
    <t>Vorprojektende</t>
  </si>
  <si>
    <t>Wechselkurs</t>
  </si>
  <si>
    <t>Saldo (LW)</t>
  </si>
  <si>
    <t>Saldo (EUR)</t>
  </si>
  <si>
    <t>Folgeprojektstart</t>
  </si>
  <si>
    <t>Saldovortrag (LW)</t>
  </si>
  <si>
    <t>Saldovortrag (EUR)</t>
  </si>
  <si>
    <t>Folgende Dokumente liegen vor:</t>
  </si>
  <si>
    <t>Nein</t>
  </si>
  <si>
    <t>Vorprojektsaldo (Nachweis)</t>
  </si>
  <si>
    <t>Vertrag</t>
  </si>
  <si>
    <t>Budget</t>
  </si>
  <si>
    <t>Bankbelege</t>
  </si>
  <si>
    <t>Finanzbericht(e)</t>
  </si>
  <si>
    <t>Einzelbelege und Beleglisten</t>
  </si>
  <si>
    <t>Narrativer Bericht</t>
  </si>
  <si>
    <t>I. KERNDATEN BUDGET</t>
  </si>
  <si>
    <t>1. GEPLANTE EINNAHMEN / FINANZIERUNG</t>
  </si>
  <si>
    <t>€ Budget-Kurs:</t>
  </si>
  <si>
    <t>Finanzierungsquelle</t>
  </si>
  <si>
    <t>Betrag (LC)</t>
  </si>
  <si>
    <t>Jahr 1</t>
  </si>
  <si>
    <t>Jahr 2</t>
  </si>
  <si>
    <t>Jahr 3</t>
  </si>
  <si>
    <t>Betrag (EUR)</t>
  </si>
  <si>
    <t>1.1 Eigenmittel</t>
  </si>
  <si>
    <t>Eigenmittel</t>
  </si>
  <si>
    <t>1.2 Drittmittel</t>
  </si>
  <si>
    <t>Drittmittel (Summe):</t>
  </si>
  <si>
    <t>Aufstellung je Geber → Tabelle rechts</t>
  </si>
  <si>
    <t>1.3 KMW-Mittel</t>
  </si>
  <si>
    <t>KMW-Mittel</t>
  </si>
  <si>
    <t>GESAMTPROJEKTMITTEL</t>
  </si>
  <si>
    <t>2. GEPLANTE AUSGABEN</t>
  </si>
  <si>
    <t>Kostenkategorie</t>
  </si>
  <si>
    <t>ID</t>
  </si>
  <si>
    <t>Kostenposition</t>
  </si>
  <si>
    <t>Bauausgaben</t>
  </si>
  <si>
    <t>1.1</t>
  </si>
  <si>
    <t>Rohbau</t>
  </si>
  <si>
    <t>1.2</t>
  </si>
  <si>
    <t>Innenausbau</t>
  </si>
  <si>
    <t>Investitionen</t>
  </si>
  <si>
    <t>2.1</t>
  </si>
  <si>
    <t>Fahrzeuge</t>
  </si>
  <si>
    <t>Personalkosten</t>
  </si>
  <si>
    <t>3.1</t>
  </si>
  <si>
    <t>Projektleitung</t>
  </si>
  <si>
    <t>3.2</t>
  </si>
  <si>
    <t>Fachkraefte</t>
  </si>
  <si>
    <t>Projektaktivitaeten</t>
  </si>
  <si>
    <t>4.1</t>
  </si>
  <si>
    <t>Schulungen</t>
  </si>
  <si>
    <t>Projektverwaltung</t>
  </si>
  <si>
    <t>5.1</t>
  </si>
  <si>
    <t>Buero</t>
  </si>
  <si>
    <t>Evaluierung</t>
  </si>
  <si>
    <t>6.1</t>
  </si>
  <si>
    <t>Zwischenbewertung</t>
  </si>
  <si>
    <t>Audit</t>
  </si>
  <si>
    <t>7.1</t>
  </si>
  <si>
    <t>Jahresabschluss</t>
  </si>
  <si>
    <t>Reserve</t>
  </si>
  <si>
    <t>8.1</t>
  </si>
  <si>
    <t>Geplante Gesamtausgaben</t>
  </si>
  <si>
    <t>Drittmittel – Aufstellung je Geber</t>
  </si>
  <si>
    <t>Name des Gebers</t>
  </si>
  <si>
    <t>Projektpartner A</t>
  </si>
  <si>
    <t>Bank XY</t>
  </si>
  <si>
    <t>Reserve Freigabe</t>
  </si>
  <si>
    <t>Reserve freigeben:</t>
  </si>
  <si>
    <t>Begruendung</t>
  </si>
  <si>
    <t>Budgetpruefung</t>
  </si>
  <si>
    <t>Einnahmen = Ausgaben (LC)</t>
  </si>
  <si>
    <t>Einnahmen = Ausgaben (EUR)</t>
  </si>
  <si>
    <t>Gleicher Budget-Kurs</t>
  </si>
  <si>
    <t>Einnahmen: Jahre = Gesamt (LC)</t>
  </si>
  <si>
    <t>Ausgaben: Jahre = Gesamt (LC)</t>
  </si>
  <si>
    <t>II. KMW-MITTEL BEREITGESTELLT</t>
  </si>
  <si>
    <t>Periode 1</t>
  </si>
  <si>
    <t>Periode 2</t>
  </si>
  <si>
    <t>Periode 3</t>
  </si>
  <si>
    <t>Periode 4</t>
  </si>
  <si>
    <t>Periode 5</t>
  </si>
  <si>
    <t>Periode 6</t>
  </si>
  <si>
    <t>Periode 7</t>
  </si>
  <si>
    <t>Periode 8</t>
  </si>
  <si>
    <t>Periode 9</t>
  </si>
  <si>
    <t>Periode 10</t>
  </si>
  <si>
    <t>Periode 11</t>
  </si>
  <si>
    <t>Periode 12</t>
  </si>
  <si>
    <t>Periode 13</t>
  </si>
  <si>
    <t>Periode 14</t>
  </si>
  <si>
    <t>Periode 15</t>
  </si>
  <si>
    <t>Periode 16</t>
  </si>
  <si>
    <t>Periode 17</t>
  </si>
  <si>
    <t>Periode 18</t>
  </si>
  <si>
    <t>Periode 19</t>
  </si>
  <si>
    <t>Periode 20</t>
  </si>
  <si>
    <t>Periode 21</t>
  </si>
  <si>
    <t>Periode 22</t>
  </si>
  <si>
    <t>Periode 23</t>
  </si>
  <si>
    <t>Periode 24</t>
  </si>
  <si>
    <t>Periode 25</t>
  </si>
  <si>
    <t>Periode 26</t>
  </si>
  <si>
    <t>Periode 27</t>
  </si>
  <si>
    <t>Periode 28</t>
  </si>
  <si>
    <t>Periode 29</t>
  </si>
  <si>
    <t>Periode 30</t>
  </si>
  <si>
    <t>Periode 31</t>
  </si>
  <si>
    <t>Periode 32</t>
  </si>
  <si>
    <t>Periode 33</t>
  </si>
  <si>
    <t>Periode 34</t>
  </si>
  <si>
    <t>Periode 35</t>
  </si>
  <si>
    <t>Periode 36</t>
  </si>
  <si>
    <t>Periode</t>
  </si>
  <si>
    <t>Waehrung</t>
  </si>
  <si>
    <t>Betrag</t>
  </si>
  <si>
    <t>Datum</t>
  </si>
  <si>
    <t>GESAMT</t>
  </si>
  <si>
    <t>Periode:</t>
  </si>
  <si>
    <t>Von:</t>
  </si>
  <si>
    <t>Bis:</t>
  </si>
  <si>
    <t>Zeitraum:</t>
  </si>
  <si>
    <t>Durchschnittskurs:</t>
  </si>
  <si>
    <t>Einnahmen</t>
  </si>
  <si>
    <t>Typ / ID</t>
  </si>
  <si>
    <t>Einnahmen (LC)</t>
  </si>
  <si>
    <t>Einnahmen (EUR)</t>
  </si>
  <si>
    <t>Kum. Einnahmen (LC)</t>
  </si>
  <si>
    <t>Kum. Einnahmen (EUR)</t>
  </si>
  <si>
    <t>Vorprojektsaldo</t>
  </si>
  <si>
    <t>Drittmittel</t>
  </si>
  <si>
    <t>Zinsertraege</t>
  </si>
  <si>
    <t>Gesamteinnahmen</t>
  </si>
  <si>
    <t>Ausgaben</t>
  </si>
  <si>
    <t>Ausgaben (LC)</t>
  </si>
  <si>
    <t>Ausgaben (EUR)</t>
  </si>
  <si>
    <t>Kum. Ausgaben (LC)</t>
  </si>
  <si>
    <t>Kum. Ausgaben (EUR)</t>
  </si>
  <si>
    <t>Gesamtausgaben</t>
  </si>
  <si>
    <t>Saldo des Finanzberichts</t>
  </si>
  <si>
    <t>Aufschluesselung:</t>
  </si>
  <si>
    <t>Bank</t>
  </si>
  <si>
    <t>Kasse</t>
  </si>
  <si>
    <t>Sonstiges</t>
  </si>
  <si>
    <t>Differenz (Pruefung):</t>
  </si>
  <si>
    <t>Einnahmen (Explizite Kurseingabe)</t>
  </si>
  <si>
    <t>Typ</t>
  </si>
  <si>
    <t>Geber</t>
  </si>
  <si>
    <t>Kurs</t>
  </si>
  <si>
    <t>Saldo des Vorprojekts</t>
  </si>
  <si>
    <t>KMW</t>
  </si>
  <si>
    <t>Gesamteinnahmen in Periode</t>
  </si>
  <si>
    <t>Einnahmen (Durchschnittskurs)</t>
  </si>
  <si>
    <t>Projektpartner</t>
  </si>
  <si>
    <t>Gesamt (Durchschnittskurs)</t>
  </si>
  <si>
    <t>➤</t>
  </si>
  <si>
    <t>Vorperiodensaldo</t>
  </si>
  <si>
    <t>Saldo der Vorperiode</t>
  </si>
  <si>
    <t>OANDA-Kurs:</t>
  </si>
  <si>
    <t>Angefordert (LC)</t>
  </si>
  <si>
    <t>Angefordert (EUR)</t>
  </si>
  <si>
    <t>SUMME</t>
  </si>
  <si>
    <t>Gesamtbedarf an Mitteln:</t>
  </si>
  <si>
    <t>abzueglich Eigenmittel:</t>
  </si>
  <si>
    <t>abzueglich Drittmittel:</t>
  </si>
  <si>
    <t>abzueglich Saldo Vorprojekt:</t>
  </si>
  <si>
    <t>KMW-Mittel Anforderung:</t>
  </si>
  <si>
    <t>abzueglich Saldo Vorperiode (FB):</t>
  </si>
  <si>
    <t>V. AUSWERTUNG</t>
  </si>
  <si>
    <t>Automatische Prüfung von Mittelanforderung und Finanzberichten</t>
  </si>
  <si>
    <t>MITTELANFORDERUNGSPRÜFUNG</t>
  </si>
  <si>
    <t>Basis: ausgewählte Mittelanforderung (Folgeperiode des Finanzberichts)</t>
  </si>
  <si>
    <t>Mittelanforderung auswählen</t>
  </si>
  <si>
    <t>Auswahl:</t>
  </si>
  <si>
    <t>Neuste MA</t>
  </si>
  <si>
    <t>Geprüfte Periode</t>
  </si>
  <si>
    <t>Ausgewählte Anforderung (#)</t>
  </si>
  <si>
    <t>Einbezogene Anforderungen</t>
  </si>
  <si>
    <t>KMW-Mittelprüfung (Mittelanforderung)</t>
  </si>
  <si>
    <t>Bewilligte KMW-Mittel</t>
  </si>
  <si>
    <t>Davon Reserve</t>
  </si>
  <si>
    <t>Bereitgestellte KMW-Mittel</t>
  </si>
  <si>
    <t>Verfügbare KMW-Mittel</t>
  </si>
  <si>
    <t>Abzugsoptionen KMW-Mittel</t>
  </si>
  <si>
    <t>Abzug</t>
  </si>
  <si>
    <t>Saldovortrag</t>
  </si>
  <si>
    <t>Mehreinnahmen</t>
  </si>
  <si>
    <t>Prognostizierte Mehreinnahmen</t>
  </si>
  <si>
    <t>Abzugsoptionen KMW insgesamt</t>
  </si>
  <si>
    <t>Verfügbare KMW-Mittel (bereinigt)</t>
  </si>
  <si>
    <t>Abzüglich aktuelle Anforderung</t>
  </si>
  <si>
    <t>Verbleibende KMW-Mittel</t>
  </si>
  <si>
    <t>Verbleibende KMW-Mittel (bereinigt)</t>
  </si>
  <si>
    <t>Abzüglich manueller Betrag</t>
  </si>
  <si>
    <t>Monatslimit-Prüfung</t>
  </si>
  <si>
    <t>Lokalwährung</t>
  </si>
  <si>
    <t>Euro</t>
  </si>
  <si>
    <t>Geprüfte Periode (aus MA-Auswahl)</t>
  </si>
  <si>
    <t>Anforderungshöhe</t>
  </si>
  <si>
    <t>Jahr</t>
  </si>
  <si>
    <t>Jahresbudget</t>
  </si>
  <si>
    <t>Limit-Monate</t>
  </si>
  <si>
    <t>Bezugszeitraum (Monate)</t>
  </si>
  <si>
    <t>Anforderung deckt (Monate)</t>
  </si>
  <si>
    <t>8-Monats-Limit</t>
  </si>
  <si>
    <t>Status</t>
  </si>
  <si>
    <t>Überschreitung</t>
  </si>
  <si>
    <t>Auslastung %</t>
  </si>
  <si>
    <t>Prognostizierte Finanzierungsanteile</t>
  </si>
  <si>
    <t>Kategorie</t>
  </si>
  <si>
    <t>Prognose (LC)</t>
  </si>
  <si>
    <t>Budget (LC)</t>
  </si>
  <si>
    <t>Differenz (LC)</t>
  </si>
  <si>
    <t>Abweichung (LC)</t>
  </si>
  <si>
    <t>Prognose (EUR)</t>
  </si>
  <si>
    <t>Budget (EUR)</t>
  </si>
  <si>
    <t>Differenz (EUR)</t>
  </si>
  <si>
    <t>Abweichung (EUR)</t>
  </si>
  <si>
    <t>Prognoseprüfung (Ausgaben)</t>
  </si>
  <si>
    <t>FINANZBERICHTSPRÜFUNG</t>
  </si>
  <si>
    <t>Basis: ausgewählter Finanzbericht (kumulativ bis zur Periode)</t>
  </si>
  <si>
    <t>Finanzbericht auswählen</t>
  </si>
  <si>
    <t>Neuester FB</t>
  </si>
  <si>
    <t>KMW-Mittelprüfung</t>
  </si>
  <si>
    <t>Finanzierungsanteile</t>
  </si>
  <si>
    <t>Kumulativ (LC)</t>
  </si>
  <si>
    <t>Kumulativ (EUR)</t>
  </si>
  <si>
    <t>Soll-Ist Abweichungsprüfung</t>
  </si>
  <si>
    <t>abzüglich Eigenmittel:</t>
  </si>
  <si>
    <t>abzüglich Drittmittel:</t>
  </si>
  <si>
    <t>Einnahmen_Explizit_Stack</t>
  </si>
  <si>
    <t>Einnahmen_Durchschnittskurs_Stack</t>
  </si>
  <si>
    <t>Ausgaben_Finanzbericht_Stack</t>
  </si>
  <si>
    <t>Mittelanforderung_Stack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</si>
</sst>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0">
    <numFmt numFmtId="164" formatCode="dd.mm.yyyy"/>
    <numFmt numFmtId="165" formatCode="0.0000"/>
    <numFmt numFmtId="166" formatCode="#,##0.00"/>
    <numFmt numFmtId="167" formatCode="#,##0.00&quot; €&quot;"/>
    <numFmt numFmtId="168" formatCode="@"/>
    <numFmt numFmtId="169" formatCode="DD.MM.YYYY"/>
    <numFmt numFmtId="170" formatCode="0&quot; Monate&quot;"/>
    <numFmt numFmtId="171" formatCode="0.000000"/>
    <numFmt numFmtId="172" formatCode="0"/>
    <numFmt numFmtId="173" formatCode="0.0%"/>
  </numFmts>
  <fonts count="27">
    <font>
      <name val="Calibri"/>
      <family val="2"/>
      <color theme="1"/>
      <sz val="11"/>
    </font>
    <font>
      <name val="Segoe UI"/>
      <family val="2"/>
      <b val="1"/>
      <color rgb="FFFFFFFF"/>
      <sz val="18"/>
    </font>
    <font>
      <name val="Segoe UI"/>
      <family val="2"/>
      <b val="1"/>
      <color rgb="FF000000"/>
      <sz val="13"/>
    </font>
    <font>
      <name val="Segoe UI"/>
      <family val="2"/>
      <color rgb="FF000000"/>
    </font>
    <font>
      <name val="Segoe UI"/>
      <family val="2"/>
      <b val="1"/>
      <color rgb="FF000000"/>
      <sz val="10"/>
    </font>
    <font>
      <name val="Segoe UI"/>
      <family val="2"/>
      <b val="1"/>
      <color rgb="FF000000"/>
      <sz val="14"/>
    </font>
    <font>
      <name val="Segoe UI"/>
      <family val="2"/>
      <b val="1"/>
      <color rgb="FF000000"/>
      <sz val="11"/>
    </font>
    <font>
      <name val="Segoe UI"/>
      <family val="2"/>
      <color rgb="FF000000"/>
      <sz val="9"/>
    </font>
    <font>
      <name val="Segoe UI"/>
      <family val="2"/>
      <i val="1"/>
      <color rgb="FF000000"/>
    </font>
    <font>
      <name val="Segoe UI"/>
      <family val="2"/>
      <b val="1"/>
      <color rgb="FF3C3C3C"/>
      <sz val="9"/>
    </font>
    <font>
      <name val="Segoe UI"/>
      <family val="2"/>
      <color rgb="FF000000"/>
      <sz val="10"/>
    </font>
    <font>
      <name val="Segoe UI"/>
      <family val="2"/>
      <i val="1"/>
      <color rgb="FF595959"/>
      <sz val="8"/>
    </font>
    <font>
      <name val="Segoe UI"/>
      <family val="2"/>
      <b val="1"/>
      <color rgb="FF000000"/>
    </font>
    <font>
      <name val="Segoe UI"/>
      <family val="2"/>
      <b val="1"/>
      <color rgb="FF000000"/>
      <sz val="9"/>
    </font>
    <font>
      <name val="Segoe UI"/>
      <family val="2"/>
      <i val="1"/>
      <color rgb="FF595959"/>
      <sz val="9"/>
    </font>
    <font>
      <name val="Segoe UI"/>
      <family val="2"/>
      <b val="1"/>
      <color rgb="FF595959"/>
      <sz val="9"/>
    </font>
    <font>
      <name val="Segoe UI"/>
      <family val="2"/>
      <b val="1"/>
      <color rgb="FF7F7F7F"/>
      <sz val="9"/>
    </font>
    <font>
      <name val="Segoe UI"/>
      <family val="2"/>
      <color rgb="FF595959"/>
      <sz val="9"/>
    </font>
    <font>
      <name val="Segoe UI"/>
      <family val="2"/>
      <color rgb="FF808080"/>
      <sz val="8"/>
    </font>
    <font>
      <name val="Segoe UI"/>
      <family val="2"/>
      <b val="1"/>
      <color rgb="FF808080"/>
      <sz val="24"/>
    </font>
    <font>
      <name val="Segoe UI"/>
      <family val="2"/>
      <b val="1"/>
      <color rgb="FF000000"/>
      <sz val="12"/>
    </font>
    <font>
      <name val="Segoe UI"/>
      <family val="2"/>
      <i val="1"/>
      <color rgb="FFB4BEC8"/>
      <sz val="9"/>
    </font>
    <font>
      <name val="Segoe UI"/>
      <family val="2"/>
      <b val="1"/>
      <color rgb="FFFFFFFF"/>
      <sz val="13"/>
    </font>
    <font>
      <name val="Segoe UI"/>
      <family val="2"/>
      <b val="1"/>
      <color rgb="FFFFFFFF"/>
      <sz val="11"/>
    </font>
    <font>
      <name val="Segoe UI"/>
      <family val="2"/>
      <b val="1"/>
      <color rgb="FFFFFFFF"/>
      <sz val="10"/>
    </font>
    <font>
      <name val="Segoe UI"/>
      <family val="2"/>
      <b val="1"/>
      <color rgb="FFFFFFFF"/>
      <sz val="9"/>
    </font>
    <font>
      <name val="Segoe UI"/>
      <family val="2"/>
      <b val="1"/>
      <color rgb="FFFFFFFF"/>
    </font>
  </fonts>
  <fills count="13">
    <fill>
      <patternFill patternType="none"/>
    </fill>
    <fill>
      <patternFill patternType="gray125"/>
    </fill>
    <fill>
      <patternFill patternType="solid">
        <fgColor rgb="FF6C7A50"/>
      </patternFill>
    </fill>
    <fill>
      <patternFill patternType="solid">
        <fgColor rgb="FFDCDCDC"/>
      </patternFill>
    </fill>
    <fill>
      <patternFill patternType="solid">
        <fgColor rgb="FFF5F5F5"/>
      </patternFill>
    </fill>
    <fill>
      <patternFill patternType="solid">
        <fgColor rgb="FFFFFAE5"/>
      </patternFill>
    </fill>
    <fill>
      <patternFill patternType="solid">
        <fgColor rgb="FFF0F0F0"/>
      </patternFill>
    </fill>
    <fill>
      <patternFill patternType="solid">
        <fgColor rgb="FFD3D3D3"/>
      </patternFill>
    </fill>
    <fill>
      <patternFill patternType="solid">
        <fgColor rgb="FFF2F2F2"/>
      </patternFill>
    </fill>
    <fill>
      <patternFill patternType="solid">
        <fgColor rgb="FFFFFFFF"/>
      </patternFill>
    </fill>
    <fill>
      <patternFill patternType="solid">
        <fgColor rgb="FFDCE6F1"/>
      </patternFill>
    </fill>
    <fill>
      <patternFill patternType="solid">
        <fgColor rgb="FF212F3D"/>
      </patternFill>
    </fill>
    <fill>
      <patternFill patternType="solid">
        <fgColor rgb="FFEAF2F8"/>
      </patternFill>
    </fill>
  </fills>
  <borders count="56">
    <border>
      <left/>
      <right/>
      <top/>
      <bottom/>
      <diagonal/>
    </border>
    <border>
      <bottom style="thick">
        <color rgb="FF667022"/>
      </bottom>
    </border>
    <border>
      <bottom style="thin">
        <color rgb="FF969696"/>
      </bottom>
    </border>
    <border>
      <left style="thin">
        <color rgb="FF969696"/>
      </left>
      <right style="thin">
        <color rgb="FF969696"/>
      </right>
      <top style="thin">
        <color rgb="FF969696"/>
      </top>
      <bottom style="thin">
        <color rgb="FF969696"/>
      </bottom>
    </border>
    <border>
      <left style="thin">
        <color rgb="FF969696"/>
      </left>
      <right style="thin">
        <color rgb="FF969696"/>
      </right>
      <top style="double">
        <color rgb="FF969696"/>
      </top>
      <bottom style="thin">
        <color rgb="FF969696"/>
      </bottom>
    </border>
    <border>
      <top style="medium">
        <color rgb="FF808080"/>
      </top>
      <bottom style="medium">
        <color rgb="FF808080"/>
      </bottom>
    </border>
    <border>
      <top style="medium">
        <color rgb="FF808080"/>
      </top>
      <bottom style="thin">
        <color rgb="FF808080"/>
      </bottom>
    </border>
    <border>
      <left style="thin">
        <color rgb="FF808080"/>
      </left>
      <right style="thin">
        <color rgb="FF808080"/>
      </right>
      <top style="medium">
        <color rgb="FF808080"/>
      </top>
      <bottom style="thin">
        <color rgb="FF808080"/>
      </bottom>
    </border>
    <border>
      <bottom style="medium">
        <color rgb="FF808080"/>
      </bottom>
    </border>
    <border>
      <top style="thin">
        <color rgb="FF808080"/>
      </top>
      <bottom style="thin">
        <color rgb="FF808080"/>
      </bottom>
    </border>
    <border>
      <left style="thin">
        <color rgb="FFD3D3D3"/>
      </left>
      <right style="thin">
        <color rgb="FFD3D3D3"/>
      </right>
      <top style="thin">
        <color rgb="FFD3D3D3"/>
      </top>
      <bottom style="thin">
        <color rgb="FFD3D3D3"/>
      </bottom>
    </border>
    <border>
      <left style="thin">
        <color rgb="FF808080"/>
      </left>
      <right style="thin">
        <color rgb="FF808080"/>
      </right>
      <top style="thin">
        <color rgb="FF808080"/>
      </top>
      <bottom style="thin">
        <color rgb="FF808080"/>
      </bottom>
    </border>
    <border>
      <left style="medium">
        <color rgb="FF808080"/>
      </left>
      <top style="medium">
        <color rgb="FF808080"/>
      </top>
    </border>
    <border>
      <top style="medium">
        <color rgb="FF808080"/>
      </top>
    </border>
    <border>
      <right style="medium">
        <color rgb="FF808080"/>
      </right>
      <top style="medium">
        <color rgb="FF808080"/>
      </top>
    </border>
    <border>
      <left style="medium">
        <color rgb="FF808080"/>
      </left>
      <bottom style="medium">
        <color rgb="FF808080"/>
      </bottom>
    </border>
    <border>
      <right style="medium">
        <color rgb="FF808080"/>
      </right>
      <bottom style="medium">
        <color rgb="FF808080"/>
      </bottom>
    </border>
    <border>
      <left style="medium">
        <color rgb="FF808080"/>
      </left>
      <right style="thin">
        <color rgb="FFD3D3D3"/>
      </right>
      <top style="thin">
        <color rgb="FFD3D3D3"/>
      </top>
      <bottom style="thin">
        <color rgb="FFD3D3D3"/>
      </bottom>
    </border>
    <border>
      <left style="thin">
        <color rgb="FFD3D3D3"/>
      </left>
      <right style="medium">
        <color rgb="FF808080"/>
      </right>
      <top style="thin">
        <color rgb="FFD3D3D3"/>
      </top>
      <bottom style="thin">
        <color rgb="FFD3D3D3"/>
      </bottom>
    </border>
    <border>
      <left style="medium">
        <color rgb="FF808080"/>
      </left>
      <right style="thin">
        <color rgb="FFD3D3D3"/>
      </right>
      <top style="thin">
        <color rgb="FFD3D3D3"/>
      </top>
      <bottom style="medium">
        <color rgb="FF808080"/>
      </bottom>
    </border>
    <border>
      <left style="thin">
        <color rgb="FFD3D3D3"/>
      </left>
      <right style="thin">
        <color rgb="FFD3D3D3"/>
      </right>
      <top style="thin">
        <color rgb="FFD3D3D3"/>
      </top>
      <bottom style="medium">
        <color rgb="FF808080"/>
      </bottom>
    </border>
    <border>
      <left style="thin">
        <color rgb="FFD3D3D3"/>
      </left>
      <right style="medium">
        <color rgb="FF808080"/>
      </right>
      <top style="thin">
        <color rgb="FFD3D3D3"/>
      </top>
      <bottom style="medium">
        <color rgb="FF808080"/>
      </bottom>
    </border>
    <border>
      <left style="medium">
        <color rgb="FF808080"/>
      </left>
      <top style="medium">
        <color rgb="FF808080"/>
      </top>
      <bottom style="medium">
        <color rgb="FF808080"/>
      </bottom>
    </border>
    <border>
      <right style="medium">
        <color rgb="FF808080"/>
      </right>
      <top style="medium">
        <color rgb="FF808080"/>
      </top>
      <bottom style="medium">
        <color rgb="FF808080"/>
      </bottom>
    </border>
    <border>
      <left style="medium">
        <color rgb="FF808080"/>
      </left>
    </border>
    <border>
      <right style="medium">
        <color rgb="FF808080"/>
      </right>
    </border>
    <border>
      <left style="medium">
        <color rgb="FF808080"/>
      </left>
      <top style="medium">
        <color rgb="FF808080"/>
      </top>
      <bottom style="thin">
        <color rgb="FF808080"/>
      </bottom>
    </border>
    <border>
      <right style="medium">
        <color rgb="FF808080"/>
      </right>
      <top style="medium">
        <color rgb="FF808080"/>
      </top>
      <bottom style="thin">
        <color rgb="FF808080"/>
      </bottom>
    </border>
    <border>
      <left style="medium">
        <color rgb="FF808080"/>
      </left>
      <top style="thin">
        <color rgb="FF808080"/>
      </top>
      <bottom style="thin">
        <color rgb="FF808080"/>
      </bottom>
    </border>
    <border>
      <right style="medium">
        <color rgb="FF808080"/>
      </right>
      <top style="thin">
        <color rgb="FF808080"/>
      </top>
      <bottom style="thin">
        <color rgb="FF808080"/>
      </bottom>
    </border>
    <border>
      <left style="medium">
        <color rgb="FF808080"/>
      </left>
      <right style="thin">
        <color rgb="FF808080"/>
      </right>
      <top style="thin">
        <color rgb="FF808080"/>
      </top>
      <bottom style="thin">
        <color rgb="FF808080"/>
      </bottom>
    </border>
    <border>
      <left style="thin">
        <color rgb="FF808080"/>
      </left>
      <right style="medium">
        <color rgb="FF808080"/>
      </right>
      <top style="thin">
        <color rgb="FF808080"/>
      </top>
      <bottom style="thin">
        <color rgb="FF808080"/>
      </bottom>
    </border>
    <border>
      <left style="medium">
        <color rgb="FF808080"/>
      </left>
      <right style="thin">
        <color rgb="FF808080"/>
      </right>
      <top style="thin">
        <color rgb="FF808080"/>
      </top>
      <bottom style="medium">
        <color rgb="FF808080"/>
      </bottom>
    </border>
    <border>
      <left style="thin">
        <color rgb="FF808080"/>
      </left>
      <right style="thin">
        <color rgb="FF808080"/>
      </right>
      <top style="thin">
        <color rgb="FF808080"/>
      </top>
      <bottom style="medium">
        <color rgb="FF808080"/>
      </bottom>
    </border>
    <border>
      <left style="thin">
        <color rgb="FF808080"/>
      </left>
      <right style="medium">
        <color rgb="FF808080"/>
      </right>
      <top style="thin">
        <color rgb="FF808080"/>
      </top>
      <bottom style="medium">
        <color rgb="FF808080"/>
      </bottom>
    </border>
    <border>
      <left style="medium">
        <color rgb="FF808080"/>
      </left>
      <right style="medium">
        <color rgb="FF808080"/>
      </right>
      <top style="medium">
        <color rgb="FF808080"/>
      </top>
      <bottom style="thin">
        <color rgb="FFD3D3D3"/>
      </bottom>
    </border>
    <border>
      <left style="medium">
        <color rgb="FF808080"/>
      </left>
      <right style="medium">
        <color rgb="FF808080"/>
      </right>
      <top style="thin">
        <color rgb="FFD3D3D3"/>
      </top>
      <bottom style="thin">
        <color rgb="FFD3D3D3"/>
      </bottom>
    </border>
    <border>
      <left style="medium">
        <color rgb="FF808080"/>
      </left>
      <right style="medium">
        <color rgb="FF808080"/>
      </right>
      <top style="thin">
        <color rgb="FFD3D3D3"/>
      </top>
      <bottom style="medium">
        <color rgb="FF808080"/>
      </bottom>
    </border>
    <border>
      <left style="medium">
        <color rgb="FF808080"/>
      </left>
      <right style="thin">
        <color rgb="FFD3D3D3"/>
      </right>
      <top style="medium">
        <color rgb="FF808080"/>
      </top>
      <bottom style="thin">
        <color rgb="FFD3D3D3"/>
      </bottom>
    </border>
    <border>
      <left style="thin">
        <color rgb="FFD3D3D3"/>
      </left>
      <right style="thin">
        <color rgb="FFD3D3D3"/>
      </right>
      <top style="medium">
        <color rgb="FF808080"/>
      </top>
      <bottom style="thin">
        <color rgb="FFD3D3D3"/>
      </bottom>
    </border>
    <border>
      <left style="thin">
        <color rgb="FFD3D3D3"/>
      </left>
      <right style="medium">
        <color rgb="FF808080"/>
      </right>
      <top style="medium">
        <color rgb="FF808080"/>
      </top>
      <bottom style="thin">
        <color rgb="FFD3D3D3"/>
      </bottom>
    </border>
    <border>
      <left style="medium">
        <color rgb="FF808080"/>
      </left>
      <right style="thin">
        <color rgb="FFD3D3D3"/>
      </right>
      <top style="medium">
        <color rgb="FF808080"/>
      </top>
      <bottom style="medium">
        <color rgb="FF808080"/>
      </bottom>
    </border>
    <border>
      <left style="thin">
        <color rgb="FFD3D3D3"/>
      </left>
      <right style="thin">
        <color rgb="FFD3D3D3"/>
      </right>
      <top style="medium">
        <color rgb="FF808080"/>
      </top>
      <bottom style="medium">
        <color rgb="FF808080"/>
      </bottom>
    </border>
    <border>
      <left style="thin">
        <color rgb="FFD3D3D3"/>
      </left>
      <right style="medium">
        <color rgb="FF808080"/>
      </right>
      <top style="medium">
        <color rgb="FF808080"/>
      </top>
      <bottom style="medium">
        <color rgb="FF808080"/>
      </bottom>
    </border>
    <border>
      <bottom style="thin">
        <color rgb="FFD3D3D3"/>
      </bottom>
    </border>
    <border>
      <top style="double">
        <color rgb="FF808080"/>
      </top>
      <bottom style="double">
        <color rgb="FF808080"/>
      </bottom>
    </border>
    <border>
      <top style="medium">
        <color rgb="FF808080"/>
      </top>
      <bottom style="thin">
        <color rgb="FFD3D3D3"/>
      </bottom>
    </border>
    <border>
      <right style="medium">
        <color rgb="FF808080"/>
      </right>
      <top style="double">
        <color rgb="FF808080"/>
      </top>
      <bottom style="double">
        <color rgb="FF808080"/>
      </bottom>
    </border>
    <border>
      <left style="medium">
        <color rgb="FF808080"/>
      </left>
      <bottom style="thin">
        <color rgb="FFD3D3D3"/>
      </bottom>
    </border>
    <border>
      <left style="thin">
        <color rgb="FF808080"/>
      </left>
      <right style="thin">
        <color rgb="FF808080"/>
      </right>
      <top style="double">
        <color rgb="FF808080"/>
      </top>
      <bottom style="thin">
        <color rgb="FF808080"/>
      </bottom>
    </border>
    <border>
      <top style="double">
        <color rgb="FF808080"/>
      </top>
    </border>
    <border>
      <left style="medium">
        <color rgb="FF808080"/>
      </left>
      <right style="thin">
        <color rgb="FF808080"/>
      </right>
      <top style="medium">
        <color rgb="FF808080"/>
      </top>
      <bottom style="thin">
        <color rgb="FF808080"/>
      </bottom>
    </border>
    <border>
      <left style="thin">
        <color rgb="FF808080"/>
      </left>
      <right style="medium">
        <color rgb="FF808080"/>
      </right>
      <top style="medium">
        <color rgb="FF808080"/>
      </top>
      <bottom style="thin">
        <color rgb="FF808080"/>
      </bottom>
    </border>
    <border>
      <left style="thin">
        <color rgb="FFD3D3D3"/>
      </left>
      <right style="thin">
        <color rgb="FFD3D3D3"/>
      </right>
      <top style="double">
        <color rgb="FFD3D3D3"/>
      </top>
      <bottom style="double">
        <color rgb="FFD3D3D3"/>
      </bottom>
    </border>
    <border>
      <left style="thin">
        <color rgb="FFD3D3D3"/>
      </left>
      <right style="thin">
        <color rgb="FFD3D3D3"/>
      </right>
      <top style="double">
        <color rgb="FFD3D3D3"/>
      </top>
      <bottom style="medium">
        <color rgb="FF808080"/>
      </bottom>
    </border>
    <border>
      <left style="thin">
        <color rgb="FFD3D3D3"/>
      </left>
      <right style="medium">
        <color rgb="FF808080"/>
      </right>
      <top style="double">
        <color rgb="FFD3D3D3"/>
      </top>
      <bottom style="medium">
        <color rgb="FF808080"/>
      </bottom>
    </border>
  </borders>
  <cellStyleXfs count="1">
    <xf numFmtId="0" fontId="0" fillId="0" borderId="0"/>
  </cellStyleXfs>
  <cellXfs count="351">
    <xf numFmtId="0" fontId="0" fillId="0" borderId="0" xfId="0"/>
    <xf numFmtId="0" fontId="1" fillId="2" borderId="1" xfId="0" applyFont="true" applyFill="true" applyBorder="true" applyAlignment="true">
      <alignment horizontal="left" vertical="center"/>
    </xf>
    <xf numFmtId="0" fontId="2" fillId="3" borderId="2" xfId="0" applyFont="true" applyFill="true" applyBorder="true" applyAlignment="true">
      <alignment horizontal="center" vertical="center"/>
    </xf>
    <xf numFmtId="0" fontId="3" fillId="0" borderId="0" xfId="0" applyFont="true" applyAlignment="true">
      <alignment/>
    </xf>
    <xf numFmtId="0" fontId="4" fillId="4" borderId="3" xfId="0" applyFont="true" applyFill="true" applyBorder="true" applyAlignment="true">
      <alignment horizontal="left" vertical="center" wrapText="true"/>
    </xf>
    <xf numFmtId="0" fontId="3" fillId="5" borderId="3" xfId="0" applyFont="true" applyFill="true" applyBorder="true" applyAlignment="true">
      <alignment horizontal="left" vertical="center"/>
    </xf>
    <xf numFmtId="0" fontId="3" fillId="5" borderId="3" xfId="0" applyFont="true" applyFill="true" applyBorder="true" applyAlignment="true">
      <alignment horizontal="center" vertical="center"/>
    </xf>
    <xf numFmtId="0" fontId="3" fillId="6" borderId="3" xfId="0" applyFont="true" applyFill="true" applyBorder="true" applyAlignment="true">
      <alignment horizontal="left" vertical="center"/>
    </xf>
    <xf numFmtId="0" fontId="4" fillId="4" borderId="4" xfId="0" applyFont="true" applyFill="true" applyBorder="true" applyAlignment="true">
      <alignment horizontal="left" vertical="center" wrapText="true"/>
    </xf>
    <xf numFmtId="0" fontId="3" fillId="5" borderId="4" xfId="0" applyFont="true" applyFill="true" applyBorder="true" applyAlignment="true">
      <alignment horizontal="left" vertical="center"/>
    </xf>
    <xf numFmtId="164" fontId="3" fillId="5" borderId="3" xfId="0" applyNumberFormat="true" applyFont="true" applyFill="true" applyBorder="true" applyAlignment="true">
      <alignment horizontal="left" vertical="center"/>
    </xf>
    <xf numFmtId="165" fontId="3" fillId="5" borderId="3" xfId="0" applyNumberFormat="true" applyFont="true" applyFill="true" applyBorder="true" applyAlignment="true">
      <alignment horizontal="left" vertical="center"/>
    </xf>
    <xf numFmtId="166" fontId="3" fillId="5" borderId="3" xfId="0" applyNumberFormat="true" applyFont="true" applyFill="true" applyBorder="true" applyAlignment="true">
      <alignment horizontal="left" vertical="center"/>
    </xf>
    <xf numFmtId="167" fontId="3" fillId="5" borderId="3" xfId="0" applyNumberFormat="true" applyFont="true" applyFill="true" applyBorder="true" applyAlignment="true">
      <alignment horizontal="left" vertical="center"/>
    </xf>
    <xf numFmtId="0" fontId="4" fillId="0" borderId="3" xfId="0" applyFont="true" applyBorder="true" applyAlignment="true">
      <alignment horizontal="left" vertical="center" wrapText="true"/>
    </xf>
    <xf numFmtId="0" fontId="3" fillId="0" borderId="3" xfId="0" applyFont="true" applyBorder="true" applyAlignment="true">
      <alignment horizontal="center" vertical="center"/>
    </xf>
    <xf numFmtId="0" fontId="3" fillId="0" borderId="3" xfId="0" applyFont="true" applyBorder="true" applyAlignment="true">
      <alignment horizontal="left" vertical="center"/>
    </xf>
    <xf numFmtId="0" fontId="5" fillId="7" borderId="5" xfId="0" applyFont="true" applyFill="true" applyBorder="true" applyAlignment="true">
      <alignment vertical="center"/>
    </xf>
    <xf numFmtId="0" fontId="6" fillId="7" borderId="6" xfId="0" applyFont="true" applyFill="true" applyBorder="true" applyAlignment="true">
      <alignment horizontal="left" vertical="center"/>
    </xf>
    <xf numFmtId="0" fontId="7" fillId="7" borderId="6" xfId="0" applyFont="true" applyFill="true" applyBorder="true" applyAlignment="true">
      <alignment horizontal="right" vertical="center"/>
    </xf>
    <xf numFmtId="165" fontId="8" fillId="0" borderId="7" xfId="0" applyNumberFormat="true" applyFont="true" applyBorder="true" applyAlignment="true">
      <alignment/>
    </xf>
    <xf numFmtId="0" fontId="9" fillId="7" borderId="8" xfId="0" applyFont="true" applyFill="true" applyBorder="true" applyAlignment="true">
      <alignment horizontal="center" vertical="center"/>
    </xf>
    <xf numFmtId="0" fontId="4" fillId="6" borderId="9" xfId="0" applyFont="true" applyFill="true" applyBorder="true" applyAlignment="true">
      <alignment horizontal="left" vertical="center"/>
    </xf>
    <xf numFmtId="0" fontId="10" fillId="0" borderId="0" xfId="0" applyFont="true" applyAlignment="true">
      <alignment/>
    </xf>
    <xf numFmtId="166" fontId="3" fillId="5" borderId="10" xfId="0" applyNumberFormat="true" applyFont="true" applyFill="true" applyBorder="true" applyAlignment="true">
      <alignment horizontal="right" vertical="center"/>
    </xf>
    <xf numFmtId="167" fontId="3" fillId="5" borderId="10" xfId="0" applyNumberFormat="true" applyFont="true" applyFill="true" applyBorder="true" applyAlignment="true">
      <alignment horizontal="right" vertical="center"/>
    </xf>
    <xf numFmtId="0" fontId="11" fillId="0" borderId="0" xfId="0" applyFont="true" applyAlignment="true">
      <alignment/>
    </xf>
    <xf numFmtId="166" fontId="12" fillId="0" borderId="0" xfId="0" applyNumberFormat="true" applyFont="true" applyAlignment="true">
      <alignment horizontal="right" vertical="center"/>
    </xf>
    <xf numFmtId="167" fontId="12" fillId="0" borderId="0" xfId="0" applyNumberFormat="true" applyFont="true" applyAlignment="true">
      <alignment horizontal="right" vertical="center"/>
    </xf>
    <xf numFmtId="166" fontId="3" fillId="0" borderId="0" xfId="0" applyNumberFormat="true" applyFont="true" applyAlignment="true">
      <alignment/>
    </xf>
    <xf numFmtId="167" fontId="3" fillId="0" borderId="0" xfId="0" applyNumberFormat="true" applyFont="true" applyAlignment="true">
      <alignment/>
    </xf>
    <xf numFmtId="0" fontId="4" fillId="6" borderId="11" xfId="0" applyFont="true" applyFill="true" applyBorder="true" applyAlignment="true">
      <alignment vertical="center"/>
    </xf>
    <xf numFmtId="0" fontId="3" fillId="5" borderId="10" xfId="0" applyFont="true" applyFill="true" applyBorder="true" applyAlignment="true">
      <alignment horizontal="left" vertical="center"/>
    </xf>
    <xf numFmtId="168" fontId="3" fillId="5" borderId="10" xfId="0" applyNumberFormat="true" applyFont="true" applyFill="true" applyBorder="true" applyAlignment="true">
      <alignment horizontal="center" vertical="center"/>
    </xf>
    <xf numFmtId="0" fontId="12" fillId="7" borderId="0" xfId="0" applyFont="true" applyFill="true" applyAlignment="true">
      <alignment horizontal="center" vertical="center"/>
    </xf>
    <xf numFmtId="0" fontId="12" fillId="7" borderId="12" xfId="0" applyFont="true" applyFill="true" applyBorder="true" applyAlignment="true">
      <alignment horizontal="center" vertical="center"/>
    </xf>
    <xf numFmtId="0" fontId="12" fillId="7" borderId="13" xfId="0" applyFont="true" applyFill="true" applyBorder="true" applyAlignment="true">
      <alignment horizontal="center" vertical="center"/>
    </xf>
    <xf numFmtId="0" fontId="12" fillId="7" borderId="14" xfId="0" applyFont="true" applyFill="true" applyBorder="true" applyAlignment="true">
      <alignment horizontal="center" vertical="center"/>
    </xf>
    <xf numFmtId="0" fontId="9" fillId="7" borderId="15" xfId="0" applyFont="true" applyFill="true" applyBorder="true" applyAlignment="true">
      <alignment horizontal="center" vertical="center"/>
    </xf>
    <xf numFmtId="0" fontId="9" fillId="7" borderId="16" xfId="0" applyFont="true" applyFill="true" applyBorder="true" applyAlignment="true">
      <alignment horizontal="center" vertical="center"/>
    </xf>
    <xf numFmtId="0" fontId="3" fillId="5" borderId="17" xfId="0" applyFont="true" applyFill="true" applyBorder="true" applyAlignment="true">
      <alignment horizontal="left" vertical="center"/>
    </xf>
    <xf numFmtId="167" fontId="3" fillId="5" borderId="18" xfId="0" applyNumberFormat="true" applyFont="true" applyFill="true" applyBorder="true" applyAlignment="true">
      <alignment horizontal="right" vertical="center"/>
    </xf>
    <xf numFmtId="0" fontId="3" fillId="5" borderId="19" xfId="0" applyFont="true" applyFill="true" applyBorder="true" applyAlignment="true">
      <alignment horizontal="left" vertical="center"/>
    </xf>
    <xf numFmtId="166" fontId="3" fillId="5" borderId="20" xfId="0" applyNumberFormat="true" applyFont="true" applyFill="true" applyBorder="true" applyAlignment="true">
      <alignment horizontal="right" vertical="center"/>
    </xf>
    <xf numFmtId="167" fontId="3" fillId="5" borderId="21" xfId="0" applyNumberFormat="true" applyFont="true" applyFill="true" applyBorder="true" applyAlignment="true">
      <alignment horizontal="right" vertical="center"/>
    </xf>
    <xf numFmtId="0" fontId="5" fillId="7" borderId="22" xfId="0" applyFont="true" applyFill="true" applyBorder="true" applyAlignment="true">
      <alignment vertical="center"/>
    </xf>
    <xf numFmtId="0" fontId="5" fillId="7" borderId="23" xfId="0" applyFont="true" applyFill="true" applyBorder="true" applyAlignment="true">
      <alignment vertical="center"/>
    </xf>
    <xf numFmtId="0" fontId="0" fillId="0" borderId="24" xfId="0" applyBorder="true" applyAlignment="false">
      <alignment/>
    </xf>
    <xf numFmtId="0" fontId="0" fillId="0" borderId="25" xfId="0" applyBorder="true" applyAlignment="false">
      <alignment/>
    </xf>
    <xf numFmtId="0" fontId="6" fillId="7" borderId="26" xfId="0" applyFont="true" applyFill="true" applyBorder="true" applyAlignment="true">
      <alignment horizontal="left" vertical="center"/>
    </xf>
    <xf numFmtId="0" fontId="6" fillId="7" borderId="27" xfId="0" applyFont="true" applyFill="true" applyBorder="true" applyAlignment="true">
      <alignment horizontal="left" vertical="center"/>
    </xf>
    <xf numFmtId="0" fontId="4" fillId="6" borderId="28" xfId="0" applyFont="true" applyFill="true" applyBorder="true" applyAlignment="true">
      <alignment horizontal="left" vertical="center"/>
    </xf>
    <xf numFmtId="0" fontId="4" fillId="6" borderId="29" xfId="0" applyFont="true" applyFill="true" applyBorder="true" applyAlignment="true">
      <alignment horizontal="left" vertical="center"/>
    </xf>
    <xf numFmtId="0" fontId="10" fillId="0" borderId="24" xfId="0" applyFont="true" applyBorder="true" applyAlignment="true">
      <alignment/>
    </xf>
    <xf numFmtId="167" fontId="12" fillId="0" borderId="25" xfId="0" applyNumberFormat="true" applyFont="true" applyBorder="true" applyAlignment="true">
      <alignment horizontal="right" vertical="center"/>
    </xf>
    <xf numFmtId="0" fontId="4" fillId="6" borderId="30" xfId="0" applyFont="true" applyFill="true" applyBorder="true" applyAlignment="true">
      <alignment vertical="center"/>
    </xf>
    <xf numFmtId="0" fontId="4" fillId="6" borderId="31" xfId="0" applyFont="true" applyFill="true" applyBorder="true" applyAlignment="true">
      <alignment vertical="center"/>
    </xf>
    <xf numFmtId="0" fontId="4" fillId="6" borderId="32" xfId="0" applyFont="true" applyFill="true" applyBorder="true" applyAlignment="true">
      <alignment vertical="center"/>
    </xf>
    <xf numFmtId="0" fontId="4" fillId="6" borderId="33" xfId="0" applyFont="true" applyFill="true" applyBorder="true" applyAlignment="true">
      <alignment vertical="center"/>
    </xf>
    <xf numFmtId="0" fontId="4" fillId="6" borderId="34" xfId="0" applyFont="true" applyFill="true" applyBorder="true" applyAlignment="true">
      <alignment vertical="center"/>
    </xf>
    <xf numFmtId="0" fontId="13" fillId="7" borderId="10" xfId="0" applyFont="true" applyFill="true" applyBorder="true" applyAlignment="true">
      <alignment horizontal="center" vertical="center"/>
    </xf>
    <xf numFmtId="167" fontId="9" fillId="0" borderId="10" xfId="0" applyNumberFormat="true" applyFont="true" applyBorder="true" applyAlignment="true">
      <alignment horizontal="center" vertical="center"/>
    </xf>
    <xf numFmtId="0" fontId="14" fillId="0" borderId="10" xfId="0" applyFont="true" applyBorder="true" applyAlignment="true">
      <alignment horizontal="center" vertical="center"/>
    </xf>
    <xf numFmtId="0" fontId="3" fillId="5" borderId="10" xfId="0" applyFont="true" applyFill="true" applyBorder="true" applyAlignment="true">
      <alignment horizontal="center" vertical="center"/>
    </xf>
    <xf numFmtId="0" fontId="15" fillId="8" borderId="10" xfId="0" applyFont="true" applyFill="true" applyBorder="true" applyAlignment="true">
      <alignment horizontal="center" vertical="center"/>
    </xf>
    <xf numFmtId="0" fontId="13" fillId="7" borderId="35" xfId="0" applyFont="true" applyFill="true" applyBorder="true" applyAlignment="true">
      <alignment horizontal="center" vertical="center"/>
    </xf>
    <xf numFmtId="167" fontId="9" fillId="0" borderId="36" xfId="0" applyNumberFormat="true" applyFont="true" applyBorder="true" applyAlignment="true">
      <alignment horizontal="center" vertical="center"/>
    </xf>
    <xf numFmtId="0" fontId="14" fillId="0" borderId="36" xfId="0" applyFont="true" applyBorder="true" applyAlignment="true">
      <alignment horizontal="center" vertical="center"/>
    </xf>
    <xf numFmtId="0" fontId="3" fillId="5" borderId="36" xfId="0" applyFont="true" applyFill="true" applyBorder="true" applyAlignment="true">
      <alignment horizontal="center" vertical="center"/>
    </xf>
    <xf numFmtId="0" fontId="15" fillId="8" borderId="37" xfId="0" applyFont="true" applyFill="true" applyBorder="true" applyAlignment="true">
      <alignment horizontal="center" vertical="center"/>
    </xf>
    <xf numFmtId="0" fontId="16" fillId="8" borderId="10" xfId="0" applyFont="true" applyFill="true" applyBorder="true" applyAlignment="true">
      <alignment horizontal="center" vertical="center"/>
    </xf>
    <xf numFmtId="0" fontId="3" fillId="8" borderId="10" xfId="0" applyFont="true" applyFill="true" applyBorder="true" applyAlignment="true">
      <alignment horizontal="left" vertical="top" wrapText="true"/>
    </xf>
    <xf numFmtId="0" fontId="17" fillId="0" borderId="10" xfId="0" applyFont="true" applyBorder="true" applyAlignment="true">
      <alignment horizontal="left" vertical="center"/>
    </xf>
    <xf numFmtId="0" fontId="13" fillId="7" borderId="38" xfId="0" applyFont="true" applyFill="true" applyBorder="true" applyAlignment="true">
      <alignment horizontal="center" vertical="center"/>
    </xf>
    <xf numFmtId="0" fontId="13" fillId="7" borderId="39" xfId="0" applyFont="true" applyFill="true" applyBorder="true" applyAlignment="true">
      <alignment horizontal="center" vertical="center"/>
    </xf>
    <xf numFmtId="0" fontId="13" fillId="7" borderId="40" xfId="0" applyFont="true" applyFill="true" applyBorder="true" applyAlignment="true">
      <alignment horizontal="center" vertical="center"/>
    </xf>
    <xf numFmtId="0" fontId="17" fillId="0" borderId="17" xfId="0" applyFont="true" applyBorder="true" applyAlignment="true">
      <alignment horizontal="left" vertical="center"/>
    </xf>
    <xf numFmtId="0" fontId="15" fillId="8" borderId="18" xfId="0" applyFont="true" applyFill="true" applyBorder="true" applyAlignment="true">
      <alignment horizontal="center" vertical="center"/>
    </xf>
    <xf numFmtId="0" fontId="17" fillId="0" borderId="19" xfId="0" applyFont="true" applyBorder="true" applyAlignment="true">
      <alignment horizontal="left" vertical="center"/>
    </xf>
    <xf numFmtId="0" fontId="17" fillId="0" borderId="20" xfId="0" applyFont="true" applyBorder="true" applyAlignment="true">
      <alignment horizontal="left" vertical="center"/>
    </xf>
    <xf numFmtId="0" fontId="15" fillId="8" borderId="21" xfId="0" applyFont="true" applyFill="true" applyBorder="true" applyAlignment="true">
      <alignment horizontal="center" vertical="center"/>
    </xf>
    <xf numFmtId="0" fontId="5" fillId="7" borderId="0" xfId="0" applyFont="true" applyFill="true" applyAlignment="true">
      <alignment horizontal="center" vertical="center"/>
    </xf>
    <xf numFmtId="0" fontId="3" fillId="5" borderId="10" xfId="0" applyFont="true" applyFill="true" applyBorder="true" applyAlignment="true">
      <alignment vertical="center"/>
    </xf>
    <xf numFmtId="166" fontId="3" fillId="5" borderId="10" xfId="0" applyNumberFormat="true" applyFont="true" applyFill="true" applyBorder="true" applyAlignment="true">
      <alignment vertical="center"/>
    </xf>
    <xf numFmtId="164" fontId="3" fillId="5" borderId="10" xfId="0" applyNumberFormat="true" applyFont="true" applyFill="true" applyBorder="true" applyAlignment="true">
      <alignment horizontal="center" vertical="center"/>
    </xf>
    <xf numFmtId="0" fontId="9" fillId="7" borderId="10" xfId="0" applyFont="true" applyFill="true" applyBorder="true" applyAlignment="true">
      <alignment horizontal="center" vertical="center"/>
    </xf>
    <xf numFmtId="0" fontId="9" fillId="7" borderId="10" xfId="0" applyFont="true" applyFill="true" applyBorder="true" applyAlignment="true">
      <alignment vertical="center"/>
    </xf>
    <xf numFmtId="166" fontId="9" fillId="7" borderId="10" xfId="0" applyNumberFormat="true" applyFont="true" applyFill="true" applyBorder="true" applyAlignment="true">
      <alignment vertical="center"/>
    </xf>
    <xf numFmtId="0" fontId="9" fillId="7" borderId="41" xfId="0" applyFont="true" applyFill="true" applyBorder="true" applyAlignment="true">
      <alignment horizontal="center" vertical="center"/>
    </xf>
    <xf numFmtId="0" fontId="9" fillId="7" borderId="42" xfId="0" applyFont="true" applyFill="true" applyBorder="true" applyAlignment="true">
      <alignment horizontal="center" vertical="center"/>
    </xf>
    <xf numFmtId="0" fontId="9" fillId="7" borderId="43" xfId="0" applyFont="true" applyFill="true" applyBorder="true" applyAlignment="true">
      <alignment horizontal="center" vertical="center"/>
    </xf>
    <xf numFmtId="0" fontId="3" fillId="5" borderId="38" xfId="0" applyFont="true" applyFill="true" applyBorder="true" applyAlignment="true">
      <alignment vertical="center"/>
    </xf>
    <xf numFmtId="0" fontId="3" fillId="5" borderId="39" xfId="0" applyFont="true" applyFill="true" applyBorder="true" applyAlignment="true">
      <alignment vertical="center"/>
    </xf>
    <xf numFmtId="166" fontId="3" fillId="5" borderId="39" xfId="0" applyNumberFormat="true" applyFont="true" applyFill="true" applyBorder="true" applyAlignment="true">
      <alignment vertical="center"/>
    </xf>
    <xf numFmtId="164" fontId="3" fillId="5" borderId="40" xfId="0" applyNumberFormat="true" applyFont="true" applyFill="true" applyBorder="true" applyAlignment="true">
      <alignment horizontal="center" vertical="center"/>
    </xf>
    <xf numFmtId="0" fontId="3" fillId="5" borderId="17" xfId="0" applyFont="true" applyFill="true" applyBorder="true" applyAlignment="true">
      <alignment vertical="center"/>
    </xf>
    <xf numFmtId="164" fontId="3" fillId="5" borderId="18" xfId="0" applyNumberFormat="true" applyFont="true" applyFill="true" applyBorder="true" applyAlignment="true">
      <alignment horizontal="center" vertical="center"/>
    </xf>
    <xf numFmtId="0" fontId="3" fillId="5" borderId="19" xfId="0" applyFont="true" applyFill="true" applyBorder="true" applyAlignment="true">
      <alignment vertical="center"/>
    </xf>
    <xf numFmtId="0" fontId="3" fillId="5" borderId="20" xfId="0" applyFont="true" applyFill="true" applyBorder="true" applyAlignment="true">
      <alignment vertical="center"/>
    </xf>
    <xf numFmtId="166" fontId="3" fillId="5" borderId="20" xfId="0" applyNumberFormat="true" applyFont="true" applyFill="true" applyBorder="true" applyAlignment="true">
      <alignment vertical="center"/>
    </xf>
    <xf numFmtId="164" fontId="3" fillId="5" borderId="21" xfId="0" applyNumberFormat="true" applyFont="true" applyFill="true" applyBorder="true" applyAlignment="true">
      <alignment horizontal="center" vertical="center"/>
    </xf>
    <xf numFmtId="0" fontId="9" fillId="7" borderId="41" xfId="0" applyFont="true" applyFill="true" applyBorder="true" applyAlignment="true">
      <alignment vertical="center"/>
    </xf>
    <xf numFmtId="0" fontId="9" fillId="7" borderId="42" xfId="0" applyFont="true" applyFill="true" applyBorder="true" applyAlignment="true">
      <alignment vertical="center"/>
    </xf>
    <xf numFmtId="166" fontId="9" fillId="7" borderId="42" xfId="0" applyNumberFormat="true" applyFont="true" applyFill="true" applyBorder="true" applyAlignment="true">
      <alignment vertical="center"/>
    </xf>
    <xf numFmtId="0" fontId="9" fillId="7" borderId="43" xfId="0" applyFont="true" applyFill="true" applyBorder="true" applyAlignment="true">
      <alignment vertical="center"/>
    </xf>
    <xf numFmtId="0" fontId="12" fillId="0" borderId="0" xfId="0" applyFont="true" applyAlignment="true">
      <alignment horizontal="left" vertical="center"/>
    </xf>
    <xf numFmtId="0" fontId="3" fillId="6" borderId="0" xfId="0" applyFont="true" applyFill="true" applyAlignment="true">
      <alignment horizontal="left" vertical="center"/>
    </xf>
    <xf numFmtId="0" fontId="3" fillId="6" borderId="44" xfId="0" applyFont="true" applyFill="true" applyBorder="true" applyAlignment="true">
      <alignment horizontal="center" vertical="center"/>
    </xf>
    <xf numFmtId="169" fontId="3" fillId="5" borderId="44" xfId="0" applyNumberFormat="true" applyFont="true" applyFill="true" applyBorder="true" applyAlignment="true">
      <alignment horizontal="center" vertical="center"/>
    </xf>
    <xf numFmtId="170" fontId="3" fillId="6" borderId="44" xfId="0" applyNumberFormat="true" applyFont="true" applyFill="true" applyBorder="true" applyAlignment="true">
      <alignment horizontal="center" vertical="center"/>
    </xf>
    <xf numFmtId="0" fontId="3" fillId="0" borderId="0" xfId="0" applyFont="true" applyAlignment="true">
      <alignment horizontal="left" vertical="center"/>
    </xf>
    <xf numFmtId="171" fontId="3" fillId="0" borderId="44" xfId="0" applyNumberFormat="true" applyFont="true" applyBorder="true" applyAlignment="true">
      <alignment horizontal="center" vertical="center"/>
    </xf>
    <xf numFmtId="0" fontId="12" fillId="7" borderId="6" xfId="0" applyFont="true" applyFill="true" applyBorder="true" applyAlignment="true">
      <alignment horizontal="left" vertical="center"/>
    </xf>
    <xf numFmtId="0" fontId="12" fillId="7" borderId="11" xfId="0" applyFont="true" applyFill="true" applyBorder="true" applyAlignment="true">
      <alignment horizontal="left" vertical="center"/>
    </xf>
    <xf numFmtId="0" fontId="12" fillId="7" borderId="11" xfId="0" applyFont="true" applyFill="true" applyBorder="true" applyAlignment="true">
      <alignment horizontal="center" vertical="center" wrapText="true"/>
    </xf>
    <xf numFmtId="0" fontId="3" fillId="9" borderId="10" xfId="0" applyFont="true" applyFill="true" applyBorder="true" applyAlignment="true">
      <alignment horizontal="left" vertical="center"/>
    </xf>
    <xf numFmtId="166" fontId="3" fillId="9" borderId="10" xfId="0" applyNumberFormat="true" applyFont="true" applyFill="true" applyBorder="true" applyAlignment="true">
      <alignment horizontal="right" vertical="center"/>
    </xf>
    <xf numFmtId="167" fontId="3" fillId="9" borderId="10" xfId="0" applyNumberFormat="true" applyFont="true" applyFill="true" applyBorder="true" applyAlignment="true">
      <alignment horizontal="right" vertical="center"/>
    </xf>
    <xf numFmtId="0" fontId="12" fillId="6" borderId="11" xfId="0" applyFont="true" applyFill="true" applyBorder="true" applyAlignment="true">
      <alignment horizontal="left" vertical="center"/>
    </xf>
    <xf numFmtId="166" fontId="12" fillId="6" borderId="11" xfId="0" applyNumberFormat="true" applyFont="true" applyFill="true" applyBorder="true" applyAlignment="true">
      <alignment horizontal="right" vertical="center"/>
    </xf>
    <xf numFmtId="167" fontId="12" fillId="6" borderId="11" xfId="0" applyNumberFormat="true" applyFont="true" applyFill="true" applyBorder="true" applyAlignment="true">
      <alignment horizontal="right" vertical="center"/>
    </xf>
    <xf numFmtId="0" fontId="12" fillId="7" borderId="11" xfId="0" applyFont="true" applyFill="true" applyBorder="true" applyAlignment="true">
      <alignment horizontal="center" vertical="center"/>
    </xf>
    <xf numFmtId="168" fontId="3" fillId="9" borderId="10" xfId="0" applyNumberFormat="true" applyFont="true" applyFill="true" applyBorder="true" applyAlignment="true">
      <alignment horizontal="center" vertical="center"/>
    </xf>
    <xf numFmtId="0" fontId="12" fillId="6" borderId="10" xfId="0" applyFont="true" applyFill="true" applyBorder="true" applyAlignment="true">
      <alignment horizontal="left"/>
    </xf>
    <xf numFmtId="166" fontId="12" fillId="6" borderId="10" xfId="0" applyNumberFormat="true" applyFont="true" applyFill="true" applyBorder="true" applyAlignment="true">
      <alignment horizontal="right"/>
    </xf>
    <xf numFmtId="167" fontId="12" fillId="6" borderId="10" xfId="0" applyNumberFormat="true" applyFont="true" applyFill="true" applyBorder="true" applyAlignment="true">
      <alignment horizontal="right"/>
    </xf>
    <xf numFmtId="166" fontId="12" fillId="0" borderId="45" xfId="0" applyNumberFormat="true" applyFont="true" applyBorder="true" applyAlignment="true">
      <alignment/>
    </xf>
    <xf numFmtId="167" fontId="12" fillId="0" borderId="45" xfId="0" applyNumberFormat="true" applyFont="true" applyBorder="true" applyAlignment="true">
      <alignment/>
    </xf>
    <xf numFmtId="0" fontId="3" fillId="0" borderId="44" xfId="0" applyFont="true" applyBorder="true" applyAlignment="true">
      <alignment horizontal="left" vertical="center"/>
    </xf>
    <xf numFmtId="166" fontId="3" fillId="5" borderId="44" xfId="0" applyNumberFormat="true" applyFont="true" applyFill="true" applyBorder="true" applyAlignment="true">
      <alignment horizontal="right" vertical="center"/>
    </xf>
    <xf numFmtId="167" fontId="3" fillId="9" borderId="44" xfId="0" applyNumberFormat="true" applyFont="true" applyFill="true" applyBorder="true" applyAlignment="true">
      <alignment horizontal="right" vertical="center"/>
    </xf>
    <xf numFmtId="0" fontId="18" fillId="0" borderId="0" xfId="0" applyFont="true" applyAlignment="true">
      <alignment horizontal="left" vertical="center"/>
    </xf>
    <xf numFmtId="166" fontId="18" fillId="0" borderId="0" xfId="0" applyNumberFormat="true" applyFont="true" applyAlignment="true">
      <alignment horizontal="right" vertical="center"/>
    </xf>
    <xf numFmtId="167" fontId="18" fillId="0" borderId="0" xfId="0" applyNumberFormat="true" applyFont="true" applyAlignment="true">
      <alignment horizontal="right" vertical="center"/>
    </xf>
    <xf numFmtId="0" fontId="12" fillId="0" borderId="12" xfId="0" applyFont="true" applyBorder="true" applyAlignment="true">
      <alignment horizontal="left" vertical="center"/>
    </xf>
    <xf numFmtId="0" fontId="3" fillId="6" borderId="46" xfId="0" applyFont="true" applyFill="true" applyBorder="true" applyAlignment="true">
      <alignment horizontal="center" vertical="center"/>
    </xf>
    <xf numFmtId="0" fontId="0" fillId="0" borderId="13" xfId="0" applyBorder="true" applyAlignment="false">
      <alignment/>
    </xf>
    <xf numFmtId="0" fontId="0" fillId="0" borderId="14" xfId="0" applyBorder="true" applyAlignment="false">
      <alignment/>
    </xf>
    <xf numFmtId="0" fontId="12" fillId="0" borderId="24" xfId="0" applyFont="true" applyBorder="true" applyAlignment="true">
      <alignment horizontal="left" vertical="center"/>
    </xf>
    <xf numFmtId="0" fontId="12" fillId="7" borderId="26" xfId="0" applyFont="true" applyFill="true" applyBorder="true" applyAlignment="true">
      <alignment horizontal="left" vertical="center"/>
    </xf>
    <xf numFmtId="0" fontId="12" fillId="7" borderId="27" xfId="0" applyFont="true" applyFill="true" applyBorder="true" applyAlignment="true">
      <alignment horizontal="left" vertical="center"/>
    </xf>
    <xf numFmtId="0" fontId="12" fillId="7" borderId="30" xfId="0" applyFont="true" applyFill="true" applyBorder="true" applyAlignment="true">
      <alignment horizontal="left" vertical="center"/>
    </xf>
    <xf numFmtId="0" fontId="12" fillId="7" borderId="31" xfId="0" applyFont="true" applyFill="true" applyBorder="true" applyAlignment="true">
      <alignment horizontal="center" vertical="center" wrapText="true"/>
    </xf>
    <xf numFmtId="0" fontId="3" fillId="9" borderId="17" xfId="0" applyFont="true" applyFill="true" applyBorder="true" applyAlignment="true">
      <alignment horizontal="left" vertical="center"/>
    </xf>
    <xf numFmtId="167" fontId="3" fillId="9" borderId="18" xfId="0" applyNumberFormat="true" applyFont="true" applyFill="true" applyBorder="true" applyAlignment="true">
      <alignment horizontal="right" vertical="center"/>
    </xf>
    <xf numFmtId="0" fontId="12" fillId="6" borderId="30" xfId="0" applyFont="true" applyFill="true" applyBorder="true" applyAlignment="true">
      <alignment horizontal="left" vertical="center"/>
    </xf>
    <xf numFmtId="167" fontId="12" fillId="6" borderId="31" xfId="0" applyNumberFormat="true" applyFont="true" applyFill="true" applyBorder="true" applyAlignment="true">
      <alignment horizontal="right" vertical="center"/>
    </xf>
    <xf numFmtId="0" fontId="12" fillId="7" borderId="30" xfId="0" applyFont="true" applyFill="true" applyBorder="true" applyAlignment="true">
      <alignment horizontal="center" vertical="center"/>
    </xf>
    <xf numFmtId="0" fontId="12" fillId="7" borderId="31" xfId="0" applyFont="true" applyFill="true" applyBorder="true" applyAlignment="true">
      <alignment horizontal="center" vertical="center"/>
    </xf>
    <xf numFmtId="168" fontId="3" fillId="9" borderId="17" xfId="0" applyNumberFormat="true" applyFont="true" applyFill="true" applyBorder="true" applyAlignment="true">
      <alignment horizontal="center" vertical="center"/>
    </xf>
    <xf numFmtId="0" fontId="12" fillId="6" borderId="17" xfId="0" applyFont="true" applyFill="true" applyBorder="true" applyAlignment="true">
      <alignment horizontal="left"/>
    </xf>
    <xf numFmtId="167" fontId="12" fillId="6" borderId="18" xfId="0" applyNumberFormat="true" applyFont="true" applyFill="true" applyBorder="true" applyAlignment="true">
      <alignment horizontal="right"/>
    </xf>
    <xf numFmtId="167" fontId="12" fillId="0" borderId="47" xfId="0" applyNumberFormat="true" applyFont="true" applyBorder="true" applyAlignment="true">
      <alignment/>
    </xf>
    <xf numFmtId="0" fontId="3" fillId="0" borderId="24" xfId="0" applyFont="true" applyBorder="true" applyAlignment="true">
      <alignment horizontal="left" vertical="center"/>
    </xf>
    <xf numFmtId="0" fontId="3" fillId="0" borderId="48" xfId="0" applyFont="true" applyBorder="true" applyAlignment="true">
      <alignment horizontal="left" vertical="center"/>
    </xf>
    <xf numFmtId="0" fontId="18" fillId="0" borderId="15" xfId="0" applyFont="true" applyBorder="true" applyAlignment="true">
      <alignment horizontal="left" vertical="center"/>
    </xf>
    <xf numFmtId="166" fontId="18" fillId="0" borderId="8" xfId="0" applyNumberFormat="true" applyFont="true" applyBorder="true" applyAlignment="true">
      <alignment horizontal="right" vertical="center"/>
    </xf>
    <xf numFmtId="167" fontId="18" fillId="0" borderId="8" xfId="0" applyNumberFormat="true" applyFont="true" applyBorder="true" applyAlignment="true">
      <alignment horizontal="right" vertical="center"/>
    </xf>
    <xf numFmtId="0" fontId="0" fillId="0" borderId="8" xfId="0" applyBorder="true" applyAlignment="false">
      <alignment/>
    </xf>
    <xf numFmtId="0" fontId="0" fillId="0" borderId="16" xfId="0" applyBorder="true" applyAlignment="false">
      <alignment/>
    </xf>
    <xf numFmtId="0" fontId="8" fillId="9" borderId="10" xfId="0" applyFont="true" applyFill="true" applyBorder="true" applyAlignment="true">
      <alignment horizontal="left"/>
    </xf>
    <xf numFmtId="0" fontId="8" fillId="9" borderId="10" xfId="0" applyFont="true" applyFill="true" applyBorder="true" applyAlignment="true">
      <alignment horizontal="center"/>
    </xf>
    <xf numFmtId="166" fontId="8" fillId="9" borderId="10" xfId="0" applyNumberFormat="true" applyFont="true" applyFill="true" applyBorder="true" applyAlignment="true">
      <alignment horizontal="right"/>
    </xf>
    <xf numFmtId="167" fontId="8" fillId="9" borderId="10" xfId="0" applyNumberFormat="true" applyFont="true" applyFill="true" applyBorder="true" applyAlignment="true">
      <alignment horizontal="right"/>
    </xf>
    <xf numFmtId="171" fontId="8" fillId="9" borderId="10" xfId="0" applyNumberFormat="true" applyFont="true" applyFill="true" applyBorder="true" applyAlignment="true">
      <alignment horizontal="right"/>
    </xf>
    <xf numFmtId="0" fontId="3" fillId="5" borderId="10" xfId="0" applyFont="true" applyFill="true" applyBorder="true" applyAlignment="true">
      <alignment horizontal="left"/>
    </xf>
    <xf numFmtId="0" fontId="3" fillId="5" borderId="10" xfId="0" applyFont="true" applyFill="true" applyBorder="true" applyAlignment="true">
      <alignment horizontal="center"/>
    </xf>
    <xf numFmtId="166" fontId="3" fillId="5" borderId="10" xfId="0" applyNumberFormat="true" applyFont="true" applyFill="true" applyBorder="true" applyAlignment="true">
      <alignment horizontal="right"/>
    </xf>
    <xf numFmtId="167" fontId="3" fillId="5" borderId="10" xfId="0" applyNumberFormat="true" applyFont="true" applyFill="true" applyBorder="true" applyAlignment="true">
      <alignment horizontal="right"/>
    </xf>
    <xf numFmtId="171" fontId="3" fillId="9" borderId="10" xfId="0" applyNumberFormat="true" applyFont="true" applyFill="true" applyBorder="true" applyAlignment="true">
      <alignment horizontal="right"/>
    </xf>
    <xf numFmtId="0" fontId="12" fillId="9" borderId="10" xfId="0" applyFont="true" applyFill="true" applyBorder="true" applyAlignment="true">
      <alignment horizontal="left"/>
    </xf>
    <xf numFmtId="0" fontId="12" fillId="9" borderId="10" xfId="0" applyFont="true" applyFill="true" applyBorder="true" applyAlignment="true">
      <alignment horizontal="center"/>
    </xf>
    <xf numFmtId="166" fontId="12" fillId="9" borderId="10" xfId="0" applyNumberFormat="true" applyFont="true" applyFill="true" applyBorder="true" applyAlignment="true">
      <alignment horizontal="right"/>
    </xf>
    <xf numFmtId="167" fontId="12" fillId="9" borderId="10" xfId="0" applyNumberFormat="true" applyFont="true" applyFill="true" applyBorder="true" applyAlignment="true">
      <alignment horizontal="right"/>
    </xf>
    <xf numFmtId="171" fontId="12" fillId="9" borderId="10" xfId="0" applyNumberFormat="true" applyFont="true" applyFill="true" applyBorder="true" applyAlignment="true">
      <alignment horizontal="right"/>
    </xf>
    <xf numFmtId="167" fontId="3" fillId="9" borderId="10" xfId="0" applyNumberFormat="true" applyFont="true" applyFill="true" applyBorder="true" applyAlignment="true">
      <alignment horizontal="right"/>
    </xf>
    <xf numFmtId="0" fontId="19" fillId="0" borderId="0" xfId="0" applyFont="true" applyAlignment="true">
      <alignment horizontal="center" vertical="center"/>
    </xf>
    <xf numFmtId="0" fontId="3" fillId="8" borderId="44" xfId="0" applyFont="true" applyFill="true" applyBorder="true" applyAlignment="true">
      <alignment horizontal="center" vertical="center"/>
    </xf>
    <xf numFmtId="170" fontId="3" fillId="8" borderId="44" xfId="0" applyNumberFormat="true" applyFont="true" applyFill="true" applyBorder="true" applyAlignment="true">
      <alignment horizontal="center" vertical="center"/>
    </xf>
    <xf numFmtId="165" fontId="3" fillId="5" borderId="44" xfId="0" applyNumberFormat="true" applyFont="true" applyFill="true" applyBorder="true" applyAlignment="true">
      <alignment horizontal="center" vertical="center"/>
    </xf>
    <xf numFmtId="0" fontId="12" fillId="8" borderId="11" xfId="0" applyFont="true" applyFill="true" applyBorder="true" applyAlignment="true">
      <alignment horizontal="center" vertical="center"/>
    </xf>
    <xf numFmtId="0" fontId="3" fillId="0" borderId="10" xfId="0" applyFont="true" applyBorder="true" applyAlignment="true">
      <alignment horizontal="left" vertical="center"/>
    </xf>
    <xf numFmtId="167" fontId="3" fillId="0" borderId="10" xfId="0" applyNumberFormat="true" applyFont="true" applyBorder="true" applyAlignment="true">
      <alignment horizontal="right" vertical="center"/>
    </xf>
    <xf numFmtId="0" fontId="12" fillId="8" borderId="49" xfId="0" applyFont="true" applyFill="true" applyBorder="true" applyAlignment="true">
      <alignment horizontal="left" vertical="center"/>
    </xf>
    <xf numFmtId="166" fontId="12" fillId="8" borderId="49" xfId="0" applyNumberFormat="true" applyFont="true" applyFill="true" applyBorder="true" applyAlignment="true">
      <alignment horizontal="right" vertical="center"/>
    </xf>
    <xf numFmtId="167" fontId="12" fillId="8" borderId="49" xfId="0" applyNumberFormat="true" applyFont="true" applyFill="true" applyBorder="true" applyAlignment="true">
      <alignment horizontal="right" vertical="center"/>
    </xf>
    <xf numFmtId="166" fontId="8" fillId="0" borderId="0" xfId="0" applyNumberFormat="true" applyFont="true" applyAlignment="true">
      <alignment horizontal="right" vertical="center"/>
    </xf>
    <xf numFmtId="167" fontId="3" fillId="0" borderId="0" xfId="0" applyNumberFormat="true" applyFont="true" applyAlignment="true">
      <alignment horizontal="right" vertical="center"/>
    </xf>
    <xf numFmtId="166" fontId="8" fillId="0" borderId="10" xfId="0" applyNumberFormat="true" applyFont="true" applyBorder="true" applyAlignment="true">
      <alignment horizontal="right" vertical="center"/>
    </xf>
    <xf numFmtId="0" fontId="20" fillId="0" borderId="50" xfId="0" applyFont="true" applyBorder="true" applyAlignment="true">
      <alignment horizontal="left" vertical="center"/>
    </xf>
    <xf numFmtId="166" fontId="20" fillId="10" borderId="49" xfId="0" applyNumberFormat="true" applyFont="true" applyFill="true" applyBorder="true" applyAlignment="true">
      <alignment horizontal="right" vertical="center"/>
    </xf>
    <xf numFmtId="167" fontId="20" fillId="10" borderId="49" xfId="0" applyNumberFormat="true" applyFont="true" applyFill="true" applyBorder="true" applyAlignment="true">
      <alignment horizontal="right" vertical="center"/>
    </xf>
    <xf numFmtId="0" fontId="1" fillId="11" borderId="0" xfId="0" applyFont="true" applyFill="true" applyAlignment="true">
      <alignment horizontal="left" vertical="center"/>
    </xf>
    <xf numFmtId="0" fontId="21" fillId="11" borderId="0" xfId="0" applyFont="true" applyFill="true" applyAlignment="true">
      <alignment horizontal="left" vertical="center"/>
    </xf>
    <xf numFmtId="0" fontId="22" fillId="11" borderId="0" xfId="0" applyFont="true" applyFill="true" applyAlignment="true">
      <alignment horizontal="center" vertical="center"/>
    </xf>
    <xf numFmtId="0" fontId="14" fillId="0" borderId="0" xfId="0" applyFont="true" applyAlignment="true">
      <alignment horizontal="center" vertical="center"/>
    </xf>
    <xf numFmtId="0" fontId="23" fillId="11" borderId="11" xfId="0" applyFont="true" applyFill="true" applyBorder="true" applyAlignment="true">
      <alignment horizontal="center" vertical="center"/>
    </xf>
    <xf numFmtId="0" fontId="10" fillId="0" borderId="10" xfId="0" applyFont="true" applyBorder="true" applyAlignment="true">
      <alignment horizontal="left" vertical="center"/>
    </xf>
    <xf numFmtId="172" fontId="12" fillId="8" borderId="10" xfId="0" applyNumberFormat="true" applyFont="true" applyFill="true" applyBorder="true" applyAlignment="true">
      <alignment horizontal="center" vertical="center"/>
    </xf>
    <xf numFmtId="0" fontId="13" fillId="7" borderId="10" xfId="0" applyFont="true" applyFill="true" applyBorder="true" applyAlignment="true">
      <alignment horizontal="left" vertical="center"/>
    </xf>
    <xf numFmtId="0" fontId="7" fillId="0" borderId="10" xfId="0" applyFont="true" applyBorder="true" applyAlignment="true">
      <alignment horizontal="left" vertical="center"/>
    </xf>
    <xf numFmtId="166" fontId="3" fillId="0" borderId="10" xfId="0" applyNumberFormat="true" applyFont="true" applyBorder="true" applyAlignment="true">
      <alignment horizontal="right" vertical="center"/>
    </xf>
    <xf numFmtId="0" fontId="23" fillId="11" borderId="51" xfId="0" applyFont="true" applyFill="true" applyBorder="true" applyAlignment="true">
      <alignment horizontal="center" vertical="center"/>
    </xf>
    <xf numFmtId="0" fontId="23" fillId="11" borderId="7" xfId="0" applyFont="true" applyFill="true" applyBorder="true" applyAlignment="true">
      <alignment horizontal="center" vertical="center"/>
    </xf>
    <xf numFmtId="0" fontId="23" fillId="11" borderId="52" xfId="0" applyFont="true" applyFill="true" applyBorder="true" applyAlignment="true">
      <alignment horizontal="center" vertical="center"/>
    </xf>
    <xf numFmtId="0" fontId="10" fillId="0" borderId="17" xfId="0" applyFont="true" applyBorder="true" applyAlignment="true">
      <alignment horizontal="left" vertical="center"/>
    </xf>
    <xf numFmtId="0" fontId="3" fillId="5" borderId="18" xfId="0" applyFont="true" applyFill="true" applyBorder="true" applyAlignment="true">
      <alignment horizontal="center" vertical="center"/>
    </xf>
    <xf numFmtId="172" fontId="12" fillId="8" borderId="18" xfId="0" applyNumberFormat="true" applyFont="true" applyFill="true" applyBorder="true" applyAlignment="true">
      <alignment horizontal="center" vertical="center"/>
    </xf>
    <xf numFmtId="172" fontId="12" fillId="8" borderId="18" xfId="0" applyNumberFormat="true" applyFont="true" applyFill="true" applyBorder="true" applyAlignment="true">
      <alignment horizontal="center" vertical="center"/>
    </xf>
    <xf numFmtId="0" fontId="13" fillId="7" borderId="17" xfId="0" applyFont="true" applyFill="true" applyBorder="true" applyAlignment="true">
      <alignment horizontal="left" vertical="center"/>
    </xf>
    <xf numFmtId="0" fontId="13" fillId="7" borderId="18" xfId="0" applyFont="true" applyFill="true" applyBorder="true" applyAlignment="true">
      <alignment horizontal="left" vertical="center"/>
    </xf>
    <xf numFmtId="0" fontId="7" fillId="0" borderId="17" xfId="0" applyFont="true" applyBorder="true" applyAlignment="true">
      <alignment horizontal="left" vertical="center"/>
    </xf>
    <xf numFmtId="167" fontId="3" fillId="0" borderId="18" xfId="0" applyNumberFormat="true" applyFont="true" applyBorder="true" applyAlignment="true">
      <alignment horizontal="right" vertical="center"/>
    </xf>
    <xf numFmtId="0" fontId="7" fillId="0" borderId="19" xfId="0" applyFont="true" applyBorder="true" applyAlignment="true">
      <alignment horizontal="left" vertical="center"/>
    </xf>
    <xf numFmtId="0" fontId="7" fillId="0" borderId="20" xfId="0" applyFont="true" applyBorder="true" applyAlignment="true">
      <alignment horizontal="left" vertical="center"/>
    </xf>
    <xf numFmtId="166" fontId="3" fillId="0" borderId="20" xfId="0" applyNumberFormat="true" applyFont="true" applyBorder="true" applyAlignment="true">
      <alignment horizontal="right" vertical="center"/>
    </xf>
    <xf numFmtId="167" fontId="3" fillId="0" borderId="21" xfId="0" applyNumberFormat="true" applyFont="true" applyBorder="true" applyAlignment="true">
      <alignment horizontal="right" vertical="center"/>
    </xf>
    <xf numFmtId="167" fontId="3" fillId="8" borderId="10" xfId="0" applyNumberFormat="true" applyFont="true" applyFill="true" applyBorder="true" applyAlignment="true">
      <alignment horizontal="right" vertical="center"/>
    </xf>
    <xf numFmtId="0" fontId="4" fillId="0" borderId="10" xfId="0" applyFont="true" applyBorder="true" applyAlignment="true">
      <alignment horizontal="left" vertical="center"/>
    </xf>
    <xf numFmtId="167" fontId="12" fillId="8" borderId="10" xfId="0" applyNumberFormat="true" applyFont="true" applyFill="true" applyBorder="true" applyAlignment="true">
      <alignment horizontal="right" vertical="center"/>
    </xf>
    <xf numFmtId="0" fontId="24" fillId="11" borderId="11" xfId="0" applyFont="true" applyFill="true" applyBorder="true" applyAlignment="true">
      <alignment horizontal="center" vertical="center"/>
    </xf>
    <xf numFmtId="0" fontId="7" fillId="5" borderId="10" xfId="0" applyFont="true" applyFill="true" applyBorder="true" applyAlignment="true">
      <alignment horizontal="center" vertical="center"/>
    </xf>
    <xf numFmtId="167" fontId="3" fillId="12" borderId="10" xfId="0" applyNumberFormat="true" applyFont="true" applyFill="true" applyBorder="true" applyAlignment="true">
      <alignment horizontal="right" vertical="center"/>
    </xf>
    <xf numFmtId="0" fontId="10" fillId="0" borderId="38" xfId="0" applyFont="true" applyBorder="true" applyAlignment="true">
      <alignment horizontal="left" vertical="center"/>
    </xf>
    <xf numFmtId="0" fontId="10" fillId="0" borderId="39" xfId="0" applyFont="true" applyBorder="true" applyAlignment="true">
      <alignment horizontal="left" vertical="center"/>
    </xf>
    <xf numFmtId="167" fontId="3" fillId="8" borderId="40" xfId="0" applyNumberFormat="true" applyFont="true" applyFill="true" applyBorder="true" applyAlignment="true">
      <alignment horizontal="right" vertical="center"/>
    </xf>
    <xf numFmtId="167" fontId="3" fillId="8" borderId="18" xfId="0" applyNumberFormat="true" applyFont="true" applyFill="true" applyBorder="true" applyAlignment="true">
      <alignment horizontal="right" vertical="center"/>
    </xf>
    <xf numFmtId="0" fontId="4" fillId="0" borderId="19" xfId="0" applyFont="true" applyBorder="true" applyAlignment="true">
      <alignment horizontal="left" vertical="center"/>
    </xf>
    <xf numFmtId="0" fontId="4" fillId="0" borderId="20" xfId="0" applyFont="true" applyBorder="true" applyAlignment="true">
      <alignment horizontal="left" vertical="center"/>
    </xf>
    <xf numFmtId="167" fontId="12" fillId="8" borderId="21" xfId="0" applyNumberFormat="true" applyFont="true" applyFill="true" applyBorder="true" applyAlignment="true">
      <alignment horizontal="right" vertical="center"/>
    </xf>
    <xf numFmtId="0" fontId="24" fillId="11" borderId="51" xfId="0" applyFont="true" applyFill="true" applyBorder="true" applyAlignment="true">
      <alignment horizontal="center" vertical="center"/>
    </xf>
    <xf numFmtId="0" fontId="24" fillId="11" borderId="7" xfId="0" applyFont="true" applyFill="true" applyBorder="true" applyAlignment="true">
      <alignment horizontal="center" vertical="center"/>
    </xf>
    <xf numFmtId="0" fontId="24" fillId="11" borderId="52" xfId="0" applyFont="true" applyFill="true" applyBorder="true" applyAlignment="true">
      <alignment horizontal="center" vertical="center"/>
    </xf>
    <xf numFmtId="0" fontId="7" fillId="5" borderId="17" xfId="0" applyFont="true" applyFill="true" applyBorder="true" applyAlignment="true">
      <alignment horizontal="center" vertical="center"/>
    </xf>
    <xf numFmtId="167" fontId="3" fillId="12" borderId="18" xfId="0" applyNumberFormat="true" applyFont="true" applyFill="true" applyBorder="true" applyAlignment="true">
      <alignment horizontal="right" vertical="center"/>
    </xf>
    <xf numFmtId="167" fontId="12" fillId="8" borderId="18" xfId="0" applyNumberFormat="true" applyFont="true" applyFill="true" applyBorder="true" applyAlignment="true">
      <alignment horizontal="right" vertical="center"/>
    </xf>
    <xf numFmtId="0" fontId="0" fillId="0" borderId="15" xfId="0" applyBorder="true" applyAlignment="false">
      <alignment/>
    </xf>
    <xf numFmtId="167" fontId="3" fillId="5" borderId="40" xfId="0" applyNumberFormat="true" applyFont="true" applyFill="true" applyBorder="true" applyAlignment="true">
      <alignment horizontal="right" vertical="center"/>
    </xf>
    <xf numFmtId="0" fontId="14" fillId="7" borderId="10" xfId="0" applyFont="true" applyFill="true" applyBorder="true" applyAlignment="true">
      <alignment horizontal="center" vertical="center"/>
    </xf>
    <xf numFmtId="172" fontId="3" fillId="8" borderId="10" xfId="0" applyNumberFormat="true" applyFont="true" applyFill="true" applyBorder="true" applyAlignment="true">
      <alignment horizontal="center" vertical="center"/>
    </xf>
    <xf numFmtId="166" fontId="3" fillId="8" borderId="10" xfId="0" applyNumberFormat="true" applyFont="true" applyFill="true" applyBorder="true" applyAlignment="true">
      <alignment horizontal="right" vertical="center"/>
    </xf>
    <xf numFmtId="172" fontId="3" fillId="5" borderId="10" xfId="0" applyNumberFormat="true" applyFont="true" applyFill="true" applyBorder="true" applyAlignment="true">
      <alignment horizontal="center" vertical="center"/>
    </xf>
    <xf numFmtId="166" fontId="12" fillId="8" borderId="10" xfId="0" applyNumberFormat="true" applyFont="true" applyFill="true" applyBorder="true" applyAlignment="true">
      <alignment horizontal="right" vertical="center"/>
    </xf>
    <xf numFmtId="0" fontId="12" fillId="8" borderId="10" xfId="0" applyFont="true" applyFill="true" applyBorder="true" applyAlignment="true">
      <alignment horizontal="center" vertical="center"/>
    </xf>
    <xf numFmtId="173" fontId="3" fillId="8" borderId="10" xfId="0" applyNumberFormat="true" applyFont="true" applyFill="true" applyBorder="true" applyAlignment="true">
      <alignment horizontal="right" vertical="center"/>
    </xf>
    <xf numFmtId="0" fontId="14" fillId="7" borderId="39" xfId="0" applyFont="true" applyFill="true" applyBorder="true" applyAlignment="true">
      <alignment horizontal="center" vertical="center"/>
    </xf>
    <xf numFmtId="0" fontId="14" fillId="7" borderId="40" xfId="0" applyFont="true" applyFill="true" applyBorder="true" applyAlignment="true">
      <alignment horizontal="center" vertical="center"/>
    </xf>
    <xf numFmtId="172" fontId="3" fillId="8" borderId="18" xfId="0" applyNumberFormat="true" applyFont="true" applyFill="true" applyBorder="true" applyAlignment="true">
      <alignment horizontal="center" vertical="center"/>
    </xf>
    <xf numFmtId="172" fontId="3" fillId="5" borderId="18" xfId="0" applyNumberFormat="true" applyFont="true" applyFill="true" applyBorder="true" applyAlignment="true">
      <alignment horizontal="center" vertical="center"/>
    </xf>
    <xf numFmtId="172" fontId="3" fillId="5" borderId="18" xfId="0" applyNumberFormat="true" applyFont="true" applyFill="true" applyBorder="true" applyAlignment="true">
      <alignment horizontal="center" vertical="center"/>
    </xf>
    <xf numFmtId="172" fontId="3" fillId="5" borderId="18" xfId="0" applyNumberFormat="true" applyFont="true" applyFill="true" applyBorder="true" applyAlignment="true">
      <alignment horizontal="center" vertical="center"/>
    </xf>
    <xf numFmtId="0" fontId="4" fillId="0" borderId="17" xfId="0" applyFont="true" applyBorder="true" applyAlignment="true">
      <alignment horizontal="left" vertical="center"/>
    </xf>
    <xf numFmtId="0" fontId="12" fillId="8" borderId="18" xfId="0" applyFont="true" applyFill="true" applyBorder="true" applyAlignment="true">
      <alignment horizontal="center" vertical="center"/>
    </xf>
    <xf numFmtId="0" fontId="10" fillId="0" borderId="19" xfId="0" applyFont="true" applyBorder="true" applyAlignment="true">
      <alignment horizontal="left" vertical="center"/>
    </xf>
    <xf numFmtId="0" fontId="10" fillId="0" borderId="20" xfId="0" applyFont="true" applyBorder="true" applyAlignment="true">
      <alignment horizontal="left" vertical="center"/>
    </xf>
    <xf numFmtId="173" fontId="3" fillId="8" borderId="20" xfId="0" applyNumberFormat="true" applyFont="true" applyFill="true" applyBorder="true" applyAlignment="true">
      <alignment horizontal="right" vertical="center"/>
    </xf>
    <xf numFmtId="173" fontId="3" fillId="8" borderId="21" xfId="0" applyNumberFormat="true" applyFont="true" applyFill="true" applyBorder="true" applyAlignment="true">
      <alignment horizontal="right" vertical="center"/>
    </xf>
    <xf numFmtId="0" fontId="25" fillId="11" borderId="11" xfId="0" applyFont="true" applyFill="true" applyBorder="true" applyAlignment="true">
      <alignment horizontal="center" vertical="center" wrapText="true"/>
    </xf>
    <xf numFmtId="173" fontId="3" fillId="0" borderId="10" xfId="0" applyNumberFormat="true" applyFont="true" applyBorder="true" applyAlignment="true">
      <alignment horizontal="right" vertical="center"/>
    </xf>
    <xf numFmtId="0" fontId="26" fillId="11" borderId="11" xfId="0" applyFont="true" applyFill="true" applyBorder="true" applyAlignment="true">
      <alignment horizontal="left" vertical="center"/>
    </xf>
    <xf numFmtId="166" fontId="26" fillId="11" borderId="11" xfId="0" applyNumberFormat="true" applyFont="true" applyFill="true" applyBorder="true" applyAlignment="true">
      <alignment horizontal="right" vertical="center"/>
    </xf>
    <xf numFmtId="173" fontId="26" fillId="11" borderId="11" xfId="0" applyNumberFormat="true" applyFont="true" applyFill="true" applyBorder="true" applyAlignment="true">
      <alignment horizontal="right" vertical="center"/>
    </xf>
    <xf numFmtId="167" fontId="26" fillId="11" borderId="11" xfId="0" applyNumberFormat="true" applyFont="true" applyFill="true" applyBorder="true" applyAlignment="true">
      <alignment horizontal="right" vertical="center"/>
    </xf>
    <xf numFmtId="0" fontId="25" fillId="11" borderId="51" xfId="0" applyFont="true" applyFill="true" applyBorder="true" applyAlignment="true">
      <alignment horizontal="center" vertical="center" wrapText="true"/>
    </xf>
    <xf numFmtId="0" fontId="25" fillId="11" borderId="7" xfId="0" applyFont="true" applyFill="true" applyBorder="true" applyAlignment="true">
      <alignment horizontal="center" vertical="center" wrapText="true"/>
    </xf>
    <xf numFmtId="0" fontId="25" fillId="11" borderId="52" xfId="0" applyFont="true" applyFill="true" applyBorder="true" applyAlignment="true">
      <alignment horizontal="center" vertical="center" wrapText="true"/>
    </xf>
    <xf numFmtId="0" fontId="3" fillId="0" borderId="17" xfId="0" applyFont="true" applyBorder="true" applyAlignment="true">
      <alignment horizontal="lef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0" fontId="26" fillId="11" borderId="32" xfId="0" applyFont="true" applyFill="true" applyBorder="true" applyAlignment="true">
      <alignment horizontal="left" vertical="center"/>
    </xf>
    <xf numFmtId="166" fontId="26" fillId="11" borderId="33" xfId="0" applyNumberFormat="true" applyFont="true" applyFill="true" applyBorder="true" applyAlignment="true">
      <alignment horizontal="right" vertical="center"/>
    </xf>
    <xf numFmtId="173" fontId="26" fillId="11" borderId="33" xfId="0" applyNumberFormat="true" applyFont="true" applyFill="true" applyBorder="true" applyAlignment="true">
      <alignment horizontal="right" vertical="center"/>
    </xf>
    <xf numFmtId="167" fontId="26" fillId="11" borderId="33" xfId="0" applyNumberFormat="true" applyFont="true" applyFill="true" applyBorder="true" applyAlignment="true">
      <alignment horizontal="right" vertical="center"/>
    </xf>
    <xf numFmtId="173" fontId="26" fillId="11" borderId="34" xfId="0" applyNumberFormat="true" applyFont="true" applyFill="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26" fillId="11" borderId="33" xfId="0" applyNumberFormat="true" applyFont="true" applyFill="true" applyBorder="true" applyAlignment="true">
      <alignment horizontal="right" vertical="center"/>
    </xf>
    <xf numFmtId="173" fontId="26" fillId="11" borderId="34" xfId="0" applyNumberFormat="true" applyFont="true" applyFill="true" applyBorder="true" applyAlignment="true">
      <alignment horizontal="right" vertical="center"/>
    </xf>
    <xf numFmtId="172" fontId="12" fillId="8" borderId="20" xfId="0" applyNumberFormat="true" applyFont="true" applyFill="true" applyBorder="true" applyAlignment="true">
      <alignment horizontal="center" vertical="center"/>
    </xf>
    <xf numFmtId="172" fontId="12" fillId="8" borderId="20" xfId="0" applyNumberFormat="true" applyFont="true" applyFill="true" applyBorder="true" applyAlignment="true">
      <alignment horizontal="center" vertical="center"/>
    </xf>
    <xf numFmtId="172" fontId="12" fillId="8" borderId="21" xfId="0" applyNumberFormat="true" applyFont="true" applyFill="true" applyBorder="true" applyAlignment="true">
      <alignment horizontal="center"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26" fillId="11" borderId="33" xfId="0" applyNumberFormat="true" applyFont="true" applyFill="true" applyBorder="true" applyAlignment="true">
      <alignment horizontal="right" vertical="center"/>
    </xf>
    <xf numFmtId="173" fontId="26" fillId="11" borderId="34" xfId="0" applyNumberFormat="true" applyFont="true" applyFill="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26" fillId="11" borderId="33" xfId="0" applyNumberFormat="true" applyFont="true" applyFill="true" applyBorder="true" applyAlignment="true">
      <alignment horizontal="right" vertical="center"/>
    </xf>
    <xf numFmtId="173" fontId="26" fillId="11" borderId="34" xfId="0" applyNumberFormat="true" applyFont="true" applyFill="true" applyBorder="true" applyAlignment="true">
      <alignment horizontal="right" vertical="center"/>
    </xf>
    <xf numFmtId="0" fontId="12" fillId="0" borderId="10" xfId="0" applyFont="true" applyBorder="true" applyAlignment="true">
      <alignment horizontal="left" vertical="center"/>
    </xf>
    <xf numFmtId="0" fontId="3" fillId="8" borderId="10" xfId="0" applyFont="true" applyFill="true" applyBorder="true" applyAlignment="true">
      <alignment horizontal="center" vertical="center"/>
    </xf>
    <xf numFmtId="169" fontId="3" fillId="8" borderId="10" xfId="0" applyNumberFormat="true" applyFont="true" applyFill="true" applyBorder="true" applyAlignment="true">
      <alignment horizontal="center" vertical="center"/>
    </xf>
    <xf numFmtId="170" fontId="3" fillId="8" borderId="10" xfId="0" applyNumberFormat="true" applyFont="true" applyFill="true" applyBorder="true" applyAlignment="true">
      <alignment horizontal="center" vertical="center"/>
    </xf>
    <xf numFmtId="165" fontId="3" fillId="8" borderId="10" xfId="0" applyNumberFormat="true" applyFont="true" applyFill="true" applyBorder="true" applyAlignment="true">
      <alignment horizontal="center" vertical="center"/>
    </xf>
    <xf numFmtId="0" fontId="12" fillId="8" borderId="10" xfId="0" applyFont="true" applyFill="true" applyBorder="true" applyAlignment="true">
      <alignment horizontal="left" vertical="center"/>
    </xf>
    <xf numFmtId="0" fontId="12" fillId="10" borderId="10" xfId="0" applyFont="true" applyFill="true" applyBorder="true" applyAlignment="true">
      <alignment horizontal="left" vertical="center"/>
    </xf>
    <xf numFmtId="166" fontId="12" fillId="10" borderId="10" xfId="0" applyNumberFormat="true" applyFont="true" applyFill="true" applyBorder="true" applyAlignment="true">
      <alignment horizontal="right" vertical="center"/>
    </xf>
    <xf numFmtId="167" fontId="12" fillId="10" borderId="10" xfId="0" applyNumberFormat="true" applyFont="true" applyFill="true" applyBorder="true" applyAlignment="true">
      <alignment horizontal="right" vertical="center"/>
    </xf>
    <xf numFmtId="0" fontId="12" fillId="0" borderId="17" xfId="0" applyFont="true" applyBorder="true" applyAlignment="true">
      <alignment horizontal="left" vertical="center"/>
    </xf>
    <xf numFmtId="0" fontId="3" fillId="8" borderId="18" xfId="0" applyFont="true" applyFill="true" applyBorder="true" applyAlignment="true">
      <alignment horizontal="center" vertical="center"/>
    </xf>
    <xf numFmtId="169" fontId="3" fillId="8" borderId="18" xfId="0" applyNumberFormat="true" applyFont="true" applyFill="true" applyBorder="true" applyAlignment="true">
      <alignment horizontal="center" vertical="center"/>
    </xf>
    <xf numFmtId="170" fontId="3" fillId="8" borderId="18" xfId="0" applyNumberFormat="true" applyFont="true" applyFill="true" applyBorder="true" applyAlignment="true">
      <alignment horizontal="center" vertical="center"/>
    </xf>
    <xf numFmtId="165" fontId="3" fillId="8" borderId="18" xfId="0" applyNumberFormat="true" applyFont="true" applyFill="true" applyBorder="true" applyAlignment="true">
      <alignment horizontal="center" vertical="center"/>
    </xf>
    <xf numFmtId="0" fontId="12" fillId="8" borderId="30" xfId="0" applyFont="true" applyFill="true" applyBorder="true" applyAlignment="true">
      <alignment horizontal="center" vertical="center"/>
    </xf>
    <xf numFmtId="0" fontId="12" fillId="8" borderId="31" xfId="0" applyFont="true" applyFill="true" applyBorder="true" applyAlignment="true">
      <alignment horizontal="center" vertical="center"/>
    </xf>
    <xf numFmtId="0" fontId="12" fillId="8" borderId="17" xfId="0" applyFont="true" applyFill="true" applyBorder="true" applyAlignment="true">
      <alignment horizontal="left" vertical="center"/>
    </xf>
    <xf numFmtId="0" fontId="12" fillId="10" borderId="19" xfId="0" applyFont="true" applyFill="true" applyBorder="true" applyAlignment="true">
      <alignment horizontal="left" vertical="center"/>
    </xf>
    <xf numFmtId="166" fontId="12" fillId="10" borderId="20" xfId="0" applyNumberFormat="true" applyFont="true" applyFill="true" applyBorder="true" applyAlignment="true">
      <alignment horizontal="right" vertical="center"/>
    </xf>
    <xf numFmtId="167" fontId="12" fillId="10" borderId="21" xfId="0" applyNumberFormat="true" applyFont="true" applyFill="true" applyBorder="true" applyAlignment="true">
      <alignment horizontal="right" vertical="center"/>
    </xf>
    <xf numFmtId="0" fontId="3" fillId="6" borderId="10" xfId="0" applyFont="true" applyFill="true" applyBorder="true" applyAlignment="true">
      <alignment horizontal="center" vertical="center"/>
    </xf>
    <xf numFmtId="169" fontId="3" fillId="6" borderId="10" xfId="0" applyNumberFormat="true" applyFont="true" applyFill="true" applyBorder="true" applyAlignment="true">
      <alignment horizontal="center" vertical="center"/>
    </xf>
    <xf numFmtId="170" fontId="3" fillId="6" borderId="10" xfId="0" applyNumberFormat="true" applyFont="true" applyFill="true" applyBorder="true" applyAlignment="true">
      <alignment horizontal="center" vertical="center"/>
    </xf>
    <xf numFmtId="171" fontId="3" fillId="6" borderId="10" xfId="0" applyNumberFormat="true" applyFont="true" applyFill="true" applyBorder="true" applyAlignment="true">
      <alignment horizontal="center" vertical="center"/>
    </xf>
    <xf numFmtId="0" fontId="12" fillId="7" borderId="7" xfId="0" applyFont="true" applyFill="true" applyBorder="true" applyAlignment="true">
      <alignment horizontal="left" vertical="center"/>
    </xf>
    <xf numFmtId="0" fontId="13" fillId="7" borderId="11" xfId="0" applyFont="true" applyFill="true" applyBorder="true" applyAlignment="true">
      <alignment horizontal="center" vertical="center" wrapText="true"/>
    </xf>
    <xf numFmtId="0" fontId="12" fillId="6" borderId="10" xfId="0" applyFont="true" applyFill="true" applyBorder="true" applyAlignment="true">
      <alignment horizontal="left" vertical="center"/>
    </xf>
    <xf numFmtId="166" fontId="12" fillId="6" borderId="10" xfId="0" applyNumberFormat="true" applyFont="true" applyFill="true" applyBorder="true" applyAlignment="true">
      <alignment horizontal="right" vertical="center"/>
    </xf>
    <xf numFmtId="167" fontId="12" fillId="6" borderId="10" xfId="0" applyNumberFormat="true" applyFont="true" applyFill="true" applyBorder="true" applyAlignment="true">
      <alignment horizontal="right" vertical="center"/>
    </xf>
    <xf numFmtId="166" fontId="12" fillId="0" borderId="53" xfId="0" applyNumberFormat="true" applyFont="true" applyBorder="true" applyAlignment="true">
      <alignment horizontal="right" vertical="center"/>
    </xf>
    <xf numFmtId="167" fontId="12" fillId="0" borderId="53" xfId="0" applyNumberFormat="true" applyFont="true" applyBorder="true" applyAlignment="true">
      <alignment horizontal="right" vertical="center"/>
    </xf>
    <xf numFmtId="0" fontId="3" fillId="6" borderId="18" xfId="0" applyFont="true" applyFill="true" applyBorder="true" applyAlignment="true">
      <alignment horizontal="center" vertical="center"/>
    </xf>
    <xf numFmtId="169" fontId="3" fillId="6" borderId="18" xfId="0" applyNumberFormat="true" applyFont="true" applyFill="true" applyBorder="true" applyAlignment="true">
      <alignment horizontal="center" vertical="center"/>
    </xf>
    <xf numFmtId="170" fontId="3" fillId="6" borderId="18" xfId="0" applyNumberFormat="true" applyFont="true" applyFill="true" applyBorder="true" applyAlignment="true">
      <alignment horizontal="center" vertical="center"/>
    </xf>
    <xf numFmtId="171" fontId="3" fillId="6" borderId="18" xfId="0" applyNumberFormat="true" applyFont="true" applyFill="true" applyBorder="true" applyAlignment="true">
      <alignment horizontal="center" vertical="center"/>
    </xf>
    <xf numFmtId="0" fontId="12" fillId="7" borderId="51" xfId="0" applyFont="true" applyFill="true" applyBorder="true" applyAlignment="true">
      <alignment horizontal="left" vertical="center"/>
    </xf>
    <xf numFmtId="0" fontId="12" fillId="7" borderId="52" xfId="0" applyFont="true" applyFill="true" applyBorder="true" applyAlignment="true">
      <alignment horizontal="left" vertical="center"/>
    </xf>
    <xf numFmtId="0" fontId="13" fillId="7" borderId="30" xfId="0" applyFont="true" applyFill="true" applyBorder="true" applyAlignment="true">
      <alignment horizontal="center" vertical="center" wrapText="true"/>
    </xf>
    <xf numFmtId="0" fontId="13" fillId="7" borderId="31" xfId="0" applyFont="true" applyFill="true" applyBorder="true" applyAlignment="true">
      <alignment horizontal="center" vertical="center" wrapText="true"/>
    </xf>
    <xf numFmtId="0" fontId="12" fillId="6" borderId="17" xfId="0" applyFont="true" applyFill="true" applyBorder="true" applyAlignment="true">
      <alignment horizontal="left" vertical="center"/>
    </xf>
    <xf numFmtId="167" fontId="12" fillId="6" borderId="18" xfId="0" applyNumberFormat="true" applyFont="true" applyFill="true" applyBorder="true" applyAlignment="true">
      <alignment horizontal="right" vertical="center"/>
    </xf>
    <xf numFmtId="0" fontId="12" fillId="0" borderId="19" xfId="0" applyFont="true" applyBorder="true" applyAlignment="true">
      <alignment horizontal="left" vertical="center"/>
    </xf>
    <xf numFmtId="166" fontId="12" fillId="0" borderId="54" xfId="0" applyNumberFormat="true" applyFont="true" applyBorder="true" applyAlignment="true">
      <alignment horizontal="right" vertical="center"/>
    </xf>
    <xf numFmtId="167" fontId="12" fillId="0" borderId="54" xfId="0" applyNumberFormat="true" applyFont="true" applyBorder="true" applyAlignment="true">
      <alignment horizontal="right" vertical="center"/>
    </xf>
    <xf numFmtId="167" fontId="12" fillId="0" borderId="55" xfId="0" applyNumberFormat="true" applyFont="true" applyBorder="true" applyAlignment="true">
      <alignment horizontal="right" vertical="center"/>
    </xf>
    <xf numFmtId="0" fontId="12" fillId="7" borderId="0" xfId="0" applyFont="true" applyFill="true" applyAlignment="true">
      <alignment/>
    </xf>
  </cellXfs>
  <cellStyles count="1">
    <cellStyle name="Normal" xfId="0" builtinId="0"/>
  </cellStyles>
  <dxfs count="18">
    <dxf>
      <font>
        <name val="Segoe UI"/>
        <family val="2"/>
        <color rgb="FF646464"/>
      </font>
      <fill>
        <patternFill patternType="solid">
          <bgColor rgb="FFF0F0F0"/>
        </patternFill>
      </fill>
      <alignment/>
    </dxf>
    <dxf>
      <font>
        <name val="Segoe UI"/>
        <family val="2"/>
        <strike val="1"/>
        <color rgb="FF646464"/>
      </font>
      <alignment/>
    </dxf>
    <dxf>
      <font>
        <name val="Segoe UI"/>
        <family val="2"/>
        <b val="1"/>
        <color rgb="FF006100"/>
        <sz val="9"/>
      </font>
      <fill>
        <patternFill patternType="solid">
          <bgColor rgb="FFC6EFCE"/>
        </patternFill>
      </fill>
      <alignment/>
      <border>
        <left style="medium">
          <color rgb="FF808080"/>
        </left>
        <right style="medium">
          <color rgb="FF808080"/>
        </right>
        <top style="thin">
          <color rgb="FF808080"/>
        </top>
        <bottom style="medium">
          <color rgb="FF808080"/>
        </bottom>
      </border>
    </dxf>
    <dxf>
      <font>
        <name val="Segoe UI"/>
        <family val="2"/>
        <b val="1"/>
        <color rgb="FFFFFFFF"/>
        <sz val="9"/>
      </font>
      <fill>
        <patternFill patternType="solid">
          <bgColor rgb="FF3C3C3C"/>
        </patternFill>
      </fill>
      <alignment horizontal="center" vertical="center"/>
      <border>
        <left style="thin">
          <color rgb="FF808080"/>
        </left>
        <right style="thin">
          <color rgb="FF808080"/>
        </right>
        <top style="thin">
          <color rgb="FF808080"/>
        </top>
        <bottom style="thin">
          <color rgb="FF808080"/>
        </bottom>
      </border>
    </dxf>
    <dxf>
      <font>
        <name val="Segoe UI"/>
        <family val="2"/>
        <color rgb="FF000000"/>
      </font>
      <fill>
        <patternFill patternType="solid">
          <bgColor rgb="FFFFFAE5"/>
        </patternFill>
      </fill>
      <alignment/>
      <border>
        <left style="thin">
          <color rgb="FF808080"/>
        </left>
        <right style="thin">
          <color rgb="FF808080"/>
        </right>
        <top style="thin">
          <color rgb="FF808080"/>
        </top>
        <bottom style="thin">
          <color rgb="FF808080"/>
        </bottom>
      </border>
    </dxf>
    <dxf>
      <font>
        <name val="Segoe UI"/>
        <family val="2"/>
        <b val="1"/>
        <color rgb="FF006100"/>
        <sz val="9"/>
      </font>
      <fill>
        <patternFill patternType="solid">
          <bgColor rgb="FFC6EFCE"/>
        </patternFill>
      </fill>
      <alignment/>
      <border>
        <left style="thin">
          <color rgb="FF808080"/>
        </left>
        <right style="medium">
          <color rgb="FF808080"/>
        </right>
        <top style="thin">
          <color rgb="FF808080"/>
        </top>
        <bottom style="thin">
          <color rgb="FF808080"/>
        </bottom>
      </border>
    </dxf>
    <dxf>
      <font>
        <name val="Segoe UI"/>
        <family val="2"/>
        <b val="1"/>
        <color rgb="FF9C0006"/>
        <sz val="9"/>
      </font>
      <fill>
        <patternFill patternType="solid">
          <bgColor rgb="FFFFC7CE"/>
        </patternFill>
      </fill>
      <alignment/>
      <border>
        <left style="thin">
          <color rgb="FF808080"/>
        </left>
        <right style="medium">
          <color rgb="FF808080"/>
        </right>
        <top style="thin">
          <color rgb="FF808080"/>
        </top>
        <bottom style="thin">
          <color rgb="FF808080"/>
        </bottom>
      </border>
    </dxf>
    <dxf>
      <font>
        <name val="Segoe UI"/>
        <family val="2"/>
        <b val="1"/>
        <color rgb="FF006100"/>
        <sz val="9"/>
      </font>
      <fill>
        <patternFill patternType="solid">
          <bgColor rgb="FFC6EFCE"/>
        </patternFill>
      </fill>
      <alignment/>
      <border>
        <left style="thin">
          <color rgb="FF808080"/>
        </left>
        <right style="medium">
          <color rgb="FF808080"/>
        </right>
        <top style="thin">
          <color rgb="FF808080"/>
        </top>
        <bottom style="medium">
          <color rgb="FF808080"/>
        </bottom>
      </border>
    </dxf>
    <dxf>
      <font>
        <name val="Segoe UI"/>
        <family val="2"/>
        <b val="1"/>
        <color rgb="FF9C0006"/>
        <sz val="9"/>
      </font>
      <fill>
        <patternFill patternType="solid">
          <bgColor rgb="FFFFC7CE"/>
        </patternFill>
      </fill>
      <alignment/>
      <border>
        <left style="thin">
          <color rgb="FF808080"/>
        </left>
        <right style="medium">
          <color rgb="FF808080"/>
        </right>
        <top style="thin">
          <color rgb="FF808080"/>
        </top>
        <bottom style="medium">
          <color rgb="FF808080"/>
        </bottom>
      </border>
    </dxf>
    <dxf>
      <font>
        <name val="Segoe UI"/>
        <family val="2"/>
        <color rgb="FF000000"/>
      </font>
      <fill>
        <patternFill patternType="solid">
          <bgColor rgb="FFD6EAF8"/>
        </patternFill>
      </fill>
      <alignment/>
      <border>
        <left style="medium">
          <color rgb="FF808080"/>
        </left>
        <right style="thin">
          <color rgb="FF808080"/>
        </right>
        <top style="thin">
          <color rgb="FF808080"/>
        </top>
        <bottom style="thin">
          <color rgb="FF808080"/>
        </bottom>
      </border>
    </dxf>
    <dxf>
      <font>
        <name val="Segoe UI"/>
        <family val="2"/>
        <color rgb="FF000000"/>
      </font>
      <fill>
        <patternFill patternType="solid">
          <bgColor rgb="FFD6EAF8"/>
        </patternFill>
      </fill>
      <alignment/>
      <border>
        <left style="thin">
          <color rgb="FF808080"/>
        </left>
        <right style="thin">
          <color rgb="FF808080"/>
        </right>
        <top style="thin">
          <color rgb="FF808080"/>
        </top>
        <bottom style="thin">
          <color rgb="FF808080"/>
        </bottom>
      </border>
    </dxf>
    <dxf>
      <font>
        <name val="Segoe UI"/>
        <family val="2"/>
        <color rgb="FF000000"/>
      </font>
      <fill>
        <patternFill patternType="solid">
          <bgColor rgb="FFD6EAF8"/>
        </patternFill>
      </fill>
      <alignment/>
      <border>
        <left style="thin">
          <color rgb="FF808080"/>
        </left>
        <right style="medium">
          <color rgb="FF808080"/>
        </right>
        <top style="thin">
          <color rgb="FF808080"/>
        </top>
        <bottom style="thin">
          <color rgb="FF808080"/>
        </bottom>
      </border>
    </dxf>
    <dxf>
      <font>
        <name val="Segoe UI"/>
        <family val="2"/>
        <b val="1"/>
        <color rgb="FF006100"/>
      </font>
      <fill>
        <patternFill patternType="solid">
          <bgColor rgb="FFC6EFCE"/>
        </patternFill>
      </fill>
      <alignment horizontal="center" vertical="center"/>
    </dxf>
    <dxf>
      <font>
        <name val="Segoe UI"/>
        <family val="2"/>
        <b val="1"/>
        <color rgb="FF9C0006"/>
      </font>
      <fill>
        <patternFill patternType="solid">
          <bgColor rgb="FFFFC7CE"/>
        </patternFill>
      </fill>
      <alignment horizontal="center" vertical="center"/>
    </dxf>
    <dxf>
      <font>
        <name val="Segoe UI"/>
        <family val="2"/>
        <b val="1"/>
        <color rgb="FF9C0006"/>
      </font>
      <numFmt numFmtId="165" formatCode="#,##0.00"/>
      <fill>
        <patternFill patternType="solid">
          <bgColor rgb="FFFFC7CE"/>
        </patternFill>
      </fill>
      <alignment horizontal="right" vertical="center"/>
    </dxf>
    <dxf>
      <font>
        <name val="Segoe UI"/>
        <family val="2"/>
        <b val="1"/>
        <color rgb="FF9C0006"/>
      </font>
      <numFmt numFmtId="166" formatCode="#,##0.00&quot; €&quot;"/>
      <fill>
        <patternFill patternType="solid">
          <bgColor rgb="FFFFC7CE"/>
        </patternFill>
      </fill>
      <alignment horizontal="right" vertical="center"/>
    </dxf>
    <dxf>
      <font>
        <name val="Segoe UI"/>
        <family val="2"/>
        <b val="1"/>
        <color rgb="FF9C0006"/>
      </font>
      <numFmt numFmtId="167" formatCode="0.0%"/>
      <fill>
        <patternFill patternType="solid">
          <bgColor rgb="FFFFC7CE"/>
        </patternFill>
      </fill>
      <alignment horizontal="right" vertical="center"/>
      <border>
        <left style="thin">
          <color rgb="FFD3D3D3"/>
        </left>
        <right style="thin">
          <color rgb="FFD3D3D3"/>
        </right>
        <top style="thin">
          <color rgb="FFD3D3D3"/>
        </top>
        <bottom style="thin">
          <color rgb="FFD3D3D3"/>
        </bottom>
      </border>
    </dxf>
    <dxf>
      <font>
        <name val="Segoe UI"/>
        <family val="2"/>
        <b val="1"/>
        <color rgb="FF9C640C"/>
      </font>
      <numFmt numFmtId="168" formatCode="0.0%"/>
      <fill>
        <patternFill patternType="solid">
          <bgColor rgb="FFFCF3CF"/>
        </patternFill>
      </fill>
      <alignment horizontal="right" vertical="center"/>
      <border>
        <left style="thin">
          <color rgb="FFD3D3D3"/>
        </left>
        <right style="thin">
          <color rgb="FFD3D3D3"/>
        </right>
        <top style="thin">
          <color rgb="FFD3D3D3"/>
        </top>
        <bottom style="thin">
          <color rgb="FFD3D3D3"/>
        </bottom>
      </border>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ype="http://schemas.openxmlformats.org/officeDocument/2006/relationships/sheetMetadata" Target="metadata.xml"/></Relationships>
</file>

<file path=xl/tables/table1.xml><?xml version="1.0" encoding="utf-8"?>
<table xmlns="http://schemas.openxmlformats.org/spreadsheetml/2006/main" id="1" name="TblBudgetAusgaben" displayName="TblBudgetAusgaben" ref="B18:I28">
  <autoFilter ref="B18:I28"/>
  <tableColumns count="8">
    <tableColumn id="1" name="Kostenkategorie"/>
    <tableColumn id="2" name="ID"/>
    <tableColumn id="3" name="Kostenposition"/>
    <tableColumn id="4" name="Betrag (LC)"/>
    <tableColumn id="5" name="Jahr 1"/>
    <tableColumn id="6" name="Jahr 2"/>
    <tableColumn id="7" name="Jahr 3"/>
    <tableColumn id="8" name="Betrag (EUR)"/>
  </tableColumns>
  <tableStyleInfo showFirstColumn="false" showLastColumn="false" showRowStripes="false" showColumnStripes="false"/>
</table>
</file>

<file path=xl/tables/table2.xml><?xml version="1.0" encoding="utf-8"?>
<table xmlns="http://schemas.openxmlformats.org/spreadsheetml/2006/main" id="2" name="TblDrittmittel" displayName="TblDrittmittel" ref="K18:M20">
  <autoFilter ref="K18:M20"/>
  <tableColumns count="3">
    <tableColumn id="1" name="Name des Gebers"/>
    <tableColumn id="2" name="Betrag (LC)"/>
    <tableColumn id="3" name="Betrag (EUR)"/>
  </tableColumns>
  <tableStyleInfo showFirstColumn="false" showLastColumn="false" showRowStripes="false" showColumnStripes="false"/>
</table>
</file>

<file path=xl/tables/table3.xml><?xml version="1.0" encoding="utf-8"?>
<table xmlns="http://schemas.openxmlformats.org/spreadsheetml/2006/main" id="3" name="TblKMWMittel" displayName="TblKMWMittel" ref="B4:E22">
  <autoFilter ref="B4:E22"/>
  <tableColumns count="4">
    <tableColumn id="1" name="Periode"/>
    <tableColumn id="2" name="Waehrung"/>
    <tableColumn id="3" name="Betrag"/>
    <tableColumn id="4" name="Datum"/>
  </tableColumns>
  <tableStyleInfo name="TableStyleLight1" showFirstColumn="false" showLastColumn="false" showRowStripes="false" showColumnStripes="false"/>
</table>
</file>

<file path=xl/tables/table4.xml><?xml version="1.0" encoding="utf-8"?>
<table xmlns="http://schemas.openxmlformats.org/spreadsheetml/2006/main" id="4" name="Ausgaben_1" displayName="Ausgaben_1" ref="B18:F28">
  <autoFilter ref="B18:F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xml><?xml version="1.0" encoding="utf-8"?>
<table xmlns="http://schemas.openxmlformats.org/spreadsheetml/2006/main" id="5" name="Einnahmen_1" displayName="Einnahmen_1" ref="B42:F47">
  <autoFilter ref="B42:F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6.xml><?xml version="1.0" encoding="utf-8"?>
<table xmlns="http://schemas.openxmlformats.org/spreadsheetml/2006/main" id="6" name="Einnahmen_WK_1" displayName="Einnahmen_WK_1" ref="B51:F57">
  <autoFilter ref="B51:F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7.xml><?xml version="1.0" encoding="utf-8"?>
<table xmlns="http://schemas.openxmlformats.org/spreadsheetml/2006/main" id="7" name="Ausgaben_2" displayName="Ausgaben_2" ref="I18:M28">
  <autoFilter ref="I18:M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8.xml><?xml version="1.0" encoding="utf-8"?>
<table xmlns="http://schemas.openxmlformats.org/spreadsheetml/2006/main" id="8" name="Einnahmen_2" displayName="Einnahmen_2" ref="I42:M47">
  <autoFilter ref="I42:M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9.xml><?xml version="1.0" encoding="utf-8"?>
<table xmlns="http://schemas.openxmlformats.org/spreadsheetml/2006/main" id="9" name="Einnahmen_WK_2" displayName="Einnahmen_WK_2" ref="I51:M57">
  <autoFilter ref="I51:M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0.xml><?xml version="1.0" encoding="utf-8"?>
<table xmlns="http://schemas.openxmlformats.org/spreadsheetml/2006/main" id="10" name="Ausgaben_3" displayName="Ausgaben_3" ref="P18:T28">
  <autoFilter ref="P18:T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1.xml><?xml version="1.0" encoding="utf-8"?>
<table xmlns="http://schemas.openxmlformats.org/spreadsheetml/2006/main" id="11" name="Einnahmen_3" displayName="Einnahmen_3" ref="P42:T47">
  <autoFilter ref="P42:T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2.xml><?xml version="1.0" encoding="utf-8"?>
<table xmlns="http://schemas.openxmlformats.org/spreadsheetml/2006/main" id="12" name="Einnahmen_WK_3" displayName="Einnahmen_WK_3" ref="P51:T57">
  <autoFilter ref="P51:T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3.xml><?xml version="1.0" encoding="utf-8"?>
<table xmlns="http://schemas.openxmlformats.org/spreadsheetml/2006/main" id="13" name="Ausgaben_4" displayName="Ausgaben_4" ref="W18:AA28">
  <autoFilter ref="W18:AA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4.xml><?xml version="1.0" encoding="utf-8"?>
<table xmlns="http://schemas.openxmlformats.org/spreadsheetml/2006/main" id="14" name="Einnahmen_4" displayName="Einnahmen_4" ref="W42:AA47">
  <autoFilter ref="W42:AA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5.xml><?xml version="1.0" encoding="utf-8"?>
<table xmlns="http://schemas.openxmlformats.org/spreadsheetml/2006/main" id="15" name="Einnahmen_WK_4" displayName="Einnahmen_WK_4" ref="W51:AA57">
  <autoFilter ref="W51:AA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6.xml><?xml version="1.0" encoding="utf-8"?>
<table xmlns="http://schemas.openxmlformats.org/spreadsheetml/2006/main" id="16" name="Ausgaben_5" displayName="Ausgaben_5" ref="AD18:AH28">
  <autoFilter ref="AD18:AH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7.xml><?xml version="1.0" encoding="utf-8"?>
<table xmlns="http://schemas.openxmlformats.org/spreadsheetml/2006/main" id="17" name="Einnahmen_5" displayName="Einnahmen_5" ref="AD42:AH47">
  <autoFilter ref="AD42:AH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8.xml><?xml version="1.0" encoding="utf-8"?>
<table xmlns="http://schemas.openxmlformats.org/spreadsheetml/2006/main" id="18" name="Einnahmen_WK_5" displayName="Einnahmen_WK_5" ref="AD51:AH57">
  <autoFilter ref="AD51:AH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9.xml><?xml version="1.0" encoding="utf-8"?>
<table xmlns="http://schemas.openxmlformats.org/spreadsheetml/2006/main" id="19" name="Ausgaben_6" displayName="Ausgaben_6" ref="AK18:AO28">
  <autoFilter ref="AK18:AO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0.xml><?xml version="1.0" encoding="utf-8"?>
<table xmlns="http://schemas.openxmlformats.org/spreadsheetml/2006/main" id="20" name="Einnahmen_6" displayName="Einnahmen_6" ref="AK42:AO47">
  <autoFilter ref="AK42:AO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1.xml><?xml version="1.0" encoding="utf-8"?>
<table xmlns="http://schemas.openxmlformats.org/spreadsheetml/2006/main" id="21" name="Einnahmen_WK_6" displayName="Einnahmen_WK_6" ref="AK51:AO57">
  <autoFilter ref="AK51:AO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2.xml><?xml version="1.0" encoding="utf-8"?>
<table xmlns="http://schemas.openxmlformats.org/spreadsheetml/2006/main" id="22" name="Ausgaben_7" displayName="Ausgaben_7" ref="AR18:AV28">
  <autoFilter ref="AR18:AV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3.xml><?xml version="1.0" encoding="utf-8"?>
<table xmlns="http://schemas.openxmlformats.org/spreadsheetml/2006/main" id="23" name="Einnahmen_7" displayName="Einnahmen_7" ref="AR42:AV47">
  <autoFilter ref="AR42:AV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4.xml><?xml version="1.0" encoding="utf-8"?>
<table xmlns="http://schemas.openxmlformats.org/spreadsheetml/2006/main" id="24" name="Einnahmen_WK_7" displayName="Einnahmen_WK_7" ref="AR51:AV57">
  <autoFilter ref="AR51:AV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5.xml><?xml version="1.0" encoding="utf-8"?>
<table xmlns="http://schemas.openxmlformats.org/spreadsheetml/2006/main" id="25" name="Ausgaben_8" displayName="Ausgaben_8" ref="AY18:BC28">
  <autoFilter ref="AY18:BC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6.xml><?xml version="1.0" encoding="utf-8"?>
<table xmlns="http://schemas.openxmlformats.org/spreadsheetml/2006/main" id="26" name="Einnahmen_8" displayName="Einnahmen_8" ref="AY42:BC47">
  <autoFilter ref="AY42:BC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7.xml><?xml version="1.0" encoding="utf-8"?>
<table xmlns="http://schemas.openxmlformats.org/spreadsheetml/2006/main" id="27" name="Einnahmen_WK_8" displayName="Einnahmen_WK_8" ref="AY51:BC57">
  <autoFilter ref="AY51:BC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8.xml><?xml version="1.0" encoding="utf-8"?>
<table xmlns="http://schemas.openxmlformats.org/spreadsheetml/2006/main" id="28" name="Ausgaben_9" displayName="Ausgaben_9" ref="BF18:BJ28">
  <autoFilter ref="BF18:BJ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9.xml><?xml version="1.0" encoding="utf-8"?>
<table xmlns="http://schemas.openxmlformats.org/spreadsheetml/2006/main" id="29" name="Einnahmen_9" displayName="Einnahmen_9" ref="BF42:BJ47">
  <autoFilter ref="BF42:BJ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0.xml><?xml version="1.0" encoding="utf-8"?>
<table xmlns="http://schemas.openxmlformats.org/spreadsheetml/2006/main" id="30" name="Einnahmen_WK_9" displayName="Einnahmen_WK_9" ref="BF51:BJ57">
  <autoFilter ref="BF51:BJ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1.xml><?xml version="1.0" encoding="utf-8"?>
<table xmlns="http://schemas.openxmlformats.org/spreadsheetml/2006/main" id="31" name="Ausgaben_10" displayName="Ausgaben_10" ref="BM18:BQ28">
  <autoFilter ref="BM18:BQ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2.xml><?xml version="1.0" encoding="utf-8"?>
<table xmlns="http://schemas.openxmlformats.org/spreadsheetml/2006/main" id="32" name="Einnahmen_10" displayName="Einnahmen_10" ref="BM42:BQ47">
  <autoFilter ref="BM42:BQ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3.xml><?xml version="1.0" encoding="utf-8"?>
<table xmlns="http://schemas.openxmlformats.org/spreadsheetml/2006/main" id="33" name="Einnahmen_WK_10" displayName="Einnahmen_WK_10" ref="BM51:BQ57">
  <autoFilter ref="BM51:BQ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4.xml><?xml version="1.0" encoding="utf-8"?>
<table xmlns="http://schemas.openxmlformats.org/spreadsheetml/2006/main" id="34" name="Ausgaben_11" displayName="Ausgaben_11" ref="BT18:BX28">
  <autoFilter ref="BT18:BX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5.xml><?xml version="1.0" encoding="utf-8"?>
<table xmlns="http://schemas.openxmlformats.org/spreadsheetml/2006/main" id="35" name="Einnahmen_11" displayName="Einnahmen_11" ref="BT42:BX47">
  <autoFilter ref="BT42:BX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6.xml><?xml version="1.0" encoding="utf-8"?>
<table xmlns="http://schemas.openxmlformats.org/spreadsheetml/2006/main" id="36" name="Einnahmen_WK_11" displayName="Einnahmen_WK_11" ref="BT51:BX57">
  <autoFilter ref="BT51:BX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7.xml><?xml version="1.0" encoding="utf-8"?>
<table xmlns="http://schemas.openxmlformats.org/spreadsheetml/2006/main" id="37" name="Ausgaben_12" displayName="Ausgaben_12" ref="CA18:CE28">
  <autoFilter ref="CA18:CE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8.xml><?xml version="1.0" encoding="utf-8"?>
<table xmlns="http://schemas.openxmlformats.org/spreadsheetml/2006/main" id="38" name="Einnahmen_12" displayName="Einnahmen_12" ref="CA42:CE47">
  <autoFilter ref="CA42:CE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9.xml><?xml version="1.0" encoding="utf-8"?>
<table xmlns="http://schemas.openxmlformats.org/spreadsheetml/2006/main" id="39" name="Einnahmen_WK_12" displayName="Einnahmen_WK_12" ref="CA51:CE57">
  <autoFilter ref="CA51:CE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0.xml><?xml version="1.0" encoding="utf-8"?>
<table xmlns="http://schemas.openxmlformats.org/spreadsheetml/2006/main" id="40" name="Ausgaben_13" displayName="Ausgaben_13" ref="CH18:CL28">
  <autoFilter ref="CH18:CL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1.xml><?xml version="1.0" encoding="utf-8"?>
<table xmlns="http://schemas.openxmlformats.org/spreadsheetml/2006/main" id="41" name="Einnahmen_13" displayName="Einnahmen_13" ref="CH42:CL47">
  <autoFilter ref="CH42:CL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2.xml><?xml version="1.0" encoding="utf-8"?>
<table xmlns="http://schemas.openxmlformats.org/spreadsheetml/2006/main" id="42" name="Einnahmen_WK_13" displayName="Einnahmen_WK_13" ref="CH51:CL57">
  <autoFilter ref="CH51:CL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3.xml><?xml version="1.0" encoding="utf-8"?>
<table xmlns="http://schemas.openxmlformats.org/spreadsheetml/2006/main" id="43" name="Ausgaben_14" displayName="Ausgaben_14" ref="CO18:CS28">
  <autoFilter ref="CO18:CS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4.xml><?xml version="1.0" encoding="utf-8"?>
<table xmlns="http://schemas.openxmlformats.org/spreadsheetml/2006/main" id="44" name="Einnahmen_14" displayName="Einnahmen_14" ref="CO42:CS47">
  <autoFilter ref="CO42:CS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5.xml><?xml version="1.0" encoding="utf-8"?>
<table xmlns="http://schemas.openxmlformats.org/spreadsheetml/2006/main" id="45" name="Einnahmen_WK_14" displayName="Einnahmen_WK_14" ref="CO51:CS57">
  <autoFilter ref="CO51:CS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6.xml><?xml version="1.0" encoding="utf-8"?>
<table xmlns="http://schemas.openxmlformats.org/spreadsheetml/2006/main" id="46" name="Ausgaben_15" displayName="Ausgaben_15" ref="CV18:CZ28">
  <autoFilter ref="CV18:CZ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7.xml><?xml version="1.0" encoding="utf-8"?>
<table xmlns="http://schemas.openxmlformats.org/spreadsheetml/2006/main" id="47" name="Einnahmen_15" displayName="Einnahmen_15" ref="CV42:CZ47">
  <autoFilter ref="CV42:CZ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8.xml><?xml version="1.0" encoding="utf-8"?>
<table xmlns="http://schemas.openxmlformats.org/spreadsheetml/2006/main" id="48" name="Einnahmen_WK_15" displayName="Einnahmen_WK_15" ref="CV51:CZ57">
  <autoFilter ref="CV51:CZ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9.xml><?xml version="1.0" encoding="utf-8"?>
<table xmlns="http://schemas.openxmlformats.org/spreadsheetml/2006/main" id="49" name="Ausgaben_16" displayName="Ausgaben_16" ref="DC18:DG28">
  <autoFilter ref="DC18:DG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0.xml><?xml version="1.0" encoding="utf-8"?>
<table xmlns="http://schemas.openxmlformats.org/spreadsheetml/2006/main" id="50" name="Einnahmen_16" displayName="Einnahmen_16" ref="DC42:DG47">
  <autoFilter ref="DC42:DG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1.xml><?xml version="1.0" encoding="utf-8"?>
<table xmlns="http://schemas.openxmlformats.org/spreadsheetml/2006/main" id="51" name="Einnahmen_WK_16" displayName="Einnahmen_WK_16" ref="DC51:DG57">
  <autoFilter ref="DC51:DG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2.xml><?xml version="1.0" encoding="utf-8"?>
<table xmlns="http://schemas.openxmlformats.org/spreadsheetml/2006/main" id="52" name="Ausgaben_17" displayName="Ausgaben_17" ref="DJ18:DN28">
  <autoFilter ref="DJ18:DN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3.xml><?xml version="1.0" encoding="utf-8"?>
<table xmlns="http://schemas.openxmlformats.org/spreadsheetml/2006/main" id="53" name="Einnahmen_17" displayName="Einnahmen_17" ref="DJ42:DN47">
  <autoFilter ref="DJ42:DN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4.xml><?xml version="1.0" encoding="utf-8"?>
<table xmlns="http://schemas.openxmlformats.org/spreadsheetml/2006/main" id="54" name="Einnahmen_WK_17" displayName="Einnahmen_WK_17" ref="DJ51:DN57">
  <autoFilter ref="DJ51:DN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5.xml><?xml version="1.0" encoding="utf-8"?>
<table xmlns="http://schemas.openxmlformats.org/spreadsheetml/2006/main" id="55" name="Ausgaben_18" displayName="Ausgaben_18" ref="DQ18:DU28">
  <autoFilter ref="DQ18:DU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6.xml><?xml version="1.0" encoding="utf-8"?>
<table xmlns="http://schemas.openxmlformats.org/spreadsheetml/2006/main" id="56" name="Einnahmen_18" displayName="Einnahmen_18" ref="DQ42:DU47">
  <autoFilter ref="DQ42:DU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7.xml><?xml version="1.0" encoding="utf-8"?>
<table xmlns="http://schemas.openxmlformats.org/spreadsheetml/2006/main" id="57" name="Einnahmen_WK_18" displayName="Einnahmen_WK_18" ref="DQ51:DU57">
  <autoFilter ref="DQ51:DU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8.xml><?xml version="1.0" encoding="utf-8"?>
<table xmlns="http://schemas.openxmlformats.org/spreadsheetml/2006/main" id="58" name="MA_1" displayName="MA_1" ref="B9:D17">
  <autoFilter ref="B9:D17"/>
  <tableColumns count="3">
    <tableColumn id="1" name="Kostenkategorie"/>
    <tableColumn id="2" name="Angefordert (LC)"/>
    <tableColumn id="3" name="Angefordert (EUR)"/>
  </tableColumns>
  <tableStyleInfo showFirstColumn="false" showLastColumn="false" showRowStripes="false" showColumnStripes="false"/>
</table>
</file>

<file path=xl/tables/table59.xml><?xml version="1.0" encoding="utf-8"?>
<table xmlns="http://schemas.openxmlformats.org/spreadsheetml/2006/main" id="59" name="MA_2" displayName="MA_2" ref="F9:H17">
  <autoFilter ref="F9:H17"/>
  <tableColumns count="3">
    <tableColumn id="1" name="Kostenkategorie"/>
    <tableColumn id="2" name="Angefordert (LC)"/>
    <tableColumn id="3" name="Angefordert (EUR)"/>
  </tableColumns>
  <tableStyleInfo showFirstColumn="false" showLastColumn="false" showRowStripes="false" showColumnStripes="false"/>
</table>
</file>

<file path=xl/tables/table60.xml><?xml version="1.0" encoding="utf-8"?>
<table xmlns="http://schemas.openxmlformats.org/spreadsheetml/2006/main" id="60" name="MA_3" displayName="MA_3" ref="J9:L17">
  <autoFilter ref="J9:L17"/>
  <tableColumns count="3">
    <tableColumn id="1" name="Kostenkategorie"/>
    <tableColumn id="2" name="Angefordert (LC)"/>
    <tableColumn id="3" name="Angefordert (EUR)"/>
  </tableColumns>
  <tableStyleInfo showFirstColumn="false" showLastColumn="false" showRowStripes="false" showColumnStripes="false"/>
</table>
</file>

<file path=xl/tables/table61.xml><?xml version="1.0" encoding="utf-8"?>
<table xmlns="http://schemas.openxmlformats.org/spreadsheetml/2006/main" id="61" name="MA_4" displayName="MA_4" ref="N9:P17">
  <autoFilter ref="N9:P17"/>
  <tableColumns count="3">
    <tableColumn id="1" name="Kostenkategorie"/>
    <tableColumn id="2" name="Angefordert (LC)"/>
    <tableColumn id="3" name="Angefordert (EUR)"/>
  </tableColumns>
  <tableStyleInfo showFirstColumn="false" showLastColumn="false" showRowStripes="false" showColumnStripes="false"/>
</table>
</file>

<file path=xl/tables/table62.xml><?xml version="1.0" encoding="utf-8"?>
<table xmlns="http://schemas.openxmlformats.org/spreadsheetml/2006/main" id="62" name="MA_5" displayName="MA_5" ref="R9:T17">
  <autoFilter ref="R9:T17"/>
  <tableColumns count="3">
    <tableColumn id="1" name="Kostenkategorie"/>
    <tableColumn id="2" name="Angefordert (LC)"/>
    <tableColumn id="3" name="Angefordert (EUR)"/>
  </tableColumns>
  <tableStyleInfo showFirstColumn="false" showLastColumn="false" showRowStripes="false" showColumnStripes="false"/>
</table>
</file>

<file path=xl/tables/table63.xml><?xml version="1.0" encoding="utf-8"?>
<table xmlns="http://schemas.openxmlformats.org/spreadsheetml/2006/main" id="63" name="MA_6" displayName="MA_6" ref="V9:X17">
  <autoFilter ref="V9:X17"/>
  <tableColumns count="3">
    <tableColumn id="1" name="Kostenkategorie"/>
    <tableColumn id="2" name="Angefordert (LC)"/>
    <tableColumn id="3" name="Angefordert (EUR)"/>
  </tableColumns>
  <tableStyleInfo showFirstColumn="false" showLastColumn="false" showRowStripes="false" showColumnStripes="false"/>
</table>
</file>

<file path=xl/tables/table64.xml><?xml version="1.0" encoding="utf-8"?>
<table xmlns="http://schemas.openxmlformats.org/spreadsheetml/2006/main" id="64" name="MA_7" displayName="MA_7" ref="Z9:AB17">
  <autoFilter ref="Z9:AB17"/>
  <tableColumns count="3">
    <tableColumn id="1" name="Kostenkategorie"/>
    <tableColumn id="2" name="Angefordert (LC)"/>
    <tableColumn id="3" name="Angefordert (EUR)"/>
  </tableColumns>
  <tableStyleInfo showFirstColumn="false" showLastColumn="false" showRowStripes="false" showColumnStripes="false"/>
</table>
</file>

<file path=xl/tables/table65.xml><?xml version="1.0" encoding="utf-8"?>
<table xmlns="http://schemas.openxmlformats.org/spreadsheetml/2006/main" id="65" name="MA_8" displayName="MA_8" ref="AD9:AF17">
  <autoFilter ref="AD9:AF17"/>
  <tableColumns count="3">
    <tableColumn id="1" name="Kostenkategorie"/>
    <tableColumn id="2" name="Angefordert (LC)"/>
    <tableColumn id="3" name="Angefordert (EUR)"/>
  </tableColumns>
  <tableStyleInfo showFirstColumn="false" showLastColumn="false" showRowStripes="false" showColumnStripes="false"/>
</table>
</file>

<file path=xl/tables/table66.xml><?xml version="1.0" encoding="utf-8"?>
<table xmlns="http://schemas.openxmlformats.org/spreadsheetml/2006/main" id="66" name="MA_9" displayName="MA_9" ref="AH9:AJ17">
  <autoFilter ref="AH9:AJ17"/>
  <tableColumns count="3">
    <tableColumn id="1" name="Kostenkategorie"/>
    <tableColumn id="2" name="Angefordert (LC)"/>
    <tableColumn id="3" name="Angefordert (EUR)"/>
  </tableColumns>
  <tableStyleInfo showFirstColumn="false" showLastColumn="false" showRowStripes="false" showColumnStripes="false"/>
</table>
</file>

<file path=xl/tables/table67.xml><?xml version="1.0" encoding="utf-8"?>
<table xmlns="http://schemas.openxmlformats.org/spreadsheetml/2006/main" id="67" name="MA_10" displayName="MA_10" ref="AL9:AN17">
  <autoFilter ref="AL9:AN17"/>
  <tableColumns count="3">
    <tableColumn id="1" name="Kostenkategorie"/>
    <tableColumn id="2" name="Angefordert (LC)"/>
    <tableColumn id="3" name="Angefordert (EUR)"/>
  </tableColumns>
  <tableStyleInfo showFirstColumn="false" showLastColumn="false" showRowStripes="false" showColumnStripes="false"/>
</table>
</file>

<file path=xl/tables/table68.xml><?xml version="1.0" encoding="utf-8"?>
<table xmlns="http://schemas.openxmlformats.org/spreadsheetml/2006/main" id="68" name="MA_11" displayName="MA_11" ref="AP9:AR17">
  <autoFilter ref="AP9:AR17"/>
  <tableColumns count="3">
    <tableColumn id="1" name="Kostenkategorie"/>
    <tableColumn id="2" name="Angefordert (LC)"/>
    <tableColumn id="3" name="Angefordert (EUR)"/>
  </tableColumns>
  <tableStyleInfo showFirstColumn="false" showLastColumn="false" showRowStripes="false" showColumnStripes="false"/>
</table>
</file>

<file path=xl/tables/table69.xml><?xml version="1.0" encoding="utf-8"?>
<table xmlns="http://schemas.openxmlformats.org/spreadsheetml/2006/main" id="69" name="MA_12" displayName="MA_12" ref="AT9:AV17">
  <autoFilter ref="AT9:AV17"/>
  <tableColumns count="3">
    <tableColumn id="1" name="Kostenkategorie"/>
    <tableColumn id="2" name="Angefordert (LC)"/>
    <tableColumn id="3" name="Angefordert (EUR)"/>
  </tableColumns>
  <tableStyleInfo showFirstColumn="false" showLastColumn="false" showRowStripes="false" showColumnStripes="false"/>
</table>
</file>

<file path=xl/tables/table70.xml><?xml version="1.0" encoding="utf-8"?>
<table xmlns="http://schemas.openxmlformats.org/spreadsheetml/2006/main" id="70" name="MA_13" displayName="MA_13" ref="AX9:AZ17">
  <autoFilter ref="AX9:AZ17"/>
  <tableColumns count="3">
    <tableColumn id="1" name="Kostenkategorie"/>
    <tableColumn id="2" name="Angefordert (LC)"/>
    <tableColumn id="3" name="Angefordert (EUR)"/>
  </tableColumns>
  <tableStyleInfo showFirstColumn="false" showLastColumn="false" showRowStripes="false" showColumnStripes="false"/>
</table>
</file>

<file path=xl/tables/table71.xml><?xml version="1.0" encoding="utf-8"?>
<table xmlns="http://schemas.openxmlformats.org/spreadsheetml/2006/main" id="71" name="MA_14" displayName="MA_14" ref="BB9:BD17">
  <autoFilter ref="BB9:BD17"/>
  <tableColumns count="3">
    <tableColumn id="1" name="Kostenkategorie"/>
    <tableColumn id="2" name="Angefordert (LC)"/>
    <tableColumn id="3" name="Angefordert (EUR)"/>
  </tableColumns>
  <tableStyleInfo showFirstColumn="false" showLastColumn="false" showRowStripes="false" showColumnStripes="false"/>
</table>
</file>

<file path=xl/tables/table72.xml><?xml version="1.0" encoding="utf-8"?>
<table xmlns="http://schemas.openxmlformats.org/spreadsheetml/2006/main" id="72" name="MA_15" displayName="MA_15" ref="BF9:BH17">
  <autoFilter ref="BF9:BH17"/>
  <tableColumns count="3">
    <tableColumn id="1" name="Kostenkategorie"/>
    <tableColumn id="2" name="Angefordert (LC)"/>
    <tableColumn id="3" name="Angefordert (EUR)"/>
  </tableColumns>
  <tableStyleInfo showFirstColumn="false" showLastColumn="false" showRowStripes="false" showColumnStripes="false"/>
</table>
</file>

<file path=xl/tables/table73.xml><?xml version="1.0" encoding="utf-8"?>
<table xmlns="http://schemas.openxmlformats.org/spreadsheetml/2006/main" id="73" name="MA_16" displayName="MA_16" ref="BJ9:BL17">
  <autoFilter ref="BJ9:BL17"/>
  <tableColumns count="3">
    <tableColumn id="1" name="Kostenkategorie"/>
    <tableColumn id="2" name="Angefordert (LC)"/>
    <tableColumn id="3" name="Angefordert (EUR)"/>
  </tableColumns>
  <tableStyleInfo showFirstColumn="false" showLastColumn="false" showRowStripes="false" showColumnStripes="false"/>
</table>
</file>

<file path=xl/tables/table74.xml><?xml version="1.0" encoding="utf-8"?>
<table xmlns="http://schemas.openxmlformats.org/spreadsheetml/2006/main" id="74" name="MA_17" displayName="MA_17" ref="BN9:BP17">
  <autoFilter ref="BN9:BP17"/>
  <tableColumns count="3">
    <tableColumn id="1" name="Kostenkategorie"/>
    <tableColumn id="2" name="Angefordert (LC)"/>
    <tableColumn id="3" name="Angefordert (EUR)"/>
  </tableColumns>
  <tableStyleInfo showFirstColumn="false" showLastColumn="false" showRowStripes="false" showColumnStripes="false"/>
</table>
</file>

<file path=xl/tables/table75.xml><?xml version="1.0" encoding="utf-8"?>
<table xmlns="http://schemas.openxmlformats.org/spreadsheetml/2006/main" id="75" name="MA_18" displayName="MA_18" ref="BR9:BT17">
  <autoFilter ref="BR9:BT17"/>
  <tableColumns count="3">
    <tableColumn id="1" name="Kostenkategorie"/>
    <tableColumn id="2" name="Angefordert (LC)"/>
    <tableColumn id="3" name="Angefordert (EUR)"/>
  </tableColumns>
  <tableStyleInfo showFirstColumn="false" showLastColumn="false" showRowStripes="fals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tables/table1.xml" Type="http://schemas.openxmlformats.org/officeDocument/2006/relationships/table"></Relationship><Relationship Id="rId2" Target="../tables/table2.xml" Type="http://schemas.openxmlformats.org/officeDocument/2006/relationships/table"></Relationship></Relationships>
</file>

<file path=xl/worksheets/_rels/sheet4.xml.rels><?xml version="1.0" encoding="UTF-8"?>
<Relationships xmlns="http://schemas.openxmlformats.org/package/2006/relationships"><Relationship Id="rId1" Target="../tables/table3.xml" Type="http://schemas.openxmlformats.org/officeDocument/2006/relationships/table"></Relationship></Relationships>
</file>

<file path=xl/worksheets/_rels/sheet5.xml.rels><?xml version="1.0" encoding="UTF-8"?>
<Relationships xmlns="http://schemas.openxmlformats.org/package/2006/relationships"><Relationship Id="rId1" Target="../tables/table4.xml" Type="http://schemas.openxmlformats.org/officeDocument/2006/relationships/table"></Relationship><Relationship Id="rId2" Target="../tables/table5.xml" Type="http://schemas.openxmlformats.org/officeDocument/2006/relationships/table"></Relationship><Relationship Id="rId3" Target="../tables/table6.xml" Type="http://schemas.openxmlformats.org/officeDocument/2006/relationships/table"></Relationship><Relationship Id="rId4" Target="../tables/table7.xml" Type="http://schemas.openxmlformats.org/officeDocument/2006/relationships/table"></Relationship><Relationship Id="rId5" Target="../tables/table8.xml" Type="http://schemas.openxmlformats.org/officeDocument/2006/relationships/table"></Relationship><Relationship Id="rId6" Target="../tables/table9.xml" Type="http://schemas.openxmlformats.org/officeDocument/2006/relationships/table"></Relationship><Relationship Id="rId7" Target="../tables/table10.xml" Type="http://schemas.openxmlformats.org/officeDocument/2006/relationships/table"></Relationship><Relationship Id="rId8" Target="../tables/table11.xml" Type="http://schemas.openxmlformats.org/officeDocument/2006/relationships/table"></Relationship><Relationship Id="rId9" Target="../tables/table12.xml" Type="http://schemas.openxmlformats.org/officeDocument/2006/relationships/table"></Relationship><Relationship Id="rId10" Target="../tables/table13.xml" Type="http://schemas.openxmlformats.org/officeDocument/2006/relationships/table"></Relationship><Relationship Id="rId11" Target="../tables/table14.xml" Type="http://schemas.openxmlformats.org/officeDocument/2006/relationships/table"></Relationship><Relationship Id="rId12" Target="../tables/table15.xml" Type="http://schemas.openxmlformats.org/officeDocument/2006/relationships/table"></Relationship><Relationship Id="rId13" Target="../tables/table16.xml" Type="http://schemas.openxmlformats.org/officeDocument/2006/relationships/table"></Relationship><Relationship Id="rId14" Target="../tables/table17.xml" Type="http://schemas.openxmlformats.org/officeDocument/2006/relationships/table"></Relationship><Relationship Id="rId15" Target="../tables/table18.xml" Type="http://schemas.openxmlformats.org/officeDocument/2006/relationships/table"></Relationship><Relationship Id="rId16" Target="../tables/table19.xml" Type="http://schemas.openxmlformats.org/officeDocument/2006/relationships/table"></Relationship><Relationship Id="rId17" Target="../tables/table20.xml" Type="http://schemas.openxmlformats.org/officeDocument/2006/relationships/table"></Relationship><Relationship Id="rId18" Target="../tables/table21.xml" Type="http://schemas.openxmlformats.org/officeDocument/2006/relationships/table"></Relationship><Relationship Id="rId19" Target="../tables/table22.xml" Type="http://schemas.openxmlformats.org/officeDocument/2006/relationships/table"></Relationship><Relationship Id="rId20" Target="../tables/table23.xml" Type="http://schemas.openxmlformats.org/officeDocument/2006/relationships/table"></Relationship><Relationship Id="rId21" Target="../tables/table24.xml" Type="http://schemas.openxmlformats.org/officeDocument/2006/relationships/table"></Relationship><Relationship Id="rId22" Target="../tables/table25.xml" Type="http://schemas.openxmlformats.org/officeDocument/2006/relationships/table"></Relationship><Relationship Id="rId23" Target="../tables/table26.xml" Type="http://schemas.openxmlformats.org/officeDocument/2006/relationships/table"></Relationship><Relationship Id="rId24" Target="../tables/table27.xml" Type="http://schemas.openxmlformats.org/officeDocument/2006/relationships/table"></Relationship><Relationship Id="rId25" Target="../tables/table28.xml" Type="http://schemas.openxmlformats.org/officeDocument/2006/relationships/table"></Relationship><Relationship Id="rId26" Target="../tables/table29.xml" Type="http://schemas.openxmlformats.org/officeDocument/2006/relationships/table"></Relationship><Relationship Id="rId27" Target="../tables/table30.xml" Type="http://schemas.openxmlformats.org/officeDocument/2006/relationships/table"></Relationship><Relationship Id="rId28" Target="../tables/table31.xml" Type="http://schemas.openxmlformats.org/officeDocument/2006/relationships/table"></Relationship><Relationship Id="rId29" Target="../tables/table32.xml" Type="http://schemas.openxmlformats.org/officeDocument/2006/relationships/table"></Relationship><Relationship Id="rId30" Target="../tables/table33.xml" Type="http://schemas.openxmlformats.org/officeDocument/2006/relationships/table"></Relationship><Relationship Id="rId31" Target="../tables/table34.xml" Type="http://schemas.openxmlformats.org/officeDocument/2006/relationships/table"></Relationship><Relationship Id="rId32" Target="../tables/table35.xml" Type="http://schemas.openxmlformats.org/officeDocument/2006/relationships/table"></Relationship><Relationship Id="rId33" Target="../tables/table36.xml" Type="http://schemas.openxmlformats.org/officeDocument/2006/relationships/table"></Relationship><Relationship Id="rId34" Target="../tables/table37.xml" Type="http://schemas.openxmlformats.org/officeDocument/2006/relationships/table"></Relationship><Relationship Id="rId35" Target="../tables/table38.xml" Type="http://schemas.openxmlformats.org/officeDocument/2006/relationships/table"></Relationship><Relationship Id="rId36" Target="../tables/table39.xml" Type="http://schemas.openxmlformats.org/officeDocument/2006/relationships/table"></Relationship><Relationship Id="rId37" Target="../tables/table40.xml" Type="http://schemas.openxmlformats.org/officeDocument/2006/relationships/table"></Relationship><Relationship Id="rId38" Target="../tables/table41.xml" Type="http://schemas.openxmlformats.org/officeDocument/2006/relationships/table"></Relationship><Relationship Id="rId39" Target="../tables/table42.xml" Type="http://schemas.openxmlformats.org/officeDocument/2006/relationships/table"></Relationship><Relationship Id="rId40" Target="../tables/table43.xml" Type="http://schemas.openxmlformats.org/officeDocument/2006/relationships/table"></Relationship><Relationship Id="rId41" Target="../tables/table44.xml" Type="http://schemas.openxmlformats.org/officeDocument/2006/relationships/table"></Relationship><Relationship Id="rId42" Target="../tables/table45.xml" Type="http://schemas.openxmlformats.org/officeDocument/2006/relationships/table"></Relationship><Relationship Id="rId43" Target="../tables/table46.xml" Type="http://schemas.openxmlformats.org/officeDocument/2006/relationships/table"></Relationship><Relationship Id="rId44" Target="../tables/table47.xml" Type="http://schemas.openxmlformats.org/officeDocument/2006/relationships/table"></Relationship><Relationship Id="rId45" Target="../tables/table48.xml" Type="http://schemas.openxmlformats.org/officeDocument/2006/relationships/table"></Relationship><Relationship Id="rId46" Target="../tables/table49.xml" Type="http://schemas.openxmlformats.org/officeDocument/2006/relationships/table"></Relationship><Relationship Id="rId47" Target="../tables/table50.xml" Type="http://schemas.openxmlformats.org/officeDocument/2006/relationships/table"></Relationship><Relationship Id="rId48" Target="../tables/table51.xml" Type="http://schemas.openxmlformats.org/officeDocument/2006/relationships/table"></Relationship><Relationship Id="rId49" Target="../tables/table52.xml" Type="http://schemas.openxmlformats.org/officeDocument/2006/relationships/table"></Relationship><Relationship Id="rId50" Target="../tables/table53.xml" Type="http://schemas.openxmlformats.org/officeDocument/2006/relationships/table"></Relationship><Relationship Id="rId51" Target="../tables/table54.xml" Type="http://schemas.openxmlformats.org/officeDocument/2006/relationships/table"></Relationship><Relationship Id="rId52" Target="../tables/table55.xml" Type="http://schemas.openxmlformats.org/officeDocument/2006/relationships/table"></Relationship><Relationship Id="rId53" Target="../tables/table56.xml" Type="http://schemas.openxmlformats.org/officeDocument/2006/relationships/table"></Relationship><Relationship Id="rId54" Target="../tables/table57.xml" Type="http://schemas.openxmlformats.org/officeDocument/2006/relationships/table"></Relationship></Relationships>
</file>

<file path=xl/worksheets/_rels/sheet6.xml.rels><?xml version="1.0" encoding="UTF-8"?>
<Relationships xmlns="http://schemas.openxmlformats.org/package/2006/relationships"><Relationship Id="rId1" Target="../tables/table58.xml" Type="http://schemas.openxmlformats.org/officeDocument/2006/relationships/table"></Relationship><Relationship Id="rId2" Target="../tables/table59.xml" Type="http://schemas.openxmlformats.org/officeDocument/2006/relationships/table"></Relationship><Relationship Id="rId3" Target="../tables/table60.xml" Type="http://schemas.openxmlformats.org/officeDocument/2006/relationships/table"></Relationship><Relationship Id="rId4" Target="../tables/table61.xml" Type="http://schemas.openxmlformats.org/officeDocument/2006/relationships/table"></Relationship><Relationship Id="rId5" Target="../tables/table62.xml" Type="http://schemas.openxmlformats.org/officeDocument/2006/relationships/table"></Relationship><Relationship Id="rId6" Target="../tables/table63.xml" Type="http://schemas.openxmlformats.org/officeDocument/2006/relationships/table"></Relationship><Relationship Id="rId7" Target="../tables/table64.xml" Type="http://schemas.openxmlformats.org/officeDocument/2006/relationships/table"></Relationship><Relationship Id="rId8" Target="../tables/table65.xml" Type="http://schemas.openxmlformats.org/officeDocument/2006/relationships/table"></Relationship><Relationship Id="rId9" Target="../tables/table66.xml" Type="http://schemas.openxmlformats.org/officeDocument/2006/relationships/table"></Relationship><Relationship Id="rId10" Target="../tables/table67.xml" Type="http://schemas.openxmlformats.org/officeDocument/2006/relationships/table"></Relationship><Relationship Id="rId11" Target="../tables/table68.xml" Type="http://schemas.openxmlformats.org/officeDocument/2006/relationships/table"></Relationship><Relationship Id="rId12" Target="../tables/table69.xml" Type="http://schemas.openxmlformats.org/officeDocument/2006/relationships/table"></Relationship><Relationship Id="rId13" Target="../tables/table70.xml" Type="http://schemas.openxmlformats.org/officeDocument/2006/relationships/table"></Relationship><Relationship Id="rId14" Target="../tables/table71.xml" Type="http://schemas.openxmlformats.org/officeDocument/2006/relationships/table"></Relationship><Relationship Id="rId15" Target="../tables/table72.xml" Type="http://schemas.openxmlformats.org/officeDocument/2006/relationships/table"></Relationship><Relationship Id="rId16" Target="../tables/table73.xml" Type="http://schemas.openxmlformats.org/officeDocument/2006/relationships/table"></Relationship><Relationship Id="rId17" Target="../tables/table74.xml" Type="http://schemas.openxmlformats.org/officeDocument/2006/relationships/table"></Relationship><Relationship Id="rId18" Target="../tables/table75.xml" Type="http://schemas.openxmlformats.org/officeDocument/2006/relationships/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tabColor rgb="D3D3D3"/>
  </sheetPr>
  <dimension ref="A1"/>
  <sheetViews>
    <sheetView showGridLines="false" tabSelected="true" workbookViewId="0"/>
  </sheetViews>
  <sheetFormatPr defaultRowHeight="15"/>
  <cols>
    <col customWidth="true" max="1" min="1" width="3"/>
    <col customWidth="true" max="2" min="2" width="32"/>
    <col customWidth="true" max="3" min="3" width="25"/>
    <col customWidth="true" max="4" min="4" width="24"/>
    <col customWidth="true" max="5" min="5" width="35"/>
    <col customWidth="true" hidden="true" max="27" min="27" width="9.140625"/>
  </cols>
  <sheetData>
    <row r="1">
      <c r="AA1" s="3" t="s">
        <v>2</v>
      </c>
    </row>
    <row r="2" ht="40" customHeight="true">
      <c r="B2" s="1" t="s">
        <v>0</v>
      </c>
      <c r="C2" s="1"/>
      <c r="D2" s="1"/>
      <c r="E2" s="1"/>
      <c r="AA2" s="3" t="s">
        <v>3</v>
      </c>
    </row>
    <row r="3">
      <c r="AA3" s="3" t="s">
        <v>4</v>
      </c>
    </row>
    <row r="4" ht="24" customHeight="true">
      <c r="B4" s="2" t="s">
        <v>1</v>
      </c>
      <c r="C4" s="2"/>
      <c r="D4" s="2"/>
      <c r="E4" s="2"/>
      <c r="AA4" s="3" t="s">
        <v>5</v>
      </c>
    </row>
    <row r="5" ht="22" customHeight="true">
      <c r="B5" s="4" t="s">
        <v>157</v>
      </c>
      <c r="C5" s="5" t="inlineStr">
        <is>
          <t>PRJ-2025-042</t>
        </is>
      </c>
      <c r="D5" s="4" t="s">
        <v>159</v>
      </c>
      <c r="E5" s="6" t="inlineStr">
        <is>
          <t>Ja</t>
        </is>
      </c>
      <c r="AA5" s="3" t="s">
        <v>6</v>
      </c>
    </row>
    <row r="6" ht="22" customHeight="true">
      <c r="B6" s="4" t="s">
        <v>161</v>
      </c>
      <c r="C6" s="5" t="inlineStr">
        <is>
          <t>Aufbau Gemeindezentrum Beispielstadt</t>
        </is>
      </c>
      <c r="D6" s="5"/>
      <c r="E6" s="5"/>
      <c r="AA6" s="3" t="s">
        <v>7</v>
      </c>
    </row>
    <row r="7" ht="22" customHeight="true">
      <c r="B7" s="4" t="s">
        <v>162</v>
      </c>
      <c r="C7" s="5" t="inlineStr">
        <is>
          <t>Beispiel Hilfswerk e.V.</t>
        </is>
      </c>
      <c r="D7" s="4" t="s">
        <v>163</v>
      </c>
      <c r="E7" s="5" t="inlineStr">
        <is>
          <t>USD</t>
        </is>
      </c>
      <c r="AA7" s="3" t="s">
        <v>8</v>
      </c>
    </row>
    <row r="8" ht="22" customHeight="true">
      <c r="B8" s="4" t="s">
        <v>164</v>
      </c>
      <c r="C8" s="5" t="inlineStr">
        <is>
          <t>01.01.2025 - 31.12.2027</t>
        </is>
      </c>
      <c r="D8" s="4" t="s">
        <v>165</v>
      </c>
      <c r="E8" s="7" t="str">
        <f>=IFERROR(LET(AllNums, TEXTJOIN("", TRUE, IFERROR(MID(C8, SEQUENCE(LEN(C8)), 1) * 1, "")), StartDate, DATE(MID(AllNums, 5, 4), MID(AllNums, 3, 2), LEFT(AllNums, 2)), EndDate, DATE(MID(AllNums, 13, 4), MID(AllNums, 11, 2), MID(AllNums, 9, 2)), DATEDIF(StartDate, EndDate + 1, "M")), "")</f>
      </c>
      <c r="AA8" s="3" t="s">
        <v>9</v>
      </c>
    </row>
    <row r="9" ht="22" customHeight="true">
      <c r="B9" s="8" t="s">
        <v>166</v>
      </c>
      <c r="C9" s="9" t="inlineStr">
        <is>
          <t>PRJ-2022-017</t>
        </is>
      </c>
      <c r="D9" s="8" t="s">
        <v>167</v>
      </c>
      <c r="E9" s="9" t="inlineStr">
        <is>
          <t>USD</t>
        </is>
      </c>
      <c r="AA9" s="3" t="s">
        <v>10</v>
      </c>
    </row>
    <row r="10" ht="22" customHeight="true">
      <c r="B10" s="4" t="s">
        <v>168</v>
      </c>
      <c r="C10" s="10">
        <v>45657</v>
      </c>
      <c r="D10" s="4" t="s">
        <v>169</v>
      </c>
      <c r="E10" s="11">
        <v>125</v>
      </c>
      <c r="AA10" s="3" t="s">
        <v>11</v>
      </c>
    </row>
    <row r="11" ht="22" customHeight="true">
      <c r="B11" s="4" t="s">
        <v>170</v>
      </c>
      <c r="C11" s="12">
        <v>200000</v>
      </c>
      <c r="D11" s="4" t="s">
        <v>171</v>
      </c>
      <c r="E11" s="13">
        <v>1600</v>
      </c>
      <c r="AA11" s="3" t="s">
        <v>12</v>
      </c>
    </row>
    <row r="12" ht="22" customHeight="true">
      <c r="B12" s="4" t="s">
        <v>172</v>
      </c>
      <c r="C12" s="10">
        <v>45658</v>
      </c>
      <c r="D12" s="4" t="s">
        <v>169</v>
      </c>
      <c r="E12" s="11">
        <v>125</v>
      </c>
      <c r="AA12" s="3" t="s">
        <v>13</v>
      </c>
    </row>
    <row r="13" ht="22" customHeight="true">
      <c r="B13" s="4" t="s">
        <v>173</v>
      </c>
      <c r="C13" s="12">
        <v>200000</v>
      </c>
      <c r="D13" s="4" t="s">
        <v>174</v>
      </c>
      <c r="E13" s="13">
        <v>1600</v>
      </c>
      <c r="AA13" s="3" t="s">
        <v>14</v>
      </c>
    </row>
    <row r="14">
      <c r="AA14" s="3" t="s">
        <v>15</v>
      </c>
    </row>
    <row r="15" ht="22" customHeight="true">
      <c r="B15" s="14" t="s">
        <v>175</v>
      </c>
      <c r="C15" s="14"/>
      <c r="D15" s="15" t="inlineStr">
        <is>
          <t>Ja</t>
        </is>
      </c>
      <c r="E15" s="16" t="s">
        <v>177</v>
      </c>
      <c r="AA15" s="3" t="s">
        <v>16</v>
      </c>
    </row>
    <row r="16" ht="22" customHeight="true">
      <c r="B16" s="14"/>
      <c r="C16" s="14"/>
      <c r="D16" s="15" t="inlineStr">
        <is>
          <t>Ja</t>
        </is>
      </c>
      <c r="E16" s="16" t="s">
        <v>178</v>
      </c>
      <c r="AA16" s="3" t="s">
        <v>17</v>
      </c>
    </row>
    <row r="17" ht="22" customHeight="true">
      <c r="B17" s="14"/>
      <c r="C17" s="14"/>
      <c r="D17" s="15" t="inlineStr">
        <is>
          <t>Ja</t>
        </is>
      </c>
      <c r="E17" s="16" t="s">
        <v>179</v>
      </c>
      <c r="AA17" s="3" t="s">
        <v>18</v>
      </c>
    </row>
    <row r="18" ht="22" customHeight="true">
      <c r="B18" s="14"/>
      <c r="C18" s="14"/>
      <c r="D18" s="15" t="inlineStr">
        <is>
          <t>Ja</t>
        </is>
      </c>
      <c r="E18" s="16" t="s">
        <v>180</v>
      </c>
      <c r="AA18" s="3" t="s">
        <v>19</v>
      </c>
    </row>
    <row r="19" ht="22" customHeight="true">
      <c r="B19" s="14"/>
      <c r="C19" s="14"/>
      <c r="D19" s="15" t="inlineStr">
        <is>
          <t>Ja</t>
        </is>
      </c>
      <c r="E19" s="16" t="s">
        <v>181</v>
      </c>
      <c r="AA19" s="3" t="s">
        <v>20</v>
      </c>
    </row>
    <row r="20" ht="22" customHeight="true">
      <c r="B20" s="14"/>
      <c r="C20" s="14"/>
      <c r="D20" s="15" t="inlineStr">
        <is>
          <t>Ja</t>
        </is>
      </c>
      <c r="E20" s="16" t="s">
        <v>182</v>
      </c>
      <c r="AA20" s="3" t="s">
        <v>21</v>
      </c>
    </row>
    <row r="21" ht="22" customHeight="true">
      <c r="B21" s="14"/>
      <c r="C21" s="14"/>
      <c r="D21" s="15" t="inlineStr">
        <is>
          <t>Ja</t>
        </is>
      </c>
      <c r="E21" s="16" t="s">
        <v>183</v>
      </c>
      <c r="AA21" s="3" t="s">
        <v>22</v>
      </c>
    </row>
    <row r="22">
      <c r="AA22" s="3" t="s">
        <v>23</v>
      </c>
    </row>
    <row r="23">
      <c r="AA23" s="3" t="s">
        <v>24</v>
      </c>
    </row>
    <row r="24">
      <c r="AA24" s="3" t="s">
        <v>25</v>
      </c>
    </row>
    <row r="25">
      <c r="AA25" s="3" t="s">
        <v>26</v>
      </c>
    </row>
    <row r="26">
      <c r="AA26" s="3" t="s">
        <v>27</v>
      </c>
    </row>
    <row r="27">
      <c r="AA27" s="3" t="s">
        <v>28</v>
      </c>
    </row>
    <row r="28">
      <c r="AA28" s="3" t="s">
        <v>29</v>
      </c>
    </row>
    <row r="29">
      <c r="AA29" s="3" t="s">
        <v>30</v>
      </c>
    </row>
    <row r="30">
      <c r="AA30" s="3" t="s">
        <v>31</v>
      </c>
    </row>
    <row r="31">
      <c r="AA31" s="3" t="s">
        <v>32</v>
      </c>
    </row>
    <row r="32">
      <c r="AA32" s="3" t="s">
        <v>33</v>
      </c>
    </row>
    <row r="33">
      <c r="AA33" s="3" t="s">
        <v>34</v>
      </c>
    </row>
    <row r="34">
      <c r="AA34" s="3" t="s">
        <v>35</v>
      </c>
    </row>
    <row r="35">
      <c r="AA35" s="3" t="s">
        <v>36</v>
      </c>
    </row>
    <row r="36">
      <c r="AA36" s="3" t="s">
        <v>37</v>
      </c>
    </row>
    <row r="37">
      <c r="AA37" s="3" t="s">
        <v>38</v>
      </c>
    </row>
    <row r="38">
      <c r="AA38" s="3" t="s">
        <v>39</v>
      </c>
    </row>
    <row r="39">
      <c r="AA39" s="3" t="s">
        <v>40</v>
      </c>
    </row>
    <row r="40">
      <c r="AA40" s="3" t="s">
        <v>41</v>
      </c>
    </row>
    <row r="41">
      <c r="AA41" s="3" t="s">
        <v>42</v>
      </c>
    </row>
    <row r="42">
      <c r="AA42" s="3" t="s">
        <v>43</v>
      </c>
    </row>
    <row r="43">
      <c r="AA43" s="3" t="s">
        <v>44</v>
      </c>
    </row>
    <row r="44">
      <c r="AA44" s="3" t="s">
        <v>45</v>
      </c>
    </row>
    <row r="45">
      <c r="AA45" s="3" t="s">
        <v>46</v>
      </c>
    </row>
    <row r="46">
      <c r="AA46" s="3" t="s">
        <v>47</v>
      </c>
    </row>
    <row r="47">
      <c r="AA47" s="3" t="s">
        <v>48</v>
      </c>
    </row>
    <row r="48">
      <c r="AA48" s="3" t="s">
        <v>49</v>
      </c>
    </row>
    <row r="49">
      <c r="AA49" s="3" t="s">
        <v>50</v>
      </c>
    </row>
    <row r="50">
      <c r="AA50" s="3" t="s">
        <v>51</v>
      </c>
    </row>
    <row r="51">
      <c r="AA51" s="3" t="s">
        <v>52</v>
      </c>
    </row>
    <row r="52">
      <c r="AA52" s="3" t="s">
        <v>53</v>
      </c>
    </row>
    <row r="53">
      <c r="AA53" s="3" t="s">
        <v>54</v>
      </c>
    </row>
    <row r="54">
      <c r="AA54" s="3" t="s">
        <v>55</v>
      </c>
    </row>
    <row r="55">
      <c r="AA55" s="3" t="s">
        <v>56</v>
      </c>
    </row>
    <row r="56">
      <c r="AA56" s="3" t="s">
        <v>57</v>
      </c>
    </row>
    <row r="57">
      <c r="AA57" s="3" t="s">
        <v>58</v>
      </c>
    </row>
    <row r="58">
      <c r="AA58" s="3" t="s">
        <v>59</v>
      </c>
    </row>
    <row r="59">
      <c r="AA59" s="3" t="s">
        <v>60</v>
      </c>
    </row>
    <row r="60">
      <c r="AA60" s="3" t="s">
        <v>61</v>
      </c>
    </row>
    <row r="61">
      <c r="AA61" s="3" t="s">
        <v>62</v>
      </c>
    </row>
    <row r="62">
      <c r="AA62" s="3" t="s">
        <v>63</v>
      </c>
    </row>
    <row r="63">
      <c r="AA63" s="3" t="s">
        <v>64</v>
      </c>
    </row>
    <row r="64">
      <c r="AA64" s="3" t="s">
        <v>65</v>
      </c>
    </row>
    <row r="65">
      <c r="AA65" s="3" t="s">
        <v>66</v>
      </c>
    </row>
    <row r="66">
      <c r="AA66" s="3" t="s">
        <v>67</v>
      </c>
    </row>
    <row r="67">
      <c r="AA67" s="3" t="s">
        <v>68</v>
      </c>
    </row>
    <row r="68">
      <c r="AA68" s="3" t="s">
        <v>69</v>
      </c>
    </row>
    <row r="69">
      <c r="AA69" s="3" t="s">
        <v>70</v>
      </c>
    </row>
    <row r="70">
      <c r="AA70" s="3" t="s">
        <v>71</v>
      </c>
    </row>
    <row r="71">
      <c r="AA71" s="3" t="s">
        <v>72</v>
      </c>
    </row>
    <row r="72">
      <c r="AA72" s="3" t="s">
        <v>73</v>
      </c>
    </row>
    <row r="73">
      <c r="AA73" s="3" t="s">
        <v>74</v>
      </c>
    </row>
    <row r="74">
      <c r="AA74" s="3" t="s">
        <v>75</v>
      </c>
    </row>
    <row r="75">
      <c r="AA75" s="3" t="s">
        <v>76</v>
      </c>
    </row>
    <row r="76">
      <c r="AA76" s="3" t="s">
        <v>77</v>
      </c>
    </row>
    <row r="77">
      <c r="AA77" s="3" t="s">
        <v>78</v>
      </c>
    </row>
    <row r="78">
      <c r="AA78" s="3" t="s">
        <v>79</v>
      </c>
    </row>
    <row r="79">
      <c r="AA79" s="3" t="s">
        <v>80</v>
      </c>
    </row>
    <row r="80">
      <c r="AA80" s="3" t="s">
        <v>81</v>
      </c>
    </row>
    <row r="81">
      <c r="AA81" s="3" t="s">
        <v>82</v>
      </c>
    </row>
    <row r="82">
      <c r="AA82" s="3" t="s">
        <v>83</v>
      </c>
    </row>
    <row r="83">
      <c r="AA83" s="3" t="s">
        <v>84</v>
      </c>
    </row>
    <row r="84">
      <c r="AA84" s="3" t="s">
        <v>85</v>
      </c>
    </row>
    <row r="85">
      <c r="AA85" s="3" t="s">
        <v>86</v>
      </c>
    </row>
    <row r="86">
      <c r="AA86" s="3" t="s">
        <v>87</v>
      </c>
    </row>
    <row r="87">
      <c r="AA87" s="3" t="s">
        <v>88</v>
      </c>
    </row>
    <row r="88">
      <c r="AA88" s="3" t="s">
        <v>89</v>
      </c>
    </row>
    <row r="89">
      <c r="AA89" s="3" t="s">
        <v>90</v>
      </c>
    </row>
    <row r="90">
      <c r="AA90" s="3" t="s">
        <v>91</v>
      </c>
    </row>
    <row r="91">
      <c r="AA91" s="3" t="s">
        <v>92</v>
      </c>
    </row>
    <row r="92">
      <c r="AA92" s="3" t="s">
        <v>93</v>
      </c>
    </row>
    <row r="93">
      <c r="AA93" s="3" t="s">
        <v>94</v>
      </c>
    </row>
    <row r="94">
      <c r="AA94" s="3" t="s">
        <v>95</v>
      </c>
    </row>
    <row r="95">
      <c r="AA95" s="3" t="s">
        <v>96</v>
      </c>
    </row>
    <row r="96">
      <c r="AA96" s="3" t="s">
        <v>97</v>
      </c>
    </row>
    <row r="97">
      <c r="AA97" s="3" t="s">
        <v>98</v>
      </c>
    </row>
    <row r="98">
      <c r="AA98" s="3" t="s">
        <v>99</v>
      </c>
    </row>
    <row r="99">
      <c r="AA99" s="3" t="s">
        <v>100</v>
      </c>
    </row>
    <row r="100">
      <c r="AA100" s="3" t="s">
        <v>101</v>
      </c>
    </row>
    <row r="101">
      <c r="AA101" s="3" t="s">
        <v>102</v>
      </c>
    </row>
    <row r="102">
      <c r="AA102" s="3" t="s">
        <v>103</v>
      </c>
    </row>
    <row r="103">
      <c r="AA103" s="3" t="s">
        <v>104</v>
      </c>
    </row>
    <row r="104">
      <c r="AA104" s="3" t="s">
        <v>105</v>
      </c>
    </row>
    <row r="105">
      <c r="AA105" s="3" t="s">
        <v>106</v>
      </c>
    </row>
    <row r="106">
      <c r="AA106" s="3" t="s">
        <v>107</v>
      </c>
    </row>
    <row r="107">
      <c r="AA107" s="3" t="s">
        <v>108</v>
      </c>
    </row>
    <row r="108">
      <c r="AA108" s="3" t="s">
        <v>109</v>
      </c>
    </row>
    <row r="109">
      <c r="AA109" s="3" t="s">
        <v>110</v>
      </c>
    </row>
    <row r="110">
      <c r="AA110" s="3" t="s">
        <v>111</v>
      </c>
    </row>
    <row r="111">
      <c r="AA111" s="3" t="s">
        <v>112</v>
      </c>
    </row>
    <row r="112">
      <c r="AA112" s="3" t="s">
        <v>113</v>
      </c>
    </row>
    <row r="113">
      <c r="AA113" s="3" t="s">
        <v>114</v>
      </c>
    </row>
    <row r="114">
      <c r="AA114" s="3" t="s">
        <v>115</v>
      </c>
    </row>
    <row r="115">
      <c r="AA115" s="3" t="s">
        <v>116</v>
      </c>
    </row>
    <row r="116">
      <c r="AA116" s="3" t="s">
        <v>117</v>
      </c>
    </row>
    <row r="117">
      <c r="AA117" s="3" t="s">
        <v>118</v>
      </c>
    </row>
    <row r="118">
      <c r="AA118" s="3" t="s">
        <v>119</v>
      </c>
    </row>
    <row r="119">
      <c r="AA119" s="3" t="s">
        <v>120</v>
      </c>
    </row>
    <row r="120">
      <c r="AA120" s="3" t="s">
        <v>121</v>
      </c>
    </row>
    <row r="121">
      <c r="AA121" s="3" t="s">
        <v>122</v>
      </c>
    </row>
    <row r="122">
      <c r="AA122" s="3" t="s">
        <v>123</v>
      </c>
    </row>
    <row r="123">
      <c r="AA123" s="3" t="s">
        <v>124</v>
      </c>
    </row>
    <row r="124">
      <c r="AA124" s="3" t="s">
        <v>125</v>
      </c>
    </row>
    <row r="125">
      <c r="AA125" s="3" t="s">
        <v>126</v>
      </c>
    </row>
    <row r="126">
      <c r="AA126" s="3" t="s">
        <v>127</v>
      </c>
    </row>
    <row r="127">
      <c r="AA127" s="3" t="s">
        <v>128</v>
      </c>
    </row>
    <row r="128">
      <c r="AA128" s="3" t="s">
        <v>129</v>
      </c>
    </row>
    <row r="129">
      <c r="AA129" s="3" t="s">
        <v>130</v>
      </c>
    </row>
    <row r="130">
      <c r="AA130" s="3" t="s">
        <v>131</v>
      </c>
    </row>
    <row r="131">
      <c r="AA131" s="3" t="s">
        <v>132</v>
      </c>
    </row>
    <row r="132">
      <c r="AA132" s="3" t="s">
        <v>133</v>
      </c>
    </row>
    <row r="133">
      <c r="AA133" s="3" t="s">
        <v>134</v>
      </c>
    </row>
    <row r="134">
      <c r="AA134" s="3" t="s">
        <v>135</v>
      </c>
    </row>
    <row r="135">
      <c r="AA135" s="3" t="s">
        <v>136</v>
      </c>
    </row>
    <row r="136">
      <c r="AA136" s="3" t="s">
        <v>137</v>
      </c>
    </row>
    <row r="137">
      <c r="AA137" s="3" t="s">
        <v>138</v>
      </c>
    </row>
    <row r="138">
      <c r="AA138" s="3" t="s">
        <v>139</v>
      </c>
    </row>
    <row r="139">
      <c r="AA139" s="3" t="s">
        <v>140</v>
      </c>
    </row>
    <row r="140">
      <c r="AA140" s="3" t="s">
        <v>141</v>
      </c>
    </row>
    <row r="141">
      <c r="AA141" s="3" t="s">
        <v>142</v>
      </c>
    </row>
    <row r="142">
      <c r="AA142" s="3" t="s">
        <v>143</v>
      </c>
    </row>
    <row r="143">
      <c r="AA143" s="3" t="s">
        <v>144</v>
      </c>
    </row>
    <row r="144">
      <c r="AA144" s="3" t="s">
        <v>145</v>
      </c>
    </row>
    <row r="145">
      <c r="AA145" s="3" t="s">
        <v>146</v>
      </c>
    </row>
    <row r="146">
      <c r="AA146" s="3" t="s">
        <v>147</v>
      </c>
    </row>
    <row r="147">
      <c r="AA147" s="3" t="s">
        <v>148</v>
      </c>
    </row>
    <row r="148">
      <c r="AA148" s="3" t="s">
        <v>149</v>
      </c>
    </row>
    <row r="149">
      <c r="AA149" s="3" t="s">
        <v>150</v>
      </c>
    </row>
    <row r="150">
      <c r="AA150" s="3" t="s">
        <v>151</v>
      </c>
    </row>
    <row r="151">
      <c r="AA151" s="3" t="s">
        <v>152</v>
      </c>
    </row>
    <row r="152">
      <c r="AA152" s="3" t="s">
        <v>153</v>
      </c>
    </row>
    <row r="153">
      <c r="AA153" s="3" t="s">
        <v>154</v>
      </c>
    </row>
    <row r="154">
      <c r="AA154" s="3" t="s">
        <v>155</v>
      </c>
    </row>
    <row r="155">
      <c r="AA155" s="3" t="s">
        <v>156</v>
      </c>
    </row>
  </sheetData>
  <mergeCells count="4">
    <mergeCell ref="B2:E2"/>
    <mergeCell ref="B4:E4"/>
    <mergeCell ref="C6:E6"/>
    <mergeCell ref="B15:C21"/>
  </mergeCells>
  <conditionalFormatting sqref="B9:E13">
    <cfRule type="expression" dxfId="0" priority="1">
      <formula>$E$5="Nein"</formula>
    </cfRule>
  </conditionalFormatting>
  <conditionalFormatting sqref="E15:E21">
    <cfRule type="expression" dxfId="1" priority="2">
      <formula>$D15="Nein"</formula>
    </cfRule>
  </conditionalFormatting>
  <conditionalFormatting sqref="D15:E15">
    <cfRule type="expression" dxfId="0" priority="3">
      <formula>$E$5="Nein"</formula>
    </cfRule>
  </conditionalFormatting>
  <dataValidations count="10">
    <dataValidation allowBlank="true" sqref="E5" type="list">
      <formula1>"Ja,Nein"</formula1>
    </dataValidation>
    <dataValidation allowBlank="true" sqref="E7" type="list">
      <formula1>'Dashboard'!$AA$1:$AA$155</formula1>
    </dataValidation>
    <dataValidation allowBlank="true" sqref="E9" type="list">
      <formula1>'Dashboard'!$AA$1:$AA$155</formula1>
    </dataValidation>
    <dataValidation allowBlank="true" sqref="D15" type="list">
      <formula1>"Ja,Nein"</formula1>
    </dataValidation>
    <dataValidation allowBlank="true" sqref="D16" type="list">
      <formula1>"Ja,Nein"</formula1>
    </dataValidation>
    <dataValidation allowBlank="true" sqref="D17" type="list">
      <formula1>"Ja,Nein"</formula1>
    </dataValidation>
    <dataValidation allowBlank="true" sqref="D18" type="list">
      <formula1>"Ja,Nein"</formula1>
    </dataValidation>
    <dataValidation allowBlank="true" sqref="D19" type="list">
      <formula1>"Ja,Nein"</formula1>
    </dataValidation>
    <dataValidation allowBlank="true" sqref="D20" type="list">
      <formula1>"Ja,Nein"</formula1>
    </dataValidation>
    <dataValidation allowBlank="true" sqref="D21" type="list">
      <formula1>"Ja,Nein"</formula1>
    </dataValidation>
  </dataValidations>
</worksheet>
</file>

<file path=xl/worksheets/sheet3.xml><?xml version="1.0" encoding="utf-8"?>
<worksheet xmlns="http://schemas.openxmlformats.org/spreadsheetml/2006/main" xmlns:r="http://schemas.openxmlformats.org/officeDocument/2006/relationships" xmlns:mc="http://schemas.openxmlformats.org/markup-compatibility/2006">
  <sheetPr>
    <tabColor rgb="5B9BD5"/>
  </sheetPr>
  <dimension ref="A1"/>
  <sheetViews>
    <sheetView showGridLines="false" workbookViewId="0"/>
  </sheetViews>
  <sheetFormatPr defaultRowHeight="15"/>
  <cols>
    <col customWidth="true" max="2" min="2" width="25"/>
    <col customWidth="true" max="3" min="3" width="8"/>
    <col customWidth="true" max="4" min="4" width="30"/>
    <col customWidth="true" max="5" min="5" width="18"/>
    <col customWidth="true" max="8" min="6" width="14"/>
    <col customWidth="true" max="9" min="9" width="18"/>
    <col customWidth="true" max="10" min="10" width="3"/>
    <col customWidth="true" max="11" min="11" width="25"/>
    <col customWidth="true" max="12" min="12" width="14"/>
    <col customWidth="true" max="13" min="13" width="16"/>
    <col customWidth="true" hidden="true" max="16" min="15" width="9.140625"/>
    <col customWidth="true" hidden="true" max="19" min="18" width="9.140625"/>
  </cols>
  <sheetData>
    <row r="1">
      <c r="R1" cm="1" s="3">
        <f t="array" ref="R1">_xlfn.VSTACK({"Projektpartner";"Bank"},IFERROR(_xlfn._xlws.FILTER(TblDrittmittel[Name des Gebers],TblDrittmittel[Name des Gebers]&lt;&gt;""),""))</f>
        <v>0</v>
      </c>
      <c r="S1" cm="1" s="3">
        <f t="array" ref="S1">IFERROR(_xlfn._xlws.FILTER(TblBudgetAusgaben[ID],TblBudgetAusgaben[ID]&lt;&gt;""),"")</f>
        <v>0</v>
      </c>
    </row>
    <row r="2" ht="24" customHeight="true">
      <c r="B2" s="45" t="s">
        <v>184</v>
      </c>
      <c r="C2" s="17"/>
      <c r="D2" s="17"/>
      <c r="E2" s="17"/>
      <c r="F2" s="17"/>
      <c r="G2" s="17"/>
      <c r="H2" s="17"/>
      <c r="I2" s="46"/>
      <c r="K2" s="65" t="s">
        <v>237</v>
      </c>
    </row>
    <row r="3">
      <c r="B3" s="47"/>
      <c r="I3" s="48"/>
      <c r="K3" s="66" t="str">
        <f>=$P$11</f>
      </c>
    </row>
    <row r="4" ht="24" customHeight="true">
      <c r="B4" s="49" t="s">
        <v>185</v>
      </c>
      <c r="C4" s="18"/>
      <c r="D4" s="18"/>
      <c r="E4" s="18"/>
      <c r="F4" s="18"/>
      <c r="G4" s="19" t="s">
        <v>186</v>
      </c>
      <c r="H4" s="20" t="str">
        <f>=IFERROR($E$15/$I$15,0)</f>
      </c>
      <c r="I4" s="50"/>
      <c r="K4" s="67" t="s">
        <v>238</v>
      </c>
      <c r="O4" s="3" t="str">
        <f>=SUMIFS(TblBudgetAusgaben[Betrag (LC)],TblBudgetAusgaben[Kostenkategorie],"Bauausgaben")</f>
      </c>
      <c r="P4" s="3" t="str">
        <f>=SUMIFS(TblBudgetAusgaben[Betrag (EUR)],TblBudgetAusgaben[Kostenkategorie],"Bauausgaben")</f>
      </c>
    </row>
    <row r="5">
      <c r="B5" s="38" t="s">
        <v>187</v>
      </c>
      <c r="C5" s="21"/>
      <c r="D5" s="21"/>
      <c r="E5" s="21" t="s">
        <v>188</v>
      </c>
      <c r="F5" s="21" t="s">
        <v>189</v>
      </c>
      <c r="G5" s="21" t="s">
        <v>190</v>
      </c>
      <c r="H5" s="21" t="s">
        <v>191</v>
      </c>
      <c r="I5" s="39" t="s">
        <v>192</v>
      </c>
      <c r="K5" s="68" t="s">
        <v>176</v>
      </c>
      <c r="O5" s="3" t="str">
        <f>=SUMIFS(TblBudgetAusgaben[Betrag (LC)],TblBudgetAusgaben[Kostenkategorie],"Investitionen")</f>
      </c>
      <c r="P5" s="3" t="str">
        <f>=SUMIFS(TblBudgetAusgaben[Betrag (EUR)],TblBudgetAusgaben[Kostenkategorie],"Investitionen")</f>
      </c>
    </row>
    <row r="6" ht="20" customHeight="true">
      <c r="B6" s="51" t="s">
        <v>193</v>
      </c>
      <c r="C6" s="22"/>
      <c r="D6" s="22"/>
      <c r="E6" s="22"/>
      <c r="F6" s="22"/>
      <c r="G6" s="22"/>
      <c r="H6" s="22"/>
      <c r="I6" s="52"/>
      <c r="K6" s="69" t="str">
        <f>=IF($K$5="Ja","FREIGEGEBEN","NICHT FREIGEGEBEN")</f>
      </c>
      <c r="O6" s="3" t="str">
        <f>=SUMIFS(TblBudgetAusgaben[Betrag (LC)],TblBudgetAusgaben[Kostenkategorie],"Personalkosten")</f>
      </c>
      <c r="P6" s="3" t="str">
        <f>=SUMIFS(TblBudgetAusgaben[Betrag (EUR)],TblBudgetAusgaben[Kostenkategorie],"Personalkosten")</f>
      </c>
    </row>
    <row r="7" ht="22" customHeight="true">
      <c r="B7" s="53" t="s">
        <v>194</v>
      </c>
      <c r="E7" s="24">
        <v>1250000</v>
      </c>
      <c r="F7" s="24">
        <v>500000</v>
      </c>
      <c r="G7" s="24">
        <v>437500</v>
      </c>
      <c r="H7" s="24">
        <v>312500</v>
      </c>
      <c r="I7" s="41">
        <v>10000</v>
      </c>
      <c r="O7" s="3" t="str">
        <f>=SUMIFS(TblBudgetAusgaben[Betrag (LC)],TblBudgetAusgaben[Kostenkategorie],"Projektaktivitaeten")</f>
      </c>
      <c r="P7" s="3" t="str">
        <f>=SUMIFS(TblBudgetAusgaben[Betrag (EUR)],TblBudgetAusgaben[Kostenkategorie],"Projektaktivitaeten")</f>
      </c>
    </row>
    <row r="8">
      <c r="B8" s="47"/>
      <c r="I8" s="48"/>
      <c r="K8" s="70" t="s">
        <v>239</v>
      </c>
      <c r="L8" s="70"/>
      <c r="M8" s="70"/>
      <c r="O8" s="3" t="str">
        <f>=SUMIFS(TblBudgetAusgaben[Betrag (LC)],TblBudgetAusgaben[Kostenkategorie],"Projektverwaltung")</f>
      </c>
      <c r="P8" s="3" t="str">
        <f>=SUMIFS(TblBudgetAusgaben[Betrag (EUR)],TblBudgetAusgaben[Kostenkategorie],"Projektverwaltung")</f>
      </c>
    </row>
    <row r="9" ht="20" customHeight="true">
      <c r="B9" s="51" t="s">
        <v>195</v>
      </c>
      <c r="C9" s="22"/>
      <c r="D9" s="22"/>
      <c r="E9" s="22"/>
      <c r="F9" s="22"/>
      <c r="G9" s="22"/>
      <c r="H9" s="22"/>
      <c r="I9" s="52"/>
      <c r="K9" s="71" t="s">
        <v>158</v>
      </c>
      <c r="L9" s="71"/>
      <c r="M9" s="71"/>
      <c r="O9" s="3" t="str">
        <f>=SUMIFS(TblBudgetAusgaben[Betrag (LC)],TblBudgetAusgaben[Kostenkategorie],"Evaluierung")</f>
      </c>
      <c r="P9" s="3" t="str">
        <f>=SUMIFS(TblBudgetAusgaben[Betrag (EUR)],TblBudgetAusgaben[Kostenkategorie],"Evaluierung")</f>
      </c>
    </row>
    <row r="10" ht="22" customHeight="true">
      <c r="B10" s="53" t="s">
        <v>196</v>
      </c>
      <c r="D10" s="26" t="s">
        <v>197</v>
      </c>
      <c r="E10" s="27" t="str">
        <f>=SUM(TblDrittmittel[Betrag (LC)])</f>
      </c>
      <c r="F10" s="24">
        <v>1500000</v>
      </c>
      <c r="G10" s="24">
        <v>1250000</v>
      </c>
      <c r="H10" s="24">
        <v>1000000</v>
      </c>
      <c r="I10" s="54" t="str">
        <f>=SUM(TblDrittmittel[Betrag (EUR)])</f>
      </c>
      <c r="K10" s="71"/>
      <c r="L10" s="71"/>
      <c r="M10" s="71"/>
      <c r="O10" s="3" t="str">
        <f>=SUMIFS(TblBudgetAusgaben[Betrag (LC)],TblBudgetAusgaben[Kostenkategorie],"Audit")</f>
      </c>
      <c r="P10" s="3" t="str">
        <f>=SUMIFS(TblBudgetAusgaben[Betrag (EUR)],TblBudgetAusgaben[Kostenkategorie],"Audit")</f>
      </c>
    </row>
    <row r="11">
      <c r="B11" s="47"/>
      <c r="I11" s="48"/>
      <c r="K11" s="71"/>
      <c r="L11" s="71"/>
      <c r="M11" s="71"/>
      <c r="O11" s="3" t="str">
        <f>=SUMIFS(TblBudgetAusgaben[Betrag (LC)],TblBudgetAusgaben[Kostenkategorie],"Reserve")</f>
      </c>
      <c r="P11" s="3" t="str">
        <f>=SUMIFS(TblBudgetAusgaben[Betrag (EUR)],TblBudgetAusgaben[Kostenkategorie],"Reserve")</f>
      </c>
    </row>
    <row r="12" ht="20" customHeight="true">
      <c r="B12" s="51" t="s">
        <v>198</v>
      </c>
      <c r="C12" s="22"/>
      <c r="D12" s="22"/>
      <c r="E12" s="22"/>
      <c r="F12" s="22"/>
      <c r="G12" s="22"/>
      <c r="H12" s="22"/>
      <c r="I12" s="52"/>
      <c r="K12" s="71"/>
      <c r="L12" s="71"/>
      <c r="M12" s="71"/>
      <c r="O12" s="3" t="str">
        <f>=SUBTOTAL(109,TblBudgetAusgaben[Betrag (LC)])</f>
      </c>
      <c r="P12" s="3" t="str">
        <f>=SUBTOTAL(109,TblBudgetAusgaben[Betrag (EUR)])</f>
      </c>
    </row>
    <row r="13" ht="22" customHeight="true">
      <c r="B13" s="53" t="s">
        <v>199</v>
      </c>
      <c r="E13" s="24">
        <v>7500000</v>
      </c>
      <c r="F13" s="24">
        <v>3000000</v>
      </c>
      <c r="G13" s="24">
        <v>2500000</v>
      </c>
      <c r="H13" s="24">
        <v>2000000</v>
      </c>
      <c r="I13" s="41">
        <v>60000</v>
      </c>
    </row>
    <row r="14">
      <c r="B14" s="47"/>
      <c r="I14" s="48"/>
    </row>
    <row r="15" ht="20" customHeight="true">
      <c r="B15" s="55" t="s">
        <v>200</v>
      </c>
      <c r="C15" s="31"/>
      <c r="D15" s="31"/>
      <c r="E15" s="31" t="str">
        <f>=E7+E10+E13</f>
      </c>
      <c r="F15" s="31" t="str">
        <f>=F7+F10+F13</f>
      </c>
      <c r="G15" s="31" t="str">
        <f>=G7+G10+G13</f>
      </c>
      <c r="H15" s="31" t="str">
        <f>=H7+H10+H13</f>
      </c>
      <c r="I15" s="56" t="str">
        <f>=I7+I10+I13</f>
      </c>
    </row>
    <row r="16">
      <c r="B16" s="47"/>
      <c r="I16" s="48"/>
    </row>
    <row r="17" ht="24" customHeight="true">
      <c r="B17" s="49" t="s">
        <v>201</v>
      </c>
      <c r="C17" s="18"/>
      <c r="D17" s="18"/>
      <c r="E17" s="18"/>
      <c r="F17" s="18"/>
      <c r="G17" s="18"/>
      <c r="H17" s="18"/>
      <c r="I17" s="50"/>
      <c r="K17" s="35" t="s">
        <v>233</v>
      </c>
      <c r="L17" s="36"/>
      <c r="M17" s="37"/>
    </row>
    <row r="18">
      <c r="B18" s="38" t="s">
        <v>202</v>
      </c>
      <c r="C18" s="21" t="s">
        <v>203</v>
      </c>
      <c r="D18" s="21" t="s">
        <v>204</v>
      </c>
      <c r="E18" s="21" t="s">
        <v>188</v>
      </c>
      <c r="F18" s="21" t="s">
        <v>189</v>
      </c>
      <c r="G18" s="21" t="s">
        <v>190</v>
      </c>
      <c r="H18" s="21" t="s">
        <v>191</v>
      </c>
      <c r="I18" s="39" t="s">
        <v>192</v>
      </c>
      <c r="K18" s="38" t="s">
        <v>234</v>
      </c>
      <c r="L18" s="21" t="s">
        <v>188</v>
      </c>
      <c r="M18" s="39" t="s">
        <v>192</v>
      </c>
    </row>
    <row r="19">
      <c r="B19" s="40" t="s">
        <v>205</v>
      </c>
      <c r="C19" s="33" t="s">
        <v>206</v>
      </c>
      <c r="D19" s="32" t="s">
        <v>207</v>
      </c>
      <c r="E19" s="24">
        <v>2500000</v>
      </c>
      <c r="F19" s="24">
        <v>1500000</v>
      </c>
      <c r="G19" s="24">
        <v>1000000</v>
      </c>
      <c r="H19" s="24">
        <v>0</v>
      </c>
      <c r="I19" s="41">
        <v>20000</v>
      </c>
      <c r="K19" s="40" t="s">
        <v>235</v>
      </c>
      <c r="L19" s="24">
        <v>2500000</v>
      </c>
      <c r="M19" s="41">
        <v>20000</v>
      </c>
    </row>
    <row r="20">
      <c r="B20" s="40" t="s">
        <v>205</v>
      </c>
      <c r="C20" s="33" t="s">
        <v>208</v>
      </c>
      <c r="D20" s="32" t="s">
        <v>209</v>
      </c>
      <c r="E20" s="24">
        <v>1250000</v>
      </c>
      <c r="F20" s="24">
        <v>0</v>
      </c>
      <c r="G20" s="24">
        <v>750000</v>
      </c>
      <c r="H20" s="24">
        <v>500000</v>
      </c>
      <c r="I20" s="41">
        <v>10000</v>
      </c>
      <c r="K20" s="42" t="s">
        <v>236</v>
      </c>
      <c r="L20" s="43">
        <v>1250000</v>
      </c>
      <c r="M20" s="44">
        <v>10000</v>
      </c>
    </row>
    <row r="21">
      <c r="B21" s="40" t="s">
        <v>210</v>
      </c>
      <c r="C21" s="33" t="s">
        <v>211</v>
      </c>
      <c r="D21" s="32" t="s">
        <v>212</v>
      </c>
      <c r="E21" s="24">
        <v>1000000</v>
      </c>
      <c r="F21" s="24">
        <v>1000000</v>
      </c>
      <c r="G21" s="24">
        <v>0</v>
      </c>
      <c r="H21" s="24">
        <v>0</v>
      </c>
      <c r="I21" s="41">
        <v>8000</v>
      </c>
    </row>
    <row r="22">
      <c r="B22" s="40" t="s">
        <v>213</v>
      </c>
      <c r="C22" s="33" t="s">
        <v>214</v>
      </c>
      <c r="D22" s="32" t="s">
        <v>215</v>
      </c>
      <c r="E22" s="24">
        <v>1875000</v>
      </c>
      <c r="F22" s="24">
        <v>625000</v>
      </c>
      <c r="G22" s="24">
        <v>625000</v>
      </c>
      <c r="H22" s="24">
        <v>625000</v>
      </c>
      <c r="I22" s="41">
        <v>15000</v>
      </c>
    </row>
    <row r="23">
      <c r="B23" s="40" t="s">
        <v>213</v>
      </c>
      <c r="C23" s="33" t="s">
        <v>216</v>
      </c>
      <c r="D23" s="32" t="s">
        <v>217</v>
      </c>
      <c r="E23" s="24">
        <v>1500000</v>
      </c>
      <c r="F23" s="24">
        <v>500000</v>
      </c>
      <c r="G23" s="24">
        <v>500000</v>
      </c>
      <c r="H23" s="24">
        <v>500000</v>
      </c>
      <c r="I23" s="41">
        <v>12000</v>
      </c>
    </row>
    <row r="24">
      <c r="B24" s="40" t="s">
        <v>218</v>
      </c>
      <c r="C24" s="33" t="s">
        <v>219</v>
      </c>
      <c r="D24" s="32" t="s">
        <v>220</v>
      </c>
      <c r="E24" s="24">
        <v>1250000</v>
      </c>
      <c r="F24" s="24">
        <v>500000</v>
      </c>
      <c r="G24" s="24">
        <v>375000</v>
      </c>
      <c r="H24" s="24">
        <v>375000</v>
      </c>
      <c r="I24" s="41">
        <v>10000</v>
      </c>
    </row>
    <row r="25">
      <c r="B25" s="40" t="s">
        <v>221</v>
      </c>
      <c r="C25" s="33" t="s">
        <v>222</v>
      </c>
      <c r="D25" s="32" t="s">
        <v>223</v>
      </c>
      <c r="E25" s="24">
        <v>625000</v>
      </c>
      <c r="F25" s="24">
        <v>250000</v>
      </c>
      <c r="G25" s="24">
        <v>250000</v>
      </c>
      <c r="H25" s="24">
        <v>125000</v>
      </c>
      <c r="I25" s="41">
        <v>5000</v>
      </c>
    </row>
    <row r="26">
      <c r="B26" s="40" t="s">
        <v>224</v>
      </c>
      <c r="C26" s="33" t="s">
        <v>225</v>
      </c>
      <c r="D26" s="32" t="s">
        <v>226</v>
      </c>
      <c r="E26" s="24">
        <v>250000</v>
      </c>
      <c r="F26" s="24">
        <v>0</v>
      </c>
      <c r="G26" s="24">
        <v>250000</v>
      </c>
      <c r="H26" s="24">
        <v>0</v>
      </c>
      <c r="I26" s="41">
        <v>2000</v>
      </c>
    </row>
    <row r="27">
      <c r="B27" s="40" t="s">
        <v>227</v>
      </c>
      <c r="C27" s="33" t="s">
        <v>228</v>
      </c>
      <c r="D27" s="32" t="s">
        <v>229</v>
      </c>
      <c r="E27" s="24">
        <v>250000</v>
      </c>
      <c r="F27" s="24">
        <v>125000</v>
      </c>
      <c r="G27" s="24">
        <v>62500</v>
      </c>
      <c r="H27" s="24">
        <v>62500</v>
      </c>
      <c r="I27" s="41">
        <v>2000</v>
      </c>
    </row>
    <row r="28">
      <c r="B28" s="40" t="s">
        <v>230</v>
      </c>
      <c r="C28" s="33" t="s">
        <v>231</v>
      </c>
      <c r="D28" s="32" t="s">
        <v>230</v>
      </c>
      <c r="E28" s="24">
        <v>2000000</v>
      </c>
      <c r="F28" s="24">
        <v>625000</v>
      </c>
      <c r="G28" s="24">
        <v>625000</v>
      </c>
      <c r="H28" s="24">
        <v>750000</v>
      </c>
      <c r="I28" s="41">
        <v>16000</v>
      </c>
    </row>
    <row r="29" ht="20" customHeight="true">
      <c r="B29" s="57" t="s">
        <v>232</v>
      </c>
      <c r="C29" s="58"/>
      <c r="D29" s="58"/>
      <c r="E29" s="58" t="str">
        <f>=SUBTOTAL(109,TblBudgetAusgaben[Betrag (LC)])</f>
      </c>
      <c r="F29" s="58" t="str">
        <f>=SUBTOTAL(109,TblBudgetAusgaben[Jahr 1])</f>
      </c>
      <c r="G29" s="58" t="str">
        <f>=SUBTOTAL(109,TblBudgetAusgaben[Jahr 2])</f>
      </c>
      <c r="H29" s="58" t="str">
        <f>=SUBTOTAL(109,TblBudgetAusgaben[Jahr 3])</f>
      </c>
      <c r="I29" s="59" t="str">
        <f>=SUBTOTAL(109,TblBudgetAusgaben[Betrag (EUR)])</f>
      </c>
    </row>
    <row r="31">
      <c r="B31" s="73" t="s">
        <v>240</v>
      </c>
      <c r="C31" s="74"/>
      <c r="D31" s="74"/>
      <c r="E31" s="75"/>
    </row>
    <row r="32">
      <c r="B32" s="76" t="s">
        <v>241</v>
      </c>
      <c r="C32" s="72"/>
      <c r="D32" s="72"/>
      <c r="E32" s="77" t="str">
        <f>=IF(ROUND($E$15-$O$12,2)=0,"OK","Abweichung")</f>
      </c>
    </row>
    <row r="33">
      <c r="B33" s="76" t="s">
        <v>242</v>
      </c>
      <c r="C33" s="72"/>
      <c r="D33" s="72"/>
      <c r="E33" s="77" t="str">
        <f>=IF(ROUND($I$15-$P$12,2)=0,"OK","Abweichung")</f>
      </c>
    </row>
    <row r="34">
      <c r="B34" s="76" t="s">
        <v>243</v>
      </c>
      <c r="C34" s="72"/>
      <c r="D34" s="72"/>
      <c r="E34" s="77" t="str">
        <f>=IF(ROUND($H$4,4)=ROUND(IFERROR($O$12/$P$12,0),4),"OK","Abweichung")</f>
      </c>
    </row>
    <row r="35">
      <c r="B35" s="76" t="s">
        <v>244</v>
      </c>
      <c r="C35" s="72"/>
      <c r="D35" s="72"/>
      <c r="E35" s="77" t="str">
        <f>=IF(ROUND(($F$15+$G$15+$H$15)-$E$15,2)=0,"OK","Abweichung")</f>
      </c>
    </row>
    <row r="36">
      <c r="B36" s="78" t="s">
        <v>245</v>
      </c>
      <c r="C36" s="79"/>
      <c r="D36" s="79"/>
      <c r="E36" s="80" t="str">
        <f>=IF(ROUND(($F$29+$G$29+$H$29)-$O$12,2)=0,"OK","Abweichung")</f>
      </c>
    </row>
  </sheetData>
  <mergeCells count="9">
    <mergeCell ref="K17:M17"/>
    <mergeCell ref="K8:M8"/>
    <mergeCell ref="K9:M12"/>
    <mergeCell ref="B31:E31"/>
    <mergeCell ref="B32:D32"/>
    <mergeCell ref="B33:D33"/>
    <mergeCell ref="B34:D34"/>
    <mergeCell ref="B35:D35"/>
    <mergeCell ref="B36:D36"/>
  </mergeCells>
  <conditionalFormatting sqref="K6">
    <cfRule type="expression" dxfId="2" priority="1">
      <formula>$K$5="Ja"</formula>
    </cfRule>
  </conditionalFormatting>
  <conditionalFormatting sqref="K8:M8">
    <cfRule type="expression" dxfId="3" priority="2">
      <formula>$K$5="Ja"</formula>
    </cfRule>
  </conditionalFormatting>
  <conditionalFormatting sqref="K9:M12">
    <cfRule type="expression" dxfId="4" priority="3">
      <formula>$K$5="Ja"</formula>
    </cfRule>
  </conditionalFormatting>
  <conditionalFormatting sqref="E32">
    <cfRule type="expression" dxfId="5" priority="4">
      <formula>$E$32="OK"</formula>
    </cfRule>
  </conditionalFormatting>
  <conditionalFormatting sqref="E32">
    <cfRule type="expression" dxfId="6" priority="5">
      <formula>$E$32&lt;&gt;"OK"</formula>
    </cfRule>
  </conditionalFormatting>
  <conditionalFormatting sqref="E33">
    <cfRule type="expression" dxfId="5" priority="6">
      <formula>$E$33="OK"</formula>
    </cfRule>
  </conditionalFormatting>
  <conditionalFormatting sqref="E33">
    <cfRule type="expression" dxfId="6" priority="7">
      <formula>$E$33&lt;&gt;"OK"</formula>
    </cfRule>
  </conditionalFormatting>
  <conditionalFormatting sqref="E34">
    <cfRule type="expression" dxfId="5" priority="8">
      <formula>$E$34="OK"</formula>
    </cfRule>
  </conditionalFormatting>
  <conditionalFormatting sqref="E34">
    <cfRule type="expression" dxfId="6" priority="9">
      <formula>$E$34&lt;&gt;"OK"</formula>
    </cfRule>
  </conditionalFormatting>
  <conditionalFormatting sqref="E35">
    <cfRule type="expression" dxfId="5" priority="10">
      <formula>$E$35="OK"</formula>
    </cfRule>
  </conditionalFormatting>
  <conditionalFormatting sqref="E35">
    <cfRule type="expression" dxfId="6" priority="11">
      <formula>$E$35&lt;&gt;"OK"</formula>
    </cfRule>
  </conditionalFormatting>
  <conditionalFormatting sqref="E36">
    <cfRule type="expression" dxfId="7" priority="12">
      <formula>$E$36="OK"</formula>
    </cfRule>
  </conditionalFormatting>
  <conditionalFormatting sqref="E36">
    <cfRule type="expression" dxfId="8" priority="13">
      <formula>$E$36&lt;&gt;"OK"</formula>
    </cfRule>
  </conditionalFormatting>
  <dataValidations count="2">
    <dataValidation allowBlank="true" sqref="B19:B28" type="list">
      <formula1>"Bauausgaben,Investitionen,Personalkosten,Projektaktivitaeten,Projektverwaltung,Evaluierung,Audit,Reserve"</formula1>
    </dataValidation>
    <dataValidation allowBlank="true" sqref="K5" type="list">
      <formula1>"Ja,Nein"</formula1>
    </dataValidation>
  </dataValidations>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15"/>
    <col customWidth="true" max="3" min="3" width="10"/>
    <col customWidth="true" max="4" min="4" width="20"/>
    <col customWidth="true" max="5" min="5" width="15"/>
    <col customWidth="true" hidden="true" max="26" min="26" width="9.140625"/>
  </cols>
  <sheetData>
    <row r="1">
      <c r="Z1" t="s">
        <v>247</v>
      </c>
    </row>
    <row r="2" ht="24" customHeight="true">
      <c r="B2" s="81" t="s">
        <v>246</v>
      </c>
      <c r="C2" s="81"/>
      <c r="D2" s="81"/>
      <c r="E2" s="81"/>
      <c r="Z2" t="s">
        <v>248</v>
      </c>
    </row>
    <row r="3">
      <c r="Z3" t="s">
        <v>249</v>
      </c>
    </row>
    <row r="4" ht="20" customHeight="true">
      <c r="B4" s="88" t="s">
        <v>283</v>
      </c>
      <c r="C4" s="89" t="s">
        <v>284</v>
      </c>
      <c r="D4" s="89" t="s">
        <v>285</v>
      </c>
      <c r="E4" s="90" t="s">
        <v>286</v>
      </c>
      <c r="Z4" t="s">
        <v>250</v>
      </c>
    </row>
    <row r="5">
      <c r="B5" s="91" t="inlineStr">
        <is>
          <t>Periode 1</t>
        </is>
      </c>
      <c r="C5" s="92" t="inlineStr">
        <is>
          <t>EUR</t>
        </is>
      </c>
      <c r="D5" s="93">
        <v>10000</v>
      </c>
      <c r="E5" s="94">
        <v>45672</v>
      </c>
      <c r="Z5" t="s">
        <v>251</v>
      </c>
    </row>
    <row r="6">
      <c r="B6" s="95" t="inlineStr">
        <is>
          <t>Periode 1</t>
        </is>
      </c>
      <c r="C6" s="82" t="inlineStr">
        <is>
          <t>EUR</t>
        </is>
      </c>
      <c r="D6" s="83">
        <v>8000</v>
      </c>
      <c r="E6" s="96">
        <v>45762</v>
      </c>
      <c r="Z6" t="s">
        <v>252</v>
      </c>
    </row>
    <row r="7">
      <c r="B7" s="95" t="inlineStr">
        <is>
          <t>Periode 2</t>
        </is>
      </c>
      <c r="C7" s="82" t="inlineStr">
        <is>
          <t>EUR</t>
        </is>
      </c>
      <c r="D7" s="83">
        <v>9000</v>
      </c>
      <c r="E7" s="96">
        <v>45853</v>
      </c>
      <c r="Z7" t="s">
        <v>253</v>
      </c>
    </row>
    <row r="8">
      <c r="B8" s="95"/>
      <c r="C8" s="82"/>
      <c r="D8" s="83"/>
      <c r="E8" s="96"/>
      <c r="Z8" t="s">
        <v>254</v>
      </c>
    </row>
    <row r="9">
      <c r="B9" s="95"/>
      <c r="C9" s="82"/>
      <c r="D9" s="83"/>
      <c r="E9" s="96"/>
      <c r="Z9" t="s">
        <v>255</v>
      </c>
    </row>
    <row r="10">
      <c r="B10" s="95"/>
      <c r="C10" s="82"/>
      <c r="D10" s="83"/>
      <c r="E10" s="96"/>
      <c r="Z10" t="s">
        <v>256</v>
      </c>
    </row>
    <row r="11">
      <c r="B11" s="95"/>
      <c r="C11" s="82"/>
      <c r="D11" s="83"/>
      <c r="E11" s="96"/>
      <c r="Z11" t="s">
        <v>257</v>
      </c>
    </row>
    <row r="12">
      <c r="B12" s="95"/>
      <c r="C12" s="82"/>
      <c r="D12" s="83"/>
      <c r="E12" s="96"/>
      <c r="Z12" t="s">
        <v>258</v>
      </c>
    </row>
    <row r="13">
      <c r="B13" s="95"/>
      <c r="C13" s="82"/>
      <c r="D13" s="83"/>
      <c r="E13" s="96"/>
      <c r="Z13" t="s">
        <v>259</v>
      </c>
    </row>
    <row r="14">
      <c r="B14" s="95"/>
      <c r="C14" s="82"/>
      <c r="D14" s="83"/>
      <c r="E14" s="96"/>
      <c r="Z14" t="s">
        <v>260</v>
      </c>
    </row>
    <row r="15">
      <c r="B15" s="95"/>
      <c r="C15" s="82"/>
      <c r="D15" s="83"/>
      <c r="E15" s="96"/>
      <c r="Z15" t="s">
        <v>261</v>
      </c>
    </row>
    <row r="16">
      <c r="B16" s="95"/>
      <c r="C16" s="82"/>
      <c r="D16" s="83"/>
      <c r="E16" s="96"/>
      <c r="Z16" t="s">
        <v>262</v>
      </c>
    </row>
    <row r="17">
      <c r="B17" s="95"/>
      <c r="C17" s="82"/>
      <c r="D17" s="83"/>
      <c r="E17" s="96"/>
      <c r="Z17" t="s">
        <v>263</v>
      </c>
    </row>
    <row r="18">
      <c r="B18" s="95"/>
      <c r="C18" s="82"/>
      <c r="D18" s="83"/>
      <c r="E18" s="96"/>
      <c r="Z18" t="s">
        <v>264</v>
      </c>
    </row>
    <row r="19">
      <c r="B19" s="95"/>
      <c r="C19" s="82"/>
      <c r="D19" s="83"/>
      <c r="E19" s="96"/>
      <c r="Z19" t="s">
        <v>265</v>
      </c>
    </row>
    <row r="20">
      <c r="B20" s="95"/>
      <c r="C20" s="82"/>
      <c r="D20" s="83"/>
      <c r="E20" s="96"/>
      <c r="Z20" t="s">
        <v>266</v>
      </c>
    </row>
    <row r="21">
      <c r="B21" s="95"/>
      <c r="C21" s="82"/>
      <c r="D21" s="83"/>
      <c r="E21" s="96"/>
      <c r="Z21" t="s">
        <v>267</v>
      </c>
    </row>
    <row r="22">
      <c r="B22" s="97"/>
      <c r="C22" s="98"/>
      <c r="D22" s="99"/>
      <c r="E22" s="100"/>
      <c r="Z22" t="s">
        <v>268</v>
      </c>
    </row>
    <row r="23">
      <c r="B23" s="101" t="s">
        <v>287</v>
      </c>
      <c r="C23" s="102"/>
      <c r="D23" s="103" t="str">
        <f>=SUBTOTAL(109,TblKMWMittel[Betrag])</f>
      </c>
      <c r="E23" s="104"/>
      <c r="Z23" t="s">
        <v>269</v>
      </c>
    </row>
    <row r="24">
      <c r="Z24" t="s">
        <v>270</v>
      </c>
    </row>
    <row r="25">
      <c r="Z25" t="s">
        <v>271</v>
      </c>
    </row>
    <row r="26">
      <c r="Z26" t="s">
        <v>272</v>
      </c>
    </row>
    <row r="27">
      <c r="Z27" t="s">
        <v>273</v>
      </c>
    </row>
    <row r="28">
      <c r="Z28" t="s">
        <v>274</v>
      </c>
    </row>
    <row r="29">
      <c r="Z29" t="s">
        <v>275</v>
      </c>
    </row>
    <row r="30">
      <c r="Z30" t="s">
        <v>276</v>
      </c>
    </row>
    <row r="31">
      <c r="Z31" t="s">
        <v>277</v>
      </c>
    </row>
    <row r="32">
      <c r="Z32" t="s">
        <v>278</v>
      </c>
    </row>
    <row r="33">
      <c r="Z33" t="s">
        <v>279</v>
      </c>
    </row>
    <row r="34">
      <c r="Z34" t="s">
        <v>280</v>
      </c>
    </row>
    <row r="35">
      <c r="Z35" t="s">
        <v>281</v>
      </c>
    </row>
    <row r="36">
      <c r="Z36" t="s">
        <v>282</v>
      </c>
    </row>
  </sheetData>
  <mergeCells count="1">
    <mergeCell ref="B2:E2"/>
  </mergeCells>
  <dataValidations count="2">
    <dataValidation allowBlank="true" sqref="B5:B22" type="list">
      <formula1>'II. KMW-Mittel'!$Z$1:$Z$36</formula1>
    </dataValidation>
    <dataValidation allowBlank="true" sqref="C5:C22" type="list">
      <formula1>"EUR,USD"</formula1>
    </dataValidation>
  </dataValidation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16"/>
    <col customWidth="true" max="6" min="3" width="18"/>
    <col customWidth="true" max="9" min="9" width="16"/>
    <col customWidth="true" max="13" min="10" width="18"/>
    <col customWidth="true" max="16" min="16" width="16"/>
    <col customWidth="true" max="20" min="17" width="18"/>
    <col customWidth="true" max="23" min="23" width="16"/>
    <col customWidth="true" max="27" min="24" width="18"/>
    <col customWidth="true" max="30" min="30" width="16"/>
    <col customWidth="true" max="34" min="31" width="18"/>
    <col customWidth="true" max="37" min="37" width="16"/>
    <col customWidth="true" max="41" min="38" width="18"/>
    <col customWidth="true" max="44" min="44" width="16"/>
    <col customWidth="true" max="48" min="45" width="18"/>
    <col customWidth="true" max="51" min="51" width="16"/>
    <col customWidth="true" max="55" min="52" width="18"/>
    <col customWidth="true" max="58" min="58" width="16"/>
    <col customWidth="true" max="62" min="59" width="18"/>
    <col customWidth="true" max="65" min="65" width="16"/>
    <col customWidth="true" max="69" min="66" width="18"/>
    <col customWidth="true" max="72" min="72" width="16"/>
    <col customWidth="true" max="76" min="73" width="18"/>
    <col customWidth="true" max="79" min="79" width="16"/>
    <col customWidth="true" max="83" min="80" width="18"/>
    <col customWidth="true" max="86" min="86" width="16"/>
    <col customWidth="true" max="90" min="87" width="18"/>
    <col customWidth="true" max="93" min="93" width="16"/>
    <col customWidth="true" max="97" min="94" width="18"/>
    <col customWidth="true" max="100" min="100" width="16"/>
    <col customWidth="true" max="104" min="101" width="18"/>
    <col customWidth="true" max="107" min="107" width="16"/>
    <col customWidth="true" max="111" min="108" width="18"/>
    <col customWidth="true" max="114" min="114" width="16"/>
    <col customWidth="true" max="118" min="115" width="18"/>
    <col customWidth="true" max="121" min="121" width="16"/>
    <col customWidth="true" max="125" min="122" width="18"/>
  </cols>
  <sheetData>
    <row r="3">
      <c r="H3" s="176" t="s">
        <v>325</v>
      </c>
      <c r="O3" s="176" t="s">
        <v>325</v>
      </c>
      <c r="V3" s="176" t="s">
        <v>325</v>
      </c>
      <c r="AC3" s="176" t="s">
        <v>325</v>
      </c>
      <c r="AJ3" s="176" t="s">
        <v>325</v>
      </c>
      <c r="AQ3" s="176" t="s">
        <v>325</v>
      </c>
      <c r="AX3" s="176" t="s">
        <v>325</v>
      </c>
      <c r="BE3" s="176" t="s">
        <v>325</v>
      </c>
      <c r="BL3" s="176" t="s">
        <v>325</v>
      </c>
      <c r="BS3" s="176" t="s">
        <v>325</v>
      </c>
      <c r="BZ3" s="176" t="s">
        <v>325</v>
      </c>
      <c r="CG3" s="176" t="s">
        <v>325</v>
      </c>
      <c r="CN3" s="176" t="s">
        <v>325</v>
      </c>
      <c r="CU3" s="176" t="s">
        <v>325</v>
      </c>
      <c r="DB3" s="176" t="s">
        <v>325</v>
      </c>
      <c r="DI3" s="176" t="s">
        <v>325</v>
      </c>
      <c r="DP3" s="176" t="s">
        <v>325</v>
      </c>
    </row>
    <row r="4">
      <c r="B4" s="134" t="s">
        <v>288</v>
      </c>
      <c r="C4" s="135" t="s">
        <v>247</v>
      </c>
      <c r="D4" s="135"/>
      <c r="E4" s="136"/>
      <c r="F4" s="137"/>
      <c r="I4" s="134" t="s">
        <v>288</v>
      </c>
      <c r="J4" s="135" t="s">
        <v>248</v>
      </c>
      <c r="K4" s="135"/>
      <c r="L4" s="136"/>
      <c r="M4" s="137"/>
      <c r="P4" s="134" t="s">
        <v>288</v>
      </c>
      <c r="Q4" s="135" t="s">
        <v>249</v>
      </c>
      <c r="R4" s="135"/>
      <c r="S4" s="136"/>
      <c r="T4" s="137"/>
      <c r="W4" s="134" t="s">
        <v>288</v>
      </c>
      <c r="X4" s="135" t="s">
        <v>250</v>
      </c>
      <c r="Y4" s="135"/>
      <c r="Z4" s="136"/>
      <c r="AA4" s="137"/>
      <c r="AD4" s="134" t="s">
        <v>288</v>
      </c>
      <c r="AE4" s="135" t="s">
        <v>251</v>
      </c>
      <c r="AF4" s="135"/>
      <c r="AG4" s="136"/>
      <c r="AH4" s="137"/>
      <c r="AK4" s="134" t="s">
        <v>288</v>
      </c>
      <c r="AL4" s="135" t="s">
        <v>252</v>
      </c>
      <c r="AM4" s="135"/>
      <c r="AN4" s="136"/>
      <c r="AO4" s="137"/>
      <c r="AR4" s="134" t="s">
        <v>288</v>
      </c>
      <c r="AS4" s="135" t="s">
        <v>253</v>
      </c>
      <c r="AT4" s="135"/>
      <c r="AU4" s="136"/>
      <c r="AV4" s="137"/>
      <c r="AY4" s="134" t="s">
        <v>288</v>
      </c>
      <c r="AZ4" s="135" t="s">
        <v>254</v>
      </c>
      <c r="BA4" s="135"/>
      <c r="BB4" s="136"/>
      <c r="BC4" s="137"/>
      <c r="BF4" s="134" t="s">
        <v>288</v>
      </c>
      <c r="BG4" s="135" t="s">
        <v>255</v>
      </c>
      <c r="BH4" s="135"/>
      <c r="BI4" s="136"/>
      <c r="BJ4" s="137"/>
      <c r="BM4" s="134" t="s">
        <v>288</v>
      </c>
      <c r="BN4" s="135" t="s">
        <v>256</v>
      </c>
      <c r="BO4" s="135"/>
      <c r="BP4" s="136"/>
      <c r="BQ4" s="137"/>
      <c r="BT4" s="134" t="s">
        <v>288</v>
      </c>
      <c r="BU4" s="135" t="s">
        <v>257</v>
      </c>
      <c r="BV4" s="135"/>
      <c r="BW4" s="136"/>
      <c r="BX4" s="137"/>
      <c r="CA4" s="134" t="s">
        <v>288</v>
      </c>
      <c r="CB4" s="135" t="s">
        <v>258</v>
      </c>
      <c r="CC4" s="135"/>
      <c r="CD4" s="136"/>
      <c r="CE4" s="137"/>
      <c r="CH4" s="134" t="s">
        <v>288</v>
      </c>
      <c r="CI4" s="135" t="s">
        <v>259</v>
      </c>
      <c r="CJ4" s="135"/>
      <c r="CK4" s="136"/>
      <c r="CL4" s="137"/>
      <c r="CO4" s="134" t="s">
        <v>288</v>
      </c>
      <c r="CP4" s="135" t="s">
        <v>260</v>
      </c>
      <c r="CQ4" s="135"/>
      <c r="CR4" s="136"/>
      <c r="CS4" s="137"/>
      <c r="CV4" s="134" t="s">
        <v>288</v>
      </c>
      <c r="CW4" s="135" t="s">
        <v>261</v>
      </c>
      <c r="CX4" s="135"/>
      <c r="CY4" s="136"/>
      <c r="CZ4" s="137"/>
      <c r="DC4" s="134" t="s">
        <v>288</v>
      </c>
      <c r="DD4" s="135" t="s">
        <v>262</v>
      </c>
      <c r="DE4" s="135"/>
      <c r="DF4" s="136"/>
      <c r="DG4" s="137"/>
      <c r="DJ4" s="134" t="s">
        <v>288</v>
      </c>
      <c r="DK4" s="135" t="s">
        <v>263</v>
      </c>
      <c r="DL4" s="135"/>
      <c r="DM4" s="136"/>
      <c r="DN4" s="137"/>
      <c r="DQ4" s="134" t="s">
        <v>288</v>
      </c>
      <c r="DR4" s="135" t="s">
        <v>264</v>
      </c>
      <c r="DS4" s="135"/>
      <c r="DT4" s="136"/>
      <c r="DU4" s="137"/>
    </row>
    <row r="5">
      <c r="B5" s="138" t="s">
        <v>289</v>
      </c>
      <c r="C5" s="108">
        <v>45658</v>
      </c>
      <c r="D5" s="108"/>
      <c r="F5" s="48"/>
      <c r="I5" s="138" t="s">
        <v>289</v>
      </c>
      <c r="J5" s="108">
        <v>45839</v>
      </c>
      <c r="K5" s="108"/>
      <c r="M5" s="48"/>
      <c r="P5" s="138" t="s">
        <v>289</v>
      </c>
      <c r="Q5" s="108"/>
      <c r="R5" s="108"/>
      <c r="T5" s="48"/>
      <c r="W5" s="138" t="s">
        <v>289</v>
      </c>
      <c r="X5" s="108"/>
      <c r="Y5" s="108"/>
      <c r="AA5" s="48"/>
      <c r="AD5" s="138" t="s">
        <v>289</v>
      </c>
      <c r="AE5" s="108"/>
      <c r="AF5" s="108"/>
      <c r="AH5" s="48"/>
      <c r="AK5" s="138" t="s">
        <v>289</v>
      </c>
      <c r="AL5" s="108"/>
      <c r="AM5" s="108"/>
      <c r="AO5" s="48"/>
      <c r="AR5" s="138" t="s">
        <v>289</v>
      </c>
      <c r="AS5" s="108"/>
      <c r="AT5" s="108"/>
      <c r="AV5" s="48"/>
      <c r="AY5" s="138" t="s">
        <v>289</v>
      </c>
      <c r="AZ5" s="108"/>
      <c r="BA5" s="108"/>
      <c r="BC5" s="48"/>
      <c r="BF5" s="138" t="s">
        <v>289</v>
      </c>
      <c r="BG5" s="108"/>
      <c r="BH5" s="108"/>
      <c r="BJ5" s="48"/>
      <c r="BM5" s="138" t="s">
        <v>289</v>
      </c>
      <c r="BN5" s="108"/>
      <c r="BO5" s="108"/>
      <c r="BQ5" s="48"/>
      <c r="BT5" s="138" t="s">
        <v>289</v>
      </c>
      <c r="BU5" s="108"/>
      <c r="BV5" s="108"/>
      <c r="BX5" s="48"/>
      <c r="CA5" s="138" t="s">
        <v>289</v>
      </c>
      <c r="CB5" s="108"/>
      <c r="CC5" s="108"/>
      <c r="CE5" s="48"/>
      <c r="CH5" s="138" t="s">
        <v>289</v>
      </c>
      <c r="CI5" s="108"/>
      <c r="CJ5" s="108"/>
      <c r="CL5" s="48"/>
      <c r="CO5" s="138" t="s">
        <v>289</v>
      </c>
      <c r="CP5" s="108"/>
      <c r="CQ5" s="108"/>
      <c r="CS5" s="48"/>
      <c r="CV5" s="138" t="s">
        <v>289</v>
      </c>
      <c r="CW5" s="108"/>
      <c r="CX5" s="108"/>
      <c r="CZ5" s="48"/>
      <c r="DC5" s="138" t="s">
        <v>289</v>
      </c>
      <c r="DD5" s="108"/>
      <c r="DE5" s="108"/>
      <c r="DG5" s="48"/>
      <c r="DJ5" s="138" t="s">
        <v>289</v>
      </c>
      <c r="DK5" s="108"/>
      <c r="DL5" s="108"/>
      <c r="DN5" s="48"/>
      <c r="DQ5" s="138" t="s">
        <v>289</v>
      </c>
      <c r="DR5" s="108"/>
      <c r="DS5" s="108"/>
      <c r="DU5" s="48"/>
    </row>
    <row r="6">
      <c r="B6" s="138" t="s">
        <v>290</v>
      </c>
      <c r="C6" s="108">
        <v>45838</v>
      </c>
      <c r="D6" s="108"/>
      <c r="F6" s="48"/>
      <c r="I6" s="138" t="s">
        <v>290</v>
      </c>
      <c r="J6" s="108">
        <v>46022</v>
      </c>
      <c r="K6" s="108"/>
      <c r="M6" s="48"/>
      <c r="P6" s="138" t="s">
        <v>290</v>
      </c>
      <c r="Q6" s="108"/>
      <c r="R6" s="108"/>
      <c r="T6" s="48"/>
      <c r="W6" s="138" t="s">
        <v>290</v>
      </c>
      <c r="X6" s="108"/>
      <c r="Y6" s="108"/>
      <c r="AA6" s="48"/>
      <c r="AD6" s="138" t="s">
        <v>290</v>
      </c>
      <c r="AE6" s="108"/>
      <c r="AF6" s="108"/>
      <c r="AH6" s="48"/>
      <c r="AK6" s="138" t="s">
        <v>290</v>
      </c>
      <c r="AL6" s="108"/>
      <c r="AM6" s="108"/>
      <c r="AO6" s="48"/>
      <c r="AR6" s="138" t="s">
        <v>290</v>
      </c>
      <c r="AS6" s="108"/>
      <c r="AT6" s="108"/>
      <c r="AV6" s="48"/>
      <c r="AY6" s="138" t="s">
        <v>290</v>
      </c>
      <c r="AZ6" s="108"/>
      <c r="BA6" s="108"/>
      <c r="BC6" s="48"/>
      <c r="BF6" s="138" t="s">
        <v>290</v>
      </c>
      <c r="BG6" s="108"/>
      <c r="BH6" s="108"/>
      <c r="BJ6" s="48"/>
      <c r="BM6" s="138" t="s">
        <v>290</v>
      </c>
      <c r="BN6" s="108"/>
      <c r="BO6" s="108"/>
      <c r="BQ6" s="48"/>
      <c r="BT6" s="138" t="s">
        <v>290</v>
      </c>
      <c r="BU6" s="108"/>
      <c r="BV6" s="108"/>
      <c r="BX6" s="48"/>
      <c r="CA6" s="138" t="s">
        <v>290</v>
      </c>
      <c r="CB6" s="108"/>
      <c r="CC6" s="108"/>
      <c r="CE6" s="48"/>
      <c r="CH6" s="138" t="s">
        <v>290</v>
      </c>
      <c r="CI6" s="108"/>
      <c r="CJ6" s="108"/>
      <c r="CL6" s="48"/>
      <c r="CO6" s="138" t="s">
        <v>290</v>
      </c>
      <c r="CP6" s="108"/>
      <c r="CQ6" s="108"/>
      <c r="CS6" s="48"/>
      <c r="CV6" s="138" t="s">
        <v>290</v>
      </c>
      <c r="CW6" s="108"/>
      <c r="CX6" s="108"/>
      <c r="CZ6" s="48"/>
      <c r="DC6" s="138" t="s">
        <v>290</v>
      </c>
      <c r="DD6" s="108"/>
      <c r="DE6" s="108"/>
      <c r="DG6" s="48"/>
      <c r="DJ6" s="138" t="s">
        <v>290</v>
      </c>
      <c r="DK6" s="108"/>
      <c r="DL6" s="108"/>
      <c r="DN6" s="48"/>
      <c r="DQ6" s="138" t="s">
        <v>290</v>
      </c>
      <c r="DR6" s="108"/>
      <c r="DS6" s="108"/>
      <c r="DU6" s="48"/>
    </row>
    <row r="7">
      <c r="B7" s="138" t="s">
        <v>291</v>
      </c>
      <c r="C7" s="109" t="str">
        <f>=IF(OR(C5="",C6=""),"",DATEDIF(C5,C6,"m")+1)</f>
        <v>158</v>
      </c>
      <c r="D7" s="109"/>
      <c r="F7" s="48"/>
      <c r="I7" s="138" t="s">
        <v>291</v>
      </c>
      <c r="J7" s="109" t="str">
        <f>=IF(OR(J5="",J6=""),"",DATEDIF(J5,J6,"m")+1)</f>
        <v>158</v>
      </c>
      <c r="K7" s="109"/>
      <c r="M7" s="48"/>
      <c r="P7" s="138" t="s">
        <v>291</v>
      </c>
      <c r="Q7" s="109" t="str">
        <f>=IF(OR(Q5="",Q6=""),"",DATEDIF(Q5,Q6,"m")+1)</f>
        <v>158</v>
      </c>
      <c r="R7" s="109"/>
      <c r="T7" s="48"/>
      <c r="W7" s="138" t="s">
        <v>291</v>
      </c>
      <c r="X7" s="109" t="str">
        <f>=IF(OR(X5="",X6=""),"",DATEDIF(X5,X6,"m")+1)</f>
        <v>158</v>
      </c>
      <c r="Y7" s="109"/>
      <c r="AA7" s="48"/>
      <c r="AD7" s="138" t="s">
        <v>291</v>
      </c>
      <c r="AE7" s="109" t="str">
        <f>=IF(OR(AE5="",AE6=""),"",DATEDIF(AE5,AE6,"m")+1)</f>
        <v>158</v>
      </c>
      <c r="AF7" s="109"/>
      <c r="AH7" s="48"/>
      <c r="AK7" s="138" t="s">
        <v>291</v>
      </c>
      <c r="AL7" s="109" t="str">
        <f>=IF(OR(AL5="",AL6=""),"",DATEDIF(AL5,AL6,"m")+1)</f>
        <v>158</v>
      </c>
      <c r="AM7" s="109"/>
      <c r="AO7" s="48"/>
      <c r="AR7" s="138" t="s">
        <v>291</v>
      </c>
      <c r="AS7" s="109" t="str">
        <f>=IF(OR(AS5="",AS6=""),"",DATEDIF(AS5,AS6,"m")+1)</f>
        <v>158</v>
      </c>
      <c r="AT7" s="109"/>
      <c r="AV7" s="48"/>
      <c r="AY7" s="138" t="s">
        <v>291</v>
      </c>
      <c r="AZ7" s="109" t="str">
        <f>=IF(OR(AZ5="",AZ6=""),"",DATEDIF(AZ5,AZ6,"m")+1)</f>
        <v>158</v>
      </c>
      <c r="BA7" s="109"/>
      <c r="BC7" s="48"/>
      <c r="BF7" s="138" t="s">
        <v>291</v>
      </c>
      <c r="BG7" s="109" t="str">
        <f>=IF(OR(BG5="",BG6=""),"",DATEDIF(BG5,BG6,"m")+1)</f>
        <v>158</v>
      </c>
      <c r="BH7" s="109"/>
      <c r="BJ7" s="48"/>
      <c r="BM7" s="138" t="s">
        <v>291</v>
      </c>
      <c r="BN7" s="109" t="str">
        <f>=IF(OR(BN5="",BN6=""),"",DATEDIF(BN5,BN6,"m")+1)</f>
        <v>158</v>
      </c>
      <c r="BO7" s="109"/>
      <c r="BQ7" s="48"/>
      <c r="BT7" s="138" t="s">
        <v>291</v>
      </c>
      <c r="BU7" s="109" t="str">
        <f>=IF(OR(BU5="",BU6=""),"",DATEDIF(BU5,BU6,"m")+1)</f>
        <v>158</v>
      </c>
      <c r="BV7" s="109"/>
      <c r="BX7" s="48"/>
      <c r="CA7" s="138" t="s">
        <v>291</v>
      </c>
      <c r="CB7" s="109" t="str">
        <f>=IF(OR(CB5="",CB6=""),"",DATEDIF(CB5,CB6,"m")+1)</f>
        <v>158</v>
      </c>
      <c r="CC7" s="109"/>
      <c r="CE7" s="48"/>
      <c r="CH7" s="138" t="s">
        <v>291</v>
      </c>
      <c r="CI7" s="109" t="str">
        <f>=IF(OR(CI5="",CI6=""),"",DATEDIF(CI5,CI6,"m")+1)</f>
        <v>158</v>
      </c>
      <c r="CJ7" s="109"/>
      <c r="CL7" s="48"/>
      <c r="CO7" s="138" t="s">
        <v>291</v>
      </c>
      <c r="CP7" s="109" t="str">
        <f>=IF(OR(CP5="",CP6=""),"",DATEDIF(CP5,CP6,"m")+1)</f>
        <v>158</v>
      </c>
      <c r="CQ7" s="109"/>
      <c r="CS7" s="48"/>
      <c r="CV7" s="138" t="s">
        <v>291</v>
      </c>
      <c r="CW7" s="109" t="str">
        <f>=IF(OR(CW5="",CW6=""),"",DATEDIF(CW5,CW6,"m")+1)</f>
        <v>158</v>
      </c>
      <c r="CX7" s="109"/>
      <c r="CZ7" s="48"/>
      <c r="DC7" s="138" t="s">
        <v>291</v>
      </c>
      <c r="DD7" s="109" t="str">
        <f>=IF(OR(DD5="",DD6=""),"",DATEDIF(DD5,DD6,"m")+1)</f>
        <v>158</v>
      </c>
      <c r="DE7" s="109"/>
      <c r="DG7" s="48"/>
      <c r="DJ7" s="138" t="s">
        <v>291</v>
      </c>
      <c r="DK7" s="109" t="str">
        <f>=IF(OR(DK5="",DK6=""),"",DATEDIF(DK5,DK6,"m")+1)</f>
        <v>158</v>
      </c>
      <c r="DL7" s="109"/>
      <c r="DN7" s="48"/>
      <c r="DQ7" s="138" t="s">
        <v>291</v>
      </c>
      <c r="DR7" s="109" t="str">
        <f>=IF(OR(DR5="",DR6=""),"",DATEDIF(DR5,DR6,"m")+1)</f>
        <v>158</v>
      </c>
      <c r="DS7" s="109"/>
      <c r="DU7" s="48"/>
    </row>
    <row r="8">
      <c r="B8" s="138" t="s">
        <v>292</v>
      </c>
      <c r="C8" s="111" t="str">
        <f>=ROUND(IFERROR(F48,0),6)</f>
        <v>158</v>
      </c>
      <c r="D8" s="111"/>
      <c r="F8" s="48"/>
      <c r="I8" s="138" t="s">
        <v>292</v>
      </c>
      <c r="J8" s="111" t="str">
        <f>=ROUND(IFERROR(M48,0),6)</f>
        <v>158</v>
      </c>
      <c r="K8" s="111"/>
      <c r="M8" s="48"/>
      <c r="P8" s="138" t="s">
        <v>292</v>
      </c>
      <c r="Q8" s="111" t="str">
        <f>=ROUND(IFERROR(T48,0),6)</f>
        <v>158</v>
      </c>
      <c r="R8" s="111"/>
      <c r="T8" s="48"/>
      <c r="W8" s="138" t="s">
        <v>292</v>
      </c>
      <c r="X8" s="111" t="str">
        <f>=ROUND(IFERROR(AA48,0),6)</f>
        <v>158</v>
      </c>
      <c r="Y8" s="111"/>
      <c r="AA8" s="48"/>
      <c r="AD8" s="138" t="s">
        <v>292</v>
      </c>
      <c r="AE8" s="111" t="str">
        <f>=ROUND(IFERROR(AH48,0),6)</f>
        <v>158</v>
      </c>
      <c r="AF8" s="111"/>
      <c r="AH8" s="48"/>
      <c r="AK8" s="138" t="s">
        <v>292</v>
      </c>
      <c r="AL8" s="111" t="str">
        <f>=ROUND(IFERROR(AO48,0),6)</f>
        <v>158</v>
      </c>
      <c r="AM8" s="111"/>
      <c r="AO8" s="48"/>
      <c r="AR8" s="138" t="s">
        <v>292</v>
      </c>
      <c r="AS8" s="111" t="str">
        <f>=ROUND(IFERROR(AV48,0),6)</f>
        <v>158</v>
      </c>
      <c r="AT8" s="111"/>
      <c r="AV8" s="48"/>
      <c r="AY8" s="138" t="s">
        <v>292</v>
      </c>
      <c r="AZ8" s="111" t="str">
        <f>=ROUND(IFERROR(BC48,0),6)</f>
        <v>158</v>
      </c>
      <c r="BA8" s="111"/>
      <c r="BC8" s="48"/>
      <c r="BF8" s="138" t="s">
        <v>292</v>
      </c>
      <c r="BG8" s="111" t="str">
        <f>=ROUND(IFERROR(BJ48,0),6)</f>
        <v>158</v>
      </c>
      <c r="BH8" s="111"/>
      <c r="BJ8" s="48"/>
      <c r="BM8" s="138" t="s">
        <v>292</v>
      </c>
      <c r="BN8" s="111" t="str">
        <f>=ROUND(IFERROR(BQ48,0),6)</f>
        <v>158</v>
      </c>
      <c r="BO8" s="111"/>
      <c r="BQ8" s="48"/>
      <c r="BT8" s="138" t="s">
        <v>292</v>
      </c>
      <c r="BU8" s="111" t="str">
        <f>=ROUND(IFERROR(BX48,0),6)</f>
        <v>158</v>
      </c>
      <c r="BV8" s="111"/>
      <c r="BX8" s="48"/>
      <c r="CA8" s="138" t="s">
        <v>292</v>
      </c>
      <c r="CB8" s="111" t="str">
        <f>=ROUND(IFERROR(CE48,0),6)</f>
        <v>158</v>
      </c>
      <c r="CC8" s="111"/>
      <c r="CE8" s="48"/>
      <c r="CH8" s="138" t="s">
        <v>292</v>
      </c>
      <c r="CI8" s="111" t="str">
        <f>=ROUND(IFERROR(CL48,0),6)</f>
        <v>158</v>
      </c>
      <c r="CJ8" s="111"/>
      <c r="CL8" s="48"/>
      <c r="CO8" s="138" t="s">
        <v>292</v>
      </c>
      <c r="CP8" s="111" t="str">
        <f>=ROUND(IFERROR(CS48,0),6)</f>
        <v>158</v>
      </c>
      <c r="CQ8" s="111"/>
      <c r="CS8" s="48"/>
      <c r="CV8" s="138" t="s">
        <v>292</v>
      </c>
      <c r="CW8" s="111" t="str">
        <f>=ROUND(IFERROR(CZ48,0),6)</f>
        <v>158</v>
      </c>
      <c r="CX8" s="111"/>
      <c r="CZ8" s="48"/>
      <c r="DC8" s="138" t="s">
        <v>292</v>
      </c>
      <c r="DD8" s="111" t="str">
        <f>=ROUND(IFERROR(DG48,0),6)</f>
        <v>158</v>
      </c>
      <c r="DE8" s="111"/>
      <c r="DG8" s="48"/>
      <c r="DJ8" s="138" t="s">
        <v>292</v>
      </c>
      <c r="DK8" s="111" t="str">
        <f>=ROUND(IFERROR(DN48,0),6)</f>
        <v>158</v>
      </c>
      <c r="DL8" s="111"/>
      <c r="DN8" s="48"/>
      <c r="DQ8" s="138" t="s">
        <v>292</v>
      </c>
      <c r="DR8" s="111" t="str">
        <f>=ROUND(IFERROR(DU48,0),6)</f>
        <v>158</v>
      </c>
      <c r="DS8" s="111"/>
      <c r="DU8" s="48"/>
    </row>
    <row r="9">
      <c r="B9" s="139" t="s">
        <v>293</v>
      </c>
      <c r="C9" s="112"/>
      <c r="D9" s="112"/>
      <c r="E9" s="112"/>
      <c r="F9" s="140"/>
      <c r="I9" s="139" t="s">
        <v>293</v>
      </c>
      <c r="J9" s="112"/>
      <c r="K9" s="112"/>
      <c r="L9" s="112"/>
      <c r="M9" s="140"/>
      <c r="P9" s="139" t="s">
        <v>293</v>
      </c>
      <c r="Q9" s="112"/>
      <c r="R9" s="112"/>
      <c r="S9" s="112"/>
      <c r="T9" s="140"/>
      <c r="W9" s="139" t="s">
        <v>293</v>
      </c>
      <c r="X9" s="112"/>
      <c r="Y9" s="112"/>
      <c r="Z9" s="112"/>
      <c r="AA9" s="140"/>
      <c r="AD9" s="139" t="s">
        <v>293</v>
      </c>
      <c r="AE9" s="112"/>
      <c r="AF9" s="112"/>
      <c r="AG9" s="112"/>
      <c r="AH9" s="140"/>
      <c r="AK9" s="139" t="s">
        <v>293</v>
      </c>
      <c r="AL9" s="112"/>
      <c r="AM9" s="112"/>
      <c r="AN9" s="112"/>
      <c r="AO9" s="140"/>
      <c r="AR9" s="139" t="s">
        <v>293</v>
      </c>
      <c r="AS9" s="112"/>
      <c r="AT9" s="112"/>
      <c r="AU9" s="112"/>
      <c r="AV9" s="140"/>
      <c r="AY9" s="139" t="s">
        <v>293</v>
      </c>
      <c r="AZ9" s="112"/>
      <c r="BA9" s="112"/>
      <c r="BB9" s="112"/>
      <c r="BC9" s="140"/>
      <c r="BF9" s="139" t="s">
        <v>293</v>
      </c>
      <c r="BG9" s="112"/>
      <c r="BH9" s="112"/>
      <c r="BI9" s="112"/>
      <c r="BJ9" s="140"/>
      <c r="BM9" s="139" t="s">
        <v>293</v>
      </c>
      <c r="BN9" s="112"/>
      <c r="BO9" s="112"/>
      <c r="BP9" s="112"/>
      <c r="BQ9" s="140"/>
      <c r="BT9" s="139" t="s">
        <v>293</v>
      </c>
      <c r="BU9" s="112"/>
      <c r="BV9" s="112"/>
      <c r="BW9" s="112"/>
      <c r="BX9" s="140"/>
      <c r="CA9" s="139" t="s">
        <v>293</v>
      </c>
      <c r="CB9" s="112"/>
      <c r="CC9" s="112"/>
      <c r="CD9" s="112"/>
      <c r="CE9" s="140"/>
      <c r="CH9" s="139" t="s">
        <v>293</v>
      </c>
      <c r="CI9" s="112"/>
      <c r="CJ9" s="112"/>
      <c r="CK9" s="112"/>
      <c r="CL9" s="140"/>
      <c r="CO9" s="139" t="s">
        <v>293</v>
      </c>
      <c r="CP9" s="112"/>
      <c r="CQ9" s="112"/>
      <c r="CR9" s="112"/>
      <c r="CS9" s="140"/>
      <c r="CV9" s="139" t="s">
        <v>293</v>
      </c>
      <c r="CW9" s="112"/>
      <c r="CX9" s="112"/>
      <c r="CY9" s="112"/>
      <c r="CZ9" s="140"/>
      <c r="DC9" s="139" t="s">
        <v>293</v>
      </c>
      <c r="DD9" s="112"/>
      <c r="DE9" s="112"/>
      <c r="DF9" s="112"/>
      <c r="DG9" s="140"/>
      <c r="DJ9" s="139" t="s">
        <v>293</v>
      </c>
      <c r="DK9" s="112"/>
      <c r="DL9" s="112"/>
      <c r="DM9" s="112"/>
      <c r="DN9" s="140"/>
      <c r="DQ9" s="139" t="s">
        <v>293</v>
      </c>
      <c r="DR9" s="112"/>
      <c r="DS9" s="112"/>
      <c r="DT9" s="112"/>
      <c r="DU9" s="140"/>
    </row>
    <row r="10">
      <c r="B10" s="141" t="s">
        <v>294</v>
      </c>
      <c r="C10" s="114" t="s">
        <v>295</v>
      </c>
      <c r="D10" s="114" t="s">
        <v>296</v>
      </c>
      <c r="E10" s="114" t="s">
        <v>297</v>
      </c>
      <c r="F10" s="142" t="s">
        <v>298</v>
      </c>
      <c r="I10" s="141" t="s">
        <v>294</v>
      </c>
      <c r="J10" s="114" t="s">
        <v>295</v>
      </c>
      <c r="K10" s="114" t="s">
        <v>296</v>
      </c>
      <c r="L10" s="114" t="s">
        <v>297</v>
      </c>
      <c r="M10" s="142" t="s">
        <v>298</v>
      </c>
      <c r="P10" s="141" t="s">
        <v>294</v>
      </c>
      <c r="Q10" s="114" t="s">
        <v>295</v>
      </c>
      <c r="R10" s="114" t="s">
        <v>296</v>
      </c>
      <c r="S10" s="114" t="s">
        <v>297</v>
      </c>
      <c r="T10" s="142" t="s">
        <v>298</v>
      </c>
      <c r="W10" s="141" t="s">
        <v>294</v>
      </c>
      <c r="X10" s="114" t="s">
        <v>295</v>
      </c>
      <c r="Y10" s="114" t="s">
        <v>296</v>
      </c>
      <c r="Z10" s="114" t="s">
        <v>297</v>
      </c>
      <c r="AA10" s="142" t="s">
        <v>298</v>
      </c>
      <c r="AD10" s="141" t="s">
        <v>294</v>
      </c>
      <c r="AE10" s="114" t="s">
        <v>295</v>
      </c>
      <c r="AF10" s="114" t="s">
        <v>296</v>
      </c>
      <c r="AG10" s="114" t="s">
        <v>297</v>
      </c>
      <c r="AH10" s="142" t="s">
        <v>298</v>
      </c>
      <c r="AK10" s="141" t="s">
        <v>294</v>
      </c>
      <c r="AL10" s="114" t="s">
        <v>295</v>
      </c>
      <c r="AM10" s="114" t="s">
        <v>296</v>
      </c>
      <c r="AN10" s="114" t="s">
        <v>297</v>
      </c>
      <c r="AO10" s="142" t="s">
        <v>298</v>
      </c>
      <c r="AR10" s="141" t="s">
        <v>294</v>
      </c>
      <c r="AS10" s="114" t="s">
        <v>295</v>
      </c>
      <c r="AT10" s="114" t="s">
        <v>296</v>
      </c>
      <c r="AU10" s="114" t="s">
        <v>297</v>
      </c>
      <c r="AV10" s="142" t="s">
        <v>298</v>
      </c>
      <c r="AY10" s="141" t="s">
        <v>294</v>
      </c>
      <c r="AZ10" s="114" t="s">
        <v>295</v>
      </c>
      <c r="BA10" s="114" t="s">
        <v>296</v>
      </c>
      <c r="BB10" s="114" t="s">
        <v>297</v>
      </c>
      <c r="BC10" s="142" t="s">
        <v>298</v>
      </c>
      <c r="BF10" s="141" t="s">
        <v>294</v>
      </c>
      <c r="BG10" s="114" t="s">
        <v>295</v>
      </c>
      <c r="BH10" s="114" t="s">
        <v>296</v>
      </c>
      <c r="BI10" s="114" t="s">
        <v>297</v>
      </c>
      <c r="BJ10" s="142" t="s">
        <v>298</v>
      </c>
      <c r="BM10" s="141" t="s">
        <v>294</v>
      </c>
      <c r="BN10" s="114" t="s">
        <v>295</v>
      </c>
      <c r="BO10" s="114" t="s">
        <v>296</v>
      </c>
      <c r="BP10" s="114" t="s">
        <v>297</v>
      </c>
      <c r="BQ10" s="142" t="s">
        <v>298</v>
      </c>
      <c r="BT10" s="141" t="s">
        <v>294</v>
      </c>
      <c r="BU10" s="114" t="s">
        <v>295</v>
      </c>
      <c r="BV10" s="114" t="s">
        <v>296</v>
      </c>
      <c r="BW10" s="114" t="s">
        <v>297</v>
      </c>
      <c r="BX10" s="142" t="s">
        <v>298</v>
      </c>
      <c r="CA10" s="141" t="s">
        <v>294</v>
      </c>
      <c r="CB10" s="114" t="s">
        <v>295</v>
      </c>
      <c r="CC10" s="114" t="s">
        <v>296</v>
      </c>
      <c r="CD10" s="114" t="s">
        <v>297</v>
      </c>
      <c r="CE10" s="142" t="s">
        <v>298</v>
      </c>
      <c r="CH10" s="141" t="s">
        <v>294</v>
      </c>
      <c r="CI10" s="114" t="s">
        <v>295</v>
      </c>
      <c r="CJ10" s="114" t="s">
        <v>296</v>
      </c>
      <c r="CK10" s="114" t="s">
        <v>297</v>
      </c>
      <c r="CL10" s="142" t="s">
        <v>298</v>
      </c>
      <c r="CO10" s="141" t="s">
        <v>294</v>
      </c>
      <c r="CP10" s="114" t="s">
        <v>295</v>
      </c>
      <c r="CQ10" s="114" t="s">
        <v>296</v>
      </c>
      <c r="CR10" s="114" t="s">
        <v>297</v>
      </c>
      <c r="CS10" s="142" t="s">
        <v>298</v>
      </c>
      <c r="CV10" s="141" t="s">
        <v>294</v>
      </c>
      <c r="CW10" s="114" t="s">
        <v>295</v>
      </c>
      <c r="CX10" s="114" t="s">
        <v>296</v>
      </c>
      <c r="CY10" s="114" t="s">
        <v>297</v>
      </c>
      <c r="CZ10" s="142" t="s">
        <v>298</v>
      </c>
      <c r="DC10" s="141" t="s">
        <v>294</v>
      </c>
      <c r="DD10" s="114" t="s">
        <v>295</v>
      </c>
      <c r="DE10" s="114" t="s">
        <v>296</v>
      </c>
      <c r="DF10" s="114" t="s">
        <v>297</v>
      </c>
      <c r="DG10" s="142" t="s">
        <v>298</v>
      </c>
      <c r="DJ10" s="141" t="s">
        <v>294</v>
      </c>
      <c r="DK10" s="114" t="s">
        <v>295</v>
      </c>
      <c r="DL10" s="114" t="s">
        <v>296</v>
      </c>
      <c r="DM10" s="114" t="s">
        <v>297</v>
      </c>
      <c r="DN10" s="142" t="s">
        <v>298</v>
      </c>
      <c r="DQ10" s="141" t="s">
        <v>294</v>
      </c>
      <c r="DR10" s="114" t="s">
        <v>295</v>
      </c>
      <c r="DS10" s="114" t="s">
        <v>296</v>
      </c>
      <c r="DT10" s="114" t="s">
        <v>297</v>
      </c>
      <c r="DU10" s="142" t="s">
        <v>298</v>
      </c>
    </row>
    <row r="11">
      <c r="B11" s="143" t="s">
        <v>299</v>
      </c>
      <c r="C11" s="116" t="str">
        <f>=ROUND(IF(Saldovortrag_LW="",0,Saldovortrag_LW),2)</f>
      </c>
      <c r="D11" s="117" t="str">
        <f>=ROUND(IF(Saldovortrag_EUR="",0,Saldovortrag_EUR),2)</f>
      </c>
      <c r="E11" s="116" t="str">
        <f>=ROUND(IF(Saldovortrag_LW="",0,Saldovortrag_LW),2)</f>
      </c>
      <c r="F11" s="144" t="str">
        <f>=ROUND(IF(Saldovortrag_EUR="",0,Saldovortrag_EUR),2)</f>
      </c>
      <c r="I11" s="143" t="s">
        <v>326</v>
      </c>
      <c r="J11" s="116" t="str">
        <f>=ROUND(FB_SaldoLC_1,2)</f>
      </c>
      <c r="K11" s="117" t="str">
        <f>=ROUND(FB_SaldoEUR_1,2)</f>
      </c>
      <c r="L11" s="116" t="str">
        <f>=ROUND(FB_SaldoLC_1,2)</f>
      </c>
      <c r="M11" s="144" t="str">
        <f>=ROUND(FB_SaldoEUR_1,2)</f>
      </c>
      <c r="P11" s="143" t="s">
        <v>326</v>
      </c>
      <c r="Q11" s="116" t="str">
        <f>=ROUND(FB_SaldoLC_2,2)</f>
      </c>
      <c r="R11" s="117" t="str">
        <f>=ROUND(FB_SaldoEUR_2,2)</f>
      </c>
      <c r="S11" s="116" t="str">
        <f>=ROUND(FB_SaldoLC_2,2)</f>
      </c>
      <c r="T11" s="144" t="str">
        <f>=ROUND(FB_SaldoEUR_2,2)</f>
      </c>
      <c r="W11" s="143" t="s">
        <v>326</v>
      </c>
      <c r="X11" s="116" t="str">
        <f>=ROUND(FB_SaldoLC_3,2)</f>
      </c>
      <c r="Y11" s="117" t="str">
        <f>=ROUND(FB_SaldoEUR_3,2)</f>
      </c>
      <c r="Z11" s="116" t="str">
        <f>=ROUND(FB_SaldoLC_3,2)</f>
      </c>
      <c r="AA11" s="144" t="str">
        <f>=ROUND(FB_SaldoEUR_3,2)</f>
      </c>
      <c r="AD11" s="143" t="s">
        <v>326</v>
      </c>
      <c r="AE11" s="116" t="str">
        <f>=ROUND(FB_SaldoLC_4,2)</f>
      </c>
      <c r="AF11" s="117" t="str">
        <f>=ROUND(FB_SaldoEUR_4,2)</f>
      </c>
      <c r="AG11" s="116" t="str">
        <f>=ROUND(FB_SaldoLC_4,2)</f>
      </c>
      <c r="AH11" s="144" t="str">
        <f>=ROUND(FB_SaldoEUR_4,2)</f>
      </c>
      <c r="AK11" s="143" t="s">
        <v>326</v>
      </c>
      <c r="AL11" s="116" t="str">
        <f>=ROUND(FB_SaldoLC_5,2)</f>
      </c>
      <c r="AM11" s="117" t="str">
        <f>=ROUND(FB_SaldoEUR_5,2)</f>
      </c>
      <c r="AN11" s="116" t="str">
        <f>=ROUND(FB_SaldoLC_5,2)</f>
      </c>
      <c r="AO11" s="144" t="str">
        <f>=ROUND(FB_SaldoEUR_5,2)</f>
      </c>
      <c r="AR11" s="143" t="s">
        <v>326</v>
      </c>
      <c r="AS11" s="116" t="str">
        <f>=ROUND(FB_SaldoLC_6,2)</f>
      </c>
      <c r="AT11" s="117" t="str">
        <f>=ROUND(FB_SaldoEUR_6,2)</f>
      </c>
      <c r="AU11" s="116" t="str">
        <f>=ROUND(FB_SaldoLC_6,2)</f>
      </c>
      <c r="AV11" s="144" t="str">
        <f>=ROUND(FB_SaldoEUR_6,2)</f>
      </c>
      <c r="AY11" s="143" t="s">
        <v>326</v>
      </c>
      <c r="AZ11" s="116" t="str">
        <f>=ROUND(FB_SaldoLC_7,2)</f>
      </c>
      <c r="BA11" s="117" t="str">
        <f>=ROUND(FB_SaldoEUR_7,2)</f>
      </c>
      <c r="BB11" s="116" t="str">
        <f>=ROUND(FB_SaldoLC_7,2)</f>
      </c>
      <c r="BC11" s="144" t="str">
        <f>=ROUND(FB_SaldoEUR_7,2)</f>
      </c>
      <c r="BF11" s="143" t="s">
        <v>326</v>
      </c>
      <c r="BG11" s="116" t="str">
        <f>=ROUND(FB_SaldoLC_8,2)</f>
      </c>
      <c r="BH11" s="117" t="str">
        <f>=ROUND(FB_SaldoEUR_8,2)</f>
      </c>
      <c r="BI11" s="116" t="str">
        <f>=ROUND(FB_SaldoLC_8,2)</f>
      </c>
      <c r="BJ11" s="144" t="str">
        <f>=ROUND(FB_SaldoEUR_8,2)</f>
      </c>
      <c r="BM11" s="143" t="s">
        <v>326</v>
      </c>
      <c r="BN11" s="116" t="str">
        <f>=ROUND(FB_SaldoLC_9,2)</f>
      </c>
      <c r="BO11" s="117" t="str">
        <f>=ROUND(FB_SaldoEUR_9,2)</f>
      </c>
      <c r="BP11" s="116" t="str">
        <f>=ROUND(FB_SaldoLC_9,2)</f>
      </c>
      <c r="BQ11" s="144" t="str">
        <f>=ROUND(FB_SaldoEUR_9,2)</f>
      </c>
      <c r="BT11" s="143" t="s">
        <v>326</v>
      </c>
      <c r="BU11" s="116" t="str">
        <f>=ROUND(FB_SaldoLC_10,2)</f>
      </c>
      <c r="BV11" s="117" t="str">
        <f>=ROUND(FB_SaldoEUR_10,2)</f>
      </c>
      <c r="BW11" s="116" t="str">
        <f>=ROUND(FB_SaldoLC_10,2)</f>
      </c>
      <c r="BX11" s="144" t="str">
        <f>=ROUND(FB_SaldoEUR_10,2)</f>
      </c>
      <c r="CA11" s="143" t="s">
        <v>326</v>
      </c>
      <c r="CB11" s="116" t="str">
        <f>=ROUND(FB_SaldoLC_11,2)</f>
      </c>
      <c r="CC11" s="117" t="str">
        <f>=ROUND(FB_SaldoEUR_11,2)</f>
      </c>
      <c r="CD11" s="116" t="str">
        <f>=ROUND(FB_SaldoLC_11,2)</f>
      </c>
      <c r="CE11" s="144" t="str">
        <f>=ROUND(FB_SaldoEUR_11,2)</f>
      </c>
      <c r="CH11" s="143" t="s">
        <v>326</v>
      </c>
      <c r="CI11" s="116" t="str">
        <f>=ROUND(FB_SaldoLC_12,2)</f>
      </c>
      <c r="CJ11" s="117" t="str">
        <f>=ROUND(FB_SaldoEUR_12,2)</f>
      </c>
      <c r="CK11" s="116" t="str">
        <f>=ROUND(FB_SaldoLC_12,2)</f>
      </c>
      <c r="CL11" s="144" t="str">
        <f>=ROUND(FB_SaldoEUR_12,2)</f>
      </c>
      <c r="CO11" s="143" t="s">
        <v>326</v>
      </c>
      <c r="CP11" s="116" t="str">
        <f>=ROUND(FB_SaldoLC_13,2)</f>
      </c>
      <c r="CQ11" s="117" t="str">
        <f>=ROUND(FB_SaldoEUR_13,2)</f>
      </c>
      <c r="CR11" s="116" t="str">
        <f>=ROUND(FB_SaldoLC_13,2)</f>
      </c>
      <c r="CS11" s="144" t="str">
        <f>=ROUND(FB_SaldoEUR_13,2)</f>
      </c>
      <c r="CV11" s="143" t="s">
        <v>326</v>
      </c>
      <c r="CW11" s="116" t="str">
        <f>=ROUND(FB_SaldoLC_14,2)</f>
      </c>
      <c r="CX11" s="117" t="str">
        <f>=ROUND(FB_SaldoEUR_14,2)</f>
      </c>
      <c r="CY11" s="116" t="str">
        <f>=ROUND(FB_SaldoLC_14,2)</f>
      </c>
      <c r="CZ11" s="144" t="str">
        <f>=ROUND(FB_SaldoEUR_14,2)</f>
      </c>
      <c r="DC11" s="143" t="s">
        <v>326</v>
      </c>
      <c r="DD11" s="116" t="str">
        <f>=ROUND(FB_SaldoLC_15,2)</f>
      </c>
      <c r="DE11" s="117" t="str">
        <f>=ROUND(FB_SaldoEUR_15,2)</f>
      </c>
      <c r="DF11" s="116" t="str">
        <f>=ROUND(FB_SaldoLC_15,2)</f>
      </c>
      <c r="DG11" s="144" t="str">
        <f>=ROUND(FB_SaldoEUR_15,2)</f>
      </c>
      <c r="DJ11" s="143" t="s">
        <v>326</v>
      </c>
      <c r="DK11" s="116" t="str">
        <f>=ROUND(FB_SaldoLC_16,2)</f>
      </c>
      <c r="DL11" s="117" t="str">
        <f>=ROUND(FB_SaldoEUR_16,2)</f>
      </c>
      <c r="DM11" s="116" t="str">
        <f>=ROUND(FB_SaldoLC_16,2)</f>
      </c>
      <c r="DN11" s="144" t="str">
        <f>=ROUND(FB_SaldoEUR_16,2)</f>
      </c>
      <c r="DQ11" s="143" t="s">
        <v>326</v>
      </c>
      <c r="DR11" s="116" t="str">
        <f>=ROUND(FB_SaldoLC_17,2)</f>
      </c>
      <c r="DS11" s="117" t="str">
        <f>=ROUND(FB_SaldoEUR_17,2)</f>
      </c>
      <c r="DT11" s="116" t="str">
        <f>=ROUND(FB_SaldoLC_17,2)</f>
      </c>
      <c r="DU11" s="144" t="str">
        <f>=ROUND(FB_SaldoEUR_17,2)</f>
      </c>
    </row>
    <row r="12">
      <c r="B12" s="143" t="s">
        <v>194</v>
      </c>
      <c r="C12" s="116" t="str">
        <f>=ROUND(SUMIF($B$43:$B$47,"Eigenmittel",$D$43:$D$47)+SUMIF($B$52:$B$57,"Eigenmittel",$D$52:$D$57),2)</f>
      </c>
      <c r="D12" s="117" t="str">
        <f>=ROUND(SUMIF($B$43:$B$47,"Eigenmittel",$E$43:$E$47)+SUMIF($B$52:$B$57,"Eigenmittel",$E$52:$E$57),2)</f>
      </c>
      <c r="E12" s="116" t="str">
        <f>=ROUND(SUMIF($B$43:$B$47,"Eigenmittel",$D$43:$D$47)+SUMIF($B$52:$B$57,"Eigenmittel",$D$52:$D$57),2)</f>
      </c>
      <c r="F12" s="144" t="str">
        <f>=ROUND(SUMIF($B$43:$B$47,"Eigenmittel",$E$43:$E$47)+SUMIF($B$52:$B$57,"Eigenmittel",$E$52:$E$57),2)</f>
      </c>
      <c r="I12" s="143" t="s">
        <v>194</v>
      </c>
      <c r="J12" s="116" t="str">
        <f>=ROUND(SUMIF($I$43:$I$47,"Eigenmittel",$K$43:$K$47)+SUMIF($I$52:$I$57,"Eigenmittel",$K$52:$K$57),2)</f>
      </c>
      <c r="K12" s="117" t="str">
        <f>=ROUND(SUMIF($I$43:$I$47,"Eigenmittel",$L$43:$L$47)+SUMIF($I$52:$I$57,"Eigenmittel",$L$52:$L$57),2)</f>
      </c>
      <c r="L12" s="116" t="str">
        <f>=IFERROR(ROUND(E12 + J12, 2), J12)</f>
      </c>
      <c r="M12" s="144" t="str">
        <f>=IFERROR(ROUND(F12 + K12, 2), K12)</f>
      </c>
      <c r="P12" s="143" t="s">
        <v>194</v>
      </c>
      <c r="Q12" s="116" t="str">
        <f>=ROUND(SUMIF($P$43:$P$47,"Eigenmittel",$R$43:$R$47)+SUMIF($P$52:$P$57,"Eigenmittel",$R$52:$R$57),2)</f>
      </c>
      <c r="R12" s="117" t="str">
        <f>=ROUND(SUMIF($P$43:$P$47,"Eigenmittel",$S$43:$S$47)+SUMIF($P$52:$P$57,"Eigenmittel",$S$52:$S$57),2)</f>
      </c>
      <c r="S12" s="116" t="str">
        <f>=IFERROR(ROUND(L12 + Q12, 2), Q12)</f>
      </c>
      <c r="T12" s="144" t="str">
        <f>=IFERROR(ROUND(M12 + R12, 2), R12)</f>
      </c>
      <c r="W12" s="143" t="s">
        <v>194</v>
      </c>
      <c r="X12" s="116" t="str">
        <f>=ROUND(SUMIF($W$43:$W$47,"Eigenmittel",$Y$43:$Y$47)+SUMIF($W$52:$W$57,"Eigenmittel",$Y$52:$Y$57),2)</f>
      </c>
      <c r="Y12" s="117" t="str">
        <f>=ROUND(SUMIF($W$43:$W$47,"Eigenmittel",$Z$43:$Z$47)+SUMIF($W$52:$W$57,"Eigenmittel",$Z$52:$Z$57),2)</f>
      </c>
      <c r="Z12" s="116" t="str">
        <f>=IFERROR(ROUND(S12 + X12, 2), X12)</f>
      </c>
      <c r="AA12" s="144" t="str">
        <f>=IFERROR(ROUND(T12 + Y12, 2), Y12)</f>
      </c>
      <c r="AD12" s="143" t="s">
        <v>194</v>
      </c>
      <c r="AE12" s="116" t="str">
        <f>=ROUND(SUMIF($AD$43:$AD$47,"Eigenmittel",$AF$43:$AF$47)+SUMIF($AD$52:$AD$57,"Eigenmittel",$AF$52:$AF$57),2)</f>
      </c>
      <c r="AF12" s="117" t="str">
        <f>=ROUND(SUMIF($AD$43:$AD$47,"Eigenmittel",$AG$43:$AG$47)+SUMIF($AD$52:$AD$57,"Eigenmittel",$AG$52:$AG$57),2)</f>
      </c>
      <c r="AG12" s="116" t="str">
        <f>=IFERROR(ROUND(Z12 + AE12, 2), AE12)</f>
      </c>
      <c r="AH12" s="144" t="str">
        <f>=IFERROR(ROUND(AA12 + AF12, 2), AF12)</f>
      </c>
      <c r="AK12" s="143" t="s">
        <v>194</v>
      </c>
      <c r="AL12" s="116" t="str">
        <f>=ROUND(SUMIF($AK$43:$AK$47,"Eigenmittel",$AM$43:$AM$47)+SUMIF($AK$52:$AK$57,"Eigenmittel",$AM$52:$AM$57),2)</f>
      </c>
      <c r="AM12" s="117" t="str">
        <f>=ROUND(SUMIF($AK$43:$AK$47,"Eigenmittel",$AN$43:$AN$47)+SUMIF($AK$52:$AK$57,"Eigenmittel",$AN$52:$AN$57),2)</f>
      </c>
      <c r="AN12" s="116" t="str">
        <f>=IFERROR(ROUND(AG12 + AL12, 2), AL12)</f>
      </c>
      <c r="AO12" s="144" t="str">
        <f>=IFERROR(ROUND(AH12 + AM12, 2), AM12)</f>
      </c>
      <c r="AR12" s="143" t="s">
        <v>194</v>
      </c>
      <c r="AS12" s="116" t="str">
        <f>=ROUND(SUMIF($AR$43:$AR$47,"Eigenmittel",$AT$43:$AT$47)+SUMIF($AR$52:$AR$57,"Eigenmittel",$AT$52:$AT$57),2)</f>
      </c>
      <c r="AT12" s="117" t="str">
        <f>=ROUND(SUMIF($AR$43:$AR$47,"Eigenmittel",$AU$43:$AU$47)+SUMIF($AR$52:$AR$57,"Eigenmittel",$AU$52:$AU$57),2)</f>
      </c>
      <c r="AU12" s="116" t="str">
        <f>=IFERROR(ROUND(AN12 + AS12, 2), AS12)</f>
      </c>
      <c r="AV12" s="144" t="str">
        <f>=IFERROR(ROUND(AO12 + AT12, 2), AT12)</f>
      </c>
      <c r="AY12" s="143" t="s">
        <v>194</v>
      </c>
      <c r="AZ12" s="116" t="str">
        <f>=ROUND(SUMIF($AY$43:$AY$47,"Eigenmittel",$BA$43:$BA$47)+SUMIF($AY$52:$AY$57,"Eigenmittel",$BA$52:$BA$57),2)</f>
      </c>
      <c r="BA12" s="117" t="str">
        <f>=ROUND(SUMIF($AY$43:$AY$47,"Eigenmittel",$BB$43:$BB$47)+SUMIF($AY$52:$AY$57,"Eigenmittel",$BB$52:$BB$57),2)</f>
      </c>
      <c r="BB12" s="116" t="str">
        <f>=IFERROR(ROUND(AU12 + AZ12, 2), AZ12)</f>
      </c>
      <c r="BC12" s="144" t="str">
        <f>=IFERROR(ROUND(AV12 + BA12, 2), BA12)</f>
      </c>
      <c r="BF12" s="143" t="s">
        <v>194</v>
      </c>
      <c r="BG12" s="116" t="str">
        <f>=ROUND(SUMIF($BF$43:$BF$47,"Eigenmittel",$BH$43:$BH$47)+SUMIF($BF$52:$BF$57,"Eigenmittel",$BH$52:$BH$57),2)</f>
      </c>
      <c r="BH12" s="117" t="str">
        <f>=ROUND(SUMIF($BF$43:$BF$47,"Eigenmittel",$BI$43:$BI$47)+SUMIF($BF$52:$BF$57,"Eigenmittel",$BI$52:$BI$57),2)</f>
      </c>
      <c r="BI12" s="116" t="str">
        <f>=IFERROR(ROUND(BB12 + BG12, 2), BG12)</f>
      </c>
      <c r="BJ12" s="144" t="str">
        <f>=IFERROR(ROUND(BC12 + BH12, 2), BH12)</f>
      </c>
      <c r="BM12" s="143" t="s">
        <v>194</v>
      </c>
      <c r="BN12" s="116" t="str">
        <f>=ROUND(SUMIF($BM$43:$BM$47,"Eigenmittel",$BO$43:$BO$47)+SUMIF($BM$52:$BM$57,"Eigenmittel",$BO$52:$BO$57),2)</f>
      </c>
      <c r="BO12" s="117" t="str">
        <f>=ROUND(SUMIF($BM$43:$BM$47,"Eigenmittel",$BP$43:$BP$47)+SUMIF($BM$52:$BM$57,"Eigenmittel",$BP$52:$BP$57),2)</f>
      </c>
      <c r="BP12" s="116" t="str">
        <f>=IFERROR(ROUND(BI12 + BN12, 2), BN12)</f>
      </c>
      <c r="BQ12" s="144" t="str">
        <f>=IFERROR(ROUND(BJ12 + BO12, 2), BO12)</f>
      </c>
      <c r="BT12" s="143" t="s">
        <v>194</v>
      </c>
      <c r="BU12" s="116" t="str">
        <f>=ROUND(SUMIF($BT$43:$BT$47,"Eigenmittel",$BV$43:$BV$47)+SUMIF($BT$52:$BT$57,"Eigenmittel",$BV$52:$BV$57),2)</f>
      </c>
      <c r="BV12" s="117" t="str">
        <f>=ROUND(SUMIF($BT$43:$BT$47,"Eigenmittel",$BW$43:$BW$47)+SUMIF($BT$52:$BT$57,"Eigenmittel",$BW$52:$BW$57),2)</f>
      </c>
      <c r="BW12" s="116" t="str">
        <f>=IFERROR(ROUND(BP12 + BU12, 2), BU12)</f>
      </c>
      <c r="BX12" s="144" t="str">
        <f>=IFERROR(ROUND(BQ12 + BV12, 2), BV12)</f>
      </c>
      <c r="CA12" s="143" t="s">
        <v>194</v>
      </c>
      <c r="CB12" s="116" t="str">
        <f>=ROUND(SUMIF($CA$43:$CA$47,"Eigenmittel",$CC$43:$CC$47)+SUMIF($CA$52:$CA$57,"Eigenmittel",$CC$52:$CC$57),2)</f>
      </c>
      <c r="CC12" s="117" t="str">
        <f>=ROUND(SUMIF($CA$43:$CA$47,"Eigenmittel",$CD$43:$CD$47)+SUMIF($CA$52:$CA$57,"Eigenmittel",$CD$52:$CD$57),2)</f>
      </c>
      <c r="CD12" s="116" t="str">
        <f>=IFERROR(ROUND(BW12 + CB12, 2), CB12)</f>
      </c>
      <c r="CE12" s="144" t="str">
        <f>=IFERROR(ROUND(BX12 + CC12, 2), CC12)</f>
      </c>
      <c r="CH12" s="143" t="s">
        <v>194</v>
      </c>
      <c r="CI12" s="116" t="str">
        <f>=ROUND(SUMIF($CH$43:$CH$47,"Eigenmittel",$CJ$43:$CJ$47)+SUMIF($CH$52:$CH$57,"Eigenmittel",$CJ$52:$CJ$57),2)</f>
      </c>
      <c r="CJ12" s="117" t="str">
        <f>=ROUND(SUMIF($CH$43:$CH$47,"Eigenmittel",$CK$43:$CK$47)+SUMIF($CH$52:$CH$57,"Eigenmittel",$CK$52:$CK$57),2)</f>
      </c>
      <c r="CK12" s="116" t="str">
        <f>=IFERROR(ROUND(CD12 + CI12, 2), CI12)</f>
      </c>
      <c r="CL12" s="144" t="str">
        <f>=IFERROR(ROUND(CE12 + CJ12, 2), CJ12)</f>
      </c>
      <c r="CO12" s="143" t="s">
        <v>194</v>
      </c>
      <c r="CP12" s="116" t="str">
        <f>=ROUND(SUMIF($CO$43:$CO$47,"Eigenmittel",$CQ$43:$CQ$47)+SUMIF($CO$52:$CO$57,"Eigenmittel",$CQ$52:$CQ$57),2)</f>
      </c>
      <c r="CQ12" s="117" t="str">
        <f>=ROUND(SUMIF($CO$43:$CO$47,"Eigenmittel",$CR$43:$CR$47)+SUMIF($CO$52:$CO$57,"Eigenmittel",$CR$52:$CR$57),2)</f>
      </c>
      <c r="CR12" s="116" t="str">
        <f>=IFERROR(ROUND(CK12 + CP12, 2), CP12)</f>
      </c>
      <c r="CS12" s="144" t="str">
        <f>=IFERROR(ROUND(CL12 + CQ12, 2), CQ12)</f>
      </c>
      <c r="CV12" s="143" t="s">
        <v>194</v>
      </c>
      <c r="CW12" s="116" t="str">
        <f>=ROUND(SUMIF($CV$43:$CV$47,"Eigenmittel",$CX$43:$CX$47)+SUMIF($CV$52:$CV$57,"Eigenmittel",$CX$52:$CX$57),2)</f>
      </c>
      <c r="CX12" s="117" t="str">
        <f>=ROUND(SUMIF($CV$43:$CV$47,"Eigenmittel",$CY$43:$CY$47)+SUMIF($CV$52:$CV$57,"Eigenmittel",$CY$52:$CY$57),2)</f>
      </c>
      <c r="CY12" s="116" t="str">
        <f>=IFERROR(ROUND(CR12 + CW12, 2), CW12)</f>
      </c>
      <c r="CZ12" s="144" t="str">
        <f>=IFERROR(ROUND(CS12 + CX12, 2), CX12)</f>
      </c>
      <c r="DC12" s="143" t="s">
        <v>194</v>
      </c>
      <c r="DD12" s="116" t="str">
        <f>=ROUND(SUMIF($DC$43:$DC$47,"Eigenmittel",$DE$43:$DE$47)+SUMIF($DC$52:$DC$57,"Eigenmittel",$DE$52:$DE$57),2)</f>
      </c>
      <c r="DE12" s="117" t="str">
        <f>=ROUND(SUMIF($DC$43:$DC$47,"Eigenmittel",$DF$43:$DF$47)+SUMIF($DC$52:$DC$57,"Eigenmittel",$DF$52:$DF$57),2)</f>
      </c>
      <c r="DF12" s="116" t="str">
        <f>=IFERROR(ROUND(CY12 + DD12, 2), DD12)</f>
      </c>
      <c r="DG12" s="144" t="str">
        <f>=IFERROR(ROUND(CZ12 + DE12, 2), DE12)</f>
      </c>
      <c r="DJ12" s="143" t="s">
        <v>194</v>
      </c>
      <c r="DK12" s="116" t="str">
        <f>=ROUND(SUMIF($DJ$43:$DJ$47,"Eigenmittel",$DL$43:$DL$47)+SUMIF($DJ$52:$DJ$57,"Eigenmittel",$DL$52:$DL$57),2)</f>
      </c>
      <c r="DL12" s="117" t="str">
        <f>=ROUND(SUMIF($DJ$43:$DJ$47,"Eigenmittel",$DM$43:$DM$47)+SUMIF($DJ$52:$DJ$57,"Eigenmittel",$DM$52:$DM$57),2)</f>
      </c>
      <c r="DM12" s="116" t="str">
        <f>=IFERROR(ROUND(DF12 + DK12, 2), DK12)</f>
      </c>
      <c r="DN12" s="144" t="str">
        <f>=IFERROR(ROUND(DG12 + DL12, 2), DL12)</f>
      </c>
      <c r="DQ12" s="143" t="s">
        <v>194</v>
      </c>
      <c r="DR12" s="116" t="str">
        <f>=ROUND(SUMIF($DQ$43:$DQ$47,"Eigenmittel",$DS$43:$DS$47)+SUMIF($DQ$52:$DQ$57,"Eigenmittel",$DS$52:$DS$57),2)</f>
      </c>
      <c r="DS12" s="117" t="str">
        <f>=ROUND(SUMIF($DQ$43:$DQ$47,"Eigenmittel",$DT$43:$DT$47)+SUMIF($DQ$52:$DQ$57,"Eigenmittel",$DT$52:$DT$57),2)</f>
      </c>
      <c r="DT12" s="116" t="str">
        <f>=IFERROR(ROUND(DM12 + DR12, 2), DR12)</f>
      </c>
      <c r="DU12" s="144" t="str">
        <f>=IFERROR(ROUND(DN12 + DS12, 2), DS12)</f>
      </c>
    </row>
    <row r="13">
      <c r="B13" s="143" t="s">
        <v>300</v>
      </c>
      <c r="C13" s="116" t="str">
        <f>=ROUND(SUMIF($B$43:$B$47,"Drittmittel",$D$43:$D$47)+SUMIF($B$52:$B$57,"Drittmittel",$D$52:$D$57),2)</f>
      </c>
      <c r="D13" s="117" t="str">
        <f>=ROUND(SUMIF($B$43:$B$47,"Drittmittel",$E$43:$E$47)+SUMIF($B$52:$B$57,"Drittmittel",$E$52:$E$57),2)</f>
      </c>
      <c r="E13" s="116" t="str">
        <f>=ROUND(SUMIF($B$43:$B$47,"Drittmittel",$D$43:$D$47)+SUMIF($B$52:$B$57,"Drittmittel",$D$52:$D$57),2)</f>
      </c>
      <c r="F13" s="144" t="str">
        <f>=ROUND(SUMIF($B$43:$B$47,"Drittmittel",$E$43:$E$47)+SUMIF($B$52:$B$57,"Drittmittel",$E$52:$E$57),2)</f>
      </c>
      <c r="I13" s="143" t="s">
        <v>300</v>
      </c>
      <c r="J13" s="116" t="str">
        <f>=ROUND(SUMIF($I$43:$I$47,"Drittmittel",$K$43:$K$47)+SUMIF($I$52:$I$57,"Drittmittel",$K$52:$K$57),2)</f>
      </c>
      <c r="K13" s="117" t="str">
        <f>=ROUND(SUMIF($I$43:$I$47,"Drittmittel",$L$43:$L$47)+SUMIF($I$52:$I$57,"Drittmittel",$L$52:$L$57),2)</f>
      </c>
      <c r="L13" s="116" t="str">
        <f>=IFERROR(ROUND(E13 + J13, 2), J13)</f>
      </c>
      <c r="M13" s="144" t="str">
        <f>=IFERROR(ROUND(F13 + K13, 2), K13)</f>
      </c>
      <c r="P13" s="143" t="s">
        <v>300</v>
      </c>
      <c r="Q13" s="116" t="str">
        <f>=ROUND(SUMIF($P$43:$P$47,"Drittmittel",$R$43:$R$47)+SUMIF($P$52:$P$57,"Drittmittel",$R$52:$R$57),2)</f>
      </c>
      <c r="R13" s="117" t="str">
        <f>=ROUND(SUMIF($P$43:$P$47,"Drittmittel",$S$43:$S$47)+SUMIF($P$52:$P$57,"Drittmittel",$S$52:$S$57),2)</f>
      </c>
      <c r="S13" s="116" t="str">
        <f>=IFERROR(ROUND(L13 + Q13, 2), Q13)</f>
      </c>
      <c r="T13" s="144" t="str">
        <f>=IFERROR(ROUND(M13 + R13, 2), R13)</f>
      </c>
      <c r="W13" s="143" t="s">
        <v>300</v>
      </c>
      <c r="X13" s="116" t="str">
        <f>=ROUND(SUMIF($W$43:$W$47,"Drittmittel",$Y$43:$Y$47)+SUMIF($W$52:$W$57,"Drittmittel",$Y$52:$Y$57),2)</f>
      </c>
      <c r="Y13" s="117" t="str">
        <f>=ROUND(SUMIF($W$43:$W$47,"Drittmittel",$Z$43:$Z$47)+SUMIF($W$52:$W$57,"Drittmittel",$Z$52:$Z$57),2)</f>
      </c>
      <c r="Z13" s="116" t="str">
        <f>=IFERROR(ROUND(S13 + X13, 2), X13)</f>
      </c>
      <c r="AA13" s="144" t="str">
        <f>=IFERROR(ROUND(T13 + Y13, 2), Y13)</f>
      </c>
      <c r="AD13" s="143" t="s">
        <v>300</v>
      </c>
      <c r="AE13" s="116" t="str">
        <f>=ROUND(SUMIF($AD$43:$AD$47,"Drittmittel",$AF$43:$AF$47)+SUMIF($AD$52:$AD$57,"Drittmittel",$AF$52:$AF$57),2)</f>
      </c>
      <c r="AF13" s="117" t="str">
        <f>=ROUND(SUMIF($AD$43:$AD$47,"Drittmittel",$AG$43:$AG$47)+SUMIF($AD$52:$AD$57,"Drittmittel",$AG$52:$AG$57),2)</f>
      </c>
      <c r="AG13" s="116" t="str">
        <f>=IFERROR(ROUND(Z13 + AE13, 2), AE13)</f>
      </c>
      <c r="AH13" s="144" t="str">
        <f>=IFERROR(ROUND(AA13 + AF13, 2), AF13)</f>
      </c>
      <c r="AK13" s="143" t="s">
        <v>300</v>
      </c>
      <c r="AL13" s="116" t="str">
        <f>=ROUND(SUMIF($AK$43:$AK$47,"Drittmittel",$AM$43:$AM$47)+SUMIF($AK$52:$AK$57,"Drittmittel",$AM$52:$AM$57),2)</f>
      </c>
      <c r="AM13" s="117" t="str">
        <f>=ROUND(SUMIF($AK$43:$AK$47,"Drittmittel",$AN$43:$AN$47)+SUMIF($AK$52:$AK$57,"Drittmittel",$AN$52:$AN$57),2)</f>
      </c>
      <c r="AN13" s="116" t="str">
        <f>=IFERROR(ROUND(AG13 + AL13, 2), AL13)</f>
      </c>
      <c r="AO13" s="144" t="str">
        <f>=IFERROR(ROUND(AH13 + AM13, 2), AM13)</f>
      </c>
      <c r="AR13" s="143" t="s">
        <v>300</v>
      </c>
      <c r="AS13" s="116" t="str">
        <f>=ROUND(SUMIF($AR$43:$AR$47,"Drittmittel",$AT$43:$AT$47)+SUMIF($AR$52:$AR$57,"Drittmittel",$AT$52:$AT$57),2)</f>
      </c>
      <c r="AT13" s="117" t="str">
        <f>=ROUND(SUMIF($AR$43:$AR$47,"Drittmittel",$AU$43:$AU$47)+SUMIF($AR$52:$AR$57,"Drittmittel",$AU$52:$AU$57),2)</f>
      </c>
      <c r="AU13" s="116" t="str">
        <f>=IFERROR(ROUND(AN13 + AS13, 2), AS13)</f>
      </c>
      <c r="AV13" s="144" t="str">
        <f>=IFERROR(ROUND(AO13 + AT13, 2), AT13)</f>
      </c>
      <c r="AY13" s="143" t="s">
        <v>300</v>
      </c>
      <c r="AZ13" s="116" t="str">
        <f>=ROUND(SUMIF($AY$43:$AY$47,"Drittmittel",$BA$43:$BA$47)+SUMIF($AY$52:$AY$57,"Drittmittel",$BA$52:$BA$57),2)</f>
      </c>
      <c r="BA13" s="117" t="str">
        <f>=ROUND(SUMIF($AY$43:$AY$47,"Drittmittel",$BB$43:$BB$47)+SUMIF($AY$52:$AY$57,"Drittmittel",$BB$52:$BB$57),2)</f>
      </c>
      <c r="BB13" s="116" t="str">
        <f>=IFERROR(ROUND(AU13 + AZ13, 2), AZ13)</f>
      </c>
      <c r="BC13" s="144" t="str">
        <f>=IFERROR(ROUND(AV13 + BA13, 2), BA13)</f>
      </c>
      <c r="BF13" s="143" t="s">
        <v>300</v>
      </c>
      <c r="BG13" s="116" t="str">
        <f>=ROUND(SUMIF($BF$43:$BF$47,"Drittmittel",$BH$43:$BH$47)+SUMIF($BF$52:$BF$57,"Drittmittel",$BH$52:$BH$57),2)</f>
      </c>
      <c r="BH13" s="117" t="str">
        <f>=ROUND(SUMIF($BF$43:$BF$47,"Drittmittel",$BI$43:$BI$47)+SUMIF($BF$52:$BF$57,"Drittmittel",$BI$52:$BI$57),2)</f>
      </c>
      <c r="BI13" s="116" t="str">
        <f>=IFERROR(ROUND(BB13 + BG13, 2), BG13)</f>
      </c>
      <c r="BJ13" s="144" t="str">
        <f>=IFERROR(ROUND(BC13 + BH13, 2), BH13)</f>
      </c>
      <c r="BM13" s="143" t="s">
        <v>300</v>
      </c>
      <c r="BN13" s="116" t="str">
        <f>=ROUND(SUMIF($BM$43:$BM$47,"Drittmittel",$BO$43:$BO$47)+SUMIF($BM$52:$BM$57,"Drittmittel",$BO$52:$BO$57),2)</f>
      </c>
      <c r="BO13" s="117" t="str">
        <f>=ROUND(SUMIF($BM$43:$BM$47,"Drittmittel",$BP$43:$BP$47)+SUMIF($BM$52:$BM$57,"Drittmittel",$BP$52:$BP$57),2)</f>
      </c>
      <c r="BP13" s="116" t="str">
        <f>=IFERROR(ROUND(BI13 + BN13, 2), BN13)</f>
      </c>
      <c r="BQ13" s="144" t="str">
        <f>=IFERROR(ROUND(BJ13 + BO13, 2), BO13)</f>
      </c>
      <c r="BT13" s="143" t="s">
        <v>300</v>
      </c>
      <c r="BU13" s="116" t="str">
        <f>=ROUND(SUMIF($BT$43:$BT$47,"Drittmittel",$BV$43:$BV$47)+SUMIF($BT$52:$BT$57,"Drittmittel",$BV$52:$BV$57),2)</f>
      </c>
      <c r="BV13" s="117" t="str">
        <f>=ROUND(SUMIF($BT$43:$BT$47,"Drittmittel",$BW$43:$BW$47)+SUMIF($BT$52:$BT$57,"Drittmittel",$BW$52:$BW$57),2)</f>
      </c>
      <c r="BW13" s="116" t="str">
        <f>=IFERROR(ROUND(BP13 + BU13, 2), BU13)</f>
      </c>
      <c r="BX13" s="144" t="str">
        <f>=IFERROR(ROUND(BQ13 + BV13, 2), BV13)</f>
      </c>
      <c r="CA13" s="143" t="s">
        <v>300</v>
      </c>
      <c r="CB13" s="116" t="str">
        <f>=ROUND(SUMIF($CA$43:$CA$47,"Drittmittel",$CC$43:$CC$47)+SUMIF($CA$52:$CA$57,"Drittmittel",$CC$52:$CC$57),2)</f>
      </c>
      <c r="CC13" s="117" t="str">
        <f>=ROUND(SUMIF($CA$43:$CA$47,"Drittmittel",$CD$43:$CD$47)+SUMIF($CA$52:$CA$57,"Drittmittel",$CD$52:$CD$57),2)</f>
      </c>
      <c r="CD13" s="116" t="str">
        <f>=IFERROR(ROUND(BW13 + CB13, 2), CB13)</f>
      </c>
      <c r="CE13" s="144" t="str">
        <f>=IFERROR(ROUND(BX13 + CC13, 2), CC13)</f>
      </c>
      <c r="CH13" s="143" t="s">
        <v>300</v>
      </c>
      <c r="CI13" s="116" t="str">
        <f>=ROUND(SUMIF($CH$43:$CH$47,"Drittmittel",$CJ$43:$CJ$47)+SUMIF($CH$52:$CH$57,"Drittmittel",$CJ$52:$CJ$57),2)</f>
      </c>
      <c r="CJ13" s="117" t="str">
        <f>=ROUND(SUMIF($CH$43:$CH$47,"Drittmittel",$CK$43:$CK$47)+SUMIF($CH$52:$CH$57,"Drittmittel",$CK$52:$CK$57),2)</f>
      </c>
      <c r="CK13" s="116" t="str">
        <f>=IFERROR(ROUND(CD13 + CI13, 2), CI13)</f>
      </c>
      <c r="CL13" s="144" t="str">
        <f>=IFERROR(ROUND(CE13 + CJ13, 2), CJ13)</f>
      </c>
      <c r="CO13" s="143" t="s">
        <v>300</v>
      </c>
      <c r="CP13" s="116" t="str">
        <f>=ROUND(SUMIF($CO$43:$CO$47,"Drittmittel",$CQ$43:$CQ$47)+SUMIF($CO$52:$CO$57,"Drittmittel",$CQ$52:$CQ$57),2)</f>
      </c>
      <c r="CQ13" s="117" t="str">
        <f>=ROUND(SUMIF($CO$43:$CO$47,"Drittmittel",$CR$43:$CR$47)+SUMIF($CO$52:$CO$57,"Drittmittel",$CR$52:$CR$57),2)</f>
      </c>
      <c r="CR13" s="116" t="str">
        <f>=IFERROR(ROUND(CK13 + CP13, 2), CP13)</f>
      </c>
      <c r="CS13" s="144" t="str">
        <f>=IFERROR(ROUND(CL13 + CQ13, 2), CQ13)</f>
      </c>
      <c r="CV13" s="143" t="s">
        <v>300</v>
      </c>
      <c r="CW13" s="116" t="str">
        <f>=ROUND(SUMIF($CV$43:$CV$47,"Drittmittel",$CX$43:$CX$47)+SUMIF($CV$52:$CV$57,"Drittmittel",$CX$52:$CX$57),2)</f>
      </c>
      <c r="CX13" s="117" t="str">
        <f>=ROUND(SUMIF($CV$43:$CV$47,"Drittmittel",$CY$43:$CY$47)+SUMIF($CV$52:$CV$57,"Drittmittel",$CY$52:$CY$57),2)</f>
      </c>
      <c r="CY13" s="116" t="str">
        <f>=IFERROR(ROUND(CR13 + CW13, 2), CW13)</f>
      </c>
      <c r="CZ13" s="144" t="str">
        <f>=IFERROR(ROUND(CS13 + CX13, 2), CX13)</f>
      </c>
      <c r="DC13" s="143" t="s">
        <v>300</v>
      </c>
      <c r="DD13" s="116" t="str">
        <f>=ROUND(SUMIF($DC$43:$DC$47,"Drittmittel",$DE$43:$DE$47)+SUMIF($DC$52:$DC$57,"Drittmittel",$DE$52:$DE$57),2)</f>
      </c>
      <c r="DE13" s="117" t="str">
        <f>=ROUND(SUMIF($DC$43:$DC$47,"Drittmittel",$DF$43:$DF$47)+SUMIF($DC$52:$DC$57,"Drittmittel",$DF$52:$DF$57),2)</f>
      </c>
      <c r="DF13" s="116" t="str">
        <f>=IFERROR(ROUND(CY13 + DD13, 2), DD13)</f>
      </c>
      <c r="DG13" s="144" t="str">
        <f>=IFERROR(ROUND(CZ13 + DE13, 2), DE13)</f>
      </c>
      <c r="DJ13" s="143" t="s">
        <v>300</v>
      </c>
      <c r="DK13" s="116" t="str">
        <f>=ROUND(SUMIF($DJ$43:$DJ$47,"Drittmittel",$DL$43:$DL$47)+SUMIF($DJ$52:$DJ$57,"Drittmittel",$DL$52:$DL$57),2)</f>
      </c>
      <c r="DL13" s="117" t="str">
        <f>=ROUND(SUMIF($DJ$43:$DJ$47,"Drittmittel",$DM$43:$DM$47)+SUMIF($DJ$52:$DJ$57,"Drittmittel",$DM$52:$DM$57),2)</f>
      </c>
      <c r="DM13" s="116" t="str">
        <f>=IFERROR(ROUND(DF13 + DK13, 2), DK13)</f>
      </c>
      <c r="DN13" s="144" t="str">
        <f>=IFERROR(ROUND(DG13 + DL13, 2), DL13)</f>
      </c>
      <c r="DQ13" s="143" t="s">
        <v>300</v>
      </c>
      <c r="DR13" s="116" t="str">
        <f>=ROUND(SUMIF($DQ$43:$DQ$47,"Drittmittel",$DS$43:$DS$47)+SUMIF($DQ$52:$DQ$57,"Drittmittel",$DS$52:$DS$57),2)</f>
      </c>
      <c r="DS13" s="117" t="str">
        <f>=ROUND(SUMIF($DQ$43:$DQ$47,"Drittmittel",$DT$43:$DT$47)+SUMIF($DQ$52:$DQ$57,"Drittmittel",$DT$52:$DT$57),2)</f>
      </c>
      <c r="DT13" s="116" t="str">
        <f>=IFERROR(ROUND(DM13 + DR13, 2), DR13)</f>
      </c>
      <c r="DU13" s="144" t="str">
        <f>=IFERROR(ROUND(DN13 + DS13, 2), DS13)</f>
      </c>
    </row>
    <row r="14">
      <c r="B14" s="143" t="s">
        <v>199</v>
      </c>
      <c r="C14" s="116" t="str">
        <f>=ROUND(SUMIF($B$43:$B$47,"KMW-Mittel",$D$43:$D$47)+SUMIF($B$52:$B$57,"KMW-Mittel",$D$52:$D$57),2)</f>
      </c>
      <c r="D14" s="117" t="str">
        <f>=ROUND(SUMIF($B$43:$B$47,"KMW-Mittel",$E$43:$E$47)+SUMIF($B$52:$B$57,"KMW-Mittel",$E$52:$E$57),2)</f>
      </c>
      <c r="E14" s="116" t="str">
        <f>=ROUND(SUMIF($B$43:$B$47,"KMW-Mittel",$D$43:$D$47)+SUMIF($B$52:$B$57,"KMW-Mittel",$D$52:$D$57),2)</f>
      </c>
      <c r="F14" s="144" t="str">
        <f>=ROUND(SUMIF($B$43:$B$47,"KMW-Mittel",$E$43:$E$47)+SUMIF($B$52:$B$57,"KMW-Mittel",$E$52:$E$57),2)</f>
      </c>
      <c r="I14" s="143" t="s">
        <v>199</v>
      </c>
      <c r="J14" s="116" t="str">
        <f>=ROUND(SUMIF($I$43:$I$47,"KMW-Mittel",$K$43:$K$47)+SUMIF($I$52:$I$57,"KMW-Mittel",$K$52:$K$57),2)</f>
      </c>
      <c r="K14" s="117" t="str">
        <f>=ROUND(SUMIF($I$43:$I$47,"KMW-Mittel",$L$43:$L$47)+SUMIF($I$52:$I$57,"KMW-Mittel",$L$52:$L$57),2)</f>
      </c>
      <c r="L14" s="116" t="str">
        <f>=IFERROR(ROUND(E14 + J14, 2), J14)</f>
      </c>
      <c r="M14" s="144" t="str">
        <f>=IFERROR(ROUND(F14 + K14, 2), K14)</f>
      </c>
      <c r="P14" s="143" t="s">
        <v>199</v>
      </c>
      <c r="Q14" s="116" t="str">
        <f>=ROUND(SUMIF($P$43:$P$47,"KMW-Mittel",$R$43:$R$47)+SUMIF($P$52:$P$57,"KMW-Mittel",$R$52:$R$57),2)</f>
      </c>
      <c r="R14" s="117" t="str">
        <f>=ROUND(SUMIF($P$43:$P$47,"KMW-Mittel",$S$43:$S$47)+SUMIF($P$52:$P$57,"KMW-Mittel",$S$52:$S$57),2)</f>
      </c>
      <c r="S14" s="116" t="str">
        <f>=IFERROR(ROUND(L14 + Q14, 2), Q14)</f>
      </c>
      <c r="T14" s="144" t="str">
        <f>=IFERROR(ROUND(M14 + R14, 2), R14)</f>
      </c>
      <c r="W14" s="143" t="s">
        <v>199</v>
      </c>
      <c r="X14" s="116" t="str">
        <f>=ROUND(SUMIF($W$43:$W$47,"KMW-Mittel",$Y$43:$Y$47)+SUMIF($W$52:$W$57,"KMW-Mittel",$Y$52:$Y$57),2)</f>
      </c>
      <c r="Y14" s="117" t="str">
        <f>=ROUND(SUMIF($W$43:$W$47,"KMW-Mittel",$Z$43:$Z$47)+SUMIF($W$52:$W$57,"KMW-Mittel",$Z$52:$Z$57),2)</f>
      </c>
      <c r="Z14" s="116" t="str">
        <f>=IFERROR(ROUND(S14 + X14, 2), X14)</f>
      </c>
      <c r="AA14" s="144" t="str">
        <f>=IFERROR(ROUND(T14 + Y14, 2), Y14)</f>
      </c>
      <c r="AD14" s="143" t="s">
        <v>199</v>
      </c>
      <c r="AE14" s="116" t="str">
        <f>=ROUND(SUMIF($AD$43:$AD$47,"KMW-Mittel",$AF$43:$AF$47)+SUMIF($AD$52:$AD$57,"KMW-Mittel",$AF$52:$AF$57),2)</f>
      </c>
      <c r="AF14" s="117" t="str">
        <f>=ROUND(SUMIF($AD$43:$AD$47,"KMW-Mittel",$AG$43:$AG$47)+SUMIF($AD$52:$AD$57,"KMW-Mittel",$AG$52:$AG$57),2)</f>
      </c>
      <c r="AG14" s="116" t="str">
        <f>=IFERROR(ROUND(Z14 + AE14, 2), AE14)</f>
      </c>
      <c r="AH14" s="144" t="str">
        <f>=IFERROR(ROUND(AA14 + AF14, 2), AF14)</f>
      </c>
      <c r="AK14" s="143" t="s">
        <v>199</v>
      </c>
      <c r="AL14" s="116" t="str">
        <f>=ROUND(SUMIF($AK$43:$AK$47,"KMW-Mittel",$AM$43:$AM$47)+SUMIF($AK$52:$AK$57,"KMW-Mittel",$AM$52:$AM$57),2)</f>
      </c>
      <c r="AM14" s="117" t="str">
        <f>=ROUND(SUMIF($AK$43:$AK$47,"KMW-Mittel",$AN$43:$AN$47)+SUMIF($AK$52:$AK$57,"KMW-Mittel",$AN$52:$AN$57),2)</f>
      </c>
      <c r="AN14" s="116" t="str">
        <f>=IFERROR(ROUND(AG14 + AL14, 2), AL14)</f>
      </c>
      <c r="AO14" s="144" t="str">
        <f>=IFERROR(ROUND(AH14 + AM14, 2), AM14)</f>
      </c>
      <c r="AR14" s="143" t="s">
        <v>199</v>
      </c>
      <c r="AS14" s="116" t="str">
        <f>=ROUND(SUMIF($AR$43:$AR$47,"KMW-Mittel",$AT$43:$AT$47)+SUMIF($AR$52:$AR$57,"KMW-Mittel",$AT$52:$AT$57),2)</f>
      </c>
      <c r="AT14" s="117" t="str">
        <f>=ROUND(SUMIF($AR$43:$AR$47,"KMW-Mittel",$AU$43:$AU$47)+SUMIF($AR$52:$AR$57,"KMW-Mittel",$AU$52:$AU$57),2)</f>
      </c>
      <c r="AU14" s="116" t="str">
        <f>=IFERROR(ROUND(AN14 + AS14, 2), AS14)</f>
      </c>
      <c r="AV14" s="144" t="str">
        <f>=IFERROR(ROUND(AO14 + AT14, 2), AT14)</f>
      </c>
      <c r="AY14" s="143" t="s">
        <v>199</v>
      </c>
      <c r="AZ14" s="116" t="str">
        <f>=ROUND(SUMIF($AY$43:$AY$47,"KMW-Mittel",$BA$43:$BA$47)+SUMIF($AY$52:$AY$57,"KMW-Mittel",$BA$52:$BA$57),2)</f>
      </c>
      <c r="BA14" s="117" t="str">
        <f>=ROUND(SUMIF($AY$43:$AY$47,"KMW-Mittel",$BB$43:$BB$47)+SUMIF($AY$52:$AY$57,"KMW-Mittel",$BB$52:$BB$57),2)</f>
      </c>
      <c r="BB14" s="116" t="str">
        <f>=IFERROR(ROUND(AU14 + AZ14, 2), AZ14)</f>
      </c>
      <c r="BC14" s="144" t="str">
        <f>=IFERROR(ROUND(AV14 + BA14, 2), BA14)</f>
      </c>
      <c r="BF14" s="143" t="s">
        <v>199</v>
      </c>
      <c r="BG14" s="116" t="str">
        <f>=ROUND(SUMIF($BF$43:$BF$47,"KMW-Mittel",$BH$43:$BH$47)+SUMIF($BF$52:$BF$57,"KMW-Mittel",$BH$52:$BH$57),2)</f>
      </c>
      <c r="BH14" s="117" t="str">
        <f>=ROUND(SUMIF($BF$43:$BF$47,"KMW-Mittel",$BI$43:$BI$47)+SUMIF($BF$52:$BF$57,"KMW-Mittel",$BI$52:$BI$57),2)</f>
      </c>
      <c r="BI14" s="116" t="str">
        <f>=IFERROR(ROUND(BB14 + BG14, 2), BG14)</f>
      </c>
      <c r="BJ14" s="144" t="str">
        <f>=IFERROR(ROUND(BC14 + BH14, 2), BH14)</f>
      </c>
      <c r="BM14" s="143" t="s">
        <v>199</v>
      </c>
      <c r="BN14" s="116" t="str">
        <f>=ROUND(SUMIF($BM$43:$BM$47,"KMW-Mittel",$BO$43:$BO$47)+SUMIF($BM$52:$BM$57,"KMW-Mittel",$BO$52:$BO$57),2)</f>
      </c>
      <c r="BO14" s="117" t="str">
        <f>=ROUND(SUMIF($BM$43:$BM$47,"KMW-Mittel",$BP$43:$BP$47)+SUMIF($BM$52:$BM$57,"KMW-Mittel",$BP$52:$BP$57),2)</f>
      </c>
      <c r="BP14" s="116" t="str">
        <f>=IFERROR(ROUND(BI14 + BN14, 2), BN14)</f>
      </c>
      <c r="BQ14" s="144" t="str">
        <f>=IFERROR(ROUND(BJ14 + BO14, 2), BO14)</f>
      </c>
      <c r="BT14" s="143" t="s">
        <v>199</v>
      </c>
      <c r="BU14" s="116" t="str">
        <f>=ROUND(SUMIF($BT$43:$BT$47,"KMW-Mittel",$BV$43:$BV$47)+SUMIF($BT$52:$BT$57,"KMW-Mittel",$BV$52:$BV$57),2)</f>
      </c>
      <c r="BV14" s="117" t="str">
        <f>=ROUND(SUMIF($BT$43:$BT$47,"KMW-Mittel",$BW$43:$BW$47)+SUMIF($BT$52:$BT$57,"KMW-Mittel",$BW$52:$BW$57),2)</f>
      </c>
      <c r="BW14" s="116" t="str">
        <f>=IFERROR(ROUND(BP14 + BU14, 2), BU14)</f>
      </c>
      <c r="BX14" s="144" t="str">
        <f>=IFERROR(ROUND(BQ14 + BV14, 2), BV14)</f>
      </c>
      <c r="CA14" s="143" t="s">
        <v>199</v>
      </c>
      <c r="CB14" s="116" t="str">
        <f>=ROUND(SUMIF($CA$43:$CA$47,"KMW-Mittel",$CC$43:$CC$47)+SUMIF($CA$52:$CA$57,"KMW-Mittel",$CC$52:$CC$57),2)</f>
      </c>
      <c r="CC14" s="117" t="str">
        <f>=ROUND(SUMIF($CA$43:$CA$47,"KMW-Mittel",$CD$43:$CD$47)+SUMIF($CA$52:$CA$57,"KMW-Mittel",$CD$52:$CD$57),2)</f>
      </c>
      <c r="CD14" s="116" t="str">
        <f>=IFERROR(ROUND(BW14 + CB14, 2), CB14)</f>
      </c>
      <c r="CE14" s="144" t="str">
        <f>=IFERROR(ROUND(BX14 + CC14, 2), CC14)</f>
      </c>
      <c r="CH14" s="143" t="s">
        <v>199</v>
      </c>
      <c r="CI14" s="116" t="str">
        <f>=ROUND(SUMIF($CH$43:$CH$47,"KMW-Mittel",$CJ$43:$CJ$47)+SUMIF($CH$52:$CH$57,"KMW-Mittel",$CJ$52:$CJ$57),2)</f>
      </c>
      <c r="CJ14" s="117" t="str">
        <f>=ROUND(SUMIF($CH$43:$CH$47,"KMW-Mittel",$CK$43:$CK$47)+SUMIF($CH$52:$CH$57,"KMW-Mittel",$CK$52:$CK$57),2)</f>
      </c>
      <c r="CK14" s="116" t="str">
        <f>=IFERROR(ROUND(CD14 + CI14, 2), CI14)</f>
      </c>
      <c r="CL14" s="144" t="str">
        <f>=IFERROR(ROUND(CE14 + CJ14, 2), CJ14)</f>
      </c>
      <c r="CO14" s="143" t="s">
        <v>199</v>
      </c>
      <c r="CP14" s="116" t="str">
        <f>=ROUND(SUMIF($CO$43:$CO$47,"KMW-Mittel",$CQ$43:$CQ$47)+SUMIF($CO$52:$CO$57,"KMW-Mittel",$CQ$52:$CQ$57),2)</f>
      </c>
      <c r="CQ14" s="117" t="str">
        <f>=ROUND(SUMIF($CO$43:$CO$47,"KMW-Mittel",$CR$43:$CR$47)+SUMIF($CO$52:$CO$57,"KMW-Mittel",$CR$52:$CR$57),2)</f>
      </c>
      <c r="CR14" s="116" t="str">
        <f>=IFERROR(ROUND(CK14 + CP14, 2), CP14)</f>
      </c>
      <c r="CS14" s="144" t="str">
        <f>=IFERROR(ROUND(CL14 + CQ14, 2), CQ14)</f>
      </c>
      <c r="CV14" s="143" t="s">
        <v>199</v>
      </c>
      <c r="CW14" s="116" t="str">
        <f>=ROUND(SUMIF($CV$43:$CV$47,"KMW-Mittel",$CX$43:$CX$47)+SUMIF($CV$52:$CV$57,"KMW-Mittel",$CX$52:$CX$57),2)</f>
      </c>
      <c r="CX14" s="117" t="str">
        <f>=ROUND(SUMIF($CV$43:$CV$47,"KMW-Mittel",$CY$43:$CY$47)+SUMIF($CV$52:$CV$57,"KMW-Mittel",$CY$52:$CY$57),2)</f>
      </c>
      <c r="CY14" s="116" t="str">
        <f>=IFERROR(ROUND(CR14 + CW14, 2), CW14)</f>
      </c>
      <c r="CZ14" s="144" t="str">
        <f>=IFERROR(ROUND(CS14 + CX14, 2), CX14)</f>
      </c>
      <c r="DC14" s="143" t="s">
        <v>199</v>
      </c>
      <c r="DD14" s="116" t="str">
        <f>=ROUND(SUMIF($DC$43:$DC$47,"KMW-Mittel",$DE$43:$DE$47)+SUMIF($DC$52:$DC$57,"KMW-Mittel",$DE$52:$DE$57),2)</f>
      </c>
      <c r="DE14" s="117" t="str">
        <f>=ROUND(SUMIF($DC$43:$DC$47,"KMW-Mittel",$DF$43:$DF$47)+SUMIF($DC$52:$DC$57,"KMW-Mittel",$DF$52:$DF$57),2)</f>
      </c>
      <c r="DF14" s="116" t="str">
        <f>=IFERROR(ROUND(CY14 + DD14, 2), DD14)</f>
      </c>
      <c r="DG14" s="144" t="str">
        <f>=IFERROR(ROUND(CZ14 + DE14, 2), DE14)</f>
      </c>
      <c r="DJ14" s="143" t="s">
        <v>199</v>
      </c>
      <c r="DK14" s="116" t="str">
        <f>=ROUND(SUMIF($DJ$43:$DJ$47,"KMW-Mittel",$DL$43:$DL$47)+SUMIF($DJ$52:$DJ$57,"KMW-Mittel",$DL$52:$DL$57),2)</f>
      </c>
      <c r="DL14" s="117" t="str">
        <f>=ROUND(SUMIF($DJ$43:$DJ$47,"KMW-Mittel",$DM$43:$DM$47)+SUMIF($DJ$52:$DJ$57,"KMW-Mittel",$DM$52:$DM$57),2)</f>
      </c>
      <c r="DM14" s="116" t="str">
        <f>=IFERROR(ROUND(DF14 + DK14, 2), DK14)</f>
      </c>
      <c r="DN14" s="144" t="str">
        <f>=IFERROR(ROUND(DG14 + DL14, 2), DL14)</f>
      </c>
      <c r="DQ14" s="143" t="s">
        <v>199</v>
      </c>
      <c r="DR14" s="116" t="str">
        <f>=ROUND(SUMIF($DQ$43:$DQ$47,"KMW-Mittel",$DS$43:$DS$47)+SUMIF($DQ$52:$DQ$57,"KMW-Mittel",$DS$52:$DS$57),2)</f>
      </c>
      <c r="DS14" s="117" t="str">
        <f>=ROUND(SUMIF($DQ$43:$DQ$47,"KMW-Mittel",$DT$43:$DT$47)+SUMIF($DQ$52:$DQ$57,"KMW-Mittel",$DT$52:$DT$57),2)</f>
      </c>
      <c r="DT14" s="116" t="str">
        <f>=IFERROR(ROUND(DM14 + DR14, 2), DR14)</f>
      </c>
      <c r="DU14" s="144" t="str">
        <f>=IFERROR(ROUND(DN14 + DS14, 2), DS14)</f>
      </c>
    </row>
    <row r="15">
      <c r="B15" s="143" t="s">
        <v>301</v>
      </c>
      <c r="C15" s="116" t="str">
        <f>=ROUND(SUMIF($B$43:$B$47,"Zinsertraege",$D$43:$D$47)+SUMIF($B$52:$B$57,"Zinsertraege",$D$52:$D$57),2)</f>
      </c>
      <c r="D15" s="117" t="str">
        <f>=ROUND(SUMIF($B$43:$B$47,"Zinsertraege",$E$43:$E$47)+SUMIF($B$52:$B$57,"Zinsertraege",$E$52:$E$57),2)</f>
      </c>
      <c r="E15" s="116" t="str">
        <f>=ROUND(SUMIF($B$43:$B$47,"Zinsertraege",$D$43:$D$47)+SUMIF($B$52:$B$57,"Zinsertraege",$D$52:$D$57),2)</f>
      </c>
      <c r="F15" s="144" t="str">
        <f>=ROUND(SUMIF($B$43:$B$47,"Zinsertraege",$E$43:$E$47)+SUMIF($B$52:$B$57,"Zinsertraege",$E$52:$E$57),2)</f>
      </c>
      <c r="I15" s="143" t="s">
        <v>301</v>
      </c>
      <c r="J15" s="116" t="str">
        <f>=ROUND(SUMIF($I$43:$I$47,"Zinsertraege",$K$43:$K$47)+SUMIF($I$52:$I$57,"Zinsertraege",$K$52:$K$57),2)</f>
      </c>
      <c r="K15" s="117" t="str">
        <f>=ROUND(SUMIF($I$43:$I$47,"Zinsertraege",$L$43:$L$47)+SUMIF($I$52:$I$57,"Zinsertraege",$L$52:$L$57),2)</f>
      </c>
      <c r="L15" s="116" t="str">
        <f>=IFERROR(ROUND(E15 + J15, 2), J15)</f>
      </c>
      <c r="M15" s="144" t="str">
        <f>=IFERROR(ROUND(F15 + K15, 2), K15)</f>
      </c>
      <c r="P15" s="143" t="s">
        <v>301</v>
      </c>
      <c r="Q15" s="116" t="str">
        <f>=ROUND(SUMIF($P$43:$P$47,"Zinsertraege",$R$43:$R$47)+SUMIF($P$52:$P$57,"Zinsertraege",$R$52:$R$57),2)</f>
      </c>
      <c r="R15" s="117" t="str">
        <f>=ROUND(SUMIF($P$43:$P$47,"Zinsertraege",$S$43:$S$47)+SUMIF($P$52:$P$57,"Zinsertraege",$S$52:$S$57),2)</f>
      </c>
      <c r="S15" s="116" t="str">
        <f>=IFERROR(ROUND(L15 + Q15, 2), Q15)</f>
      </c>
      <c r="T15" s="144" t="str">
        <f>=IFERROR(ROUND(M15 + R15, 2), R15)</f>
      </c>
      <c r="W15" s="143" t="s">
        <v>301</v>
      </c>
      <c r="X15" s="116" t="str">
        <f>=ROUND(SUMIF($W$43:$W$47,"Zinsertraege",$Y$43:$Y$47)+SUMIF($W$52:$W$57,"Zinsertraege",$Y$52:$Y$57),2)</f>
      </c>
      <c r="Y15" s="117" t="str">
        <f>=ROUND(SUMIF($W$43:$W$47,"Zinsertraege",$Z$43:$Z$47)+SUMIF($W$52:$W$57,"Zinsertraege",$Z$52:$Z$57),2)</f>
      </c>
      <c r="Z15" s="116" t="str">
        <f>=IFERROR(ROUND(S15 + X15, 2), X15)</f>
      </c>
      <c r="AA15" s="144" t="str">
        <f>=IFERROR(ROUND(T15 + Y15, 2), Y15)</f>
      </c>
      <c r="AD15" s="143" t="s">
        <v>301</v>
      </c>
      <c r="AE15" s="116" t="str">
        <f>=ROUND(SUMIF($AD$43:$AD$47,"Zinsertraege",$AF$43:$AF$47)+SUMIF($AD$52:$AD$57,"Zinsertraege",$AF$52:$AF$57),2)</f>
      </c>
      <c r="AF15" s="117" t="str">
        <f>=ROUND(SUMIF($AD$43:$AD$47,"Zinsertraege",$AG$43:$AG$47)+SUMIF($AD$52:$AD$57,"Zinsertraege",$AG$52:$AG$57),2)</f>
      </c>
      <c r="AG15" s="116" t="str">
        <f>=IFERROR(ROUND(Z15 + AE15, 2), AE15)</f>
      </c>
      <c r="AH15" s="144" t="str">
        <f>=IFERROR(ROUND(AA15 + AF15, 2), AF15)</f>
      </c>
      <c r="AK15" s="143" t="s">
        <v>301</v>
      </c>
      <c r="AL15" s="116" t="str">
        <f>=ROUND(SUMIF($AK$43:$AK$47,"Zinsertraege",$AM$43:$AM$47)+SUMIF($AK$52:$AK$57,"Zinsertraege",$AM$52:$AM$57),2)</f>
      </c>
      <c r="AM15" s="117" t="str">
        <f>=ROUND(SUMIF($AK$43:$AK$47,"Zinsertraege",$AN$43:$AN$47)+SUMIF($AK$52:$AK$57,"Zinsertraege",$AN$52:$AN$57),2)</f>
      </c>
      <c r="AN15" s="116" t="str">
        <f>=IFERROR(ROUND(AG15 + AL15, 2), AL15)</f>
      </c>
      <c r="AO15" s="144" t="str">
        <f>=IFERROR(ROUND(AH15 + AM15, 2), AM15)</f>
      </c>
      <c r="AR15" s="143" t="s">
        <v>301</v>
      </c>
      <c r="AS15" s="116" t="str">
        <f>=ROUND(SUMIF($AR$43:$AR$47,"Zinsertraege",$AT$43:$AT$47)+SUMIF($AR$52:$AR$57,"Zinsertraege",$AT$52:$AT$57),2)</f>
      </c>
      <c r="AT15" s="117" t="str">
        <f>=ROUND(SUMIF($AR$43:$AR$47,"Zinsertraege",$AU$43:$AU$47)+SUMIF($AR$52:$AR$57,"Zinsertraege",$AU$52:$AU$57),2)</f>
      </c>
      <c r="AU15" s="116" t="str">
        <f>=IFERROR(ROUND(AN15 + AS15, 2), AS15)</f>
      </c>
      <c r="AV15" s="144" t="str">
        <f>=IFERROR(ROUND(AO15 + AT15, 2), AT15)</f>
      </c>
      <c r="AY15" s="143" t="s">
        <v>301</v>
      </c>
      <c r="AZ15" s="116" t="str">
        <f>=ROUND(SUMIF($AY$43:$AY$47,"Zinsertraege",$BA$43:$BA$47)+SUMIF($AY$52:$AY$57,"Zinsertraege",$BA$52:$BA$57),2)</f>
      </c>
      <c r="BA15" s="117" t="str">
        <f>=ROUND(SUMIF($AY$43:$AY$47,"Zinsertraege",$BB$43:$BB$47)+SUMIF($AY$52:$AY$57,"Zinsertraege",$BB$52:$BB$57),2)</f>
      </c>
      <c r="BB15" s="116" t="str">
        <f>=IFERROR(ROUND(AU15 + AZ15, 2), AZ15)</f>
      </c>
      <c r="BC15" s="144" t="str">
        <f>=IFERROR(ROUND(AV15 + BA15, 2), BA15)</f>
      </c>
      <c r="BF15" s="143" t="s">
        <v>301</v>
      </c>
      <c r="BG15" s="116" t="str">
        <f>=ROUND(SUMIF($BF$43:$BF$47,"Zinsertraege",$BH$43:$BH$47)+SUMIF($BF$52:$BF$57,"Zinsertraege",$BH$52:$BH$57),2)</f>
      </c>
      <c r="BH15" s="117" t="str">
        <f>=ROUND(SUMIF($BF$43:$BF$47,"Zinsertraege",$BI$43:$BI$47)+SUMIF($BF$52:$BF$57,"Zinsertraege",$BI$52:$BI$57),2)</f>
      </c>
      <c r="BI15" s="116" t="str">
        <f>=IFERROR(ROUND(BB15 + BG15, 2), BG15)</f>
      </c>
      <c r="BJ15" s="144" t="str">
        <f>=IFERROR(ROUND(BC15 + BH15, 2), BH15)</f>
      </c>
      <c r="BM15" s="143" t="s">
        <v>301</v>
      </c>
      <c r="BN15" s="116" t="str">
        <f>=ROUND(SUMIF($BM$43:$BM$47,"Zinsertraege",$BO$43:$BO$47)+SUMIF($BM$52:$BM$57,"Zinsertraege",$BO$52:$BO$57),2)</f>
      </c>
      <c r="BO15" s="117" t="str">
        <f>=ROUND(SUMIF($BM$43:$BM$47,"Zinsertraege",$BP$43:$BP$47)+SUMIF($BM$52:$BM$57,"Zinsertraege",$BP$52:$BP$57),2)</f>
      </c>
      <c r="BP15" s="116" t="str">
        <f>=IFERROR(ROUND(BI15 + BN15, 2), BN15)</f>
      </c>
      <c r="BQ15" s="144" t="str">
        <f>=IFERROR(ROUND(BJ15 + BO15, 2), BO15)</f>
      </c>
      <c r="BT15" s="143" t="s">
        <v>301</v>
      </c>
      <c r="BU15" s="116" t="str">
        <f>=ROUND(SUMIF($BT$43:$BT$47,"Zinsertraege",$BV$43:$BV$47)+SUMIF($BT$52:$BT$57,"Zinsertraege",$BV$52:$BV$57),2)</f>
      </c>
      <c r="BV15" s="117" t="str">
        <f>=ROUND(SUMIF($BT$43:$BT$47,"Zinsertraege",$BW$43:$BW$47)+SUMIF($BT$52:$BT$57,"Zinsertraege",$BW$52:$BW$57),2)</f>
      </c>
      <c r="BW15" s="116" t="str">
        <f>=IFERROR(ROUND(BP15 + BU15, 2), BU15)</f>
      </c>
      <c r="BX15" s="144" t="str">
        <f>=IFERROR(ROUND(BQ15 + BV15, 2), BV15)</f>
      </c>
      <c r="CA15" s="143" t="s">
        <v>301</v>
      </c>
      <c r="CB15" s="116" t="str">
        <f>=ROUND(SUMIF($CA$43:$CA$47,"Zinsertraege",$CC$43:$CC$47)+SUMIF($CA$52:$CA$57,"Zinsertraege",$CC$52:$CC$57),2)</f>
      </c>
      <c r="CC15" s="117" t="str">
        <f>=ROUND(SUMIF($CA$43:$CA$47,"Zinsertraege",$CD$43:$CD$47)+SUMIF($CA$52:$CA$57,"Zinsertraege",$CD$52:$CD$57),2)</f>
      </c>
      <c r="CD15" s="116" t="str">
        <f>=IFERROR(ROUND(BW15 + CB15, 2), CB15)</f>
      </c>
      <c r="CE15" s="144" t="str">
        <f>=IFERROR(ROUND(BX15 + CC15, 2), CC15)</f>
      </c>
      <c r="CH15" s="143" t="s">
        <v>301</v>
      </c>
      <c r="CI15" s="116" t="str">
        <f>=ROUND(SUMIF($CH$43:$CH$47,"Zinsertraege",$CJ$43:$CJ$47)+SUMIF($CH$52:$CH$57,"Zinsertraege",$CJ$52:$CJ$57),2)</f>
      </c>
      <c r="CJ15" s="117" t="str">
        <f>=ROUND(SUMIF($CH$43:$CH$47,"Zinsertraege",$CK$43:$CK$47)+SUMIF($CH$52:$CH$57,"Zinsertraege",$CK$52:$CK$57),2)</f>
      </c>
      <c r="CK15" s="116" t="str">
        <f>=IFERROR(ROUND(CD15 + CI15, 2), CI15)</f>
      </c>
      <c r="CL15" s="144" t="str">
        <f>=IFERROR(ROUND(CE15 + CJ15, 2), CJ15)</f>
      </c>
      <c r="CO15" s="143" t="s">
        <v>301</v>
      </c>
      <c r="CP15" s="116" t="str">
        <f>=ROUND(SUMIF($CO$43:$CO$47,"Zinsertraege",$CQ$43:$CQ$47)+SUMIF($CO$52:$CO$57,"Zinsertraege",$CQ$52:$CQ$57),2)</f>
      </c>
      <c r="CQ15" s="117" t="str">
        <f>=ROUND(SUMIF($CO$43:$CO$47,"Zinsertraege",$CR$43:$CR$47)+SUMIF($CO$52:$CO$57,"Zinsertraege",$CR$52:$CR$57),2)</f>
      </c>
      <c r="CR15" s="116" t="str">
        <f>=IFERROR(ROUND(CK15 + CP15, 2), CP15)</f>
      </c>
      <c r="CS15" s="144" t="str">
        <f>=IFERROR(ROUND(CL15 + CQ15, 2), CQ15)</f>
      </c>
      <c r="CV15" s="143" t="s">
        <v>301</v>
      </c>
      <c r="CW15" s="116" t="str">
        <f>=ROUND(SUMIF($CV$43:$CV$47,"Zinsertraege",$CX$43:$CX$47)+SUMIF($CV$52:$CV$57,"Zinsertraege",$CX$52:$CX$57),2)</f>
      </c>
      <c r="CX15" s="117" t="str">
        <f>=ROUND(SUMIF($CV$43:$CV$47,"Zinsertraege",$CY$43:$CY$47)+SUMIF($CV$52:$CV$57,"Zinsertraege",$CY$52:$CY$57),2)</f>
      </c>
      <c r="CY15" s="116" t="str">
        <f>=IFERROR(ROUND(CR15 + CW15, 2), CW15)</f>
      </c>
      <c r="CZ15" s="144" t="str">
        <f>=IFERROR(ROUND(CS15 + CX15, 2), CX15)</f>
      </c>
      <c r="DC15" s="143" t="s">
        <v>301</v>
      </c>
      <c r="DD15" s="116" t="str">
        <f>=ROUND(SUMIF($DC$43:$DC$47,"Zinsertraege",$DE$43:$DE$47)+SUMIF($DC$52:$DC$57,"Zinsertraege",$DE$52:$DE$57),2)</f>
      </c>
      <c r="DE15" s="117" t="str">
        <f>=ROUND(SUMIF($DC$43:$DC$47,"Zinsertraege",$DF$43:$DF$47)+SUMIF($DC$52:$DC$57,"Zinsertraege",$DF$52:$DF$57),2)</f>
      </c>
      <c r="DF15" s="116" t="str">
        <f>=IFERROR(ROUND(CY15 + DD15, 2), DD15)</f>
      </c>
      <c r="DG15" s="144" t="str">
        <f>=IFERROR(ROUND(CZ15 + DE15, 2), DE15)</f>
      </c>
      <c r="DJ15" s="143" t="s">
        <v>301</v>
      </c>
      <c r="DK15" s="116" t="str">
        <f>=ROUND(SUMIF($DJ$43:$DJ$47,"Zinsertraege",$DL$43:$DL$47)+SUMIF($DJ$52:$DJ$57,"Zinsertraege",$DL$52:$DL$57),2)</f>
      </c>
      <c r="DL15" s="117" t="str">
        <f>=ROUND(SUMIF($DJ$43:$DJ$47,"Zinsertraege",$DM$43:$DM$47)+SUMIF($DJ$52:$DJ$57,"Zinsertraege",$DM$52:$DM$57),2)</f>
      </c>
      <c r="DM15" s="116" t="str">
        <f>=IFERROR(ROUND(DF15 + DK15, 2), DK15)</f>
      </c>
      <c r="DN15" s="144" t="str">
        <f>=IFERROR(ROUND(DG15 + DL15, 2), DL15)</f>
      </c>
      <c r="DQ15" s="143" t="s">
        <v>301</v>
      </c>
      <c r="DR15" s="116" t="str">
        <f>=ROUND(SUMIF($DQ$43:$DQ$47,"Zinsertraege",$DS$43:$DS$47)+SUMIF($DQ$52:$DQ$57,"Zinsertraege",$DS$52:$DS$57),2)</f>
      </c>
      <c r="DS15" s="117" t="str">
        <f>=ROUND(SUMIF($DQ$43:$DQ$47,"Zinsertraege",$DT$43:$DT$47)+SUMIF($DQ$52:$DQ$57,"Zinsertraege",$DT$52:$DT$57),2)</f>
      </c>
      <c r="DT15" s="116" t="str">
        <f>=IFERROR(ROUND(DM15 + DR15, 2), DR15)</f>
      </c>
      <c r="DU15" s="144" t="str">
        <f>=IFERROR(ROUND(DN15 + DS15, 2), DS15)</f>
      </c>
    </row>
    <row r="16">
      <c r="B16" s="145" t="s">
        <v>302</v>
      </c>
      <c r="C16" s="119" t="str">
        <f>=ROUND(SUM(C11:C15),2)</f>
      </c>
      <c r="D16" s="120" t="str">
        <f>=ROUND(SUM(D11:D15),2)</f>
      </c>
      <c r="E16" s="119" t="str">
        <f>=ROUND(SUM(E11:E15),2)</f>
      </c>
      <c r="F16" s="146" t="str">
        <f>=ROUND(SUM(F11:F15),2)</f>
      </c>
      <c r="I16" s="145" t="s">
        <v>302</v>
      </c>
      <c r="J16" s="119" t="str">
        <f>=ROUND(SUM(J11:J15),2)</f>
      </c>
      <c r="K16" s="120" t="str">
        <f>=ROUND(SUM(K11:K15),2)</f>
      </c>
      <c r="L16" s="119" t="str">
        <f>=ROUND(SUM(L11:L15),2)</f>
      </c>
      <c r="M16" s="146" t="str">
        <f>=ROUND(SUM(M11:M15),2)</f>
      </c>
      <c r="P16" s="145" t="s">
        <v>302</v>
      </c>
      <c r="Q16" s="119" t="str">
        <f>=ROUND(SUM(Q11:Q15),2)</f>
      </c>
      <c r="R16" s="120" t="str">
        <f>=ROUND(SUM(R11:R15),2)</f>
      </c>
      <c r="S16" s="119" t="str">
        <f>=ROUND(SUM(S11:S15),2)</f>
      </c>
      <c r="T16" s="146" t="str">
        <f>=ROUND(SUM(T11:T15),2)</f>
      </c>
      <c r="W16" s="145" t="s">
        <v>302</v>
      </c>
      <c r="X16" s="119" t="str">
        <f>=ROUND(SUM(X11:X15),2)</f>
      </c>
      <c r="Y16" s="120" t="str">
        <f>=ROUND(SUM(Y11:Y15),2)</f>
      </c>
      <c r="Z16" s="119" t="str">
        <f>=ROUND(SUM(Z11:Z15),2)</f>
      </c>
      <c r="AA16" s="146" t="str">
        <f>=ROUND(SUM(AA11:AA15),2)</f>
      </c>
      <c r="AD16" s="145" t="s">
        <v>302</v>
      </c>
      <c r="AE16" s="119" t="str">
        <f>=ROUND(SUM(AE11:AE15),2)</f>
      </c>
      <c r="AF16" s="120" t="str">
        <f>=ROUND(SUM(AF11:AF15),2)</f>
      </c>
      <c r="AG16" s="119" t="str">
        <f>=ROUND(SUM(AG11:AG15),2)</f>
      </c>
      <c r="AH16" s="146" t="str">
        <f>=ROUND(SUM(AH11:AH15),2)</f>
      </c>
      <c r="AK16" s="145" t="s">
        <v>302</v>
      </c>
      <c r="AL16" s="119" t="str">
        <f>=ROUND(SUM(AL11:AL15),2)</f>
      </c>
      <c r="AM16" s="120" t="str">
        <f>=ROUND(SUM(AM11:AM15),2)</f>
      </c>
      <c r="AN16" s="119" t="str">
        <f>=ROUND(SUM(AN11:AN15),2)</f>
      </c>
      <c r="AO16" s="146" t="str">
        <f>=ROUND(SUM(AO11:AO15),2)</f>
      </c>
      <c r="AR16" s="145" t="s">
        <v>302</v>
      </c>
      <c r="AS16" s="119" t="str">
        <f>=ROUND(SUM(AS11:AS15),2)</f>
      </c>
      <c r="AT16" s="120" t="str">
        <f>=ROUND(SUM(AT11:AT15),2)</f>
      </c>
      <c r="AU16" s="119" t="str">
        <f>=ROUND(SUM(AU11:AU15),2)</f>
      </c>
      <c r="AV16" s="146" t="str">
        <f>=ROUND(SUM(AV11:AV15),2)</f>
      </c>
      <c r="AY16" s="145" t="s">
        <v>302</v>
      </c>
      <c r="AZ16" s="119" t="str">
        <f>=ROUND(SUM(AZ11:AZ15),2)</f>
      </c>
      <c r="BA16" s="120" t="str">
        <f>=ROUND(SUM(BA11:BA15),2)</f>
      </c>
      <c r="BB16" s="119" t="str">
        <f>=ROUND(SUM(BB11:BB15),2)</f>
      </c>
      <c r="BC16" s="146" t="str">
        <f>=ROUND(SUM(BC11:BC15),2)</f>
      </c>
      <c r="BF16" s="145" t="s">
        <v>302</v>
      </c>
      <c r="BG16" s="119" t="str">
        <f>=ROUND(SUM(BG11:BG15),2)</f>
      </c>
      <c r="BH16" s="120" t="str">
        <f>=ROUND(SUM(BH11:BH15),2)</f>
      </c>
      <c r="BI16" s="119" t="str">
        <f>=ROUND(SUM(BI11:BI15),2)</f>
      </c>
      <c r="BJ16" s="146" t="str">
        <f>=ROUND(SUM(BJ11:BJ15),2)</f>
      </c>
      <c r="BM16" s="145" t="s">
        <v>302</v>
      </c>
      <c r="BN16" s="119" t="str">
        <f>=ROUND(SUM(BN11:BN15),2)</f>
      </c>
      <c r="BO16" s="120" t="str">
        <f>=ROUND(SUM(BO11:BO15),2)</f>
      </c>
      <c r="BP16" s="119" t="str">
        <f>=ROUND(SUM(BP11:BP15),2)</f>
      </c>
      <c r="BQ16" s="146" t="str">
        <f>=ROUND(SUM(BQ11:BQ15),2)</f>
      </c>
      <c r="BT16" s="145" t="s">
        <v>302</v>
      </c>
      <c r="BU16" s="119" t="str">
        <f>=ROUND(SUM(BU11:BU15),2)</f>
      </c>
      <c r="BV16" s="120" t="str">
        <f>=ROUND(SUM(BV11:BV15),2)</f>
      </c>
      <c r="BW16" s="119" t="str">
        <f>=ROUND(SUM(BW11:BW15),2)</f>
      </c>
      <c r="BX16" s="146" t="str">
        <f>=ROUND(SUM(BX11:BX15),2)</f>
      </c>
      <c r="CA16" s="145" t="s">
        <v>302</v>
      </c>
      <c r="CB16" s="119" t="str">
        <f>=ROUND(SUM(CB11:CB15),2)</f>
      </c>
      <c r="CC16" s="120" t="str">
        <f>=ROUND(SUM(CC11:CC15),2)</f>
      </c>
      <c r="CD16" s="119" t="str">
        <f>=ROUND(SUM(CD11:CD15),2)</f>
      </c>
      <c r="CE16" s="146" t="str">
        <f>=ROUND(SUM(CE11:CE15),2)</f>
      </c>
      <c r="CH16" s="145" t="s">
        <v>302</v>
      </c>
      <c r="CI16" s="119" t="str">
        <f>=ROUND(SUM(CI11:CI15),2)</f>
      </c>
      <c r="CJ16" s="120" t="str">
        <f>=ROUND(SUM(CJ11:CJ15),2)</f>
      </c>
      <c r="CK16" s="119" t="str">
        <f>=ROUND(SUM(CK11:CK15),2)</f>
      </c>
      <c r="CL16" s="146" t="str">
        <f>=ROUND(SUM(CL11:CL15),2)</f>
      </c>
      <c r="CO16" s="145" t="s">
        <v>302</v>
      </c>
      <c r="CP16" s="119" t="str">
        <f>=ROUND(SUM(CP11:CP15),2)</f>
      </c>
      <c r="CQ16" s="120" t="str">
        <f>=ROUND(SUM(CQ11:CQ15),2)</f>
      </c>
      <c r="CR16" s="119" t="str">
        <f>=ROUND(SUM(CR11:CR15),2)</f>
      </c>
      <c r="CS16" s="146" t="str">
        <f>=ROUND(SUM(CS11:CS15),2)</f>
      </c>
      <c r="CV16" s="145" t="s">
        <v>302</v>
      </c>
      <c r="CW16" s="119" t="str">
        <f>=ROUND(SUM(CW11:CW15),2)</f>
      </c>
      <c r="CX16" s="120" t="str">
        <f>=ROUND(SUM(CX11:CX15),2)</f>
      </c>
      <c r="CY16" s="119" t="str">
        <f>=ROUND(SUM(CY11:CY15),2)</f>
      </c>
      <c r="CZ16" s="146" t="str">
        <f>=ROUND(SUM(CZ11:CZ15),2)</f>
      </c>
      <c r="DC16" s="145" t="s">
        <v>302</v>
      </c>
      <c r="DD16" s="119" t="str">
        <f>=ROUND(SUM(DD11:DD15),2)</f>
      </c>
      <c r="DE16" s="120" t="str">
        <f>=ROUND(SUM(DE11:DE15),2)</f>
      </c>
      <c r="DF16" s="119" t="str">
        <f>=ROUND(SUM(DF11:DF15),2)</f>
      </c>
      <c r="DG16" s="146" t="str">
        <f>=ROUND(SUM(DG11:DG15),2)</f>
      </c>
      <c r="DJ16" s="145" t="s">
        <v>302</v>
      </c>
      <c r="DK16" s="119" t="str">
        <f>=ROUND(SUM(DK11:DK15),2)</f>
      </c>
      <c r="DL16" s="120" t="str">
        <f>=ROUND(SUM(DL11:DL15),2)</f>
      </c>
      <c r="DM16" s="119" t="str">
        <f>=ROUND(SUM(DM11:DM15),2)</f>
      </c>
      <c r="DN16" s="146" t="str">
        <f>=ROUND(SUM(DN11:DN15),2)</f>
      </c>
      <c r="DQ16" s="145" t="s">
        <v>302</v>
      </c>
      <c r="DR16" s="119" t="str">
        <f>=ROUND(SUM(DR11:DR15),2)</f>
      </c>
      <c r="DS16" s="120" t="str">
        <f>=ROUND(SUM(DS11:DS15),2)</f>
      </c>
      <c r="DT16" s="119" t="str">
        <f>=ROUND(SUM(DT11:DT15),2)</f>
      </c>
      <c r="DU16" s="146" t="str">
        <f>=ROUND(SUM(DU11:DU15),2)</f>
      </c>
    </row>
    <row r="17">
      <c r="B17" s="139" t="s">
        <v>303</v>
      </c>
      <c r="C17" s="112"/>
      <c r="D17" s="112"/>
      <c r="E17" s="112"/>
      <c r="F17" s="140"/>
      <c r="I17" s="139" t="s">
        <v>303</v>
      </c>
      <c r="J17" s="112"/>
      <c r="K17" s="112"/>
      <c r="L17" s="112"/>
      <c r="M17" s="140"/>
      <c r="P17" s="139" t="s">
        <v>303</v>
      </c>
      <c r="Q17" s="112"/>
      <c r="R17" s="112"/>
      <c r="S17" s="112"/>
      <c r="T17" s="140"/>
      <c r="W17" s="139" t="s">
        <v>303</v>
      </c>
      <c r="X17" s="112"/>
      <c r="Y17" s="112"/>
      <c r="Z17" s="112"/>
      <c r="AA17" s="140"/>
      <c r="AD17" s="139" t="s">
        <v>303</v>
      </c>
      <c r="AE17" s="112"/>
      <c r="AF17" s="112"/>
      <c r="AG17" s="112"/>
      <c r="AH17" s="140"/>
      <c r="AK17" s="139" t="s">
        <v>303</v>
      </c>
      <c r="AL17" s="112"/>
      <c r="AM17" s="112"/>
      <c r="AN17" s="112"/>
      <c r="AO17" s="140"/>
      <c r="AR17" s="139" t="s">
        <v>303</v>
      </c>
      <c r="AS17" s="112"/>
      <c r="AT17" s="112"/>
      <c r="AU17" s="112"/>
      <c r="AV17" s="140"/>
      <c r="AY17" s="139" t="s">
        <v>303</v>
      </c>
      <c r="AZ17" s="112"/>
      <c r="BA17" s="112"/>
      <c r="BB17" s="112"/>
      <c r="BC17" s="140"/>
      <c r="BF17" s="139" t="s">
        <v>303</v>
      </c>
      <c r="BG17" s="112"/>
      <c r="BH17" s="112"/>
      <c r="BI17" s="112"/>
      <c r="BJ17" s="140"/>
      <c r="BM17" s="139" t="s">
        <v>303</v>
      </c>
      <c r="BN17" s="112"/>
      <c r="BO17" s="112"/>
      <c r="BP17" s="112"/>
      <c r="BQ17" s="140"/>
      <c r="BT17" s="139" t="s">
        <v>303</v>
      </c>
      <c r="BU17" s="112"/>
      <c r="BV17" s="112"/>
      <c r="BW17" s="112"/>
      <c r="BX17" s="140"/>
      <c r="CA17" s="139" t="s">
        <v>303</v>
      </c>
      <c r="CB17" s="112"/>
      <c r="CC17" s="112"/>
      <c r="CD17" s="112"/>
      <c r="CE17" s="140"/>
      <c r="CH17" s="139" t="s">
        <v>303</v>
      </c>
      <c r="CI17" s="112"/>
      <c r="CJ17" s="112"/>
      <c r="CK17" s="112"/>
      <c r="CL17" s="140"/>
      <c r="CO17" s="139" t="s">
        <v>303</v>
      </c>
      <c r="CP17" s="112"/>
      <c r="CQ17" s="112"/>
      <c r="CR17" s="112"/>
      <c r="CS17" s="140"/>
      <c r="CV17" s="139" t="s">
        <v>303</v>
      </c>
      <c r="CW17" s="112"/>
      <c r="CX17" s="112"/>
      <c r="CY17" s="112"/>
      <c r="CZ17" s="140"/>
      <c r="DC17" s="139" t="s">
        <v>303</v>
      </c>
      <c r="DD17" s="112"/>
      <c r="DE17" s="112"/>
      <c r="DF17" s="112"/>
      <c r="DG17" s="140"/>
      <c r="DJ17" s="139" t="s">
        <v>303</v>
      </c>
      <c r="DK17" s="112"/>
      <c r="DL17" s="112"/>
      <c r="DM17" s="112"/>
      <c r="DN17" s="140"/>
      <c r="DQ17" s="139" t="s">
        <v>303</v>
      </c>
      <c r="DR17" s="112"/>
      <c r="DS17" s="112"/>
      <c r="DT17" s="112"/>
      <c r="DU17" s="140"/>
    </row>
    <row r="18">
      <c r="B18" s="147" t="s">
        <v>203</v>
      </c>
      <c r="C18" s="121" t="s">
        <v>304</v>
      </c>
      <c r="D18" s="121" t="s">
        <v>305</v>
      </c>
      <c r="E18" s="121" t="s">
        <v>306</v>
      </c>
      <c r="F18" s="148" t="s">
        <v>307</v>
      </c>
      <c r="I18" s="147" t="s">
        <v>203</v>
      </c>
      <c r="J18" s="121" t="s">
        <v>304</v>
      </c>
      <c r="K18" s="121" t="s">
        <v>305</v>
      </c>
      <c r="L18" s="121" t="s">
        <v>306</v>
      </c>
      <c r="M18" s="148" t="s">
        <v>307</v>
      </c>
      <c r="P18" s="147" t="s">
        <v>203</v>
      </c>
      <c r="Q18" s="121" t="s">
        <v>304</v>
      </c>
      <c r="R18" s="121" t="s">
        <v>305</v>
      </c>
      <c r="S18" s="121" t="s">
        <v>306</v>
      </c>
      <c r="T18" s="148" t="s">
        <v>307</v>
      </c>
      <c r="W18" s="147" t="s">
        <v>203</v>
      </c>
      <c r="X18" s="121" t="s">
        <v>304</v>
      </c>
      <c r="Y18" s="121" t="s">
        <v>305</v>
      </c>
      <c r="Z18" s="121" t="s">
        <v>306</v>
      </c>
      <c r="AA18" s="148" t="s">
        <v>307</v>
      </c>
      <c r="AD18" s="147" t="s">
        <v>203</v>
      </c>
      <c r="AE18" s="121" t="s">
        <v>304</v>
      </c>
      <c r="AF18" s="121" t="s">
        <v>305</v>
      </c>
      <c r="AG18" s="121" t="s">
        <v>306</v>
      </c>
      <c r="AH18" s="148" t="s">
        <v>307</v>
      </c>
      <c r="AK18" s="147" t="s">
        <v>203</v>
      </c>
      <c r="AL18" s="121" t="s">
        <v>304</v>
      </c>
      <c r="AM18" s="121" t="s">
        <v>305</v>
      </c>
      <c r="AN18" s="121" t="s">
        <v>306</v>
      </c>
      <c r="AO18" s="148" t="s">
        <v>307</v>
      </c>
      <c r="AR18" s="147" t="s">
        <v>203</v>
      </c>
      <c r="AS18" s="121" t="s">
        <v>304</v>
      </c>
      <c r="AT18" s="121" t="s">
        <v>305</v>
      </c>
      <c r="AU18" s="121" t="s">
        <v>306</v>
      </c>
      <c r="AV18" s="148" t="s">
        <v>307</v>
      </c>
      <c r="AY18" s="147" t="s">
        <v>203</v>
      </c>
      <c r="AZ18" s="121" t="s">
        <v>304</v>
      </c>
      <c r="BA18" s="121" t="s">
        <v>305</v>
      </c>
      <c r="BB18" s="121" t="s">
        <v>306</v>
      </c>
      <c r="BC18" s="148" t="s">
        <v>307</v>
      </c>
      <c r="BF18" s="147" t="s">
        <v>203</v>
      </c>
      <c r="BG18" s="121" t="s">
        <v>304</v>
      </c>
      <c r="BH18" s="121" t="s">
        <v>305</v>
      </c>
      <c r="BI18" s="121" t="s">
        <v>306</v>
      </c>
      <c r="BJ18" s="148" t="s">
        <v>307</v>
      </c>
      <c r="BM18" s="147" t="s">
        <v>203</v>
      </c>
      <c r="BN18" s="121" t="s">
        <v>304</v>
      </c>
      <c r="BO18" s="121" t="s">
        <v>305</v>
      </c>
      <c r="BP18" s="121" t="s">
        <v>306</v>
      </c>
      <c r="BQ18" s="148" t="s">
        <v>307</v>
      </c>
      <c r="BT18" s="147" t="s">
        <v>203</v>
      </c>
      <c r="BU18" s="121" t="s">
        <v>304</v>
      </c>
      <c r="BV18" s="121" t="s">
        <v>305</v>
      </c>
      <c r="BW18" s="121" t="s">
        <v>306</v>
      </c>
      <c r="BX18" s="148" t="s">
        <v>307</v>
      </c>
      <c r="CA18" s="147" t="s">
        <v>203</v>
      </c>
      <c r="CB18" s="121" t="s">
        <v>304</v>
      </c>
      <c r="CC18" s="121" t="s">
        <v>305</v>
      </c>
      <c r="CD18" s="121" t="s">
        <v>306</v>
      </c>
      <c r="CE18" s="148" t="s">
        <v>307</v>
      </c>
      <c r="CH18" s="147" t="s">
        <v>203</v>
      </c>
      <c r="CI18" s="121" t="s">
        <v>304</v>
      </c>
      <c r="CJ18" s="121" t="s">
        <v>305</v>
      </c>
      <c r="CK18" s="121" t="s">
        <v>306</v>
      </c>
      <c r="CL18" s="148" t="s">
        <v>307</v>
      </c>
      <c r="CO18" s="147" t="s">
        <v>203</v>
      </c>
      <c r="CP18" s="121" t="s">
        <v>304</v>
      </c>
      <c r="CQ18" s="121" t="s">
        <v>305</v>
      </c>
      <c r="CR18" s="121" t="s">
        <v>306</v>
      </c>
      <c r="CS18" s="148" t="s">
        <v>307</v>
      </c>
      <c r="CV18" s="147" t="s">
        <v>203</v>
      </c>
      <c r="CW18" s="121" t="s">
        <v>304</v>
      </c>
      <c r="CX18" s="121" t="s">
        <v>305</v>
      </c>
      <c r="CY18" s="121" t="s">
        <v>306</v>
      </c>
      <c r="CZ18" s="148" t="s">
        <v>307</v>
      </c>
      <c r="DC18" s="147" t="s">
        <v>203</v>
      </c>
      <c r="DD18" s="121" t="s">
        <v>304</v>
      </c>
      <c r="DE18" s="121" t="s">
        <v>305</v>
      </c>
      <c r="DF18" s="121" t="s">
        <v>306</v>
      </c>
      <c r="DG18" s="148" t="s">
        <v>307</v>
      </c>
      <c r="DJ18" s="147" t="s">
        <v>203</v>
      </c>
      <c r="DK18" s="121" t="s">
        <v>304</v>
      </c>
      <c r="DL18" s="121" t="s">
        <v>305</v>
      </c>
      <c r="DM18" s="121" t="s">
        <v>306</v>
      </c>
      <c r="DN18" s="148" t="s">
        <v>307</v>
      </c>
      <c r="DQ18" s="147" t="s">
        <v>203</v>
      </c>
      <c r="DR18" s="121" t="s">
        <v>304</v>
      </c>
      <c r="DS18" s="121" t="s">
        <v>305</v>
      </c>
      <c r="DT18" s="121" t="s">
        <v>306</v>
      </c>
      <c r="DU18" s="148" t="s">
        <v>307</v>
      </c>
    </row>
    <row r="19">
      <c r="B19" s="149" t="s">
        <v>206</v>
      </c>
      <c r="C19" s="24">
        <v>600000</v>
      </c>
      <c r="D19" s="117" t="str">
        <f>=IFERROR(ROUND(C19/FB_Kurs_1,2),0)</f>
      </c>
      <c r="E19" s="116" t="str">
        <f>=ROUND(C19,2)</f>
      </c>
      <c r="F19" s="144" t="str">
        <f>=ROUND(D19,2)</f>
      </c>
      <c r="I19" s="149" t="s">
        <v>206</v>
      </c>
      <c r="J19" s="24">
        <v>400000</v>
      </c>
      <c r="K19" s="117" t="str">
        <f>=IFERROR(ROUND(J19/FB_Kurs_2,2),0)</f>
      </c>
      <c r="L19" s="116" t="str">
        <f>=ROUND(J19+E19,2)</f>
      </c>
      <c r="M19" s="144" t="str">
        <f>=ROUND(K19+F19,2)</f>
      </c>
      <c r="P19" s="149" t="s">
        <v>206</v>
      </c>
      <c r="Q19" s="24"/>
      <c r="R19" s="117" t="str">
        <f>=IFERROR(ROUND(Q19/FB_Kurs_3,2),0)</f>
      </c>
      <c r="S19" s="116" t="str">
        <f>=ROUND(Q19+L19,2)</f>
      </c>
      <c r="T19" s="144" t="str">
        <f>=ROUND(R19+M19,2)</f>
      </c>
      <c r="W19" s="149" t="s">
        <v>206</v>
      </c>
      <c r="X19" s="24"/>
      <c r="Y19" s="117" t="str">
        <f>=IFERROR(ROUND(X19/FB_Kurs_4,2),0)</f>
      </c>
      <c r="Z19" s="116" t="str">
        <f>=ROUND(X19+S19,2)</f>
      </c>
      <c r="AA19" s="144" t="str">
        <f>=ROUND(Y19+T19,2)</f>
      </c>
      <c r="AD19" s="149" t="s">
        <v>206</v>
      </c>
      <c r="AE19" s="24"/>
      <c r="AF19" s="117" t="str">
        <f>=IFERROR(ROUND(AE19/FB_Kurs_5,2),0)</f>
      </c>
      <c r="AG19" s="116" t="str">
        <f>=ROUND(AE19+Z19,2)</f>
      </c>
      <c r="AH19" s="144" t="str">
        <f>=ROUND(AF19+AA19,2)</f>
      </c>
      <c r="AK19" s="149" t="s">
        <v>206</v>
      </c>
      <c r="AL19" s="24"/>
      <c r="AM19" s="117" t="str">
        <f>=IFERROR(ROUND(AL19/FB_Kurs_6,2),0)</f>
      </c>
      <c r="AN19" s="116" t="str">
        <f>=ROUND(AL19+AG19,2)</f>
      </c>
      <c r="AO19" s="144" t="str">
        <f>=ROUND(AM19+AH19,2)</f>
      </c>
      <c r="AR19" s="149" t="s">
        <v>206</v>
      </c>
      <c r="AS19" s="24"/>
      <c r="AT19" s="117" t="str">
        <f>=IFERROR(ROUND(AS19/FB_Kurs_7,2),0)</f>
      </c>
      <c r="AU19" s="116" t="str">
        <f>=ROUND(AS19+AN19,2)</f>
      </c>
      <c r="AV19" s="144" t="str">
        <f>=ROUND(AT19+AO19,2)</f>
      </c>
      <c r="AY19" s="149" t="s">
        <v>206</v>
      </c>
      <c r="AZ19" s="24"/>
      <c r="BA19" s="117" t="str">
        <f>=IFERROR(ROUND(AZ19/FB_Kurs_8,2),0)</f>
      </c>
      <c r="BB19" s="116" t="str">
        <f>=ROUND(AZ19+AU19,2)</f>
      </c>
      <c r="BC19" s="144" t="str">
        <f>=ROUND(BA19+AV19,2)</f>
      </c>
      <c r="BF19" s="149" t="s">
        <v>206</v>
      </c>
      <c r="BG19" s="24"/>
      <c r="BH19" s="117" t="str">
        <f>=IFERROR(ROUND(BG19/FB_Kurs_9,2),0)</f>
      </c>
      <c r="BI19" s="116" t="str">
        <f>=ROUND(BG19+BB19,2)</f>
      </c>
      <c r="BJ19" s="144" t="str">
        <f>=ROUND(BH19+BC19,2)</f>
      </c>
      <c r="BM19" s="149" t="s">
        <v>206</v>
      </c>
      <c r="BN19" s="24"/>
      <c r="BO19" s="117" t="str">
        <f>=IFERROR(ROUND(BN19/FB_Kurs_10,2),0)</f>
      </c>
      <c r="BP19" s="116" t="str">
        <f>=ROUND(BN19+BI19,2)</f>
      </c>
      <c r="BQ19" s="144" t="str">
        <f>=ROUND(BO19+BJ19,2)</f>
      </c>
      <c r="BT19" s="149" t="s">
        <v>206</v>
      </c>
      <c r="BU19" s="24"/>
      <c r="BV19" s="117" t="str">
        <f>=IFERROR(ROUND(BU19/FB_Kurs_11,2),0)</f>
      </c>
      <c r="BW19" s="116" t="str">
        <f>=ROUND(BU19+BP19,2)</f>
      </c>
      <c r="BX19" s="144" t="str">
        <f>=ROUND(BV19+BQ19,2)</f>
      </c>
      <c r="CA19" s="149" t="s">
        <v>206</v>
      </c>
      <c r="CB19" s="24"/>
      <c r="CC19" s="117" t="str">
        <f>=IFERROR(ROUND(CB19/FB_Kurs_12,2),0)</f>
      </c>
      <c r="CD19" s="116" t="str">
        <f>=ROUND(CB19+BW19,2)</f>
      </c>
      <c r="CE19" s="144" t="str">
        <f>=ROUND(CC19+BX19,2)</f>
      </c>
      <c r="CH19" s="149" t="s">
        <v>206</v>
      </c>
      <c r="CI19" s="24"/>
      <c r="CJ19" s="117" t="str">
        <f>=IFERROR(ROUND(CI19/FB_Kurs_13,2),0)</f>
      </c>
      <c r="CK19" s="116" t="str">
        <f>=ROUND(CI19+CD19,2)</f>
      </c>
      <c r="CL19" s="144" t="str">
        <f>=ROUND(CJ19+CE19,2)</f>
      </c>
      <c r="CO19" s="149" t="s">
        <v>206</v>
      </c>
      <c r="CP19" s="24"/>
      <c r="CQ19" s="117" t="str">
        <f>=IFERROR(ROUND(CP19/FB_Kurs_14,2),0)</f>
      </c>
      <c r="CR19" s="116" t="str">
        <f>=ROUND(CP19+CK19,2)</f>
      </c>
      <c r="CS19" s="144" t="str">
        <f>=ROUND(CQ19+CL19,2)</f>
      </c>
      <c r="CV19" s="149" t="s">
        <v>206</v>
      </c>
      <c r="CW19" s="24"/>
      <c r="CX19" s="117" t="str">
        <f>=IFERROR(ROUND(CW19/FB_Kurs_15,2),0)</f>
      </c>
      <c r="CY19" s="116" t="str">
        <f>=ROUND(CW19+CR19,2)</f>
      </c>
      <c r="CZ19" s="144" t="str">
        <f>=ROUND(CX19+CS19,2)</f>
      </c>
      <c r="DC19" s="149" t="s">
        <v>206</v>
      </c>
      <c r="DD19" s="24"/>
      <c r="DE19" s="117" t="str">
        <f>=IFERROR(ROUND(DD19/FB_Kurs_16,2),0)</f>
      </c>
      <c r="DF19" s="116" t="str">
        <f>=ROUND(DD19+CY19,2)</f>
      </c>
      <c r="DG19" s="144" t="str">
        <f>=ROUND(DE19+CZ19,2)</f>
      </c>
      <c r="DJ19" s="149" t="s">
        <v>206</v>
      </c>
      <c r="DK19" s="24"/>
      <c r="DL19" s="117" t="str">
        <f>=IFERROR(ROUND(DK19/FB_Kurs_17,2),0)</f>
      </c>
      <c r="DM19" s="116" t="str">
        <f>=ROUND(DK19+DF19,2)</f>
      </c>
      <c r="DN19" s="144" t="str">
        <f>=ROUND(DL19+DG19,2)</f>
      </c>
      <c r="DQ19" s="149" t="s">
        <v>206</v>
      </c>
      <c r="DR19" s="24"/>
      <c r="DS19" s="117" t="str">
        <f>=IFERROR(ROUND(DR19/FB_Kurs_18,2),0)</f>
      </c>
      <c r="DT19" s="116" t="str">
        <f>=ROUND(DR19+DM19,2)</f>
      </c>
      <c r="DU19" s="144" t="str">
        <f>=ROUND(DS19+DN19,2)</f>
      </c>
    </row>
    <row r="20">
      <c r="B20" s="149" t="s">
        <v>208</v>
      </c>
      <c r="C20" s="24"/>
      <c r="D20" s="117" t="str">
        <f>=IFERROR(ROUND(C20/FB_Kurs_1,2),0)</f>
      </c>
      <c r="E20" s="116" t="str">
        <f>=ROUND(C20,2)</f>
      </c>
      <c r="F20" s="144" t="str">
        <f>=ROUND(D20,2)</f>
      </c>
      <c r="I20" s="149" t="s">
        <v>208</v>
      </c>
      <c r="J20" s="24">
        <v>300000</v>
      </c>
      <c r="K20" s="117" t="str">
        <f>=IFERROR(ROUND(J20/FB_Kurs_2,2),0)</f>
      </c>
      <c r="L20" s="116" t="str">
        <f>=ROUND(J20+E20,2)</f>
      </c>
      <c r="M20" s="144" t="str">
        <f>=ROUND(K20+F20,2)</f>
      </c>
      <c r="P20" s="149" t="s">
        <v>208</v>
      </c>
      <c r="Q20" s="24"/>
      <c r="R20" s="117" t="str">
        <f>=IFERROR(ROUND(Q20/FB_Kurs_3,2),0)</f>
      </c>
      <c r="S20" s="116" t="str">
        <f>=ROUND(Q20+L20,2)</f>
      </c>
      <c r="T20" s="144" t="str">
        <f>=ROUND(R20+M20,2)</f>
      </c>
      <c r="W20" s="149" t="s">
        <v>208</v>
      </c>
      <c r="X20" s="24"/>
      <c r="Y20" s="117" t="str">
        <f>=IFERROR(ROUND(X20/FB_Kurs_4,2),0)</f>
      </c>
      <c r="Z20" s="116" t="str">
        <f>=ROUND(X20+S20,2)</f>
      </c>
      <c r="AA20" s="144" t="str">
        <f>=ROUND(Y20+T20,2)</f>
      </c>
      <c r="AD20" s="149" t="s">
        <v>208</v>
      </c>
      <c r="AE20" s="24"/>
      <c r="AF20" s="117" t="str">
        <f>=IFERROR(ROUND(AE20/FB_Kurs_5,2),0)</f>
      </c>
      <c r="AG20" s="116" t="str">
        <f>=ROUND(AE20+Z20,2)</f>
      </c>
      <c r="AH20" s="144" t="str">
        <f>=ROUND(AF20+AA20,2)</f>
      </c>
      <c r="AK20" s="149" t="s">
        <v>208</v>
      </c>
      <c r="AL20" s="24"/>
      <c r="AM20" s="117" t="str">
        <f>=IFERROR(ROUND(AL20/FB_Kurs_6,2),0)</f>
      </c>
      <c r="AN20" s="116" t="str">
        <f>=ROUND(AL20+AG20,2)</f>
      </c>
      <c r="AO20" s="144" t="str">
        <f>=ROUND(AM20+AH20,2)</f>
      </c>
      <c r="AR20" s="149" t="s">
        <v>208</v>
      </c>
      <c r="AS20" s="24"/>
      <c r="AT20" s="117" t="str">
        <f>=IFERROR(ROUND(AS20/FB_Kurs_7,2),0)</f>
      </c>
      <c r="AU20" s="116" t="str">
        <f>=ROUND(AS20+AN20,2)</f>
      </c>
      <c r="AV20" s="144" t="str">
        <f>=ROUND(AT20+AO20,2)</f>
      </c>
      <c r="AY20" s="149" t="s">
        <v>208</v>
      </c>
      <c r="AZ20" s="24"/>
      <c r="BA20" s="117" t="str">
        <f>=IFERROR(ROUND(AZ20/FB_Kurs_8,2),0)</f>
      </c>
      <c r="BB20" s="116" t="str">
        <f>=ROUND(AZ20+AU20,2)</f>
      </c>
      <c r="BC20" s="144" t="str">
        <f>=ROUND(BA20+AV20,2)</f>
      </c>
      <c r="BF20" s="149" t="s">
        <v>208</v>
      </c>
      <c r="BG20" s="24"/>
      <c r="BH20" s="117" t="str">
        <f>=IFERROR(ROUND(BG20/FB_Kurs_9,2),0)</f>
      </c>
      <c r="BI20" s="116" t="str">
        <f>=ROUND(BG20+BB20,2)</f>
      </c>
      <c r="BJ20" s="144" t="str">
        <f>=ROUND(BH20+BC20,2)</f>
      </c>
      <c r="BM20" s="149" t="s">
        <v>208</v>
      </c>
      <c r="BN20" s="24"/>
      <c r="BO20" s="117" t="str">
        <f>=IFERROR(ROUND(BN20/FB_Kurs_10,2),0)</f>
      </c>
      <c r="BP20" s="116" t="str">
        <f>=ROUND(BN20+BI20,2)</f>
      </c>
      <c r="BQ20" s="144" t="str">
        <f>=ROUND(BO20+BJ20,2)</f>
      </c>
      <c r="BT20" s="149" t="s">
        <v>208</v>
      </c>
      <c r="BU20" s="24"/>
      <c r="BV20" s="117" t="str">
        <f>=IFERROR(ROUND(BU20/FB_Kurs_11,2),0)</f>
      </c>
      <c r="BW20" s="116" t="str">
        <f>=ROUND(BU20+BP20,2)</f>
      </c>
      <c r="BX20" s="144" t="str">
        <f>=ROUND(BV20+BQ20,2)</f>
      </c>
      <c r="CA20" s="149" t="s">
        <v>208</v>
      </c>
      <c r="CB20" s="24"/>
      <c r="CC20" s="117" t="str">
        <f>=IFERROR(ROUND(CB20/FB_Kurs_12,2),0)</f>
      </c>
      <c r="CD20" s="116" t="str">
        <f>=ROUND(CB20+BW20,2)</f>
      </c>
      <c r="CE20" s="144" t="str">
        <f>=ROUND(CC20+BX20,2)</f>
      </c>
      <c r="CH20" s="149" t="s">
        <v>208</v>
      </c>
      <c r="CI20" s="24"/>
      <c r="CJ20" s="117" t="str">
        <f>=IFERROR(ROUND(CI20/FB_Kurs_13,2),0)</f>
      </c>
      <c r="CK20" s="116" t="str">
        <f>=ROUND(CI20+CD20,2)</f>
      </c>
      <c r="CL20" s="144" t="str">
        <f>=ROUND(CJ20+CE20,2)</f>
      </c>
      <c r="CO20" s="149" t="s">
        <v>208</v>
      </c>
      <c r="CP20" s="24"/>
      <c r="CQ20" s="117" t="str">
        <f>=IFERROR(ROUND(CP20/FB_Kurs_14,2),0)</f>
      </c>
      <c r="CR20" s="116" t="str">
        <f>=ROUND(CP20+CK20,2)</f>
      </c>
      <c r="CS20" s="144" t="str">
        <f>=ROUND(CQ20+CL20,2)</f>
      </c>
      <c r="CV20" s="149" t="s">
        <v>208</v>
      </c>
      <c r="CW20" s="24"/>
      <c r="CX20" s="117" t="str">
        <f>=IFERROR(ROUND(CW20/FB_Kurs_15,2),0)</f>
      </c>
      <c r="CY20" s="116" t="str">
        <f>=ROUND(CW20+CR20,2)</f>
      </c>
      <c r="CZ20" s="144" t="str">
        <f>=ROUND(CX20+CS20,2)</f>
      </c>
      <c r="DC20" s="149" t="s">
        <v>208</v>
      </c>
      <c r="DD20" s="24"/>
      <c r="DE20" s="117" t="str">
        <f>=IFERROR(ROUND(DD20/FB_Kurs_16,2),0)</f>
      </c>
      <c r="DF20" s="116" t="str">
        <f>=ROUND(DD20+CY20,2)</f>
      </c>
      <c r="DG20" s="144" t="str">
        <f>=ROUND(DE20+CZ20,2)</f>
      </c>
      <c r="DJ20" s="149" t="s">
        <v>208</v>
      </c>
      <c r="DK20" s="24"/>
      <c r="DL20" s="117" t="str">
        <f>=IFERROR(ROUND(DK20/FB_Kurs_17,2),0)</f>
      </c>
      <c r="DM20" s="116" t="str">
        <f>=ROUND(DK20+DF20,2)</f>
      </c>
      <c r="DN20" s="144" t="str">
        <f>=ROUND(DL20+DG20,2)</f>
      </c>
      <c r="DQ20" s="149" t="s">
        <v>208</v>
      </c>
      <c r="DR20" s="24"/>
      <c r="DS20" s="117" t="str">
        <f>=IFERROR(ROUND(DR20/FB_Kurs_18,2),0)</f>
      </c>
      <c r="DT20" s="116" t="str">
        <f>=ROUND(DR20+DM20,2)</f>
      </c>
      <c r="DU20" s="144" t="str">
        <f>=ROUND(DS20+DN20,2)</f>
      </c>
    </row>
    <row r="21">
      <c r="B21" s="149" t="s">
        <v>211</v>
      </c>
      <c r="C21" s="24">
        <v>300000</v>
      </c>
      <c r="D21" s="117" t="str">
        <f>=IFERROR(ROUND(C21/FB_Kurs_1,2),0)</f>
      </c>
      <c r="E21" s="116" t="str">
        <f>=ROUND(C21,2)</f>
      </c>
      <c r="F21" s="144" t="str">
        <f>=ROUND(D21,2)</f>
      </c>
      <c r="I21" s="149" t="s">
        <v>211</v>
      </c>
      <c r="J21" s="24"/>
      <c r="K21" s="117" t="str">
        <f>=IFERROR(ROUND(J21/FB_Kurs_2,2),0)</f>
      </c>
      <c r="L21" s="116" t="str">
        <f>=ROUND(J21+E21,2)</f>
      </c>
      <c r="M21" s="144" t="str">
        <f>=ROUND(K21+F21,2)</f>
      </c>
      <c r="P21" s="149" t="s">
        <v>211</v>
      </c>
      <c r="Q21" s="24"/>
      <c r="R21" s="117" t="str">
        <f>=IFERROR(ROUND(Q21/FB_Kurs_3,2),0)</f>
      </c>
      <c r="S21" s="116" t="str">
        <f>=ROUND(Q21+L21,2)</f>
      </c>
      <c r="T21" s="144" t="str">
        <f>=ROUND(R21+M21,2)</f>
      </c>
      <c r="W21" s="149" t="s">
        <v>211</v>
      </c>
      <c r="X21" s="24"/>
      <c r="Y21" s="117" t="str">
        <f>=IFERROR(ROUND(X21/FB_Kurs_4,2),0)</f>
      </c>
      <c r="Z21" s="116" t="str">
        <f>=ROUND(X21+S21,2)</f>
      </c>
      <c r="AA21" s="144" t="str">
        <f>=ROUND(Y21+T21,2)</f>
      </c>
      <c r="AD21" s="149" t="s">
        <v>211</v>
      </c>
      <c r="AE21" s="24"/>
      <c r="AF21" s="117" t="str">
        <f>=IFERROR(ROUND(AE21/FB_Kurs_5,2),0)</f>
      </c>
      <c r="AG21" s="116" t="str">
        <f>=ROUND(AE21+Z21,2)</f>
      </c>
      <c r="AH21" s="144" t="str">
        <f>=ROUND(AF21+AA21,2)</f>
      </c>
      <c r="AK21" s="149" t="s">
        <v>211</v>
      </c>
      <c r="AL21" s="24"/>
      <c r="AM21" s="117" t="str">
        <f>=IFERROR(ROUND(AL21/FB_Kurs_6,2),0)</f>
      </c>
      <c r="AN21" s="116" t="str">
        <f>=ROUND(AL21+AG21,2)</f>
      </c>
      <c r="AO21" s="144" t="str">
        <f>=ROUND(AM21+AH21,2)</f>
      </c>
      <c r="AR21" s="149" t="s">
        <v>211</v>
      </c>
      <c r="AS21" s="24"/>
      <c r="AT21" s="117" t="str">
        <f>=IFERROR(ROUND(AS21/FB_Kurs_7,2),0)</f>
      </c>
      <c r="AU21" s="116" t="str">
        <f>=ROUND(AS21+AN21,2)</f>
      </c>
      <c r="AV21" s="144" t="str">
        <f>=ROUND(AT21+AO21,2)</f>
      </c>
      <c r="AY21" s="149" t="s">
        <v>211</v>
      </c>
      <c r="AZ21" s="24"/>
      <c r="BA21" s="117" t="str">
        <f>=IFERROR(ROUND(AZ21/FB_Kurs_8,2),0)</f>
      </c>
      <c r="BB21" s="116" t="str">
        <f>=ROUND(AZ21+AU21,2)</f>
      </c>
      <c r="BC21" s="144" t="str">
        <f>=ROUND(BA21+AV21,2)</f>
      </c>
      <c r="BF21" s="149" t="s">
        <v>211</v>
      </c>
      <c r="BG21" s="24"/>
      <c r="BH21" s="117" t="str">
        <f>=IFERROR(ROUND(BG21/FB_Kurs_9,2),0)</f>
      </c>
      <c r="BI21" s="116" t="str">
        <f>=ROUND(BG21+BB21,2)</f>
      </c>
      <c r="BJ21" s="144" t="str">
        <f>=ROUND(BH21+BC21,2)</f>
      </c>
      <c r="BM21" s="149" t="s">
        <v>211</v>
      </c>
      <c r="BN21" s="24"/>
      <c r="BO21" s="117" t="str">
        <f>=IFERROR(ROUND(BN21/FB_Kurs_10,2),0)</f>
      </c>
      <c r="BP21" s="116" t="str">
        <f>=ROUND(BN21+BI21,2)</f>
      </c>
      <c r="BQ21" s="144" t="str">
        <f>=ROUND(BO21+BJ21,2)</f>
      </c>
      <c r="BT21" s="149" t="s">
        <v>211</v>
      </c>
      <c r="BU21" s="24"/>
      <c r="BV21" s="117" t="str">
        <f>=IFERROR(ROUND(BU21/FB_Kurs_11,2),0)</f>
      </c>
      <c r="BW21" s="116" t="str">
        <f>=ROUND(BU21+BP21,2)</f>
      </c>
      <c r="BX21" s="144" t="str">
        <f>=ROUND(BV21+BQ21,2)</f>
      </c>
      <c r="CA21" s="149" t="s">
        <v>211</v>
      </c>
      <c r="CB21" s="24"/>
      <c r="CC21" s="117" t="str">
        <f>=IFERROR(ROUND(CB21/FB_Kurs_12,2),0)</f>
      </c>
      <c r="CD21" s="116" t="str">
        <f>=ROUND(CB21+BW21,2)</f>
      </c>
      <c r="CE21" s="144" t="str">
        <f>=ROUND(CC21+BX21,2)</f>
      </c>
      <c r="CH21" s="149" t="s">
        <v>211</v>
      </c>
      <c r="CI21" s="24"/>
      <c r="CJ21" s="117" t="str">
        <f>=IFERROR(ROUND(CI21/FB_Kurs_13,2),0)</f>
      </c>
      <c r="CK21" s="116" t="str">
        <f>=ROUND(CI21+CD21,2)</f>
      </c>
      <c r="CL21" s="144" t="str">
        <f>=ROUND(CJ21+CE21,2)</f>
      </c>
      <c r="CO21" s="149" t="s">
        <v>211</v>
      </c>
      <c r="CP21" s="24"/>
      <c r="CQ21" s="117" t="str">
        <f>=IFERROR(ROUND(CP21/FB_Kurs_14,2),0)</f>
      </c>
      <c r="CR21" s="116" t="str">
        <f>=ROUND(CP21+CK21,2)</f>
      </c>
      <c r="CS21" s="144" t="str">
        <f>=ROUND(CQ21+CL21,2)</f>
      </c>
      <c r="CV21" s="149" t="s">
        <v>211</v>
      </c>
      <c r="CW21" s="24"/>
      <c r="CX21" s="117" t="str">
        <f>=IFERROR(ROUND(CW21/FB_Kurs_15,2),0)</f>
      </c>
      <c r="CY21" s="116" t="str">
        <f>=ROUND(CW21+CR21,2)</f>
      </c>
      <c r="CZ21" s="144" t="str">
        <f>=ROUND(CX21+CS21,2)</f>
      </c>
      <c r="DC21" s="149" t="s">
        <v>211</v>
      </c>
      <c r="DD21" s="24"/>
      <c r="DE21" s="117" t="str">
        <f>=IFERROR(ROUND(DD21/FB_Kurs_16,2),0)</f>
      </c>
      <c r="DF21" s="116" t="str">
        <f>=ROUND(DD21+CY21,2)</f>
      </c>
      <c r="DG21" s="144" t="str">
        <f>=ROUND(DE21+CZ21,2)</f>
      </c>
      <c r="DJ21" s="149" t="s">
        <v>211</v>
      </c>
      <c r="DK21" s="24"/>
      <c r="DL21" s="117" t="str">
        <f>=IFERROR(ROUND(DK21/FB_Kurs_17,2),0)</f>
      </c>
      <c r="DM21" s="116" t="str">
        <f>=ROUND(DK21+DF21,2)</f>
      </c>
      <c r="DN21" s="144" t="str">
        <f>=ROUND(DL21+DG21,2)</f>
      </c>
      <c r="DQ21" s="149" t="s">
        <v>211</v>
      </c>
      <c r="DR21" s="24"/>
      <c r="DS21" s="117" t="str">
        <f>=IFERROR(ROUND(DR21/FB_Kurs_18,2),0)</f>
      </c>
      <c r="DT21" s="116" t="str">
        <f>=ROUND(DR21+DM21,2)</f>
      </c>
      <c r="DU21" s="144" t="str">
        <f>=ROUND(DS21+DN21,2)</f>
      </c>
    </row>
    <row r="22">
      <c r="B22" s="149" t="s">
        <v>214</v>
      </c>
      <c r="C22" s="24">
        <v>200000</v>
      </c>
      <c r="D22" s="117" t="str">
        <f>=IFERROR(ROUND(C22/FB_Kurs_1,2),0)</f>
      </c>
      <c r="E22" s="116" t="str">
        <f>=ROUND(C22,2)</f>
      </c>
      <c r="F22" s="144" t="str">
        <f>=ROUND(D22,2)</f>
      </c>
      <c r="I22" s="149" t="s">
        <v>214</v>
      </c>
      <c r="J22" s="24">
        <v>200000</v>
      </c>
      <c r="K22" s="117" t="str">
        <f>=IFERROR(ROUND(J22/FB_Kurs_2,2),0)</f>
      </c>
      <c r="L22" s="116" t="str">
        <f>=ROUND(J22+E22,2)</f>
      </c>
      <c r="M22" s="144" t="str">
        <f>=ROUND(K22+F22,2)</f>
      </c>
      <c r="P22" s="149" t="s">
        <v>214</v>
      </c>
      <c r="Q22" s="24"/>
      <c r="R22" s="117" t="str">
        <f>=IFERROR(ROUND(Q22/FB_Kurs_3,2),0)</f>
      </c>
      <c r="S22" s="116" t="str">
        <f>=ROUND(Q22+L22,2)</f>
      </c>
      <c r="T22" s="144" t="str">
        <f>=ROUND(R22+M22,2)</f>
      </c>
      <c r="W22" s="149" t="s">
        <v>214</v>
      </c>
      <c r="X22" s="24"/>
      <c r="Y22" s="117" t="str">
        <f>=IFERROR(ROUND(X22/FB_Kurs_4,2),0)</f>
      </c>
      <c r="Z22" s="116" t="str">
        <f>=ROUND(X22+S22,2)</f>
      </c>
      <c r="AA22" s="144" t="str">
        <f>=ROUND(Y22+T22,2)</f>
      </c>
      <c r="AD22" s="149" t="s">
        <v>214</v>
      </c>
      <c r="AE22" s="24"/>
      <c r="AF22" s="117" t="str">
        <f>=IFERROR(ROUND(AE22/FB_Kurs_5,2),0)</f>
      </c>
      <c r="AG22" s="116" t="str">
        <f>=ROUND(AE22+Z22,2)</f>
      </c>
      <c r="AH22" s="144" t="str">
        <f>=ROUND(AF22+AA22,2)</f>
      </c>
      <c r="AK22" s="149" t="s">
        <v>214</v>
      </c>
      <c r="AL22" s="24"/>
      <c r="AM22" s="117" t="str">
        <f>=IFERROR(ROUND(AL22/FB_Kurs_6,2),0)</f>
      </c>
      <c r="AN22" s="116" t="str">
        <f>=ROUND(AL22+AG22,2)</f>
      </c>
      <c r="AO22" s="144" t="str">
        <f>=ROUND(AM22+AH22,2)</f>
      </c>
      <c r="AR22" s="149" t="s">
        <v>214</v>
      </c>
      <c r="AS22" s="24"/>
      <c r="AT22" s="117" t="str">
        <f>=IFERROR(ROUND(AS22/FB_Kurs_7,2),0)</f>
      </c>
      <c r="AU22" s="116" t="str">
        <f>=ROUND(AS22+AN22,2)</f>
      </c>
      <c r="AV22" s="144" t="str">
        <f>=ROUND(AT22+AO22,2)</f>
      </c>
      <c r="AY22" s="149" t="s">
        <v>214</v>
      </c>
      <c r="AZ22" s="24"/>
      <c r="BA22" s="117" t="str">
        <f>=IFERROR(ROUND(AZ22/FB_Kurs_8,2),0)</f>
      </c>
      <c r="BB22" s="116" t="str">
        <f>=ROUND(AZ22+AU22,2)</f>
      </c>
      <c r="BC22" s="144" t="str">
        <f>=ROUND(BA22+AV22,2)</f>
      </c>
      <c r="BF22" s="149" t="s">
        <v>214</v>
      </c>
      <c r="BG22" s="24"/>
      <c r="BH22" s="117" t="str">
        <f>=IFERROR(ROUND(BG22/FB_Kurs_9,2),0)</f>
      </c>
      <c r="BI22" s="116" t="str">
        <f>=ROUND(BG22+BB22,2)</f>
      </c>
      <c r="BJ22" s="144" t="str">
        <f>=ROUND(BH22+BC22,2)</f>
      </c>
      <c r="BM22" s="149" t="s">
        <v>214</v>
      </c>
      <c r="BN22" s="24"/>
      <c r="BO22" s="117" t="str">
        <f>=IFERROR(ROUND(BN22/FB_Kurs_10,2),0)</f>
      </c>
      <c r="BP22" s="116" t="str">
        <f>=ROUND(BN22+BI22,2)</f>
      </c>
      <c r="BQ22" s="144" t="str">
        <f>=ROUND(BO22+BJ22,2)</f>
      </c>
      <c r="BT22" s="149" t="s">
        <v>214</v>
      </c>
      <c r="BU22" s="24"/>
      <c r="BV22" s="117" t="str">
        <f>=IFERROR(ROUND(BU22/FB_Kurs_11,2),0)</f>
      </c>
      <c r="BW22" s="116" t="str">
        <f>=ROUND(BU22+BP22,2)</f>
      </c>
      <c r="BX22" s="144" t="str">
        <f>=ROUND(BV22+BQ22,2)</f>
      </c>
      <c r="CA22" s="149" t="s">
        <v>214</v>
      </c>
      <c r="CB22" s="24"/>
      <c r="CC22" s="117" t="str">
        <f>=IFERROR(ROUND(CB22/FB_Kurs_12,2),0)</f>
      </c>
      <c r="CD22" s="116" t="str">
        <f>=ROUND(CB22+BW22,2)</f>
      </c>
      <c r="CE22" s="144" t="str">
        <f>=ROUND(CC22+BX22,2)</f>
      </c>
      <c r="CH22" s="149" t="s">
        <v>214</v>
      </c>
      <c r="CI22" s="24"/>
      <c r="CJ22" s="117" t="str">
        <f>=IFERROR(ROUND(CI22/FB_Kurs_13,2),0)</f>
      </c>
      <c r="CK22" s="116" t="str">
        <f>=ROUND(CI22+CD22,2)</f>
      </c>
      <c r="CL22" s="144" t="str">
        <f>=ROUND(CJ22+CE22,2)</f>
      </c>
      <c r="CO22" s="149" t="s">
        <v>214</v>
      </c>
      <c r="CP22" s="24"/>
      <c r="CQ22" s="117" t="str">
        <f>=IFERROR(ROUND(CP22/FB_Kurs_14,2),0)</f>
      </c>
      <c r="CR22" s="116" t="str">
        <f>=ROUND(CP22+CK22,2)</f>
      </c>
      <c r="CS22" s="144" t="str">
        <f>=ROUND(CQ22+CL22,2)</f>
      </c>
      <c r="CV22" s="149" t="s">
        <v>214</v>
      </c>
      <c r="CW22" s="24"/>
      <c r="CX22" s="117" t="str">
        <f>=IFERROR(ROUND(CW22/FB_Kurs_15,2),0)</f>
      </c>
      <c r="CY22" s="116" t="str">
        <f>=ROUND(CW22+CR22,2)</f>
      </c>
      <c r="CZ22" s="144" t="str">
        <f>=ROUND(CX22+CS22,2)</f>
      </c>
      <c r="DC22" s="149" t="s">
        <v>214</v>
      </c>
      <c r="DD22" s="24"/>
      <c r="DE22" s="117" t="str">
        <f>=IFERROR(ROUND(DD22/FB_Kurs_16,2),0)</f>
      </c>
      <c r="DF22" s="116" t="str">
        <f>=ROUND(DD22+CY22,2)</f>
      </c>
      <c r="DG22" s="144" t="str">
        <f>=ROUND(DE22+CZ22,2)</f>
      </c>
      <c r="DJ22" s="149" t="s">
        <v>214</v>
      </c>
      <c r="DK22" s="24"/>
      <c r="DL22" s="117" t="str">
        <f>=IFERROR(ROUND(DK22/FB_Kurs_17,2),0)</f>
      </c>
      <c r="DM22" s="116" t="str">
        <f>=ROUND(DK22+DF22,2)</f>
      </c>
      <c r="DN22" s="144" t="str">
        <f>=ROUND(DL22+DG22,2)</f>
      </c>
      <c r="DQ22" s="149" t="s">
        <v>214</v>
      </c>
      <c r="DR22" s="24"/>
      <c r="DS22" s="117" t="str">
        <f>=IFERROR(ROUND(DR22/FB_Kurs_18,2),0)</f>
      </c>
      <c r="DT22" s="116" t="str">
        <f>=ROUND(DR22+DM22,2)</f>
      </c>
      <c r="DU22" s="144" t="str">
        <f>=ROUND(DS22+DN22,2)</f>
      </c>
    </row>
    <row r="23">
      <c r="B23" s="149" t="s">
        <v>216</v>
      </c>
      <c r="C23" s="24">
        <v>150000</v>
      </c>
      <c r="D23" s="117" t="str">
        <f>=IFERROR(ROUND(C23/FB_Kurs_1,2),0)</f>
      </c>
      <c r="E23" s="116" t="str">
        <f>=ROUND(C23,2)</f>
      </c>
      <c r="F23" s="144" t="str">
        <f>=ROUND(D23,2)</f>
      </c>
      <c r="I23" s="149" t="s">
        <v>216</v>
      </c>
      <c r="J23" s="24">
        <v>150000</v>
      </c>
      <c r="K23" s="117" t="str">
        <f>=IFERROR(ROUND(J23/FB_Kurs_2,2),0)</f>
      </c>
      <c r="L23" s="116" t="str">
        <f>=ROUND(J23+E23,2)</f>
      </c>
      <c r="M23" s="144" t="str">
        <f>=ROUND(K23+F23,2)</f>
      </c>
      <c r="P23" s="149" t="s">
        <v>216</v>
      </c>
      <c r="Q23" s="24"/>
      <c r="R23" s="117" t="str">
        <f>=IFERROR(ROUND(Q23/FB_Kurs_3,2),0)</f>
      </c>
      <c r="S23" s="116" t="str">
        <f>=ROUND(Q23+L23,2)</f>
      </c>
      <c r="T23" s="144" t="str">
        <f>=ROUND(R23+M23,2)</f>
      </c>
      <c r="W23" s="149" t="s">
        <v>216</v>
      </c>
      <c r="X23" s="24"/>
      <c r="Y23" s="117" t="str">
        <f>=IFERROR(ROUND(X23/FB_Kurs_4,2),0)</f>
      </c>
      <c r="Z23" s="116" t="str">
        <f>=ROUND(X23+S23,2)</f>
      </c>
      <c r="AA23" s="144" t="str">
        <f>=ROUND(Y23+T23,2)</f>
      </c>
      <c r="AD23" s="149" t="s">
        <v>216</v>
      </c>
      <c r="AE23" s="24"/>
      <c r="AF23" s="117" t="str">
        <f>=IFERROR(ROUND(AE23/FB_Kurs_5,2),0)</f>
      </c>
      <c r="AG23" s="116" t="str">
        <f>=ROUND(AE23+Z23,2)</f>
      </c>
      <c r="AH23" s="144" t="str">
        <f>=ROUND(AF23+AA23,2)</f>
      </c>
      <c r="AK23" s="149" t="s">
        <v>216</v>
      </c>
      <c r="AL23" s="24"/>
      <c r="AM23" s="117" t="str">
        <f>=IFERROR(ROUND(AL23/FB_Kurs_6,2),0)</f>
      </c>
      <c r="AN23" s="116" t="str">
        <f>=ROUND(AL23+AG23,2)</f>
      </c>
      <c r="AO23" s="144" t="str">
        <f>=ROUND(AM23+AH23,2)</f>
      </c>
      <c r="AR23" s="149" t="s">
        <v>216</v>
      </c>
      <c r="AS23" s="24"/>
      <c r="AT23" s="117" t="str">
        <f>=IFERROR(ROUND(AS23/FB_Kurs_7,2),0)</f>
      </c>
      <c r="AU23" s="116" t="str">
        <f>=ROUND(AS23+AN23,2)</f>
      </c>
      <c r="AV23" s="144" t="str">
        <f>=ROUND(AT23+AO23,2)</f>
      </c>
      <c r="AY23" s="149" t="s">
        <v>216</v>
      </c>
      <c r="AZ23" s="24"/>
      <c r="BA23" s="117" t="str">
        <f>=IFERROR(ROUND(AZ23/FB_Kurs_8,2),0)</f>
      </c>
      <c r="BB23" s="116" t="str">
        <f>=ROUND(AZ23+AU23,2)</f>
      </c>
      <c r="BC23" s="144" t="str">
        <f>=ROUND(BA23+AV23,2)</f>
      </c>
      <c r="BF23" s="149" t="s">
        <v>216</v>
      </c>
      <c r="BG23" s="24"/>
      <c r="BH23" s="117" t="str">
        <f>=IFERROR(ROUND(BG23/FB_Kurs_9,2),0)</f>
      </c>
      <c r="BI23" s="116" t="str">
        <f>=ROUND(BG23+BB23,2)</f>
      </c>
      <c r="BJ23" s="144" t="str">
        <f>=ROUND(BH23+BC23,2)</f>
      </c>
      <c r="BM23" s="149" t="s">
        <v>216</v>
      </c>
      <c r="BN23" s="24"/>
      <c r="BO23" s="117" t="str">
        <f>=IFERROR(ROUND(BN23/FB_Kurs_10,2),0)</f>
      </c>
      <c r="BP23" s="116" t="str">
        <f>=ROUND(BN23+BI23,2)</f>
      </c>
      <c r="BQ23" s="144" t="str">
        <f>=ROUND(BO23+BJ23,2)</f>
      </c>
      <c r="BT23" s="149" t="s">
        <v>216</v>
      </c>
      <c r="BU23" s="24"/>
      <c r="BV23" s="117" t="str">
        <f>=IFERROR(ROUND(BU23/FB_Kurs_11,2),0)</f>
      </c>
      <c r="BW23" s="116" t="str">
        <f>=ROUND(BU23+BP23,2)</f>
      </c>
      <c r="BX23" s="144" t="str">
        <f>=ROUND(BV23+BQ23,2)</f>
      </c>
      <c r="CA23" s="149" t="s">
        <v>216</v>
      </c>
      <c r="CB23" s="24"/>
      <c r="CC23" s="117" t="str">
        <f>=IFERROR(ROUND(CB23/FB_Kurs_12,2),0)</f>
      </c>
      <c r="CD23" s="116" t="str">
        <f>=ROUND(CB23+BW23,2)</f>
      </c>
      <c r="CE23" s="144" t="str">
        <f>=ROUND(CC23+BX23,2)</f>
      </c>
      <c r="CH23" s="149" t="s">
        <v>216</v>
      </c>
      <c r="CI23" s="24"/>
      <c r="CJ23" s="117" t="str">
        <f>=IFERROR(ROUND(CI23/FB_Kurs_13,2),0)</f>
      </c>
      <c r="CK23" s="116" t="str">
        <f>=ROUND(CI23+CD23,2)</f>
      </c>
      <c r="CL23" s="144" t="str">
        <f>=ROUND(CJ23+CE23,2)</f>
      </c>
      <c r="CO23" s="149" t="s">
        <v>216</v>
      </c>
      <c r="CP23" s="24"/>
      <c r="CQ23" s="117" t="str">
        <f>=IFERROR(ROUND(CP23/FB_Kurs_14,2),0)</f>
      </c>
      <c r="CR23" s="116" t="str">
        <f>=ROUND(CP23+CK23,2)</f>
      </c>
      <c r="CS23" s="144" t="str">
        <f>=ROUND(CQ23+CL23,2)</f>
      </c>
      <c r="CV23" s="149" t="s">
        <v>216</v>
      </c>
      <c r="CW23" s="24"/>
      <c r="CX23" s="117" t="str">
        <f>=IFERROR(ROUND(CW23/FB_Kurs_15,2),0)</f>
      </c>
      <c r="CY23" s="116" t="str">
        <f>=ROUND(CW23+CR23,2)</f>
      </c>
      <c r="CZ23" s="144" t="str">
        <f>=ROUND(CX23+CS23,2)</f>
      </c>
      <c r="DC23" s="149" t="s">
        <v>216</v>
      </c>
      <c r="DD23" s="24"/>
      <c r="DE23" s="117" t="str">
        <f>=IFERROR(ROUND(DD23/FB_Kurs_16,2),0)</f>
      </c>
      <c r="DF23" s="116" t="str">
        <f>=ROUND(DD23+CY23,2)</f>
      </c>
      <c r="DG23" s="144" t="str">
        <f>=ROUND(DE23+CZ23,2)</f>
      </c>
      <c r="DJ23" s="149" t="s">
        <v>216</v>
      </c>
      <c r="DK23" s="24"/>
      <c r="DL23" s="117" t="str">
        <f>=IFERROR(ROUND(DK23/FB_Kurs_17,2),0)</f>
      </c>
      <c r="DM23" s="116" t="str">
        <f>=ROUND(DK23+DF23,2)</f>
      </c>
      <c r="DN23" s="144" t="str">
        <f>=ROUND(DL23+DG23,2)</f>
      </c>
      <c r="DQ23" s="149" t="s">
        <v>216</v>
      </c>
      <c r="DR23" s="24"/>
      <c r="DS23" s="117" t="str">
        <f>=IFERROR(ROUND(DR23/FB_Kurs_18,2),0)</f>
      </c>
      <c r="DT23" s="116" t="str">
        <f>=ROUND(DR23+DM23,2)</f>
      </c>
      <c r="DU23" s="144" t="str">
        <f>=ROUND(DS23+DN23,2)</f>
      </c>
    </row>
    <row r="24">
      <c r="B24" s="149" t="s">
        <v>219</v>
      </c>
      <c r="C24" s="24">
        <v>120000</v>
      </c>
      <c r="D24" s="117" t="str">
        <f>=IFERROR(ROUND(C24/FB_Kurs_1,2),0)</f>
      </c>
      <c r="E24" s="116" t="str">
        <f>=ROUND(C24,2)</f>
      </c>
      <c r="F24" s="144" t="str">
        <f>=ROUND(D24,2)</f>
      </c>
      <c r="I24" s="149" t="s">
        <v>219</v>
      </c>
      <c r="J24" s="24">
        <v>100000</v>
      </c>
      <c r="K24" s="117" t="str">
        <f>=IFERROR(ROUND(J24/FB_Kurs_2,2),0)</f>
      </c>
      <c r="L24" s="116" t="str">
        <f>=ROUND(J24+E24,2)</f>
      </c>
      <c r="M24" s="144" t="str">
        <f>=ROUND(K24+F24,2)</f>
      </c>
      <c r="P24" s="149" t="s">
        <v>219</v>
      </c>
      <c r="Q24" s="24"/>
      <c r="R24" s="117" t="str">
        <f>=IFERROR(ROUND(Q24/FB_Kurs_3,2),0)</f>
      </c>
      <c r="S24" s="116" t="str">
        <f>=ROUND(Q24+L24,2)</f>
      </c>
      <c r="T24" s="144" t="str">
        <f>=ROUND(R24+M24,2)</f>
      </c>
      <c r="W24" s="149" t="s">
        <v>219</v>
      </c>
      <c r="X24" s="24"/>
      <c r="Y24" s="117" t="str">
        <f>=IFERROR(ROUND(X24/FB_Kurs_4,2),0)</f>
      </c>
      <c r="Z24" s="116" t="str">
        <f>=ROUND(X24+S24,2)</f>
      </c>
      <c r="AA24" s="144" t="str">
        <f>=ROUND(Y24+T24,2)</f>
      </c>
      <c r="AD24" s="149" t="s">
        <v>219</v>
      </c>
      <c r="AE24" s="24"/>
      <c r="AF24" s="117" t="str">
        <f>=IFERROR(ROUND(AE24/FB_Kurs_5,2),0)</f>
      </c>
      <c r="AG24" s="116" t="str">
        <f>=ROUND(AE24+Z24,2)</f>
      </c>
      <c r="AH24" s="144" t="str">
        <f>=ROUND(AF24+AA24,2)</f>
      </c>
      <c r="AK24" s="149" t="s">
        <v>219</v>
      </c>
      <c r="AL24" s="24"/>
      <c r="AM24" s="117" t="str">
        <f>=IFERROR(ROUND(AL24/FB_Kurs_6,2),0)</f>
      </c>
      <c r="AN24" s="116" t="str">
        <f>=ROUND(AL24+AG24,2)</f>
      </c>
      <c r="AO24" s="144" t="str">
        <f>=ROUND(AM24+AH24,2)</f>
      </c>
      <c r="AR24" s="149" t="s">
        <v>219</v>
      </c>
      <c r="AS24" s="24"/>
      <c r="AT24" s="117" t="str">
        <f>=IFERROR(ROUND(AS24/FB_Kurs_7,2),0)</f>
      </c>
      <c r="AU24" s="116" t="str">
        <f>=ROUND(AS24+AN24,2)</f>
      </c>
      <c r="AV24" s="144" t="str">
        <f>=ROUND(AT24+AO24,2)</f>
      </c>
      <c r="AY24" s="149" t="s">
        <v>219</v>
      </c>
      <c r="AZ24" s="24"/>
      <c r="BA24" s="117" t="str">
        <f>=IFERROR(ROUND(AZ24/FB_Kurs_8,2),0)</f>
      </c>
      <c r="BB24" s="116" t="str">
        <f>=ROUND(AZ24+AU24,2)</f>
      </c>
      <c r="BC24" s="144" t="str">
        <f>=ROUND(BA24+AV24,2)</f>
      </c>
      <c r="BF24" s="149" t="s">
        <v>219</v>
      </c>
      <c r="BG24" s="24"/>
      <c r="BH24" s="117" t="str">
        <f>=IFERROR(ROUND(BG24/FB_Kurs_9,2),0)</f>
      </c>
      <c r="BI24" s="116" t="str">
        <f>=ROUND(BG24+BB24,2)</f>
      </c>
      <c r="BJ24" s="144" t="str">
        <f>=ROUND(BH24+BC24,2)</f>
      </c>
      <c r="BM24" s="149" t="s">
        <v>219</v>
      </c>
      <c r="BN24" s="24"/>
      <c r="BO24" s="117" t="str">
        <f>=IFERROR(ROUND(BN24/FB_Kurs_10,2),0)</f>
      </c>
      <c r="BP24" s="116" t="str">
        <f>=ROUND(BN24+BI24,2)</f>
      </c>
      <c r="BQ24" s="144" t="str">
        <f>=ROUND(BO24+BJ24,2)</f>
      </c>
      <c r="BT24" s="149" t="s">
        <v>219</v>
      </c>
      <c r="BU24" s="24"/>
      <c r="BV24" s="117" t="str">
        <f>=IFERROR(ROUND(BU24/FB_Kurs_11,2),0)</f>
      </c>
      <c r="BW24" s="116" t="str">
        <f>=ROUND(BU24+BP24,2)</f>
      </c>
      <c r="BX24" s="144" t="str">
        <f>=ROUND(BV24+BQ24,2)</f>
      </c>
      <c r="CA24" s="149" t="s">
        <v>219</v>
      </c>
      <c r="CB24" s="24"/>
      <c r="CC24" s="117" t="str">
        <f>=IFERROR(ROUND(CB24/FB_Kurs_12,2),0)</f>
      </c>
      <c r="CD24" s="116" t="str">
        <f>=ROUND(CB24+BW24,2)</f>
      </c>
      <c r="CE24" s="144" t="str">
        <f>=ROUND(CC24+BX24,2)</f>
      </c>
      <c r="CH24" s="149" t="s">
        <v>219</v>
      </c>
      <c r="CI24" s="24"/>
      <c r="CJ24" s="117" t="str">
        <f>=IFERROR(ROUND(CI24/FB_Kurs_13,2),0)</f>
      </c>
      <c r="CK24" s="116" t="str">
        <f>=ROUND(CI24+CD24,2)</f>
      </c>
      <c r="CL24" s="144" t="str">
        <f>=ROUND(CJ24+CE24,2)</f>
      </c>
      <c r="CO24" s="149" t="s">
        <v>219</v>
      </c>
      <c r="CP24" s="24"/>
      <c r="CQ24" s="117" t="str">
        <f>=IFERROR(ROUND(CP24/FB_Kurs_14,2),0)</f>
      </c>
      <c r="CR24" s="116" t="str">
        <f>=ROUND(CP24+CK24,2)</f>
      </c>
      <c r="CS24" s="144" t="str">
        <f>=ROUND(CQ24+CL24,2)</f>
      </c>
      <c r="CV24" s="149" t="s">
        <v>219</v>
      </c>
      <c r="CW24" s="24"/>
      <c r="CX24" s="117" t="str">
        <f>=IFERROR(ROUND(CW24/FB_Kurs_15,2),0)</f>
      </c>
      <c r="CY24" s="116" t="str">
        <f>=ROUND(CW24+CR24,2)</f>
      </c>
      <c r="CZ24" s="144" t="str">
        <f>=ROUND(CX24+CS24,2)</f>
      </c>
      <c r="DC24" s="149" t="s">
        <v>219</v>
      </c>
      <c r="DD24" s="24"/>
      <c r="DE24" s="117" t="str">
        <f>=IFERROR(ROUND(DD24/FB_Kurs_16,2),0)</f>
      </c>
      <c r="DF24" s="116" t="str">
        <f>=ROUND(DD24+CY24,2)</f>
      </c>
      <c r="DG24" s="144" t="str">
        <f>=ROUND(DE24+CZ24,2)</f>
      </c>
      <c r="DJ24" s="149" t="s">
        <v>219</v>
      </c>
      <c r="DK24" s="24"/>
      <c r="DL24" s="117" t="str">
        <f>=IFERROR(ROUND(DK24/FB_Kurs_17,2),0)</f>
      </c>
      <c r="DM24" s="116" t="str">
        <f>=ROUND(DK24+DF24,2)</f>
      </c>
      <c r="DN24" s="144" t="str">
        <f>=ROUND(DL24+DG24,2)</f>
      </c>
      <c r="DQ24" s="149" t="s">
        <v>219</v>
      </c>
      <c r="DR24" s="24"/>
      <c r="DS24" s="117" t="str">
        <f>=IFERROR(ROUND(DR24/FB_Kurs_18,2),0)</f>
      </c>
      <c r="DT24" s="116" t="str">
        <f>=ROUND(DR24+DM24,2)</f>
      </c>
      <c r="DU24" s="144" t="str">
        <f>=ROUND(DS24+DN24,2)</f>
      </c>
    </row>
    <row r="25">
      <c r="B25" s="149" t="s">
        <v>222</v>
      </c>
      <c r="C25" s="24">
        <v>80000</v>
      </c>
      <c r="D25" s="117" t="str">
        <f>=IFERROR(ROUND(C25/FB_Kurs_1,2),0)</f>
      </c>
      <c r="E25" s="116" t="str">
        <f>=ROUND(C25,2)</f>
      </c>
      <c r="F25" s="144" t="str">
        <f>=ROUND(D25,2)</f>
      </c>
      <c r="I25" s="149" t="s">
        <v>222</v>
      </c>
      <c r="J25" s="24">
        <v>70000</v>
      </c>
      <c r="K25" s="117" t="str">
        <f>=IFERROR(ROUND(J25/FB_Kurs_2,2),0)</f>
      </c>
      <c r="L25" s="116" t="str">
        <f>=ROUND(J25+E25,2)</f>
      </c>
      <c r="M25" s="144" t="str">
        <f>=ROUND(K25+F25,2)</f>
      </c>
      <c r="P25" s="149" t="s">
        <v>222</v>
      </c>
      <c r="Q25" s="24"/>
      <c r="R25" s="117" t="str">
        <f>=IFERROR(ROUND(Q25/FB_Kurs_3,2),0)</f>
      </c>
      <c r="S25" s="116" t="str">
        <f>=ROUND(Q25+L25,2)</f>
      </c>
      <c r="T25" s="144" t="str">
        <f>=ROUND(R25+M25,2)</f>
      </c>
      <c r="W25" s="149" t="s">
        <v>222</v>
      </c>
      <c r="X25" s="24"/>
      <c r="Y25" s="117" t="str">
        <f>=IFERROR(ROUND(X25/FB_Kurs_4,2),0)</f>
      </c>
      <c r="Z25" s="116" t="str">
        <f>=ROUND(X25+S25,2)</f>
      </c>
      <c r="AA25" s="144" t="str">
        <f>=ROUND(Y25+T25,2)</f>
      </c>
      <c r="AD25" s="149" t="s">
        <v>222</v>
      </c>
      <c r="AE25" s="24"/>
      <c r="AF25" s="117" t="str">
        <f>=IFERROR(ROUND(AE25/FB_Kurs_5,2),0)</f>
      </c>
      <c r="AG25" s="116" t="str">
        <f>=ROUND(AE25+Z25,2)</f>
      </c>
      <c r="AH25" s="144" t="str">
        <f>=ROUND(AF25+AA25,2)</f>
      </c>
      <c r="AK25" s="149" t="s">
        <v>222</v>
      </c>
      <c r="AL25" s="24"/>
      <c r="AM25" s="117" t="str">
        <f>=IFERROR(ROUND(AL25/FB_Kurs_6,2),0)</f>
      </c>
      <c r="AN25" s="116" t="str">
        <f>=ROUND(AL25+AG25,2)</f>
      </c>
      <c r="AO25" s="144" t="str">
        <f>=ROUND(AM25+AH25,2)</f>
      </c>
      <c r="AR25" s="149" t="s">
        <v>222</v>
      </c>
      <c r="AS25" s="24"/>
      <c r="AT25" s="117" t="str">
        <f>=IFERROR(ROUND(AS25/FB_Kurs_7,2),0)</f>
      </c>
      <c r="AU25" s="116" t="str">
        <f>=ROUND(AS25+AN25,2)</f>
      </c>
      <c r="AV25" s="144" t="str">
        <f>=ROUND(AT25+AO25,2)</f>
      </c>
      <c r="AY25" s="149" t="s">
        <v>222</v>
      </c>
      <c r="AZ25" s="24"/>
      <c r="BA25" s="117" t="str">
        <f>=IFERROR(ROUND(AZ25/FB_Kurs_8,2),0)</f>
      </c>
      <c r="BB25" s="116" t="str">
        <f>=ROUND(AZ25+AU25,2)</f>
      </c>
      <c r="BC25" s="144" t="str">
        <f>=ROUND(BA25+AV25,2)</f>
      </c>
      <c r="BF25" s="149" t="s">
        <v>222</v>
      </c>
      <c r="BG25" s="24"/>
      <c r="BH25" s="117" t="str">
        <f>=IFERROR(ROUND(BG25/FB_Kurs_9,2),0)</f>
      </c>
      <c r="BI25" s="116" t="str">
        <f>=ROUND(BG25+BB25,2)</f>
      </c>
      <c r="BJ25" s="144" t="str">
        <f>=ROUND(BH25+BC25,2)</f>
      </c>
      <c r="BM25" s="149" t="s">
        <v>222</v>
      </c>
      <c r="BN25" s="24"/>
      <c r="BO25" s="117" t="str">
        <f>=IFERROR(ROUND(BN25/FB_Kurs_10,2),0)</f>
      </c>
      <c r="BP25" s="116" t="str">
        <f>=ROUND(BN25+BI25,2)</f>
      </c>
      <c r="BQ25" s="144" t="str">
        <f>=ROUND(BO25+BJ25,2)</f>
      </c>
      <c r="BT25" s="149" t="s">
        <v>222</v>
      </c>
      <c r="BU25" s="24"/>
      <c r="BV25" s="117" t="str">
        <f>=IFERROR(ROUND(BU25/FB_Kurs_11,2),0)</f>
      </c>
      <c r="BW25" s="116" t="str">
        <f>=ROUND(BU25+BP25,2)</f>
      </c>
      <c r="BX25" s="144" t="str">
        <f>=ROUND(BV25+BQ25,2)</f>
      </c>
      <c r="CA25" s="149" t="s">
        <v>222</v>
      </c>
      <c r="CB25" s="24"/>
      <c r="CC25" s="117" t="str">
        <f>=IFERROR(ROUND(CB25/FB_Kurs_12,2),0)</f>
      </c>
      <c r="CD25" s="116" t="str">
        <f>=ROUND(CB25+BW25,2)</f>
      </c>
      <c r="CE25" s="144" t="str">
        <f>=ROUND(CC25+BX25,2)</f>
      </c>
      <c r="CH25" s="149" t="s">
        <v>222</v>
      </c>
      <c r="CI25" s="24"/>
      <c r="CJ25" s="117" t="str">
        <f>=IFERROR(ROUND(CI25/FB_Kurs_13,2),0)</f>
      </c>
      <c r="CK25" s="116" t="str">
        <f>=ROUND(CI25+CD25,2)</f>
      </c>
      <c r="CL25" s="144" t="str">
        <f>=ROUND(CJ25+CE25,2)</f>
      </c>
      <c r="CO25" s="149" t="s">
        <v>222</v>
      </c>
      <c r="CP25" s="24"/>
      <c r="CQ25" s="117" t="str">
        <f>=IFERROR(ROUND(CP25/FB_Kurs_14,2),0)</f>
      </c>
      <c r="CR25" s="116" t="str">
        <f>=ROUND(CP25+CK25,2)</f>
      </c>
      <c r="CS25" s="144" t="str">
        <f>=ROUND(CQ25+CL25,2)</f>
      </c>
      <c r="CV25" s="149" t="s">
        <v>222</v>
      </c>
      <c r="CW25" s="24"/>
      <c r="CX25" s="117" t="str">
        <f>=IFERROR(ROUND(CW25/FB_Kurs_15,2),0)</f>
      </c>
      <c r="CY25" s="116" t="str">
        <f>=ROUND(CW25+CR25,2)</f>
      </c>
      <c r="CZ25" s="144" t="str">
        <f>=ROUND(CX25+CS25,2)</f>
      </c>
      <c r="DC25" s="149" t="s">
        <v>222</v>
      </c>
      <c r="DD25" s="24"/>
      <c r="DE25" s="117" t="str">
        <f>=IFERROR(ROUND(DD25/FB_Kurs_16,2),0)</f>
      </c>
      <c r="DF25" s="116" t="str">
        <f>=ROUND(DD25+CY25,2)</f>
      </c>
      <c r="DG25" s="144" t="str">
        <f>=ROUND(DE25+CZ25,2)</f>
      </c>
      <c r="DJ25" s="149" t="s">
        <v>222</v>
      </c>
      <c r="DK25" s="24"/>
      <c r="DL25" s="117" t="str">
        <f>=IFERROR(ROUND(DK25/FB_Kurs_17,2),0)</f>
      </c>
      <c r="DM25" s="116" t="str">
        <f>=ROUND(DK25+DF25,2)</f>
      </c>
      <c r="DN25" s="144" t="str">
        <f>=ROUND(DL25+DG25,2)</f>
      </c>
      <c r="DQ25" s="149" t="s">
        <v>222</v>
      </c>
      <c r="DR25" s="24"/>
      <c r="DS25" s="117" t="str">
        <f>=IFERROR(ROUND(DR25/FB_Kurs_18,2),0)</f>
      </c>
      <c r="DT25" s="116" t="str">
        <f>=ROUND(DR25+DM25,2)</f>
      </c>
      <c r="DU25" s="144" t="str">
        <f>=ROUND(DS25+DN25,2)</f>
      </c>
    </row>
    <row r="26">
      <c r="B26" s="149" t="s">
        <v>225</v>
      </c>
      <c r="C26" s="24"/>
      <c r="D26" s="117" t="str">
        <f>=IFERROR(ROUND(C26/FB_Kurs_1,2),0)</f>
      </c>
      <c r="E26" s="116" t="str">
        <f>=ROUND(C26,2)</f>
      </c>
      <c r="F26" s="144" t="str">
        <f>=ROUND(D26,2)</f>
      </c>
      <c r="I26" s="149" t="s">
        <v>225</v>
      </c>
      <c r="J26" s="24"/>
      <c r="K26" s="117" t="str">
        <f>=IFERROR(ROUND(J26/FB_Kurs_2,2),0)</f>
      </c>
      <c r="L26" s="116" t="str">
        <f>=ROUND(J26+E26,2)</f>
      </c>
      <c r="M26" s="144" t="str">
        <f>=ROUND(K26+F26,2)</f>
      </c>
      <c r="P26" s="149" t="s">
        <v>225</v>
      </c>
      <c r="Q26" s="24"/>
      <c r="R26" s="117" t="str">
        <f>=IFERROR(ROUND(Q26/FB_Kurs_3,2),0)</f>
      </c>
      <c r="S26" s="116" t="str">
        <f>=ROUND(Q26+L26,2)</f>
      </c>
      <c r="T26" s="144" t="str">
        <f>=ROUND(R26+M26,2)</f>
      </c>
      <c r="W26" s="149" t="s">
        <v>225</v>
      </c>
      <c r="X26" s="24"/>
      <c r="Y26" s="117" t="str">
        <f>=IFERROR(ROUND(X26/FB_Kurs_4,2),0)</f>
      </c>
      <c r="Z26" s="116" t="str">
        <f>=ROUND(X26+S26,2)</f>
      </c>
      <c r="AA26" s="144" t="str">
        <f>=ROUND(Y26+T26,2)</f>
      </c>
      <c r="AD26" s="149" t="s">
        <v>225</v>
      </c>
      <c r="AE26" s="24"/>
      <c r="AF26" s="117" t="str">
        <f>=IFERROR(ROUND(AE26/FB_Kurs_5,2),0)</f>
      </c>
      <c r="AG26" s="116" t="str">
        <f>=ROUND(AE26+Z26,2)</f>
      </c>
      <c r="AH26" s="144" t="str">
        <f>=ROUND(AF26+AA26,2)</f>
      </c>
      <c r="AK26" s="149" t="s">
        <v>225</v>
      </c>
      <c r="AL26" s="24"/>
      <c r="AM26" s="117" t="str">
        <f>=IFERROR(ROUND(AL26/FB_Kurs_6,2),0)</f>
      </c>
      <c r="AN26" s="116" t="str">
        <f>=ROUND(AL26+AG26,2)</f>
      </c>
      <c r="AO26" s="144" t="str">
        <f>=ROUND(AM26+AH26,2)</f>
      </c>
      <c r="AR26" s="149" t="s">
        <v>225</v>
      </c>
      <c r="AS26" s="24"/>
      <c r="AT26" s="117" t="str">
        <f>=IFERROR(ROUND(AS26/FB_Kurs_7,2),0)</f>
      </c>
      <c r="AU26" s="116" t="str">
        <f>=ROUND(AS26+AN26,2)</f>
      </c>
      <c r="AV26" s="144" t="str">
        <f>=ROUND(AT26+AO26,2)</f>
      </c>
      <c r="AY26" s="149" t="s">
        <v>225</v>
      </c>
      <c r="AZ26" s="24"/>
      <c r="BA26" s="117" t="str">
        <f>=IFERROR(ROUND(AZ26/FB_Kurs_8,2),0)</f>
      </c>
      <c r="BB26" s="116" t="str">
        <f>=ROUND(AZ26+AU26,2)</f>
      </c>
      <c r="BC26" s="144" t="str">
        <f>=ROUND(BA26+AV26,2)</f>
      </c>
      <c r="BF26" s="149" t="s">
        <v>225</v>
      </c>
      <c r="BG26" s="24"/>
      <c r="BH26" s="117" t="str">
        <f>=IFERROR(ROUND(BG26/FB_Kurs_9,2),0)</f>
      </c>
      <c r="BI26" s="116" t="str">
        <f>=ROUND(BG26+BB26,2)</f>
      </c>
      <c r="BJ26" s="144" t="str">
        <f>=ROUND(BH26+BC26,2)</f>
      </c>
      <c r="BM26" s="149" t="s">
        <v>225</v>
      </c>
      <c r="BN26" s="24"/>
      <c r="BO26" s="117" t="str">
        <f>=IFERROR(ROUND(BN26/FB_Kurs_10,2),0)</f>
      </c>
      <c r="BP26" s="116" t="str">
        <f>=ROUND(BN26+BI26,2)</f>
      </c>
      <c r="BQ26" s="144" t="str">
        <f>=ROUND(BO26+BJ26,2)</f>
      </c>
      <c r="BT26" s="149" t="s">
        <v>225</v>
      </c>
      <c r="BU26" s="24"/>
      <c r="BV26" s="117" t="str">
        <f>=IFERROR(ROUND(BU26/FB_Kurs_11,2),0)</f>
      </c>
      <c r="BW26" s="116" t="str">
        <f>=ROUND(BU26+BP26,2)</f>
      </c>
      <c r="BX26" s="144" t="str">
        <f>=ROUND(BV26+BQ26,2)</f>
      </c>
      <c r="CA26" s="149" t="s">
        <v>225</v>
      </c>
      <c r="CB26" s="24"/>
      <c r="CC26" s="117" t="str">
        <f>=IFERROR(ROUND(CB26/FB_Kurs_12,2),0)</f>
      </c>
      <c r="CD26" s="116" t="str">
        <f>=ROUND(CB26+BW26,2)</f>
      </c>
      <c r="CE26" s="144" t="str">
        <f>=ROUND(CC26+BX26,2)</f>
      </c>
      <c r="CH26" s="149" t="s">
        <v>225</v>
      </c>
      <c r="CI26" s="24"/>
      <c r="CJ26" s="117" t="str">
        <f>=IFERROR(ROUND(CI26/FB_Kurs_13,2),0)</f>
      </c>
      <c r="CK26" s="116" t="str">
        <f>=ROUND(CI26+CD26,2)</f>
      </c>
      <c r="CL26" s="144" t="str">
        <f>=ROUND(CJ26+CE26,2)</f>
      </c>
      <c r="CO26" s="149" t="s">
        <v>225</v>
      </c>
      <c r="CP26" s="24"/>
      <c r="CQ26" s="117" t="str">
        <f>=IFERROR(ROUND(CP26/FB_Kurs_14,2),0)</f>
      </c>
      <c r="CR26" s="116" t="str">
        <f>=ROUND(CP26+CK26,2)</f>
      </c>
      <c r="CS26" s="144" t="str">
        <f>=ROUND(CQ26+CL26,2)</f>
      </c>
      <c r="CV26" s="149" t="s">
        <v>225</v>
      </c>
      <c r="CW26" s="24"/>
      <c r="CX26" s="117" t="str">
        <f>=IFERROR(ROUND(CW26/FB_Kurs_15,2),0)</f>
      </c>
      <c r="CY26" s="116" t="str">
        <f>=ROUND(CW26+CR26,2)</f>
      </c>
      <c r="CZ26" s="144" t="str">
        <f>=ROUND(CX26+CS26,2)</f>
      </c>
      <c r="DC26" s="149" t="s">
        <v>225</v>
      </c>
      <c r="DD26" s="24"/>
      <c r="DE26" s="117" t="str">
        <f>=IFERROR(ROUND(DD26/FB_Kurs_16,2),0)</f>
      </c>
      <c r="DF26" s="116" t="str">
        <f>=ROUND(DD26+CY26,2)</f>
      </c>
      <c r="DG26" s="144" t="str">
        <f>=ROUND(DE26+CZ26,2)</f>
      </c>
      <c r="DJ26" s="149" t="s">
        <v>225</v>
      </c>
      <c r="DK26" s="24"/>
      <c r="DL26" s="117" t="str">
        <f>=IFERROR(ROUND(DK26/FB_Kurs_17,2),0)</f>
      </c>
      <c r="DM26" s="116" t="str">
        <f>=ROUND(DK26+DF26,2)</f>
      </c>
      <c r="DN26" s="144" t="str">
        <f>=ROUND(DL26+DG26,2)</f>
      </c>
      <c r="DQ26" s="149" t="s">
        <v>225</v>
      </c>
      <c r="DR26" s="24"/>
      <c r="DS26" s="117" t="str">
        <f>=IFERROR(ROUND(DR26/FB_Kurs_18,2),0)</f>
      </c>
      <c r="DT26" s="116" t="str">
        <f>=ROUND(DR26+DM26,2)</f>
      </c>
      <c r="DU26" s="144" t="str">
        <f>=ROUND(DS26+DN26,2)</f>
      </c>
    </row>
    <row r="27">
      <c r="B27" s="149" t="s">
        <v>228</v>
      </c>
      <c r="C27" s="24">
        <v>50000</v>
      </c>
      <c r="D27" s="117" t="str">
        <f>=IFERROR(ROUND(C27/FB_Kurs_1,2),0)</f>
      </c>
      <c r="E27" s="116" t="str">
        <f>=ROUND(C27,2)</f>
      </c>
      <c r="F27" s="144" t="str">
        <f>=ROUND(D27,2)</f>
      </c>
      <c r="I27" s="149" t="s">
        <v>228</v>
      </c>
      <c r="J27" s="24">
        <v>30000</v>
      </c>
      <c r="K27" s="117" t="str">
        <f>=IFERROR(ROUND(J27/FB_Kurs_2,2),0)</f>
      </c>
      <c r="L27" s="116" t="str">
        <f>=ROUND(J27+E27,2)</f>
      </c>
      <c r="M27" s="144" t="str">
        <f>=ROUND(K27+F27,2)</f>
      </c>
      <c r="P27" s="149" t="s">
        <v>228</v>
      </c>
      <c r="Q27" s="24"/>
      <c r="R27" s="117" t="str">
        <f>=IFERROR(ROUND(Q27/FB_Kurs_3,2),0)</f>
      </c>
      <c r="S27" s="116" t="str">
        <f>=ROUND(Q27+L27,2)</f>
      </c>
      <c r="T27" s="144" t="str">
        <f>=ROUND(R27+M27,2)</f>
      </c>
      <c r="W27" s="149" t="s">
        <v>228</v>
      </c>
      <c r="X27" s="24"/>
      <c r="Y27" s="117" t="str">
        <f>=IFERROR(ROUND(X27/FB_Kurs_4,2),0)</f>
      </c>
      <c r="Z27" s="116" t="str">
        <f>=ROUND(X27+S27,2)</f>
      </c>
      <c r="AA27" s="144" t="str">
        <f>=ROUND(Y27+T27,2)</f>
      </c>
      <c r="AD27" s="149" t="s">
        <v>228</v>
      </c>
      <c r="AE27" s="24"/>
      <c r="AF27" s="117" t="str">
        <f>=IFERROR(ROUND(AE27/FB_Kurs_5,2),0)</f>
      </c>
      <c r="AG27" s="116" t="str">
        <f>=ROUND(AE27+Z27,2)</f>
      </c>
      <c r="AH27" s="144" t="str">
        <f>=ROUND(AF27+AA27,2)</f>
      </c>
      <c r="AK27" s="149" t="s">
        <v>228</v>
      </c>
      <c r="AL27" s="24"/>
      <c r="AM27" s="117" t="str">
        <f>=IFERROR(ROUND(AL27/FB_Kurs_6,2),0)</f>
      </c>
      <c r="AN27" s="116" t="str">
        <f>=ROUND(AL27+AG27,2)</f>
      </c>
      <c r="AO27" s="144" t="str">
        <f>=ROUND(AM27+AH27,2)</f>
      </c>
      <c r="AR27" s="149" t="s">
        <v>228</v>
      </c>
      <c r="AS27" s="24"/>
      <c r="AT27" s="117" t="str">
        <f>=IFERROR(ROUND(AS27/FB_Kurs_7,2),0)</f>
      </c>
      <c r="AU27" s="116" t="str">
        <f>=ROUND(AS27+AN27,2)</f>
      </c>
      <c r="AV27" s="144" t="str">
        <f>=ROUND(AT27+AO27,2)</f>
      </c>
      <c r="AY27" s="149" t="s">
        <v>228</v>
      </c>
      <c r="AZ27" s="24"/>
      <c r="BA27" s="117" t="str">
        <f>=IFERROR(ROUND(AZ27/FB_Kurs_8,2),0)</f>
      </c>
      <c r="BB27" s="116" t="str">
        <f>=ROUND(AZ27+AU27,2)</f>
      </c>
      <c r="BC27" s="144" t="str">
        <f>=ROUND(BA27+AV27,2)</f>
      </c>
      <c r="BF27" s="149" t="s">
        <v>228</v>
      </c>
      <c r="BG27" s="24"/>
      <c r="BH27" s="117" t="str">
        <f>=IFERROR(ROUND(BG27/FB_Kurs_9,2),0)</f>
      </c>
      <c r="BI27" s="116" t="str">
        <f>=ROUND(BG27+BB27,2)</f>
      </c>
      <c r="BJ27" s="144" t="str">
        <f>=ROUND(BH27+BC27,2)</f>
      </c>
      <c r="BM27" s="149" t="s">
        <v>228</v>
      </c>
      <c r="BN27" s="24"/>
      <c r="BO27" s="117" t="str">
        <f>=IFERROR(ROUND(BN27/FB_Kurs_10,2),0)</f>
      </c>
      <c r="BP27" s="116" t="str">
        <f>=ROUND(BN27+BI27,2)</f>
      </c>
      <c r="BQ27" s="144" t="str">
        <f>=ROUND(BO27+BJ27,2)</f>
      </c>
      <c r="BT27" s="149" t="s">
        <v>228</v>
      </c>
      <c r="BU27" s="24"/>
      <c r="BV27" s="117" t="str">
        <f>=IFERROR(ROUND(BU27/FB_Kurs_11,2),0)</f>
      </c>
      <c r="BW27" s="116" t="str">
        <f>=ROUND(BU27+BP27,2)</f>
      </c>
      <c r="BX27" s="144" t="str">
        <f>=ROUND(BV27+BQ27,2)</f>
      </c>
      <c r="CA27" s="149" t="s">
        <v>228</v>
      </c>
      <c r="CB27" s="24"/>
      <c r="CC27" s="117" t="str">
        <f>=IFERROR(ROUND(CB27/FB_Kurs_12,2),0)</f>
      </c>
      <c r="CD27" s="116" t="str">
        <f>=ROUND(CB27+BW27,2)</f>
      </c>
      <c r="CE27" s="144" t="str">
        <f>=ROUND(CC27+BX27,2)</f>
      </c>
      <c r="CH27" s="149" t="s">
        <v>228</v>
      </c>
      <c r="CI27" s="24"/>
      <c r="CJ27" s="117" t="str">
        <f>=IFERROR(ROUND(CI27/FB_Kurs_13,2),0)</f>
      </c>
      <c r="CK27" s="116" t="str">
        <f>=ROUND(CI27+CD27,2)</f>
      </c>
      <c r="CL27" s="144" t="str">
        <f>=ROUND(CJ27+CE27,2)</f>
      </c>
      <c r="CO27" s="149" t="s">
        <v>228</v>
      </c>
      <c r="CP27" s="24"/>
      <c r="CQ27" s="117" t="str">
        <f>=IFERROR(ROUND(CP27/FB_Kurs_14,2),0)</f>
      </c>
      <c r="CR27" s="116" t="str">
        <f>=ROUND(CP27+CK27,2)</f>
      </c>
      <c r="CS27" s="144" t="str">
        <f>=ROUND(CQ27+CL27,2)</f>
      </c>
      <c r="CV27" s="149" t="s">
        <v>228</v>
      </c>
      <c r="CW27" s="24"/>
      <c r="CX27" s="117" t="str">
        <f>=IFERROR(ROUND(CW27/FB_Kurs_15,2),0)</f>
      </c>
      <c r="CY27" s="116" t="str">
        <f>=ROUND(CW27+CR27,2)</f>
      </c>
      <c r="CZ27" s="144" t="str">
        <f>=ROUND(CX27+CS27,2)</f>
      </c>
      <c r="DC27" s="149" t="s">
        <v>228</v>
      </c>
      <c r="DD27" s="24"/>
      <c r="DE27" s="117" t="str">
        <f>=IFERROR(ROUND(DD27/FB_Kurs_16,2),0)</f>
      </c>
      <c r="DF27" s="116" t="str">
        <f>=ROUND(DD27+CY27,2)</f>
      </c>
      <c r="DG27" s="144" t="str">
        <f>=ROUND(DE27+CZ27,2)</f>
      </c>
      <c r="DJ27" s="149" t="s">
        <v>228</v>
      </c>
      <c r="DK27" s="24"/>
      <c r="DL27" s="117" t="str">
        <f>=IFERROR(ROUND(DK27/FB_Kurs_17,2),0)</f>
      </c>
      <c r="DM27" s="116" t="str">
        <f>=ROUND(DK27+DF27,2)</f>
      </c>
      <c r="DN27" s="144" t="str">
        <f>=ROUND(DL27+DG27,2)</f>
      </c>
      <c r="DQ27" s="149" t="s">
        <v>228</v>
      </c>
      <c r="DR27" s="24"/>
      <c r="DS27" s="117" t="str">
        <f>=IFERROR(ROUND(DR27/FB_Kurs_18,2),0)</f>
      </c>
      <c r="DT27" s="116" t="str">
        <f>=ROUND(DR27+DM27,2)</f>
      </c>
      <c r="DU27" s="144" t="str">
        <f>=ROUND(DS27+DN27,2)</f>
      </c>
    </row>
    <row r="28">
      <c r="B28" s="149" t="s">
        <v>231</v>
      </c>
      <c r="C28" s="24"/>
      <c r="D28" s="117" t="str">
        <f>=IFERROR(ROUND(C28/FB_Kurs_1,2),0)</f>
      </c>
      <c r="E28" s="116" t="str">
        <f>=ROUND(C28,2)</f>
      </c>
      <c r="F28" s="144" t="str">
        <f>=ROUND(D28,2)</f>
      </c>
      <c r="I28" s="149" t="s">
        <v>231</v>
      </c>
      <c r="J28" s="24"/>
      <c r="K28" s="117" t="str">
        <f>=IFERROR(ROUND(J28/FB_Kurs_2,2),0)</f>
      </c>
      <c r="L28" s="116" t="str">
        <f>=ROUND(J28+E28,2)</f>
      </c>
      <c r="M28" s="144" t="str">
        <f>=ROUND(K28+F28,2)</f>
      </c>
      <c r="P28" s="149" t="s">
        <v>231</v>
      </c>
      <c r="Q28" s="24"/>
      <c r="R28" s="117" t="str">
        <f>=IFERROR(ROUND(Q28/FB_Kurs_3,2),0)</f>
      </c>
      <c r="S28" s="116" t="str">
        <f>=ROUND(Q28+L28,2)</f>
      </c>
      <c r="T28" s="144" t="str">
        <f>=ROUND(R28+M28,2)</f>
      </c>
      <c r="W28" s="149" t="s">
        <v>231</v>
      </c>
      <c r="X28" s="24"/>
      <c r="Y28" s="117" t="str">
        <f>=IFERROR(ROUND(X28/FB_Kurs_4,2),0)</f>
      </c>
      <c r="Z28" s="116" t="str">
        <f>=ROUND(X28+S28,2)</f>
      </c>
      <c r="AA28" s="144" t="str">
        <f>=ROUND(Y28+T28,2)</f>
      </c>
      <c r="AD28" s="149" t="s">
        <v>231</v>
      </c>
      <c r="AE28" s="24"/>
      <c r="AF28" s="117" t="str">
        <f>=IFERROR(ROUND(AE28/FB_Kurs_5,2),0)</f>
      </c>
      <c r="AG28" s="116" t="str">
        <f>=ROUND(AE28+Z28,2)</f>
      </c>
      <c r="AH28" s="144" t="str">
        <f>=ROUND(AF28+AA28,2)</f>
      </c>
      <c r="AK28" s="149" t="s">
        <v>231</v>
      </c>
      <c r="AL28" s="24"/>
      <c r="AM28" s="117" t="str">
        <f>=IFERROR(ROUND(AL28/FB_Kurs_6,2),0)</f>
      </c>
      <c r="AN28" s="116" t="str">
        <f>=ROUND(AL28+AG28,2)</f>
      </c>
      <c r="AO28" s="144" t="str">
        <f>=ROUND(AM28+AH28,2)</f>
      </c>
      <c r="AR28" s="149" t="s">
        <v>231</v>
      </c>
      <c r="AS28" s="24"/>
      <c r="AT28" s="117" t="str">
        <f>=IFERROR(ROUND(AS28/FB_Kurs_7,2),0)</f>
      </c>
      <c r="AU28" s="116" t="str">
        <f>=ROUND(AS28+AN28,2)</f>
      </c>
      <c r="AV28" s="144" t="str">
        <f>=ROUND(AT28+AO28,2)</f>
      </c>
      <c r="AY28" s="149" t="s">
        <v>231</v>
      </c>
      <c r="AZ28" s="24"/>
      <c r="BA28" s="117" t="str">
        <f>=IFERROR(ROUND(AZ28/FB_Kurs_8,2),0)</f>
      </c>
      <c r="BB28" s="116" t="str">
        <f>=ROUND(AZ28+AU28,2)</f>
      </c>
      <c r="BC28" s="144" t="str">
        <f>=ROUND(BA28+AV28,2)</f>
      </c>
      <c r="BF28" s="149" t="s">
        <v>231</v>
      </c>
      <c r="BG28" s="24"/>
      <c r="BH28" s="117" t="str">
        <f>=IFERROR(ROUND(BG28/FB_Kurs_9,2),0)</f>
      </c>
      <c r="BI28" s="116" t="str">
        <f>=ROUND(BG28+BB28,2)</f>
      </c>
      <c r="BJ28" s="144" t="str">
        <f>=ROUND(BH28+BC28,2)</f>
      </c>
      <c r="BM28" s="149" t="s">
        <v>231</v>
      </c>
      <c r="BN28" s="24"/>
      <c r="BO28" s="117" t="str">
        <f>=IFERROR(ROUND(BN28/FB_Kurs_10,2),0)</f>
      </c>
      <c r="BP28" s="116" t="str">
        <f>=ROUND(BN28+BI28,2)</f>
      </c>
      <c r="BQ28" s="144" t="str">
        <f>=ROUND(BO28+BJ28,2)</f>
      </c>
      <c r="BT28" s="149" t="s">
        <v>231</v>
      </c>
      <c r="BU28" s="24"/>
      <c r="BV28" s="117" t="str">
        <f>=IFERROR(ROUND(BU28/FB_Kurs_11,2),0)</f>
      </c>
      <c r="BW28" s="116" t="str">
        <f>=ROUND(BU28+BP28,2)</f>
      </c>
      <c r="BX28" s="144" t="str">
        <f>=ROUND(BV28+BQ28,2)</f>
      </c>
      <c r="CA28" s="149" t="s">
        <v>231</v>
      </c>
      <c r="CB28" s="24"/>
      <c r="CC28" s="117" t="str">
        <f>=IFERROR(ROUND(CB28/FB_Kurs_12,2),0)</f>
      </c>
      <c r="CD28" s="116" t="str">
        <f>=ROUND(CB28+BW28,2)</f>
      </c>
      <c r="CE28" s="144" t="str">
        <f>=ROUND(CC28+BX28,2)</f>
      </c>
      <c r="CH28" s="149" t="s">
        <v>231</v>
      </c>
      <c r="CI28" s="24"/>
      <c r="CJ28" s="117" t="str">
        <f>=IFERROR(ROUND(CI28/FB_Kurs_13,2),0)</f>
      </c>
      <c r="CK28" s="116" t="str">
        <f>=ROUND(CI28+CD28,2)</f>
      </c>
      <c r="CL28" s="144" t="str">
        <f>=ROUND(CJ28+CE28,2)</f>
      </c>
      <c r="CO28" s="149" t="s">
        <v>231</v>
      </c>
      <c r="CP28" s="24"/>
      <c r="CQ28" s="117" t="str">
        <f>=IFERROR(ROUND(CP28/FB_Kurs_14,2),0)</f>
      </c>
      <c r="CR28" s="116" t="str">
        <f>=ROUND(CP28+CK28,2)</f>
      </c>
      <c r="CS28" s="144" t="str">
        <f>=ROUND(CQ28+CL28,2)</f>
      </c>
      <c r="CV28" s="149" t="s">
        <v>231</v>
      </c>
      <c r="CW28" s="24"/>
      <c r="CX28" s="117" t="str">
        <f>=IFERROR(ROUND(CW28/FB_Kurs_15,2),0)</f>
      </c>
      <c r="CY28" s="116" t="str">
        <f>=ROUND(CW28+CR28,2)</f>
      </c>
      <c r="CZ28" s="144" t="str">
        <f>=ROUND(CX28+CS28,2)</f>
      </c>
      <c r="DC28" s="149" t="s">
        <v>231</v>
      </c>
      <c r="DD28" s="24"/>
      <c r="DE28" s="117" t="str">
        <f>=IFERROR(ROUND(DD28/FB_Kurs_16,2),0)</f>
      </c>
      <c r="DF28" s="116" t="str">
        <f>=ROUND(DD28+CY28,2)</f>
      </c>
      <c r="DG28" s="144" t="str">
        <f>=ROUND(DE28+CZ28,2)</f>
      </c>
      <c r="DJ28" s="149" t="s">
        <v>231</v>
      </c>
      <c r="DK28" s="24"/>
      <c r="DL28" s="117" t="str">
        <f>=IFERROR(ROUND(DK28/FB_Kurs_17,2),0)</f>
      </c>
      <c r="DM28" s="116" t="str">
        <f>=ROUND(DK28+DF28,2)</f>
      </c>
      <c r="DN28" s="144" t="str">
        <f>=ROUND(DL28+DG28,2)</f>
      </c>
      <c r="DQ28" s="149" t="s">
        <v>231</v>
      </c>
      <c r="DR28" s="24"/>
      <c r="DS28" s="117" t="str">
        <f>=IFERROR(ROUND(DR28/FB_Kurs_18,2),0)</f>
      </c>
      <c r="DT28" s="116" t="str">
        <f>=ROUND(DR28+DM28,2)</f>
      </c>
      <c r="DU28" s="144" t="str">
        <f>=ROUND(DS28+DN28,2)</f>
      </c>
    </row>
    <row r="29">
      <c r="B29" s="150" t="s">
        <v>308</v>
      </c>
      <c r="C29" s="124" t="str">
        <f>=ROUND(SUBTOTAL(109,$C$19:$C$28),2)</f>
      </c>
      <c r="D29" s="125" t="str">
        <f>=ROUND(SUBTOTAL(109,$D$19:$D$28),2)</f>
      </c>
      <c r="E29" s="124" t="str">
        <f>=ROUND(SUBTOTAL(109,$E$19:$E$28),2)</f>
      </c>
      <c r="F29" s="151" t="str">
        <f>=ROUND(SUBTOTAL(109,$F$19:$F$28),2)</f>
      </c>
      <c r="I29" s="150" t="s">
        <v>308</v>
      </c>
      <c r="J29" s="124" t="str">
        <f>=ROUND(SUBTOTAL(109,$J$19:$J$28),2)</f>
      </c>
      <c r="K29" s="125" t="str">
        <f>=ROUND(SUBTOTAL(109,$K$19:$K$28),2)</f>
      </c>
      <c r="L29" s="124" t="str">
        <f>=ROUND(SUBTOTAL(109,$L$19:$L$28),2)</f>
      </c>
      <c r="M29" s="151" t="str">
        <f>=ROUND(SUBTOTAL(109,$M$19:$M$28),2)</f>
      </c>
      <c r="P29" s="150" t="s">
        <v>308</v>
      </c>
      <c r="Q29" s="124" t="str">
        <f>=ROUND(SUBTOTAL(109,$Q$19:$Q$28),2)</f>
      </c>
      <c r="R29" s="125" t="str">
        <f>=ROUND(SUBTOTAL(109,$R$19:$R$28),2)</f>
      </c>
      <c r="S29" s="124" t="str">
        <f>=ROUND(SUBTOTAL(109,$S$19:$S$28),2)</f>
      </c>
      <c r="T29" s="151" t="str">
        <f>=ROUND(SUBTOTAL(109,$T$19:$T$28),2)</f>
      </c>
      <c r="W29" s="150" t="s">
        <v>308</v>
      </c>
      <c r="X29" s="124" t="str">
        <f>=ROUND(SUBTOTAL(109,$X$19:$X$28),2)</f>
      </c>
      <c r="Y29" s="125" t="str">
        <f>=ROUND(SUBTOTAL(109,$Y$19:$Y$28),2)</f>
      </c>
      <c r="Z29" s="124" t="str">
        <f>=ROUND(SUBTOTAL(109,$Z$19:$Z$28),2)</f>
      </c>
      <c r="AA29" s="151" t="str">
        <f>=ROUND(SUBTOTAL(109,$AA$19:$AA$28),2)</f>
      </c>
      <c r="AD29" s="150" t="s">
        <v>308</v>
      </c>
      <c r="AE29" s="124" t="str">
        <f>=ROUND(SUBTOTAL(109,$AE$19:$AE$28),2)</f>
      </c>
      <c r="AF29" s="125" t="str">
        <f>=ROUND(SUBTOTAL(109,$AF$19:$AF$28),2)</f>
      </c>
      <c r="AG29" s="124" t="str">
        <f>=ROUND(SUBTOTAL(109,$AG$19:$AG$28),2)</f>
      </c>
      <c r="AH29" s="151" t="str">
        <f>=ROUND(SUBTOTAL(109,$AH$19:$AH$28),2)</f>
      </c>
      <c r="AK29" s="150" t="s">
        <v>308</v>
      </c>
      <c r="AL29" s="124" t="str">
        <f>=ROUND(SUBTOTAL(109,$AL$19:$AL$28),2)</f>
      </c>
      <c r="AM29" s="125" t="str">
        <f>=ROUND(SUBTOTAL(109,$AM$19:$AM$28),2)</f>
      </c>
      <c r="AN29" s="124" t="str">
        <f>=ROUND(SUBTOTAL(109,$AN$19:$AN$28),2)</f>
      </c>
      <c r="AO29" s="151" t="str">
        <f>=ROUND(SUBTOTAL(109,$AO$19:$AO$28),2)</f>
      </c>
      <c r="AR29" s="150" t="s">
        <v>308</v>
      </c>
      <c r="AS29" s="124" t="str">
        <f>=ROUND(SUBTOTAL(109,$AS$19:$AS$28),2)</f>
      </c>
      <c r="AT29" s="125" t="str">
        <f>=ROUND(SUBTOTAL(109,$AT$19:$AT$28),2)</f>
      </c>
      <c r="AU29" s="124" t="str">
        <f>=ROUND(SUBTOTAL(109,$AU$19:$AU$28),2)</f>
      </c>
      <c r="AV29" s="151" t="str">
        <f>=ROUND(SUBTOTAL(109,$AV$19:$AV$28),2)</f>
      </c>
      <c r="AY29" s="150" t="s">
        <v>308</v>
      </c>
      <c r="AZ29" s="124" t="str">
        <f>=ROUND(SUBTOTAL(109,$AZ$19:$AZ$28),2)</f>
      </c>
      <c r="BA29" s="125" t="str">
        <f>=ROUND(SUBTOTAL(109,$BA$19:$BA$28),2)</f>
      </c>
      <c r="BB29" s="124" t="str">
        <f>=ROUND(SUBTOTAL(109,$BB$19:$BB$28),2)</f>
      </c>
      <c r="BC29" s="151" t="str">
        <f>=ROUND(SUBTOTAL(109,$BC$19:$BC$28),2)</f>
      </c>
      <c r="BF29" s="150" t="s">
        <v>308</v>
      </c>
      <c r="BG29" s="124" t="str">
        <f>=ROUND(SUBTOTAL(109,$BG$19:$BG$28),2)</f>
      </c>
      <c r="BH29" s="125" t="str">
        <f>=ROUND(SUBTOTAL(109,$BH$19:$BH$28),2)</f>
      </c>
      <c r="BI29" s="124" t="str">
        <f>=ROUND(SUBTOTAL(109,$BI$19:$BI$28),2)</f>
      </c>
      <c r="BJ29" s="151" t="str">
        <f>=ROUND(SUBTOTAL(109,$BJ$19:$BJ$28),2)</f>
      </c>
      <c r="BM29" s="150" t="s">
        <v>308</v>
      </c>
      <c r="BN29" s="124" t="str">
        <f>=ROUND(SUBTOTAL(109,$BN$19:$BN$28),2)</f>
      </c>
      <c r="BO29" s="125" t="str">
        <f>=ROUND(SUBTOTAL(109,$BO$19:$BO$28),2)</f>
      </c>
      <c r="BP29" s="124" t="str">
        <f>=ROUND(SUBTOTAL(109,$BP$19:$BP$28),2)</f>
      </c>
      <c r="BQ29" s="151" t="str">
        <f>=ROUND(SUBTOTAL(109,$BQ$19:$BQ$28),2)</f>
      </c>
      <c r="BT29" s="150" t="s">
        <v>308</v>
      </c>
      <c r="BU29" s="124" t="str">
        <f>=ROUND(SUBTOTAL(109,$BU$19:$BU$28),2)</f>
      </c>
      <c r="BV29" s="125" t="str">
        <f>=ROUND(SUBTOTAL(109,$BV$19:$BV$28),2)</f>
      </c>
      <c r="BW29" s="124" t="str">
        <f>=ROUND(SUBTOTAL(109,$BW$19:$BW$28),2)</f>
      </c>
      <c r="BX29" s="151" t="str">
        <f>=ROUND(SUBTOTAL(109,$BX$19:$BX$28),2)</f>
      </c>
      <c r="CA29" s="150" t="s">
        <v>308</v>
      </c>
      <c r="CB29" s="124" t="str">
        <f>=ROUND(SUBTOTAL(109,$CB$19:$CB$28),2)</f>
      </c>
      <c r="CC29" s="125" t="str">
        <f>=ROUND(SUBTOTAL(109,$CC$19:$CC$28),2)</f>
      </c>
      <c r="CD29" s="124" t="str">
        <f>=ROUND(SUBTOTAL(109,$CD$19:$CD$28),2)</f>
      </c>
      <c r="CE29" s="151" t="str">
        <f>=ROUND(SUBTOTAL(109,$CE$19:$CE$28),2)</f>
      </c>
      <c r="CH29" s="150" t="s">
        <v>308</v>
      </c>
      <c r="CI29" s="124" t="str">
        <f>=ROUND(SUBTOTAL(109,$CI$19:$CI$28),2)</f>
      </c>
      <c r="CJ29" s="125" t="str">
        <f>=ROUND(SUBTOTAL(109,$CJ$19:$CJ$28),2)</f>
      </c>
      <c r="CK29" s="124" t="str">
        <f>=ROUND(SUBTOTAL(109,$CK$19:$CK$28),2)</f>
      </c>
      <c r="CL29" s="151" t="str">
        <f>=ROUND(SUBTOTAL(109,$CL$19:$CL$28),2)</f>
      </c>
      <c r="CO29" s="150" t="s">
        <v>308</v>
      </c>
      <c r="CP29" s="124" t="str">
        <f>=ROUND(SUBTOTAL(109,$CP$19:$CP$28),2)</f>
      </c>
      <c r="CQ29" s="125" t="str">
        <f>=ROUND(SUBTOTAL(109,$CQ$19:$CQ$28),2)</f>
      </c>
      <c r="CR29" s="124" t="str">
        <f>=ROUND(SUBTOTAL(109,$CR$19:$CR$28),2)</f>
      </c>
      <c r="CS29" s="151" t="str">
        <f>=ROUND(SUBTOTAL(109,$CS$19:$CS$28),2)</f>
      </c>
      <c r="CV29" s="150" t="s">
        <v>308</v>
      </c>
      <c r="CW29" s="124" t="str">
        <f>=ROUND(SUBTOTAL(109,$CW$19:$CW$28),2)</f>
      </c>
      <c r="CX29" s="125" t="str">
        <f>=ROUND(SUBTOTAL(109,$CX$19:$CX$28),2)</f>
      </c>
      <c r="CY29" s="124" t="str">
        <f>=ROUND(SUBTOTAL(109,$CY$19:$CY$28),2)</f>
      </c>
      <c r="CZ29" s="151" t="str">
        <f>=ROUND(SUBTOTAL(109,$CZ$19:$CZ$28),2)</f>
      </c>
      <c r="DC29" s="150" t="s">
        <v>308</v>
      </c>
      <c r="DD29" s="124" t="str">
        <f>=ROUND(SUBTOTAL(109,$DD$19:$DD$28),2)</f>
      </c>
      <c r="DE29" s="125" t="str">
        <f>=ROUND(SUBTOTAL(109,$DE$19:$DE$28),2)</f>
      </c>
      <c r="DF29" s="124" t="str">
        <f>=ROUND(SUBTOTAL(109,$DF$19:$DF$28),2)</f>
      </c>
      <c r="DG29" s="151" t="str">
        <f>=ROUND(SUBTOTAL(109,$DG$19:$DG$28),2)</f>
      </c>
      <c r="DJ29" s="150" t="s">
        <v>308</v>
      </c>
      <c r="DK29" s="124" t="str">
        <f>=ROUND(SUBTOTAL(109,$DK$19:$DK$28),2)</f>
      </c>
      <c r="DL29" s="125" t="str">
        <f>=ROUND(SUBTOTAL(109,$DL$19:$DL$28),2)</f>
      </c>
      <c r="DM29" s="124" t="str">
        <f>=ROUND(SUBTOTAL(109,$DM$19:$DM$28),2)</f>
      </c>
      <c r="DN29" s="151" t="str">
        <f>=ROUND(SUBTOTAL(109,$DN$19:$DN$28),2)</f>
      </c>
      <c r="DQ29" s="150" t="s">
        <v>308</v>
      </c>
      <c r="DR29" s="124" t="str">
        <f>=ROUND(SUBTOTAL(109,$DR$19:$DR$28),2)</f>
      </c>
      <c r="DS29" s="125" t="str">
        <f>=ROUND(SUBTOTAL(109,$DS$19:$DS$28),2)</f>
      </c>
      <c r="DT29" s="124" t="str">
        <f>=ROUND(SUBTOTAL(109,$DT$19:$DT$28),2)</f>
      </c>
      <c r="DU29" s="151" t="str">
        <f>=ROUND(SUBTOTAL(109,$DU$19:$DU$28),2)</f>
      </c>
    </row>
    <row r="30">
      <c r="B30" s="47"/>
      <c r="F30" s="48"/>
      <c r="I30" s="47"/>
      <c r="M30" s="48"/>
      <c r="P30" s="47"/>
      <c r="T30" s="48"/>
      <c r="W30" s="47"/>
      <c r="AA30" s="48"/>
      <c r="AD30" s="47"/>
      <c r="AH30" s="48"/>
      <c r="AK30" s="47"/>
      <c r="AO30" s="48"/>
      <c r="AR30" s="47"/>
      <c r="AV30" s="48"/>
      <c r="AY30" s="47"/>
      <c r="BC30" s="48"/>
      <c r="BF30" s="47"/>
      <c r="BJ30" s="48"/>
      <c r="BM30" s="47"/>
      <c r="BQ30" s="48"/>
      <c r="BT30" s="47"/>
      <c r="BX30" s="48"/>
      <c r="CA30" s="47"/>
      <c r="CE30" s="48"/>
      <c r="CH30" s="47"/>
      <c r="CL30" s="48"/>
      <c r="CO30" s="47"/>
      <c r="CS30" s="48"/>
      <c r="CV30" s="47"/>
      <c r="CZ30" s="48"/>
      <c r="DC30" s="47"/>
      <c r="DG30" s="48"/>
      <c r="DJ30" s="47"/>
      <c r="DN30" s="48"/>
      <c r="DQ30" s="47"/>
      <c r="DU30" s="48"/>
    </row>
    <row r="31">
      <c r="B31" s="138" t="s">
        <v>309</v>
      </c>
      <c r="C31" s="126" t="str">
        <f>=ROUND(IFERROR(C16-$C$29,""),2)</f>
      </c>
      <c r="D31" s="127" t="str">
        <f>=ROUND(IFERROR(D16-$D$29,""),2)</f>
      </c>
      <c r="E31" s="126" t="str">
        <f>=ROUND(IFERROR(E16-E29,""),2)</f>
      </c>
      <c r="F31" s="152" t="str">
        <f>=ROUND(IFERROR(F16-F29,""),2)</f>
      </c>
      <c r="I31" s="138" t="s">
        <v>309</v>
      </c>
      <c r="J31" s="126" t="str">
        <f>=ROUND(IFERROR(J16-$J$29,""),2)</f>
      </c>
      <c r="K31" s="127" t="str">
        <f>=ROUND(IFERROR(K16-$K$29,""),2)</f>
      </c>
      <c r="L31" s="126" t="str">
        <f>=ROUND(IFERROR(L16-L29,""),2)</f>
      </c>
      <c r="M31" s="152" t="str">
        <f>=ROUND(IFERROR(M16-M29,""),2)</f>
      </c>
      <c r="P31" s="138" t="s">
        <v>309</v>
      </c>
      <c r="Q31" s="126" t="str">
        <f>=ROUND(IFERROR(Q16-$Q$29,""),2)</f>
      </c>
      <c r="R31" s="127" t="str">
        <f>=ROUND(IFERROR(R16-$R$29,""),2)</f>
      </c>
      <c r="S31" s="126" t="str">
        <f>=ROUND(IFERROR(S16-S29,""),2)</f>
      </c>
      <c r="T31" s="152" t="str">
        <f>=ROUND(IFERROR(T16-T29,""),2)</f>
      </c>
      <c r="W31" s="138" t="s">
        <v>309</v>
      </c>
      <c r="X31" s="126" t="str">
        <f>=ROUND(IFERROR(X16-$X$29,""),2)</f>
      </c>
      <c r="Y31" s="127" t="str">
        <f>=ROUND(IFERROR(Y16-$Y$29,""),2)</f>
      </c>
      <c r="Z31" s="126" t="str">
        <f>=ROUND(IFERROR(Z16-Z29,""),2)</f>
      </c>
      <c r="AA31" s="152" t="str">
        <f>=ROUND(IFERROR(AA16-AA29,""),2)</f>
      </c>
      <c r="AD31" s="138" t="s">
        <v>309</v>
      </c>
      <c r="AE31" s="126" t="str">
        <f>=ROUND(IFERROR(AE16-$AE$29,""),2)</f>
      </c>
      <c r="AF31" s="127" t="str">
        <f>=ROUND(IFERROR(AF16-$AF$29,""),2)</f>
      </c>
      <c r="AG31" s="126" t="str">
        <f>=ROUND(IFERROR(AG16-AG29,""),2)</f>
      </c>
      <c r="AH31" s="152" t="str">
        <f>=ROUND(IFERROR(AH16-AH29,""),2)</f>
      </c>
      <c r="AK31" s="138" t="s">
        <v>309</v>
      </c>
      <c r="AL31" s="126" t="str">
        <f>=ROUND(IFERROR(AL16-$AL$29,""),2)</f>
      </c>
      <c r="AM31" s="127" t="str">
        <f>=ROUND(IFERROR(AM16-$AM$29,""),2)</f>
      </c>
      <c r="AN31" s="126" t="str">
        <f>=ROUND(IFERROR(AN16-AN29,""),2)</f>
      </c>
      <c r="AO31" s="152" t="str">
        <f>=ROUND(IFERROR(AO16-AO29,""),2)</f>
      </c>
      <c r="AR31" s="138" t="s">
        <v>309</v>
      </c>
      <c r="AS31" s="126" t="str">
        <f>=ROUND(IFERROR(AS16-$AS$29,""),2)</f>
      </c>
      <c r="AT31" s="127" t="str">
        <f>=ROUND(IFERROR(AT16-$AT$29,""),2)</f>
      </c>
      <c r="AU31" s="126" t="str">
        <f>=ROUND(IFERROR(AU16-AU29,""),2)</f>
      </c>
      <c r="AV31" s="152" t="str">
        <f>=ROUND(IFERROR(AV16-AV29,""),2)</f>
      </c>
      <c r="AY31" s="138" t="s">
        <v>309</v>
      </c>
      <c r="AZ31" s="126" t="str">
        <f>=ROUND(IFERROR(AZ16-$AZ$29,""),2)</f>
      </c>
      <c r="BA31" s="127" t="str">
        <f>=ROUND(IFERROR(BA16-$BA$29,""),2)</f>
      </c>
      <c r="BB31" s="126" t="str">
        <f>=ROUND(IFERROR(BB16-BB29,""),2)</f>
      </c>
      <c r="BC31" s="152" t="str">
        <f>=ROUND(IFERROR(BC16-BC29,""),2)</f>
      </c>
      <c r="BF31" s="138" t="s">
        <v>309</v>
      </c>
      <c r="BG31" s="126" t="str">
        <f>=ROUND(IFERROR(BG16-$BG$29,""),2)</f>
      </c>
      <c r="BH31" s="127" t="str">
        <f>=ROUND(IFERROR(BH16-$BH$29,""),2)</f>
      </c>
      <c r="BI31" s="126" t="str">
        <f>=ROUND(IFERROR(BI16-BI29,""),2)</f>
      </c>
      <c r="BJ31" s="152" t="str">
        <f>=ROUND(IFERROR(BJ16-BJ29,""),2)</f>
      </c>
      <c r="BM31" s="138" t="s">
        <v>309</v>
      </c>
      <c r="BN31" s="126" t="str">
        <f>=ROUND(IFERROR(BN16-$BN$29,""),2)</f>
      </c>
      <c r="BO31" s="127" t="str">
        <f>=ROUND(IFERROR(BO16-$BO$29,""),2)</f>
      </c>
      <c r="BP31" s="126" t="str">
        <f>=ROUND(IFERROR(BP16-BP29,""),2)</f>
      </c>
      <c r="BQ31" s="152" t="str">
        <f>=ROUND(IFERROR(BQ16-BQ29,""),2)</f>
      </c>
      <c r="BT31" s="138" t="s">
        <v>309</v>
      </c>
      <c r="BU31" s="126" t="str">
        <f>=ROUND(IFERROR(BU16-$BU$29,""),2)</f>
      </c>
      <c r="BV31" s="127" t="str">
        <f>=ROUND(IFERROR(BV16-$BV$29,""),2)</f>
      </c>
      <c r="BW31" s="126" t="str">
        <f>=ROUND(IFERROR(BW16-BW29,""),2)</f>
      </c>
      <c r="BX31" s="152" t="str">
        <f>=ROUND(IFERROR(BX16-BX29,""),2)</f>
      </c>
      <c r="CA31" s="138" t="s">
        <v>309</v>
      </c>
      <c r="CB31" s="126" t="str">
        <f>=ROUND(IFERROR(CB16-$CB$29,""),2)</f>
      </c>
      <c r="CC31" s="127" t="str">
        <f>=ROUND(IFERROR(CC16-$CC$29,""),2)</f>
      </c>
      <c r="CD31" s="126" t="str">
        <f>=ROUND(IFERROR(CD16-CD29,""),2)</f>
      </c>
      <c r="CE31" s="152" t="str">
        <f>=ROUND(IFERROR(CE16-CE29,""),2)</f>
      </c>
      <c r="CH31" s="138" t="s">
        <v>309</v>
      </c>
      <c r="CI31" s="126" t="str">
        <f>=ROUND(IFERROR(CI16-$CI$29,""),2)</f>
      </c>
      <c r="CJ31" s="127" t="str">
        <f>=ROUND(IFERROR(CJ16-$CJ$29,""),2)</f>
      </c>
      <c r="CK31" s="126" t="str">
        <f>=ROUND(IFERROR(CK16-CK29,""),2)</f>
      </c>
      <c r="CL31" s="152" t="str">
        <f>=ROUND(IFERROR(CL16-CL29,""),2)</f>
      </c>
      <c r="CO31" s="138" t="s">
        <v>309</v>
      </c>
      <c r="CP31" s="126" t="str">
        <f>=ROUND(IFERROR(CP16-$CP$29,""),2)</f>
      </c>
      <c r="CQ31" s="127" t="str">
        <f>=ROUND(IFERROR(CQ16-$CQ$29,""),2)</f>
      </c>
      <c r="CR31" s="126" t="str">
        <f>=ROUND(IFERROR(CR16-CR29,""),2)</f>
      </c>
      <c r="CS31" s="152" t="str">
        <f>=ROUND(IFERROR(CS16-CS29,""),2)</f>
      </c>
      <c r="CV31" s="138" t="s">
        <v>309</v>
      </c>
      <c r="CW31" s="126" t="str">
        <f>=ROUND(IFERROR(CW16-$CW$29,""),2)</f>
      </c>
      <c r="CX31" s="127" t="str">
        <f>=ROUND(IFERROR(CX16-$CX$29,""),2)</f>
      </c>
      <c r="CY31" s="126" t="str">
        <f>=ROUND(IFERROR(CY16-CY29,""),2)</f>
      </c>
      <c r="CZ31" s="152" t="str">
        <f>=ROUND(IFERROR(CZ16-CZ29,""),2)</f>
      </c>
      <c r="DC31" s="138" t="s">
        <v>309</v>
      </c>
      <c r="DD31" s="126" t="str">
        <f>=ROUND(IFERROR(DD16-$DD$29,""),2)</f>
      </c>
      <c r="DE31" s="127" t="str">
        <f>=ROUND(IFERROR(DE16-$DE$29,""),2)</f>
      </c>
      <c r="DF31" s="126" t="str">
        <f>=ROUND(IFERROR(DF16-DF29,""),2)</f>
      </c>
      <c r="DG31" s="152" t="str">
        <f>=ROUND(IFERROR(DG16-DG29,""),2)</f>
      </c>
      <c r="DJ31" s="138" t="s">
        <v>309</v>
      </c>
      <c r="DK31" s="126" t="str">
        <f>=ROUND(IFERROR(DK16-$DK$29,""),2)</f>
      </c>
      <c r="DL31" s="127" t="str">
        <f>=ROUND(IFERROR(DL16-$DL$29,""),2)</f>
      </c>
      <c r="DM31" s="126" t="str">
        <f>=ROUND(IFERROR(DM16-DM29,""),2)</f>
      </c>
      <c r="DN31" s="152" t="str">
        <f>=ROUND(IFERROR(DN16-DN29,""),2)</f>
      </c>
      <c r="DQ31" s="138" t="s">
        <v>309</v>
      </c>
      <c r="DR31" s="126" t="str">
        <f>=ROUND(IFERROR(DR16-$DR$29,""),2)</f>
      </c>
      <c r="DS31" s="127" t="str">
        <f>=ROUND(IFERROR(DS16-$DS$29,""),2)</f>
      </c>
      <c r="DT31" s="126" t="str">
        <f>=ROUND(IFERROR(DT16-DT29,""),2)</f>
      </c>
      <c r="DU31" s="152" t="str">
        <f>=ROUND(IFERROR(DU16-DU29,""),2)</f>
      </c>
    </row>
    <row r="32">
      <c r="B32" s="47"/>
      <c r="F32" s="48"/>
      <c r="I32" s="47"/>
      <c r="M32" s="48"/>
      <c r="P32" s="47"/>
      <c r="T32" s="48"/>
      <c r="W32" s="47"/>
      <c r="AA32" s="48"/>
      <c r="AD32" s="47"/>
      <c r="AH32" s="48"/>
      <c r="AK32" s="47"/>
      <c r="AO32" s="48"/>
      <c r="AR32" s="47"/>
      <c r="AV32" s="48"/>
      <c r="AY32" s="47"/>
      <c r="BC32" s="48"/>
      <c r="BF32" s="47"/>
      <c r="BJ32" s="48"/>
      <c r="BM32" s="47"/>
      <c r="BQ32" s="48"/>
      <c r="BT32" s="47"/>
      <c r="BX32" s="48"/>
      <c r="CA32" s="47"/>
      <c r="CE32" s="48"/>
      <c r="CH32" s="47"/>
      <c r="CL32" s="48"/>
      <c r="CO32" s="47"/>
      <c r="CS32" s="48"/>
      <c r="CV32" s="47"/>
      <c r="CZ32" s="48"/>
      <c r="DC32" s="47"/>
      <c r="DG32" s="48"/>
      <c r="DJ32" s="47"/>
      <c r="DN32" s="48"/>
      <c r="DQ32" s="47"/>
      <c r="DU32" s="48"/>
    </row>
    <row r="33">
      <c r="B33" s="153" t="s">
        <v>310</v>
      </c>
      <c r="F33" s="48"/>
      <c r="I33" s="153" t="s">
        <v>310</v>
      </c>
      <c r="M33" s="48"/>
      <c r="P33" s="153" t="s">
        <v>310</v>
      </c>
      <c r="T33" s="48"/>
      <c r="W33" s="153" t="s">
        <v>310</v>
      </c>
      <c r="AA33" s="48"/>
      <c r="AD33" s="153" t="s">
        <v>310</v>
      </c>
      <c r="AH33" s="48"/>
      <c r="AK33" s="153" t="s">
        <v>310</v>
      </c>
      <c r="AO33" s="48"/>
      <c r="AR33" s="153" t="s">
        <v>310</v>
      </c>
      <c r="AV33" s="48"/>
      <c r="AY33" s="153" t="s">
        <v>310</v>
      </c>
      <c r="BC33" s="48"/>
      <c r="BF33" s="153" t="s">
        <v>310</v>
      </c>
      <c r="BJ33" s="48"/>
      <c r="BM33" s="153" t="s">
        <v>310</v>
      </c>
      <c r="BQ33" s="48"/>
      <c r="BT33" s="153" t="s">
        <v>310</v>
      </c>
      <c r="BX33" s="48"/>
      <c r="CA33" s="153" t="s">
        <v>310</v>
      </c>
      <c r="CE33" s="48"/>
      <c r="CH33" s="153" t="s">
        <v>310</v>
      </c>
      <c r="CL33" s="48"/>
      <c r="CO33" s="153" t="s">
        <v>310</v>
      </c>
      <c r="CS33" s="48"/>
      <c r="CV33" s="153" t="s">
        <v>310</v>
      </c>
      <c r="CZ33" s="48"/>
      <c r="DC33" s="153" t="s">
        <v>310</v>
      </c>
      <c r="DG33" s="48"/>
      <c r="DJ33" s="153" t="s">
        <v>310</v>
      </c>
      <c r="DN33" s="48"/>
      <c r="DQ33" s="153" t="s">
        <v>310</v>
      </c>
      <c r="DU33" s="48"/>
    </row>
    <row r="34">
      <c r="B34" s="154" t="s">
        <v>311</v>
      </c>
      <c r="C34" s="129">
        <v>325000</v>
      </c>
      <c r="D34" s="130" t="str">
        <f>=IF(C34=0, 0, IF(ROUND(SUM(C35:C36), 2)=0, ROUND(D31 - 0, 2), ROUND(C34 / ROUND(SUM(C34:C36), 2) * D31, 2)))</f>
      </c>
      <c r="F34" s="48"/>
      <c r="I34" s="154" t="s">
        <v>311</v>
      </c>
      <c r="J34" s="129">
        <v>375000</v>
      </c>
      <c r="K34" s="130" t="str">
        <f>=IF(J34=0, 0, IF(ROUND(SUM(J35:J36), 2)=0, ROUND(K31 - 0, 2), ROUND(J34 / ROUND(SUM(J34:J36), 2) * K31, 2)))</f>
      </c>
      <c r="M34" s="48"/>
      <c r="P34" s="154" t="s">
        <v>311</v>
      </c>
      <c r="Q34" s="129"/>
      <c r="R34" s="130" t="str">
        <f>=IF(Q34=0, 0, IF(ROUND(SUM(Q35:Q36), 2)=0, ROUND(R31 - 0, 2), ROUND(Q34 / ROUND(SUM(Q34:Q36), 2) * R31, 2)))</f>
      </c>
      <c r="T34" s="48"/>
      <c r="W34" s="154" t="s">
        <v>311</v>
      </c>
      <c r="X34" s="129"/>
      <c r="Y34" s="130" t="str">
        <f>=IF(X34=0, 0, IF(ROUND(SUM(X35:X36), 2)=0, ROUND(Y31 - 0, 2), ROUND(X34 / ROUND(SUM(X34:X36), 2) * Y31, 2)))</f>
      </c>
      <c r="AA34" s="48"/>
      <c r="AD34" s="154" t="s">
        <v>311</v>
      </c>
      <c r="AE34" s="129"/>
      <c r="AF34" s="130" t="str">
        <f>=IF(AE34=0, 0, IF(ROUND(SUM(AE35:AE36), 2)=0, ROUND(AF31 - 0, 2), ROUND(AE34 / ROUND(SUM(AE34:AE36), 2) * AF31, 2)))</f>
      </c>
      <c r="AH34" s="48"/>
      <c r="AK34" s="154" t="s">
        <v>311</v>
      </c>
      <c r="AL34" s="129"/>
      <c r="AM34" s="130" t="str">
        <f>=IF(AL34=0, 0, IF(ROUND(SUM(AL35:AL36), 2)=0, ROUND(AM31 - 0, 2), ROUND(AL34 / ROUND(SUM(AL34:AL36), 2) * AM31, 2)))</f>
      </c>
      <c r="AO34" s="48"/>
      <c r="AR34" s="154" t="s">
        <v>311</v>
      </c>
      <c r="AS34" s="129"/>
      <c r="AT34" s="130" t="str">
        <f>=IF(AS34=0, 0, IF(ROUND(SUM(AS35:AS36), 2)=0, ROUND(AT31 - 0, 2), ROUND(AS34 / ROUND(SUM(AS34:AS36), 2) * AT31, 2)))</f>
      </c>
      <c r="AV34" s="48"/>
      <c r="AY34" s="154" t="s">
        <v>311</v>
      </c>
      <c r="AZ34" s="129"/>
      <c r="BA34" s="130" t="str">
        <f>=IF(AZ34=0, 0, IF(ROUND(SUM(AZ35:AZ36), 2)=0, ROUND(BA31 - 0, 2), ROUND(AZ34 / ROUND(SUM(AZ34:AZ36), 2) * BA31, 2)))</f>
      </c>
      <c r="BC34" s="48"/>
      <c r="BF34" s="154" t="s">
        <v>311</v>
      </c>
      <c r="BG34" s="129"/>
      <c r="BH34" s="130" t="str">
        <f>=IF(BG34=0, 0, IF(ROUND(SUM(BG35:BG36), 2)=0, ROUND(BH31 - 0, 2), ROUND(BG34 / ROUND(SUM(BG34:BG36), 2) * BH31, 2)))</f>
      </c>
      <c r="BJ34" s="48"/>
      <c r="BM34" s="154" t="s">
        <v>311</v>
      </c>
      <c r="BN34" s="129"/>
      <c r="BO34" s="130" t="str">
        <f>=IF(BN34=0, 0, IF(ROUND(SUM(BN35:BN36), 2)=0, ROUND(BO31 - 0, 2), ROUND(BN34 / ROUND(SUM(BN34:BN36), 2) * BO31, 2)))</f>
      </c>
      <c r="BQ34" s="48"/>
      <c r="BT34" s="154" t="s">
        <v>311</v>
      </c>
      <c r="BU34" s="129"/>
      <c r="BV34" s="130" t="str">
        <f>=IF(BU34=0, 0, IF(ROUND(SUM(BU35:BU36), 2)=0, ROUND(BV31 - 0, 2), ROUND(BU34 / ROUND(SUM(BU34:BU36), 2) * BV31, 2)))</f>
      </c>
      <c r="BX34" s="48"/>
      <c r="CA34" s="154" t="s">
        <v>311</v>
      </c>
      <c r="CB34" s="129"/>
      <c r="CC34" s="130" t="str">
        <f>=IF(CB34=0, 0, IF(ROUND(SUM(CB35:CB36), 2)=0, ROUND(CC31 - 0, 2), ROUND(CB34 / ROUND(SUM(CB34:CB36), 2) * CC31, 2)))</f>
      </c>
      <c r="CE34" s="48"/>
      <c r="CH34" s="154" t="s">
        <v>311</v>
      </c>
      <c r="CI34" s="129"/>
      <c r="CJ34" s="130" t="str">
        <f>=IF(CI34=0, 0, IF(ROUND(SUM(CI35:CI36), 2)=0, ROUND(CJ31 - 0, 2), ROUND(CI34 / ROUND(SUM(CI34:CI36), 2) * CJ31, 2)))</f>
      </c>
      <c r="CL34" s="48"/>
      <c r="CO34" s="154" t="s">
        <v>311</v>
      </c>
      <c r="CP34" s="129"/>
      <c r="CQ34" s="130" t="str">
        <f>=IF(CP34=0, 0, IF(ROUND(SUM(CP35:CP36), 2)=0, ROUND(CQ31 - 0, 2), ROUND(CP34 / ROUND(SUM(CP34:CP36), 2) * CQ31, 2)))</f>
      </c>
      <c r="CS34" s="48"/>
      <c r="CV34" s="154" t="s">
        <v>311</v>
      </c>
      <c r="CW34" s="129"/>
      <c r="CX34" s="130" t="str">
        <f>=IF(CW34=0, 0, IF(ROUND(SUM(CW35:CW36), 2)=0, ROUND(CX31 - 0, 2), ROUND(CW34 / ROUND(SUM(CW34:CW36), 2) * CX31, 2)))</f>
      </c>
      <c r="CZ34" s="48"/>
      <c r="DC34" s="154" t="s">
        <v>311</v>
      </c>
      <c r="DD34" s="129"/>
      <c r="DE34" s="130" t="str">
        <f>=IF(DD34=0, 0, IF(ROUND(SUM(DD35:DD36), 2)=0, ROUND(DE31 - 0, 2), ROUND(DD34 / ROUND(SUM(DD34:DD36), 2) * DE31, 2)))</f>
      </c>
      <c r="DG34" s="48"/>
      <c r="DJ34" s="154" t="s">
        <v>311</v>
      </c>
      <c r="DK34" s="129"/>
      <c r="DL34" s="130" t="str">
        <f>=IF(DK34=0, 0, IF(ROUND(SUM(DK35:DK36), 2)=0, ROUND(DL31 - 0, 2), ROUND(DK34 / ROUND(SUM(DK34:DK36), 2) * DL31, 2)))</f>
      </c>
      <c r="DN34" s="48"/>
      <c r="DQ34" s="154" t="s">
        <v>311</v>
      </c>
      <c r="DR34" s="129"/>
      <c r="DS34" s="130" t="str">
        <f>=IF(DR34=0, 0, IF(ROUND(SUM(DR35:DR36), 2)=0, ROUND(DS31 - 0, 2), ROUND(DR34 / ROUND(SUM(DR34:DR36), 2) * DS31, 2)))</f>
      </c>
      <c r="DU34" s="48"/>
    </row>
    <row r="35">
      <c r="B35" s="154" t="s">
        <v>312</v>
      </c>
      <c r="C35" s="129"/>
      <c r="D35" s="130" t="str">
        <f>=IF(C35=0, 0, IF(ROUND(SUM(C36:C36), 2)=0, ROUND(D31 - SUM(D34:D34), 2), ROUND(C35 / ROUND(SUM(C34:C36), 2) * D31, 2)))</f>
      </c>
      <c r="F35" s="48"/>
      <c r="I35" s="154" t="s">
        <v>312</v>
      </c>
      <c r="J35" s="129"/>
      <c r="K35" s="130" t="str">
        <f>=IF(J35=0, 0, IF(ROUND(SUM(J36:J36), 2)=0, ROUND(K31 - SUM(K34:K34), 2), ROUND(J35 / ROUND(SUM(J34:J36), 2) * K31, 2)))</f>
      </c>
      <c r="M35" s="48"/>
      <c r="P35" s="154" t="s">
        <v>312</v>
      </c>
      <c r="Q35" s="129"/>
      <c r="R35" s="130" t="str">
        <f>=IF(Q35=0, 0, IF(ROUND(SUM(Q36:Q36), 2)=0, ROUND(R31 - SUM(R34:R34), 2), ROUND(Q35 / ROUND(SUM(Q34:Q36), 2) * R31, 2)))</f>
      </c>
      <c r="T35" s="48"/>
      <c r="W35" s="154" t="s">
        <v>312</v>
      </c>
      <c r="X35" s="129"/>
      <c r="Y35" s="130" t="str">
        <f>=IF(X35=0, 0, IF(ROUND(SUM(X36:X36), 2)=0, ROUND(Y31 - SUM(Y34:Y34), 2), ROUND(X35 / ROUND(SUM(X34:X36), 2) * Y31, 2)))</f>
      </c>
      <c r="AA35" s="48"/>
      <c r="AD35" s="154" t="s">
        <v>312</v>
      </c>
      <c r="AE35" s="129"/>
      <c r="AF35" s="130" t="str">
        <f>=IF(AE35=0, 0, IF(ROUND(SUM(AE36:AE36), 2)=0, ROUND(AF31 - SUM(AF34:AF34), 2), ROUND(AE35 / ROUND(SUM(AE34:AE36), 2) * AF31, 2)))</f>
      </c>
      <c r="AH35" s="48"/>
      <c r="AK35" s="154" t="s">
        <v>312</v>
      </c>
      <c r="AL35" s="129"/>
      <c r="AM35" s="130" t="str">
        <f>=IF(AL35=0, 0, IF(ROUND(SUM(AL36:AL36), 2)=0, ROUND(AM31 - SUM(AM34:AM34), 2), ROUND(AL35 / ROUND(SUM(AL34:AL36), 2) * AM31, 2)))</f>
      </c>
      <c r="AO35" s="48"/>
      <c r="AR35" s="154" t="s">
        <v>312</v>
      </c>
      <c r="AS35" s="129"/>
      <c r="AT35" s="130" t="str">
        <f>=IF(AS35=0, 0, IF(ROUND(SUM(AS36:AS36), 2)=0, ROUND(AT31 - SUM(AT34:AT34), 2), ROUND(AS35 / ROUND(SUM(AS34:AS36), 2) * AT31, 2)))</f>
      </c>
      <c r="AV35" s="48"/>
      <c r="AY35" s="154" t="s">
        <v>312</v>
      </c>
      <c r="AZ35" s="129"/>
      <c r="BA35" s="130" t="str">
        <f>=IF(AZ35=0, 0, IF(ROUND(SUM(AZ36:AZ36), 2)=0, ROUND(BA31 - SUM(BA34:BA34), 2), ROUND(AZ35 / ROUND(SUM(AZ34:AZ36), 2) * BA31, 2)))</f>
      </c>
      <c r="BC35" s="48"/>
      <c r="BF35" s="154" t="s">
        <v>312</v>
      </c>
      <c r="BG35" s="129"/>
      <c r="BH35" s="130" t="str">
        <f>=IF(BG35=0, 0, IF(ROUND(SUM(BG36:BG36), 2)=0, ROUND(BH31 - SUM(BH34:BH34), 2), ROUND(BG35 / ROUND(SUM(BG34:BG36), 2) * BH31, 2)))</f>
      </c>
      <c r="BJ35" s="48"/>
      <c r="BM35" s="154" t="s">
        <v>312</v>
      </c>
      <c r="BN35" s="129"/>
      <c r="BO35" s="130" t="str">
        <f>=IF(BN35=0, 0, IF(ROUND(SUM(BN36:BN36), 2)=0, ROUND(BO31 - SUM(BO34:BO34), 2), ROUND(BN35 / ROUND(SUM(BN34:BN36), 2) * BO31, 2)))</f>
      </c>
      <c r="BQ35" s="48"/>
      <c r="BT35" s="154" t="s">
        <v>312</v>
      </c>
      <c r="BU35" s="129"/>
      <c r="BV35" s="130" t="str">
        <f>=IF(BU35=0, 0, IF(ROUND(SUM(BU36:BU36), 2)=0, ROUND(BV31 - SUM(BV34:BV34), 2), ROUND(BU35 / ROUND(SUM(BU34:BU36), 2) * BV31, 2)))</f>
      </c>
      <c r="BX35" s="48"/>
      <c r="CA35" s="154" t="s">
        <v>312</v>
      </c>
      <c r="CB35" s="129"/>
      <c r="CC35" s="130" t="str">
        <f>=IF(CB35=0, 0, IF(ROUND(SUM(CB36:CB36), 2)=0, ROUND(CC31 - SUM(CC34:CC34), 2), ROUND(CB35 / ROUND(SUM(CB34:CB36), 2) * CC31, 2)))</f>
      </c>
      <c r="CE35" s="48"/>
      <c r="CH35" s="154" t="s">
        <v>312</v>
      </c>
      <c r="CI35" s="129"/>
      <c r="CJ35" s="130" t="str">
        <f>=IF(CI35=0, 0, IF(ROUND(SUM(CI36:CI36), 2)=0, ROUND(CJ31 - SUM(CJ34:CJ34), 2), ROUND(CI35 / ROUND(SUM(CI34:CI36), 2) * CJ31, 2)))</f>
      </c>
      <c r="CL35" s="48"/>
      <c r="CO35" s="154" t="s">
        <v>312</v>
      </c>
      <c r="CP35" s="129"/>
      <c r="CQ35" s="130" t="str">
        <f>=IF(CP35=0, 0, IF(ROUND(SUM(CP36:CP36), 2)=0, ROUND(CQ31 - SUM(CQ34:CQ34), 2), ROUND(CP35 / ROUND(SUM(CP34:CP36), 2) * CQ31, 2)))</f>
      </c>
      <c r="CS35" s="48"/>
      <c r="CV35" s="154" t="s">
        <v>312</v>
      </c>
      <c r="CW35" s="129"/>
      <c r="CX35" s="130" t="str">
        <f>=IF(CW35=0, 0, IF(ROUND(SUM(CW36:CW36), 2)=0, ROUND(CX31 - SUM(CX34:CX34), 2), ROUND(CW35 / ROUND(SUM(CW34:CW36), 2) * CX31, 2)))</f>
      </c>
      <c r="CZ35" s="48"/>
      <c r="DC35" s="154" t="s">
        <v>312</v>
      </c>
      <c r="DD35" s="129"/>
      <c r="DE35" s="130" t="str">
        <f>=IF(DD35=0, 0, IF(ROUND(SUM(DD36:DD36), 2)=0, ROUND(DE31 - SUM(DE34:DE34), 2), ROUND(DD35 / ROUND(SUM(DD34:DD36), 2) * DE31, 2)))</f>
      </c>
      <c r="DG35" s="48"/>
      <c r="DJ35" s="154" t="s">
        <v>312</v>
      </c>
      <c r="DK35" s="129"/>
      <c r="DL35" s="130" t="str">
        <f>=IF(DK35=0, 0, IF(ROUND(SUM(DK36:DK36), 2)=0, ROUND(DL31 - SUM(DL34:DL34), 2), ROUND(DK35 / ROUND(SUM(DK34:DK36), 2) * DL31, 2)))</f>
      </c>
      <c r="DN35" s="48"/>
      <c r="DQ35" s="154" t="s">
        <v>312</v>
      </c>
      <c r="DR35" s="129"/>
      <c r="DS35" s="130" t="str">
        <f>=IF(DR35=0, 0, IF(ROUND(SUM(DR36:DR36), 2)=0, ROUND(DS31 - SUM(DS34:DS34), 2), ROUND(DR35 / ROUND(SUM(DR34:DR36), 2) * DS31, 2)))</f>
      </c>
      <c r="DU35" s="48"/>
    </row>
    <row r="36">
      <c r="B36" s="154" t="s">
        <v>313</v>
      </c>
      <c r="C36" s="129"/>
      <c r="D36" s="130" t="str">
        <f>=IF(C36=0, 0, ROUND(D31 - SUM(D34:D35), 2))</f>
      </c>
      <c r="F36" s="48"/>
      <c r="I36" s="154" t="s">
        <v>313</v>
      </c>
      <c r="J36" s="129"/>
      <c r="K36" s="130" t="str">
        <f>=IF(J36=0, 0, ROUND(K31 - SUM(K34:K35), 2))</f>
      </c>
      <c r="M36" s="48"/>
      <c r="P36" s="154" t="s">
        <v>313</v>
      </c>
      <c r="Q36" s="129"/>
      <c r="R36" s="130" t="str">
        <f>=IF(Q36=0, 0, ROUND(R31 - SUM(R34:R35), 2))</f>
      </c>
      <c r="T36" s="48"/>
      <c r="W36" s="154" t="s">
        <v>313</v>
      </c>
      <c r="X36" s="129"/>
      <c r="Y36" s="130" t="str">
        <f>=IF(X36=0, 0, ROUND(Y31 - SUM(Y34:Y35), 2))</f>
      </c>
      <c r="AA36" s="48"/>
      <c r="AD36" s="154" t="s">
        <v>313</v>
      </c>
      <c r="AE36" s="129"/>
      <c r="AF36" s="130" t="str">
        <f>=IF(AE36=0, 0, ROUND(AF31 - SUM(AF34:AF35), 2))</f>
      </c>
      <c r="AH36" s="48"/>
      <c r="AK36" s="154" t="s">
        <v>313</v>
      </c>
      <c r="AL36" s="129"/>
      <c r="AM36" s="130" t="str">
        <f>=IF(AL36=0, 0, ROUND(AM31 - SUM(AM34:AM35), 2))</f>
      </c>
      <c r="AO36" s="48"/>
      <c r="AR36" s="154" t="s">
        <v>313</v>
      </c>
      <c r="AS36" s="129"/>
      <c r="AT36" s="130" t="str">
        <f>=IF(AS36=0, 0, ROUND(AT31 - SUM(AT34:AT35), 2))</f>
      </c>
      <c r="AV36" s="48"/>
      <c r="AY36" s="154" t="s">
        <v>313</v>
      </c>
      <c r="AZ36" s="129"/>
      <c r="BA36" s="130" t="str">
        <f>=IF(AZ36=0, 0, ROUND(BA31 - SUM(BA34:BA35), 2))</f>
      </c>
      <c r="BC36" s="48"/>
      <c r="BF36" s="154" t="s">
        <v>313</v>
      </c>
      <c r="BG36" s="129"/>
      <c r="BH36" s="130" t="str">
        <f>=IF(BG36=0, 0, ROUND(BH31 - SUM(BH34:BH35), 2))</f>
      </c>
      <c r="BJ36" s="48"/>
      <c r="BM36" s="154" t="s">
        <v>313</v>
      </c>
      <c r="BN36" s="129"/>
      <c r="BO36" s="130" t="str">
        <f>=IF(BN36=0, 0, ROUND(BO31 - SUM(BO34:BO35), 2))</f>
      </c>
      <c r="BQ36" s="48"/>
      <c r="BT36" s="154" t="s">
        <v>313</v>
      </c>
      <c r="BU36" s="129"/>
      <c r="BV36" s="130" t="str">
        <f>=IF(BU36=0, 0, ROUND(BV31 - SUM(BV34:BV35), 2))</f>
      </c>
      <c r="BX36" s="48"/>
      <c r="CA36" s="154" t="s">
        <v>313</v>
      </c>
      <c r="CB36" s="129"/>
      <c r="CC36" s="130" t="str">
        <f>=IF(CB36=0, 0, ROUND(CC31 - SUM(CC34:CC35), 2))</f>
      </c>
      <c r="CE36" s="48"/>
      <c r="CH36" s="154" t="s">
        <v>313</v>
      </c>
      <c r="CI36" s="129"/>
      <c r="CJ36" s="130" t="str">
        <f>=IF(CI36=0, 0, ROUND(CJ31 - SUM(CJ34:CJ35), 2))</f>
      </c>
      <c r="CL36" s="48"/>
      <c r="CO36" s="154" t="s">
        <v>313</v>
      </c>
      <c r="CP36" s="129"/>
      <c r="CQ36" s="130" t="str">
        <f>=IF(CP36=0, 0, ROUND(CQ31 - SUM(CQ34:CQ35), 2))</f>
      </c>
      <c r="CS36" s="48"/>
      <c r="CV36" s="154" t="s">
        <v>313</v>
      </c>
      <c r="CW36" s="129"/>
      <c r="CX36" s="130" t="str">
        <f>=IF(CW36=0, 0, ROUND(CX31 - SUM(CX34:CX35), 2))</f>
      </c>
      <c r="CZ36" s="48"/>
      <c r="DC36" s="154" t="s">
        <v>313</v>
      </c>
      <c r="DD36" s="129"/>
      <c r="DE36" s="130" t="str">
        <f>=IF(DD36=0, 0, ROUND(DE31 - SUM(DE34:DE35), 2))</f>
      </c>
      <c r="DG36" s="48"/>
      <c r="DJ36" s="154" t="s">
        <v>313</v>
      </c>
      <c r="DK36" s="129"/>
      <c r="DL36" s="130" t="str">
        <f>=IF(DK36=0, 0, ROUND(DL31 - SUM(DL34:DL35), 2))</f>
      </c>
      <c r="DN36" s="48"/>
      <c r="DQ36" s="154" t="s">
        <v>313</v>
      </c>
      <c r="DR36" s="129"/>
      <c r="DS36" s="130" t="str">
        <f>=IF(DR36=0, 0, ROUND(DS31 - SUM(DS34:DS35), 2))</f>
      </c>
      <c r="DU36" s="48"/>
    </row>
    <row r="37">
      <c r="B37" s="47"/>
      <c r="F37" s="48"/>
      <c r="I37" s="47"/>
      <c r="M37" s="48"/>
      <c r="P37" s="47"/>
      <c r="T37" s="48"/>
      <c r="W37" s="47"/>
      <c r="AA37" s="48"/>
      <c r="AD37" s="47"/>
      <c r="AH37" s="48"/>
      <c r="AK37" s="47"/>
      <c r="AO37" s="48"/>
      <c r="AR37" s="47"/>
      <c r="AV37" s="48"/>
      <c r="AY37" s="47"/>
      <c r="BC37" s="48"/>
      <c r="BF37" s="47"/>
      <c r="BJ37" s="48"/>
      <c r="BM37" s="47"/>
      <c r="BQ37" s="48"/>
      <c r="BT37" s="47"/>
      <c r="BX37" s="48"/>
      <c r="CA37" s="47"/>
      <c r="CE37" s="48"/>
      <c r="CH37" s="47"/>
      <c r="CL37" s="48"/>
      <c r="CO37" s="47"/>
      <c r="CS37" s="48"/>
      <c r="CV37" s="47"/>
      <c r="CZ37" s="48"/>
      <c r="DC37" s="47"/>
      <c r="DG37" s="48"/>
      <c r="DJ37" s="47"/>
      <c r="DN37" s="48"/>
      <c r="DQ37" s="47"/>
      <c r="DU37" s="48"/>
    </row>
    <row r="38">
      <c r="B38" s="155" t="s">
        <v>314</v>
      </c>
      <c r="C38" s="156" t="str">
        <f>=ROUND(IFERROR(C31-SUM(C34:C36),""),2)</f>
      </c>
      <c r="D38" s="157" t="str">
        <f>=ROUND(IFERROR(D31-SUM(D34:D36),""),2)</f>
      </c>
      <c r="E38" s="158"/>
      <c r="F38" s="159"/>
      <c r="I38" s="155" t="s">
        <v>314</v>
      </c>
      <c r="J38" s="156" t="str">
        <f>=ROUND(IFERROR(J31-SUM(J34:J36),""),2)</f>
      </c>
      <c r="K38" s="157" t="str">
        <f>=ROUND(IFERROR(K31-SUM(K34:K36),""),2)</f>
      </c>
      <c r="L38" s="158"/>
      <c r="M38" s="159"/>
      <c r="P38" s="155" t="s">
        <v>314</v>
      </c>
      <c r="Q38" s="156" t="str">
        <f>=ROUND(IFERROR(Q31-SUM(Q34:Q36),""),2)</f>
      </c>
      <c r="R38" s="157" t="str">
        <f>=ROUND(IFERROR(R31-SUM(R34:R36),""),2)</f>
      </c>
      <c r="S38" s="158"/>
      <c r="T38" s="159"/>
      <c r="W38" s="155" t="s">
        <v>314</v>
      </c>
      <c r="X38" s="156" t="str">
        <f>=ROUND(IFERROR(X31-SUM(X34:X36),""),2)</f>
      </c>
      <c r="Y38" s="157" t="str">
        <f>=ROUND(IFERROR(Y31-SUM(Y34:Y36),""),2)</f>
      </c>
      <c r="Z38" s="158"/>
      <c r="AA38" s="159"/>
      <c r="AD38" s="155" t="s">
        <v>314</v>
      </c>
      <c r="AE38" s="156" t="str">
        <f>=ROUND(IFERROR(AE31-SUM(AE34:AE36),""),2)</f>
      </c>
      <c r="AF38" s="157" t="str">
        <f>=ROUND(IFERROR(AF31-SUM(AF34:AF36),""),2)</f>
      </c>
      <c r="AG38" s="158"/>
      <c r="AH38" s="159"/>
      <c r="AK38" s="155" t="s">
        <v>314</v>
      </c>
      <c r="AL38" s="156" t="str">
        <f>=ROUND(IFERROR(AL31-SUM(AL34:AL36),""),2)</f>
      </c>
      <c r="AM38" s="157" t="str">
        <f>=ROUND(IFERROR(AM31-SUM(AM34:AM36),""),2)</f>
      </c>
      <c r="AN38" s="158"/>
      <c r="AO38" s="159"/>
      <c r="AR38" s="155" t="s">
        <v>314</v>
      </c>
      <c r="AS38" s="156" t="str">
        <f>=ROUND(IFERROR(AS31-SUM(AS34:AS36),""),2)</f>
      </c>
      <c r="AT38" s="157" t="str">
        <f>=ROUND(IFERROR(AT31-SUM(AT34:AT36),""),2)</f>
      </c>
      <c r="AU38" s="158"/>
      <c r="AV38" s="159"/>
      <c r="AY38" s="155" t="s">
        <v>314</v>
      </c>
      <c r="AZ38" s="156" t="str">
        <f>=ROUND(IFERROR(AZ31-SUM(AZ34:AZ36),""),2)</f>
      </c>
      <c r="BA38" s="157" t="str">
        <f>=ROUND(IFERROR(BA31-SUM(BA34:BA36),""),2)</f>
      </c>
      <c r="BB38" s="158"/>
      <c r="BC38" s="159"/>
      <c r="BF38" s="155" t="s">
        <v>314</v>
      </c>
      <c r="BG38" s="156" t="str">
        <f>=ROUND(IFERROR(BG31-SUM(BG34:BG36),""),2)</f>
      </c>
      <c r="BH38" s="157" t="str">
        <f>=ROUND(IFERROR(BH31-SUM(BH34:BH36),""),2)</f>
      </c>
      <c r="BI38" s="158"/>
      <c r="BJ38" s="159"/>
      <c r="BM38" s="155" t="s">
        <v>314</v>
      </c>
      <c r="BN38" s="156" t="str">
        <f>=ROUND(IFERROR(BN31-SUM(BN34:BN36),""),2)</f>
      </c>
      <c r="BO38" s="157" t="str">
        <f>=ROUND(IFERROR(BO31-SUM(BO34:BO36),""),2)</f>
      </c>
      <c r="BP38" s="158"/>
      <c r="BQ38" s="159"/>
      <c r="BT38" s="155" t="s">
        <v>314</v>
      </c>
      <c r="BU38" s="156" t="str">
        <f>=ROUND(IFERROR(BU31-SUM(BU34:BU36),""),2)</f>
      </c>
      <c r="BV38" s="157" t="str">
        <f>=ROUND(IFERROR(BV31-SUM(BV34:BV36),""),2)</f>
      </c>
      <c r="BW38" s="158"/>
      <c r="BX38" s="159"/>
      <c r="CA38" s="155" t="s">
        <v>314</v>
      </c>
      <c r="CB38" s="156" t="str">
        <f>=ROUND(IFERROR(CB31-SUM(CB34:CB36),""),2)</f>
      </c>
      <c r="CC38" s="157" t="str">
        <f>=ROUND(IFERROR(CC31-SUM(CC34:CC36),""),2)</f>
      </c>
      <c r="CD38" s="158"/>
      <c r="CE38" s="159"/>
      <c r="CH38" s="155" t="s">
        <v>314</v>
      </c>
      <c r="CI38" s="156" t="str">
        <f>=ROUND(IFERROR(CI31-SUM(CI34:CI36),""),2)</f>
      </c>
      <c r="CJ38" s="157" t="str">
        <f>=ROUND(IFERROR(CJ31-SUM(CJ34:CJ36),""),2)</f>
      </c>
      <c r="CK38" s="158"/>
      <c r="CL38" s="159"/>
      <c r="CO38" s="155" t="s">
        <v>314</v>
      </c>
      <c r="CP38" s="156" t="str">
        <f>=ROUND(IFERROR(CP31-SUM(CP34:CP36),""),2)</f>
      </c>
      <c r="CQ38" s="157" t="str">
        <f>=ROUND(IFERROR(CQ31-SUM(CQ34:CQ36),""),2)</f>
      </c>
      <c r="CR38" s="158"/>
      <c r="CS38" s="159"/>
      <c r="CV38" s="155" t="s">
        <v>314</v>
      </c>
      <c r="CW38" s="156" t="str">
        <f>=ROUND(IFERROR(CW31-SUM(CW34:CW36),""),2)</f>
      </c>
      <c r="CX38" s="157" t="str">
        <f>=ROUND(IFERROR(CX31-SUM(CX34:CX36),""),2)</f>
      </c>
      <c r="CY38" s="158"/>
      <c r="CZ38" s="159"/>
      <c r="DC38" s="155" t="s">
        <v>314</v>
      </c>
      <c r="DD38" s="156" t="str">
        <f>=ROUND(IFERROR(DD31-SUM(DD34:DD36),""),2)</f>
      </c>
      <c r="DE38" s="157" t="str">
        <f>=ROUND(IFERROR(DE31-SUM(DE34:DE36),""),2)</f>
      </c>
      <c r="DF38" s="158"/>
      <c r="DG38" s="159"/>
      <c r="DJ38" s="155" t="s">
        <v>314</v>
      </c>
      <c r="DK38" s="156" t="str">
        <f>=ROUND(IFERROR(DK31-SUM(DK34:DK36),""),2)</f>
      </c>
      <c r="DL38" s="157" t="str">
        <f>=ROUND(IFERROR(DL31-SUM(DL34:DL36),""),2)</f>
      </c>
      <c r="DM38" s="158"/>
      <c r="DN38" s="159"/>
      <c r="DQ38" s="155" t="s">
        <v>314</v>
      </c>
      <c r="DR38" s="156" t="str">
        <f>=ROUND(IFERROR(DR31-SUM(DR34:DR36),""),2)</f>
      </c>
      <c r="DS38" s="157" t="str">
        <f>=ROUND(IFERROR(DS31-SUM(DS34:DS36),""),2)</f>
      </c>
      <c r="DT38" s="158"/>
      <c r="DU38" s="159"/>
    </row>
    <row r="41">
      <c r="B41" s="105" t="s">
        <v>315</v>
      </c>
      <c r="I41" s="105" t="s">
        <v>315</v>
      </c>
      <c r="P41" s="105" t="s">
        <v>315</v>
      </c>
      <c r="W41" s="105" t="s">
        <v>315</v>
      </c>
      <c r="AD41" s="105" t="s">
        <v>315</v>
      </c>
      <c r="AK41" s="105" t="s">
        <v>315</v>
      </c>
      <c r="AR41" s="105" t="s">
        <v>315</v>
      </c>
      <c r="AY41" s="105" t="s">
        <v>315</v>
      </c>
      <c r="BF41" s="105" t="s">
        <v>315</v>
      </c>
      <c r="BM41" s="105" t="s">
        <v>315</v>
      </c>
      <c r="BT41" s="105" t="s">
        <v>315</v>
      </c>
      <c r="CA41" s="105" t="s">
        <v>315</v>
      </c>
      <c r="CH41" s="105" t="s">
        <v>315</v>
      </c>
      <c r="CO41" s="105" t="s">
        <v>315</v>
      </c>
      <c r="CV41" s="105" t="s">
        <v>315</v>
      </c>
      <c r="DC41" s="105" t="s">
        <v>315</v>
      </c>
      <c r="DJ41" s="105" t="s">
        <v>315</v>
      </c>
      <c r="DQ41" s="105" t="s">
        <v>315</v>
      </c>
    </row>
    <row r="42">
      <c r="B42" s="121" t="s">
        <v>316</v>
      </c>
      <c r="C42" s="121" t="s">
        <v>317</v>
      </c>
      <c r="D42" s="121" t="s">
        <v>295</v>
      </c>
      <c r="E42" s="121" t="s">
        <v>296</v>
      </c>
      <c r="F42" s="121" t="s">
        <v>318</v>
      </c>
      <c r="I42" s="121" t="s">
        <v>316</v>
      </c>
      <c r="J42" s="121" t="s">
        <v>317</v>
      </c>
      <c r="K42" s="121" t="s">
        <v>295</v>
      </c>
      <c r="L42" s="121" t="s">
        <v>296</v>
      </c>
      <c r="M42" s="121" t="s">
        <v>318</v>
      </c>
      <c r="P42" s="121" t="s">
        <v>316</v>
      </c>
      <c r="Q42" s="121" t="s">
        <v>317</v>
      </c>
      <c r="R42" s="121" t="s">
        <v>295</v>
      </c>
      <c r="S42" s="121" t="s">
        <v>296</v>
      </c>
      <c r="T42" s="121" t="s">
        <v>318</v>
      </c>
      <c r="W42" s="121" t="s">
        <v>316</v>
      </c>
      <c r="X42" s="121" t="s">
        <v>317</v>
      </c>
      <c r="Y42" s="121" t="s">
        <v>295</v>
      </c>
      <c r="Z42" s="121" t="s">
        <v>296</v>
      </c>
      <c r="AA42" s="121" t="s">
        <v>318</v>
      </c>
      <c r="AD42" s="121" t="s">
        <v>316</v>
      </c>
      <c r="AE42" s="121" t="s">
        <v>317</v>
      </c>
      <c r="AF42" s="121" t="s">
        <v>295</v>
      </c>
      <c r="AG42" s="121" t="s">
        <v>296</v>
      </c>
      <c r="AH42" s="121" t="s">
        <v>318</v>
      </c>
      <c r="AK42" s="121" t="s">
        <v>316</v>
      </c>
      <c r="AL42" s="121" t="s">
        <v>317</v>
      </c>
      <c r="AM42" s="121" t="s">
        <v>295</v>
      </c>
      <c r="AN42" s="121" t="s">
        <v>296</v>
      </c>
      <c r="AO42" s="121" t="s">
        <v>318</v>
      </c>
      <c r="AR42" s="121" t="s">
        <v>316</v>
      </c>
      <c r="AS42" s="121" t="s">
        <v>317</v>
      </c>
      <c r="AT42" s="121" t="s">
        <v>295</v>
      </c>
      <c r="AU42" s="121" t="s">
        <v>296</v>
      </c>
      <c r="AV42" s="121" t="s">
        <v>318</v>
      </c>
      <c r="AY42" s="121" t="s">
        <v>316</v>
      </c>
      <c r="AZ42" s="121" t="s">
        <v>317</v>
      </c>
      <c r="BA42" s="121" t="s">
        <v>295</v>
      </c>
      <c r="BB42" s="121" t="s">
        <v>296</v>
      </c>
      <c r="BC42" s="121" t="s">
        <v>318</v>
      </c>
      <c r="BF42" s="121" t="s">
        <v>316</v>
      </c>
      <c r="BG42" s="121" t="s">
        <v>317</v>
      </c>
      <c r="BH42" s="121" t="s">
        <v>295</v>
      </c>
      <c r="BI42" s="121" t="s">
        <v>296</v>
      </c>
      <c r="BJ42" s="121" t="s">
        <v>318</v>
      </c>
      <c r="BM42" s="121" t="s">
        <v>316</v>
      </c>
      <c r="BN42" s="121" t="s">
        <v>317</v>
      </c>
      <c r="BO42" s="121" t="s">
        <v>295</v>
      </c>
      <c r="BP42" s="121" t="s">
        <v>296</v>
      </c>
      <c r="BQ42" s="121" t="s">
        <v>318</v>
      </c>
      <c r="BT42" s="121" t="s">
        <v>316</v>
      </c>
      <c r="BU42" s="121" t="s">
        <v>317</v>
      </c>
      <c r="BV42" s="121" t="s">
        <v>295</v>
      </c>
      <c r="BW42" s="121" t="s">
        <v>296</v>
      </c>
      <c r="BX42" s="121" t="s">
        <v>318</v>
      </c>
      <c r="CA42" s="121" t="s">
        <v>316</v>
      </c>
      <c r="CB42" s="121" t="s">
        <v>317</v>
      </c>
      <c r="CC42" s="121" t="s">
        <v>295</v>
      </c>
      <c r="CD42" s="121" t="s">
        <v>296</v>
      </c>
      <c r="CE42" s="121" t="s">
        <v>318</v>
      </c>
      <c r="CH42" s="121" t="s">
        <v>316</v>
      </c>
      <c r="CI42" s="121" t="s">
        <v>317</v>
      </c>
      <c r="CJ42" s="121" t="s">
        <v>295</v>
      </c>
      <c r="CK42" s="121" t="s">
        <v>296</v>
      </c>
      <c r="CL42" s="121" t="s">
        <v>318</v>
      </c>
      <c r="CO42" s="121" t="s">
        <v>316</v>
      </c>
      <c r="CP42" s="121" t="s">
        <v>317</v>
      </c>
      <c r="CQ42" s="121" t="s">
        <v>295</v>
      </c>
      <c r="CR42" s="121" t="s">
        <v>296</v>
      </c>
      <c r="CS42" s="121" t="s">
        <v>318</v>
      </c>
      <c r="CV42" s="121" t="s">
        <v>316</v>
      </c>
      <c r="CW42" s="121" t="s">
        <v>317</v>
      </c>
      <c r="CX42" s="121" t="s">
        <v>295</v>
      </c>
      <c r="CY42" s="121" t="s">
        <v>296</v>
      </c>
      <c r="CZ42" s="121" t="s">
        <v>318</v>
      </c>
      <c r="DC42" s="121" t="s">
        <v>316</v>
      </c>
      <c r="DD42" s="121" t="s">
        <v>317</v>
      </c>
      <c r="DE42" s="121" t="s">
        <v>295</v>
      </c>
      <c r="DF42" s="121" t="s">
        <v>296</v>
      </c>
      <c r="DG42" s="121" t="s">
        <v>318</v>
      </c>
      <c r="DJ42" s="121" t="s">
        <v>316</v>
      </c>
      <c r="DK42" s="121" t="s">
        <v>317</v>
      </c>
      <c r="DL42" s="121" t="s">
        <v>295</v>
      </c>
      <c r="DM42" s="121" t="s">
        <v>296</v>
      </c>
      <c r="DN42" s="121" t="s">
        <v>318</v>
      </c>
      <c r="DQ42" s="121" t="s">
        <v>316</v>
      </c>
      <c r="DR42" s="121" t="s">
        <v>317</v>
      </c>
      <c r="DS42" s="121" t="s">
        <v>295</v>
      </c>
      <c r="DT42" s="121" t="s">
        <v>296</v>
      </c>
      <c r="DU42" s="121" t="s">
        <v>318</v>
      </c>
    </row>
    <row r="43">
      <c r="B43" s="160" t="s">
        <v>319</v>
      </c>
      <c r="C43" s="161" t="s">
        <v>158</v>
      </c>
      <c r="D43" s="162" t="str">
        <f>=ROUND(C11,2)</f>
      </c>
      <c r="E43" s="163" t="str">
        <f>=ROUND(D11,2)</f>
      </c>
      <c r="F43" s="164" t="str">
        <f>=ROUND(IFERROR(D43/E43,0),6)</f>
      </c>
      <c r="I43" s="160" t="s">
        <v>327</v>
      </c>
      <c r="J43" s="161" t="s">
        <v>158</v>
      </c>
      <c r="K43" s="162" t="str">
        <f>=ROUND(J11,2)</f>
      </c>
      <c r="L43" s="163" t="str">
        <f>=ROUND(K11,2)</f>
      </c>
      <c r="M43" s="164" t="str">
        <f>=ROUND(IFERROR(K43/L43,0),6)</f>
      </c>
      <c r="P43" s="160" t="s">
        <v>327</v>
      </c>
      <c r="Q43" s="161" t="s">
        <v>158</v>
      </c>
      <c r="R43" s="162" t="str">
        <f>=ROUND(Q11,2)</f>
      </c>
      <c r="S43" s="163" t="str">
        <f>=ROUND(R11,2)</f>
      </c>
      <c r="T43" s="164" t="str">
        <f>=ROUND(IFERROR(R43/S43,0),6)</f>
      </c>
      <c r="W43" s="160" t="s">
        <v>327</v>
      </c>
      <c r="X43" s="161" t="s">
        <v>158</v>
      </c>
      <c r="Y43" s="162" t="str">
        <f>=ROUND(X11,2)</f>
      </c>
      <c r="Z43" s="163" t="str">
        <f>=ROUND(Y11,2)</f>
      </c>
      <c r="AA43" s="164" t="str">
        <f>=ROUND(IFERROR(Y43/Z43,0),6)</f>
      </c>
      <c r="AD43" s="160" t="s">
        <v>327</v>
      </c>
      <c r="AE43" s="161" t="s">
        <v>158</v>
      </c>
      <c r="AF43" s="162" t="str">
        <f>=ROUND(AE11,2)</f>
      </c>
      <c r="AG43" s="163" t="str">
        <f>=ROUND(AF11,2)</f>
      </c>
      <c r="AH43" s="164" t="str">
        <f>=ROUND(IFERROR(AF43/AG43,0),6)</f>
      </c>
      <c r="AK43" s="160" t="s">
        <v>327</v>
      </c>
      <c r="AL43" s="161" t="s">
        <v>158</v>
      </c>
      <c r="AM43" s="162" t="str">
        <f>=ROUND(AL11,2)</f>
      </c>
      <c r="AN43" s="163" t="str">
        <f>=ROUND(AM11,2)</f>
      </c>
      <c r="AO43" s="164" t="str">
        <f>=ROUND(IFERROR(AM43/AN43,0),6)</f>
      </c>
      <c r="AR43" s="160" t="s">
        <v>327</v>
      </c>
      <c r="AS43" s="161" t="s">
        <v>158</v>
      </c>
      <c r="AT43" s="162" t="str">
        <f>=ROUND(AS11,2)</f>
      </c>
      <c r="AU43" s="163" t="str">
        <f>=ROUND(AT11,2)</f>
      </c>
      <c r="AV43" s="164" t="str">
        <f>=ROUND(IFERROR(AT43/AU43,0),6)</f>
      </c>
      <c r="AY43" s="160" t="s">
        <v>327</v>
      </c>
      <c r="AZ43" s="161" t="s">
        <v>158</v>
      </c>
      <c r="BA43" s="162" t="str">
        <f>=ROUND(AZ11,2)</f>
      </c>
      <c r="BB43" s="163" t="str">
        <f>=ROUND(BA11,2)</f>
      </c>
      <c r="BC43" s="164" t="str">
        <f>=ROUND(IFERROR(BA43/BB43,0),6)</f>
      </c>
      <c r="BF43" s="160" t="s">
        <v>327</v>
      </c>
      <c r="BG43" s="161" t="s">
        <v>158</v>
      </c>
      <c r="BH43" s="162" t="str">
        <f>=ROUND(BG11,2)</f>
      </c>
      <c r="BI43" s="163" t="str">
        <f>=ROUND(BH11,2)</f>
      </c>
      <c r="BJ43" s="164" t="str">
        <f>=ROUND(IFERROR(BH43/BI43,0),6)</f>
      </c>
      <c r="BM43" s="160" t="s">
        <v>327</v>
      </c>
      <c r="BN43" s="161" t="s">
        <v>158</v>
      </c>
      <c r="BO43" s="162" t="str">
        <f>=ROUND(BN11,2)</f>
      </c>
      <c r="BP43" s="163" t="str">
        <f>=ROUND(BO11,2)</f>
      </c>
      <c r="BQ43" s="164" t="str">
        <f>=ROUND(IFERROR(BO43/BP43,0),6)</f>
      </c>
      <c r="BT43" s="160" t="s">
        <v>327</v>
      </c>
      <c r="BU43" s="161" t="s">
        <v>158</v>
      </c>
      <c r="BV43" s="162" t="str">
        <f>=ROUND(BU11,2)</f>
      </c>
      <c r="BW43" s="163" t="str">
        <f>=ROUND(BV11,2)</f>
      </c>
      <c r="BX43" s="164" t="str">
        <f>=ROUND(IFERROR(BV43/BW43,0),6)</f>
      </c>
      <c r="CA43" s="160" t="s">
        <v>327</v>
      </c>
      <c r="CB43" s="161" t="s">
        <v>158</v>
      </c>
      <c r="CC43" s="162" t="str">
        <f>=ROUND(CB11,2)</f>
      </c>
      <c r="CD43" s="163" t="str">
        <f>=ROUND(CC11,2)</f>
      </c>
      <c r="CE43" s="164" t="str">
        <f>=ROUND(IFERROR(CC43/CD43,0),6)</f>
      </c>
      <c r="CH43" s="160" t="s">
        <v>327</v>
      </c>
      <c r="CI43" s="161" t="s">
        <v>158</v>
      </c>
      <c r="CJ43" s="162" t="str">
        <f>=ROUND(CI11,2)</f>
      </c>
      <c r="CK43" s="163" t="str">
        <f>=ROUND(CJ11,2)</f>
      </c>
      <c r="CL43" s="164" t="str">
        <f>=ROUND(IFERROR(CJ43/CK43,0),6)</f>
      </c>
      <c r="CO43" s="160" t="s">
        <v>327</v>
      </c>
      <c r="CP43" s="161" t="s">
        <v>158</v>
      </c>
      <c r="CQ43" s="162" t="str">
        <f>=ROUND(CP11,2)</f>
      </c>
      <c r="CR43" s="163" t="str">
        <f>=ROUND(CQ11,2)</f>
      </c>
      <c r="CS43" s="164" t="str">
        <f>=ROUND(IFERROR(CQ43/CR43,0),6)</f>
      </c>
      <c r="CV43" s="160" t="s">
        <v>327</v>
      </c>
      <c r="CW43" s="161" t="s">
        <v>158</v>
      </c>
      <c r="CX43" s="162" t="str">
        <f>=ROUND(CW11,2)</f>
      </c>
      <c r="CY43" s="163" t="str">
        <f>=ROUND(CX11,2)</f>
      </c>
      <c r="CZ43" s="164" t="str">
        <f>=ROUND(IFERROR(CX43/CY43,0),6)</f>
      </c>
      <c r="DC43" s="160" t="s">
        <v>327</v>
      </c>
      <c r="DD43" s="161" t="s">
        <v>158</v>
      </c>
      <c r="DE43" s="162" t="str">
        <f>=ROUND(DD11,2)</f>
      </c>
      <c r="DF43" s="163" t="str">
        <f>=ROUND(DE11,2)</f>
      </c>
      <c r="DG43" s="164" t="str">
        <f>=ROUND(IFERROR(DE43/DF43,0),6)</f>
      </c>
      <c r="DJ43" s="160" t="s">
        <v>327</v>
      </c>
      <c r="DK43" s="161" t="s">
        <v>158</v>
      </c>
      <c r="DL43" s="162" t="str">
        <f>=ROUND(DK11,2)</f>
      </c>
      <c r="DM43" s="163" t="str">
        <f>=ROUND(DL11,2)</f>
      </c>
      <c r="DN43" s="164" t="str">
        <f>=ROUND(IFERROR(DL43/DM43,0),6)</f>
      </c>
      <c r="DQ43" s="160" t="s">
        <v>327</v>
      </c>
      <c r="DR43" s="161" t="s">
        <v>158</v>
      </c>
      <c r="DS43" s="162" t="str">
        <f>=ROUND(DR11,2)</f>
      </c>
      <c r="DT43" s="163" t="str">
        <f>=ROUND(DS11,2)</f>
      </c>
      <c r="DU43" s="164" t="str">
        <f>=ROUND(IFERROR(DS43/DT43,0),6)</f>
      </c>
    </row>
    <row r="44">
      <c r="B44" s="165" t="s">
        <v>199</v>
      </c>
      <c r="C44" s="166" t="s">
        <v>320</v>
      </c>
      <c r="D44" s="167">
        <v>1250000</v>
      </c>
      <c r="E44" s="168">
        <v>10000</v>
      </c>
      <c r="F44" s="169" t="str">
        <f>=ROUND(IFERROR(D44/E44,0),6)</f>
      </c>
      <c r="I44" s="165" t="s">
        <v>199</v>
      </c>
      <c r="J44" s="166" t="s">
        <v>320</v>
      </c>
      <c r="K44" s="167">
        <v>1000000</v>
      </c>
      <c r="L44" s="168">
        <v>8000</v>
      </c>
      <c r="M44" s="169" t="str">
        <f>=ROUND(IFERROR(K44/L44,0),6)</f>
      </c>
      <c r="P44" s="165" t="s">
        <v>199</v>
      </c>
      <c r="Q44" s="166" t="s">
        <v>320</v>
      </c>
      <c r="R44" s="167"/>
      <c r="S44" s="168"/>
      <c r="T44" s="169" t="str">
        <f>=ROUND(IFERROR(R44/S44,0),6)</f>
      </c>
      <c r="W44" s="165" t="s">
        <v>199</v>
      </c>
      <c r="X44" s="166" t="s">
        <v>320</v>
      </c>
      <c r="Y44" s="167"/>
      <c r="Z44" s="168"/>
      <c r="AA44" s="169" t="str">
        <f>=ROUND(IFERROR(Y44/Z44,0),6)</f>
      </c>
      <c r="AD44" s="165" t="s">
        <v>199</v>
      </c>
      <c r="AE44" s="166" t="s">
        <v>320</v>
      </c>
      <c r="AF44" s="167"/>
      <c r="AG44" s="168"/>
      <c r="AH44" s="169" t="str">
        <f>=ROUND(IFERROR(AF44/AG44,0),6)</f>
      </c>
      <c r="AK44" s="165" t="s">
        <v>199</v>
      </c>
      <c r="AL44" s="166" t="s">
        <v>320</v>
      </c>
      <c r="AM44" s="167"/>
      <c r="AN44" s="168"/>
      <c r="AO44" s="169" t="str">
        <f>=ROUND(IFERROR(AM44/AN44,0),6)</f>
      </c>
      <c r="AR44" s="165" t="s">
        <v>199</v>
      </c>
      <c r="AS44" s="166" t="s">
        <v>320</v>
      </c>
      <c r="AT44" s="167"/>
      <c r="AU44" s="168"/>
      <c r="AV44" s="169" t="str">
        <f>=ROUND(IFERROR(AT44/AU44,0),6)</f>
      </c>
      <c r="AY44" s="165" t="s">
        <v>199</v>
      </c>
      <c r="AZ44" s="166" t="s">
        <v>320</v>
      </c>
      <c r="BA44" s="167"/>
      <c r="BB44" s="168"/>
      <c r="BC44" s="169" t="str">
        <f>=ROUND(IFERROR(BA44/BB44,0),6)</f>
      </c>
      <c r="BF44" s="165" t="s">
        <v>199</v>
      </c>
      <c r="BG44" s="166" t="s">
        <v>320</v>
      </c>
      <c r="BH44" s="167"/>
      <c r="BI44" s="168"/>
      <c r="BJ44" s="169" t="str">
        <f>=ROUND(IFERROR(BH44/BI44,0),6)</f>
      </c>
      <c r="BM44" s="165" t="s">
        <v>199</v>
      </c>
      <c r="BN44" s="166" t="s">
        <v>320</v>
      </c>
      <c r="BO44" s="167"/>
      <c r="BP44" s="168"/>
      <c r="BQ44" s="169" t="str">
        <f>=ROUND(IFERROR(BO44/BP44,0),6)</f>
      </c>
      <c r="BT44" s="165" t="s">
        <v>199</v>
      </c>
      <c r="BU44" s="166" t="s">
        <v>320</v>
      </c>
      <c r="BV44" s="167"/>
      <c r="BW44" s="168"/>
      <c r="BX44" s="169" t="str">
        <f>=ROUND(IFERROR(BV44/BW44,0),6)</f>
      </c>
      <c r="CA44" s="165" t="s">
        <v>199</v>
      </c>
      <c r="CB44" s="166" t="s">
        <v>320</v>
      </c>
      <c r="CC44" s="167"/>
      <c r="CD44" s="168"/>
      <c r="CE44" s="169" t="str">
        <f>=ROUND(IFERROR(CC44/CD44,0),6)</f>
      </c>
      <c r="CH44" s="165" t="s">
        <v>199</v>
      </c>
      <c r="CI44" s="166" t="s">
        <v>320</v>
      </c>
      <c r="CJ44" s="167"/>
      <c r="CK44" s="168"/>
      <c r="CL44" s="169" t="str">
        <f>=ROUND(IFERROR(CJ44/CK44,0),6)</f>
      </c>
      <c r="CO44" s="165" t="s">
        <v>199</v>
      </c>
      <c r="CP44" s="166" t="s">
        <v>320</v>
      </c>
      <c r="CQ44" s="167"/>
      <c r="CR44" s="168"/>
      <c r="CS44" s="169" t="str">
        <f>=ROUND(IFERROR(CQ44/CR44,0),6)</f>
      </c>
      <c r="CV44" s="165" t="s">
        <v>199</v>
      </c>
      <c r="CW44" s="166" t="s">
        <v>320</v>
      </c>
      <c r="CX44" s="167"/>
      <c r="CY44" s="168"/>
      <c r="CZ44" s="169" t="str">
        <f>=ROUND(IFERROR(CX44/CY44,0),6)</f>
      </c>
      <c r="DC44" s="165" t="s">
        <v>199</v>
      </c>
      <c r="DD44" s="166" t="s">
        <v>320</v>
      </c>
      <c r="DE44" s="167"/>
      <c r="DF44" s="168"/>
      <c r="DG44" s="169" t="str">
        <f>=ROUND(IFERROR(DE44/DF44,0),6)</f>
      </c>
      <c r="DJ44" s="165" t="s">
        <v>199</v>
      </c>
      <c r="DK44" s="166" t="s">
        <v>320</v>
      </c>
      <c r="DL44" s="167"/>
      <c r="DM44" s="168"/>
      <c r="DN44" s="169" t="str">
        <f>=ROUND(IFERROR(DL44/DM44,0),6)</f>
      </c>
      <c r="DQ44" s="165" t="s">
        <v>199</v>
      </c>
      <c r="DR44" s="166" t="s">
        <v>320</v>
      </c>
      <c r="DS44" s="167"/>
      <c r="DT44" s="168"/>
      <c r="DU44" s="169" t="str">
        <f>=ROUND(IFERROR(DS44/DT44,0),6)</f>
      </c>
    </row>
    <row r="45">
      <c r="B45" s="165" t="s">
        <v>158</v>
      </c>
      <c r="C45" s="166" t="s">
        <v>158</v>
      </c>
      <c r="D45" s="167"/>
      <c r="E45" s="168"/>
      <c r="F45" s="169" t="str">
        <f>=ROUND(IFERROR(D45/E45,0),6)</f>
      </c>
      <c r="I45" s="165" t="s">
        <v>158</v>
      </c>
      <c r="J45" s="166" t="s">
        <v>158</v>
      </c>
      <c r="K45" s="167"/>
      <c r="L45" s="168"/>
      <c r="M45" s="169" t="str">
        <f>=ROUND(IFERROR(K45/L45,0),6)</f>
      </c>
      <c r="P45" s="165" t="s">
        <v>158</v>
      </c>
      <c r="Q45" s="166" t="s">
        <v>158</v>
      </c>
      <c r="R45" s="167"/>
      <c r="S45" s="168"/>
      <c r="T45" s="169" t="str">
        <f>=ROUND(IFERROR(R45/S45,0),6)</f>
      </c>
      <c r="W45" s="165" t="s">
        <v>158</v>
      </c>
      <c r="X45" s="166" t="s">
        <v>158</v>
      </c>
      <c r="Y45" s="167"/>
      <c r="Z45" s="168"/>
      <c r="AA45" s="169" t="str">
        <f>=ROUND(IFERROR(Y45/Z45,0),6)</f>
      </c>
      <c r="AD45" s="165" t="s">
        <v>158</v>
      </c>
      <c r="AE45" s="166" t="s">
        <v>158</v>
      </c>
      <c r="AF45" s="167"/>
      <c r="AG45" s="168"/>
      <c r="AH45" s="169" t="str">
        <f>=ROUND(IFERROR(AF45/AG45,0),6)</f>
      </c>
      <c r="AK45" s="165" t="s">
        <v>158</v>
      </c>
      <c r="AL45" s="166" t="s">
        <v>158</v>
      </c>
      <c r="AM45" s="167"/>
      <c r="AN45" s="168"/>
      <c r="AO45" s="169" t="str">
        <f>=ROUND(IFERROR(AM45/AN45,0),6)</f>
      </c>
      <c r="AR45" s="165" t="s">
        <v>158</v>
      </c>
      <c r="AS45" s="166" t="s">
        <v>158</v>
      </c>
      <c r="AT45" s="167"/>
      <c r="AU45" s="168"/>
      <c r="AV45" s="169" t="str">
        <f>=ROUND(IFERROR(AT45/AU45,0),6)</f>
      </c>
      <c r="AY45" s="165" t="s">
        <v>158</v>
      </c>
      <c r="AZ45" s="166" t="s">
        <v>158</v>
      </c>
      <c r="BA45" s="167"/>
      <c r="BB45" s="168"/>
      <c r="BC45" s="169" t="str">
        <f>=ROUND(IFERROR(BA45/BB45,0),6)</f>
      </c>
      <c r="BF45" s="165" t="s">
        <v>158</v>
      </c>
      <c r="BG45" s="166" t="s">
        <v>158</v>
      </c>
      <c r="BH45" s="167"/>
      <c r="BI45" s="168"/>
      <c r="BJ45" s="169" t="str">
        <f>=ROUND(IFERROR(BH45/BI45,0),6)</f>
      </c>
      <c r="BM45" s="165" t="s">
        <v>158</v>
      </c>
      <c r="BN45" s="166" t="s">
        <v>158</v>
      </c>
      <c r="BO45" s="167"/>
      <c r="BP45" s="168"/>
      <c r="BQ45" s="169" t="str">
        <f>=ROUND(IFERROR(BO45/BP45,0),6)</f>
      </c>
      <c r="BT45" s="165" t="s">
        <v>158</v>
      </c>
      <c r="BU45" s="166" t="s">
        <v>158</v>
      </c>
      <c r="BV45" s="167"/>
      <c r="BW45" s="168"/>
      <c r="BX45" s="169" t="str">
        <f>=ROUND(IFERROR(BV45/BW45,0),6)</f>
      </c>
      <c r="CA45" s="165" t="s">
        <v>158</v>
      </c>
      <c r="CB45" s="166" t="s">
        <v>158</v>
      </c>
      <c r="CC45" s="167"/>
      <c r="CD45" s="168"/>
      <c r="CE45" s="169" t="str">
        <f>=ROUND(IFERROR(CC45/CD45,0),6)</f>
      </c>
      <c r="CH45" s="165" t="s">
        <v>158</v>
      </c>
      <c r="CI45" s="166" t="s">
        <v>158</v>
      </c>
      <c r="CJ45" s="167"/>
      <c r="CK45" s="168"/>
      <c r="CL45" s="169" t="str">
        <f>=ROUND(IFERROR(CJ45/CK45,0),6)</f>
      </c>
      <c r="CO45" s="165" t="s">
        <v>158</v>
      </c>
      <c r="CP45" s="166" t="s">
        <v>158</v>
      </c>
      <c r="CQ45" s="167"/>
      <c r="CR45" s="168"/>
      <c r="CS45" s="169" t="str">
        <f>=ROUND(IFERROR(CQ45/CR45,0),6)</f>
      </c>
      <c r="CV45" s="165" t="s">
        <v>158</v>
      </c>
      <c r="CW45" s="166" t="s">
        <v>158</v>
      </c>
      <c r="CX45" s="167"/>
      <c r="CY45" s="168"/>
      <c r="CZ45" s="169" t="str">
        <f>=ROUND(IFERROR(CX45/CY45,0),6)</f>
      </c>
      <c r="DC45" s="165" t="s">
        <v>158</v>
      </c>
      <c r="DD45" s="166" t="s">
        <v>158</v>
      </c>
      <c r="DE45" s="167"/>
      <c r="DF45" s="168"/>
      <c r="DG45" s="169" t="str">
        <f>=ROUND(IFERROR(DE45/DF45,0),6)</f>
      </c>
      <c r="DJ45" s="165" t="s">
        <v>158</v>
      </c>
      <c r="DK45" s="166" t="s">
        <v>158</v>
      </c>
      <c r="DL45" s="167"/>
      <c r="DM45" s="168"/>
      <c r="DN45" s="169" t="str">
        <f>=ROUND(IFERROR(DL45/DM45,0),6)</f>
      </c>
      <c r="DQ45" s="165" t="s">
        <v>158</v>
      </c>
      <c r="DR45" s="166" t="s">
        <v>158</v>
      </c>
      <c r="DS45" s="167"/>
      <c r="DT45" s="168"/>
      <c r="DU45" s="169" t="str">
        <f>=ROUND(IFERROR(DS45/DT45,0),6)</f>
      </c>
    </row>
    <row r="46">
      <c r="B46" s="165" t="s">
        <v>158</v>
      </c>
      <c r="C46" s="166" t="s">
        <v>158</v>
      </c>
      <c r="D46" s="167"/>
      <c r="E46" s="168"/>
      <c r="F46" s="169" t="str">
        <f>=ROUND(IFERROR(D46/E46,0),6)</f>
      </c>
      <c r="I46" s="165" t="s">
        <v>158</v>
      </c>
      <c r="J46" s="166" t="s">
        <v>158</v>
      </c>
      <c r="K46" s="167"/>
      <c r="L46" s="168"/>
      <c r="M46" s="169" t="str">
        <f>=ROUND(IFERROR(K46/L46,0),6)</f>
      </c>
      <c r="P46" s="165" t="s">
        <v>158</v>
      </c>
      <c r="Q46" s="166" t="s">
        <v>158</v>
      </c>
      <c r="R46" s="167"/>
      <c r="S46" s="168"/>
      <c r="T46" s="169" t="str">
        <f>=ROUND(IFERROR(R46/S46,0),6)</f>
      </c>
      <c r="W46" s="165" t="s">
        <v>158</v>
      </c>
      <c r="X46" s="166" t="s">
        <v>158</v>
      </c>
      <c r="Y46" s="167"/>
      <c r="Z46" s="168"/>
      <c r="AA46" s="169" t="str">
        <f>=ROUND(IFERROR(Y46/Z46,0),6)</f>
      </c>
      <c r="AD46" s="165" t="s">
        <v>158</v>
      </c>
      <c r="AE46" s="166" t="s">
        <v>158</v>
      </c>
      <c r="AF46" s="167"/>
      <c r="AG46" s="168"/>
      <c r="AH46" s="169" t="str">
        <f>=ROUND(IFERROR(AF46/AG46,0),6)</f>
      </c>
      <c r="AK46" s="165" t="s">
        <v>158</v>
      </c>
      <c r="AL46" s="166" t="s">
        <v>158</v>
      </c>
      <c r="AM46" s="167"/>
      <c r="AN46" s="168"/>
      <c r="AO46" s="169" t="str">
        <f>=ROUND(IFERROR(AM46/AN46,0),6)</f>
      </c>
      <c r="AR46" s="165" t="s">
        <v>158</v>
      </c>
      <c r="AS46" s="166" t="s">
        <v>158</v>
      </c>
      <c r="AT46" s="167"/>
      <c r="AU46" s="168"/>
      <c r="AV46" s="169" t="str">
        <f>=ROUND(IFERROR(AT46/AU46,0),6)</f>
      </c>
      <c r="AY46" s="165" t="s">
        <v>158</v>
      </c>
      <c r="AZ46" s="166" t="s">
        <v>158</v>
      </c>
      <c r="BA46" s="167"/>
      <c r="BB46" s="168"/>
      <c r="BC46" s="169" t="str">
        <f>=ROUND(IFERROR(BA46/BB46,0),6)</f>
      </c>
      <c r="BF46" s="165" t="s">
        <v>158</v>
      </c>
      <c r="BG46" s="166" t="s">
        <v>158</v>
      </c>
      <c r="BH46" s="167"/>
      <c r="BI46" s="168"/>
      <c r="BJ46" s="169" t="str">
        <f>=ROUND(IFERROR(BH46/BI46,0),6)</f>
      </c>
      <c r="BM46" s="165" t="s">
        <v>158</v>
      </c>
      <c r="BN46" s="166" t="s">
        <v>158</v>
      </c>
      <c r="BO46" s="167"/>
      <c r="BP46" s="168"/>
      <c r="BQ46" s="169" t="str">
        <f>=ROUND(IFERROR(BO46/BP46,0),6)</f>
      </c>
      <c r="BT46" s="165" t="s">
        <v>158</v>
      </c>
      <c r="BU46" s="166" t="s">
        <v>158</v>
      </c>
      <c r="BV46" s="167"/>
      <c r="BW46" s="168"/>
      <c r="BX46" s="169" t="str">
        <f>=ROUND(IFERROR(BV46/BW46,0),6)</f>
      </c>
      <c r="CA46" s="165" t="s">
        <v>158</v>
      </c>
      <c r="CB46" s="166" t="s">
        <v>158</v>
      </c>
      <c r="CC46" s="167"/>
      <c r="CD46" s="168"/>
      <c r="CE46" s="169" t="str">
        <f>=ROUND(IFERROR(CC46/CD46,0),6)</f>
      </c>
      <c r="CH46" s="165" t="s">
        <v>158</v>
      </c>
      <c r="CI46" s="166" t="s">
        <v>158</v>
      </c>
      <c r="CJ46" s="167"/>
      <c r="CK46" s="168"/>
      <c r="CL46" s="169" t="str">
        <f>=ROUND(IFERROR(CJ46/CK46,0),6)</f>
      </c>
      <c r="CO46" s="165" t="s">
        <v>158</v>
      </c>
      <c r="CP46" s="166" t="s">
        <v>158</v>
      </c>
      <c r="CQ46" s="167"/>
      <c r="CR46" s="168"/>
      <c r="CS46" s="169" t="str">
        <f>=ROUND(IFERROR(CQ46/CR46,0),6)</f>
      </c>
      <c r="CV46" s="165" t="s">
        <v>158</v>
      </c>
      <c r="CW46" s="166" t="s">
        <v>158</v>
      </c>
      <c r="CX46" s="167"/>
      <c r="CY46" s="168"/>
      <c r="CZ46" s="169" t="str">
        <f>=ROUND(IFERROR(CX46/CY46,0),6)</f>
      </c>
      <c r="DC46" s="165" t="s">
        <v>158</v>
      </c>
      <c r="DD46" s="166" t="s">
        <v>158</v>
      </c>
      <c r="DE46" s="167"/>
      <c r="DF46" s="168"/>
      <c r="DG46" s="169" t="str">
        <f>=ROUND(IFERROR(DE46/DF46,0),6)</f>
      </c>
      <c r="DJ46" s="165" t="s">
        <v>158</v>
      </c>
      <c r="DK46" s="166" t="s">
        <v>158</v>
      </c>
      <c r="DL46" s="167"/>
      <c r="DM46" s="168"/>
      <c r="DN46" s="169" t="str">
        <f>=ROUND(IFERROR(DL46/DM46,0),6)</f>
      </c>
      <c r="DQ46" s="165" t="s">
        <v>158</v>
      </c>
      <c r="DR46" s="166" t="s">
        <v>158</v>
      </c>
      <c r="DS46" s="167"/>
      <c r="DT46" s="168"/>
      <c r="DU46" s="169" t="str">
        <f>=ROUND(IFERROR(DS46/DT46,0),6)</f>
      </c>
    </row>
    <row r="47">
      <c r="B47" s="165" t="s">
        <v>158</v>
      </c>
      <c r="C47" s="166" t="s">
        <v>158</v>
      </c>
      <c r="D47" s="167"/>
      <c r="E47" s="168"/>
      <c r="F47" s="169" t="str">
        <f>=ROUND(IFERROR(D47/E47,0),6)</f>
      </c>
      <c r="I47" s="165" t="s">
        <v>158</v>
      </c>
      <c r="J47" s="166" t="s">
        <v>158</v>
      </c>
      <c r="K47" s="167"/>
      <c r="L47" s="168"/>
      <c r="M47" s="169" t="str">
        <f>=ROUND(IFERROR(K47/L47,0),6)</f>
      </c>
      <c r="P47" s="165" t="s">
        <v>158</v>
      </c>
      <c r="Q47" s="166" t="s">
        <v>158</v>
      </c>
      <c r="R47" s="167"/>
      <c r="S47" s="168"/>
      <c r="T47" s="169" t="str">
        <f>=ROUND(IFERROR(R47/S47,0),6)</f>
      </c>
      <c r="W47" s="165" t="s">
        <v>158</v>
      </c>
      <c r="X47" s="166" t="s">
        <v>158</v>
      </c>
      <c r="Y47" s="167"/>
      <c r="Z47" s="168"/>
      <c r="AA47" s="169" t="str">
        <f>=ROUND(IFERROR(Y47/Z47,0),6)</f>
      </c>
      <c r="AD47" s="165" t="s">
        <v>158</v>
      </c>
      <c r="AE47" s="166" t="s">
        <v>158</v>
      </c>
      <c r="AF47" s="167"/>
      <c r="AG47" s="168"/>
      <c r="AH47" s="169" t="str">
        <f>=ROUND(IFERROR(AF47/AG47,0),6)</f>
      </c>
      <c r="AK47" s="165" t="s">
        <v>158</v>
      </c>
      <c r="AL47" s="166" t="s">
        <v>158</v>
      </c>
      <c r="AM47" s="167"/>
      <c r="AN47" s="168"/>
      <c r="AO47" s="169" t="str">
        <f>=ROUND(IFERROR(AM47/AN47,0),6)</f>
      </c>
      <c r="AR47" s="165" t="s">
        <v>158</v>
      </c>
      <c r="AS47" s="166" t="s">
        <v>158</v>
      </c>
      <c r="AT47" s="167"/>
      <c r="AU47" s="168"/>
      <c r="AV47" s="169" t="str">
        <f>=ROUND(IFERROR(AT47/AU47,0),6)</f>
      </c>
      <c r="AY47" s="165" t="s">
        <v>158</v>
      </c>
      <c r="AZ47" s="166" t="s">
        <v>158</v>
      </c>
      <c r="BA47" s="167"/>
      <c r="BB47" s="168"/>
      <c r="BC47" s="169" t="str">
        <f>=ROUND(IFERROR(BA47/BB47,0),6)</f>
      </c>
      <c r="BF47" s="165" t="s">
        <v>158</v>
      </c>
      <c r="BG47" s="166" t="s">
        <v>158</v>
      </c>
      <c r="BH47" s="167"/>
      <c r="BI47" s="168"/>
      <c r="BJ47" s="169" t="str">
        <f>=ROUND(IFERROR(BH47/BI47,0),6)</f>
      </c>
      <c r="BM47" s="165" t="s">
        <v>158</v>
      </c>
      <c r="BN47" s="166" t="s">
        <v>158</v>
      </c>
      <c r="BO47" s="167"/>
      <c r="BP47" s="168"/>
      <c r="BQ47" s="169" t="str">
        <f>=ROUND(IFERROR(BO47/BP47,0),6)</f>
      </c>
      <c r="BT47" s="165" t="s">
        <v>158</v>
      </c>
      <c r="BU47" s="166" t="s">
        <v>158</v>
      </c>
      <c r="BV47" s="167"/>
      <c r="BW47" s="168"/>
      <c r="BX47" s="169" t="str">
        <f>=ROUND(IFERROR(BV47/BW47,0),6)</f>
      </c>
      <c r="CA47" s="165" t="s">
        <v>158</v>
      </c>
      <c r="CB47" s="166" t="s">
        <v>158</v>
      </c>
      <c r="CC47" s="167"/>
      <c r="CD47" s="168"/>
      <c r="CE47" s="169" t="str">
        <f>=ROUND(IFERROR(CC47/CD47,0),6)</f>
      </c>
      <c r="CH47" s="165" t="s">
        <v>158</v>
      </c>
      <c r="CI47" s="166" t="s">
        <v>158</v>
      </c>
      <c r="CJ47" s="167"/>
      <c r="CK47" s="168"/>
      <c r="CL47" s="169" t="str">
        <f>=ROUND(IFERROR(CJ47/CK47,0),6)</f>
      </c>
      <c r="CO47" s="165" t="s">
        <v>158</v>
      </c>
      <c r="CP47" s="166" t="s">
        <v>158</v>
      </c>
      <c r="CQ47" s="167"/>
      <c r="CR47" s="168"/>
      <c r="CS47" s="169" t="str">
        <f>=ROUND(IFERROR(CQ47/CR47,0),6)</f>
      </c>
      <c r="CV47" s="165" t="s">
        <v>158</v>
      </c>
      <c r="CW47" s="166" t="s">
        <v>158</v>
      </c>
      <c r="CX47" s="167"/>
      <c r="CY47" s="168"/>
      <c r="CZ47" s="169" t="str">
        <f>=ROUND(IFERROR(CX47/CY47,0),6)</f>
      </c>
      <c r="DC47" s="165" t="s">
        <v>158</v>
      </c>
      <c r="DD47" s="166" t="s">
        <v>158</v>
      </c>
      <c r="DE47" s="167"/>
      <c r="DF47" s="168"/>
      <c r="DG47" s="169" t="str">
        <f>=ROUND(IFERROR(DE47/DF47,0),6)</f>
      </c>
      <c r="DJ47" s="165" t="s">
        <v>158</v>
      </c>
      <c r="DK47" s="166" t="s">
        <v>158</v>
      </c>
      <c r="DL47" s="167"/>
      <c r="DM47" s="168"/>
      <c r="DN47" s="169" t="str">
        <f>=ROUND(IFERROR(DL47/DM47,0),6)</f>
      </c>
      <c r="DQ47" s="165" t="s">
        <v>158</v>
      </c>
      <c r="DR47" s="166" t="s">
        <v>158</v>
      </c>
      <c r="DS47" s="167"/>
      <c r="DT47" s="168"/>
      <c r="DU47" s="169" t="str">
        <f>=ROUND(IFERROR(DS47/DT47,0),6)</f>
      </c>
    </row>
    <row r="48">
      <c r="B48" s="170" t="s">
        <v>321</v>
      </c>
      <c r="C48" s="171" t="s">
        <v>292</v>
      </c>
      <c r="D48" s="172" t="str">
        <f>=ROUND(SUBTOTAL(109,$D$43:$D$47),2)</f>
      </c>
      <c r="E48" s="173" t="str">
        <f>=ROUND(SUBTOTAL(109,$E$43:$E$47),2)</f>
      </c>
      <c r="F48" s="174" t="str">
        <f>=ROUND(IFERROR(D48/E48,0),6)</f>
      </c>
      <c r="I48" s="170" t="s">
        <v>321</v>
      </c>
      <c r="J48" s="171" t="s">
        <v>292</v>
      </c>
      <c r="K48" s="172" t="str">
        <f>=ROUND(SUBTOTAL(109,$K$43:$K$47),2)</f>
      </c>
      <c r="L48" s="173" t="str">
        <f>=ROUND(SUBTOTAL(109,$L$43:$L$47),2)</f>
      </c>
      <c r="M48" s="174" t="str">
        <f>=ROUND(IFERROR(K48/L48,0),6)</f>
      </c>
      <c r="P48" s="170" t="s">
        <v>321</v>
      </c>
      <c r="Q48" s="171" t="s">
        <v>292</v>
      </c>
      <c r="R48" s="172" t="str">
        <f>=ROUND(SUBTOTAL(109,$R$43:$R$47),2)</f>
      </c>
      <c r="S48" s="173" t="str">
        <f>=ROUND(SUBTOTAL(109,$S$43:$S$47),2)</f>
      </c>
      <c r="T48" s="174" t="str">
        <f>=ROUND(IFERROR(R48/S48,0),6)</f>
      </c>
      <c r="W48" s="170" t="s">
        <v>321</v>
      </c>
      <c r="X48" s="171" t="s">
        <v>292</v>
      </c>
      <c r="Y48" s="172" t="str">
        <f>=ROUND(SUBTOTAL(109,$Y$43:$Y$47),2)</f>
      </c>
      <c r="Z48" s="173" t="str">
        <f>=ROUND(SUBTOTAL(109,$Z$43:$Z$47),2)</f>
      </c>
      <c r="AA48" s="174" t="str">
        <f>=ROUND(IFERROR(Y48/Z48,0),6)</f>
      </c>
      <c r="AD48" s="170" t="s">
        <v>321</v>
      </c>
      <c r="AE48" s="171" t="s">
        <v>292</v>
      </c>
      <c r="AF48" s="172" t="str">
        <f>=ROUND(SUBTOTAL(109,$AF$43:$AF$47),2)</f>
      </c>
      <c r="AG48" s="173" t="str">
        <f>=ROUND(SUBTOTAL(109,$AG$43:$AG$47),2)</f>
      </c>
      <c r="AH48" s="174" t="str">
        <f>=ROUND(IFERROR(AF48/AG48,0),6)</f>
      </c>
      <c r="AK48" s="170" t="s">
        <v>321</v>
      </c>
      <c r="AL48" s="171" t="s">
        <v>292</v>
      </c>
      <c r="AM48" s="172" t="str">
        <f>=ROUND(SUBTOTAL(109,$AM$43:$AM$47),2)</f>
      </c>
      <c r="AN48" s="173" t="str">
        <f>=ROUND(SUBTOTAL(109,$AN$43:$AN$47),2)</f>
      </c>
      <c r="AO48" s="174" t="str">
        <f>=ROUND(IFERROR(AM48/AN48,0),6)</f>
      </c>
      <c r="AR48" s="170" t="s">
        <v>321</v>
      </c>
      <c r="AS48" s="171" t="s">
        <v>292</v>
      </c>
      <c r="AT48" s="172" t="str">
        <f>=ROUND(SUBTOTAL(109,$AT$43:$AT$47),2)</f>
      </c>
      <c r="AU48" s="173" t="str">
        <f>=ROUND(SUBTOTAL(109,$AU$43:$AU$47),2)</f>
      </c>
      <c r="AV48" s="174" t="str">
        <f>=ROUND(IFERROR(AT48/AU48,0),6)</f>
      </c>
      <c r="AY48" s="170" t="s">
        <v>321</v>
      </c>
      <c r="AZ48" s="171" t="s">
        <v>292</v>
      </c>
      <c r="BA48" s="172" t="str">
        <f>=ROUND(SUBTOTAL(109,$BA$43:$BA$47),2)</f>
      </c>
      <c r="BB48" s="173" t="str">
        <f>=ROUND(SUBTOTAL(109,$BB$43:$BB$47),2)</f>
      </c>
      <c r="BC48" s="174" t="str">
        <f>=ROUND(IFERROR(BA48/BB48,0),6)</f>
      </c>
      <c r="BF48" s="170" t="s">
        <v>321</v>
      </c>
      <c r="BG48" s="171" t="s">
        <v>292</v>
      </c>
      <c r="BH48" s="172" t="str">
        <f>=ROUND(SUBTOTAL(109,$BH$43:$BH$47),2)</f>
      </c>
      <c r="BI48" s="173" t="str">
        <f>=ROUND(SUBTOTAL(109,$BI$43:$BI$47),2)</f>
      </c>
      <c r="BJ48" s="174" t="str">
        <f>=ROUND(IFERROR(BH48/BI48,0),6)</f>
      </c>
      <c r="BM48" s="170" t="s">
        <v>321</v>
      </c>
      <c r="BN48" s="171" t="s">
        <v>292</v>
      </c>
      <c r="BO48" s="172" t="str">
        <f>=ROUND(SUBTOTAL(109,$BO$43:$BO$47),2)</f>
      </c>
      <c r="BP48" s="173" t="str">
        <f>=ROUND(SUBTOTAL(109,$BP$43:$BP$47),2)</f>
      </c>
      <c r="BQ48" s="174" t="str">
        <f>=ROUND(IFERROR(BO48/BP48,0),6)</f>
      </c>
      <c r="BT48" s="170" t="s">
        <v>321</v>
      </c>
      <c r="BU48" s="171" t="s">
        <v>292</v>
      </c>
      <c r="BV48" s="172" t="str">
        <f>=ROUND(SUBTOTAL(109,$BV$43:$BV$47),2)</f>
      </c>
      <c r="BW48" s="173" t="str">
        <f>=ROUND(SUBTOTAL(109,$BW$43:$BW$47),2)</f>
      </c>
      <c r="BX48" s="174" t="str">
        <f>=ROUND(IFERROR(BV48/BW48,0),6)</f>
      </c>
      <c r="CA48" s="170" t="s">
        <v>321</v>
      </c>
      <c r="CB48" s="171" t="s">
        <v>292</v>
      </c>
      <c r="CC48" s="172" t="str">
        <f>=ROUND(SUBTOTAL(109,$CC$43:$CC$47),2)</f>
      </c>
      <c r="CD48" s="173" t="str">
        <f>=ROUND(SUBTOTAL(109,$CD$43:$CD$47),2)</f>
      </c>
      <c r="CE48" s="174" t="str">
        <f>=ROUND(IFERROR(CC48/CD48,0),6)</f>
      </c>
      <c r="CH48" s="170" t="s">
        <v>321</v>
      </c>
      <c r="CI48" s="171" t="s">
        <v>292</v>
      </c>
      <c r="CJ48" s="172" t="str">
        <f>=ROUND(SUBTOTAL(109,$CJ$43:$CJ$47),2)</f>
      </c>
      <c r="CK48" s="173" t="str">
        <f>=ROUND(SUBTOTAL(109,$CK$43:$CK$47),2)</f>
      </c>
      <c r="CL48" s="174" t="str">
        <f>=ROUND(IFERROR(CJ48/CK48,0),6)</f>
      </c>
      <c r="CO48" s="170" t="s">
        <v>321</v>
      </c>
      <c r="CP48" s="171" t="s">
        <v>292</v>
      </c>
      <c r="CQ48" s="172" t="str">
        <f>=ROUND(SUBTOTAL(109,$CQ$43:$CQ$47),2)</f>
      </c>
      <c r="CR48" s="173" t="str">
        <f>=ROUND(SUBTOTAL(109,$CR$43:$CR$47),2)</f>
      </c>
      <c r="CS48" s="174" t="str">
        <f>=ROUND(IFERROR(CQ48/CR48,0),6)</f>
      </c>
      <c r="CV48" s="170" t="s">
        <v>321</v>
      </c>
      <c r="CW48" s="171" t="s">
        <v>292</v>
      </c>
      <c r="CX48" s="172" t="str">
        <f>=ROUND(SUBTOTAL(109,$CX$43:$CX$47),2)</f>
      </c>
      <c r="CY48" s="173" t="str">
        <f>=ROUND(SUBTOTAL(109,$CY$43:$CY$47),2)</f>
      </c>
      <c r="CZ48" s="174" t="str">
        <f>=ROUND(IFERROR(CX48/CY48,0),6)</f>
      </c>
      <c r="DC48" s="170" t="s">
        <v>321</v>
      </c>
      <c r="DD48" s="171" t="s">
        <v>292</v>
      </c>
      <c r="DE48" s="172" t="str">
        <f>=ROUND(SUBTOTAL(109,$DE$43:$DE$47),2)</f>
      </c>
      <c r="DF48" s="173" t="str">
        <f>=ROUND(SUBTOTAL(109,$DF$43:$DF$47),2)</f>
      </c>
      <c r="DG48" s="174" t="str">
        <f>=ROUND(IFERROR(DE48/DF48,0),6)</f>
      </c>
      <c r="DJ48" s="170" t="s">
        <v>321</v>
      </c>
      <c r="DK48" s="171" t="s">
        <v>292</v>
      </c>
      <c r="DL48" s="172" t="str">
        <f>=ROUND(SUBTOTAL(109,$DL$43:$DL$47),2)</f>
      </c>
      <c r="DM48" s="173" t="str">
        <f>=ROUND(SUBTOTAL(109,$DM$43:$DM$47),2)</f>
      </c>
      <c r="DN48" s="174" t="str">
        <f>=ROUND(IFERROR(DL48/DM48,0),6)</f>
      </c>
      <c r="DQ48" s="170" t="s">
        <v>321</v>
      </c>
      <c r="DR48" s="171" t="s">
        <v>292</v>
      </c>
      <c r="DS48" s="172" t="str">
        <f>=ROUND(SUBTOTAL(109,$DS$43:$DS$47),2)</f>
      </c>
      <c r="DT48" s="173" t="str">
        <f>=ROUND(SUBTOTAL(109,$DT$43:$DT$47),2)</f>
      </c>
      <c r="DU48" s="174" t="str">
        <f>=ROUND(IFERROR(DS48/DT48,0),6)</f>
      </c>
    </row>
    <row r="50">
      <c r="B50" s="105" t="s">
        <v>322</v>
      </c>
      <c r="I50" s="105" t="s">
        <v>322</v>
      </c>
      <c r="P50" s="105" t="s">
        <v>322</v>
      </c>
      <c r="W50" s="105" t="s">
        <v>322</v>
      </c>
      <c r="AD50" s="105" t="s">
        <v>322</v>
      </c>
      <c r="AK50" s="105" t="s">
        <v>322</v>
      </c>
      <c r="AR50" s="105" t="s">
        <v>322</v>
      </c>
      <c r="AY50" s="105" t="s">
        <v>322</v>
      </c>
      <c r="BF50" s="105" t="s">
        <v>322</v>
      </c>
      <c r="BM50" s="105" t="s">
        <v>322</v>
      </c>
      <c r="BT50" s="105" t="s">
        <v>322</v>
      </c>
      <c r="CA50" s="105" t="s">
        <v>322</v>
      </c>
      <c r="CH50" s="105" t="s">
        <v>322</v>
      </c>
      <c r="CO50" s="105" t="s">
        <v>322</v>
      </c>
      <c r="CV50" s="105" t="s">
        <v>322</v>
      </c>
      <c r="DC50" s="105" t="s">
        <v>322</v>
      </c>
      <c r="DJ50" s="105" t="s">
        <v>322</v>
      </c>
      <c r="DQ50" s="105" t="s">
        <v>322</v>
      </c>
    </row>
    <row r="51">
      <c r="B51" s="121" t="s">
        <v>316</v>
      </c>
      <c r="C51" s="121" t="s">
        <v>317</v>
      </c>
      <c r="D51" s="121" t="s">
        <v>295</v>
      </c>
      <c r="E51" s="121" t="s">
        <v>296</v>
      </c>
      <c r="F51" s="121" t="s">
        <v>318</v>
      </c>
      <c r="I51" s="121" t="s">
        <v>316</v>
      </c>
      <c r="J51" s="121" t="s">
        <v>317</v>
      </c>
      <c r="K51" s="121" t="s">
        <v>295</v>
      </c>
      <c r="L51" s="121" t="s">
        <v>296</v>
      </c>
      <c r="M51" s="121" t="s">
        <v>318</v>
      </c>
      <c r="P51" s="121" t="s">
        <v>316</v>
      </c>
      <c r="Q51" s="121" t="s">
        <v>317</v>
      </c>
      <c r="R51" s="121" t="s">
        <v>295</v>
      </c>
      <c r="S51" s="121" t="s">
        <v>296</v>
      </c>
      <c r="T51" s="121" t="s">
        <v>318</v>
      </c>
      <c r="W51" s="121" t="s">
        <v>316</v>
      </c>
      <c r="X51" s="121" t="s">
        <v>317</v>
      </c>
      <c r="Y51" s="121" t="s">
        <v>295</v>
      </c>
      <c r="Z51" s="121" t="s">
        <v>296</v>
      </c>
      <c r="AA51" s="121" t="s">
        <v>318</v>
      </c>
      <c r="AD51" s="121" t="s">
        <v>316</v>
      </c>
      <c r="AE51" s="121" t="s">
        <v>317</v>
      </c>
      <c r="AF51" s="121" t="s">
        <v>295</v>
      </c>
      <c r="AG51" s="121" t="s">
        <v>296</v>
      </c>
      <c r="AH51" s="121" t="s">
        <v>318</v>
      </c>
      <c r="AK51" s="121" t="s">
        <v>316</v>
      </c>
      <c r="AL51" s="121" t="s">
        <v>317</v>
      </c>
      <c r="AM51" s="121" t="s">
        <v>295</v>
      </c>
      <c r="AN51" s="121" t="s">
        <v>296</v>
      </c>
      <c r="AO51" s="121" t="s">
        <v>318</v>
      </c>
      <c r="AR51" s="121" t="s">
        <v>316</v>
      </c>
      <c r="AS51" s="121" t="s">
        <v>317</v>
      </c>
      <c r="AT51" s="121" t="s">
        <v>295</v>
      </c>
      <c r="AU51" s="121" t="s">
        <v>296</v>
      </c>
      <c r="AV51" s="121" t="s">
        <v>318</v>
      </c>
      <c r="AY51" s="121" t="s">
        <v>316</v>
      </c>
      <c r="AZ51" s="121" t="s">
        <v>317</v>
      </c>
      <c r="BA51" s="121" t="s">
        <v>295</v>
      </c>
      <c r="BB51" s="121" t="s">
        <v>296</v>
      </c>
      <c r="BC51" s="121" t="s">
        <v>318</v>
      </c>
      <c r="BF51" s="121" t="s">
        <v>316</v>
      </c>
      <c r="BG51" s="121" t="s">
        <v>317</v>
      </c>
      <c r="BH51" s="121" t="s">
        <v>295</v>
      </c>
      <c r="BI51" s="121" t="s">
        <v>296</v>
      </c>
      <c r="BJ51" s="121" t="s">
        <v>318</v>
      </c>
      <c r="BM51" s="121" t="s">
        <v>316</v>
      </c>
      <c r="BN51" s="121" t="s">
        <v>317</v>
      </c>
      <c r="BO51" s="121" t="s">
        <v>295</v>
      </c>
      <c r="BP51" s="121" t="s">
        <v>296</v>
      </c>
      <c r="BQ51" s="121" t="s">
        <v>318</v>
      </c>
      <c r="BT51" s="121" t="s">
        <v>316</v>
      </c>
      <c r="BU51" s="121" t="s">
        <v>317</v>
      </c>
      <c r="BV51" s="121" t="s">
        <v>295</v>
      </c>
      <c r="BW51" s="121" t="s">
        <v>296</v>
      </c>
      <c r="BX51" s="121" t="s">
        <v>318</v>
      </c>
      <c r="CA51" s="121" t="s">
        <v>316</v>
      </c>
      <c r="CB51" s="121" t="s">
        <v>317</v>
      </c>
      <c r="CC51" s="121" t="s">
        <v>295</v>
      </c>
      <c r="CD51" s="121" t="s">
        <v>296</v>
      </c>
      <c r="CE51" s="121" t="s">
        <v>318</v>
      </c>
      <c r="CH51" s="121" t="s">
        <v>316</v>
      </c>
      <c r="CI51" s="121" t="s">
        <v>317</v>
      </c>
      <c r="CJ51" s="121" t="s">
        <v>295</v>
      </c>
      <c r="CK51" s="121" t="s">
        <v>296</v>
      </c>
      <c r="CL51" s="121" t="s">
        <v>318</v>
      </c>
      <c r="CO51" s="121" t="s">
        <v>316</v>
      </c>
      <c r="CP51" s="121" t="s">
        <v>317</v>
      </c>
      <c r="CQ51" s="121" t="s">
        <v>295</v>
      </c>
      <c r="CR51" s="121" t="s">
        <v>296</v>
      </c>
      <c r="CS51" s="121" t="s">
        <v>318</v>
      </c>
      <c r="CV51" s="121" t="s">
        <v>316</v>
      </c>
      <c r="CW51" s="121" t="s">
        <v>317</v>
      </c>
      <c r="CX51" s="121" t="s">
        <v>295</v>
      </c>
      <c r="CY51" s="121" t="s">
        <v>296</v>
      </c>
      <c r="CZ51" s="121" t="s">
        <v>318</v>
      </c>
      <c r="DC51" s="121" t="s">
        <v>316</v>
      </c>
      <c r="DD51" s="121" t="s">
        <v>317</v>
      </c>
      <c r="DE51" s="121" t="s">
        <v>295</v>
      </c>
      <c r="DF51" s="121" t="s">
        <v>296</v>
      </c>
      <c r="DG51" s="121" t="s">
        <v>318</v>
      </c>
      <c r="DJ51" s="121" t="s">
        <v>316</v>
      </c>
      <c r="DK51" s="121" t="s">
        <v>317</v>
      </c>
      <c r="DL51" s="121" t="s">
        <v>295</v>
      </c>
      <c r="DM51" s="121" t="s">
        <v>296</v>
      </c>
      <c r="DN51" s="121" t="s">
        <v>318</v>
      </c>
      <c r="DQ51" s="121" t="s">
        <v>316</v>
      </c>
      <c r="DR51" s="121" t="s">
        <v>317</v>
      </c>
      <c r="DS51" s="121" t="s">
        <v>295</v>
      </c>
      <c r="DT51" s="121" t="s">
        <v>296</v>
      </c>
      <c r="DU51" s="121" t="s">
        <v>318</v>
      </c>
    </row>
    <row r="52">
      <c r="B52" s="165" t="s">
        <v>194</v>
      </c>
      <c r="C52" s="166" t="s">
        <v>323</v>
      </c>
      <c r="D52" s="167">
        <v>250000</v>
      </c>
      <c r="E52" s="175" t="str">
        <f>=IFERROR(ROUND(D52/$C$8,2),0)</f>
      </c>
      <c r="F52" s="169" t="str">
        <f>=ROUND(IFERROR(D52/E52,0),6)</f>
      </c>
      <c r="I52" s="165" t="s">
        <v>194</v>
      </c>
      <c r="J52" s="166" t="s">
        <v>323</v>
      </c>
      <c r="K52" s="167">
        <v>200000</v>
      </c>
      <c r="L52" s="175" t="str">
        <f>=IFERROR(ROUND(K52/$J$8,2),0)</f>
      </c>
      <c r="M52" s="169" t="str">
        <f>=ROUND(IFERROR(K52/L52,0),6)</f>
      </c>
      <c r="P52" s="165" t="s">
        <v>194</v>
      </c>
      <c r="Q52" s="166" t="s">
        <v>323</v>
      </c>
      <c r="R52" s="167"/>
      <c r="S52" s="175" t="str">
        <f>=IFERROR(ROUND(R52/$Q$8,2),0)</f>
      </c>
      <c r="T52" s="169" t="str">
        <f>=ROUND(IFERROR(R52/S52,0),6)</f>
      </c>
      <c r="W52" s="165" t="s">
        <v>194</v>
      </c>
      <c r="X52" s="166" t="s">
        <v>323</v>
      </c>
      <c r="Y52" s="167"/>
      <c r="Z52" s="175" t="str">
        <f>=IFERROR(ROUND(Y52/$X$8,2),0)</f>
      </c>
      <c r="AA52" s="169" t="str">
        <f>=ROUND(IFERROR(Y52/Z52,0),6)</f>
      </c>
      <c r="AD52" s="165" t="s">
        <v>194</v>
      </c>
      <c r="AE52" s="166" t="s">
        <v>323</v>
      </c>
      <c r="AF52" s="167"/>
      <c r="AG52" s="175" t="str">
        <f>=IFERROR(ROUND(AF52/$AE$8,2),0)</f>
      </c>
      <c r="AH52" s="169" t="str">
        <f>=ROUND(IFERROR(AF52/AG52,0),6)</f>
      </c>
      <c r="AK52" s="165" t="s">
        <v>194</v>
      </c>
      <c r="AL52" s="166" t="s">
        <v>323</v>
      </c>
      <c r="AM52" s="167"/>
      <c r="AN52" s="175" t="str">
        <f>=IFERROR(ROUND(AM52/$AL$8,2),0)</f>
      </c>
      <c r="AO52" s="169" t="str">
        <f>=ROUND(IFERROR(AM52/AN52,0),6)</f>
      </c>
      <c r="AR52" s="165" t="s">
        <v>194</v>
      </c>
      <c r="AS52" s="166" t="s">
        <v>323</v>
      </c>
      <c r="AT52" s="167"/>
      <c r="AU52" s="175" t="str">
        <f>=IFERROR(ROUND(AT52/$AS$8,2),0)</f>
      </c>
      <c r="AV52" s="169" t="str">
        <f>=ROUND(IFERROR(AT52/AU52,0),6)</f>
      </c>
      <c r="AY52" s="165" t="s">
        <v>194</v>
      </c>
      <c r="AZ52" s="166" t="s">
        <v>323</v>
      </c>
      <c r="BA52" s="167"/>
      <c r="BB52" s="175" t="str">
        <f>=IFERROR(ROUND(BA52/$AZ$8,2),0)</f>
      </c>
      <c r="BC52" s="169" t="str">
        <f>=ROUND(IFERROR(BA52/BB52,0),6)</f>
      </c>
      <c r="BF52" s="165" t="s">
        <v>194</v>
      </c>
      <c r="BG52" s="166" t="s">
        <v>323</v>
      </c>
      <c r="BH52" s="167"/>
      <c r="BI52" s="175" t="str">
        <f>=IFERROR(ROUND(BH52/$BG$8,2),0)</f>
      </c>
      <c r="BJ52" s="169" t="str">
        <f>=ROUND(IFERROR(BH52/BI52,0),6)</f>
      </c>
      <c r="BM52" s="165" t="s">
        <v>194</v>
      </c>
      <c r="BN52" s="166" t="s">
        <v>323</v>
      </c>
      <c r="BO52" s="167"/>
      <c r="BP52" s="175" t="str">
        <f>=IFERROR(ROUND(BO52/$BN$8,2),0)</f>
      </c>
      <c r="BQ52" s="169" t="str">
        <f>=ROUND(IFERROR(BO52/BP52,0),6)</f>
      </c>
      <c r="BT52" s="165" t="s">
        <v>194</v>
      </c>
      <c r="BU52" s="166" t="s">
        <v>323</v>
      </c>
      <c r="BV52" s="167"/>
      <c r="BW52" s="175" t="str">
        <f>=IFERROR(ROUND(BV52/$BU$8,2),0)</f>
      </c>
      <c r="BX52" s="169" t="str">
        <f>=ROUND(IFERROR(BV52/BW52,0),6)</f>
      </c>
      <c r="CA52" s="165" t="s">
        <v>194</v>
      </c>
      <c r="CB52" s="166" t="s">
        <v>323</v>
      </c>
      <c r="CC52" s="167"/>
      <c r="CD52" s="175" t="str">
        <f>=IFERROR(ROUND(CC52/$CB$8,2),0)</f>
      </c>
      <c r="CE52" s="169" t="str">
        <f>=ROUND(IFERROR(CC52/CD52,0),6)</f>
      </c>
      <c r="CH52" s="165" t="s">
        <v>194</v>
      </c>
      <c r="CI52" s="166" t="s">
        <v>323</v>
      </c>
      <c r="CJ52" s="167"/>
      <c r="CK52" s="175" t="str">
        <f>=IFERROR(ROUND(CJ52/$CI$8,2),0)</f>
      </c>
      <c r="CL52" s="169" t="str">
        <f>=ROUND(IFERROR(CJ52/CK52,0),6)</f>
      </c>
      <c r="CO52" s="165" t="s">
        <v>194</v>
      </c>
      <c r="CP52" s="166" t="s">
        <v>323</v>
      </c>
      <c r="CQ52" s="167"/>
      <c r="CR52" s="175" t="str">
        <f>=IFERROR(ROUND(CQ52/$CP$8,2),0)</f>
      </c>
      <c r="CS52" s="169" t="str">
        <f>=ROUND(IFERROR(CQ52/CR52,0),6)</f>
      </c>
      <c r="CV52" s="165" t="s">
        <v>194</v>
      </c>
      <c r="CW52" s="166" t="s">
        <v>323</v>
      </c>
      <c r="CX52" s="167"/>
      <c r="CY52" s="175" t="str">
        <f>=IFERROR(ROUND(CX52/$CW$8,2),0)</f>
      </c>
      <c r="CZ52" s="169" t="str">
        <f>=ROUND(IFERROR(CX52/CY52,0),6)</f>
      </c>
      <c r="DC52" s="165" t="s">
        <v>194</v>
      </c>
      <c r="DD52" s="166" t="s">
        <v>323</v>
      </c>
      <c r="DE52" s="167"/>
      <c r="DF52" s="175" t="str">
        <f>=IFERROR(ROUND(DE52/$DD$8,2),0)</f>
      </c>
      <c r="DG52" s="169" t="str">
        <f>=ROUND(IFERROR(DE52/DF52,0),6)</f>
      </c>
      <c r="DJ52" s="165" t="s">
        <v>194</v>
      </c>
      <c r="DK52" s="166" t="s">
        <v>323</v>
      </c>
      <c r="DL52" s="167"/>
      <c r="DM52" s="175" t="str">
        <f>=IFERROR(ROUND(DL52/$DK$8,2),0)</f>
      </c>
      <c r="DN52" s="169" t="str">
        <f>=ROUND(IFERROR(DL52/DM52,0),6)</f>
      </c>
      <c r="DQ52" s="165" t="s">
        <v>194</v>
      </c>
      <c r="DR52" s="166" t="s">
        <v>323</v>
      </c>
      <c r="DS52" s="167"/>
      <c r="DT52" s="175" t="str">
        <f>=IFERROR(ROUND(DS52/$DR$8,2),0)</f>
      </c>
      <c r="DU52" s="169" t="str">
        <f>=ROUND(IFERROR(DS52/DT52,0),6)</f>
      </c>
    </row>
    <row r="53">
      <c r="B53" s="165" t="s">
        <v>300</v>
      </c>
      <c r="C53" s="166" t="s">
        <v>158</v>
      </c>
      <c r="D53" s="167">
        <v>125000</v>
      </c>
      <c r="E53" s="175" t="str">
        <f>=IFERROR(ROUND(D53/$C$8,2),0)</f>
      </c>
      <c r="F53" s="169" t="str">
        <f>=ROUND(IFERROR(D53/E53,0),6)</f>
      </c>
      <c r="I53" s="165" t="s">
        <v>300</v>
      </c>
      <c r="J53" s="166" t="s">
        <v>158</v>
      </c>
      <c r="K53" s="167">
        <v>100000</v>
      </c>
      <c r="L53" s="175" t="str">
        <f>=IFERROR(ROUND(K53/$J$8,2),0)</f>
      </c>
      <c r="M53" s="169" t="str">
        <f>=ROUND(IFERROR(K53/L53,0),6)</f>
      </c>
      <c r="P53" s="165" t="s">
        <v>300</v>
      </c>
      <c r="Q53" s="166" t="s">
        <v>158</v>
      </c>
      <c r="R53" s="167"/>
      <c r="S53" s="175" t="str">
        <f>=IFERROR(ROUND(R53/$Q$8,2),0)</f>
      </c>
      <c r="T53" s="169" t="str">
        <f>=ROUND(IFERROR(R53/S53,0),6)</f>
      </c>
      <c r="W53" s="165" t="s">
        <v>300</v>
      </c>
      <c r="X53" s="166" t="s">
        <v>158</v>
      </c>
      <c r="Y53" s="167"/>
      <c r="Z53" s="175" t="str">
        <f>=IFERROR(ROUND(Y53/$X$8,2),0)</f>
      </c>
      <c r="AA53" s="169" t="str">
        <f>=ROUND(IFERROR(Y53/Z53,0),6)</f>
      </c>
      <c r="AD53" s="165" t="s">
        <v>300</v>
      </c>
      <c r="AE53" s="166" t="s">
        <v>158</v>
      </c>
      <c r="AF53" s="167"/>
      <c r="AG53" s="175" t="str">
        <f>=IFERROR(ROUND(AF53/$AE$8,2),0)</f>
      </c>
      <c r="AH53" s="169" t="str">
        <f>=ROUND(IFERROR(AF53/AG53,0),6)</f>
      </c>
      <c r="AK53" s="165" t="s">
        <v>300</v>
      </c>
      <c r="AL53" s="166" t="s">
        <v>158</v>
      </c>
      <c r="AM53" s="167"/>
      <c r="AN53" s="175" t="str">
        <f>=IFERROR(ROUND(AM53/$AL$8,2),0)</f>
      </c>
      <c r="AO53" s="169" t="str">
        <f>=ROUND(IFERROR(AM53/AN53,0),6)</f>
      </c>
      <c r="AR53" s="165" t="s">
        <v>300</v>
      </c>
      <c r="AS53" s="166" t="s">
        <v>158</v>
      </c>
      <c r="AT53" s="167"/>
      <c r="AU53" s="175" t="str">
        <f>=IFERROR(ROUND(AT53/$AS$8,2),0)</f>
      </c>
      <c r="AV53" s="169" t="str">
        <f>=ROUND(IFERROR(AT53/AU53,0),6)</f>
      </c>
      <c r="AY53" s="165" t="s">
        <v>300</v>
      </c>
      <c r="AZ53" s="166" t="s">
        <v>158</v>
      </c>
      <c r="BA53" s="167"/>
      <c r="BB53" s="175" t="str">
        <f>=IFERROR(ROUND(BA53/$AZ$8,2),0)</f>
      </c>
      <c r="BC53" s="169" t="str">
        <f>=ROUND(IFERROR(BA53/BB53,0),6)</f>
      </c>
      <c r="BF53" s="165" t="s">
        <v>300</v>
      </c>
      <c r="BG53" s="166" t="s">
        <v>158</v>
      </c>
      <c r="BH53" s="167"/>
      <c r="BI53" s="175" t="str">
        <f>=IFERROR(ROUND(BH53/$BG$8,2),0)</f>
      </c>
      <c r="BJ53" s="169" t="str">
        <f>=ROUND(IFERROR(BH53/BI53,0),6)</f>
      </c>
      <c r="BM53" s="165" t="s">
        <v>300</v>
      </c>
      <c r="BN53" s="166" t="s">
        <v>158</v>
      </c>
      <c r="BO53" s="167"/>
      <c r="BP53" s="175" t="str">
        <f>=IFERROR(ROUND(BO53/$BN$8,2),0)</f>
      </c>
      <c r="BQ53" s="169" t="str">
        <f>=ROUND(IFERROR(BO53/BP53,0),6)</f>
      </c>
      <c r="BT53" s="165" t="s">
        <v>300</v>
      </c>
      <c r="BU53" s="166" t="s">
        <v>158</v>
      </c>
      <c r="BV53" s="167"/>
      <c r="BW53" s="175" t="str">
        <f>=IFERROR(ROUND(BV53/$BU$8,2),0)</f>
      </c>
      <c r="BX53" s="169" t="str">
        <f>=ROUND(IFERROR(BV53/BW53,0),6)</f>
      </c>
      <c r="CA53" s="165" t="s">
        <v>300</v>
      </c>
      <c r="CB53" s="166" t="s">
        <v>158</v>
      </c>
      <c r="CC53" s="167"/>
      <c r="CD53" s="175" t="str">
        <f>=IFERROR(ROUND(CC53/$CB$8,2),0)</f>
      </c>
      <c r="CE53" s="169" t="str">
        <f>=ROUND(IFERROR(CC53/CD53,0),6)</f>
      </c>
      <c r="CH53" s="165" t="s">
        <v>300</v>
      </c>
      <c r="CI53" s="166" t="s">
        <v>158</v>
      </c>
      <c r="CJ53" s="167"/>
      <c r="CK53" s="175" t="str">
        <f>=IFERROR(ROUND(CJ53/$CI$8,2),0)</f>
      </c>
      <c r="CL53" s="169" t="str">
        <f>=ROUND(IFERROR(CJ53/CK53,0),6)</f>
      </c>
      <c r="CO53" s="165" t="s">
        <v>300</v>
      </c>
      <c r="CP53" s="166" t="s">
        <v>158</v>
      </c>
      <c r="CQ53" s="167"/>
      <c r="CR53" s="175" t="str">
        <f>=IFERROR(ROUND(CQ53/$CP$8,2),0)</f>
      </c>
      <c r="CS53" s="169" t="str">
        <f>=ROUND(IFERROR(CQ53/CR53,0),6)</f>
      </c>
      <c r="CV53" s="165" t="s">
        <v>300</v>
      </c>
      <c r="CW53" s="166" t="s">
        <v>158</v>
      </c>
      <c r="CX53" s="167"/>
      <c r="CY53" s="175" t="str">
        <f>=IFERROR(ROUND(CX53/$CW$8,2),0)</f>
      </c>
      <c r="CZ53" s="169" t="str">
        <f>=ROUND(IFERROR(CX53/CY53,0),6)</f>
      </c>
      <c r="DC53" s="165" t="s">
        <v>300</v>
      </c>
      <c r="DD53" s="166" t="s">
        <v>158</v>
      </c>
      <c r="DE53" s="167"/>
      <c r="DF53" s="175" t="str">
        <f>=IFERROR(ROUND(DE53/$DD$8,2),0)</f>
      </c>
      <c r="DG53" s="169" t="str">
        <f>=ROUND(IFERROR(DE53/DF53,0),6)</f>
      </c>
      <c r="DJ53" s="165" t="s">
        <v>300</v>
      </c>
      <c r="DK53" s="166" t="s">
        <v>158</v>
      </c>
      <c r="DL53" s="167"/>
      <c r="DM53" s="175" t="str">
        <f>=IFERROR(ROUND(DL53/$DK$8,2),0)</f>
      </c>
      <c r="DN53" s="169" t="str">
        <f>=ROUND(IFERROR(DL53/DM53,0),6)</f>
      </c>
      <c r="DQ53" s="165" t="s">
        <v>300</v>
      </c>
      <c r="DR53" s="166" t="s">
        <v>158</v>
      </c>
      <c r="DS53" s="167"/>
      <c r="DT53" s="175" t="str">
        <f>=IFERROR(ROUND(DS53/$DR$8,2),0)</f>
      </c>
      <c r="DU53" s="169" t="str">
        <f>=ROUND(IFERROR(DS53/DT53,0),6)</f>
      </c>
    </row>
    <row r="54">
      <c r="B54" s="165" t="s">
        <v>301</v>
      </c>
      <c r="C54" s="166" t="s">
        <v>311</v>
      </c>
      <c r="D54" s="167"/>
      <c r="E54" s="175" t="str">
        <f>=IFERROR(ROUND(D54/$C$8,2),0)</f>
      </c>
      <c r="F54" s="169" t="str">
        <f>=ROUND(IFERROR(D54/E54,0),6)</f>
      </c>
      <c r="I54" s="165" t="s">
        <v>301</v>
      </c>
      <c r="J54" s="166" t="s">
        <v>311</v>
      </c>
      <c r="K54" s="167"/>
      <c r="L54" s="175" t="str">
        <f>=IFERROR(ROUND(K54/$J$8,2),0)</f>
      </c>
      <c r="M54" s="169" t="str">
        <f>=ROUND(IFERROR(K54/L54,0),6)</f>
      </c>
      <c r="P54" s="165" t="s">
        <v>301</v>
      </c>
      <c r="Q54" s="166" t="s">
        <v>311</v>
      </c>
      <c r="R54" s="167"/>
      <c r="S54" s="175" t="str">
        <f>=IFERROR(ROUND(R54/$Q$8,2),0)</f>
      </c>
      <c r="T54" s="169" t="str">
        <f>=ROUND(IFERROR(R54/S54,0),6)</f>
      </c>
      <c r="W54" s="165" t="s">
        <v>301</v>
      </c>
      <c r="X54" s="166" t="s">
        <v>311</v>
      </c>
      <c r="Y54" s="167"/>
      <c r="Z54" s="175" t="str">
        <f>=IFERROR(ROUND(Y54/$X$8,2),0)</f>
      </c>
      <c r="AA54" s="169" t="str">
        <f>=ROUND(IFERROR(Y54/Z54,0),6)</f>
      </c>
      <c r="AD54" s="165" t="s">
        <v>301</v>
      </c>
      <c r="AE54" s="166" t="s">
        <v>311</v>
      </c>
      <c r="AF54" s="167"/>
      <c r="AG54" s="175" t="str">
        <f>=IFERROR(ROUND(AF54/$AE$8,2),0)</f>
      </c>
      <c r="AH54" s="169" t="str">
        <f>=ROUND(IFERROR(AF54/AG54,0),6)</f>
      </c>
      <c r="AK54" s="165" t="s">
        <v>301</v>
      </c>
      <c r="AL54" s="166" t="s">
        <v>311</v>
      </c>
      <c r="AM54" s="167"/>
      <c r="AN54" s="175" t="str">
        <f>=IFERROR(ROUND(AM54/$AL$8,2),0)</f>
      </c>
      <c r="AO54" s="169" t="str">
        <f>=ROUND(IFERROR(AM54/AN54,0),6)</f>
      </c>
      <c r="AR54" s="165" t="s">
        <v>301</v>
      </c>
      <c r="AS54" s="166" t="s">
        <v>311</v>
      </c>
      <c r="AT54" s="167"/>
      <c r="AU54" s="175" t="str">
        <f>=IFERROR(ROUND(AT54/$AS$8,2),0)</f>
      </c>
      <c r="AV54" s="169" t="str">
        <f>=ROUND(IFERROR(AT54/AU54,0),6)</f>
      </c>
      <c r="AY54" s="165" t="s">
        <v>301</v>
      </c>
      <c r="AZ54" s="166" t="s">
        <v>311</v>
      </c>
      <c r="BA54" s="167"/>
      <c r="BB54" s="175" t="str">
        <f>=IFERROR(ROUND(BA54/$AZ$8,2),0)</f>
      </c>
      <c r="BC54" s="169" t="str">
        <f>=ROUND(IFERROR(BA54/BB54,0),6)</f>
      </c>
      <c r="BF54" s="165" t="s">
        <v>301</v>
      </c>
      <c r="BG54" s="166" t="s">
        <v>311</v>
      </c>
      <c r="BH54" s="167"/>
      <c r="BI54" s="175" t="str">
        <f>=IFERROR(ROUND(BH54/$BG$8,2),0)</f>
      </c>
      <c r="BJ54" s="169" t="str">
        <f>=ROUND(IFERROR(BH54/BI54,0),6)</f>
      </c>
      <c r="BM54" s="165" t="s">
        <v>301</v>
      </c>
      <c r="BN54" s="166" t="s">
        <v>311</v>
      </c>
      <c r="BO54" s="167"/>
      <c r="BP54" s="175" t="str">
        <f>=IFERROR(ROUND(BO54/$BN$8,2),0)</f>
      </c>
      <c r="BQ54" s="169" t="str">
        <f>=ROUND(IFERROR(BO54/BP54,0),6)</f>
      </c>
      <c r="BT54" s="165" t="s">
        <v>301</v>
      </c>
      <c r="BU54" s="166" t="s">
        <v>311</v>
      </c>
      <c r="BV54" s="167"/>
      <c r="BW54" s="175" t="str">
        <f>=IFERROR(ROUND(BV54/$BU$8,2),0)</f>
      </c>
      <c r="BX54" s="169" t="str">
        <f>=ROUND(IFERROR(BV54/BW54,0),6)</f>
      </c>
      <c r="CA54" s="165" t="s">
        <v>301</v>
      </c>
      <c r="CB54" s="166" t="s">
        <v>311</v>
      </c>
      <c r="CC54" s="167"/>
      <c r="CD54" s="175" t="str">
        <f>=IFERROR(ROUND(CC54/$CB$8,2),0)</f>
      </c>
      <c r="CE54" s="169" t="str">
        <f>=ROUND(IFERROR(CC54/CD54,0),6)</f>
      </c>
      <c r="CH54" s="165" t="s">
        <v>301</v>
      </c>
      <c r="CI54" s="166" t="s">
        <v>311</v>
      </c>
      <c r="CJ54" s="167"/>
      <c r="CK54" s="175" t="str">
        <f>=IFERROR(ROUND(CJ54/$CI$8,2),0)</f>
      </c>
      <c r="CL54" s="169" t="str">
        <f>=ROUND(IFERROR(CJ54/CK54,0),6)</f>
      </c>
      <c r="CO54" s="165" t="s">
        <v>301</v>
      </c>
      <c r="CP54" s="166" t="s">
        <v>311</v>
      </c>
      <c r="CQ54" s="167"/>
      <c r="CR54" s="175" t="str">
        <f>=IFERROR(ROUND(CQ54/$CP$8,2),0)</f>
      </c>
      <c r="CS54" s="169" t="str">
        <f>=ROUND(IFERROR(CQ54/CR54,0),6)</f>
      </c>
      <c r="CV54" s="165" t="s">
        <v>301</v>
      </c>
      <c r="CW54" s="166" t="s">
        <v>311</v>
      </c>
      <c r="CX54" s="167"/>
      <c r="CY54" s="175" t="str">
        <f>=IFERROR(ROUND(CX54/$CW$8,2),0)</f>
      </c>
      <c r="CZ54" s="169" t="str">
        <f>=ROUND(IFERROR(CX54/CY54,0),6)</f>
      </c>
      <c r="DC54" s="165" t="s">
        <v>301</v>
      </c>
      <c r="DD54" s="166" t="s">
        <v>311</v>
      </c>
      <c r="DE54" s="167"/>
      <c r="DF54" s="175" t="str">
        <f>=IFERROR(ROUND(DE54/$DD$8,2),0)</f>
      </c>
      <c r="DG54" s="169" t="str">
        <f>=ROUND(IFERROR(DE54/DF54,0),6)</f>
      </c>
      <c r="DJ54" s="165" t="s">
        <v>301</v>
      </c>
      <c r="DK54" s="166" t="s">
        <v>311</v>
      </c>
      <c r="DL54" s="167"/>
      <c r="DM54" s="175" t="str">
        <f>=IFERROR(ROUND(DL54/$DK$8,2),0)</f>
      </c>
      <c r="DN54" s="169" t="str">
        <f>=ROUND(IFERROR(DL54/DM54,0),6)</f>
      </c>
      <c r="DQ54" s="165" t="s">
        <v>301</v>
      </c>
      <c r="DR54" s="166" t="s">
        <v>311</v>
      </c>
      <c r="DS54" s="167"/>
      <c r="DT54" s="175" t="str">
        <f>=IFERROR(ROUND(DS54/$DR$8,2),0)</f>
      </c>
      <c r="DU54" s="169" t="str">
        <f>=ROUND(IFERROR(DS54/DT54,0),6)</f>
      </c>
    </row>
    <row r="55">
      <c r="B55" s="165" t="s">
        <v>158</v>
      </c>
      <c r="C55" s="166" t="s">
        <v>158</v>
      </c>
      <c r="D55" s="167"/>
      <c r="E55" s="175" t="str">
        <f>=IFERROR(ROUND(D55/$C$8,2),0)</f>
      </c>
      <c r="F55" s="169" t="str">
        <f>=ROUND(IFERROR(D55/E55,0),6)</f>
      </c>
      <c r="I55" s="165" t="s">
        <v>158</v>
      </c>
      <c r="J55" s="166" t="s">
        <v>158</v>
      </c>
      <c r="K55" s="167"/>
      <c r="L55" s="175" t="str">
        <f>=IFERROR(ROUND(K55/$J$8,2),0)</f>
      </c>
      <c r="M55" s="169" t="str">
        <f>=ROUND(IFERROR(K55/L55,0),6)</f>
      </c>
      <c r="P55" s="165" t="s">
        <v>158</v>
      </c>
      <c r="Q55" s="166" t="s">
        <v>158</v>
      </c>
      <c r="R55" s="167"/>
      <c r="S55" s="175" t="str">
        <f>=IFERROR(ROUND(R55/$Q$8,2),0)</f>
      </c>
      <c r="T55" s="169" t="str">
        <f>=ROUND(IFERROR(R55/S55,0),6)</f>
      </c>
      <c r="W55" s="165" t="s">
        <v>158</v>
      </c>
      <c r="X55" s="166" t="s">
        <v>158</v>
      </c>
      <c r="Y55" s="167"/>
      <c r="Z55" s="175" t="str">
        <f>=IFERROR(ROUND(Y55/$X$8,2),0)</f>
      </c>
      <c r="AA55" s="169" t="str">
        <f>=ROUND(IFERROR(Y55/Z55,0),6)</f>
      </c>
      <c r="AD55" s="165" t="s">
        <v>158</v>
      </c>
      <c r="AE55" s="166" t="s">
        <v>158</v>
      </c>
      <c r="AF55" s="167"/>
      <c r="AG55" s="175" t="str">
        <f>=IFERROR(ROUND(AF55/$AE$8,2),0)</f>
      </c>
      <c r="AH55" s="169" t="str">
        <f>=ROUND(IFERROR(AF55/AG55,0),6)</f>
      </c>
      <c r="AK55" s="165" t="s">
        <v>158</v>
      </c>
      <c r="AL55" s="166" t="s">
        <v>158</v>
      </c>
      <c r="AM55" s="167"/>
      <c r="AN55" s="175" t="str">
        <f>=IFERROR(ROUND(AM55/$AL$8,2),0)</f>
      </c>
      <c r="AO55" s="169" t="str">
        <f>=ROUND(IFERROR(AM55/AN55,0),6)</f>
      </c>
      <c r="AR55" s="165" t="s">
        <v>158</v>
      </c>
      <c r="AS55" s="166" t="s">
        <v>158</v>
      </c>
      <c r="AT55" s="167"/>
      <c r="AU55" s="175" t="str">
        <f>=IFERROR(ROUND(AT55/$AS$8,2),0)</f>
      </c>
      <c r="AV55" s="169" t="str">
        <f>=ROUND(IFERROR(AT55/AU55,0),6)</f>
      </c>
      <c r="AY55" s="165" t="s">
        <v>158</v>
      </c>
      <c r="AZ55" s="166" t="s">
        <v>158</v>
      </c>
      <c r="BA55" s="167"/>
      <c r="BB55" s="175" t="str">
        <f>=IFERROR(ROUND(BA55/$AZ$8,2),0)</f>
      </c>
      <c r="BC55" s="169" t="str">
        <f>=ROUND(IFERROR(BA55/BB55,0),6)</f>
      </c>
      <c r="BF55" s="165" t="s">
        <v>158</v>
      </c>
      <c r="BG55" s="166" t="s">
        <v>158</v>
      </c>
      <c r="BH55" s="167"/>
      <c r="BI55" s="175" t="str">
        <f>=IFERROR(ROUND(BH55/$BG$8,2),0)</f>
      </c>
      <c r="BJ55" s="169" t="str">
        <f>=ROUND(IFERROR(BH55/BI55,0),6)</f>
      </c>
      <c r="BM55" s="165" t="s">
        <v>158</v>
      </c>
      <c r="BN55" s="166" t="s">
        <v>158</v>
      </c>
      <c r="BO55" s="167"/>
      <c r="BP55" s="175" t="str">
        <f>=IFERROR(ROUND(BO55/$BN$8,2),0)</f>
      </c>
      <c r="BQ55" s="169" t="str">
        <f>=ROUND(IFERROR(BO55/BP55,0),6)</f>
      </c>
      <c r="BT55" s="165" t="s">
        <v>158</v>
      </c>
      <c r="BU55" s="166" t="s">
        <v>158</v>
      </c>
      <c r="BV55" s="167"/>
      <c r="BW55" s="175" t="str">
        <f>=IFERROR(ROUND(BV55/$BU$8,2),0)</f>
      </c>
      <c r="BX55" s="169" t="str">
        <f>=ROUND(IFERROR(BV55/BW55,0),6)</f>
      </c>
      <c r="CA55" s="165" t="s">
        <v>158</v>
      </c>
      <c r="CB55" s="166" t="s">
        <v>158</v>
      </c>
      <c r="CC55" s="167"/>
      <c r="CD55" s="175" t="str">
        <f>=IFERROR(ROUND(CC55/$CB$8,2),0)</f>
      </c>
      <c r="CE55" s="169" t="str">
        <f>=ROUND(IFERROR(CC55/CD55,0),6)</f>
      </c>
      <c r="CH55" s="165" t="s">
        <v>158</v>
      </c>
      <c r="CI55" s="166" t="s">
        <v>158</v>
      </c>
      <c r="CJ55" s="167"/>
      <c r="CK55" s="175" t="str">
        <f>=IFERROR(ROUND(CJ55/$CI$8,2),0)</f>
      </c>
      <c r="CL55" s="169" t="str">
        <f>=ROUND(IFERROR(CJ55/CK55,0),6)</f>
      </c>
      <c r="CO55" s="165" t="s">
        <v>158</v>
      </c>
      <c r="CP55" s="166" t="s">
        <v>158</v>
      </c>
      <c r="CQ55" s="167"/>
      <c r="CR55" s="175" t="str">
        <f>=IFERROR(ROUND(CQ55/$CP$8,2),0)</f>
      </c>
      <c r="CS55" s="169" t="str">
        <f>=ROUND(IFERROR(CQ55/CR55,0),6)</f>
      </c>
      <c r="CV55" s="165" t="s">
        <v>158</v>
      </c>
      <c r="CW55" s="166" t="s">
        <v>158</v>
      </c>
      <c r="CX55" s="167"/>
      <c r="CY55" s="175" t="str">
        <f>=IFERROR(ROUND(CX55/$CW$8,2),0)</f>
      </c>
      <c r="CZ55" s="169" t="str">
        <f>=ROUND(IFERROR(CX55/CY55,0),6)</f>
      </c>
      <c r="DC55" s="165" t="s">
        <v>158</v>
      </c>
      <c r="DD55" s="166" t="s">
        <v>158</v>
      </c>
      <c r="DE55" s="167"/>
      <c r="DF55" s="175" t="str">
        <f>=IFERROR(ROUND(DE55/$DD$8,2),0)</f>
      </c>
      <c r="DG55" s="169" t="str">
        <f>=ROUND(IFERROR(DE55/DF55,0),6)</f>
      </c>
      <c r="DJ55" s="165" t="s">
        <v>158</v>
      </c>
      <c r="DK55" s="166" t="s">
        <v>158</v>
      </c>
      <c r="DL55" s="167"/>
      <c r="DM55" s="175" t="str">
        <f>=IFERROR(ROUND(DL55/$DK$8,2),0)</f>
      </c>
      <c r="DN55" s="169" t="str">
        <f>=ROUND(IFERROR(DL55/DM55,0),6)</f>
      </c>
      <c r="DQ55" s="165" t="s">
        <v>158</v>
      </c>
      <c r="DR55" s="166" t="s">
        <v>158</v>
      </c>
      <c r="DS55" s="167"/>
      <c r="DT55" s="175" t="str">
        <f>=IFERROR(ROUND(DS55/$DR$8,2),0)</f>
      </c>
      <c r="DU55" s="169" t="str">
        <f>=ROUND(IFERROR(DS55/DT55,0),6)</f>
      </c>
    </row>
    <row r="56">
      <c r="B56" s="165" t="s">
        <v>158</v>
      </c>
      <c r="C56" s="166" t="s">
        <v>158</v>
      </c>
      <c r="D56" s="167"/>
      <c r="E56" s="175" t="str">
        <f>=IFERROR(ROUND(D56/$C$8,2),0)</f>
      </c>
      <c r="F56" s="169" t="str">
        <f>=ROUND(IFERROR(D56/E56,0),6)</f>
      </c>
      <c r="I56" s="165" t="s">
        <v>158</v>
      </c>
      <c r="J56" s="166" t="s">
        <v>158</v>
      </c>
      <c r="K56" s="167"/>
      <c r="L56" s="175" t="str">
        <f>=IFERROR(ROUND(K56/$J$8,2),0)</f>
      </c>
      <c r="M56" s="169" t="str">
        <f>=ROUND(IFERROR(K56/L56,0),6)</f>
      </c>
      <c r="P56" s="165" t="s">
        <v>158</v>
      </c>
      <c r="Q56" s="166" t="s">
        <v>158</v>
      </c>
      <c r="R56" s="167"/>
      <c r="S56" s="175" t="str">
        <f>=IFERROR(ROUND(R56/$Q$8,2),0)</f>
      </c>
      <c r="T56" s="169" t="str">
        <f>=ROUND(IFERROR(R56/S56,0),6)</f>
      </c>
      <c r="W56" s="165" t="s">
        <v>158</v>
      </c>
      <c r="X56" s="166" t="s">
        <v>158</v>
      </c>
      <c r="Y56" s="167"/>
      <c r="Z56" s="175" t="str">
        <f>=IFERROR(ROUND(Y56/$X$8,2),0)</f>
      </c>
      <c r="AA56" s="169" t="str">
        <f>=ROUND(IFERROR(Y56/Z56,0),6)</f>
      </c>
      <c r="AD56" s="165" t="s">
        <v>158</v>
      </c>
      <c r="AE56" s="166" t="s">
        <v>158</v>
      </c>
      <c r="AF56" s="167"/>
      <c r="AG56" s="175" t="str">
        <f>=IFERROR(ROUND(AF56/$AE$8,2),0)</f>
      </c>
      <c r="AH56" s="169" t="str">
        <f>=ROUND(IFERROR(AF56/AG56,0),6)</f>
      </c>
      <c r="AK56" s="165" t="s">
        <v>158</v>
      </c>
      <c r="AL56" s="166" t="s">
        <v>158</v>
      </c>
      <c r="AM56" s="167"/>
      <c r="AN56" s="175" t="str">
        <f>=IFERROR(ROUND(AM56/$AL$8,2),0)</f>
      </c>
      <c r="AO56" s="169" t="str">
        <f>=ROUND(IFERROR(AM56/AN56,0),6)</f>
      </c>
      <c r="AR56" s="165" t="s">
        <v>158</v>
      </c>
      <c r="AS56" s="166" t="s">
        <v>158</v>
      </c>
      <c r="AT56" s="167"/>
      <c r="AU56" s="175" t="str">
        <f>=IFERROR(ROUND(AT56/$AS$8,2),0)</f>
      </c>
      <c r="AV56" s="169" t="str">
        <f>=ROUND(IFERROR(AT56/AU56,0),6)</f>
      </c>
      <c r="AY56" s="165" t="s">
        <v>158</v>
      </c>
      <c r="AZ56" s="166" t="s">
        <v>158</v>
      </c>
      <c r="BA56" s="167"/>
      <c r="BB56" s="175" t="str">
        <f>=IFERROR(ROUND(BA56/$AZ$8,2),0)</f>
      </c>
      <c r="BC56" s="169" t="str">
        <f>=ROUND(IFERROR(BA56/BB56,0),6)</f>
      </c>
      <c r="BF56" s="165" t="s">
        <v>158</v>
      </c>
      <c r="BG56" s="166" t="s">
        <v>158</v>
      </c>
      <c r="BH56" s="167"/>
      <c r="BI56" s="175" t="str">
        <f>=IFERROR(ROUND(BH56/$BG$8,2),0)</f>
      </c>
      <c r="BJ56" s="169" t="str">
        <f>=ROUND(IFERROR(BH56/BI56,0),6)</f>
      </c>
      <c r="BM56" s="165" t="s">
        <v>158</v>
      </c>
      <c r="BN56" s="166" t="s">
        <v>158</v>
      </c>
      <c r="BO56" s="167"/>
      <c r="BP56" s="175" t="str">
        <f>=IFERROR(ROUND(BO56/$BN$8,2),0)</f>
      </c>
      <c r="BQ56" s="169" t="str">
        <f>=ROUND(IFERROR(BO56/BP56,0),6)</f>
      </c>
      <c r="BT56" s="165" t="s">
        <v>158</v>
      </c>
      <c r="BU56" s="166" t="s">
        <v>158</v>
      </c>
      <c r="BV56" s="167"/>
      <c r="BW56" s="175" t="str">
        <f>=IFERROR(ROUND(BV56/$BU$8,2),0)</f>
      </c>
      <c r="BX56" s="169" t="str">
        <f>=ROUND(IFERROR(BV56/BW56,0),6)</f>
      </c>
      <c r="CA56" s="165" t="s">
        <v>158</v>
      </c>
      <c r="CB56" s="166" t="s">
        <v>158</v>
      </c>
      <c r="CC56" s="167"/>
      <c r="CD56" s="175" t="str">
        <f>=IFERROR(ROUND(CC56/$CB$8,2),0)</f>
      </c>
      <c r="CE56" s="169" t="str">
        <f>=ROUND(IFERROR(CC56/CD56,0),6)</f>
      </c>
      <c r="CH56" s="165" t="s">
        <v>158</v>
      </c>
      <c r="CI56" s="166" t="s">
        <v>158</v>
      </c>
      <c r="CJ56" s="167"/>
      <c r="CK56" s="175" t="str">
        <f>=IFERROR(ROUND(CJ56/$CI$8,2),0)</f>
      </c>
      <c r="CL56" s="169" t="str">
        <f>=ROUND(IFERROR(CJ56/CK56,0),6)</f>
      </c>
      <c r="CO56" s="165" t="s">
        <v>158</v>
      </c>
      <c r="CP56" s="166" t="s">
        <v>158</v>
      </c>
      <c r="CQ56" s="167"/>
      <c r="CR56" s="175" t="str">
        <f>=IFERROR(ROUND(CQ56/$CP$8,2),0)</f>
      </c>
      <c r="CS56" s="169" t="str">
        <f>=ROUND(IFERROR(CQ56/CR56,0),6)</f>
      </c>
      <c r="CV56" s="165" t="s">
        <v>158</v>
      </c>
      <c r="CW56" s="166" t="s">
        <v>158</v>
      </c>
      <c r="CX56" s="167"/>
      <c r="CY56" s="175" t="str">
        <f>=IFERROR(ROUND(CX56/$CW$8,2),0)</f>
      </c>
      <c r="CZ56" s="169" t="str">
        <f>=ROUND(IFERROR(CX56/CY56,0),6)</f>
      </c>
      <c r="DC56" s="165" t="s">
        <v>158</v>
      </c>
      <c r="DD56" s="166" t="s">
        <v>158</v>
      </c>
      <c r="DE56" s="167"/>
      <c r="DF56" s="175" t="str">
        <f>=IFERROR(ROUND(DE56/$DD$8,2),0)</f>
      </c>
      <c r="DG56" s="169" t="str">
        <f>=ROUND(IFERROR(DE56/DF56,0),6)</f>
      </c>
      <c r="DJ56" s="165" t="s">
        <v>158</v>
      </c>
      <c r="DK56" s="166" t="s">
        <v>158</v>
      </c>
      <c r="DL56" s="167"/>
      <c r="DM56" s="175" t="str">
        <f>=IFERROR(ROUND(DL56/$DK$8,2),0)</f>
      </c>
      <c r="DN56" s="169" t="str">
        <f>=ROUND(IFERROR(DL56/DM56,0),6)</f>
      </c>
      <c r="DQ56" s="165" t="s">
        <v>158</v>
      </c>
      <c r="DR56" s="166" t="s">
        <v>158</v>
      </c>
      <c r="DS56" s="167"/>
      <c r="DT56" s="175" t="str">
        <f>=IFERROR(ROUND(DS56/$DR$8,2),0)</f>
      </c>
      <c r="DU56" s="169" t="str">
        <f>=ROUND(IFERROR(DS56/DT56,0),6)</f>
      </c>
    </row>
    <row r="57">
      <c r="B57" s="165" t="s">
        <v>158</v>
      </c>
      <c r="C57" s="166" t="s">
        <v>158</v>
      </c>
      <c r="D57" s="167"/>
      <c r="E57" s="175" t="str">
        <f>=IFERROR(ROUND(D57/$C$8,2),0)</f>
      </c>
      <c r="F57" s="169" t="str">
        <f>=ROUND(IFERROR(D57/E57,0),6)</f>
      </c>
      <c r="I57" s="165" t="s">
        <v>158</v>
      </c>
      <c r="J57" s="166" t="s">
        <v>158</v>
      </c>
      <c r="K57" s="167"/>
      <c r="L57" s="175" t="str">
        <f>=IFERROR(ROUND(K57/$J$8,2),0)</f>
      </c>
      <c r="M57" s="169" t="str">
        <f>=ROUND(IFERROR(K57/L57,0),6)</f>
      </c>
      <c r="P57" s="165" t="s">
        <v>158</v>
      </c>
      <c r="Q57" s="166" t="s">
        <v>158</v>
      </c>
      <c r="R57" s="167"/>
      <c r="S57" s="175" t="str">
        <f>=IFERROR(ROUND(R57/$Q$8,2),0)</f>
      </c>
      <c r="T57" s="169" t="str">
        <f>=ROUND(IFERROR(R57/S57,0),6)</f>
      </c>
      <c r="W57" s="165" t="s">
        <v>158</v>
      </c>
      <c r="X57" s="166" t="s">
        <v>158</v>
      </c>
      <c r="Y57" s="167"/>
      <c r="Z57" s="175" t="str">
        <f>=IFERROR(ROUND(Y57/$X$8,2),0)</f>
      </c>
      <c r="AA57" s="169" t="str">
        <f>=ROUND(IFERROR(Y57/Z57,0),6)</f>
      </c>
      <c r="AD57" s="165" t="s">
        <v>158</v>
      </c>
      <c r="AE57" s="166" t="s">
        <v>158</v>
      </c>
      <c r="AF57" s="167"/>
      <c r="AG57" s="175" t="str">
        <f>=IFERROR(ROUND(AF57/$AE$8,2),0)</f>
      </c>
      <c r="AH57" s="169" t="str">
        <f>=ROUND(IFERROR(AF57/AG57,0),6)</f>
      </c>
      <c r="AK57" s="165" t="s">
        <v>158</v>
      </c>
      <c r="AL57" s="166" t="s">
        <v>158</v>
      </c>
      <c r="AM57" s="167"/>
      <c r="AN57" s="175" t="str">
        <f>=IFERROR(ROUND(AM57/$AL$8,2),0)</f>
      </c>
      <c r="AO57" s="169" t="str">
        <f>=ROUND(IFERROR(AM57/AN57,0),6)</f>
      </c>
      <c r="AR57" s="165" t="s">
        <v>158</v>
      </c>
      <c r="AS57" s="166" t="s">
        <v>158</v>
      </c>
      <c r="AT57" s="167"/>
      <c r="AU57" s="175" t="str">
        <f>=IFERROR(ROUND(AT57/$AS$8,2),0)</f>
      </c>
      <c r="AV57" s="169" t="str">
        <f>=ROUND(IFERROR(AT57/AU57,0),6)</f>
      </c>
      <c r="AY57" s="165" t="s">
        <v>158</v>
      </c>
      <c r="AZ57" s="166" t="s">
        <v>158</v>
      </c>
      <c r="BA57" s="167"/>
      <c r="BB57" s="175" t="str">
        <f>=IFERROR(ROUND(BA57/$AZ$8,2),0)</f>
      </c>
      <c r="BC57" s="169" t="str">
        <f>=ROUND(IFERROR(BA57/BB57,0),6)</f>
      </c>
      <c r="BF57" s="165" t="s">
        <v>158</v>
      </c>
      <c r="BG57" s="166" t="s">
        <v>158</v>
      </c>
      <c r="BH57" s="167"/>
      <c r="BI57" s="175" t="str">
        <f>=IFERROR(ROUND(BH57/$BG$8,2),0)</f>
      </c>
      <c r="BJ57" s="169" t="str">
        <f>=ROUND(IFERROR(BH57/BI57,0),6)</f>
      </c>
      <c r="BM57" s="165" t="s">
        <v>158</v>
      </c>
      <c r="BN57" s="166" t="s">
        <v>158</v>
      </c>
      <c r="BO57" s="167"/>
      <c r="BP57" s="175" t="str">
        <f>=IFERROR(ROUND(BO57/$BN$8,2),0)</f>
      </c>
      <c r="BQ57" s="169" t="str">
        <f>=ROUND(IFERROR(BO57/BP57,0),6)</f>
      </c>
      <c r="BT57" s="165" t="s">
        <v>158</v>
      </c>
      <c r="BU57" s="166" t="s">
        <v>158</v>
      </c>
      <c r="BV57" s="167"/>
      <c r="BW57" s="175" t="str">
        <f>=IFERROR(ROUND(BV57/$BU$8,2),0)</f>
      </c>
      <c r="BX57" s="169" t="str">
        <f>=ROUND(IFERROR(BV57/BW57,0),6)</f>
      </c>
      <c r="CA57" s="165" t="s">
        <v>158</v>
      </c>
      <c r="CB57" s="166" t="s">
        <v>158</v>
      </c>
      <c r="CC57" s="167"/>
      <c r="CD57" s="175" t="str">
        <f>=IFERROR(ROUND(CC57/$CB$8,2),0)</f>
      </c>
      <c r="CE57" s="169" t="str">
        <f>=ROUND(IFERROR(CC57/CD57,0),6)</f>
      </c>
      <c r="CH57" s="165" t="s">
        <v>158</v>
      </c>
      <c r="CI57" s="166" t="s">
        <v>158</v>
      </c>
      <c r="CJ57" s="167"/>
      <c r="CK57" s="175" t="str">
        <f>=IFERROR(ROUND(CJ57/$CI$8,2),0)</f>
      </c>
      <c r="CL57" s="169" t="str">
        <f>=ROUND(IFERROR(CJ57/CK57,0),6)</f>
      </c>
      <c r="CO57" s="165" t="s">
        <v>158</v>
      </c>
      <c r="CP57" s="166" t="s">
        <v>158</v>
      </c>
      <c r="CQ57" s="167"/>
      <c r="CR57" s="175" t="str">
        <f>=IFERROR(ROUND(CQ57/$CP$8,2),0)</f>
      </c>
      <c r="CS57" s="169" t="str">
        <f>=ROUND(IFERROR(CQ57/CR57,0),6)</f>
      </c>
      <c r="CV57" s="165" t="s">
        <v>158</v>
      </c>
      <c r="CW57" s="166" t="s">
        <v>158</v>
      </c>
      <c r="CX57" s="167"/>
      <c r="CY57" s="175" t="str">
        <f>=IFERROR(ROUND(CX57/$CW$8,2),0)</f>
      </c>
      <c r="CZ57" s="169" t="str">
        <f>=ROUND(IFERROR(CX57/CY57,0),6)</f>
      </c>
      <c r="DC57" s="165" t="s">
        <v>158</v>
      </c>
      <c r="DD57" s="166" t="s">
        <v>158</v>
      </c>
      <c r="DE57" s="167"/>
      <c r="DF57" s="175" t="str">
        <f>=IFERROR(ROUND(DE57/$DD$8,2),0)</f>
      </c>
      <c r="DG57" s="169" t="str">
        <f>=ROUND(IFERROR(DE57/DF57,0),6)</f>
      </c>
      <c r="DJ57" s="165" t="s">
        <v>158</v>
      </c>
      <c r="DK57" s="166" t="s">
        <v>158</v>
      </c>
      <c r="DL57" s="167"/>
      <c r="DM57" s="175" t="str">
        <f>=IFERROR(ROUND(DL57/$DK$8,2),0)</f>
      </c>
      <c r="DN57" s="169" t="str">
        <f>=ROUND(IFERROR(DL57/DM57,0),6)</f>
      </c>
      <c r="DQ57" s="165" t="s">
        <v>158</v>
      </c>
      <c r="DR57" s="166" t="s">
        <v>158</v>
      </c>
      <c r="DS57" s="167"/>
      <c r="DT57" s="175" t="str">
        <f>=IFERROR(ROUND(DS57/$DR$8,2),0)</f>
      </c>
      <c r="DU57" s="169" t="str">
        <f>=ROUND(IFERROR(DS57/DT57,0),6)</f>
      </c>
    </row>
    <row r="58">
      <c r="B58" s="170" t="s">
        <v>324</v>
      </c>
      <c r="C58" s="171" t="s">
        <v>292</v>
      </c>
      <c r="D58" s="172" t="str">
        <f>=ROUND(SUBTOTAL(109,$D$52:$D$57),2)</f>
      </c>
      <c r="E58" s="173" t="str">
        <f>=ROUND(SUBTOTAL(109,$E$52:$E$57),2)</f>
      </c>
      <c r="F58" s="174" t="str">
        <f>=ROUND(IFERROR(D58/E58,0),6)</f>
      </c>
      <c r="I58" s="170" t="s">
        <v>324</v>
      </c>
      <c r="J58" s="171" t="s">
        <v>292</v>
      </c>
      <c r="K58" s="172" t="str">
        <f>=ROUND(SUBTOTAL(109,$K$52:$K$57),2)</f>
      </c>
      <c r="L58" s="173" t="str">
        <f>=ROUND(SUBTOTAL(109,$L$52:$L$57),2)</f>
      </c>
      <c r="M58" s="174" t="str">
        <f>=ROUND(IFERROR(K58/L58,0),6)</f>
      </c>
      <c r="P58" s="170" t="s">
        <v>324</v>
      </c>
      <c r="Q58" s="171" t="s">
        <v>292</v>
      </c>
      <c r="R58" s="172" t="str">
        <f>=ROUND(SUBTOTAL(109,$R$52:$R$57),2)</f>
      </c>
      <c r="S58" s="173" t="str">
        <f>=ROUND(SUBTOTAL(109,$S$52:$S$57),2)</f>
      </c>
      <c r="T58" s="174" t="str">
        <f>=ROUND(IFERROR(R58/S58,0),6)</f>
      </c>
      <c r="W58" s="170" t="s">
        <v>324</v>
      </c>
      <c r="X58" s="171" t="s">
        <v>292</v>
      </c>
      <c r="Y58" s="172" t="str">
        <f>=ROUND(SUBTOTAL(109,$Y$52:$Y$57),2)</f>
      </c>
      <c r="Z58" s="173" t="str">
        <f>=ROUND(SUBTOTAL(109,$Z$52:$Z$57),2)</f>
      </c>
      <c r="AA58" s="174" t="str">
        <f>=ROUND(IFERROR(Y58/Z58,0),6)</f>
      </c>
      <c r="AD58" s="170" t="s">
        <v>324</v>
      </c>
      <c r="AE58" s="171" t="s">
        <v>292</v>
      </c>
      <c r="AF58" s="172" t="str">
        <f>=ROUND(SUBTOTAL(109,$AF$52:$AF$57),2)</f>
      </c>
      <c r="AG58" s="173" t="str">
        <f>=ROUND(SUBTOTAL(109,$AG$52:$AG$57),2)</f>
      </c>
      <c r="AH58" s="174" t="str">
        <f>=ROUND(IFERROR(AF58/AG58,0),6)</f>
      </c>
      <c r="AK58" s="170" t="s">
        <v>324</v>
      </c>
      <c r="AL58" s="171" t="s">
        <v>292</v>
      </c>
      <c r="AM58" s="172" t="str">
        <f>=ROUND(SUBTOTAL(109,$AM$52:$AM$57),2)</f>
      </c>
      <c r="AN58" s="173" t="str">
        <f>=ROUND(SUBTOTAL(109,$AN$52:$AN$57),2)</f>
      </c>
      <c r="AO58" s="174" t="str">
        <f>=ROUND(IFERROR(AM58/AN58,0),6)</f>
      </c>
      <c r="AR58" s="170" t="s">
        <v>324</v>
      </c>
      <c r="AS58" s="171" t="s">
        <v>292</v>
      </c>
      <c r="AT58" s="172" t="str">
        <f>=ROUND(SUBTOTAL(109,$AT$52:$AT$57),2)</f>
      </c>
      <c r="AU58" s="173" t="str">
        <f>=ROUND(SUBTOTAL(109,$AU$52:$AU$57),2)</f>
      </c>
      <c r="AV58" s="174" t="str">
        <f>=ROUND(IFERROR(AT58/AU58,0),6)</f>
      </c>
      <c r="AY58" s="170" t="s">
        <v>324</v>
      </c>
      <c r="AZ58" s="171" t="s">
        <v>292</v>
      </c>
      <c r="BA58" s="172" t="str">
        <f>=ROUND(SUBTOTAL(109,$BA$52:$BA$57),2)</f>
      </c>
      <c r="BB58" s="173" t="str">
        <f>=ROUND(SUBTOTAL(109,$BB$52:$BB$57),2)</f>
      </c>
      <c r="BC58" s="174" t="str">
        <f>=ROUND(IFERROR(BA58/BB58,0),6)</f>
      </c>
      <c r="BF58" s="170" t="s">
        <v>324</v>
      </c>
      <c r="BG58" s="171" t="s">
        <v>292</v>
      </c>
      <c r="BH58" s="172" t="str">
        <f>=ROUND(SUBTOTAL(109,$BH$52:$BH$57),2)</f>
      </c>
      <c r="BI58" s="173" t="str">
        <f>=ROUND(SUBTOTAL(109,$BI$52:$BI$57),2)</f>
      </c>
      <c r="BJ58" s="174" t="str">
        <f>=ROUND(IFERROR(BH58/BI58,0),6)</f>
      </c>
      <c r="BM58" s="170" t="s">
        <v>324</v>
      </c>
      <c r="BN58" s="171" t="s">
        <v>292</v>
      </c>
      <c r="BO58" s="172" t="str">
        <f>=ROUND(SUBTOTAL(109,$BO$52:$BO$57),2)</f>
      </c>
      <c r="BP58" s="173" t="str">
        <f>=ROUND(SUBTOTAL(109,$BP$52:$BP$57),2)</f>
      </c>
      <c r="BQ58" s="174" t="str">
        <f>=ROUND(IFERROR(BO58/BP58,0),6)</f>
      </c>
      <c r="BT58" s="170" t="s">
        <v>324</v>
      </c>
      <c r="BU58" s="171" t="s">
        <v>292</v>
      </c>
      <c r="BV58" s="172" t="str">
        <f>=ROUND(SUBTOTAL(109,$BV$52:$BV$57),2)</f>
      </c>
      <c r="BW58" s="173" t="str">
        <f>=ROUND(SUBTOTAL(109,$BW$52:$BW$57),2)</f>
      </c>
      <c r="BX58" s="174" t="str">
        <f>=ROUND(IFERROR(BV58/BW58,0),6)</f>
      </c>
      <c r="CA58" s="170" t="s">
        <v>324</v>
      </c>
      <c r="CB58" s="171" t="s">
        <v>292</v>
      </c>
      <c r="CC58" s="172" t="str">
        <f>=ROUND(SUBTOTAL(109,$CC$52:$CC$57),2)</f>
      </c>
      <c r="CD58" s="173" t="str">
        <f>=ROUND(SUBTOTAL(109,$CD$52:$CD$57),2)</f>
      </c>
      <c r="CE58" s="174" t="str">
        <f>=ROUND(IFERROR(CC58/CD58,0),6)</f>
      </c>
      <c r="CH58" s="170" t="s">
        <v>324</v>
      </c>
      <c r="CI58" s="171" t="s">
        <v>292</v>
      </c>
      <c r="CJ58" s="172" t="str">
        <f>=ROUND(SUBTOTAL(109,$CJ$52:$CJ$57),2)</f>
      </c>
      <c r="CK58" s="173" t="str">
        <f>=ROUND(SUBTOTAL(109,$CK$52:$CK$57),2)</f>
      </c>
      <c r="CL58" s="174" t="str">
        <f>=ROUND(IFERROR(CJ58/CK58,0),6)</f>
      </c>
      <c r="CO58" s="170" t="s">
        <v>324</v>
      </c>
      <c r="CP58" s="171" t="s">
        <v>292</v>
      </c>
      <c r="CQ58" s="172" t="str">
        <f>=ROUND(SUBTOTAL(109,$CQ$52:$CQ$57),2)</f>
      </c>
      <c r="CR58" s="173" t="str">
        <f>=ROUND(SUBTOTAL(109,$CR$52:$CR$57),2)</f>
      </c>
      <c r="CS58" s="174" t="str">
        <f>=ROUND(IFERROR(CQ58/CR58,0),6)</f>
      </c>
      <c r="CV58" s="170" t="s">
        <v>324</v>
      </c>
      <c r="CW58" s="171" t="s">
        <v>292</v>
      </c>
      <c r="CX58" s="172" t="str">
        <f>=ROUND(SUBTOTAL(109,$CX$52:$CX$57),2)</f>
      </c>
      <c r="CY58" s="173" t="str">
        <f>=ROUND(SUBTOTAL(109,$CY$52:$CY$57),2)</f>
      </c>
      <c r="CZ58" s="174" t="str">
        <f>=ROUND(IFERROR(CX58/CY58,0),6)</f>
      </c>
      <c r="DC58" s="170" t="s">
        <v>324</v>
      </c>
      <c r="DD58" s="171" t="s">
        <v>292</v>
      </c>
      <c r="DE58" s="172" t="str">
        <f>=ROUND(SUBTOTAL(109,$DE$52:$DE$57),2)</f>
      </c>
      <c r="DF58" s="173" t="str">
        <f>=ROUND(SUBTOTAL(109,$DF$52:$DF$57),2)</f>
      </c>
      <c r="DG58" s="174" t="str">
        <f>=ROUND(IFERROR(DE58/DF58,0),6)</f>
      </c>
      <c r="DJ58" s="170" t="s">
        <v>324</v>
      </c>
      <c r="DK58" s="171" t="s">
        <v>292</v>
      </c>
      <c r="DL58" s="172" t="str">
        <f>=ROUND(SUBTOTAL(109,$DL$52:$DL$57),2)</f>
      </c>
      <c r="DM58" s="173" t="str">
        <f>=ROUND(SUBTOTAL(109,$DM$52:$DM$57),2)</f>
      </c>
      <c r="DN58" s="174" t="str">
        <f>=ROUND(IFERROR(DL58/DM58,0),6)</f>
      </c>
      <c r="DQ58" s="170" t="s">
        <v>324</v>
      </c>
      <c r="DR58" s="171" t="s">
        <v>292</v>
      </c>
      <c r="DS58" s="172" t="str">
        <f>=ROUND(SUBTOTAL(109,$DS$52:$DS$57),2)</f>
      </c>
      <c r="DT58" s="173" t="str">
        <f>=ROUND(SUBTOTAL(109,$DT$52:$DT$57),2)</f>
      </c>
      <c r="DU58" s="174" t="str">
        <f>=ROUND(IFERROR(DS58/DT58,0),6)</f>
      </c>
    </row>
  </sheetData>
  <mergeCells count="288">
    <mergeCell ref="B4:B4"/>
    <mergeCell ref="C4:D4"/>
    <mergeCell ref="B5:B5"/>
    <mergeCell ref="C5:D5"/>
    <mergeCell ref="B6:B6"/>
    <mergeCell ref="C6:D6"/>
    <mergeCell ref="B7:B7"/>
    <mergeCell ref="C7:D7"/>
    <mergeCell ref="B8:B8"/>
    <mergeCell ref="C8:D8"/>
    <mergeCell ref="B9:F9"/>
    <mergeCell ref="B17:F17"/>
    <mergeCell ref="B31:B31"/>
    <mergeCell ref="B33:B33"/>
    <mergeCell ref="B41:B41"/>
    <mergeCell ref="B50:B50"/>
    <mergeCell ref="I4:I4"/>
    <mergeCell ref="J4:K4"/>
    <mergeCell ref="I5:I5"/>
    <mergeCell ref="J5:K5"/>
    <mergeCell ref="I6:I6"/>
    <mergeCell ref="J6:K6"/>
    <mergeCell ref="I7:I7"/>
    <mergeCell ref="J7:K7"/>
    <mergeCell ref="I8:I8"/>
    <mergeCell ref="J8:K8"/>
    <mergeCell ref="I9:M9"/>
    <mergeCell ref="I17:M17"/>
    <mergeCell ref="I31:I31"/>
    <mergeCell ref="I33:I33"/>
    <mergeCell ref="I41:I41"/>
    <mergeCell ref="I50:I50"/>
    <mergeCell ref="P4:P4"/>
    <mergeCell ref="Q4:R4"/>
    <mergeCell ref="P5:P5"/>
    <mergeCell ref="Q5:R5"/>
    <mergeCell ref="P6:P6"/>
    <mergeCell ref="Q6:R6"/>
    <mergeCell ref="P7:P7"/>
    <mergeCell ref="Q7:R7"/>
    <mergeCell ref="P8:P8"/>
    <mergeCell ref="Q8:R8"/>
    <mergeCell ref="P9:T9"/>
    <mergeCell ref="P17:T17"/>
    <mergeCell ref="P31:P31"/>
    <mergeCell ref="P33:P33"/>
    <mergeCell ref="P41:P41"/>
    <mergeCell ref="P50:P50"/>
    <mergeCell ref="W4:W4"/>
    <mergeCell ref="X4:Y4"/>
    <mergeCell ref="W5:W5"/>
    <mergeCell ref="X5:Y5"/>
    <mergeCell ref="W6:W6"/>
    <mergeCell ref="X6:Y6"/>
    <mergeCell ref="W7:W7"/>
    <mergeCell ref="X7:Y7"/>
    <mergeCell ref="W8:W8"/>
    <mergeCell ref="X8:Y8"/>
    <mergeCell ref="W9:AA9"/>
    <mergeCell ref="W17:AA17"/>
    <mergeCell ref="W31:W31"/>
    <mergeCell ref="W33:W33"/>
    <mergeCell ref="W41:W41"/>
    <mergeCell ref="W50:W50"/>
    <mergeCell ref="AD4:AD4"/>
    <mergeCell ref="AE4:AF4"/>
    <mergeCell ref="AD5:AD5"/>
    <mergeCell ref="AE5:AF5"/>
    <mergeCell ref="AD6:AD6"/>
    <mergeCell ref="AE6:AF6"/>
    <mergeCell ref="AD7:AD7"/>
    <mergeCell ref="AE7:AF7"/>
    <mergeCell ref="AD8:AD8"/>
    <mergeCell ref="AE8:AF8"/>
    <mergeCell ref="AD9:AH9"/>
    <mergeCell ref="AD17:AH17"/>
    <mergeCell ref="AD31:AD31"/>
    <mergeCell ref="AD33:AD33"/>
    <mergeCell ref="AD41:AD41"/>
    <mergeCell ref="AD50:AD50"/>
    <mergeCell ref="AK4:AK4"/>
    <mergeCell ref="AL4:AM4"/>
    <mergeCell ref="AK5:AK5"/>
    <mergeCell ref="AL5:AM5"/>
    <mergeCell ref="AK6:AK6"/>
    <mergeCell ref="AL6:AM6"/>
    <mergeCell ref="AK7:AK7"/>
    <mergeCell ref="AL7:AM7"/>
    <mergeCell ref="AK8:AK8"/>
    <mergeCell ref="AL8:AM8"/>
    <mergeCell ref="AK9:AO9"/>
    <mergeCell ref="AK17:AO17"/>
    <mergeCell ref="AK31:AK31"/>
    <mergeCell ref="AK33:AK33"/>
    <mergeCell ref="AK41:AK41"/>
    <mergeCell ref="AK50:AK50"/>
    <mergeCell ref="AR4:AR4"/>
    <mergeCell ref="AS4:AT4"/>
    <mergeCell ref="AR5:AR5"/>
    <mergeCell ref="AS5:AT5"/>
    <mergeCell ref="AR6:AR6"/>
    <mergeCell ref="AS6:AT6"/>
    <mergeCell ref="AR7:AR7"/>
    <mergeCell ref="AS7:AT7"/>
    <mergeCell ref="AR8:AR8"/>
    <mergeCell ref="AS8:AT8"/>
    <mergeCell ref="AR9:AV9"/>
    <mergeCell ref="AR17:AV17"/>
    <mergeCell ref="AR31:AR31"/>
    <mergeCell ref="AR33:AR33"/>
    <mergeCell ref="AR41:AR41"/>
    <mergeCell ref="AR50:AR50"/>
    <mergeCell ref="AY4:AY4"/>
    <mergeCell ref="AZ4:BA4"/>
    <mergeCell ref="AY5:AY5"/>
    <mergeCell ref="AZ5:BA5"/>
    <mergeCell ref="AY6:AY6"/>
    <mergeCell ref="AZ6:BA6"/>
    <mergeCell ref="AY7:AY7"/>
    <mergeCell ref="AZ7:BA7"/>
    <mergeCell ref="AY8:AY8"/>
    <mergeCell ref="AZ8:BA8"/>
    <mergeCell ref="AY9:BC9"/>
    <mergeCell ref="AY17:BC17"/>
    <mergeCell ref="AY31:AY31"/>
    <mergeCell ref="AY33:AY33"/>
    <mergeCell ref="AY41:AY41"/>
    <mergeCell ref="AY50:AY50"/>
    <mergeCell ref="BF4:BF4"/>
    <mergeCell ref="BG4:BH4"/>
    <mergeCell ref="BF5:BF5"/>
    <mergeCell ref="BG5:BH5"/>
    <mergeCell ref="BF6:BF6"/>
    <mergeCell ref="BG6:BH6"/>
    <mergeCell ref="BF7:BF7"/>
    <mergeCell ref="BG7:BH7"/>
    <mergeCell ref="BF8:BF8"/>
    <mergeCell ref="BG8:BH8"/>
    <mergeCell ref="BF9:BJ9"/>
    <mergeCell ref="BF17:BJ17"/>
    <mergeCell ref="BF31:BF31"/>
    <mergeCell ref="BF33:BF33"/>
    <mergeCell ref="BF41:BF41"/>
    <mergeCell ref="BF50:BF50"/>
    <mergeCell ref="BM4:BM4"/>
    <mergeCell ref="BN4:BO4"/>
    <mergeCell ref="BM5:BM5"/>
    <mergeCell ref="BN5:BO5"/>
    <mergeCell ref="BM6:BM6"/>
    <mergeCell ref="BN6:BO6"/>
    <mergeCell ref="BM7:BM7"/>
    <mergeCell ref="BN7:BO7"/>
    <mergeCell ref="BM8:BM8"/>
    <mergeCell ref="BN8:BO8"/>
    <mergeCell ref="BM9:BQ9"/>
    <mergeCell ref="BM17:BQ17"/>
    <mergeCell ref="BM31:BM31"/>
    <mergeCell ref="BM33:BM33"/>
    <mergeCell ref="BM41:BM41"/>
    <mergeCell ref="BM50:BM50"/>
    <mergeCell ref="BT4:BT4"/>
    <mergeCell ref="BU4:BV4"/>
    <mergeCell ref="BT5:BT5"/>
    <mergeCell ref="BU5:BV5"/>
    <mergeCell ref="BT6:BT6"/>
    <mergeCell ref="BU6:BV6"/>
    <mergeCell ref="BT7:BT7"/>
    <mergeCell ref="BU7:BV7"/>
    <mergeCell ref="BT8:BT8"/>
    <mergeCell ref="BU8:BV8"/>
    <mergeCell ref="BT9:BX9"/>
    <mergeCell ref="BT17:BX17"/>
    <mergeCell ref="BT31:BT31"/>
    <mergeCell ref="BT33:BT33"/>
    <mergeCell ref="BT41:BT41"/>
    <mergeCell ref="BT50:BT50"/>
    <mergeCell ref="CA4:CA4"/>
    <mergeCell ref="CB4:CC4"/>
    <mergeCell ref="CA5:CA5"/>
    <mergeCell ref="CB5:CC5"/>
    <mergeCell ref="CA6:CA6"/>
    <mergeCell ref="CB6:CC6"/>
    <mergeCell ref="CA7:CA7"/>
    <mergeCell ref="CB7:CC7"/>
    <mergeCell ref="CA8:CA8"/>
    <mergeCell ref="CB8:CC8"/>
    <mergeCell ref="CA9:CE9"/>
    <mergeCell ref="CA17:CE17"/>
    <mergeCell ref="CA31:CA31"/>
    <mergeCell ref="CA33:CA33"/>
    <mergeCell ref="CA41:CA41"/>
    <mergeCell ref="CA50:CA50"/>
    <mergeCell ref="CH4:CH4"/>
    <mergeCell ref="CI4:CJ4"/>
    <mergeCell ref="CH5:CH5"/>
    <mergeCell ref="CI5:CJ5"/>
    <mergeCell ref="CH6:CH6"/>
    <mergeCell ref="CI6:CJ6"/>
    <mergeCell ref="CH7:CH7"/>
    <mergeCell ref="CI7:CJ7"/>
    <mergeCell ref="CH8:CH8"/>
    <mergeCell ref="CI8:CJ8"/>
    <mergeCell ref="CH9:CL9"/>
    <mergeCell ref="CH17:CL17"/>
    <mergeCell ref="CH31:CH31"/>
    <mergeCell ref="CH33:CH33"/>
    <mergeCell ref="CH41:CH41"/>
    <mergeCell ref="CH50:CH50"/>
    <mergeCell ref="CO4:CO4"/>
    <mergeCell ref="CP4:CQ4"/>
    <mergeCell ref="CO5:CO5"/>
    <mergeCell ref="CP5:CQ5"/>
    <mergeCell ref="CO6:CO6"/>
    <mergeCell ref="CP6:CQ6"/>
    <mergeCell ref="CO7:CO7"/>
    <mergeCell ref="CP7:CQ7"/>
    <mergeCell ref="CO8:CO8"/>
    <mergeCell ref="CP8:CQ8"/>
    <mergeCell ref="CO9:CS9"/>
    <mergeCell ref="CO17:CS17"/>
    <mergeCell ref="CO31:CO31"/>
    <mergeCell ref="CO33:CO33"/>
    <mergeCell ref="CO41:CO41"/>
    <mergeCell ref="CO50:CO50"/>
    <mergeCell ref="CV4:CV4"/>
    <mergeCell ref="CW4:CX4"/>
    <mergeCell ref="CV5:CV5"/>
    <mergeCell ref="CW5:CX5"/>
    <mergeCell ref="CV6:CV6"/>
    <mergeCell ref="CW6:CX6"/>
    <mergeCell ref="CV7:CV7"/>
    <mergeCell ref="CW7:CX7"/>
    <mergeCell ref="CV8:CV8"/>
    <mergeCell ref="CW8:CX8"/>
    <mergeCell ref="CV9:CZ9"/>
    <mergeCell ref="CV17:CZ17"/>
    <mergeCell ref="CV31:CV31"/>
    <mergeCell ref="CV33:CV33"/>
    <mergeCell ref="CV41:CV41"/>
    <mergeCell ref="CV50:CV50"/>
    <mergeCell ref="DC4:DC4"/>
    <mergeCell ref="DD4:DE4"/>
    <mergeCell ref="DC5:DC5"/>
    <mergeCell ref="DD5:DE5"/>
    <mergeCell ref="DC6:DC6"/>
    <mergeCell ref="DD6:DE6"/>
    <mergeCell ref="DC7:DC7"/>
    <mergeCell ref="DD7:DE7"/>
    <mergeCell ref="DC8:DC8"/>
    <mergeCell ref="DD8:DE8"/>
    <mergeCell ref="DC9:DG9"/>
    <mergeCell ref="DC17:DG17"/>
    <mergeCell ref="DC31:DC31"/>
    <mergeCell ref="DC33:DC33"/>
    <mergeCell ref="DC41:DC41"/>
    <mergeCell ref="DC50:DC50"/>
    <mergeCell ref="DJ4:DJ4"/>
    <mergeCell ref="DK4:DL4"/>
    <mergeCell ref="DJ5:DJ5"/>
    <mergeCell ref="DK5:DL5"/>
    <mergeCell ref="DJ6:DJ6"/>
    <mergeCell ref="DK6:DL6"/>
    <mergeCell ref="DJ7:DJ7"/>
    <mergeCell ref="DK7:DL7"/>
    <mergeCell ref="DJ8:DJ8"/>
    <mergeCell ref="DK8:DL8"/>
    <mergeCell ref="DJ9:DN9"/>
    <mergeCell ref="DJ17:DN17"/>
    <mergeCell ref="DJ31:DJ31"/>
    <mergeCell ref="DJ33:DJ33"/>
    <mergeCell ref="DJ41:DJ41"/>
    <mergeCell ref="DJ50:DJ50"/>
    <mergeCell ref="DQ4:DQ4"/>
    <mergeCell ref="DR4:DS4"/>
    <mergeCell ref="DQ5:DQ5"/>
    <mergeCell ref="DR5:DS5"/>
    <mergeCell ref="DQ6:DQ6"/>
    <mergeCell ref="DR6:DS6"/>
    <mergeCell ref="DQ7:DQ7"/>
    <mergeCell ref="DR7:DS7"/>
    <mergeCell ref="DQ8:DQ8"/>
    <mergeCell ref="DR8:DS8"/>
    <mergeCell ref="DQ9:DU9"/>
    <mergeCell ref="DQ17:DU17"/>
    <mergeCell ref="DQ31:DQ31"/>
    <mergeCell ref="DQ33:DQ33"/>
    <mergeCell ref="DQ41:DQ41"/>
    <mergeCell ref="DQ50:DQ50"/>
  </mergeCells>
  <dataValidations count="72">
    <dataValidation allowBlank="true" sqref="B43:B47" type="list">
      <formula1>"Saldo des Vorprojekts,Eigenmittel,Drittmittel,KMW-Mittel,Zinsertraege"</formula1>
    </dataValidation>
    <dataValidation allowBlank="true" sqref="C43:C47" type="list">
      <formula1>=Geber_Liste</formula1>
    </dataValidation>
    <dataValidation allowBlank="true" sqref="B52:B57" type="list">
      <formula1>"Saldo des Vorprojekts,Eigenmittel,Drittmittel,KMW-Mittel,Zinsertraege"</formula1>
    </dataValidation>
    <dataValidation allowBlank="true" sqref="C52:C57" type="list">
      <formula1>=Geber_Liste</formula1>
    </dataValidation>
    <dataValidation allowBlank="true" sqref="I43:I47" type="list">
      <formula1>"Saldo der Vorperiode,Eigenmittel,Drittmittel,KMW-Mittel,Zinsertraege"</formula1>
    </dataValidation>
    <dataValidation allowBlank="true" sqref="J43:J47" type="list">
      <formula1>=Geber_Liste</formula1>
    </dataValidation>
    <dataValidation allowBlank="true" sqref="I52:I57" type="list">
      <formula1>"Saldo der Vorperiode,Eigenmittel,Drittmittel,KMW-Mittel,Zinsertraege"</formula1>
    </dataValidation>
    <dataValidation allowBlank="true" sqref="J52:J57" type="list">
      <formula1>=Geber_Liste</formula1>
    </dataValidation>
    <dataValidation allowBlank="true" sqref="P43:P47" type="list">
      <formula1>"Saldo der Vorperiode,Eigenmittel,Drittmittel,KMW-Mittel,Zinsertraege"</formula1>
    </dataValidation>
    <dataValidation allowBlank="true" sqref="Q43:Q47" type="list">
      <formula1>=Geber_Liste</formula1>
    </dataValidation>
    <dataValidation allowBlank="true" sqref="P52:P57" type="list">
      <formula1>"Saldo der Vorperiode,Eigenmittel,Drittmittel,KMW-Mittel,Zinsertraege"</formula1>
    </dataValidation>
    <dataValidation allowBlank="true" sqref="Q52:Q57" type="list">
      <formula1>=Geber_Liste</formula1>
    </dataValidation>
    <dataValidation allowBlank="true" sqref="W43:W47" type="list">
      <formula1>"Saldo der Vorperiode,Eigenmittel,Drittmittel,KMW-Mittel,Zinsertraege"</formula1>
    </dataValidation>
    <dataValidation allowBlank="true" sqref="X43:X47" type="list">
      <formula1>=Geber_Liste</formula1>
    </dataValidation>
    <dataValidation allowBlank="true" sqref="W52:W57" type="list">
      <formula1>"Saldo der Vorperiode,Eigenmittel,Drittmittel,KMW-Mittel,Zinsertraege"</formula1>
    </dataValidation>
    <dataValidation allowBlank="true" sqref="X52:X57" type="list">
      <formula1>=Geber_Liste</formula1>
    </dataValidation>
    <dataValidation allowBlank="true" sqref="AD43:AD47" type="list">
      <formula1>"Saldo der Vorperiode,Eigenmittel,Drittmittel,KMW-Mittel,Zinsertraege"</formula1>
    </dataValidation>
    <dataValidation allowBlank="true" sqref="AE43:AE47" type="list">
      <formula1>=Geber_Liste</formula1>
    </dataValidation>
    <dataValidation allowBlank="true" sqref="AD52:AD57" type="list">
      <formula1>"Saldo der Vorperiode,Eigenmittel,Drittmittel,KMW-Mittel,Zinsertraege"</formula1>
    </dataValidation>
    <dataValidation allowBlank="true" sqref="AE52:AE57" type="list">
      <formula1>=Geber_Liste</formula1>
    </dataValidation>
    <dataValidation allowBlank="true" sqref="AK43:AK47" type="list">
      <formula1>"Saldo der Vorperiode,Eigenmittel,Drittmittel,KMW-Mittel,Zinsertraege"</formula1>
    </dataValidation>
    <dataValidation allowBlank="true" sqref="AL43:AL47" type="list">
      <formula1>=Geber_Liste</formula1>
    </dataValidation>
    <dataValidation allowBlank="true" sqref="AK52:AK57" type="list">
      <formula1>"Saldo der Vorperiode,Eigenmittel,Drittmittel,KMW-Mittel,Zinsertraege"</formula1>
    </dataValidation>
    <dataValidation allowBlank="true" sqref="AL52:AL57" type="list">
      <formula1>=Geber_Liste</formula1>
    </dataValidation>
    <dataValidation allowBlank="true" sqref="AR43:AR47" type="list">
      <formula1>"Saldo der Vorperiode,Eigenmittel,Drittmittel,KMW-Mittel,Zinsertraege"</formula1>
    </dataValidation>
    <dataValidation allowBlank="true" sqref="AS43:AS47" type="list">
      <formula1>=Geber_Liste</formula1>
    </dataValidation>
    <dataValidation allowBlank="true" sqref="AR52:AR57" type="list">
      <formula1>"Saldo der Vorperiode,Eigenmittel,Drittmittel,KMW-Mittel,Zinsertraege"</formula1>
    </dataValidation>
    <dataValidation allowBlank="true" sqref="AS52:AS57" type="list">
      <formula1>=Geber_Liste</formula1>
    </dataValidation>
    <dataValidation allowBlank="true" sqref="AY43:AY47" type="list">
      <formula1>"Saldo der Vorperiode,Eigenmittel,Drittmittel,KMW-Mittel,Zinsertraege"</formula1>
    </dataValidation>
    <dataValidation allowBlank="true" sqref="AZ43:AZ47" type="list">
      <formula1>=Geber_Liste</formula1>
    </dataValidation>
    <dataValidation allowBlank="true" sqref="AY52:AY57" type="list">
      <formula1>"Saldo der Vorperiode,Eigenmittel,Drittmittel,KMW-Mittel,Zinsertraege"</formula1>
    </dataValidation>
    <dataValidation allowBlank="true" sqref="AZ52:AZ57" type="list">
      <formula1>=Geber_Liste</formula1>
    </dataValidation>
    <dataValidation allowBlank="true" sqref="BF43:BF47" type="list">
      <formula1>"Saldo der Vorperiode,Eigenmittel,Drittmittel,KMW-Mittel,Zinsertraege"</formula1>
    </dataValidation>
    <dataValidation allowBlank="true" sqref="BG43:BG47" type="list">
      <formula1>=Geber_Liste</formula1>
    </dataValidation>
    <dataValidation allowBlank="true" sqref="BF52:BF57" type="list">
      <formula1>"Saldo der Vorperiode,Eigenmittel,Drittmittel,KMW-Mittel,Zinsertraege"</formula1>
    </dataValidation>
    <dataValidation allowBlank="true" sqref="BG52:BG57" type="list">
      <formula1>=Geber_Liste</formula1>
    </dataValidation>
    <dataValidation allowBlank="true" sqref="BM43:BM47" type="list">
      <formula1>"Saldo der Vorperiode,Eigenmittel,Drittmittel,KMW-Mittel,Zinsertraege"</formula1>
    </dataValidation>
    <dataValidation allowBlank="true" sqref="BN43:BN47" type="list">
      <formula1>=Geber_Liste</formula1>
    </dataValidation>
    <dataValidation allowBlank="true" sqref="BM52:BM57" type="list">
      <formula1>"Saldo der Vorperiode,Eigenmittel,Drittmittel,KMW-Mittel,Zinsertraege"</formula1>
    </dataValidation>
    <dataValidation allowBlank="true" sqref="BN52:BN57" type="list">
      <formula1>=Geber_Liste</formula1>
    </dataValidation>
    <dataValidation allowBlank="true" sqref="BT43:BT47" type="list">
      <formula1>"Saldo der Vorperiode,Eigenmittel,Drittmittel,KMW-Mittel,Zinsertraege"</formula1>
    </dataValidation>
    <dataValidation allowBlank="true" sqref="BU43:BU47" type="list">
      <formula1>=Geber_Liste</formula1>
    </dataValidation>
    <dataValidation allowBlank="true" sqref="BT52:BT57" type="list">
      <formula1>"Saldo der Vorperiode,Eigenmittel,Drittmittel,KMW-Mittel,Zinsertraege"</formula1>
    </dataValidation>
    <dataValidation allowBlank="true" sqref="BU52:BU57" type="list">
      <formula1>=Geber_Liste</formula1>
    </dataValidation>
    <dataValidation allowBlank="true" sqref="CA43:CA47" type="list">
      <formula1>"Saldo der Vorperiode,Eigenmittel,Drittmittel,KMW-Mittel,Zinsertraege"</formula1>
    </dataValidation>
    <dataValidation allowBlank="true" sqref="CB43:CB47" type="list">
      <formula1>=Geber_Liste</formula1>
    </dataValidation>
    <dataValidation allowBlank="true" sqref="CA52:CA57" type="list">
      <formula1>"Saldo der Vorperiode,Eigenmittel,Drittmittel,KMW-Mittel,Zinsertraege"</formula1>
    </dataValidation>
    <dataValidation allowBlank="true" sqref="CB52:CB57" type="list">
      <formula1>=Geber_Liste</formula1>
    </dataValidation>
    <dataValidation allowBlank="true" sqref="CH43:CH47" type="list">
      <formula1>"Saldo der Vorperiode,Eigenmittel,Drittmittel,KMW-Mittel,Zinsertraege"</formula1>
    </dataValidation>
    <dataValidation allowBlank="true" sqref="CI43:CI47" type="list">
      <formula1>=Geber_Liste</formula1>
    </dataValidation>
    <dataValidation allowBlank="true" sqref="CH52:CH57" type="list">
      <formula1>"Saldo der Vorperiode,Eigenmittel,Drittmittel,KMW-Mittel,Zinsertraege"</formula1>
    </dataValidation>
    <dataValidation allowBlank="true" sqref="CI52:CI57" type="list">
      <formula1>=Geber_Liste</formula1>
    </dataValidation>
    <dataValidation allowBlank="true" sqref="CO43:CO47" type="list">
      <formula1>"Saldo der Vorperiode,Eigenmittel,Drittmittel,KMW-Mittel,Zinsertraege"</formula1>
    </dataValidation>
    <dataValidation allowBlank="true" sqref="CP43:CP47" type="list">
      <formula1>=Geber_Liste</formula1>
    </dataValidation>
    <dataValidation allowBlank="true" sqref="CO52:CO57" type="list">
      <formula1>"Saldo der Vorperiode,Eigenmittel,Drittmittel,KMW-Mittel,Zinsertraege"</formula1>
    </dataValidation>
    <dataValidation allowBlank="true" sqref="CP52:CP57" type="list">
      <formula1>=Geber_Liste</formula1>
    </dataValidation>
    <dataValidation allowBlank="true" sqref="CV43:CV47" type="list">
      <formula1>"Saldo der Vorperiode,Eigenmittel,Drittmittel,KMW-Mittel,Zinsertraege"</formula1>
    </dataValidation>
    <dataValidation allowBlank="true" sqref="CW43:CW47" type="list">
      <formula1>=Geber_Liste</formula1>
    </dataValidation>
    <dataValidation allowBlank="true" sqref="CV52:CV57" type="list">
      <formula1>"Saldo der Vorperiode,Eigenmittel,Drittmittel,KMW-Mittel,Zinsertraege"</formula1>
    </dataValidation>
    <dataValidation allowBlank="true" sqref="CW52:CW57" type="list">
      <formula1>=Geber_Liste</formula1>
    </dataValidation>
    <dataValidation allowBlank="true" sqref="DC43:DC47" type="list">
      <formula1>"Saldo der Vorperiode,Eigenmittel,Drittmittel,KMW-Mittel,Zinsertraege"</formula1>
    </dataValidation>
    <dataValidation allowBlank="true" sqref="DD43:DD47" type="list">
      <formula1>=Geber_Liste</formula1>
    </dataValidation>
    <dataValidation allowBlank="true" sqref="DC52:DC57" type="list">
      <formula1>"Saldo der Vorperiode,Eigenmittel,Drittmittel,KMW-Mittel,Zinsertraege"</formula1>
    </dataValidation>
    <dataValidation allowBlank="true" sqref="DD52:DD57" type="list">
      <formula1>=Geber_Liste</formula1>
    </dataValidation>
    <dataValidation allowBlank="true" sqref="DJ43:DJ47" type="list">
      <formula1>"Saldo der Vorperiode,Eigenmittel,Drittmittel,KMW-Mittel,Zinsertraege"</formula1>
    </dataValidation>
    <dataValidation allowBlank="true" sqref="DK43:DK47" type="list">
      <formula1>=Geber_Liste</formula1>
    </dataValidation>
    <dataValidation allowBlank="true" sqref="DJ52:DJ57" type="list">
      <formula1>"Saldo der Vorperiode,Eigenmittel,Drittmittel,KMW-Mittel,Zinsertraege"</formula1>
    </dataValidation>
    <dataValidation allowBlank="true" sqref="DK52:DK57" type="list">
      <formula1>=Geber_Liste</formula1>
    </dataValidation>
    <dataValidation allowBlank="true" sqref="DQ43:DQ47" type="list">
      <formula1>"Saldo der Vorperiode,Eigenmittel,Drittmittel,KMW-Mittel,Zinsertraege"</formula1>
    </dataValidation>
    <dataValidation allowBlank="true" sqref="DR43:DR47" type="list">
      <formula1>=Geber_Liste</formula1>
    </dataValidation>
    <dataValidation allowBlank="true" sqref="DQ52:DQ57" type="list">
      <formula1>"Saldo der Vorperiode,Eigenmittel,Drittmittel,KMW-Mittel,Zinsertraege"</formula1>
    </dataValidation>
    <dataValidation allowBlank="true" sqref="DR52:DR57" type="list">
      <formula1>=Geber_Liste</formula1>
    </dataValidation>
  </dataValidations>
  <tableParts count="5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s>
</worksheet>
</file>

<file path=xl/worksheets/sheet6.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25"/>
    <col customWidth="true" max="4" min="3" width="18"/>
    <col customWidth="true" max="6" min="6" width="25"/>
    <col customWidth="true" max="8" min="7" width="18"/>
    <col customWidth="true" max="10" min="10" width="25"/>
    <col customWidth="true" max="12" min="11" width="18"/>
    <col customWidth="true" max="14" min="14" width="25"/>
    <col customWidth="true" max="16" min="15" width="18"/>
    <col customWidth="true" max="18" min="18" width="25"/>
    <col customWidth="true" max="20" min="19" width="18"/>
    <col customWidth="true" max="22" min="22" width="25"/>
    <col customWidth="true" max="24" min="23" width="18"/>
    <col customWidth="true" max="26" min="26" width="25"/>
    <col customWidth="true" max="28" min="27" width="18"/>
    <col customWidth="true" max="30" min="30" width="25"/>
    <col customWidth="true" max="32" min="31" width="18"/>
    <col customWidth="true" max="34" min="34" width="25"/>
    <col customWidth="true" max="36" min="35" width="18"/>
    <col customWidth="true" max="38" min="38" width="25"/>
    <col customWidth="true" max="40" min="39" width="18"/>
    <col customWidth="true" max="42" min="42" width="25"/>
    <col customWidth="true" max="44" min="43" width="18"/>
    <col customWidth="true" max="46" min="46" width="25"/>
    <col customWidth="true" max="48" min="47" width="18"/>
    <col customWidth="true" max="50" min="50" width="25"/>
    <col customWidth="true" max="52" min="51" width="18"/>
    <col customWidth="true" max="54" min="54" width="25"/>
    <col customWidth="true" max="56" min="55" width="18"/>
    <col customWidth="true" max="58" min="58" width="25"/>
    <col customWidth="true" max="60" min="59" width="18"/>
    <col customWidth="true" max="62" min="62" width="25"/>
    <col customWidth="true" max="64" min="63" width="18"/>
    <col customWidth="true" max="66" min="66" width="25"/>
    <col customWidth="true" max="68" min="67" width="18"/>
    <col customWidth="true" max="70" min="70" width="25"/>
    <col customWidth="true" max="72" min="71" width="18"/>
  </cols>
  <sheetData>
    <row r="3">
      <c r="E3" s="176" t="s">
        <v>325</v>
      </c>
      <c r="I3" s="176" t="s">
        <v>325</v>
      </c>
      <c r="M3" s="176" t="s">
        <v>325</v>
      </c>
      <c r="Q3" s="176" t="s">
        <v>325</v>
      </c>
      <c r="U3" s="176" t="s">
        <v>325</v>
      </c>
      <c r="Y3" s="176" t="s">
        <v>325</v>
      </c>
      <c r="AC3" s="176" t="s">
        <v>325</v>
      </c>
      <c r="AG3" s="176" t="s">
        <v>325</v>
      </c>
      <c r="AK3" s="176" t="s">
        <v>325</v>
      </c>
      <c r="AO3" s="176" t="s">
        <v>325</v>
      </c>
      <c r="AS3" s="176" t="s">
        <v>325</v>
      </c>
      <c r="AW3" s="176" t="s">
        <v>325</v>
      </c>
      <c r="BA3" s="176" t="s">
        <v>325</v>
      </c>
      <c r="BE3" s="176" t="s">
        <v>325</v>
      </c>
      <c r="BI3" s="176" t="s">
        <v>325</v>
      </c>
      <c r="BM3" s="176" t="s">
        <v>325</v>
      </c>
      <c r="BQ3" s="176" t="s">
        <v>325</v>
      </c>
    </row>
    <row r="4">
      <c r="B4" s="105" t="s">
        <v>288</v>
      </c>
      <c r="C4" s="177" t="s">
        <v>247</v>
      </c>
      <c r="D4" s="177"/>
      <c r="F4" s="105" t="s">
        <v>288</v>
      </c>
      <c r="G4" s="177" t="s">
        <v>248</v>
      </c>
      <c r="H4" s="177"/>
      <c r="J4" s="105" t="s">
        <v>288</v>
      </c>
      <c r="K4" s="177" t="s">
        <v>249</v>
      </c>
      <c r="L4" s="177"/>
      <c r="N4" s="105" t="s">
        <v>288</v>
      </c>
      <c r="O4" s="177" t="s">
        <v>250</v>
      </c>
      <c r="P4" s="177"/>
      <c r="R4" s="105" t="s">
        <v>288</v>
      </c>
      <c r="S4" s="177" t="s">
        <v>251</v>
      </c>
      <c r="T4" s="177"/>
      <c r="V4" s="105" t="s">
        <v>288</v>
      </c>
      <c r="W4" s="177" t="s">
        <v>252</v>
      </c>
      <c r="X4" s="177"/>
      <c r="Z4" s="105" t="s">
        <v>288</v>
      </c>
      <c r="AA4" s="177" t="s">
        <v>253</v>
      </c>
      <c r="AB4" s="177"/>
      <c r="AD4" s="105" t="s">
        <v>288</v>
      </c>
      <c r="AE4" s="177" t="s">
        <v>254</v>
      </c>
      <c r="AF4" s="177"/>
      <c r="AH4" s="105" t="s">
        <v>288</v>
      </c>
      <c r="AI4" s="177" t="s">
        <v>255</v>
      </c>
      <c r="AJ4" s="177"/>
      <c r="AL4" s="105" t="s">
        <v>288</v>
      </c>
      <c r="AM4" s="177" t="s">
        <v>256</v>
      </c>
      <c r="AN4" s="177"/>
      <c r="AP4" s="105" t="s">
        <v>288</v>
      </c>
      <c r="AQ4" s="177" t="s">
        <v>257</v>
      </c>
      <c r="AR4" s="177"/>
      <c r="AT4" s="105" t="s">
        <v>288</v>
      </c>
      <c r="AU4" s="177" t="s">
        <v>258</v>
      </c>
      <c r="AV4" s="177"/>
      <c r="AX4" s="105" t="s">
        <v>288</v>
      </c>
      <c r="AY4" s="177" t="s">
        <v>259</v>
      </c>
      <c r="AZ4" s="177"/>
      <c r="BB4" s="105" t="s">
        <v>288</v>
      </c>
      <c r="BC4" s="177" t="s">
        <v>260</v>
      </c>
      <c r="BD4" s="177"/>
      <c r="BF4" s="105" t="s">
        <v>288</v>
      </c>
      <c r="BG4" s="177" t="s">
        <v>261</v>
      </c>
      <c r="BH4" s="177"/>
      <c r="BJ4" s="105" t="s">
        <v>288</v>
      </c>
      <c r="BK4" s="177" t="s">
        <v>262</v>
      </c>
      <c r="BL4" s="177"/>
      <c r="BN4" s="105" t="s">
        <v>288</v>
      </c>
      <c r="BO4" s="177" t="s">
        <v>263</v>
      </c>
      <c r="BP4" s="177"/>
      <c r="BR4" s="105" t="s">
        <v>288</v>
      </c>
      <c r="BS4" s="177" t="s">
        <v>264</v>
      </c>
      <c r="BT4" s="177"/>
    </row>
    <row r="5">
      <c r="B5" s="105" t="s">
        <v>289</v>
      </c>
      <c r="C5" s="108">
        <v>45658</v>
      </c>
      <c r="D5" s="108"/>
      <c r="F5" s="105" t="s">
        <v>289</v>
      </c>
      <c r="G5" s="108">
        <v>45839</v>
      </c>
      <c r="H5" s="108"/>
      <c r="J5" s="105" t="s">
        <v>289</v>
      </c>
      <c r="K5" s="108"/>
      <c r="L5" s="108"/>
      <c r="N5" s="105" t="s">
        <v>289</v>
      </c>
      <c r="O5" s="108"/>
      <c r="P5" s="108"/>
      <c r="R5" s="105" t="s">
        <v>289</v>
      </c>
      <c r="S5" s="108"/>
      <c r="T5" s="108"/>
      <c r="V5" s="105" t="s">
        <v>289</v>
      </c>
      <c r="W5" s="108"/>
      <c r="X5" s="108"/>
      <c r="Z5" s="105" t="s">
        <v>289</v>
      </c>
      <c r="AA5" s="108"/>
      <c r="AB5" s="108"/>
      <c r="AD5" s="105" t="s">
        <v>289</v>
      </c>
      <c r="AE5" s="108"/>
      <c r="AF5" s="108"/>
      <c r="AH5" s="105" t="s">
        <v>289</v>
      </c>
      <c r="AI5" s="108"/>
      <c r="AJ5" s="108"/>
      <c r="AL5" s="105" t="s">
        <v>289</v>
      </c>
      <c r="AM5" s="108"/>
      <c r="AN5" s="108"/>
      <c r="AP5" s="105" t="s">
        <v>289</v>
      </c>
      <c r="AQ5" s="108"/>
      <c r="AR5" s="108"/>
      <c r="AT5" s="105" t="s">
        <v>289</v>
      </c>
      <c r="AU5" s="108"/>
      <c r="AV5" s="108"/>
      <c r="AX5" s="105" t="s">
        <v>289</v>
      </c>
      <c r="AY5" s="108"/>
      <c r="AZ5" s="108"/>
      <c r="BB5" s="105" t="s">
        <v>289</v>
      </c>
      <c r="BC5" s="108"/>
      <c r="BD5" s="108"/>
      <c r="BF5" s="105" t="s">
        <v>289</v>
      </c>
      <c r="BG5" s="108"/>
      <c r="BH5" s="108"/>
      <c r="BJ5" s="105" t="s">
        <v>289</v>
      </c>
      <c r="BK5" s="108"/>
      <c r="BL5" s="108"/>
      <c r="BN5" s="105" t="s">
        <v>289</v>
      </c>
      <c r="BO5" s="108"/>
      <c r="BP5" s="108"/>
      <c r="BR5" s="105" t="s">
        <v>289</v>
      </c>
      <c r="BS5" s="108"/>
      <c r="BT5" s="108"/>
    </row>
    <row r="6">
      <c r="B6" s="105" t="s">
        <v>290</v>
      </c>
      <c r="C6" s="108">
        <v>45838</v>
      </c>
      <c r="D6" s="108"/>
      <c r="F6" s="105" t="s">
        <v>290</v>
      </c>
      <c r="G6" s="108">
        <v>46022</v>
      </c>
      <c r="H6" s="108"/>
      <c r="J6" s="105" t="s">
        <v>290</v>
      </c>
      <c r="K6" s="108"/>
      <c r="L6" s="108"/>
      <c r="N6" s="105" t="s">
        <v>290</v>
      </c>
      <c r="O6" s="108"/>
      <c r="P6" s="108"/>
      <c r="R6" s="105" t="s">
        <v>290</v>
      </c>
      <c r="S6" s="108"/>
      <c r="T6" s="108"/>
      <c r="V6" s="105" t="s">
        <v>290</v>
      </c>
      <c r="W6" s="108"/>
      <c r="X6" s="108"/>
      <c r="Z6" s="105" t="s">
        <v>290</v>
      </c>
      <c r="AA6" s="108"/>
      <c r="AB6" s="108"/>
      <c r="AD6" s="105" t="s">
        <v>290</v>
      </c>
      <c r="AE6" s="108"/>
      <c r="AF6" s="108"/>
      <c r="AH6" s="105" t="s">
        <v>290</v>
      </c>
      <c r="AI6" s="108"/>
      <c r="AJ6" s="108"/>
      <c r="AL6" s="105" t="s">
        <v>290</v>
      </c>
      <c r="AM6" s="108"/>
      <c r="AN6" s="108"/>
      <c r="AP6" s="105" t="s">
        <v>290</v>
      </c>
      <c r="AQ6" s="108"/>
      <c r="AR6" s="108"/>
      <c r="AT6" s="105" t="s">
        <v>290</v>
      </c>
      <c r="AU6" s="108"/>
      <c r="AV6" s="108"/>
      <c r="AX6" s="105" t="s">
        <v>290</v>
      </c>
      <c r="AY6" s="108"/>
      <c r="AZ6" s="108"/>
      <c r="BB6" s="105" t="s">
        <v>290</v>
      </c>
      <c r="BC6" s="108"/>
      <c r="BD6" s="108"/>
      <c r="BF6" s="105" t="s">
        <v>290</v>
      </c>
      <c r="BG6" s="108"/>
      <c r="BH6" s="108"/>
      <c r="BJ6" s="105" t="s">
        <v>290</v>
      </c>
      <c r="BK6" s="108"/>
      <c r="BL6" s="108"/>
      <c r="BN6" s="105" t="s">
        <v>290</v>
      </c>
      <c r="BO6" s="108"/>
      <c r="BP6" s="108"/>
      <c r="BR6" s="105" t="s">
        <v>290</v>
      </c>
      <c r="BS6" s="108"/>
      <c r="BT6" s="108"/>
    </row>
    <row r="7">
      <c r="B7" s="105" t="s">
        <v>291</v>
      </c>
      <c r="C7" s="178" t="str">
        <f>=IF(OR(C5="",C6=""),"",DATEDIF(C5,C6,"m")+1)</f>
      </c>
      <c r="D7" s="178"/>
      <c r="F7" s="105" t="s">
        <v>291</v>
      </c>
      <c r="G7" s="178" t="str">
        <f>=IF(OR(G5="",G6=""),"",DATEDIF(G5,G6,"m")+1)</f>
      </c>
      <c r="H7" s="178"/>
      <c r="J7" s="105" t="s">
        <v>291</v>
      </c>
      <c r="K7" s="178" t="str">
        <f>=IF(OR(K5="",K6=""),"",DATEDIF(K5,K6,"m")+1)</f>
      </c>
      <c r="L7" s="178"/>
      <c r="N7" s="105" t="s">
        <v>291</v>
      </c>
      <c r="O7" s="178" t="str">
        <f>=IF(OR(O5="",O6=""),"",DATEDIF(O5,O6,"m")+1)</f>
      </c>
      <c r="P7" s="178"/>
      <c r="R7" s="105" t="s">
        <v>291</v>
      </c>
      <c r="S7" s="178" t="str">
        <f>=IF(OR(S5="",S6=""),"",DATEDIF(S5,S6,"m")+1)</f>
      </c>
      <c r="T7" s="178"/>
      <c r="V7" s="105" t="s">
        <v>291</v>
      </c>
      <c r="W7" s="178" t="str">
        <f>=IF(OR(W5="",W6=""),"",DATEDIF(W5,W6,"m")+1)</f>
      </c>
      <c r="X7" s="178"/>
      <c r="Z7" s="105" t="s">
        <v>291</v>
      </c>
      <c r="AA7" s="178" t="str">
        <f>=IF(OR(AA5="",AA6=""),"",DATEDIF(AA5,AA6,"m")+1)</f>
      </c>
      <c r="AB7" s="178"/>
      <c r="AD7" s="105" t="s">
        <v>291</v>
      </c>
      <c r="AE7" s="178" t="str">
        <f>=IF(OR(AE5="",AE6=""),"",DATEDIF(AE5,AE6,"m")+1)</f>
      </c>
      <c r="AF7" s="178"/>
      <c r="AH7" s="105" t="s">
        <v>291</v>
      </c>
      <c r="AI7" s="178" t="str">
        <f>=IF(OR(AI5="",AI6=""),"",DATEDIF(AI5,AI6,"m")+1)</f>
      </c>
      <c r="AJ7" s="178"/>
      <c r="AL7" s="105" t="s">
        <v>291</v>
      </c>
      <c r="AM7" s="178" t="str">
        <f>=IF(OR(AM5="",AM6=""),"",DATEDIF(AM5,AM6,"m")+1)</f>
      </c>
      <c r="AN7" s="178"/>
      <c r="AP7" s="105" t="s">
        <v>291</v>
      </c>
      <c r="AQ7" s="178" t="str">
        <f>=IF(OR(AQ5="",AQ6=""),"",DATEDIF(AQ5,AQ6,"m")+1)</f>
      </c>
      <c r="AR7" s="178"/>
      <c r="AT7" s="105" t="s">
        <v>291</v>
      </c>
      <c r="AU7" s="178" t="str">
        <f>=IF(OR(AU5="",AU6=""),"",DATEDIF(AU5,AU6,"m")+1)</f>
      </c>
      <c r="AV7" s="178"/>
      <c r="AX7" s="105" t="s">
        <v>291</v>
      </c>
      <c r="AY7" s="178" t="str">
        <f>=IF(OR(AY5="",AY6=""),"",DATEDIF(AY5,AY6,"m")+1)</f>
      </c>
      <c r="AZ7" s="178"/>
      <c r="BB7" s="105" t="s">
        <v>291</v>
      </c>
      <c r="BC7" s="178" t="str">
        <f>=IF(OR(BC5="",BC6=""),"",DATEDIF(BC5,BC6,"m")+1)</f>
      </c>
      <c r="BD7" s="178"/>
      <c r="BF7" s="105" t="s">
        <v>291</v>
      </c>
      <c r="BG7" s="178" t="str">
        <f>=IF(OR(BG5="",BG6=""),"",DATEDIF(BG5,BG6,"m")+1)</f>
      </c>
      <c r="BH7" s="178"/>
      <c r="BJ7" s="105" t="s">
        <v>291</v>
      </c>
      <c r="BK7" s="178" t="str">
        <f>=IF(OR(BK5="",BK6=""),"",DATEDIF(BK5,BK6,"m")+1)</f>
      </c>
      <c r="BL7" s="178"/>
      <c r="BN7" s="105" t="s">
        <v>291</v>
      </c>
      <c r="BO7" s="178" t="str">
        <f>=IF(OR(BO5="",BO6=""),"",DATEDIF(BO5,BO6,"m")+1)</f>
      </c>
      <c r="BP7" s="178"/>
      <c r="BR7" s="105" t="s">
        <v>291</v>
      </c>
      <c r="BS7" s="178" t="str">
        <f>=IF(OR(BS5="",BS6=""),"",DATEDIF(BS5,BS6,"m")+1)</f>
      </c>
      <c r="BT7" s="178"/>
    </row>
    <row r="8">
      <c r="B8" s="105" t="s">
        <v>328</v>
      </c>
      <c r="C8" s="179">
        <v>125</v>
      </c>
      <c r="D8" s="179"/>
      <c r="F8" s="105" t="s">
        <v>328</v>
      </c>
      <c r="G8" s="179">
        <v>125</v>
      </c>
      <c r="H8" s="179"/>
      <c r="J8" s="105" t="s">
        <v>328</v>
      </c>
      <c r="K8" s="179"/>
      <c r="L8" s="179"/>
      <c r="N8" s="105" t="s">
        <v>328</v>
      </c>
      <c r="O8" s="179"/>
      <c r="P8" s="179"/>
      <c r="R8" s="105" t="s">
        <v>328</v>
      </c>
      <c r="S8" s="179"/>
      <c r="T8" s="179"/>
      <c r="V8" s="105" t="s">
        <v>328</v>
      </c>
      <c r="W8" s="179"/>
      <c r="X8" s="179"/>
      <c r="Z8" s="105" t="s">
        <v>328</v>
      </c>
      <c r="AA8" s="179"/>
      <c r="AB8" s="179"/>
      <c r="AD8" s="105" t="s">
        <v>328</v>
      </c>
      <c r="AE8" s="179"/>
      <c r="AF8" s="179"/>
      <c r="AH8" s="105" t="s">
        <v>328</v>
      </c>
      <c r="AI8" s="179"/>
      <c r="AJ8" s="179"/>
      <c r="AL8" s="105" t="s">
        <v>328</v>
      </c>
      <c r="AM8" s="179"/>
      <c r="AN8" s="179"/>
      <c r="AP8" s="105" t="s">
        <v>328</v>
      </c>
      <c r="AQ8" s="179"/>
      <c r="AR8" s="179"/>
      <c r="AT8" s="105" t="s">
        <v>328</v>
      </c>
      <c r="AU8" s="179"/>
      <c r="AV8" s="179"/>
      <c r="AX8" s="105" t="s">
        <v>328</v>
      </c>
      <c r="AY8" s="179"/>
      <c r="AZ8" s="179"/>
      <c r="BB8" s="105" t="s">
        <v>328</v>
      </c>
      <c r="BC8" s="179"/>
      <c r="BD8" s="179"/>
      <c r="BF8" s="105" t="s">
        <v>328</v>
      </c>
      <c r="BG8" s="179"/>
      <c r="BH8" s="179"/>
      <c r="BJ8" s="105" t="s">
        <v>328</v>
      </c>
      <c r="BK8" s="179"/>
      <c r="BL8" s="179"/>
      <c r="BN8" s="105" t="s">
        <v>328</v>
      </c>
      <c r="BO8" s="179"/>
      <c r="BP8" s="179"/>
      <c r="BR8" s="105" t="s">
        <v>328</v>
      </c>
      <c r="BS8" s="179"/>
      <c r="BT8" s="179"/>
    </row>
    <row r="9">
      <c r="B9" s="180" t="s">
        <v>202</v>
      </c>
      <c r="C9" s="180" t="s">
        <v>329</v>
      </c>
      <c r="D9" s="180" t="s">
        <v>330</v>
      </c>
      <c r="F9" s="180" t="s">
        <v>202</v>
      </c>
      <c r="G9" s="180" t="s">
        <v>329</v>
      </c>
      <c r="H9" s="180" t="s">
        <v>330</v>
      </c>
      <c r="J9" s="180" t="s">
        <v>202</v>
      </c>
      <c r="K9" s="180" t="s">
        <v>329</v>
      </c>
      <c r="L9" s="180" t="s">
        <v>330</v>
      </c>
      <c r="N9" s="180" t="s">
        <v>202</v>
      </c>
      <c r="O9" s="180" t="s">
        <v>329</v>
      </c>
      <c r="P9" s="180" t="s">
        <v>330</v>
      </c>
      <c r="R9" s="180" t="s">
        <v>202</v>
      </c>
      <c r="S9" s="180" t="s">
        <v>329</v>
      </c>
      <c r="T9" s="180" t="s">
        <v>330</v>
      </c>
      <c r="V9" s="180" t="s">
        <v>202</v>
      </c>
      <c r="W9" s="180" t="s">
        <v>329</v>
      </c>
      <c r="X9" s="180" t="s">
        <v>330</v>
      </c>
      <c r="Z9" s="180" t="s">
        <v>202</v>
      </c>
      <c r="AA9" s="180" t="s">
        <v>329</v>
      </c>
      <c r="AB9" s="180" t="s">
        <v>330</v>
      </c>
      <c r="AD9" s="180" t="s">
        <v>202</v>
      </c>
      <c r="AE9" s="180" t="s">
        <v>329</v>
      </c>
      <c r="AF9" s="180" t="s">
        <v>330</v>
      </c>
      <c r="AH9" s="180" t="s">
        <v>202</v>
      </c>
      <c r="AI9" s="180" t="s">
        <v>329</v>
      </c>
      <c r="AJ9" s="180" t="s">
        <v>330</v>
      </c>
      <c r="AL9" s="180" t="s">
        <v>202</v>
      </c>
      <c r="AM9" s="180" t="s">
        <v>329</v>
      </c>
      <c r="AN9" s="180" t="s">
        <v>330</v>
      </c>
      <c r="AP9" s="180" t="s">
        <v>202</v>
      </c>
      <c r="AQ9" s="180" t="s">
        <v>329</v>
      </c>
      <c r="AR9" s="180" t="s">
        <v>330</v>
      </c>
      <c r="AT9" s="180" t="s">
        <v>202</v>
      </c>
      <c r="AU9" s="180" t="s">
        <v>329</v>
      </c>
      <c r="AV9" s="180" t="s">
        <v>330</v>
      </c>
      <c r="AX9" s="180" t="s">
        <v>202</v>
      </c>
      <c r="AY9" s="180" t="s">
        <v>329</v>
      </c>
      <c r="AZ9" s="180" t="s">
        <v>330</v>
      </c>
      <c r="BB9" s="180" t="s">
        <v>202</v>
      </c>
      <c r="BC9" s="180" t="s">
        <v>329</v>
      </c>
      <c r="BD9" s="180" t="s">
        <v>330</v>
      </c>
      <c r="BF9" s="180" t="s">
        <v>202</v>
      </c>
      <c r="BG9" s="180" t="s">
        <v>329</v>
      </c>
      <c r="BH9" s="180" t="s">
        <v>330</v>
      </c>
      <c r="BJ9" s="180" t="s">
        <v>202</v>
      </c>
      <c r="BK9" s="180" t="s">
        <v>329</v>
      </c>
      <c r="BL9" s="180" t="s">
        <v>330</v>
      </c>
      <c r="BN9" s="180" t="s">
        <v>202</v>
      </c>
      <c r="BO9" s="180" t="s">
        <v>329</v>
      </c>
      <c r="BP9" s="180" t="s">
        <v>330</v>
      </c>
      <c r="BR9" s="180" t="s">
        <v>202</v>
      </c>
      <c r="BS9" s="180" t="s">
        <v>329</v>
      </c>
      <c r="BT9" s="180" t="s">
        <v>330</v>
      </c>
    </row>
    <row r="10">
      <c r="B10" s="181" t="s">
        <v>205</v>
      </c>
      <c r="C10" s="24">
        <v>700000</v>
      </c>
      <c r="D10" s="182" t="str">
        <f>=IFERROR(ROUND(C10/MA_Kurs_1,2),0)</f>
      </c>
      <c r="F10" s="181" t="s">
        <v>205</v>
      </c>
      <c r="G10" s="24">
        <v>400000</v>
      </c>
      <c r="H10" s="182" t="str">
        <f>=IFERROR(ROUND(G10/MA_Kurs_2,2),0)</f>
      </c>
      <c r="J10" s="181" t="s">
        <v>205</v>
      </c>
      <c r="K10" s="24"/>
      <c r="L10" s="182" t="str">
        <f>=IFERROR(ROUND(K10/MA_Kurs_3,2),0)</f>
      </c>
      <c r="N10" s="181" t="s">
        <v>205</v>
      </c>
      <c r="O10" s="24"/>
      <c r="P10" s="182" t="str">
        <f>=IFERROR(ROUND(O10/MA_Kurs_4,2),0)</f>
      </c>
      <c r="R10" s="181" t="s">
        <v>205</v>
      </c>
      <c r="S10" s="24"/>
      <c r="T10" s="182" t="str">
        <f>=IFERROR(ROUND(S10/MA_Kurs_5,2),0)</f>
      </c>
      <c r="V10" s="181" t="s">
        <v>205</v>
      </c>
      <c r="W10" s="24"/>
      <c r="X10" s="182" t="str">
        <f>=IFERROR(ROUND(W10/MA_Kurs_6,2),0)</f>
      </c>
      <c r="Z10" s="181" t="s">
        <v>205</v>
      </c>
      <c r="AA10" s="24"/>
      <c r="AB10" s="182" t="str">
        <f>=IFERROR(ROUND(AA10/MA_Kurs_7,2),0)</f>
      </c>
      <c r="AD10" s="181" t="s">
        <v>205</v>
      </c>
      <c r="AE10" s="24"/>
      <c r="AF10" s="182" t="str">
        <f>=IFERROR(ROUND(AE10/MA_Kurs_8,2),0)</f>
      </c>
      <c r="AH10" s="181" t="s">
        <v>205</v>
      </c>
      <c r="AI10" s="24"/>
      <c r="AJ10" s="182" t="str">
        <f>=IFERROR(ROUND(AI10/MA_Kurs_9,2),0)</f>
      </c>
      <c r="AL10" s="181" t="s">
        <v>205</v>
      </c>
      <c r="AM10" s="24"/>
      <c r="AN10" s="182" t="str">
        <f>=IFERROR(ROUND(AM10/MA_Kurs_10,2),0)</f>
      </c>
      <c r="AP10" s="181" t="s">
        <v>205</v>
      </c>
      <c r="AQ10" s="24"/>
      <c r="AR10" s="182" t="str">
        <f>=IFERROR(ROUND(AQ10/MA_Kurs_11,2),0)</f>
      </c>
      <c r="AT10" s="181" t="s">
        <v>205</v>
      </c>
      <c r="AU10" s="24"/>
      <c r="AV10" s="182" t="str">
        <f>=IFERROR(ROUND(AU10/MA_Kurs_12,2),0)</f>
      </c>
      <c r="AX10" s="181" t="s">
        <v>205</v>
      </c>
      <c r="AY10" s="24"/>
      <c r="AZ10" s="182" t="str">
        <f>=IFERROR(ROUND(AY10/MA_Kurs_13,2),0)</f>
      </c>
      <c r="BB10" s="181" t="s">
        <v>205</v>
      </c>
      <c r="BC10" s="24"/>
      <c r="BD10" s="182" t="str">
        <f>=IFERROR(ROUND(BC10/MA_Kurs_14,2),0)</f>
      </c>
      <c r="BF10" s="181" t="s">
        <v>205</v>
      </c>
      <c r="BG10" s="24"/>
      <c r="BH10" s="182" t="str">
        <f>=IFERROR(ROUND(BG10/MA_Kurs_15,2),0)</f>
      </c>
      <c r="BJ10" s="181" t="s">
        <v>205</v>
      </c>
      <c r="BK10" s="24"/>
      <c r="BL10" s="182" t="str">
        <f>=IFERROR(ROUND(BK10/MA_Kurs_16,2),0)</f>
      </c>
      <c r="BN10" s="181" t="s">
        <v>205</v>
      </c>
      <c r="BO10" s="24"/>
      <c r="BP10" s="182" t="str">
        <f>=IFERROR(ROUND(BO10/MA_Kurs_17,2),0)</f>
      </c>
      <c r="BR10" s="181" t="s">
        <v>205</v>
      </c>
      <c r="BS10" s="24"/>
      <c r="BT10" s="182" t="str">
        <f>=IFERROR(ROUND(BS10/MA_Kurs_18,2),0)</f>
      </c>
    </row>
    <row r="11">
      <c r="B11" s="181" t="s">
        <v>210</v>
      </c>
      <c r="C11" s="24">
        <v>300000</v>
      </c>
      <c r="D11" s="182" t="str">
        <f>=IFERROR(ROUND(C11/MA_Kurs_1,2),0)</f>
      </c>
      <c r="F11" s="181" t="s">
        <v>210</v>
      </c>
      <c r="G11" s="24"/>
      <c r="H11" s="182" t="str">
        <f>=IFERROR(ROUND(G11/MA_Kurs_2,2),0)</f>
      </c>
      <c r="J11" s="181" t="s">
        <v>210</v>
      </c>
      <c r="K11" s="24"/>
      <c r="L11" s="182" t="str">
        <f>=IFERROR(ROUND(K11/MA_Kurs_3,2),0)</f>
      </c>
      <c r="N11" s="181" t="s">
        <v>210</v>
      </c>
      <c r="O11" s="24"/>
      <c r="P11" s="182" t="str">
        <f>=IFERROR(ROUND(O11/MA_Kurs_4,2),0)</f>
      </c>
      <c r="R11" s="181" t="s">
        <v>210</v>
      </c>
      <c r="S11" s="24"/>
      <c r="T11" s="182" t="str">
        <f>=IFERROR(ROUND(S11/MA_Kurs_5,2),0)</f>
      </c>
      <c r="V11" s="181" t="s">
        <v>210</v>
      </c>
      <c r="W11" s="24"/>
      <c r="X11" s="182" t="str">
        <f>=IFERROR(ROUND(W11/MA_Kurs_6,2),0)</f>
      </c>
      <c r="Z11" s="181" t="s">
        <v>210</v>
      </c>
      <c r="AA11" s="24"/>
      <c r="AB11" s="182" t="str">
        <f>=IFERROR(ROUND(AA11/MA_Kurs_7,2),0)</f>
      </c>
      <c r="AD11" s="181" t="s">
        <v>210</v>
      </c>
      <c r="AE11" s="24"/>
      <c r="AF11" s="182" t="str">
        <f>=IFERROR(ROUND(AE11/MA_Kurs_8,2),0)</f>
      </c>
      <c r="AH11" s="181" t="s">
        <v>210</v>
      </c>
      <c r="AI11" s="24"/>
      <c r="AJ11" s="182" t="str">
        <f>=IFERROR(ROUND(AI11/MA_Kurs_9,2),0)</f>
      </c>
      <c r="AL11" s="181" t="s">
        <v>210</v>
      </c>
      <c r="AM11" s="24"/>
      <c r="AN11" s="182" t="str">
        <f>=IFERROR(ROUND(AM11/MA_Kurs_10,2),0)</f>
      </c>
      <c r="AP11" s="181" t="s">
        <v>210</v>
      </c>
      <c r="AQ11" s="24"/>
      <c r="AR11" s="182" t="str">
        <f>=IFERROR(ROUND(AQ11/MA_Kurs_11,2),0)</f>
      </c>
      <c r="AT11" s="181" t="s">
        <v>210</v>
      </c>
      <c r="AU11" s="24"/>
      <c r="AV11" s="182" t="str">
        <f>=IFERROR(ROUND(AU11/MA_Kurs_12,2),0)</f>
      </c>
      <c r="AX11" s="181" t="s">
        <v>210</v>
      </c>
      <c r="AY11" s="24"/>
      <c r="AZ11" s="182" t="str">
        <f>=IFERROR(ROUND(AY11/MA_Kurs_13,2),0)</f>
      </c>
      <c r="BB11" s="181" t="s">
        <v>210</v>
      </c>
      <c r="BC11" s="24"/>
      <c r="BD11" s="182" t="str">
        <f>=IFERROR(ROUND(BC11/MA_Kurs_14,2),0)</f>
      </c>
      <c r="BF11" s="181" t="s">
        <v>210</v>
      </c>
      <c r="BG11" s="24"/>
      <c r="BH11" s="182" t="str">
        <f>=IFERROR(ROUND(BG11/MA_Kurs_15,2),0)</f>
      </c>
      <c r="BJ11" s="181" t="s">
        <v>210</v>
      </c>
      <c r="BK11" s="24"/>
      <c r="BL11" s="182" t="str">
        <f>=IFERROR(ROUND(BK11/MA_Kurs_16,2),0)</f>
      </c>
      <c r="BN11" s="181" t="s">
        <v>210</v>
      </c>
      <c r="BO11" s="24"/>
      <c r="BP11" s="182" t="str">
        <f>=IFERROR(ROUND(BO11/MA_Kurs_17,2),0)</f>
      </c>
      <c r="BR11" s="181" t="s">
        <v>210</v>
      </c>
      <c r="BS11" s="24"/>
      <c r="BT11" s="182" t="str">
        <f>=IFERROR(ROUND(BS11/MA_Kurs_18,2),0)</f>
      </c>
    </row>
    <row r="12">
      <c r="B12" s="181" t="s">
        <v>213</v>
      </c>
      <c r="C12" s="24">
        <v>350000</v>
      </c>
      <c r="D12" s="182" t="str">
        <f>=IFERROR(ROUND(C12/MA_Kurs_1,2),0)</f>
      </c>
      <c r="F12" s="181" t="s">
        <v>213</v>
      </c>
      <c r="G12" s="24">
        <v>350000</v>
      </c>
      <c r="H12" s="182" t="str">
        <f>=IFERROR(ROUND(G12/MA_Kurs_2,2),0)</f>
      </c>
      <c r="J12" s="181" t="s">
        <v>213</v>
      </c>
      <c r="K12" s="24"/>
      <c r="L12" s="182" t="str">
        <f>=IFERROR(ROUND(K12/MA_Kurs_3,2),0)</f>
      </c>
      <c r="N12" s="181" t="s">
        <v>213</v>
      </c>
      <c r="O12" s="24"/>
      <c r="P12" s="182" t="str">
        <f>=IFERROR(ROUND(O12/MA_Kurs_4,2),0)</f>
      </c>
      <c r="R12" s="181" t="s">
        <v>213</v>
      </c>
      <c r="S12" s="24"/>
      <c r="T12" s="182" t="str">
        <f>=IFERROR(ROUND(S12/MA_Kurs_5,2),0)</f>
      </c>
      <c r="V12" s="181" t="s">
        <v>213</v>
      </c>
      <c r="W12" s="24"/>
      <c r="X12" s="182" t="str">
        <f>=IFERROR(ROUND(W12/MA_Kurs_6,2),0)</f>
      </c>
      <c r="Z12" s="181" t="s">
        <v>213</v>
      </c>
      <c r="AA12" s="24"/>
      <c r="AB12" s="182" t="str">
        <f>=IFERROR(ROUND(AA12/MA_Kurs_7,2),0)</f>
      </c>
      <c r="AD12" s="181" t="s">
        <v>213</v>
      </c>
      <c r="AE12" s="24"/>
      <c r="AF12" s="182" t="str">
        <f>=IFERROR(ROUND(AE12/MA_Kurs_8,2),0)</f>
      </c>
      <c r="AH12" s="181" t="s">
        <v>213</v>
      </c>
      <c r="AI12" s="24"/>
      <c r="AJ12" s="182" t="str">
        <f>=IFERROR(ROUND(AI12/MA_Kurs_9,2),0)</f>
      </c>
      <c r="AL12" s="181" t="s">
        <v>213</v>
      </c>
      <c r="AM12" s="24"/>
      <c r="AN12" s="182" t="str">
        <f>=IFERROR(ROUND(AM12/MA_Kurs_10,2),0)</f>
      </c>
      <c r="AP12" s="181" t="s">
        <v>213</v>
      </c>
      <c r="AQ12" s="24"/>
      <c r="AR12" s="182" t="str">
        <f>=IFERROR(ROUND(AQ12/MA_Kurs_11,2),0)</f>
      </c>
      <c r="AT12" s="181" t="s">
        <v>213</v>
      </c>
      <c r="AU12" s="24"/>
      <c r="AV12" s="182" t="str">
        <f>=IFERROR(ROUND(AU12/MA_Kurs_12,2),0)</f>
      </c>
      <c r="AX12" s="181" t="s">
        <v>213</v>
      </c>
      <c r="AY12" s="24"/>
      <c r="AZ12" s="182" t="str">
        <f>=IFERROR(ROUND(AY12/MA_Kurs_13,2),0)</f>
      </c>
      <c r="BB12" s="181" t="s">
        <v>213</v>
      </c>
      <c r="BC12" s="24"/>
      <c r="BD12" s="182" t="str">
        <f>=IFERROR(ROUND(BC12/MA_Kurs_14,2),0)</f>
      </c>
      <c r="BF12" s="181" t="s">
        <v>213</v>
      </c>
      <c r="BG12" s="24"/>
      <c r="BH12" s="182" t="str">
        <f>=IFERROR(ROUND(BG12/MA_Kurs_15,2),0)</f>
      </c>
      <c r="BJ12" s="181" t="s">
        <v>213</v>
      </c>
      <c r="BK12" s="24"/>
      <c r="BL12" s="182" t="str">
        <f>=IFERROR(ROUND(BK12/MA_Kurs_16,2),0)</f>
      </c>
      <c r="BN12" s="181" t="s">
        <v>213</v>
      </c>
      <c r="BO12" s="24"/>
      <c r="BP12" s="182" t="str">
        <f>=IFERROR(ROUND(BO12/MA_Kurs_17,2),0)</f>
      </c>
      <c r="BR12" s="181" t="s">
        <v>213</v>
      </c>
      <c r="BS12" s="24"/>
      <c r="BT12" s="182" t="str">
        <f>=IFERROR(ROUND(BS12/MA_Kurs_18,2),0)</f>
      </c>
    </row>
    <row r="13">
      <c r="B13" s="181" t="s">
        <v>218</v>
      </c>
      <c r="C13" s="24">
        <v>130000</v>
      </c>
      <c r="D13" s="182" t="str">
        <f>=IFERROR(ROUND(C13/MA_Kurs_1,2),0)</f>
      </c>
      <c r="F13" s="181" t="s">
        <v>218</v>
      </c>
      <c r="G13" s="24">
        <v>100000</v>
      </c>
      <c r="H13" s="182" t="str">
        <f>=IFERROR(ROUND(G13/MA_Kurs_2,2),0)</f>
      </c>
      <c r="J13" s="181" t="s">
        <v>218</v>
      </c>
      <c r="K13" s="24"/>
      <c r="L13" s="182" t="str">
        <f>=IFERROR(ROUND(K13/MA_Kurs_3,2),0)</f>
      </c>
      <c r="N13" s="181" t="s">
        <v>218</v>
      </c>
      <c r="O13" s="24"/>
      <c r="P13" s="182" t="str">
        <f>=IFERROR(ROUND(O13/MA_Kurs_4,2),0)</f>
      </c>
      <c r="R13" s="181" t="s">
        <v>218</v>
      </c>
      <c r="S13" s="24"/>
      <c r="T13" s="182" t="str">
        <f>=IFERROR(ROUND(S13/MA_Kurs_5,2),0)</f>
      </c>
      <c r="V13" s="181" t="s">
        <v>218</v>
      </c>
      <c r="W13" s="24"/>
      <c r="X13" s="182" t="str">
        <f>=IFERROR(ROUND(W13/MA_Kurs_6,2),0)</f>
      </c>
      <c r="Z13" s="181" t="s">
        <v>218</v>
      </c>
      <c r="AA13" s="24"/>
      <c r="AB13" s="182" t="str">
        <f>=IFERROR(ROUND(AA13/MA_Kurs_7,2),0)</f>
      </c>
      <c r="AD13" s="181" t="s">
        <v>218</v>
      </c>
      <c r="AE13" s="24"/>
      <c r="AF13" s="182" t="str">
        <f>=IFERROR(ROUND(AE13/MA_Kurs_8,2),0)</f>
      </c>
      <c r="AH13" s="181" t="s">
        <v>218</v>
      </c>
      <c r="AI13" s="24"/>
      <c r="AJ13" s="182" t="str">
        <f>=IFERROR(ROUND(AI13/MA_Kurs_9,2),0)</f>
      </c>
      <c r="AL13" s="181" t="s">
        <v>218</v>
      </c>
      <c r="AM13" s="24"/>
      <c r="AN13" s="182" t="str">
        <f>=IFERROR(ROUND(AM13/MA_Kurs_10,2),0)</f>
      </c>
      <c r="AP13" s="181" t="s">
        <v>218</v>
      </c>
      <c r="AQ13" s="24"/>
      <c r="AR13" s="182" t="str">
        <f>=IFERROR(ROUND(AQ13/MA_Kurs_11,2),0)</f>
      </c>
      <c r="AT13" s="181" t="s">
        <v>218</v>
      </c>
      <c r="AU13" s="24"/>
      <c r="AV13" s="182" t="str">
        <f>=IFERROR(ROUND(AU13/MA_Kurs_12,2),0)</f>
      </c>
      <c r="AX13" s="181" t="s">
        <v>218</v>
      </c>
      <c r="AY13" s="24"/>
      <c r="AZ13" s="182" t="str">
        <f>=IFERROR(ROUND(AY13/MA_Kurs_13,2),0)</f>
      </c>
      <c r="BB13" s="181" t="s">
        <v>218</v>
      </c>
      <c r="BC13" s="24"/>
      <c r="BD13" s="182" t="str">
        <f>=IFERROR(ROUND(BC13/MA_Kurs_14,2),0)</f>
      </c>
      <c r="BF13" s="181" t="s">
        <v>218</v>
      </c>
      <c r="BG13" s="24"/>
      <c r="BH13" s="182" t="str">
        <f>=IFERROR(ROUND(BG13/MA_Kurs_15,2),0)</f>
      </c>
      <c r="BJ13" s="181" t="s">
        <v>218</v>
      </c>
      <c r="BK13" s="24"/>
      <c r="BL13" s="182" t="str">
        <f>=IFERROR(ROUND(BK13/MA_Kurs_16,2),0)</f>
      </c>
      <c r="BN13" s="181" t="s">
        <v>218</v>
      </c>
      <c r="BO13" s="24"/>
      <c r="BP13" s="182" t="str">
        <f>=IFERROR(ROUND(BO13/MA_Kurs_17,2),0)</f>
      </c>
      <c r="BR13" s="181" t="s">
        <v>218</v>
      </c>
      <c r="BS13" s="24"/>
      <c r="BT13" s="182" t="str">
        <f>=IFERROR(ROUND(BS13/MA_Kurs_18,2),0)</f>
      </c>
    </row>
    <row r="14">
      <c r="B14" s="181" t="s">
        <v>221</v>
      </c>
      <c r="C14" s="24">
        <v>80000</v>
      </c>
      <c r="D14" s="182" t="str">
        <f>=IFERROR(ROUND(C14/MA_Kurs_1,2),0)</f>
      </c>
      <c r="F14" s="181" t="s">
        <v>221</v>
      </c>
      <c r="G14" s="24">
        <v>70000</v>
      </c>
      <c r="H14" s="182" t="str">
        <f>=IFERROR(ROUND(G14/MA_Kurs_2,2),0)</f>
      </c>
      <c r="J14" s="181" t="s">
        <v>221</v>
      </c>
      <c r="K14" s="24"/>
      <c r="L14" s="182" t="str">
        <f>=IFERROR(ROUND(K14/MA_Kurs_3,2),0)</f>
      </c>
      <c r="N14" s="181" t="s">
        <v>221</v>
      </c>
      <c r="O14" s="24"/>
      <c r="P14" s="182" t="str">
        <f>=IFERROR(ROUND(O14/MA_Kurs_4,2),0)</f>
      </c>
      <c r="R14" s="181" t="s">
        <v>221</v>
      </c>
      <c r="S14" s="24"/>
      <c r="T14" s="182" t="str">
        <f>=IFERROR(ROUND(S14/MA_Kurs_5,2),0)</f>
      </c>
      <c r="V14" s="181" t="s">
        <v>221</v>
      </c>
      <c r="W14" s="24"/>
      <c r="X14" s="182" t="str">
        <f>=IFERROR(ROUND(W14/MA_Kurs_6,2),0)</f>
      </c>
      <c r="Z14" s="181" t="s">
        <v>221</v>
      </c>
      <c r="AA14" s="24"/>
      <c r="AB14" s="182" t="str">
        <f>=IFERROR(ROUND(AA14/MA_Kurs_7,2),0)</f>
      </c>
      <c r="AD14" s="181" t="s">
        <v>221</v>
      </c>
      <c r="AE14" s="24"/>
      <c r="AF14" s="182" t="str">
        <f>=IFERROR(ROUND(AE14/MA_Kurs_8,2),0)</f>
      </c>
      <c r="AH14" s="181" t="s">
        <v>221</v>
      </c>
      <c r="AI14" s="24"/>
      <c r="AJ14" s="182" t="str">
        <f>=IFERROR(ROUND(AI14/MA_Kurs_9,2),0)</f>
      </c>
      <c r="AL14" s="181" t="s">
        <v>221</v>
      </c>
      <c r="AM14" s="24"/>
      <c r="AN14" s="182" t="str">
        <f>=IFERROR(ROUND(AM14/MA_Kurs_10,2),0)</f>
      </c>
      <c r="AP14" s="181" t="s">
        <v>221</v>
      </c>
      <c r="AQ14" s="24"/>
      <c r="AR14" s="182" t="str">
        <f>=IFERROR(ROUND(AQ14/MA_Kurs_11,2),0)</f>
      </c>
      <c r="AT14" s="181" t="s">
        <v>221</v>
      </c>
      <c r="AU14" s="24"/>
      <c r="AV14" s="182" t="str">
        <f>=IFERROR(ROUND(AU14/MA_Kurs_12,2),0)</f>
      </c>
      <c r="AX14" s="181" t="s">
        <v>221</v>
      </c>
      <c r="AY14" s="24"/>
      <c r="AZ14" s="182" t="str">
        <f>=IFERROR(ROUND(AY14/MA_Kurs_13,2),0)</f>
      </c>
      <c r="BB14" s="181" t="s">
        <v>221</v>
      </c>
      <c r="BC14" s="24"/>
      <c r="BD14" s="182" t="str">
        <f>=IFERROR(ROUND(BC14/MA_Kurs_14,2),0)</f>
      </c>
      <c r="BF14" s="181" t="s">
        <v>221</v>
      </c>
      <c r="BG14" s="24"/>
      <c r="BH14" s="182" t="str">
        <f>=IFERROR(ROUND(BG14/MA_Kurs_15,2),0)</f>
      </c>
      <c r="BJ14" s="181" t="s">
        <v>221</v>
      </c>
      <c r="BK14" s="24"/>
      <c r="BL14" s="182" t="str">
        <f>=IFERROR(ROUND(BK14/MA_Kurs_16,2),0)</f>
      </c>
      <c r="BN14" s="181" t="s">
        <v>221</v>
      </c>
      <c r="BO14" s="24"/>
      <c r="BP14" s="182" t="str">
        <f>=IFERROR(ROUND(BO14/MA_Kurs_17,2),0)</f>
      </c>
      <c r="BR14" s="181" t="s">
        <v>221</v>
      </c>
      <c r="BS14" s="24"/>
      <c r="BT14" s="182" t="str">
        <f>=IFERROR(ROUND(BS14/MA_Kurs_18,2),0)</f>
      </c>
    </row>
    <row r="15">
      <c r="B15" s="181" t="s">
        <v>224</v>
      </c>
      <c r="C15" s="24"/>
      <c r="D15" s="182" t="str">
        <f>=IFERROR(ROUND(C15/MA_Kurs_1,2),0)</f>
      </c>
      <c r="F15" s="181" t="s">
        <v>224</v>
      </c>
      <c r="G15" s="24"/>
      <c r="H15" s="182" t="str">
        <f>=IFERROR(ROUND(G15/MA_Kurs_2,2),0)</f>
      </c>
      <c r="J15" s="181" t="s">
        <v>224</v>
      </c>
      <c r="K15" s="24"/>
      <c r="L15" s="182" t="str">
        <f>=IFERROR(ROUND(K15/MA_Kurs_3,2),0)</f>
      </c>
      <c r="N15" s="181" t="s">
        <v>224</v>
      </c>
      <c r="O15" s="24"/>
      <c r="P15" s="182" t="str">
        <f>=IFERROR(ROUND(O15/MA_Kurs_4,2),0)</f>
      </c>
      <c r="R15" s="181" t="s">
        <v>224</v>
      </c>
      <c r="S15" s="24"/>
      <c r="T15" s="182" t="str">
        <f>=IFERROR(ROUND(S15/MA_Kurs_5,2),0)</f>
      </c>
      <c r="V15" s="181" t="s">
        <v>224</v>
      </c>
      <c r="W15" s="24"/>
      <c r="X15" s="182" t="str">
        <f>=IFERROR(ROUND(W15/MA_Kurs_6,2),0)</f>
      </c>
      <c r="Z15" s="181" t="s">
        <v>224</v>
      </c>
      <c r="AA15" s="24"/>
      <c r="AB15" s="182" t="str">
        <f>=IFERROR(ROUND(AA15/MA_Kurs_7,2),0)</f>
      </c>
      <c r="AD15" s="181" t="s">
        <v>224</v>
      </c>
      <c r="AE15" s="24"/>
      <c r="AF15" s="182" t="str">
        <f>=IFERROR(ROUND(AE15/MA_Kurs_8,2),0)</f>
      </c>
      <c r="AH15" s="181" t="s">
        <v>224</v>
      </c>
      <c r="AI15" s="24"/>
      <c r="AJ15" s="182" t="str">
        <f>=IFERROR(ROUND(AI15/MA_Kurs_9,2),0)</f>
      </c>
      <c r="AL15" s="181" t="s">
        <v>224</v>
      </c>
      <c r="AM15" s="24"/>
      <c r="AN15" s="182" t="str">
        <f>=IFERROR(ROUND(AM15/MA_Kurs_10,2),0)</f>
      </c>
      <c r="AP15" s="181" t="s">
        <v>224</v>
      </c>
      <c r="AQ15" s="24"/>
      <c r="AR15" s="182" t="str">
        <f>=IFERROR(ROUND(AQ15/MA_Kurs_11,2),0)</f>
      </c>
      <c r="AT15" s="181" t="s">
        <v>224</v>
      </c>
      <c r="AU15" s="24"/>
      <c r="AV15" s="182" t="str">
        <f>=IFERROR(ROUND(AU15/MA_Kurs_12,2),0)</f>
      </c>
      <c r="AX15" s="181" t="s">
        <v>224</v>
      </c>
      <c r="AY15" s="24"/>
      <c r="AZ15" s="182" t="str">
        <f>=IFERROR(ROUND(AY15/MA_Kurs_13,2),0)</f>
      </c>
      <c r="BB15" s="181" t="s">
        <v>224</v>
      </c>
      <c r="BC15" s="24"/>
      <c r="BD15" s="182" t="str">
        <f>=IFERROR(ROUND(BC15/MA_Kurs_14,2),0)</f>
      </c>
      <c r="BF15" s="181" t="s">
        <v>224</v>
      </c>
      <c r="BG15" s="24"/>
      <c r="BH15" s="182" t="str">
        <f>=IFERROR(ROUND(BG15/MA_Kurs_15,2),0)</f>
      </c>
      <c r="BJ15" s="181" t="s">
        <v>224</v>
      </c>
      <c r="BK15" s="24"/>
      <c r="BL15" s="182" t="str">
        <f>=IFERROR(ROUND(BK15/MA_Kurs_16,2),0)</f>
      </c>
      <c r="BN15" s="181" t="s">
        <v>224</v>
      </c>
      <c r="BO15" s="24"/>
      <c r="BP15" s="182" t="str">
        <f>=IFERROR(ROUND(BO15/MA_Kurs_17,2),0)</f>
      </c>
      <c r="BR15" s="181" t="s">
        <v>224</v>
      </c>
      <c r="BS15" s="24"/>
      <c r="BT15" s="182" t="str">
        <f>=IFERROR(ROUND(BS15/MA_Kurs_18,2),0)</f>
      </c>
    </row>
    <row r="16">
      <c r="B16" s="181" t="s">
        <v>227</v>
      </c>
      <c r="C16" s="24">
        <v>50000</v>
      </c>
      <c r="D16" s="182" t="str">
        <f>=IFERROR(ROUND(C16/MA_Kurs_1,2),0)</f>
      </c>
      <c r="F16" s="181" t="s">
        <v>227</v>
      </c>
      <c r="G16" s="24">
        <v>30000</v>
      </c>
      <c r="H16" s="182" t="str">
        <f>=IFERROR(ROUND(G16/MA_Kurs_2,2),0)</f>
      </c>
      <c r="J16" s="181" t="s">
        <v>227</v>
      </c>
      <c r="K16" s="24"/>
      <c r="L16" s="182" t="str">
        <f>=IFERROR(ROUND(K16/MA_Kurs_3,2),0)</f>
      </c>
      <c r="N16" s="181" t="s">
        <v>227</v>
      </c>
      <c r="O16" s="24"/>
      <c r="P16" s="182" t="str">
        <f>=IFERROR(ROUND(O16/MA_Kurs_4,2),0)</f>
      </c>
      <c r="R16" s="181" t="s">
        <v>227</v>
      </c>
      <c r="S16" s="24"/>
      <c r="T16" s="182" t="str">
        <f>=IFERROR(ROUND(S16/MA_Kurs_5,2),0)</f>
      </c>
      <c r="V16" s="181" t="s">
        <v>227</v>
      </c>
      <c r="W16" s="24"/>
      <c r="X16" s="182" t="str">
        <f>=IFERROR(ROUND(W16/MA_Kurs_6,2),0)</f>
      </c>
      <c r="Z16" s="181" t="s">
        <v>227</v>
      </c>
      <c r="AA16" s="24"/>
      <c r="AB16" s="182" t="str">
        <f>=IFERROR(ROUND(AA16/MA_Kurs_7,2),0)</f>
      </c>
      <c r="AD16" s="181" t="s">
        <v>227</v>
      </c>
      <c r="AE16" s="24"/>
      <c r="AF16" s="182" t="str">
        <f>=IFERROR(ROUND(AE16/MA_Kurs_8,2),0)</f>
      </c>
      <c r="AH16" s="181" t="s">
        <v>227</v>
      </c>
      <c r="AI16" s="24"/>
      <c r="AJ16" s="182" t="str">
        <f>=IFERROR(ROUND(AI16/MA_Kurs_9,2),0)</f>
      </c>
      <c r="AL16" s="181" t="s">
        <v>227</v>
      </c>
      <c r="AM16" s="24"/>
      <c r="AN16" s="182" t="str">
        <f>=IFERROR(ROUND(AM16/MA_Kurs_10,2),0)</f>
      </c>
      <c r="AP16" s="181" t="s">
        <v>227</v>
      </c>
      <c r="AQ16" s="24"/>
      <c r="AR16" s="182" t="str">
        <f>=IFERROR(ROUND(AQ16/MA_Kurs_11,2),0)</f>
      </c>
      <c r="AT16" s="181" t="s">
        <v>227</v>
      </c>
      <c r="AU16" s="24"/>
      <c r="AV16" s="182" t="str">
        <f>=IFERROR(ROUND(AU16/MA_Kurs_12,2),0)</f>
      </c>
      <c r="AX16" s="181" t="s">
        <v>227</v>
      </c>
      <c r="AY16" s="24"/>
      <c r="AZ16" s="182" t="str">
        <f>=IFERROR(ROUND(AY16/MA_Kurs_13,2),0)</f>
      </c>
      <c r="BB16" s="181" t="s">
        <v>227</v>
      </c>
      <c r="BC16" s="24"/>
      <c r="BD16" s="182" t="str">
        <f>=IFERROR(ROUND(BC16/MA_Kurs_14,2),0)</f>
      </c>
      <c r="BF16" s="181" t="s">
        <v>227</v>
      </c>
      <c r="BG16" s="24"/>
      <c r="BH16" s="182" t="str">
        <f>=IFERROR(ROUND(BG16/MA_Kurs_15,2),0)</f>
      </c>
      <c r="BJ16" s="181" t="s">
        <v>227</v>
      </c>
      <c r="BK16" s="24"/>
      <c r="BL16" s="182" t="str">
        <f>=IFERROR(ROUND(BK16/MA_Kurs_16,2),0)</f>
      </c>
      <c r="BN16" s="181" t="s">
        <v>227</v>
      </c>
      <c r="BO16" s="24"/>
      <c r="BP16" s="182" t="str">
        <f>=IFERROR(ROUND(BO16/MA_Kurs_17,2),0)</f>
      </c>
      <c r="BR16" s="181" t="s">
        <v>227</v>
      </c>
      <c r="BS16" s="24"/>
      <c r="BT16" s="182" t="str">
        <f>=IFERROR(ROUND(BS16/MA_Kurs_18,2),0)</f>
      </c>
    </row>
    <row r="17">
      <c r="B17" s="181" t="s">
        <v>230</v>
      </c>
      <c r="C17" s="24"/>
      <c r="D17" s="182" t="str">
        <f>=IFERROR(ROUND(C17/MA_Kurs_1,2),0)</f>
      </c>
      <c r="F17" s="181" t="s">
        <v>230</v>
      </c>
      <c r="G17" s="24"/>
      <c r="H17" s="182" t="str">
        <f>=IFERROR(ROUND(G17/MA_Kurs_2,2),0)</f>
      </c>
      <c r="J17" s="181" t="s">
        <v>230</v>
      </c>
      <c r="K17" s="24"/>
      <c r="L17" s="182" t="str">
        <f>=IFERROR(ROUND(K17/MA_Kurs_3,2),0)</f>
      </c>
      <c r="N17" s="181" t="s">
        <v>230</v>
      </c>
      <c r="O17" s="24"/>
      <c r="P17" s="182" t="str">
        <f>=IFERROR(ROUND(O17/MA_Kurs_4,2),0)</f>
      </c>
      <c r="R17" s="181" t="s">
        <v>230</v>
      </c>
      <c r="S17" s="24"/>
      <c r="T17" s="182" t="str">
        <f>=IFERROR(ROUND(S17/MA_Kurs_5,2),0)</f>
      </c>
      <c r="V17" s="181" t="s">
        <v>230</v>
      </c>
      <c r="W17" s="24"/>
      <c r="X17" s="182" t="str">
        <f>=IFERROR(ROUND(W17/MA_Kurs_6,2),0)</f>
      </c>
      <c r="Z17" s="181" t="s">
        <v>230</v>
      </c>
      <c r="AA17" s="24"/>
      <c r="AB17" s="182" t="str">
        <f>=IFERROR(ROUND(AA17/MA_Kurs_7,2),0)</f>
      </c>
      <c r="AD17" s="181" t="s">
        <v>230</v>
      </c>
      <c r="AE17" s="24"/>
      <c r="AF17" s="182" t="str">
        <f>=IFERROR(ROUND(AE17/MA_Kurs_8,2),0)</f>
      </c>
      <c r="AH17" s="181" t="s">
        <v>230</v>
      </c>
      <c r="AI17" s="24"/>
      <c r="AJ17" s="182" t="str">
        <f>=IFERROR(ROUND(AI17/MA_Kurs_9,2),0)</f>
      </c>
      <c r="AL17" s="181" t="s">
        <v>230</v>
      </c>
      <c r="AM17" s="24"/>
      <c r="AN17" s="182" t="str">
        <f>=IFERROR(ROUND(AM17/MA_Kurs_10,2),0)</f>
      </c>
      <c r="AP17" s="181" t="s">
        <v>230</v>
      </c>
      <c r="AQ17" s="24"/>
      <c r="AR17" s="182" t="str">
        <f>=IFERROR(ROUND(AQ17/MA_Kurs_11,2),0)</f>
      </c>
      <c r="AT17" s="181" t="s">
        <v>230</v>
      </c>
      <c r="AU17" s="24"/>
      <c r="AV17" s="182" t="str">
        <f>=IFERROR(ROUND(AU17/MA_Kurs_12,2),0)</f>
      </c>
      <c r="AX17" s="181" t="s">
        <v>230</v>
      </c>
      <c r="AY17" s="24"/>
      <c r="AZ17" s="182" t="str">
        <f>=IFERROR(ROUND(AY17/MA_Kurs_13,2),0)</f>
      </c>
      <c r="BB17" s="181" t="s">
        <v>230</v>
      </c>
      <c r="BC17" s="24"/>
      <c r="BD17" s="182" t="str">
        <f>=IFERROR(ROUND(BC17/MA_Kurs_14,2),0)</f>
      </c>
      <c r="BF17" s="181" t="s">
        <v>230</v>
      </c>
      <c r="BG17" s="24"/>
      <c r="BH17" s="182" t="str">
        <f>=IFERROR(ROUND(BG17/MA_Kurs_15,2),0)</f>
      </c>
      <c r="BJ17" s="181" t="s">
        <v>230</v>
      </c>
      <c r="BK17" s="24"/>
      <c r="BL17" s="182" t="str">
        <f>=IFERROR(ROUND(BK17/MA_Kurs_16,2),0)</f>
      </c>
      <c r="BN17" s="181" t="s">
        <v>230</v>
      </c>
      <c r="BO17" s="24"/>
      <c r="BP17" s="182" t="str">
        <f>=IFERROR(ROUND(BO17/MA_Kurs_17,2),0)</f>
      </c>
      <c r="BR17" s="181" t="s">
        <v>230</v>
      </c>
      <c r="BS17" s="24"/>
      <c r="BT17" s="182" t="str">
        <f>=IFERROR(ROUND(BS17/MA_Kurs_18,2),0)</f>
      </c>
    </row>
    <row r="18">
      <c r="B18" s="183" t="s">
        <v>331</v>
      </c>
      <c r="C18" s="184" t="str">
        <f>=ROUND(SUBTOTAL(109,MA_1[Angefordert (LC)]),2)</f>
      </c>
      <c r="D18" s="185" t="str">
        <f>=ROUND(SUBTOTAL(109,MA_1[Angefordert (EUR)]),2)</f>
      </c>
      <c r="F18" s="183" t="s">
        <v>331</v>
      </c>
      <c r="G18" s="184" t="str">
        <f>=ROUND(SUBTOTAL(109,MA_2[Angefordert (LC)]),2)</f>
      </c>
      <c r="H18" s="185" t="str">
        <f>=ROUND(SUBTOTAL(109,MA_2[Angefordert (EUR)]),2)</f>
      </c>
      <c r="J18" s="183" t="s">
        <v>331</v>
      </c>
      <c r="K18" s="184" t="str">
        <f>=ROUND(SUBTOTAL(109,MA_3[Angefordert (LC)]),2)</f>
      </c>
      <c r="L18" s="185" t="str">
        <f>=ROUND(SUBTOTAL(109,MA_3[Angefordert (EUR)]),2)</f>
      </c>
      <c r="N18" s="183" t="s">
        <v>331</v>
      </c>
      <c r="O18" s="184" t="str">
        <f>=ROUND(SUBTOTAL(109,MA_4[Angefordert (LC)]),2)</f>
      </c>
      <c r="P18" s="185" t="str">
        <f>=ROUND(SUBTOTAL(109,MA_4[Angefordert (EUR)]),2)</f>
      </c>
      <c r="R18" s="183" t="s">
        <v>331</v>
      </c>
      <c r="S18" s="184" t="str">
        <f>=ROUND(SUBTOTAL(109,MA_5[Angefordert (LC)]),2)</f>
      </c>
      <c r="T18" s="185" t="str">
        <f>=ROUND(SUBTOTAL(109,MA_5[Angefordert (EUR)]),2)</f>
      </c>
      <c r="V18" s="183" t="s">
        <v>331</v>
      </c>
      <c r="W18" s="184" t="str">
        <f>=ROUND(SUBTOTAL(109,MA_6[Angefordert (LC)]),2)</f>
      </c>
      <c r="X18" s="185" t="str">
        <f>=ROUND(SUBTOTAL(109,MA_6[Angefordert (EUR)]),2)</f>
      </c>
      <c r="Z18" s="183" t="s">
        <v>331</v>
      </c>
      <c r="AA18" s="184" t="str">
        <f>=ROUND(SUBTOTAL(109,MA_7[Angefordert (LC)]),2)</f>
      </c>
      <c r="AB18" s="185" t="str">
        <f>=ROUND(SUBTOTAL(109,MA_7[Angefordert (EUR)]),2)</f>
      </c>
      <c r="AD18" s="183" t="s">
        <v>331</v>
      </c>
      <c r="AE18" s="184" t="str">
        <f>=ROUND(SUBTOTAL(109,MA_8[Angefordert (LC)]),2)</f>
      </c>
      <c r="AF18" s="185" t="str">
        <f>=ROUND(SUBTOTAL(109,MA_8[Angefordert (EUR)]),2)</f>
      </c>
      <c r="AH18" s="183" t="s">
        <v>331</v>
      </c>
      <c r="AI18" s="184" t="str">
        <f>=ROUND(SUBTOTAL(109,MA_9[Angefordert (LC)]),2)</f>
      </c>
      <c r="AJ18" s="185" t="str">
        <f>=ROUND(SUBTOTAL(109,MA_9[Angefordert (EUR)]),2)</f>
      </c>
      <c r="AL18" s="183" t="s">
        <v>331</v>
      </c>
      <c r="AM18" s="184" t="str">
        <f>=ROUND(SUBTOTAL(109,MA_10[Angefordert (LC)]),2)</f>
      </c>
      <c r="AN18" s="185" t="str">
        <f>=ROUND(SUBTOTAL(109,MA_10[Angefordert (EUR)]),2)</f>
      </c>
      <c r="AP18" s="183" t="s">
        <v>331</v>
      </c>
      <c r="AQ18" s="184" t="str">
        <f>=ROUND(SUBTOTAL(109,MA_11[Angefordert (LC)]),2)</f>
      </c>
      <c r="AR18" s="185" t="str">
        <f>=ROUND(SUBTOTAL(109,MA_11[Angefordert (EUR)]),2)</f>
      </c>
      <c r="AT18" s="183" t="s">
        <v>331</v>
      </c>
      <c r="AU18" s="184" t="str">
        <f>=ROUND(SUBTOTAL(109,MA_12[Angefordert (LC)]),2)</f>
      </c>
      <c r="AV18" s="185" t="str">
        <f>=ROUND(SUBTOTAL(109,MA_12[Angefordert (EUR)]),2)</f>
      </c>
      <c r="AX18" s="183" t="s">
        <v>331</v>
      </c>
      <c r="AY18" s="184" t="str">
        <f>=ROUND(SUBTOTAL(109,MA_13[Angefordert (LC)]),2)</f>
      </c>
      <c r="AZ18" s="185" t="str">
        <f>=ROUND(SUBTOTAL(109,MA_13[Angefordert (EUR)]),2)</f>
      </c>
      <c r="BB18" s="183" t="s">
        <v>331</v>
      </c>
      <c r="BC18" s="184" t="str">
        <f>=ROUND(SUBTOTAL(109,MA_14[Angefordert (LC)]),2)</f>
      </c>
      <c r="BD18" s="185" t="str">
        <f>=ROUND(SUBTOTAL(109,MA_14[Angefordert (EUR)]),2)</f>
      </c>
      <c r="BF18" s="183" t="s">
        <v>331</v>
      </c>
      <c r="BG18" s="184" t="str">
        <f>=ROUND(SUBTOTAL(109,MA_15[Angefordert (LC)]),2)</f>
      </c>
      <c r="BH18" s="185" t="str">
        <f>=ROUND(SUBTOTAL(109,MA_15[Angefordert (EUR)]),2)</f>
      </c>
      <c r="BJ18" s="183" t="s">
        <v>331</v>
      </c>
      <c r="BK18" s="184" t="str">
        <f>=ROUND(SUBTOTAL(109,MA_16[Angefordert (LC)]),2)</f>
      </c>
      <c r="BL18" s="185" t="str">
        <f>=ROUND(SUBTOTAL(109,MA_16[Angefordert (EUR)]),2)</f>
      </c>
      <c r="BN18" s="183" t="s">
        <v>331</v>
      </c>
      <c r="BO18" s="184" t="str">
        <f>=ROUND(SUBTOTAL(109,MA_17[Angefordert (LC)]),2)</f>
      </c>
      <c r="BP18" s="185" t="str">
        <f>=ROUND(SUBTOTAL(109,MA_17[Angefordert (EUR)]),2)</f>
      </c>
      <c r="BR18" s="183" t="s">
        <v>331</v>
      </c>
      <c r="BS18" s="184" t="str">
        <f>=ROUND(SUBTOTAL(109,MA_18[Angefordert (LC)]),2)</f>
      </c>
      <c r="BT18" s="185" t="str">
        <f>=ROUND(SUBTOTAL(109,MA_18[Angefordert (EUR)]),2)</f>
      </c>
    </row>
    <row r="20">
      <c r="B20" t="s">
        <v>332</v>
      </c>
      <c r="C20" s="186" t="str">
        <f>=ROUND($C$18,2)</f>
      </c>
      <c r="D20" s="187" t="str">
        <f>=ROUND($D$18,2)</f>
      </c>
      <c r="F20" t="s">
        <v>332</v>
      </c>
      <c r="G20" s="186" t="str">
        <f>=ROUND($G$18,2)</f>
      </c>
      <c r="H20" s="187" t="str">
        <f>=ROUND($H$18,2)</f>
      </c>
      <c r="J20" t="s">
        <v>332</v>
      </c>
      <c r="K20" s="186" t="str">
        <f>=ROUND($K$18,2)</f>
      </c>
      <c r="L20" s="187" t="str">
        <f>=ROUND($L$18,2)</f>
      </c>
      <c r="N20" t="s">
        <v>332</v>
      </c>
      <c r="O20" s="186" t="str">
        <f>=ROUND($O$18,2)</f>
      </c>
      <c r="P20" s="187" t="str">
        <f>=ROUND($P$18,2)</f>
      </c>
      <c r="R20" t="s">
        <v>332</v>
      </c>
      <c r="S20" s="186" t="str">
        <f>=ROUND($S$18,2)</f>
      </c>
      <c r="T20" s="187" t="str">
        <f>=ROUND($T$18,2)</f>
      </c>
      <c r="V20" t="s">
        <v>332</v>
      </c>
      <c r="W20" s="186" t="str">
        <f>=ROUND($W$18,2)</f>
      </c>
      <c r="X20" s="187" t="str">
        <f>=ROUND($X$18,2)</f>
      </c>
      <c r="Z20" t="s">
        <v>332</v>
      </c>
      <c r="AA20" s="186" t="str">
        <f>=ROUND($AA$18,2)</f>
      </c>
      <c r="AB20" s="187" t="str">
        <f>=ROUND($AB$18,2)</f>
      </c>
      <c r="AD20" t="s">
        <v>332</v>
      </c>
      <c r="AE20" s="186" t="str">
        <f>=ROUND($AE$18,2)</f>
      </c>
      <c r="AF20" s="187" t="str">
        <f>=ROUND($AF$18,2)</f>
      </c>
      <c r="AH20" t="s">
        <v>332</v>
      </c>
      <c r="AI20" s="186" t="str">
        <f>=ROUND($AI$18,2)</f>
      </c>
      <c r="AJ20" s="187" t="str">
        <f>=ROUND($AJ$18,2)</f>
      </c>
      <c r="AL20" t="s">
        <v>332</v>
      </c>
      <c r="AM20" s="186" t="str">
        <f>=ROUND($AM$18,2)</f>
      </c>
      <c r="AN20" s="187" t="str">
        <f>=ROUND($AN$18,2)</f>
      </c>
      <c r="AP20" t="s">
        <v>332</v>
      </c>
      <c r="AQ20" s="186" t="str">
        <f>=ROUND($AQ$18,2)</f>
      </c>
      <c r="AR20" s="187" t="str">
        <f>=ROUND($AR$18,2)</f>
      </c>
      <c r="AT20" t="s">
        <v>332</v>
      </c>
      <c r="AU20" s="186" t="str">
        <f>=ROUND($AU$18,2)</f>
      </c>
      <c r="AV20" s="187" t="str">
        <f>=ROUND($AV$18,2)</f>
      </c>
      <c r="AX20" t="s">
        <v>332</v>
      </c>
      <c r="AY20" s="186" t="str">
        <f>=ROUND($AY$18,2)</f>
      </c>
      <c r="AZ20" s="187" t="str">
        <f>=ROUND($AZ$18,2)</f>
      </c>
      <c r="BB20" t="s">
        <v>332</v>
      </c>
      <c r="BC20" s="186" t="str">
        <f>=ROUND($BC$18,2)</f>
      </c>
      <c r="BD20" s="187" t="str">
        <f>=ROUND($BD$18,2)</f>
      </c>
      <c r="BF20" t="s">
        <v>332</v>
      </c>
      <c r="BG20" s="186" t="str">
        <f>=ROUND($BG$18,2)</f>
      </c>
      <c r="BH20" s="187" t="str">
        <f>=ROUND($BH$18,2)</f>
      </c>
      <c r="BJ20" t="s">
        <v>332</v>
      </c>
      <c r="BK20" s="186" t="str">
        <f>=ROUND($BK$18,2)</f>
      </c>
      <c r="BL20" s="187" t="str">
        <f>=ROUND($BL$18,2)</f>
      </c>
      <c r="BN20" t="s">
        <v>332</v>
      </c>
      <c r="BO20" s="186" t="str">
        <f>=ROUND($BO$18,2)</f>
      </c>
      <c r="BP20" s="187" t="str">
        <f>=ROUND($BP$18,2)</f>
      </c>
      <c r="BR20" t="s">
        <v>332</v>
      </c>
      <c r="BS20" s="186" t="str">
        <f>=ROUND($BS$18,2)</f>
      </c>
      <c r="BT20" s="187" t="str">
        <f>=ROUND($BT$18,2)</f>
      </c>
    </row>
    <row r="21">
      <c r="B21" t="s">
        <v>333</v>
      </c>
      <c r="C21" s="24">
        <v>250000</v>
      </c>
      <c r="D21" s="182" t="str">
        <f>=IFERROR(ROUND($C$21/$C$8,2),0)</f>
      </c>
      <c r="F21" t="s">
        <v>333</v>
      </c>
      <c r="G21" s="24">
        <v>200000</v>
      </c>
      <c r="H21" s="182" t="str">
        <f>=IFERROR(ROUND($G$21/$G$8,2),0)</f>
      </c>
      <c r="J21" t="s">
        <v>333</v>
      </c>
      <c r="K21" s="24"/>
      <c r="L21" s="182" t="str">
        <f>=IFERROR(ROUND($K$21/$K$8,2),0)</f>
      </c>
      <c r="N21" t="s">
        <v>333</v>
      </c>
      <c r="O21" s="24"/>
      <c r="P21" s="182" t="str">
        <f>=IFERROR(ROUND($O$21/$O$8,2),0)</f>
      </c>
      <c r="R21" t="s">
        <v>333</v>
      </c>
      <c r="S21" s="24"/>
      <c r="T21" s="182" t="str">
        <f>=IFERROR(ROUND($S$21/$S$8,2),0)</f>
      </c>
      <c r="V21" t="s">
        <v>333</v>
      </c>
      <c r="W21" s="24"/>
      <c r="X21" s="182" t="str">
        <f>=IFERROR(ROUND($W$21/$W$8,2),0)</f>
      </c>
      <c r="Z21" t="s">
        <v>333</v>
      </c>
      <c r="AA21" s="24"/>
      <c r="AB21" s="182" t="str">
        <f>=IFERROR(ROUND($AA$21/$AA$8,2),0)</f>
      </c>
      <c r="AD21" t="s">
        <v>333</v>
      </c>
      <c r="AE21" s="24"/>
      <c r="AF21" s="182" t="str">
        <f>=IFERROR(ROUND($AE$21/$AE$8,2),0)</f>
      </c>
      <c r="AH21" t="s">
        <v>333</v>
      </c>
      <c r="AI21" s="24"/>
      <c r="AJ21" s="182" t="str">
        <f>=IFERROR(ROUND($AI$21/$AI$8,2),0)</f>
      </c>
      <c r="AL21" t="s">
        <v>333</v>
      </c>
      <c r="AM21" s="24"/>
      <c r="AN21" s="182" t="str">
        <f>=IFERROR(ROUND($AM$21/$AM$8,2),0)</f>
      </c>
      <c r="AP21" t="s">
        <v>333</v>
      </c>
      <c r="AQ21" s="24"/>
      <c r="AR21" s="182" t="str">
        <f>=IFERROR(ROUND($AQ$21/$AQ$8,2),0)</f>
      </c>
      <c r="AT21" t="s">
        <v>333</v>
      </c>
      <c r="AU21" s="24"/>
      <c r="AV21" s="182" t="str">
        <f>=IFERROR(ROUND($AU$21/$AU$8,2),0)</f>
      </c>
      <c r="AX21" t="s">
        <v>333</v>
      </c>
      <c r="AY21" s="24"/>
      <c r="AZ21" s="182" t="str">
        <f>=IFERROR(ROUND($AY$21/$AY$8,2),0)</f>
      </c>
      <c r="BB21" t="s">
        <v>333</v>
      </c>
      <c r="BC21" s="24"/>
      <c r="BD21" s="182" t="str">
        <f>=IFERROR(ROUND($BC$21/$BC$8,2),0)</f>
      </c>
      <c r="BF21" t="s">
        <v>333</v>
      </c>
      <c r="BG21" s="24"/>
      <c r="BH21" s="182" t="str">
        <f>=IFERROR(ROUND($BG$21/$BG$8,2),0)</f>
      </c>
      <c r="BJ21" t="s">
        <v>333</v>
      </c>
      <c r="BK21" s="24"/>
      <c r="BL21" s="182" t="str">
        <f>=IFERROR(ROUND($BK$21/$BK$8,2),0)</f>
      </c>
      <c r="BN21" t="s">
        <v>333</v>
      </c>
      <c r="BO21" s="24"/>
      <c r="BP21" s="182" t="str">
        <f>=IFERROR(ROUND($BO$21/$BO$8,2),0)</f>
      </c>
      <c r="BR21" t="s">
        <v>333</v>
      </c>
      <c r="BS21" s="24"/>
      <c r="BT21" s="182" t="str">
        <f>=IFERROR(ROUND($BS$21/$BS$8,2),0)</f>
      </c>
    </row>
    <row r="22">
      <c r="B22" t="s">
        <v>334</v>
      </c>
      <c r="C22" s="24">
        <v>125000</v>
      </c>
      <c r="D22" s="182" t="str">
        <f>=IFERROR(ROUND($C$22/$C$8,2),0)</f>
      </c>
      <c r="F22" t="s">
        <v>334</v>
      </c>
      <c r="G22" s="24">
        <v>100000</v>
      </c>
      <c r="H22" s="182" t="str">
        <f>=IFERROR(ROUND($G$22/$G$8,2),0)</f>
      </c>
      <c r="J22" t="s">
        <v>334</v>
      </c>
      <c r="K22" s="24"/>
      <c r="L22" s="182" t="str">
        <f>=IFERROR(ROUND($K$22/$K$8,2),0)</f>
      </c>
      <c r="N22" t="s">
        <v>334</v>
      </c>
      <c r="O22" s="24"/>
      <c r="P22" s="182" t="str">
        <f>=IFERROR(ROUND($O$22/$O$8,2),0)</f>
      </c>
      <c r="R22" t="s">
        <v>334</v>
      </c>
      <c r="S22" s="24"/>
      <c r="T22" s="182" t="str">
        <f>=IFERROR(ROUND($S$22/$S$8,2),0)</f>
      </c>
      <c r="V22" t="s">
        <v>334</v>
      </c>
      <c r="W22" s="24"/>
      <c r="X22" s="182" t="str">
        <f>=IFERROR(ROUND($W$22/$W$8,2),0)</f>
      </c>
      <c r="Z22" t="s">
        <v>334</v>
      </c>
      <c r="AA22" s="24"/>
      <c r="AB22" s="182" t="str">
        <f>=IFERROR(ROUND($AA$22/$AA$8,2),0)</f>
      </c>
      <c r="AD22" t="s">
        <v>334</v>
      </c>
      <c r="AE22" s="24"/>
      <c r="AF22" s="182" t="str">
        <f>=IFERROR(ROUND($AE$22/$AE$8,2),0)</f>
      </c>
      <c r="AH22" t="s">
        <v>334</v>
      </c>
      <c r="AI22" s="24"/>
      <c r="AJ22" s="182" t="str">
        <f>=IFERROR(ROUND($AI$22/$AI$8,2),0)</f>
      </c>
      <c r="AL22" t="s">
        <v>334</v>
      </c>
      <c r="AM22" s="24"/>
      <c r="AN22" s="182" t="str">
        <f>=IFERROR(ROUND($AM$22/$AM$8,2),0)</f>
      </c>
      <c r="AP22" t="s">
        <v>334</v>
      </c>
      <c r="AQ22" s="24"/>
      <c r="AR22" s="182" t="str">
        <f>=IFERROR(ROUND($AQ$22/$AQ$8,2),0)</f>
      </c>
      <c r="AT22" t="s">
        <v>334</v>
      </c>
      <c r="AU22" s="24"/>
      <c r="AV22" s="182" t="str">
        <f>=IFERROR(ROUND($AU$22/$AU$8,2),0)</f>
      </c>
      <c r="AX22" t="s">
        <v>334</v>
      </c>
      <c r="AY22" s="24"/>
      <c r="AZ22" s="182" t="str">
        <f>=IFERROR(ROUND($AY$22/$AY$8,2),0)</f>
      </c>
      <c r="BB22" t="s">
        <v>334</v>
      </c>
      <c r="BC22" s="24"/>
      <c r="BD22" s="182" t="str">
        <f>=IFERROR(ROUND($BC$22/$BC$8,2),0)</f>
      </c>
      <c r="BF22" t="s">
        <v>334</v>
      </c>
      <c r="BG22" s="24"/>
      <c r="BH22" s="182" t="str">
        <f>=IFERROR(ROUND($BG$22/$BG$8,2),0)</f>
      </c>
      <c r="BJ22" t="s">
        <v>334</v>
      </c>
      <c r="BK22" s="24"/>
      <c r="BL22" s="182" t="str">
        <f>=IFERROR(ROUND($BK$22/$BK$8,2),0)</f>
      </c>
      <c r="BN22" t="s">
        <v>334</v>
      </c>
      <c r="BO22" s="24"/>
      <c r="BP22" s="182" t="str">
        <f>=IFERROR(ROUND($BO$22/$BO$8,2),0)</f>
      </c>
      <c r="BR22" t="s">
        <v>334</v>
      </c>
      <c r="BS22" s="24"/>
      <c r="BT22" s="182" t="str">
        <f>=IFERROR(ROUND($BS$22/$BS$8,2),0)</f>
      </c>
    </row>
    <row r="23">
      <c r="B23" t="s">
        <v>335</v>
      </c>
      <c r="C23" s="188" t="str">
        <f>=ROUND(IF(Saldovortrag_LW="",0,Saldovortrag_LW),2)</f>
      </c>
      <c r="D23" s="182" t="str">
        <f>=IFERROR(ROUND($C$23/$C$8,2),0)</f>
      </c>
      <c r="F23" t="s">
        <v>337</v>
      </c>
      <c r="G23" s="188" t="str">
        <f>=ROUND(IFERROR(FB_SaldoLC_1,0),2)</f>
      </c>
      <c r="H23" s="182" t="str">
        <f>=IFERROR(ROUND($G$23/$G$8,2),0)</f>
      </c>
      <c r="J23" t="s">
        <v>337</v>
      </c>
      <c r="K23" s="188" t="str">
        <f>=ROUND(IFERROR(FB_SaldoLC_2,0),2)</f>
      </c>
      <c r="L23" s="182" t="str">
        <f>=IFERROR(ROUND($K$23/$K$8,2),0)</f>
      </c>
      <c r="N23" t="s">
        <v>337</v>
      </c>
      <c r="O23" s="188" t="str">
        <f>=ROUND(IFERROR(FB_SaldoLC_3,0),2)</f>
      </c>
      <c r="P23" s="182" t="str">
        <f>=IFERROR(ROUND($O$23/$O$8,2),0)</f>
      </c>
      <c r="R23" t="s">
        <v>337</v>
      </c>
      <c r="S23" s="188" t="str">
        <f>=ROUND(IFERROR(FB_SaldoLC_4,0),2)</f>
      </c>
      <c r="T23" s="182" t="str">
        <f>=IFERROR(ROUND($S$23/$S$8,2),0)</f>
      </c>
      <c r="V23" t="s">
        <v>337</v>
      </c>
      <c r="W23" s="188" t="str">
        <f>=ROUND(IFERROR(FB_SaldoLC_5,0),2)</f>
      </c>
      <c r="X23" s="182" t="str">
        <f>=IFERROR(ROUND($W$23/$W$8,2),0)</f>
      </c>
      <c r="Z23" t="s">
        <v>337</v>
      </c>
      <c r="AA23" s="188" t="str">
        <f>=ROUND(IFERROR(FB_SaldoLC_6,0),2)</f>
      </c>
      <c r="AB23" s="182" t="str">
        <f>=IFERROR(ROUND($AA$23/$AA$8,2),0)</f>
      </c>
      <c r="AD23" t="s">
        <v>337</v>
      </c>
      <c r="AE23" s="188" t="str">
        <f>=ROUND(IFERROR(FB_SaldoLC_7,0),2)</f>
      </c>
      <c r="AF23" s="182" t="str">
        <f>=IFERROR(ROUND($AE$23/$AE$8,2),0)</f>
      </c>
      <c r="AH23" t="s">
        <v>337</v>
      </c>
      <c r="AI23" s="188" t="str">
        <f>=ROUND(IFERROR(FB_SaldoLC_8,0),2)</f>
      </c>
      <c r="AJ23" s="182" t="str">
        <f>=IFERROR(ROUND($AI$23/$AI$8,2),0)</f>
      </c>
      <c r="AL23" t="s">
        <v>337</v>
      </c>
      <c r="AM23" s="188" t="str">
        <f>=ROUND(IFERROR(FB_SaldoLC_9,0),2)</f>
      </c>
      <c r="AN23" s="182" t="str">
        <f>=IFERROR(ROUND($AM$23/$AM$8,2),0)</f>
      </c>
      <c r="AP23" t="s">
        <v>337</v>
      </c>
      <c r="AQ23" s="188" t="str">
        <f>=ROUND(IFERROR(FB_SaldoLC_10,0),2)</f>
      </c>
      <c r="AR23" s="182" t="str">
        <f>=IFERROR(ROUND($AQ$23/$AQ$8,2),0)</f>
      </c>
      <c r="AT23" t="s">
        <v>337</v>
      </c>
      <c r="AU23" s="188" t="str">
        <f>=ROUND(IFERROR(FB_SaldoLC_11,0),2)</f>
      </c>
      <c r="AV23" s="182" t="str">
        <f>=IFERROR(ROUND($AU$23/$AU$8,2),0)</f>
      </c>
      <c r="AX23" t="s">
        <v>337</v>
      </c>
      <c r="AY23" s="188" t="str">
        <f>=ROUND(IFERROR(FB_SaldoLC_12,0),2)</f>
      </c>
      <c r="AZ23" s="182" t="str">
        <f>=IFERROR(ROUND($AY$23/$AY$8,2),0)</f>
      </c>
      <c r="BB23" t="s">
        <v>337</v>
      </c>
      <c r="BC23" s="188" t="str">
        <f>=ROUND(IFERROR(FB_SaldoLC_13,0),2)</f>
      </c>
      <c r="BD23" s="182" t="str">
        <f>=IFERROR(ROUND($BC$23/$BC$8,2),0)</f>
      </c>
      <c r="BF23" t="s">
        <v>337</v>
      </c>
      <c r="BG23" s="188" t="str">
        <f>=ROUND(IFERROR(FB_SaldoLC_14,0),2)</f>
      </c>
      <c r="BH23" s="182" t="str">
        <f>=IFERROR(ROUND($BG$23/$BG$8,2),0)</f>
      </c>
      <c r="BJ23" t="s">
        <v>337</v>
      </c>
      <c r="BK23" s="188" t="str">
        <f>=ROUND(IFERROR(FB_SaldoLC_15,0),2)</f>
      </c>
      <c r="BL23" s="182" t="str">
        <f>=IFERROR(ROUND($BK$23/$BK$8,2),0)</f>
      </c>
      <c r="BN23" t="s">
        <v>337</v>
      </c>
      <c r="BO23" s="188" t="str">
        <f>=ROUND(IFERROR(FB_SaldoLC_16,0),2)</f>
      </c>
      <c r="BP23" s="182" t="str">
        <f>=IFERROR(ROUND($BO$23/$BO$8,2),0)</f>
      </c>
      <c r="BR23" t="s">
        <v>337</v>
      </c>
      <c r="BS23" s="188" t="str">
        <f>=ROUND(IFERROR(FB_SaldoLC_17,0),2)</f>
      </c>
      <c r="BT23" s="182" t="str">
        <f>=IFERROR(ROUND($BS$23/$BS$8,2),0)</f>
      </c>
    </row>
    <row r="25">
      <c r="B25" s="189" t="s">
        <v>336</v>
      </c>
      <c r="C25" s="190" t="str">
        <f>=IFERROR(ROUND($C$18-$C$21-$C$22-$C$23,2),0)</f>
      </c>
      <c r="D25" s="191" t="str">
        <f>=IFERROR(ROUND($D$18-$D$21-$D$22-$D$23,2),0)</f>
      </c>
      <c r="F25" s="189" t="s">
        <v>336</v>
      </c>
      <c r="G25" s="190" t="str">
        <f>=IFERROR(ROUND($G$18-$G$21-$G$22-$G$23,2),0)</f>
      </c>
      <c r="H25" s="191" t="str">
        <f>=IFERROR(ROUND($H$18-$H$21-$H$22-$H$23,2),0)</f>
      </c>
      <c r="J25" s="189" t="s">
        <v>336</v>
      </c>
      <c r="K25" s="190" t="str">
        <f>=IFERROR(ROUND($K$18-$K$21-$K$22-$K$23,2),0)</f>
      </c>
      <c r="L25" s="191" t="str">
        <f>=IFERROR(ROUND($L$18-$L$21-$L$22-$L$23,2),0)</f>
      </c>
      <c r="N25" s="189" t="s">
        <v>336</v>
      </c>
      <c r="O25" s="190" t="str">
        <f>=IFERROR(ROUND($O$18-$O$21-$O$22-$O$23,2),0)</f>
      </c>
      <c r="P25" s="191" t="str">
        <f>=IFERROR(ROUND($P$18-$P$21-$P$22-$P$23,2),0)</f>
      </c>
      <c r="R25" s="189" t="s">
        <v>336</v>
      </c>
      <c r="S25" s="190" t="str">
        <f>=IFERROR(ROUND($S$18-$S$21-$S$22-$S$23,2),0)</f>
      </c>
      <c r="T25" s="191" t="str">
        <f>=IFERROR(ROUND($T$18-$T$21-$T$22-$T$23,2),0)</f>
      </c>
      <c r="V25" s="189" t="s">
        <v>336</v>
      </c>
      <c r="W25" s="190" t="str">
        <f>=IFERROR(ROUND($W$18-$W$21-$W$22-$W$23,2),0)</f>
      </c>
      <c r="X25" s="191" t="str">
        <f>=IFERROR(ROUND($X$18-$X$21-$X$22-$X$23,2),0)</f>
      </c>
      <c r="Z25" s="189" t="s">
        <v>336</v>
      </c>
      <c r="AA25" s="190" t="str">
        <f>=IFERROR(ROUND($AA$18-$AA$21-$AA$22-$AA$23,2),0)</f>
      </c>
      <c r="AB25" s="191" t="str">
        <f>=IFERROR(ROUND($AB$18-$AB$21-$AB$22-$AB$23,2),0)</f>
      </c>
      <c r="AD25" s="189" t="s">
        <v>336</v>
      </c>
      <c r="AE25" s="190" t="str">
        <f>=IFERROR(ROUND($AE$18-$AE$21-$AE$22-$AE$23,2),0)</f>
      </c>
      <c r="AF25" s="191" t="str">
        <f>=IFERROR(ROUND($AF$18-$AF$21-$AF$22-$AF$23,2),0)</f>
      </c>
      <c r="AH25" s="189" t="s">
        <v>336</v>
      </c>
      <c r="AI25" s="190" t="str">
        <f>=IFERROR(ROUND($AI$18-$AI$21-$AI$22-$AI$23,2),0)</f>
      </c>
      <c r="AJ25" s="191" t="str">
        <f>=IFERROR(ROUND($AJ$18-$AJ$21-$AJ$22-$AJ$23,2),0)</f>
      </c>
      <c r="AL25" s="189" t="s">
        <v>336</v>
      </c>
      <c r="AM25" s="190" t="str">
        <f>=IFERROR(ROUND($AM$18-$AM$21-$AM$22-$AM$23,2),0)</f>
      </c>
      <c r="AN25" s="191" t="str">
        <f>=IFERROR(ROUND($AN$18-$AN$21-$AN$22-$AN$23,2),0)</f>
      </c>
      <c r="AP25" s="189" t="s">
        <v>336</v>
      </c>
      <c r="AQ25" s="190" t="str">
        <f>=IFERROR(ROUND($AQ$18-$AQ$21-$AQ$22-$AQ$23,2),0)</f>
      </c>
      <c r="AR25" s="191" t="str">
        <f>=IFERROR(ROUND($AR$18-$AR$21-$AR$22-$AR$23,2),0)</f>
      </c>
      <c r="AT25" s="189" t="s">
        <v>336</v>
      </c>
      <c r="AU25" s="190" t="str">
        <f>=IFERROR(ROUND($AU$18-$AU$21-$AU$22-$AU$23,2),0)</f>
      </c>
      <c r="AV25" s="191" t="str">
        <f>=IFERROR(ROUND($AV$18-$AV$21-$AV$22-$AV$23,2),0)</f>
      </c>
      <c r="AX25" s="189" t="s">
        <v>336</v>
      </c>
      <c r="AY25" s="190" t="str">
        <f>=IFERROR(ROUND($AY$18-$AY$21-$AY$22-$AY$23,2),0)</f>
      </c>
      <c r="AZ25" s="191" t="str">
        <f>=IFERROR(ROUND($AZ$18-$AZ$21-$AZ$22-$AZ$23,2),0)</f>
      </c>
      <c r="BB25" s="189" t="s">
        <v>336</v>
      </c>
      <c r="BC25" s="190" t="str">
        <f>=IFERROR(ROUND($BC$18-$BC$21-$BC$22-$BC$23,2),0)</f>
      </c>
      <c r="BD25" s="191" t="str">
        <f>=IFERROR(ROUND($BD$18-$BD$21-$BD$22-$BD$23,2),0)</f>
      </c>
      <c r="BF25" s="189" t="s">
        <v>336</v>
      </c>
      <c r="BG25" s="190" t="str">
        <f>=IFERROR(ROUND($BG$18-$BG$21-$BG$22-$BG$23,2),0)</f>
      </c>
      <c r="BH25" s="191" t="str">
        <f>=IFERROR(ROUND($BH$18-$BH$21-$BH$22-$BH$23,2),0)</f>
      </c>
      <c r="BJ25" s="189" t="s">
        <v>336</v>
      </c>
      <c r="BK25" s="190" t="str">
        <f>=IFERROR(ROUND($BK$18-$BK$21-$BK$22-$BK$23,2),0)</f>
      </c>
      <c r="BL25" s="191" t="str">
        <f>=IFERROR(ROUND($BL$18-$BL$21-$BL$22-$BL$23,2),0)</f>
      </c>
      <c r="BN25" s="189" t="s">
        <v>336</v>
      </c>
      <c r="BO25" s="190" t="str">
        <f>=IFERROR(ROUND($BO$18-$BO$21-$BO$22-$BO$23,2),0)</f>
      </c>
      <c r="BP25" s="191" t="str">
        <f>=IFERROR(ROUND($BP$18-$BP$21-$BP$22-$BP$23,2),0)</f>
      </c>
      <c r="BR25" s="189" t="s">
        <v>336</v>
      </c>
      <c r="BS25" s="190" t="str">
        <f>=IFERROR(ROUND($BS$18-$BS$21-$BS$22-$BS$23,2),0)</f>
      </c>
      <c r="BT25" s="191" t="str">
        <f>=IFERROR(ROUND($BT$18-$BT$21-$BT$22-$BT$23,2),0)</f>
      </c>
    </row>
  </sheetData>
  <mergeCells count="90">
    <mergeCell ref="C4:D4"/>
    <mergeCell ref="C5:D5"/>
    <mergeCell ref="C6:D6"/>
    <mergeCell ref="C7:D7"/>
    <mergeCell ref="C8:D8"/>
    <mergeCell ref="G4:H4"/>
    <mergeCell ref="G5:H5"/>
    <mergeCell ref="G6:H6"/>
    <mergeCell ref="G7:H7"/>
    <mergeCell ref="G8:H8"/>
    <mergeCell ref="K4:L4"/>
    <mergeCell ref="K5:L5"/>
    <mergeCell ref="K6:L6"/>
    <mergeCell ref="K7:L7"/>
    <mergeCell ref="K8:L8"/>
    <mergeCell ref="O4:P4"/>
    <mergeCell ref="O5:P5"/>
    <mergeCell ref="O6:P6"/>
    <mergeCell ref="O7:P7"/>
    <mergeCell ref="O8:P8"/>
    <mergeCell ref="S4:T4"/>
    <mergeCell ref="S5:T5"/>
    <mergeCell ref="S6:T6"/>
    <mergeCell ref="S7:T7"/>
    <mergeCell ref="S8:T8"/>
    <mergeCell ref="W4:X4"/>
    <mergeCell ref="W5:X5"/>
    <mergeCell ref="W6:X6"/>
    <mergeCell ref="W7:X7"/>
    <mergeCell ref="W8:X8"/>
    <mergeCell ref="AA4:AB4"/>
    <mergeCell ref="AA5:AB5"/>
    <mergeCell ref="AA6:AB6"/>
    <mergeCell ref="AA7:AB7"/>
    <mergeCell ref="AA8:AB8"/>
    <mergeCell ref="AE4:AF4"/>
    <mergeCell ref="AE5:AF5"/>
    <mergeCell ref="AE6:AF6"/>
    <mergeCell ref="AE7:AF7"/>
    <mergeCell ref="AE8:AF8"/>
    <mergeCell ref="AI4:AJ4"/>
    <mergeCell ref="AI5:AJ5"/>
    <mergeCell ref="AI6:AJ6"/>
    <mergeCell ref="AI7:AJ7"/>
    <mergeCell ref="AI8:AJ8"/>
    <mergeCell ref="AM4:AN4"/>
    <mergeCell ref="AM5:AN5"/>
    <mergeCell ref="AM6:AN6"/>
    <mergeCell ref="AM7:AN7"/>
    <mergeCell ref="AM8:AN8"/>
    <mergeCell ref="AQ4:AR4"/>
    <mergeCell ref="AQ5:AR5"/>
    <mergeCell ref="AQ6:AR6"/>
    <mergeCell ref="AQ7:AR7"/>
    <mergeCell ref="AQ8:AR8"/>
    <mergeCell ref="AU4:AV4"/>
    <mergeCell ref="AU5:AV5"/>
    <mergeCell ref="AU6:AV6"/>
    <mergeCell ref="AU7:AV7"/>
    <mergeCell ref="AU8:AV8"/>
    <mergeCell ref="AY4:AZ4"/>
    <mergeCell ref="AY5:AZ5"/>
    <mergeCell ref="AY6:AZ6"/>
    <mergeCell ref="AY7:AZ7"/>
    <mergeCell ref="AY8:AZ8"/>
    <mergeCell ref="BC4:BD4"/>
    <mergeCell ref="BC5:BD5"/>
    <mergeCell ref="BC6:BD6"/>
    <mergeCell ref="BC7:BD7"/>
    <mergeCell ref="BC8:BD8"/>
    <mergeCell ref="BG4:BH4"/>
    <mergeCell ref="BG5:BH5"/>
    <mergeCell ref="BG6:BH6"/>
    <mergeCell ref="BG7:BH7"/>
    <mergeCell ref="BG8:BH8"/>
    <mergeCell ref="BK4:BL4"/>
    <mergeCell ref="BK5:BL5"/>
    <mergeCell ref="BK6:BL6"/>
    <mergeCell ref="BK7:BL7"/>
    <mergeCell ref="BK8:BL8"/>
    <mergeCell ref="BO4:BP4"/>
    <mergeCell ref="BO5:BP5"/>
    <mergeCell ref="BO6:BP6"/>
    <mergeCell ref="BO7:BP7"/>
    <mergeCell ref="BO8:BP8"/>
    <mergeCell ref="BS4:BT4"/>
    <mergeCell ref="BS5:BT5"/>
    <mergeCell ref="BS6:BT6"/>
    <mergeCell ref="BS7:BT7"/>
    <mergeCell ref="BS8:BT8"/>
  </mergeCells>
  <dataValidations count="18">
    <dataValidation allowBlank="true" sqref="C4" type="list">
      <formula1>'Daten'!$A$1:$A$18</formula1>
    </dataValidation>
    <dataValidation allowBlank="true" sqref="G4" type="list">
      <formula1>'Daten'!$A$1:$A$18</formula1>
    </dataValidation>
    <dataValidation allowBlank="true" sqref="K4" type="list">
      <formula1>'Daten'!$A$1:$A$18</formula1>
    </dataValidation>
    <dataValidation allowBlank="true" sqref="O4" type="list">
      <formula1>'Daten'!$A$1:$A$18</formula1>
    </dataValidation>
    <dataValidation allowBlank="true" sqref="S4" type="list">
      <formula1>'Daten'!$A$1:$A$18</formula1>
    </dataValidation>
    <dataValidation allowBlank="true" sqref="W4" type="list">
      <formula1>'Daten'!$A$1:$A$18</formula1>
    </dataValidation>
    <dataValidation allowBlank="true" sqref="AA4" type="list">
      <formula1>'Daten'!$A$1:$A$18</formula1>
    </dataValidation>
    <dataValidation allowBlank="true" sqref="AE4" type="list">
      <formula1>'Daten'!$A$1:$A$18</formula1>
    </dataValidation>
    <dataValidation allowBlank="true" sqref="AI4" type="list">
      <formula1>'Daten'!$A$1:$A$18</formula1>
    </dataValidation>
    <dataValidation allowBlank="true" sqref="AM4" type="list">
      <formula1>'Daten'!$A$1:$A$18</formula1>
    </dataValidation>
    <dataValidation allowBlank="true" sqref="AQ4" type="list">
      <formula1>'Daten'!$A$1:$A$18</formula1>
    </dataValidation>
    <dataValidation allowBlank="true" sqref="AU4" type="list">
      <formula1>'Daten'!$A$1:$A$18</formula1>
    </dataValidation>
    <dataValidation allowBlank="true" sqref="AY4" type="list">
      <formula1>'Daten'!$A$1:$A$18</formula1>
    </dataValidation>
    <dataValidation allowBlank="true" sqref="BC4" type="list">
      <formula1>'Daten'!$A$1:$A$18</formula1>
    </dataValidation>
    <dataValidation allowBlank="true" sqref="BG4" type="list">
      <formula1>'Daten'!$A$1:$A$18</formula1>
    </dataValidation>
    <dataValidation allowBlank="true" sqref="BK4" type="list">
      <formula1>'Daten'!$A$1:$A$18</formula1>
    </dataValidation>
    <dataValidation allowBlank="true" sqref="BO4" type="list">
      <formula1>'Daten'!$A$1:$A$18</formula1>
    </dataValidation>
    <dataValidation allowBlank="true" sqref="BS4" type="list">
      <formula1>'Daten'!$A$1:$A$18</formula1>
    </dataValidation>
  </dataValidations>
  <tableParts count="1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7.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1" min="1" width="3"/>
    <col customWidth="true" max="2" min="2" width="42"/>
    <col customWidth="true" max="10" min="3" width="20"/>
    <col customWidth="true" max="11" min="11" width="3"/>
    <col customWidth="true" max="12" min="12" width="25"/>
    <col customWidth="true" max="16" min="13" width="18"/>
    <col customWidth="true" hidden="true" max="30" min="30" width="9.140625"/>
  </cols>
  <sheetData>
    <row r="2" ht="30" customHeight="true">
      <c r="B2" s="192" t="s">
        <v>338</v>
      </c>
      <c r="C2" s="192"/>
      <c r="D2" s="192"/>
      <c r="E2" s="192"/>
      <c r="F2" s="192"/>
      <c r="G2" s="192"/>
      <c r="H2" s="192"/>
      <c r="I2" s="192"/>
      <c r="J2" s="192"/>
    </row>
    <row r="3" ht="18" customHeight="true">
      <c r="B3" s="193" t="s">
        <v>339</v>
      </c>
      <c r="C3" s="193"/>
      <c r="D3" s="193"/>
      <c r="E3" s="193"/>
      <c r="F3" s="193"/>
      <c r="G3" s="193"/>
      <c r="H3" s="193"/>
      <c r="I3" s="193"/>
      <c r="J3" s="193"/>
    </row>
    <row r="5" ht="22" customHeight="true">
      <c r="B5" s="194" t="s">
        <v>340</v>
      </c>
      <c r="C5" s="194"/>
      <c r="D5" s="194"/>
      <c r="E5" s="194"/>
      <c r="F5" s="194"/>
      <c r="G5" s="194"/>
      <c r="H5" s="194"/>
      <c r="I5" s="194"/>
      <c r="J5" s="194"/>
      <c r="L5" s="202" t="str">
        <f>=IF(E11=0,"Aktuelle Mittelanforderung (keine gewählt)","Aktuelle Mittelanforderung – Periode "&amp;E10&amp;" (#"&amp;E11&amp;")")</f>
      </c>
      <c r="M5" s="203"/>
      <c r="N5" s="204"/>
      <c r="AD5" t="str">
        <f>=IFERROR(SUMPRODUCT('Daten'!$BA$1:$BA$18,('Daten'!$BB$1:$BB$18=E10)*('Daten'!$BD$1:$BD$18=E11)),0)</f>
      </c>
    </row>
    <row r="6">
      <c r="B6" s="195" t="s">
        <v>341</v>
      </c>
      <c r="C6" s="195"/>
      <c r="D6" s="195"/>
      <c r="E6" s="195"/>
      <c r="F6" s="195"/>
      <c r="G6" s="195"/>
      <c r="H6" s="195"/>
      <c r="I6" s="195"/>
      <c r="J6" s="195"/>
      <c r="L6" s="314" t="s">
        <v>288</v>
      </c>
      <c r="M6" s="306" t="str">
        <f>=IFERROR(CHOOSE($AD$5,'IV. MA'!$C$4,'IV. MA'!$G$4,'IV. MA'!$K$4,'IV. MA'!$O$4,'IV. MA'!$S$4,'IV. MA'!$W$4,'IV. MA'!$AA$4,'IV. MA'!$AE$4,'IV. MA'!$AI$4,'IV. MA'!$AM$4,'IV. MA'!$AQ$4,'IV. MA'!$AU$4,'IV. MA'!$AY$4,'IV. MA'!$BC$4,'IV. MA'!$BG$4,'IV. MA'!$BK$4,'IV. MA'!$BO$4,'IV. MA'!$BS$4),"")</f>
      </c>
      <c r="N6" s="315"/>
    </row>
    <row r="7">
      <c r="L7" s="314" t="s">
        <v>289</v>
      </c>
      <c r="M7" s="307" t="str">
        <f>=IFERROR(CHOOSE($AD$5,'IV. MA'!$C$5,'IV. MA'!$G$5,'IV. MA'!$K$5,'IV. MA'!$O$5,'IV. MA'!$S$5,'IV. MA'!$W$5,'IV. MA'!$AA$5,'IV. MA'!$AE$5,'IV. MA'!$AI$5,'IV. MA'!$AM$5,'IV. MA'!$AQ$5,'IV. MA'!$AU$5,'IV. MA'!$AY$5,'IV. MA'!$BC$5,'IV. MA'!$BG$5,'IV. MA'!$BK$5,'IV. MA'!$BO$5,'IV. MA'!$BS$5),"")</f>
      </c>
      <c r="N7" s="316"/>
    </row>
    <row r="8" ht="22" customHeight="true">
      <c r="C8" s="202" t="s">
        <v>342</v>
      </c>
      <c r="D8" s="203"/>
      <c r="E8" s="203"/>
      <c r="F8" s="203"/>
      <c r="G8" s="204"/>
      <c r="L8" s="314" t="s">
        <v>290</v>
      </c>
      <c r="M8" s="307" t="str">
        <f>=IFERROR(CHOOSE($AD$5,'IV. MA'!$C$6,'IV. MA'!$G$6,'IV. MA'!$K$6,'IV. MA'!$O$6,'IV. MA'!$S$6,'IV. MA'!$W$6,'IV. MA'!$AA$6,'IV. MA'!$AE$6,'IV. MA'!$AI$6,'IV. MA'!$AM$6,'IV. MA'!$AQ$6,'IV. MA'!$AU$6,'IV. MA'!$AY$6,'IV. MA'!$BC$6,'IV. MA'!$BG$6,'IV. MA'!$BK$6,'IV. MA'!$BO$6,'IV. MA'!$BS$6),"")</f>
      </c>
      <c r="N8" s="316"/>
    </row>
    <row r="9">
      <c r="C9" s="205" t="s">
        <v>343</v>
      </c>
      <c r="D9" s="197"/>
      <c r="E9" s="63" t="s">
        <v>344</v>
      </c>
      <c r="F9" s="63"/>
      <c r="G9" s="206"/>
      <c r="L9" s="314" t="s">
        <v>291</v>
      </c>
      <c r="M9" s="308" t="str">
        <f>=IFERROR(CHOOSE($AD$5,'IV. MA'!$C$7,'IV. MA'!$G$7,'IV. MA'!$K$7,'IV. MA'!$O$7,'IV. MA'!$S$7,'IV. MA'!$W$7,'IV. MA'!$AA$7,'IV. MA'!$AE$7,'IV. MA'!$AI$7,'IV. MA'!$AM$7,'IV. MA'!$AQ$7,'IV. MA'!$AU$7,'IV. MA'!$AY$7,'IV. MA'!$BC$7,'IV. MA'!$BG$7,'IV. MA'!$BK$7,'IV. MA'!$BO$7,'IV. MA'!$BS$7),"")</f>
      </c>
      <c r="N9" s="317"/>
    </row>
    <row r="10">
      <c r="C10" s="205" t="s">
        <v>345</v>
      </c>
      <c r="D10" s="197"/>
      <c r="E10" s="198" t="str">
        <f>=E82+1</f>
        <v>0</v>
      </c>
      <c r="F10" s="198"/>
      <c r="G10" s="207"/>
      <c r="L10" s="314" t="s">
        <v>328</v>
      </c>
      <c r="M10" s="309" t="str">
        <f>=IFERROR(CHOOSE($AD$5,'IV. MA'!$C$8,'IV. MA'!$G$8,'IV. MA'!$K$8,'IV. MA'!$O$8,'IV. MA'!$S$8,'IV. MA'!$W$8,'IV. MA'!$AA$8,'IV. MA'!$AE$8,'IV. MA'!$AI$8,'IV. MA'!$AM$8,'IV. MA'!$AQ$8,'IV. MA'!$AU$8,'IV. MA'!$AY$8,'IV. MA'!$BC$8,'IV. MA'!$BG$8,'IV. MA'!$BK$8,'IV. MA'!$BO$8,'IV. MA'!$BS$8),"")</f>
      </c>
      <c r="N10" s="318"/>
    </row>
    <row r="11">
      <c r="C11" s="205" t="s">
        <v>346</v>
      </c>
      <c r="D11" s="197"/>
      <c r="E11" s="198" t="str">
        <f>=IF(E9="Neuste MA",IFERROR(SUMPRODUCT(MAX(('Daten'!$BB$1:$BB$18=E10)*('Daten'!$BC$1:$BC$18=1)*'Daten'!$BD$1:$BD$18)),0),IFERROR(VALUE(MID(E9,FIND("(#",E9)+2,FIND(")",E9)-FIND("(#",E9)-2)),0))</f>
      </c>
      <c r="F11" s="198"/>
      <c r="G11" s="208"/>
      <c r="L11" s="47"/>
      <c r="N11" s="48"/>
    </row>
    <row r="12">
      <c r="C12" s="209" t="s">
        <v>347</v>
      </c>
      <c r="D12" s="199"/>
      <c r="E12" s="199"/>
      <c r="F12" s="199"/>
      <c r="G12" s="210"/>
      <c r="L12" s="319" t="s">
        <v>202</v>
      </c>
      <c r="M12" s="180" t="s">
        <v>329</v>
      </c>
      <c r="N12" s="320" t="s">
        <v>330</v>
      </c>
    </row>
    <row r="13">
      <c r="C13" s="211" t="str">
        <f>=IF(1&lt;=E11,"Periode "&amp;E10&amp;" (#1)","")</f>
      </c>
      <c r="D13" s="200"/>
      <c r="E13" s="201" t="str">
        <f>=IF(1&lt;=E11,IFERROR(SUMIFS('Daten'!$BF$1:$BF$18,'Daten'!$BB$1:$BB$18,E10,'Daten'!$BD$1:$BD$18,1),0),"")</f>
      </c>
      <c r="F13" s="201"/>
      <c r="G13" s="212" t="str">
        <f>=IF(1&lt;=E11,IFERROR(SUMIFS('Daten'!$BG$1:$BG$18,'Daten'!$BB$1:$BB$18,E10,'Daten'!$BD$1:$BD$18,1),0),"")</f>
      </c>
      <c r="L13" s="143" t="s">
        <v>205</v>
      </c>
      <c r="M13" s="116" t="str">
        <f>=IFERROR(CHOOSE($AD$5,'IV. MA'!$C$10,'IV. MA'!$G$10,'IV. MA'!$K$10,'IV. MA'!$O$10,'IV. MA'!$S$10,'IV. MA'!$W$10,'IV. MA'!$AA$10,'IV. MA'!$AE$10,'IV. MA'!$AI$10,'IV. MA'!$AM$10,'IV. MA'!$AQ$10,'IV. MA'!$AU$10,'IV. MA'!$AY$10,'IV. MA'!$BC$10,'IV. MA'!$BG$10,'IV. MA'!$BK$10,'IV. MA'!$BO$10,'IV. MA'!$BS$10),"")</f>
      </c>
      <c r="N13" s="144" t="str">
        <f>=IFERROR(CHOOSE($AD$5,'IV. MA'!$D$10,'IV. MA'!$H$10,'IV. MA'!$L$10,'IV. MA'!$P$10,'IV. MA'!$T$10,'IV. MA'!$X$10,'IV. MA'!$AB$10,'IV. MA'!$AF$10,'IV. MA'!$AJ$10,'IV. MA'!$AN$10,'IV. MA'!$AR$10,'IV. MA'!$AV$10,'IV. MA'!$AZ$10,'IV. MA'!$BD$10,'IV. MA'!$BH$10,'IV. MA'!$BL$10,'IV. MA'!$BP$10,'IV. MA'!$BT$10),"")</f>
      </c>
    </row>
    <row r="14">
      <c r="C14" s="211" t="str">
        <f>=IF(2&lt;=E11,"Periode "&amp;E10&amp;" (#2)","")</f>
      </c>
      <c r="D14" s="200"/>
      <c r="E14" s="201" t="str">
        <f>=IF(2&lt;=E11,IFERROR(SUMIFS('Daten'!$BF$1:$BF$18,'Daten'!$BB$1:$BB$18,E10,'Daten'!$BD$1:$BD$18,2),0),"")</f>
      </c>
      <c r="F14" s="201"/>
      <c r="G14" s="212" t="str">
        <f>=IF(2&lt;=E11,IFERROR(SUMIFS('Daten'!$BG$1:$BG$18,'Daten'!$BB$1:$BB$18,E10,'Daten'!$BD$1:$BD$18,2),0),"")</f>
      </c>
      <c r="L14" s="143" t="s">
        <v>210</v>
      </c>
      <c r="M14" s="116" t="str">
        <f>=IFERROR(CHOOSE($AD$5,'IV. MA'!$C$11,'IV. MA'!$G$11,'IV. MA'!$K$11,'IV. MA'!$O$11,'IV. MA'!$S$11,'IV. MA'!$W$11,'IV. MA'!$AA$11,'IV. MA'!$AE$11,'IV. MA'!$AI$11,'IV. MA'!$AM$11,'IV. MA'!$AQ$11,'IV. MA'!$AU$11,'IV. MA'!$AY$11,'IV. MA'!$BC$11,'IV. MA'!$BG$11,'IV. MA'!$BK$11,'IV. MA'!$BO$11,'IV. MA'!$BS$11),"")</f>
      </c>
      <c r="N14" s="144" t="str">
        <f>=IFERROR(CHOOSE($AD$5,'IV. MA'!$D$11,'IV. MA'!$H$11,'IV. MA'!$L$11,'IV. MA'!$P$11,'IV. MA'!$T$11,'IV. MA'!$X$11,'IV. MA'!$AB$11,'IV. MA'!$AF$11,'IV. MA'!$AJ$11,'IV. MA'!$AN$11,'IV. MA'!$AR$11,'IV. MA'!$AV$11,'IV. MA'!$AZ$11,'IV. MA'!$BD$11,'IV. MA'!$BH$11,'IV. MA'!$BL$11,'IV. MA'!$BP$11,'IV. MA'!$BT$11),"")</f>
      </c>
    </row>
    <row r="15">
      <c r="C15" s="211" t="str">
        <f>=IF(3&lt;=E11,"Periode "&amp;E10&amp;" (#3)","")</f>
      </c>
      <c r="D15" s="200"/>
      <c r="E15" s="201" t="str">
        <f>=IF(3&lt;=E11,IFERROR(SUMIFS('Daten'!$BF$1:$BF$18,'Daten'!$BB$1:$BB$18,E10,'Daten'!$BD$1:$BD$18,3),0),"")</f>
      </c>
      <c r="F15" s="201"/>
      <c r="G15" s="212" t="str">
        <f>=IF(3&lt;=E11,IFERROR(SUMIFS('Daten'!$BG$1:$BG$18,'Daten'!$BB$1:$BB$18,E10,'Daten'!$BD$1:$BD$18,3),0),"")</f>
      </c>
      <c r="L15" s="143" t="s">
        <v>213</v>
      </c>
      <c r="M15" s="116" t="str">
        <f>=IFERROR(CHOOSE($AD$5,'IV. MA'!$C$12,'IV. MA'!$G$12,'IV. MA'!$K$12,'IV. MA'!$O$12,'IV. MA'!$S$12,'IV. MA'!$W$12,'IV. MA'!$AA$12,'IV. MA'!$AE$12,'IV. MA'!$AI$12,'IV. MA'!$AM$12,'IV. MA'!$AQ$12,'IV. MA'!$AU$12,'IV. MA'!$AY$12,'IV. MA'!$BC$12,'IV. MA'!$BG$12,'IV. MA'!$BK$12,'IV. MA'!$BO$12,'IV. MA'!$BS$12),"")</f>
      </c>
      <c r="N15" s="144" t="str">
        <f>=IFERROR(CHOOSE($AD$5,'IV. MA'!$D$12,'IV. MA'!$H$12,'IV. MA'!$L$12,'IV. MA'!$P$12,'IV. MA'!$T$12,'IV. MA'!$X$12,'IV. MA'!$AB$12,'IV. MA'!$AF$12,'IV. MA'!$AJ$12,'IV. MA'!$AN$12,'IV. MA'!$AR$12,'IV. MA'!$AV$12,'IV. MA'!$AZ$12,'IV. MA'!$BD$12,'IV. MA'!$BH$12,'IV. MA'!$BL$12,'IV. MA'!$BP$12,'IV. MA'!$BT$12),"")</f>
      </c>
    </row>
    <row r="16">
      <c r="C16" s="211" t="str">
        <f>=IF(4&lt;=E11,"Periode "&amp;E10&amp;" (#4)","")</f>
      </c>
      <c r="D16" s="200"/>
      <c r="E16" s="201" t="str">
        <f>=IF(4&lt;=E11,IFERROR(SUMIFS('Daten'!$BF$1:$BF$18,'Daten'!$BB$1:$BB$18,E10,'Daten'!$BD$1:$BD$18,4),0),"")</f>
      </c>
      <c r="F16" s="201"/>
      <c r="G16" s="212" t="str">
        <f>=IF(4&lt;=E11,IFERROR(SUMIFS('Daten'!$BG$1:$BG$18,'Daten'!$BB$1:$BB$18,E10,'Daten'!$BD$1:$BD$18,4),0),"")</f>
      </c>
      <c r="L16" s="143" t="s">
        <v>218</v>
      </c>
      <c r="M16" s="116" t="str">
        <f>=IFERROR(CHOOSE($AD$5,'IV. MA'!$C$13,'IV. MA'!$G$13,'IV. MA'!$K$13,'IV. MA'!$O$13,'IV. MA'!$S$13,'IV. MA'!$W$13,'IV. MA'!$AA$13,'IV. MA'!$AE$13,'IV. MA'!$AI$13,'IV. MA'!$AM$13,'IV. MA'!$AQ$13,'IV. MA'!$AU$13,'IV. MA'!$AY$13,'IV. MA'!$BC$13,'IV. MA'!$BG$13,'IV. MA'!$BK$13,'IV. MA'!$BO$13,'IV. MA'!$BS$13),"")</f>
      </c>
      <c r="N16" s="144" t="str">
        <f>=IFERROR(CHOOSE($AD$5,'IV. MA'!$D$13,'IV. MA'!$H$13,'IV. MA'!$L$13,'IV. MA'!$P$13,'IV. MA'!$T$13,'IV. MA'!$X$13,'IV. MA'!$AB$13,'IV. MA'!$AF$13,'IV. MA'!$AJ$13,'IV. MA'!$AN$13,'IV. MA'!$AR$13,'IV. MA'!$AV$13,'IV. MA'!$AZ$13,'IV. MA'!$BD$13,'IV. MA'!$BH$13,'IV. MA'!$BL$13,'IV. MA'!$BP$13,'IV. MA'!$BT$13),"")</f>
      </c>
    </row>
    <row r="17">
      <c r="C17" s="211" t="str">
        <f>=IF(5&lt;=E11,"Periode "&amp;E10&amp;" (#5)","")</f>
      </c>
      <c r="D17" s="200"/>
      <c r="E17" s="201" t="str">
        <f>=IF(5&lt;=E11,IFERROR(SUMIFS('Daten'!$BF$1:$BF$18,'Daten'!$BB$1:$BB$18,E10,'Daten'!$BD$1:$BD$18,5),0),"")</f>
      </c>
      <c r="F17" s="201"/>
      <c r="G17" s="212" t="str">
        <f>=IF(5&lt;=E11,IFERROR(SUMIFS('Daten'!$BG$1:$BG$18,'Daten'!$BB$1:$BB$18,E10,'Daten'!$BD$1:$BD$18,5),0),"")</f>
      </c>
      <c r="L17" s="143" t="s">
        <v>221</v>
      </c>
      <c r="M17" s="116" t="str">
        <f>=IFERROR(CHOOSE($AD$5,'IV. MA'!$C$14,'IV. MA'!$G$14,'IV. MA'!$K$14,'IV. MA'!$O$14,'IV. MA'!$S$14,'IV. MA'!$W$14,'IV. MA'!$AA$14,'IV. MA'!$AE$14,'IV. MA'!$AI$14,'IV. MA'!$AM$14,'IV. MA'!$AQ$14,'IV. MA'!$AU$14,'IV. MA'!$AY$14,'IV. MA'!$BC$14,'IV. MA'!$BG$14,'IV. MA'!$BK$14,'IV. MA'!$BO$14,'IV. MA'!$BS$14),"")</f>
      </c>
      <c r="N17" s="144" t="str">
        <f>=IFERROR(CHOOSE($AD$5,'IV. MA'!$D$14,'IV. MA'!$H$14,'IV. MA'!$L$14,'IV. MA'!$P$14,'IV. MA'!$T$14,'IV. MA'!$X$14,'IV. MA'!$AB$14,'IV. MA'!$AF$14,'IV. MA'!$AJ$14,'IV. MA'!$AN$14,'IV. MA'!$AR$14,'IV. MA'!$AV$14,'IV. MA'!$AZ$14,'IV. MA'!$BD$14,'IV. MA'!$BH$14,'IV. MA'!$BL$14,'IV. MA'!$BP$14,'IV. MA'!$BT$14),"")</f>
      </c>
    </row>
    <row r="18">
      <c r="C18" s="213" t="str">
        <f>=IF(6&lt;=E11,"Periode "&amp;E10&amp;" (#6)","")</f>
      </c>
      <c r="D18" s="214"/>
      <c r="E18" s="215" t="str">
        <f>=IF(6&lt;=E11,IFERROR(SUMIFS('Daten'!$BF$1:$BF$18,'Daten'!$BB$1:$BB$18,E10,'Daten'!$BD$1:$BD$18,6),0),"")</f>
      </c>
      <c r="F18" s="215"/>
      <c r="G18" s="216" t="str">
        <f>=IF(6&lt;=E11,IFERROR(SUMIFS('Daten'!$BG$1:$BG$18,'Daten'!$BB$1:$BB$18,E10,'Daten'!$BD$1:$BD$18,6),0),"")</f>
      </c>
      <c r="L18" s="143" t="s">
        <v>224</v>
      </c>
      <c r="M18" s="116" t="str">
        <f>=IFERROR(CHOOSE($AD$5,'IV. MA'!$C$15,'IV. MA'!$G$15,'IV. MA'!$K$15,'IV. MA'!$O$15,'IV. MA'!$S$15,'IV. MA'!$W$15,'IV. MA'!$AA$15,'IV. MA'!$AE$15,'IV. MA'!$AI$15,'IV. MA'!$AM$15,'IV. MA'!$AQ$15,'IV. MA'!$AU$15,'IV. MA'!$AY$15,'IV. MA'!$BC$15,'IV. MA'!$BG$15,'IV. MA'!$BK$15,'IV. MA'!$BO$15,'IV. MA'!$BS$15),"")</f>
      </c>
      <c r="N18" s="144" t="str">
        <f>=IFERROR(CHOOSE($AD$5,'IV. MA'!$D$15,'IV. MA'!$H$15,'IV. MA'!$L$15,'IV. MA'!$P$15,'IV. MA'!$T$15,'IV. MA'!$X$15,'IV. MA'!$AB$15,'IV. MA'!$AF$15,'IV. MA'!$AJ$15,'IV. MA'!$AN$15,'IV. MA'!$AR$15,'IV. MA'!$AV$15,'IV. MA'!$AZ$15,'IV. MA'!$BD$15,'IV. MA'!$BH$15,'IV. MA'!$BL$15,'IV. MA'!$BP$15,'IV. MA'!$BT$15),"")</f>
      </c>
    </row>
    <row r="19">
      <c r="L19" s="143" t="s">
        <v>227</v>
      </c>
      <c r="M19" s="116" t="str">
        <f>=IFERROR(CHOOSE($AD$5,'IV. MA'!$C$16,'IV. MA'!$G$16,'IV. MA'!$K$16,'IV. MA'!$O$16,'IV. MA'!$S$16,'IV. MA'!$W$16,'IV. MA'!$AA$16,'IV. MA'!$AE$16,'IV. MA'!$AI$16,'IV. MA'!$AM$16,'IV. MA'!$AQ$16,'IV. MA'!$AU$16,'IV. MA'!$AY$16,'IV. MA'!$BC$16,'IV. MA'!$BG$16,'IV. MA'!$BK$16,'IV. MA'!$BO$16,'IV. MA'!$BS$16),"")</f>
      </c>
      <c r="N19" s="144" t="str">
        <f>=IFERROR(CHOOSE($AD$5,'IV. MA'!$D$16,'IV. MA'!$H$16,'IV. MA'!$L$16,'IV. MA'!$P$16,'IV. MA'!$T$16,'IV. MA'!$X$16,'IV. MA'!$AB$16,'IV. MA'!$AF$16,'IV. MA'!$AJ$16,'IV. MA'!$AN$16,'IV. MA'!$AR$16,'IV. MA'!$AV$16,'IV. MA'!$AZ$16,'IV. MA'!$BD$16,'IV. MA'!$BH$16,'IV. MA'!$BL$16,'IV. MA'!$BP$16,'IV. MA'!$BT$16),"")</f>
      </c>
    </row>
    <row r="20" ht="22" customHeight="true">
      <c r="B20" s="18" t="s">
        <v>348</v>
      </c>
      <c r="C20" s="18"/>
      <c r="D20" s="18"/>
      <c r="E20" s="18"/>
      <c r="F20" s="18"/>
      <c r="G20" s="18"/>
      <c r="H20" s="18"/>
      <c r="I20" s="18"/>
      <c r="J20" s="18"/>
      <c r="L20" s="143" t="s">
        <v>230</v>
      </c>
      <c r="M20" s="116" t="str">
        <f>=IFERROR(CHOOSE($AD$5,'IV. MA'!$C$17,'IV. MA'!$G$17,'IV. MA'!$K$17,'IV. MA'!$O$17,'IV. MA'!$S$17,'IV. MA'!$W$17,'IV. MA'!$AA$17,'IV. MA'!$AE$17,'IV. MA'!$AI$17,'IV. MA'!$AM$17,'IV. MA'!$AQ$17,'IV. MA'!$AU$17,'IV. MA'!$AY$17,'IV. MA'!$BC$17,'IV. MA'!$BG$17,'IV. MA'!$BK$17,'IV. MA'!$BO$17,'IV. MA'!$BS$17),"")</f>
      </c>
      <c r="N20" s="144" t="str">
        <f>=IFERROR(CHOOSE($AD$5,'IV. MA'!$D$17,'IV. MA'!$H$17,'IV. MA'!$L$17,'IV. MA'!$P$17,'IV. MA'!$T$17,'IV. MA'!$X$17,'IV. MA'!$AB$17,'IV. MA'!$AF$17,'IV. MA'!$AJ$17,'IV. MA'!$AN$17,'IV. MA'!$AR$17,'IV. MA'!$AV$17,'IV. MA'!$AZ$17,'IV. MA'!$BD$17,'IV. MA'!$BH$17,'IV. MA'!$BL$17,'IV. MA'!$BP$17,'IV. MA'!$BT$17),"")</f>
      </c>
    </row>
    <row r="21">
      <c r="L21" s="321" t="s">
        <v>331</v>
      </c>
      <c r="M21" s="242" t="str">
        <f>=IFERROR(CHOOSE($AD$5,'IV. MA'!$C$18,'IV. MA'!$G$18,'IV. MA'!$K$18,'IV. MA'!$O$18,'IV. MA'!$S$18,'IV. MA'!$W$18,'IV. MA'!$AA$18,'IV. MA'!$AE$18,'IV. MA'!$AI$18,'IV. MA'!$AM$18,'IV. MA'!$AQ$18,'IV. MA'!$AU$18,'IV. MA'!$AY$18,'IV. MA'!$BC$18,'IV. MA'!$BG$18,'IV. MA'!$BK$18,'IV. MA'!$BO$18,'IV. MA'!$BS$18),"")</f>
      </c>
      <c r="N21" s="235" t="str">
        <f>=IFERROR(CHOOSE($AD$5,'IV. MA'!$D$18,'IV. MA'!$H$18,'IV. MA'!$L$18,'IV. MA'!$P$18,'IV. MA'!$T$18,'IV. MA'!$X$18,'IV. MA'!$AB$18,'IV. MA'!$AF$18,'IV. MA'!$AJ$18,'IV. MA'!$AN$18,'IV. MA'!$AR$18,'IV. MA'!$AV$18,'IV. MA'!$AZ$18,'IV. MA'!$BD$18,'IV. MA'!$BH$18,'IV. MA'!$BL$18,'IV. MA'!$BP$18,'IV. MA'!$BT$18),"")</f>
      </c>
    </row>
    <row r="22">
      <c r="B22" s="223" t="s">
        <v>349</v>
      </c>
      <c r="C22" s="224"/>
      <c r="D22" s="225" t="str">
        <f>=IFERROR(ROUND(KMW_Mittel_EUR,2),0)</f>
      </c>
      <c r="F22" s="230" t="s">
        <v>353</v>
      </c>
      <c r="G22" s="231"/>
      <c r="H22" s="231"/>
      <c r="I22" s="232"/>
      <c r="L22" s="47"/>
      <c r="N22" s="48"/>
    </row>
    <row r="23">
      <c r="B23" s="205" t="s">
        <v>350</v>
      </c>
      <c r="C23" s="197"/>
      <c r="D23" s="226" t="str">
        <f>=IFERROR(ROUND(Kosten_Reserve_EUR,2),0)</f>
      </c>
      <c r="F23" s="233" t="s">
        <v>354</v>
      </c>
      <c r="G23" s="197" t="s">
        <v>355</v>
      </c>
      <c r="H23" s="197"/>
      <c r="I23" s="234" t="str">
        <f>=IFERROR(ROUND(Saldovortrag_EUR,2),0)</f>
      </c>
      <c r="L23" s="143" t="s">
        <v>332</v>
      </c>
      <c r="M23" s="116" t="str">
        <f>=IFERROR(CHOOSE($AD$5,'IV. MA'!$C$20,'IV. MA'!$G$20,'IV. MA'!$K$20,'IV. MA'!$O$20,'IV. MA'!$S$20,'IV. MA'!$W$20,'IV. MA'!$AA$20,'IV. MA'!$AE$20,'IV. MA'!$AI$20,'IV. MA'!$AM$20,'IV. MA'!$AQ$20,'IV. MA'!$AU$20,'IV. MA'!$AY$20,'IV. MA'!$BC$20,'IV. MA'!$BG$20,'IV. MA'!$BK$20,'IV. MA'!$BO$20,'IV. MA'!$BS$20),"")</f>
      </c>
      <c r="N23" s="144" t="str">
        <f>=IFERROR(CHOOSE($AD$5,'IV. MA'!$D$20,'IV. MA'!$H$20,'IV. MA'!$L$20,'IV. MA'!$P$20,'IV. MA'!$T$20,'IV. MA'!$X$20,'IV. MA'!$AB$20,'IV. MA'!$AF$20,'IV. MA'!$AJ$20,'IV. MA'!$AN$20,'IV. MA'!$AR$20,'IV. MA'!$AV$20,'IV. MA'!$AZ$20,'IV. MA'!$BD$20,'IV. MA'!$BH$20,'IV. MA'!$BL$20,'IV. MA'!$BP$20,'IV. MA'!$BT$20),"")</f>
      </c>
    </row>
    <row r="24">
      <c r="B24" s="205" t="str">
        <f>=IF(Reserve_Freigabe="Ja","Operatives Budget (Reserve freigegeben)","Operatives Budget (abzgl. Reserve)")</f>
      </c>
      <c r="C24" s="197"/>
      <c r="D24" s="226" t="str">
        <f>=IF(Reserve_Freigabe="Ja",ROUND($D$22,2),ROUND($D$22-$D$23,2))</f>
      </c>
      <c r="F24" s="233" t="s">
        <v>354</v>
      </c>
      <c r="G24" s="197" t="s">
        <v>356</v>
      </c>
      <c r="H24" s="197"/>
      <c r="I24" s="234" t="str">
        <f>=I88</f>
        <v>0</v>
      </c>
      <c r="L24" s="143" t="s">
        <v>398</v>
      </c>
      <c r="M24" s="116" t="str">
        <f>=IFERROR(CHOOSE($AD$5,'IV. MA'!$C$21,'IV. MA'!$G$21,'IV. MA'!$K$21,'IV. MA'!$O$21,'IV. MA'!$S$21,'IV. MA'!$W$21,'IV. MA'!$AA$21,'IV. MA'!$AE$21,'IV. MA'!$AI$21,'IV. MA'!$AM$21,'IV. MA'!$AQ$21,'IV. MA'!$AU$21,'IV. MA'!$AY$21,'IV. MA'!$BC$21,'IV. MA'!$BG$21,'IV. MA'!$BK$21,'IV. MA'!$BO$21,'IV. MA'!$BS$21),"")</f>
      </c>
      <c r="N24" s="144" t="str">
        <f>=IFERROR(CHOOSE($AD$5,'IV. MA'!$D$21,'IV. MA'!$H$21,'IV. MA'!$L$21,'IV. MA'!$P$21,'IV. MA'!$T$21,'IV. MA'!$X$21,'IV. MA'!$AB$21,'IV. MA'!$AF$21,'IV. MA'!$AJ$21,'IV. MA'!$AN$21,'IV. MA'!$AR$21,'IV. MA'!$AV$21,'IV. MA'!$AZ$21,'IV. MA'!$BD$21,'IV. MA'!$BH$21,'IV. MA'!$BL$21,'IV. MA'!$BP$21,'IV. MA'!$BT$21),"")</f>
      </c>
    </row>
    <row r="25">
      <c r="B25" s="205" t="s">
        <v>351</v>
      </c>
      <c r="C25" s="197"/>
      <c r="D25" s="226" t="str">
        <f>=IFERROR(ROUND(SUBTOTAL(109,TblKMWMittel[Betrag]),2),0)</f>
      </c>
      <c r="F25" s="233" t="s">
        <v>354</v>
      </c>
      <c r="G25" s="197" t="s">
        <v>357</v>
      </c>
      <c r="H25" s="197"/>
      <c r="I25" s="234" t="str">
        <f>=ROUND(MAX(0,MAX(0,(SUM($G$97:$G$100)-$G$99)+SUMIFS('Daten'!$BH$1:$BH$18,'Daten'!$BB$1:$BB$18,E10,'Daten'!$BD$1:$BD$18,"&lt;="&amp;E11,'Daten'!$BD$1:$BD$18,"&gt;=1")-(SUM($H$97:$H$100)-$H$99))-I88),2)</f>
        <v>0</v>
      </c>
      <c r="L25" s="143" t="s">
        <v>399</v>
      </c>
      <c r="M25" s="116" t="str">
        <f>=IFERROR(CHOOSE($AD$5,'IV. MA'!$C$22,'IV. MA'!$G$22,'IV. MA'!$K$22,'IV. MA'!$O$22,'IV. MA'!$S$22,'IV. MA'!$W$22,'IV. MA'!$AA$22,'IV. MA'!$AE$22,'IV. MA'!$AI$22,'IV. MA'!$AM$22,'IV. MA'!$AQ$22,'IV. MA'!$AU$22,'IV. MA'!$AY$22,'IV. MA'!$BC$22,'IV. MA'!$BG$22,'IV. MA'!$BK$22,'IV. MA'!$BO$22,'IV. MA'!$BS$22),"")</f>
      </c>
      <c r="N25" s="144" t="str">
        <f>=IFERROR(CHOOSE($AD$5,'IV. MA'!$D$22,'IV. MA'!$H$22,'IV. MA'!$L$22,'IV. MA'!$P$22,'IV. MA'!$T$22,'IV. MA'!$X$22,'IV. MA'!$AB$22,'IV. MA'!$AF$22,'IV. MA'!$AJ$22,'IV. MA'!$AN$22,'IV. MA'!$AR$22,'IV. MA'!$AV$22,'IV. MA'!$AZ$22,'IV. MA'!$BD$22,'IV. MA'!$BH$22,'IV. MA'!$BL$22,'IV. MA'!$BP$22,'IV. MA'!$BT$22),"")</f>
      </c>
    </row>
    <row r="26">
      <c r="B26" s="227" t="s">
        <v>352</v>
      </c>
      <c r="C26" s="228"/>
      <c r="D26" s="229" t="str">
        <f>=ROUND($D$24-$D$25,2)</f>
      </c>
      <c r="F26" s="47"/>
      <c r="G26" s="218" t="s">
        <v>358</v>
      </c>
      <c r="H26" s="218"/>
      <c r="I26" s="235" t="str">
        <f>=ROUND(IF($F$23="Abzug",MAX(0,$I$23),0)+IF($F$24="Abzug",MAX(0,$I$24),0)+IF($F$25="Abzug",MAX(0,$I$25),0),2)</f>
      </c>
      <c r="L26" s="143" t="str">
        <f>=IFERROR(CHOOSE($AD$5,'IV. MA'!$B$23,'IV. MA'!$F$23,'IV. MA'!$J$23,'IV. MA'!$N$23,'IV. MA'!$R$23,'IV. MA'!$V$23,'IV. MA'!$Z$23,'IV. MA'!$AD$23,'IV. MA'!$AH$23,'IV. MA'!$AL$23,'IV. MA'!$AP$23,'IV. MA'!$AT$23,'IV. MA'!$AX$23,'IV. MA'!$BB$23,'IV. MA'!$BF$23,'IV. MA'!$BJ$23,'IV. MA'!$BN$23,'IV. MA'!$BR$23),"")</f>
      </c>
      <c r="M26" s="116" t="str">
        <f>=IFERROR(CHOOSE($AD$5,'IV. MA'!$C$23,'IV. MA'!$G$23,'IV. MA'!$K$23,'IV. MA'!$O$23,'IV. MA'!$S$23,'IV. MA'!$W$23,'IV. MA'!$AA$23,'IV. MA'!$AE$23,'IV. MA'!$AI$23,'IV. MA'!$AM$23,'IV. MA'!$AQ$23,'IV. MA'!$AU$23,'IV. MA'!$AY$23,'IV. MA'!$BC$23,'IV. MA'!$BG$23,'IV. MA'!$BK$23,'IV. MA'!$BO$23,'IV. MA'!$BS$23),"")</f>
      </c>
      <c r="N26" s="144" t="str">
        <f>=IFERROR(CHOOSE($AD$5,'IV. MA'!$D$23,'IV. MA'!$H$23,'IV. MA'!$L$23,'IV. MA'!$P$23,'IV. MA'!$T$23,'IV. MA'!$X$23,'IV. MA'!$AB$23,'IV. MA'!$AF$23,'IV. MA'!$AJ$23,'IV. MA'!$AN$23,'IV. MA'!$AR$23,'IV. MA'!$AV$23,'IV. MA'!$AZ$23,'IV. MA'!$BD$23,'IV. MA'!$BH$23,'IV. MA'!$BL$23,'IV. MA'!$BP$23,'IV. MA'!$BT$23),"")</f>
      </c>
    </row>
    <row r="27">
      <c r="F27" s="236"/>
      <c r="G27" s="228" t="s">
        <v>359</v>
      </c>
      <c r="H27" s="228"/>
      <c r="I27" s="229" t="str">
        <f>=ROUND($D$26-$I$26,2)</f>
      </c>
      <c r="L27" s="47"/>
      <c r="N27" s="48"/>
    </row>
    <row r="28">
      <c r="L28" s="322" t="s">
        <v>336</v>
      </c>
      <c r="M28" s="323" t="str">
        <f>=IFERROR(CHOOSE($AD$5,'IV. MA'!$C$25,'IV. MA'!$G$25,'IV. MA'!$K$25,'IV. MA'!$O$25,'IV. MA'!$S$25,'IV. MA'!$W$25,'IV. MA'!$AA$25,'IV. MA'!$AE$25,'IV. MA'!$AI$25,'IV. MA'!$AM$25,'IV. MA'!$AQ$25,'IV. MA'!$AU$25,'IV. MA'!$AY$25,'IV. MA'!$BC$25,'IV. MA'!$BG$25,'IV. MA'!$BK$25,'IV. MA'!$BO$25,'IV. MA'!$BS$25),"")</f>
      </c>
      <c r="N28" s="324" t="str">
        <f>=IFERROR(CHOOSE($AD$5,'IV. MA'!$D$25,'IV. MA'!$H$25,'IV. MA'!$L$25,'IV. MA'!$P$25,'IV. MA'!$T$25,'IV. MA'!$X$25,'IV. MA'!$AB$25,'IV. MA'!$AF$25,'IV. MA'!$AJ$25,'IV. MA'!$AN$25,'IV. MA'!$AR$25,'IV. MA'!$AV$25,'IV. MA'!$AZ$25,'IV. MA'!$BD$25,'IV. MA'!$BH$25,'IV. MA'!$BL$25,'IV. MA'!$BP$25,'IV. MA'!$BT$25),"")</f>
      </c>
    </row>
    <row r="29">
      <c r="B29" s="223" t="s">
        <v>360</v>
      </c>
      <c r="C29" s="224"/>
      <c r="D29" s="225" t="str">
        <f>=IFERROR(ROUND(SUMIFS('Daten'!$BV$1:$BV$198,'Daten'!$BT$1:$BT$198,"KMW-Mittel",'Daten'!$BR$1:$BR$198,E10,'Daten'!$BS$1:$BS$198,E11),2),0)</f>
      </c>
      <c r="F29" s="223" t="s">
        <v>360</v>
      </c>
      <c r="G29" s="224"/>
      <c r="H29" s="224"/>
      <c r="I29" s="225" t="str">
        <f>=IFERROR(ROUND(SUMIFS('Daten'!$BV$1:$BV$198,'Daten'!$BT$1:$BT$198,"KMW-Mittel",'Daten'!$BR$1:$BR$198,E10,'Daten'!$BS$1:$BS$198,E11),2),0)</f>
      </c>
    </row>
    <row r="30">
      <c r="B30" s="227" t="s">
        <v>361</v>
      </c>
      <c r="C30" s="228"/>
      <c r="D30" s="229" t="str">
        <f>=ROUND($D$26-MAX(0,$D$29),2)</f>
      </c>
      <c r="F30" s="227" t="s">
        <v>362</v>
      </c>
      <c r="G30" s="228"/>
      <c r="H30" s="228"/>
      <c r="I30" s="229" t="str">
        <f>=ROUND($I$27-MAX(0,$I$29),2)</f>
      </c>
    </row>
    <row r="32">
      <c r="B32" s="223" t="s">
        <v>363</v>
      </c>
      <c r="C32" s="224"/>
      <c r="D32" s="237"/>
      <c r="F32" s="223" t="s">
        <v>363</v>
      </c>
      <c r="G32" s="224"/>
      <c r="H32" s="224"/>
      <c r="I32" s="237"/>
    </row>
    <row r="33">
      <c r="B33" s="227" t="s">
        <v>361</v>
      </c>
      <c r="C33" s="228"/>
      <c r="D33" s="229" t="str">
        <f>=ROUND($D$26-MAX(0,$D$29)-MAX(0,$D$32),2)</f>
      </c>
      <c r="F33" s="227" t="s">
        <v>362</v>
      </c>
      <c r="G33" s="228"/>
      <c r="H33" s="228"/>
      <c r="I33" s="229" t="str">
        <f>=ROUND($I$27-MAX(0,$I$29)-MAX(0,$I$32),2)</f>
      </c>
    </row>
    <row r="36" ht="22" customHeight="true">
      <c r="B36" s="18" t="s">
        <v>364</v>
      </c>
      <c r="C36" s="18"/>
      <c r="D36" s="18"/>
      <c r="E36" s="18"/>
      <c r="F36" s="18"/>
      <c r="G36" s="18"/>
      <c r="H36" s="18"/>
      <c r="I36" s="18"/>
      <c r="J36" s="18"/>
    </row>
    <row r="38">
      <c r="B38" s="223" t="s">
        <v>158</v>
      </c>
      <c r="C38" s="224"/>
      <c r="D38" s="245" t="s">
        <v>365</v>
      </c>
      <c r="E38" s="246" t="s">
        <v>366</v>
      </c>
    </row>
    <row r="39">
      <c r="B39" s="205" t="s">
        <v>367</v>
      </c>
      <c r="C39" s="197"/>
      <c r="D39" s="239" t="str">
        <f>=E10</f>
      </c>
      <c r="E39" s="247"/>
    </row>
    <row r="40">
      <c r="B40" s="205" t="s">
        <v>368</v>
      </c>
      <c r="C40" s="197"/>
      <c r="D40" s="240" t="str">
        <f>=IFERROR(ROUND(SUMIFS('Daten'!$BF$1:$BF$18,'Daten'!$BB$1:$BB$18,E10,'Daten'!$BD$1:$BD$18,"&lt;="&amp;E11,'Daten'!$BD$1:$BD$18,"&gt;=1"),2),0)</f>
      </c>
      <c r="E40" s="226" t="str">
        <f>=IFERROR(ROUND(SUMIFS('Daten'!$BG$1:$BG$18,'Daten'!$BB$1:$BB$18,E10,'Daten'!$BD$1:$BD$18,"&lt;="&amp;E11,'Daten'!$BD$1:$BD$18,"&gt;=1"),2),0)</f>
      </c>
    </row>
    <row r="41">
      <c r="B41" s="205" t="s">
        <v>369</v>
      </c>
      <c r="C41" s="197"/>
      <c r="D41" s="63" t="s">
        <v>189</v>
      </c>
      <c r="E41" s="206"/>
    </row>
    <row r="42">
      <c r="B42" s="205" t="s">
        <v>370</v>
      </c>
      <c r="C42" s="197"/>
      <c r="D42" s="240" t="str">
        <f>=IFERROR(ROUND(CHOOSE(MATCH($D$41,{"Jahr 1";"Jahr 2";"Jahr 3"},0),SUBTOTAL(109,TblBudgetAusgaben[Jahr 1]),SUBTOTAL(109,TblBudgetAusgaben[Jahr 2]),SUBTOTAL(109,TblBudgetAusgaben[Jahr 3])),2),0)</f>
      </c>
      <c r="E42" s="226" t="str">
        <f>=IFERROR(ROUND($D$42/Budget_Kurs,2),0)</f>
      </c>
    </row>
    <row r="43">
      <c r="B43" s="205" t="s">
        <v>371</v>
      </c>
      <c r="C43" s="197"/>
      <c r="D43" s="241">
        <v>8</v>
      </c>
      <c r="E43" s="248"/>
    </row>
    <row r="44">
      <c r="B44" s="205" t="s">
        <v>372</v>
      </c>
      <c r="C44" s="197"/>
      <c r="D44" s="241">
        <v>12</v>
      </c>
      <c r="E44" s="249"/>
    </row>
    <row r="45">
      <c r="B45" s="205" t="s">
        <v>373</v>
      </c>
      <c r="C45" s="197"/>
      <c r="D45" s="241">
        <v>6</v>
      </c>
      <c r="E45" s="250"/>
    </row>
    <row r="46">
      <c r="B46" s="251" t="s">
        <v>374</v>
      </c>
      <c r="C46" s="218"/>
      <c r="D46" s="242" t="str">
        <f>=IFERROR(ROUND($D$42*$D$43/$D$44,2),0)</f>
      </c>
      <c r="E46" s="235" t="str">
        <f>=IFERROR(ROUND($E$42*$D$43/$D$44,2),0)</f>
      </c>
    </row>
    <row r="47">
      <c r="B47" s="251" t="s">
        <v>375</v>
      </c>
      <c r="C47" s="218"/>
      <c r="D47" s="243" t="str">
        <f>=IF($D$40&lt;=$D$46,"OK","ÜBERSCHRITTEN")</f>
      </c>
      <c r="E47" s="252" t="str">
        <f>=IF($E$40&lt;=$E$46,"OK","ÜBERSCHRITTEN")</f>
      </c>
    </row>
    <row r="48">
      <c r="B48" s="205" t="s">
        <v>376</v>
      </c>
      <c r="C48" s="197"/>
      <c r="D48" s="240" t="str">
        <f>=ROUND(MAX(0,$D$40-$D$46),2)</f>
      </c>
      <c r="E48" s="226" t="str">
        <f>=ROUND(MAX(0,$E$40-$E$46),2)</f>
      </c>
    </row>
    <row r="49">
      <c r="B49" s="253" t="s">
        <v>377</v>
      </c>
      <c r="C49" s="254"/>
      <c r="D49" s="255" t="str">
        <f>=IFERROR($D$40/$D$46,0)</f>
      </c>
      <c r="E49" s="256" t="str">
        <f>=IFERROR($E$40/$E$46,0)</f>
      </c>
    </row>
    <row r="51" ht="22" customHeight="true">
      <c r="B51" s="18" t="s">
        <v>378</v>
      </c>
      <c r="C51" s="18"/>
      <c r="D51" s="18"/>
      <c r="E51" s="18"/>
      <c r="F51" s="18"/>
      <c r="G51" s="18"/>
      <c r="H51" s="18"/>
      <c r="I51" s="18"/>
      <c r="J51" s="18"/>
    </row>
    <row r="53" ht="28" customHeight="true">
      <c r="B53" s="263" t="s">
        <v>379</v>
      </c>
      <c r="C53" s="264" t="s">
        <v>380</v>
      </c>
      <c r="D53" s="264" t="s">
        <v>381</v>
      </c>
      <c r="E53" s="264" t="s">
        <v>382</v>
      </c>
      <c r="F53" s="264" t="s">
        <v>383</v>
      </c>
      <c r="G53" s="264" t="s">
        <v>384</v>
      </c>
      <c r="H53" s="264" t="s">
        <v>385</v>
      </c>
      <c r="I53" s="264" t="s">
        <v>386</v>
      </c>
      <c r="J53" s="265" t="s">
        <v>387</v>
      </c>
    </row>
    <row r="54">
      <c r="B54" s="266" t="s">
        <v>194</v>
      </c>
      <c r="C54" s="240" t="str">
        <f>=IFERROR(ROUND(SUMIFS('Daten'!$BU$1:$BU$198,'Daten'!$BT$1:$BT$198,"Eigenmittel",'Daten'!$BR$1:$BR$198,E10,'Daten'!$BS$1:$BS$198,"&lt;="&amp;E11,'Daten'!$BS$1:$BS$198,"&gt;=1"),2),0)</f>
      </c>
      <c r="D54" s="240" t="str">
        <f>=IFERROR(ROUND(Eigenmittel_LW,2),0)</f>
      </c>
      <c r="E54" s="201" t="str">
        <f>=ROUND(IFERROR($C$54-$D$54,0),2)</f>
      </c>
      <c r="F54" s="258" t="str">
        <f>=ROUND(IFERROR(($C$54/$D$54)-1,0),4)</f>
      </c>
      <c r="G54" s="217" t="str">
        <f>=IFERROR(ROUND(SUMIFS('Daten'!$BV$1:$BV$198,'Daten'!$BT$1:$BT$198,"Eigenmittel",'Daten'!$BR$1:$BR$198,E10,'Daten'!$BS$1:$BS$198,"&lt;="&amp;E11,'Daten'!$BS$1:$BS$198,"&gt;=1"),2),0)</f>
      </c>
      <c r="H54" s="217" t="str">
        <f>=IFERROR(ROUND(Eigenmittel_EUR,2),0)</f>
      </c>
      <c r="I54" s="182" t="str">
        <f>=ROUND(IFERROR($G$54-$H$54,0),2)</f>
      </c>
      <c r="J54" s="267" t="str">
        <f>=ROUND(IFERROR(($G$54/$H$54)-1,0),4)</f>
      </c>
    </row>
    <row r="55">
      <c r="B55" s="266" t="s">
        <v>300</v>
      </c>
      <c r="C55" s="240" t="str">
        <f>=IFERROR(ROUND(SUMIFS('Daten'!$BU$1:$BU$198,'Daten'!$BT$1:$BT$198,"Drittmittel",'Daten'!$BR$1:$BR$198,E10,'Daten'!$BS$1:$BS$198,"&lt;="&amp;E11,'Daten'!$BS$1:$BS$198,"&gt;=1"),2),0)</f>
      </c>
      <c r="D55" s="240" t="str">
        <f>=IFERROR(ROUND(Drittmittel_LW,2),0)</f>
      </c>
      <c r="E55" s="201" t="str">
        <f>=ROUND(IFERROR($C$55-$D$55,0),2)</f>
      </c>
      <c r="F55" s="258" t="str">
        <f>=ROUND(IFERROR(($C$55/$D$55)-1,0),4)</f>
      </c>
      <c r="G55" s="217" t="str">
        <f>=IFERROR(ROUND(SUMIFS('Daten'!$BV$1:$BV$198,'Daten'!$BT$1:$BT$198,"Drittmittel",'Daten'!$BR$1:$BR$198,E10,'Daten'!$BS$1:$BS$198,"&lt;="&amp;E11,'Daten'!$BS$1:$BS$198,"&gt;=1"),2),0)</f>
      </c>
      <c r="H55" s="217" t="str">
        <f>=IFERROR(ROUND(Drittmittel_EUR,2),0)</f>
      </c>
      <c r="I55" s="182" t="str">
        <f>=ROUND(IFERROR($G$55-$H$55,0),2)</f>
      </c>
      <c r="J55" s="268" t="str">
        <f>=ROUND(IFERROR(($G$55/$H$55)-1,0),4)</f>
      </c>
    </row>
    <row r="56">
      <c r="B56" s="266" t="s">
        <v>199</v>
      </c>
      <c r="C56" s="240" t="str">
        <f>=IFERROR(ROUND(SUMIFS('Daten'!$BU$1:$BU$198,'Daten'!$BT$1:$BT$198,"KMW-Mittel",'Daten'!$BR$1:$BR$198,E10,'Daten'!$BS$1:$BS$198,"&lt;="&amp;E11,'Daten'!$BS$1:$BS$198,"&gt;=1"),2),0)</f>
      </c>
      <c r="D56" s="240" t="str">
        <f>=IFERROR(ROUND(KMW_Mittel_LW,2),0)</f>
      </c>
      <c r="E56" s="201" t="str">
        <f>=ROUND(IFERROR($C$56-$D$56,0),2)</f>
      </c>
      <c r="F56" s="258" t="str">
        <f>=ROUND(IFERROR(($C$56/$D$56)-1,0),4)</f>
      </c>
      <c r="G56" s="217" t="str">
        <f>=IFERROR(ROUND(SUMIFS('Daten'!$BV$1:$BV$198,'Daten'!$BT$1:$BT$198,"KMW-Mittel",'Daten'!$BR$1:$BR$198,E10,'Daten'!$BS$1:$BS$198,"&lt;="&amp;E11,'Daten'!$BS$1:$BS$198,"&gt;=1"),2),0)</f>
      </c>
      <c r="H56" s="217" t="str">
        <f>=IFERROR(ROUND(KMW_Mittel_EUR,2),0)</f>
      </c>
      <c r="I56" s="182" t="str">
        <f>=ROUND(IFERROR($G$56-$H$56,0),2)</f>
      </c>
      <c r="J56" s="269" t="str">
        <f>=ROUND(IFERROR(($G$56/$H$56)-1,0),4)</f>
      </c>
    </row>
    <row r="57">
      <c r="B57" s="266" t="s">
        <v>301</v>
      </c>
      <c r="C57" s="240" t="str">
        <f>=IFERROR(ROUND(SUMIFS('Daten'!$BU$1:$BU$198,'Daten'!$BT$1:$BT$198,"Zinsertraege",'Daten'!$BR$1:$BR$198,E10,'Daten'!$BS$1:$BS$198,"&lt;="&amp;E11,'Daten'!$BS$1:$BS$198,"&gt;=1"),2),0)</f>
      </c>
      <c r="D57" s="240" t="str">
        <f>=IFERROR(ROUND(0,2),0)</f>
      </c>
      <c r="E57" s="201" t="str">
        <f>=ROUND(IFERROR($C$57-$D$57,0),2)</f>
      </c>
      <c r="F57" s="258" t="str">
        <f>=ROUND(IFERROR(($C$57/$D$57)-1,0),4)</f>
      </c>
      <c r="G57" s="217" t="str">
        <f>=IFERROR(ROUND(SUMIFS('Daten'!$BV$1:$BV$198,'Daten'!$BT$1:$BT$198,"Zinsertraege",'Daten'!$BR$1:$BR$198,E10,'Daten'!$BS$1:$BS$198,"&lt;="&amp;E11,'Daten'!$BS$1:$BS$198,"&gt;=1"),2),0)</f>
      </c>
      <c r="H57" s="217" t="str">
        <f>=IFERROR(ROUND(0,2),0)</f>
      </c>
      <c r="I57" s="182" t="str">
        <f>=ROUND(IFERROR($G$57-$H$57,0),2)</f>
      </c>
      <c r="J57" s="270" t="str">
        <f>=ROUND(IFERROR(($G$57/$H$57)-1,0),4)</f>
      </c>
    </row>
    <row r="58" ht="20" customHeight="true">
      <c r="B58" s="271" t="s">
        <v>287</v>
      </c>
      <c r="C58" s="272" t="str">
        <f>=ROUND(SUM($C$54:$C$57),2)</f>
      </c>
      <c r="D58" s="272" t="str">
        <f>=ROUND(SUM($D$54:$D$57),2)</f>
      </c>
      <c r="E58" s="272" t="str">
        <f>=ROUND(SUM($E$54:$E$57),2)</f>
      </c>
      <c r="F58" s="273" t="str">
        <f>=ROUND(IFERROR(($C$58/$D$58)-1,0),4)</f>
      </c>
      <c r="G58" s="274" t="str">
        <f>=ROUND(SUM($G$54:$G$57),2)</f>
      </c>
      <c r="H58" s="274" t="str">
        <f>=ROUND(SUM($H$54:$H$57),2)</f>
      </c>
      <c r="I58" s="274" t="str">
        <f>=ROUND(SUM($I$54:$I$57),2)</f>
      </c>
      <c r="J58" s="275" t="str">
        <f>=ROUND(IFERROR(($G$58/$H$58)-1,0),4)</f>
      </c>
    </row>
    <row r="60" ht="22" customHeight="true">
      <c r="B60" s="18" t="s">
        <v>388</v>
      </c>
      <c r="C60" s="18"/>
      <c r="D60" s="18"/>
      <c r="E60" s="18"/>
      <c r="F60" s="18"/>
      <c r="G60" s="18"/>
      <c r="H60" s="18"/>
      <c r="I60" s="18"/>
      <c r="J60" s="18"/>
    </row>
    <row r="62" ht="28" customHeight="true">
      <c r="B62" s="263" t="s">
        <v>379</v>
      </c>
      <c r="C62" s="264" t="s">
        <v>380</v>
      </c>
      <c r="D62" s="264" t="s">
        <v>381</v>
      </c>
      <c r="E62" s="264" t="s">
        <v>382</v>
      </c>
      <c r="F62" s="264" t="s">
        <v>383</v>
      </c>
      <c r="G62" s="264" t="s">
        <v>384</v>
      </c>
      <c r="H62" s="264" t="s">
        <v>385</v>
      </c>
      <c r="I62" s="264" t="s">
        <v>386</v>
      </c>
      <c r="J62" s="265" t="s">
        <v>387</v>
      </c>
    </row>
    <row r="63">
      <c r="B63" s="266" t="s">
        <v>205</v>
      </c>
      <c r="C63" s="240" t="str">
        <f>=IFERROR(ROUND(SUMIFS('Daten'!$BU$1:$BU$198,'Daten'!$BT$1:$BT$198,"Bauausgaben",'Daten'!$BR$1:$BR$198,E10,'Daten'!$BS$1:$BS$198,"&lt;="&amp;E11,'Daten'!$BS$1:$BS$198,"&gt;=1"),2),0)</f>
      </c>
      <c r="D63" s="240" t="str">
        <f>=IFERROR(ROUND(Kosten_Bauausgaben_LW,2),0)</f>
      </c>
      <c r="E63" s="201" t="str">
        <f>=ROUND(IFERROR($C$63-$D$63,0),2)</f>
      </c>
      <c r="F63" s="258" t="str">
        <f>=ROUND(IFERROR(($C$63/$D$63)-1,0),4)</f>
      </c>
      <c r="G63" s="217" t="str">
        <f>=IFERROR(ROUND(SUMIFS('Daten'!$BV$1:$BV$198,'Daten'!$BT$1:$BT$198,"Bauausgaben",'Daten'!$BR$1:$BR$198,E10,'Daten'!$BS$1:$BS$198,"&lt;="&amp;E11,'Daten'!$BS$1:$BS$198,"&gt;=1"),2),0)</f>
      </c>
      <c r="H63" s="217" t="str">
        <f>=IFERROR(ROUND(Kosten_Bauausgaben_EUR,2),0)</f>
      </c>
      <c r="I63" s="182" t="str">
        <f>=ROUND(IFERROR($G$63-$H$63,0),2)</f>
      </c>
      <c r="J63" s="276" t="str">
        <f>=ROUND(IFERROR(($G$63/$H$63)-1,0),4)</f>
      </c>
    </row>
    <row r="64">
      <c r="B64" s="266" t="s">
        <v>210</v>
      </c>
      <c r="C64" s="240" t="str">
        <f>=IFERROR(ROUND(SUMIFS('Daten'!$BU$1:$BU$198,'Daten'!$BT$1:$BT$198,"Investitionen",'Daten'!$BR$1:$BR$198,E10,'Daten'!$BS$1:$BS$198,"&lt;="&amp;E11,'Daten'!$BS$1:$BS$198,"&gt;=1"),2),0)</f>
      </c>
      <c r="D64" s="240" t="str">
        <f>=IFERROR(ROUND(Kosten_Investitionen_LW,2),0)</f>
      </c>
      <c r="E64" s="201" t="str">
        <f>=ROUND(IFERROR($C$64-$D$64,0),2)</f>
      </c>
      <c r="F64" s="258" t="str">
        <f>=ROUND(IFERROR(($C$64/$D$64)-1,0),4)</f>
      </c>
      <c r="G64" s="217" t="str">
        <f>=IFERROR(ROUND(SUMIFS('Daten'!$BV$1:$BV$198,'Daten'!$BT$1:$BT$198,"Investitionen",'Daten'!$BR$1:$BR$198,E10,'Daten'!$BS$1:$BS$198,"&lt;="&amp;E11,'Daten'!$BS$1:$BS$198,"&gt;=1"),2),0)</f>
      </c>
      <c r="H64" s="217" t="str">
        <f>=IFERROR(ROUND(Kosten_Investitionen_EUR,2),0)</f>
      </c>
      <c r="I64" s="182" t="str">
        <f>=ROUND(IFERROR($G$64-$H$64,0),2)</f>
      </c>
      <c r="J64" s="277" t="str">
        <f>=ROUND(IFERROR(($G$64/$H$64)-1,0),4)</f>
      </c>
    </row>
    <row r="65">
      <c r="B65" s="266" t="s">
        <v>213</v>
      </c>
      <c r="C65" s="240" t="str">
        <f>=IFERROR(ROUND(SUMIFS('Daten'!$BU$1:$BU$198,'Daten'!$BT$1:$BT$198,"Personalkosten",'Daten'!$BR$1:$BR$198,E10,'Daten'!$BS$1:$BS$198,"&lt;="&amp;E11,'Daten'!$BS$1:$BS$198,"&gt;=1"),2),0)</f>
      </c>
      <c r="D65" s="240" t="str">
        <f>=IFERROR(ROUND(Kosten_Personalkosten_LW,2),0)</f>
      </c>
      <c r="E65" s="201" t="str">
        <f>=ROUND(IFERROR($C$65-$D$65,0),2)</f>
      </c>
      <c r="F65" s="258" t="str">
        <f>=ROUND(IFERROR(($C$65/$D$65)-1,0),4)</f>
      </c>
      <c r="G65" s="217" t="str">
        <f>=IFERROR(ROUND(SUMIFS('Daten'!$BV$1:$BV$198,'Daten'!$BT$1:$BT$198,"Personalkosten",'Daten'!$BR$1:$BR$198,E10,'Daten'!$BS$1:$BS$198,"&lt;="&amp;E11,'Daten'!$BS$1:$BS$198,"&gt;=1"),2),0)</f>
      </c>
      <c r="H65" s="217" t="str">
        <f>=IFERROR(ROUND(Kosten_Personalkosten_EUR,2),0)</f>
      </c>
      <c r="I65" s="182" t="str">
        <f>=ROUND(IFERROR($G$65-$H$65,0),2)</f>
      </c>
      <c r="J65" s="278" t="str">
        <f>=ROUND(IFERROR(($G$65/$H$65)-1,0),4)</f>
      </c>
    </row>
    <row r="66">
      <c r="B66" s="266" t="s">
        <v>218</v>
      </c>
      <c r="C66" s="240" t="str">
        <f>=IFERROR(ROUND(SUMIFS('Daten'!$BU$1:$BU$198,'Daten'!$BT$1:$BT$198,"Projektaktivitaeten",'Daten'!$BR$1:$BR$198,E10,'Daten'!$BS$1:$BS$198,"&lt;="&amp;E11,'Daten'!$BS$1:$BS$198,"&gt;=1"),2),0)</f>
      </c>
      <c r="D66" s="240" t="str">
        <f>=IFERROR(ROUND(Kosten_Projektaktivitaeten_LW,2),0)</f>
      </c>
      <c r="E66" s="201" t="str">
        <f>=ROUND(IFERROR($C$66-$D$66,0),2)</f>
      </c>
      <c r="F66" s="258" t="str">
        <f>=ROUND(IFERROR(($C$66/$D$66)-1,0),4)</f>
      </c>
      <c r="G66" s="217" t="str">
        <f>=IFERROR(ROUND(SUMIFS('Daten'!$BV$1:$BV$198,'Daten'!$BT$1:$BT$198,"Projektaktivitaeten",'Daten'!$BR$1:$BR$198,E10,'Daten'!$BS$1:$BS$198,"&lt;="&amp;E11,'Daten'!$BS$1:$BS$198,"&gt;=1"),2),0)</f>
      </c>
      <c r="H66" s="217" t="str">
        <f>=IFERROR(ROUND(Kosten_Projektaktivitaeten_EUR,2),0)</f>
      </c>
      <c r="I66" s="182" t="str">
        <f>=ROUND(IFERROR($G$66-$H$66,0),2)</f>
      </c>
      <c r="J66" s="279" t="str">
        <f>=ROUND(IFERROR(($G$66/$H$66)-1,0),4)</f>
      </c>
    </row>
    <row r="67">
      <c r="B67" s="266" t="s">
        <v>221</v>
      </c>
      <c r="C67" s="240" t="str">
        <f>=IFERROR(ROUND(SUMIFS('Daten'!$BU$1:$BU$198,'Daten'!$BT$1:$BT$198,"Projektverwaltung",'Daten'!$BR$1:$BR$198,E10,'Daten'!$BS$1:$BS$198,"&lt;="&amp;E11,'Daten'!$BS$1:$BS$198,"&gt;=1"),2),0)</f>
      </c>
      <c r="D67" s="240" t="str">
        <f>=IFERROR(ROUND(Kosten_Projektverwaltung_LW,2),0)</f>
      </c>
      <c r="E67" s="201" t="str">
        <f>=ROUND(IFERROR($C$67-$D$67,0),2)</f>
      </c>
      <c r="F67" s="258" t="str">
        <f>=ROUND(IFERROR(($C$67/$D$67)-1,0),4)</f>
      </c>
      <c r="G67" s="217" t="str">
        <f>=IFERROR(ROUND(SUMIFS('Daten'!$BV$1:$BV$198,'Daten'!$BT$1:$BT$198,"Projektverwaltung",'Daten'!$BR$1:$BR$198,E10,'Daten'!$BS$1:$BS$198,"&lt;="&amp;E11,'Daten'!$BS$1:$BS$198,"&gt;=1"),2),0)</f>
      </c>
      <c r="H67" s="217" t="str">
        <f>=IFERROR(ROUND(Kosten_Projektverwaltung_EUR,2),0)</f>
      </c>
      <c r="I67" s="182" t="str">
        <f>=ROUND(IFERROR($G$67-$H$67,0),2)</f>
      </c>
      <c r="J67" s="280" t="str">
        <f>=ROUND(IFERROR(($G$67/$H$67)-1,0),4)</f>
      </c>
    </row>
    <row r="68">
      <c r="B68" s="266" t="s">
        <v>224</v>
      </c>
      <c r="C68" s="240" t="str">
        <f>=IFERROR(ROUND(SUMIFS('Daten'!$BU$1:$BU$198,'Daten'!$BT$1:$BT$198,"Evaluierung",'Daten'!$BR$1:$BR$198,E10,'Daten'!$BS$1:$BS$198,"&lt;="&amp;E11,'Daten'!$BS$1:$BS$198,"&gt;=1"),2),0)</f>
      </c>
      <c r="D68" s="240" t="str">
        <f>=IFERROR(ROUND(Kosten_Evaluierung_LW,2),0)</f>
      </c>
      <c r="E68" s="201" t="str">
        <f>=ROUND(IFERROR($C$68-$D$68,0),2)</f>
      </c>
      <c r="F68" s="258" t="str">
        <f>=ROUND(IFERROR(($C$68/$D$68)-1,0),4)</f>
      </c>
      <c r="G68" s="217" t="str">
        <f>=IFERROR(ROUND(SUMIFS('Daten'!$BV$1:$BV$198,'Daten'!$BT$1:$BT$198,"Evaluierung",'Daten'!$BR$1:$BR$198,E10,'Daten'!$BS$1:$BS$198,"&lt;="&amp;E11,'Daten'!$BS$1:$BS$198,"&gt;=1"),2),0)</f>
      </c>
      <c r="H68" s="217" t="str">
        <f>=IFERROR(ROUND(Kosten_Evaluierung_EUR,2),0)</f>
      </c>
      <c r="I68" s="182" t="str">
        <f>=ROUND(IFERROR($G$68-$H$68,0),2)</f>
      </c>
      <c r="J68" s="281" t="str">
        <f>=ROUND(IFERROR(($G$68/$H$68)-1,0),4)</f>
      </c>
    </row>
    <row r="69">
      <c r="B69" s="266" t="s">
        <v>227</v>
      </c>
      <c r="C69" s="240" t="str">
        <f>=IFERROR(ROUND(SUMIFS('Daten'!$BU$1:$BU$198,'Daten'!$BT$1:$BT$198,"Audit",'Daten'!$BR$1:$BR$198,E10,'Daten'!$BS$1:$BS$198,"&lt;="&amp;E11,'Daten'!$BS$1:$BS$198,"&gt;=1"),2),0)</f>
      </c>
      <c r="D69" s="240" t="str">
        <f>=IFERROR(ROUND(Kosten_Audit_LW,2),0)</f>
      </c>
      <c r="E69" s="201" t="str">
        <f>=ROUND(IFERROR($C$69-$D$69,0),2)</f>
      </c>
      <c r="F69" s="258" t="str">
        <f>=ROUND(IFERROR(($C$69/$D$69)-1,0),4)</f>
      </c>
      <c r="G69" s="217" t="str">
        <f>=IFERROR(ROUND(SUMIFS('Daten'!$BV$1:$BV$198,'Daten'!$BT$1:$BT$198,"Audit",'Daten'!$BR$1:$BR$198,E10,'Daten'!$BS$1:$BS$198,"&lt;="&amp;E11,'Daten'!$BS$1:$BS$198,"&gt;=1"),2),0)</f>
      </c>
      <c r="H69" s="217" t="str">
        <f>=IFERROR(ROUND(Kosten_Audit_EUR,2),0)</f>
      </c>
      <c r="I69" s="182" t="str">
        <f>=ROUND(IFERROR($G$69-$H$69,0),2)</f>
      </c>
      <c r="J69" s="282" t="str">
        <f>=ROUND(IFERROR(($G$69/$H$69)-1,0),4)</f>
      </c>
    </row>
    <row r="70">
      <c r="B70" s="266" t="s">
        <v>230</v>
      </c>
      <c r="C70" s="240" t="str">
        <f>=IFERROR(ROUND(SUMIFS('Daten'!$BU$1:$BU$198,'Daten'!$BT$1:$BT$198,"Reserve",'Daten'!$BR$1:$BR$198,E10,'Daten'!$BS$1:$BS$198,"&lt;="&amp;E11,'Daten'!$BS$1:$BS$198,"&gt;=1"),2),0)</f>
      </c>
      <c r="D70" s="240" t="str">
        <f>=IFERROR(ROUND(Kosten_Reserve_LW,2),0)</f>
      </c>
      <c r="E70" s="201" t="str">
        <f>=ROUND(IFERROR($C$70-$D$70,0),2)</f>
      </c>
      <c r="F70" s="258" t="str">
        <f>=ROUND(IFERROR(($C$70/$D$70)-1,0),4)</f>
      </c>
      <c r="G70" s="217" t="str">
        <f>=IFERROR(ROUND(SUMIFS('Daten'!$BV$1:$BV$198,'Daten'!$BT$1:$BT$198,"Reserve",'Daten'!$BR$1:$BR$198,E10,'Daten'!$BS$1:$BS$198,"&lt;="&amp;E11,'Daten'!$BS$1:$BS$198,"&gt;=1"),2),0)</f>
      </c>
      <c r="H70" s="217" t="str">
        <f>=IFERROR(ROUND(Kosten_Reserve_EUR,2),0)</f>
      </c>
      <c r="I70" s="182" t="str">
        <f>=ROUND(IFERROR($G$70-$H$70,0),2)</f>
      </c>
      <c r="J70" s="283" t="str">
        <f>=ROUND(IFERROR(($G$70/$H$70)-1,0),4)</f>
      </c>
    </row>
    <row r="71" ht="20" customHeight="true">
      <c r="B71" s="271" t="s">
        <v>287</v>
      </c>
      <c r="C71" s="272" t="str">
        <f>=ROUND(SUM($C$63:$C$70),2)</f>
      </c>
      <c r="D71" s="272" t="str">
        <f>=ROUND(SUM($D$63:$D$70),2)</f>
      </c>
      <c r="E71" s="272" t="str">
        <f>=ROUND(SUM($E$63:$E$70),2)</f>
      </c>
      <c r="F71" s="284" t="str">
        <f>=ROUND(IFERROR(($C$71/$D$71)-1,0),4)</f>
      </c>
      <c r="G71" s="274" t="str">
        <f>=ROUND(SUM($G$63:$G$70),2)</f>
      </c>
      <c r="H71" s="274" t="str">
        <f>=ROUND(SUM($H$63:$H$70),2)</f>
      </c>
      <c r="I71" s="274" t="str">
        <f>=ROUND(SUM($I$63:$I$70),2)</f>
      </c>
      <c r="J71" s="285" t="str">
        <f>=ROUND(IFERROR(($G$71/$H$71)-1,0),4)</f>
      </c>
    </row>
    <row r="77" ht="22" customHeight="true">
      <c r="B77" s="194" t="s">
        <v>389</v>
      </c>
      <c r="C77" s="194"/>
      <c r="D77" s="194"/>
      <c r="E77" s="194"/>
      <c r="F77" s="194"/>
      <c r="G77" s="194"/>
      <c r="H77" s="194"/>
      <c r="I77" s="194"/>
      <c r="J77" s="194"/>
      <c r="L77" s="202" t="str">
        <f>=IF(E82=0,"Aktueller Finanzbericht (keiner gewählt)","Aktueller Finanzbericht – Periode "&amp;E82)</f>
      </c>
      <c r="M77" s="203"/>
      <c r="N77" s="203"/>
      <c r="O77" s="203"/>
      <c r="P77" s="204"/>
    </row>
    <row r="78">
      <c r="B78" s="195" t="s">
        <v>390</v>
      </c>
      <c r="C78" s="195"/>
      <c r="D78" s="195"/>
      <c r="E78" s="195"/>
      <c r="F78" s="195"/>
      <c r="G78" s="195"/>
      <c r="H78" s="195"/>
      <c r="I78" s="195"/>
      <c r="J78" s="195"/>
      <c r="L78" s="314" t="s">
        <v>288</v>
      </c>
      <c r="M78" s="325" t="str">
        <f>=IFERROR(CHOOSE(E82,'III. Finanzberichte'!$C$4,'III. Finanzberichte'!$J$4,'III. Finanzberichte'!$Q$4,'III. Finanzberichte'!$X$4,'III. Finanzberichte'!$AE$4,'III. Finanzberichte'!$AL$4,'III. Finanzberichte'!$AS$4,'III. Finanzberichte'!$AZ$4,'III. Finanzberichte'!$BG$4,'III. Finanzberichte'!$BN$4,'III. Finanzberichte'!$BU$4,'III. Finanzberichte'!$CB$4,'III. Finanzberichte'!$CI$4,'III. Finanzberichte'!$CP$4,'III. Finanzberichte'!$CW$4,'III. Finanzberichte'!$DD$4,'III. Finanzberichte'!$DK$4,'III. Finanzberichte'!$DR$4),"")</f>
      </c>
      <c r="N78" s="325"/>
      <c r="O78" s="325"/>
      <c r="P78" s="336"/>
    </row>
    <row r="79">
      <c r="L79" s="314" t="s">
        <v>289</v>
      </c>
      <c r="M79" s="326" t="str">
        <f>=IFERROR(CHOOSE(E82,'III. Finanzberichte'!$C$5,'III. Finanzberichte'!$J$5,'III. Finanzberichte'!$Q$5,'III. Finanzberichte'!$X$5,'III. Finanzberichte'!$AE$5,'III. Finanzberichte'!$AL$5,'III. Finanzberichte'!$AS$5,'III. Finanzberichte'!$AZ$5,'III. Finanzberichte'!$BG$5,'III. Finanzberichte'!$BN$5,'III. Finanzberichte'!$BU$5,'III. Finanzberichte'!$CB$5,'III. Finanzberichte'!$CI$5,'III. Finanzberichte'!$CP$5,'III. Finanzberichte'!$CW$5,'III. Finanzberichte'!$DD$5,'III. Finanzberichte'!$DK$5,'III. Finanzberichte'!$DR$5),"")</f>
      </c>
      <c r="N79" s="326"/>
      <c r="O79" s="326"/>
      <c r="P79" s="337"/>
    </row>
    <row r="80" ht="22" customHeight="true">
      <c r="C80" s="202" t="s">
        <v>391</v>
      </c>
      <c r="D80" s="203"/>
      <c r="E80" s="203"/>
      <c r="F80" s="203"/>
      <c r="G80" s="204"/>
      <c r="L80" s="314" t="s">
        <v>290</v>
      </c>
      <c r="M80" s="326" t="str">
        <f>=IFERROR(CHOOSE(E82,'III. Finanzberichte'!$C$6,'III. Finanzberichte'!$J$6,'III. Finanzberichte'!$Q$6,'III. Finanzberichte'!$X$6,'III. Finanzberichte'!$AE$6,'III. Finanzberichte'!$AL$6,'III. Finanzberichte'!$AS$6,'III. Finanzberichte'!$AZ$6,'III. Finanzberichte'!$BG$6,'III. Finanzberichte'!$BN$6,'III. Finanzberichte'!$BU$6,'III. Finanzberichte'!$CB$6,'III. Finanzberichte'!$CI$6,'III. Finanzberichte'!$CP$6,'III. Finanzberichte'!$CW$6,'III. Finanzberichte'!$DD$6,'III. Finanzberichte'!$DK$6,'III. Finanzberichte'!$DR$6),"")</f>
      </c>
      <c r="N80" s="326"/>
      <c r="O80" s="326"/>
      <c r="P80" s="337"/>
    </row>
    <row r="81">
      <c r="C81" s="205" t="s">
        <v>343</v>
      </c>
      <c r="D81" s="197"/>
      <c r="E81" s="63" t="s">
        <v>392</v>
      </c>
      <c r="F81" s="63"/>
      <c r="G81" s="206"/>
      <c r="L81" s="314" t="s">
        <v>291</v>
      </c>
      <c r="M81" s="327" t="str">
        <f>=IFERROR(CHOOSE(E82,'III. Finanzberichte'!$C$7,'III. Finanzberichte'!$J$7,'III. Finanzberichte'!$Q$7,'III. Finanzberichte'!$X$7,'III. Finanzberichte'!$AE$7,'III. Finanzberichte'!$AL$7,'III. Finanzberichte'!$AS$7,'III. Finanzberichte'!$AZ$7,'III. Finanzberichte'!$BG$7,'III. Finanzberichte'!$BN$7,'III. Finanzberichte'!$BU$7,'III. Finanzberichte'!$CB$7,'III. Finanzberichte'!$CI$7,'III. Finanzberichte'!$CP$7,'III. Finanzberichte'!$CW$7,'III. Finanzberichte'!$DD$7,'III. Finanzberichte'!$DK$7,'III. Finanzberichte'!$DR$7),"")</f>
      </c>
      <c r="N81" s="327"/>
      <c r="O81" s="327"/>
      <c r="P81" s="338"/>
    </row>
    <row r="82">
      <c r="C82" s="253" t="s">
        <v>345</v>
      </c>
      <c r="D82" s="254"/>
      <c r="E82" s="286" t="str">
        <f>=IF(E81="Neuester FB",IFERROR(SUMPRODUCT(MAX(('Daten'!$BK$1:$BK$18=1)*'Daten'!$BJ$1:$BJ$18)),0),IF(LEFT(E81,8)="Periode ",IFERROR(VALUE(TRIM(MID(E81,9,5))),0),0))</f>
      </c>
      <c r="F82" s="287"/>
      <c r="G82" s="288"/>
      <c r="L82" s="314" t="s">
        <v>292</v>
      </c>
      <c r="M82" s="328" t="str">
        <f>=IFERROR(CHOOSE(E82,'III. Finanzberichte'!$C$8,'III. Finanzberichte'!$J$8,'III. Finanzberichte'!$Q$8,'III. Finanzberichte'!$X$8,'III. Finanzberichte'!$AE$8,'III. Finanzberichte'!$AL$8,'III. Finanzberichte'!$AS$8,'III. Finanzberichte'!$AZ$8,'III. Finanzberichte'!$BG$8,'III. Finanzberichte'!$BN$8,'III. Finanzberichte'!$BU$8,'III. Finanzberichte'!$CB$8,'III. Finanzberichte'!$CI$8,'III. Finanzberichte'!$CP$8,'III. Finanzberichte'!$CW$8,'III. Finanzberichte'!$DD$8,'III. Finanzberichte'!$DK$8,'III. Finanzberichte'!$DR$8),"")</f>
      </c>
      <c r="N82" s="328"/>
      <c r="O82" s="328"/>
      <c r="P82" s="339"/>
    </row>
    <row r="83">
      <c r="L83" s="47"/>
      <c r="P83" s="48"/>
    </row>
    <row r="84" ht="22" customHeight="true">
      <c r="B84" s="18" t="s">
        <v>393</v>
      </c>
      <c r="C84" s="18"/>
      <c r="D84" s="18"/>
      <c r="E84" s="18"/>
      <c r="F84" s="18"/>
      <c r="G84" s="18"/>
      <c r="H84" s="18"/>
      <c r="I84" s="18"/>
      <c r="J84" s="18"/>
      <c r="L84" s="340" t="s">
        <v>293</v>
      </c>
      <c r="M84" s="329"/>
      <c r="N84" s="329"/>
      <c r="O84" s="329"/>
      <c r="P84" s="341"/>
    </row>
    <row r="85" ht="26" customHeight="true">
      <c r="L85" s="342" t="s">
        <v>294</v>
      </c>
      <c r="M85" s="330" t="s">
        <v>295</v>
      </c>
      <c r="N85" s="330" t="s">
        <v>296</v>
      </c>
      <c r="O85" s="330" t="s">
        <v>297</v>
      </c>
      <c r="P85" s="343" t="s">
        <v>298</v>
      </c>
    </row>
    <row r="86">
      <c r="B86" s="223" t="s">
        <v>349</v>
      </c>
      <c r="C86" s="224"/>
      <c r="D86" s="225" t="str">
        <f>=IFERROR(ROUND(KMW_Mittel_EUR,2),0)</f>
      </c>
      <c r="F86" s="230" t="s">
        <v>353</v>
      </c>
      <c r="G86" s="231"/>
      <c r="H86" s="231"/>
      <c r="I86" s="232"/>
      <c r="L86" s="143" t="str">
        <f>=IFERROR(CHOOSE(E82,'III. Finanzberichte'!$B$11,'III. Finanzberichte'!$I$11,'III. Finanzberichte'!$P$11,'III. Finanzberichte'!$W$11,'III. Finanzberichte'!$AD$11,'III. Finanzberichte'!$AK$11,'III. Finanzberichte'!$AR$11,'III. Finanzberichte'!$AY$11,'III. Finanzberichte'!$BF$11,'III. Finanzberichte'!$BM$11,'III. Finanzberichte'!$BT$11,'III. Finanzberichte'!$CA$11,'III. Finanzberichte'!$CH$11,'III. Finanzberichte'!$CO$11,'III. Finanzberichte'!$CV$11,'III. Finanzberichte'!$DC$11,'III. Finanzberichte'!$DJ$11,'III. Finanzberichte'!$DQ$11),"")</f>
      </c>
      <c r="M86" s="116" t="str">
        <f>=IFERROR(CHOOSE(E82,'III. Finanzberichte'!$C$11,'III. Finanzberichte'!$J$11,'III. Finanzberichte'!$Q$11,'III. Finanzberichte'!$X$11,'III. Finanzberichte'!$AE$11,'III. Finanzberichte'!$AL$11,'III. Finanzberichte'!$AS$11,'III. Finanzberichte'!$AZ$11,'III. Finanzberichte'!$BG$11,'III. Finanzberichte'!$BN$11,'III. Finanzberichte'!$BU$11,'III. Finanzberichte'!$CB$11,'III. Finanzberichte'!$CI$11,'III. Finanzberichte'!$CP$11,'III. Finanzberichte'!$CW$11,'III. Finanzberichte'!$DD$11,'III. Finanzberichte'!$DK$11,'III. Finanzberichte'!$DR$11),"")</f>
      </c>
      <c r="N86" s="117" t="str">
        <f>=IFERROR(CHOOSE(E82,'III. Finanzberichte'!$D$11,'III. Finanzberichte'!$K$11,'III. Finanzberichte'!$R$11,'III. Finanzberichte'!$Y$11,'III. Finanzberichte'!$AF$11,'III. Finanzberichte'!$AM$11,'III. Finanzberichte'!$AT$11,'III. Finanzberichte'!$BA$11,'III. Finanzberichte'!$BH$11,'III. Finanzberichte'!$BO$11,'III. Finanzberichte'!$BV$11,'III. Finanzberichte'!$CC$11,'III. Finanzberichte'!$CJ$11,'III. Finanzberichte'!$CQ$11,'III. Finanzberichte'!$CX$11,'III. Finanzberichte'!$DE$11,'III. Finanzberichte'!$DL$11,'III. Finanzberichte'!$DS$11),"")</f>
      </c>
      <c r="O86" s="116" t="str">
        <f>=IFERROR(CHOOSE(E82,'III. Finanzberichte'!$E$11,'III. Finanzberichte'!$L$11,'III. Finanzberichte'!$S$11,'III. Finanzberichte'!$Z$11,'III. Finanzberichte'!$AG$11,'III. Finanzberichte'!$AN$11,'III. Finanzberichte'!$AU$11,'III. Finanzberichte'!$BB$11,'III. Finanzberichte'!$BI$11,'III. Finanzberichte'!$BP$11,'III. Finanzberichte'!$BW$11,'III. Finanzberichte'!$CD$11,'III. Finanzberichte'!$CK$11,'III. Finanzberichte'!$CR$11,'III. Finanzberichte'!$CY$11,'III. Finanzberichte'!$DF$11,'III. Finanzberichte'!$DM$11,'III. Finanzberichte'!$DT$11),"")</f>
      </c>
      <c r="P86" s="144" t="str">
        <f>=IFERROR(CHOOSE(E82,'III. Finanzberichte'!$F$11,'III. Finanzberichte'!$M$11,'III. Finanzberichte'!$T$11,'III. Finanzberichte'!$AA$11,'III. Finanzberichte'!$AH$11,'III. Finanzberichte'!$AO$11,'III. Finanzberichte'!$AV$11,'III. Finanzberichte'!$BC$11,'III. Finanzberichte'!$BJ$11,'III. Finanzberichte'!$BQ$11,'III. Finanzberichte'!$BX$11,'III. Finanzberichte'!$CE$11,'III. Finanzberichte'!$CL$11,'III. Finanzberichte'!$CS$11,'III. Finanzberichte'!$CZ$11,'III. Finanzberichte'!$DG$11,'III. Finanzberichte'!$DN$11,'III. Finanzberichte'!$DU$11),"")</f>
      </c>
    </row>
    <row r="87">
      <c r="B87" s="205" t="s">
        <v>350</v>
      </c>
      <c r="C87" s="197"/>
      <c r="D87" s="226" t="str">
        <f>=IFERROR(ROUND(Kosten_Reserve_EUR,2),0)</f>
      </c>
      <c r="F87" s="233" t="s">
        <v>354</v>
      </c>
      <c r="G87" s="197" t="s">
        <v>355</v>
      </c>
      <c r="H87" s="197"/>
      <c r="I87" s="234" t="str">
        <f>=IFERROR(ROUND(Saldovortrag_EUR,2),0)</f>
      </c>
      <c r="L87" s="143" t="s">
        <v>194</v>
      </c>
      <c r="M87" s="116" t="str">
        <f>=IFERROR(CHOOSE(E82,'III. Finanzberichte'!$C$12,'III. Finanzberichte'!$J$12,'III. Finanzberichte'!$Q$12,'III. Finanzberichte'!$X$12,'III. Finanzberichte'!$AE$12,'III. Finanzberichte'!$AL$12,'III. Finanzberichte'!$AS$12,'III. Finanzberichte'!$AZ$12,'III. Finanzberichte'!$BG$12,'III. Finanzberichte'!$BN$12,'III. Finanzberichte'!$BU$12,'III. Finanzberichte'!$CB$12,'III. Finanzberichte'!$CI$12,'III. Finanzberichte'!$CP$12,'III. Finanzberichte'!$CW$12,'III. Finanzberichte'!$DD$12,'III. Finanzberichte'!$DK$12,'III. Finanzberichte'!$DR$12),"")</f>
      </c>
      <c r="N87" s="117" t="str">
        <f>=IFERROR(CHOOSE(E82,'III. Finanzberichte'!$D$12,'III. Finanzberichte'!$K$12,'III. Finanzberichte'!$R$12,'III. Finanzberichte'!$Y$12,'III. Finanzberichte'!$AF$12,'III. Finanzberichte'!$AM$12,'III. Finanzberichte'!$AT$12,'III. Finanzberichte'!$BA$12,'III. Finanzberichte'!$BH$12,'III. Finanzberichte'!$BO$12,'III. Finanzberichte'!$BV$12,'III. Finanzberichte'!$CC$12,'III. Finanzberichte'!$CJ$12,'III. Finanzberichte'!$CQ$12,'III. Finanzberichte'!$CX$12,'III. Finanzberichte'!$DE$12,'III. Finanzberichte'!$DL$12,'III. Finanzberichte'!$DS$12),"")</f>
      </c>
      <c r="O87" s="116" t="str">
        <f>=IFERROR(CHOOSE(E82,'III. Finanzberichte'!$E$12,'III. Finanzberichte'!$L$12,'III. Finanzberichte'!$S$12,'III. Finanzberichte'!$Z$12,'III. Finanzberichte'!$AG$12,'III. Finanzberichte'!$AN$12,'III. Finanzberichte'!$AU$12,'III. Finanzberichte'!$BB$12,'III. Finanzberichte'!$BI$12,'III. Finanzberichte'!$BP$12,'III. Finanzberichte'!$BW$12,'III. Finanzberichte'!$CD$12,'III. Finanzberichte'!$CK$12,'III. Finanzberichte'!$CR$12,'III. Finanzberichte'!$CY$12,'III. Finanzberichte'!$DF$12,'III. Finanzberichte'!$DM$12,'III. Finanzberichte'!$DT$12),"")</f>
      </c>
      <c r="P87" s="144" t="str">
        <f>=IFERROR(CHOOSE(E82,'III. Finanzberichte'!$F$12,'III. Finanzberichte'!$M$12,'III. Finanzberichte'!$T$12,'III. Finanzberichte'!$AA$12,'III. Finanzberichte'!$AH$12,'III. Finanzberichte'!$AO$12,'III. Finanzberichte'!$AV$12,'III. Finanzberichte'!$BC$12,'III. Finanzberichte'!$BJ$12,'III. Finanzberichte'!$BQ$12,'III. Finanzberichte'!$BX$12,'III. Finanzberichte'!$CE$12,'III. Finanzberichte'!$CL$12,'III. Finanzberichte'!$CS$12,'III. Finanzberichte'!$CZ$12,'III. Finanzberichte'!$DG$12,'III. Finanzberichte'!$DN$12,'III. Finanzberichte'!$DU$12),"")</f>
      </c>
    </row>
    <row r="88">
      <c r="B88" s="205" t="str">
        <f>=IF(Reserve_Freigabe="Ja","Operatives Budget (Reserve freigegeben)","Operatives Budget (abzgl. Reserve)")</f>
      </c>
      <c r="C88" s="197"/>
      <c r="D88" s="226" t="str">
        <f>=IF(Reserve_Freigabe="Ja",ROUND($D$86,2),ROUND($D$86-$D$87,2))</f>
      </c>
      <c r="F88" s="233" t="s">
        <v>354</v>
      </c>
      <c r="G88" s="197" t="s">
        <v>356</v>
      </c>
      <c r="H88" s="197"/>
      <c r="I88" s="234" t="str">
        <f>=IFERROR(ROUND(MAX(0,(SUM($G$97:$G$100)-$G$99)-(SUM($H$97:$H$100)-$H$99)),2),0)</f>
        <v>0</v>
      </c>
      <c r="L88" s="143" t="s">
        <v>300</v>
      </c>
      <c r="M88" s="116" t="str">
        <f>=IFERROR(CHOOSE(E82,'III. Finanzberichte'!$C$13,'III. Finanzberichte'!$J$13,'III. Finanzberichte'!$Q$13,'III. Finanzberichte'!$X$13,'III. Finanzberichte'!$AE$13,'III. Finanzberichte'!$AL$13,'III. Finanzberichte'!$AS$13,'III. Finanzberichte'!$AZ$13,'III. Finanzberichte'!$BG$13,'III. Finanzberichte'!$BN$13,'III. Finanzberichte'!$BU$13,'III. Finanzberichte'!$CB$13,'III. Finanzberichte'!$CI$13,'III. Finanzberichte'!$CP$13,'III. Finanzberichte'!$CW$13,'III. Finanzberichte'!$DD$13,'III. Finanzberichte'!$DK$13,'III. Finanzberichte'!$DR$13),"")</f>
      </c>
      <c r="N88" s="117" t="str">
        <f>=IFERROR(CHOOSE(E82,'III. Finanzberichte'!$D$13,'III. Finanzberichte'!$K$13,'III. Finanzberichte'!$R$13,'III. Finanzberichte'!$Y$13,'III. Finanzberichte'!$AF$13,'III. Finanzberichte'!$AM$13,'III. Finanzberichte'!$AT$13,'III. Finanzberichte'!$BA$13,'III. Finanzberichte'!$BH$13,'III. Finanzberichte'!$BO$13,'III. Finanzberichte'!$BV$13,'III. Finanzberichte'!$CC$13,'III. Finanzberichte'!$CJ$13,'III. Finanzberichte'!$CQ$13,'III. Finanzberichte'!$CX$13,'III. Finanzberichte'!$DE$13,'III. Finanzberichte'!$DL$13,'III. Finanzberichte'!$DS$13),"")</f>
      </c>
      <c r="O88" s="116" t="str">
        <f>=IFERROR(CHOOSE(E82,'III. Finanzberichte'!$E$13,'III. Finanzberichte'!$L$13,'III. Finanzberichte'!$S$13,'III. Finanzberichte'!$Z$13,'III. Finanzberichte'!$AG$13,'III. Finanzberichte'!$AN$13,'III. Finanzberichte'!$AU$13,'III. Finanzberichte'!$BB$13,'III. Finanzberichte'!$BI$13,'III. Finanzberichte'!$BP$13,'III. Finanzberichte'!$BW$13,'III. Finanzberichte'!$CD$13,'III. Finanzberichte'!$CK$13,'III. Finanzberichte'!$CR$13,'III. Finanzberichte'!$CY$13,'III. Finanzberichte'!$DF$13,'III. Finanzberichte'!$DM$13,'III. Finanzberichte'!$DT$13),"")</f>
      </c>
      <c r="P88" s="144" t="str">
        <f>=IFERROR(CHOOSE(E82,'III. Finanzberichte'!$F$13,'III. Finanzberichte'!$M$13,'III. Finanzberichte'!$T$13,'III. Finanzberichte'!$AA$13,'III. Finanzberichte'!$AH$13,'III. Finanzberichte'!$AO$13,'III. Finanzberichte'!$AV$13,'III. Finanzberichte'!$BC$13,'III. Finanzberichte'!$BJ$13,'III. Finanzberichte'!$BQ$13,'III. Finanzberichte'!$BX$13,'III. Finanzberichte'!$CE$13,'III. Finanzberichte'!$CL$13,'III. Finanzberichte'!$CS$13,'III. Finanzberichte'!$CZ$13,'III. Finanzberichte'!$DG$13,'III. Finanzberichte'!$DN$13,'III. Finanzberichte'!$DU$13),"")</f>
      </c>
    </row>
    <row r="89">
      <c r="B89" s="205" t="s">
        <v>351</v>
      </c>
      <c r="C89" s="197"/>
      <c r="D89" s="226" t="str">
        <f>=IFERROR(ROUND(SUBTOTAL(109,TblKMWMittel[Betrag]),2),0)</f>
      </c>
      <c r="F89" s="47"/>
      <c r="G89" s="218" t="s">
        <v>358</v>
      </c>
      <c r="H89" s="218"/>
      <c r="I89" s="235" t="str">
        <f>=ROUND(IF($F$87="Abzug",MAX(0,$I$87),0)+IF($F$88="Abzug",MAX(0,$I$88),0),2)</f>
      </c>
      <c r="L89" s="143" t="s">
        <v>199</v>
      </c>
      <c r="M89" s="116" t="str">
        <f>=IFERROR(CHOOSE(E82,'III. Finanzberichte'!$C$14,'III. Finanzberichte'!$J$14,'III. Finanzberichte'!$Q$14,'III. Finanzberichte'!$X$14,'III. Finanzberichte'!$AE$14,'III. Finanzberichte'!$AL$14,'III. Finanzberichte'!$AS$14,'III. Finanzberichte'!$AZ$14,'III. Finanzberichte'!$BG$14,'III. Finanzberichte'!$BN$14,'III. Finanzberichte'!$BU$14,'III. Finanzberichte'!$CB$14,'III. Finanzberichte'!$CI$14,'III. Finanzberichte'!$CP$14,'III. Finanzberichte'!$CW$14,'III. Finanzberichte'!$DD$14,'III. Finanzberichte'!$DK$14,'III. Finanzberichte'!$DR$14),"")</f>
      </c>
      <c r="N89" s="117" t="str">
        <f>=IFERROR(CHOOSE(E82,'III. Finanzberichte'!$D$14,'III. Finanzberichte'!$K$14,'III. Finanzberichte'!$R$14,'III. Finanzberichte'!$Y$14,'III. Finanzberichte'!$AF$14,'III. Finanzberichte'!$AM$14,'III. Finanzberichte'!$AT$14,'III. Finanzberichte'!$BA$14,'III. Finanzberichte'!$BH$14,'III. Finanzberichte'!$BO$14,'III. Finanzberichte'!$BV$14,'III. Finanzberichte'!$CC$14,'III. Finanzberichte'!$CJ$14,'III. Finanzberichte'!$CQ$14,'III. Finanzberichte'!$CX$14,'III. Finanzberichte'!$DE$14,'III. Finanzberichte'!$DL$14,'III. Finanzberichte'!$DS$14),"")</f>
      </c>
      <c r="O89" s="116" t="str">
        <f>=IFERROR(CHOOSE(E82,'III. Finanzberichte'!$E$14,'III. Finanzberichte'!$L$14,'III. Finanzberichte'!$S$14,'III. Finanzberichte'!$Z$14,'III. Finanzberichte'!$AG$14,'III. Finanzberichte'!$AN$14,'III. Finanzberichte'!$AU$14,'III. Finanzberichte'!$BB$14,'III. Finanzberichte'!$BI$14,'III. Finanzberichte'!$BP$14,'III. Finanzberichte'!$BW$14,'III. Finanzberichte'!$CD$14,'III. Finanzberichte'!$CK$14,'III. Finanzberichte'!$CR$14,'III. Finanzberichte'!$CY$14,'III. Finanzberichte'!$DF$14,'III. Finanzberichte'!$DM$14,'III. Finanzberichte'!$DT$14),"")</f>
      </c>
      <c r="P89" s="144" t="str">
        <f>=IFERROR(CHOOSE(E82,'III. Finanzberichte'!$F$14,'III. Finanzberichte'!$M$14,'III. Finanzberichte'!$T$14,'III. Finanzberichte'!$AA$14,'III. Finanzberichte'!$AH$14,'III. Finanzberichte'!$AO$14,'III. Finanzberichte'!$AV$14,'III. Finanzberichte'!$BC$14,'III. Finanzberichte'!$BJ$14,'III. Finanzberichte'!$BQ$14,'III. Finanzberichte'!$BX$14,'III. Finanzberichte'!$CE$14,'III. Finanzberichte'!$CL$14,'III. Finanzberichte'!$CS$14,'III. Finanzberichte'!$CZ$14,'III. Finanzberichte'!$DG$14,'III. Finanzberichte'!$DN$14,'III. Finanzberichte'!$DU$14),"")</f>
      </c>
    </row>
    <row r="90">
      <c r="B90" s="227" t="s">
        <v>352</v>
      </c>
      <c r="C90" s="228"/>
      <c r="D90" s="229" t="str">
        <f>=ROUND($D$88-$D$89,2)</f>
      </c>
      <c r="F90" s="236"/>
      <c r="G90" s="228" t="s">
        <v>359</v>
      </c>
      <c r="H90" s="228"/>
      <c r="I90" s="229" t="str">
        <f>=ROUND($D$90-$I$89,2)</f>
      </c>
      <c r="L90" s="143" t="s">
        <v>301</v>
      </c>
      <c r="M90" s="116" t="str">
        <f>=IFERROR(CHOOSE(E82,'III. Finanzberichte'!$C$15,'III. Finanzberichte'!$J$15,'III. Finanzberichte'!$Q$15,'III. Finanzberichte'!$X$15,'III. Finanzberichte'!$AE$15,'III. Finanzberichte'!$AL$15,'III. Finanzberichte'!$AS$15,'III. Finanzberichte'!$AZ$15,'III. Finanzberichte'!$BG$15,'III. Finanzberichte'!$BN$15,'III. Finanzberichte'!$BU$15,'III. Finanzberichte'!$CB$15,'III. Finanzberichte'!$CI$15,'III. Finanzberichte'!$CP$15,'III. Finanzberichte'!$CW$15,'III. Finanzberichte'!$DD$15,'III. Finanzberichte'!$DK$15,'III. Finanzberichte'!$DR$15),"")</f>
      </c>
      <c r="N90" s="117" t="str">
        <f>=IFERROR(CHOOSE(E82,'III. Finanzberichte'!$D$15,'III. Finanzberichte'!$K$15,'III. Finanzberichte'!$R$15,'III. Finanzberichte'!$Y$15,'III. Finanzberichte'!$AF$15,'III. Finanzberichte'!$AM$15,'III. Finanzberichte'!$AT$15,'III. Finanzberichte'!$BA$15,'III. Finanzberichte'!$BH$15,'III. Finanzberichte'!$BO$15,'III. Finanzberichte'!$BV$15,'III. Finanzberichte'!$CC$15,'III. Finanzberichte'!$CJ$15,'III. Finanzberichte'!$CQ$15,'III. Finanzberichte'!$CX$15,'III. Finanzberichte'!$DE$15,'III. Finanzberichte'!$DL$15,'III. Finanzberichte'!$DS$15),"")</f>
      </c>
      <c r="O90" s="116" t="str">
        <f>=IFERROR(CHOOSE(E82,'III. Finanzberichte'!$E$15,'III. Finanzberichte'!$L$15,'III. Finanzberichte'!$S$15,'III. Finanzberichte'!$Z$15,'III. Finanzberichte'!$AG$15,'III. Finanzberichte'!$AN$15,'III. Finanzberichte'!$AU$15,'III. Finanzberichte'!$BB$15,'III. Finanzberichte'!$BI$15,'III. Finanzberichte'!$BP$15,'III. Finanzberichte'!$BW$15,'III. Finanzberichte'!$CD$15,'III. Finanzberichte'!$CK$15,'III. Finanzberichte'!$CR$15,'III. Finanzberichte'!$CY$15,'III. Finanzberichte'!$DF$15,'III. Finanzberichte'!$DM$15,'III. Finanzberichte'!$DT$15),"")</f>
      </c>
      <c r="P90" s="144" t="str">
        <f>=IFERROR(CHOOSE(E82,'III. Finanzberichte'!$F$15,'III. Finanzberichte'!$M$15,'III. Finanzberichte'!$T$15,'III. Finanzberichte'!$AA$15,'III. Finanzberichte'!$AH$15,'III. Finanzberichte'!$AO$15,'III. Finanzberichte'!$AV$15,'III. Finanzberichte'!$BC$15,'III. Finanzberichte'!$BJ$15,'III. Finanzberichte'!$BQ$15,'III. Finanzberichte'!$BX$15,'III. Finanzberichte'!$CE$15,'III. Finanzberichte'!$CL$15,'III. Finanzberichte'!$CS$15,'III. Finanzberichte'!$CZ$15,'III. Finanzberichte'!$DG$15,'III. Finanzberichte'!$DN$15,'III. Finanzberichte'!$DU$15),"")</f>
      </c>
    </row>
    <row r="91">
      <c r="L91" s="344" t="s">
        <v>302</v>
      </c>
      <c r="M91" s="332" t="str">
        <f>=IFERROR(CHOOSE(E82,'III. Finanzberichte'!$C$16,'III. Finanzberichte'!$J$16,'III. Finanzberichte'!$Q$16,'III. Finanzberichte'!$X$16,'III. Finanzberichte'!$AE$16,'III. Finanzberichte'!$AL$16,'III. Finanzberichte'!$AS$16,'III. Finanzberichte'!$AZ$16,'III. Finanzberichte'!$BG$16,'III. Finanzberichte'!$BN$16,'III. Finanzberichte'!$BU$16,'III. Finanzberichte'!$CB$16,'III. Finanzberichte'!$CI$16,'III. Finanzberichte'!$CP$16,'III. Finanzberichte'!$CW$16,'III. Finanzberichte'!$DD$16,'III. Finanzberichte'!$DK$16,'III. Finanzberichte'!$DR$16),"")</f>
      </c>
      <c r="N91" s="333" t="str">
        <f>=IFERROR(CHOOSE(E82,'III. Finanzberichte'!$D$16,'III. Finanzberichte'!$K$16,'III. Finanzberichte'!$R$16,'III. Finanzberichte'!$Y$16,'III. Finanzberichte'!$AF$16,'III. Finanzberichte'!$AM$16,'III. Finanzberichte'!$AT$16,'III. Finanzberichte'!$BA$16,'III. Finanzberichte'!$BH$16,'III. Finanzberichte'!$BO$16,'III. Finanzberichte'!$BV$16,'III. Finanzberichte'!$CC$16,'III. Finanzberichte'!$CJ$16,'III. Finanzberichte'!$CQ$16,'III. Finanzberichte'!$CX$16,'III. Finanzberichte'!$DE$16,'III. Finanzberichte'!$DL$16,'III. Finanzberichte'!$DS$16),"")</f>
      </c>
      <c r="O91" s="332" t="str">
        <f>=IFERROR(CHOOSE(E82,'III. Finanzberichte'!$E$16,'III. Finanzberichte'!$L$16,'III. Finanzberichte'!$S$16,'III. Finanzberichte'!$Z$16,'III. Finanzberichte'!$AG$16,'III. Finanzberichte'!$AN$16,'III. Finanzberichte'!$AU$16,'III. Finanzberichte'!$BB$16,'III. Finanzberichte'!$BI$16,'III. Finanzberichte'!$BP$16,'III. Finanzberichte'!$BW$16,'III. Finanzberichte'!$CD$16,'III. Finanzberichte'!$CK$16,'III. Finanzberichte'!$CR$16,'III. Finanzberichte'!$CY$16,'III. Finanzberichte'!$DF$16,'III. Finanzberichte'!$DM$16,'III. Finanzberichte'!$DT$16),"")</f>
      </c>
      <c r="P91" s="345" t="str">
        <f>=IFERROR(CHOOSE(E82,'III. Finanzberichte'!$F$16,'III. Finanzberichte'!$M$16,'III. Finanzberichte'!$T$16,'III. Finanzberichte'!$AA$16,'III. Finanzberichte'!$AH$16,'III. Finanzberichte'!$AO$16,'III. Finanzberichte'!$AV$16,'III. Finanzberichte'!$BC$16,'III. Finanzberichte'!$BJ$16,'III. Finanzberichte'!$BQ$16,'III. Finanzberichte'!$BX$16,'III. Finanzberichte'!$CE$16,'III. Finanzberichte'!$CL$16,'III. Finanzberichte'!$CS$16,'III. Finanzberichte'!$CZ$16,'III. Finanzberichte'!$DG$16,'III. Finanzberichte'!$DN$16,'III. Finanzberichte'!$DU$16),"")</f>
      </c>
    </row>
    <row r="92">
      <c r="L92" s="340" t="s">
        <v>303</v>
      </c>
      <c r="M92" s="329"/>
      <c r="N92" s="329"/>
      <c r="O92" s="329"/>
      <c r="P92" s="341"/>
    </row>
    <row r="93" ht="26" customHeight="true">
      <c r="L93" s="342" t="s">
        <v>203</v>
      </c>
      <c r="M93" s="330" t="s">
        <v>304</v>
      </c>
      <c r="N93" s="330" t="s">
        <v>305</v>
      </c>
      <c r="O93" s="330" t="s">
        <v>306</v>
      </c>
      <c r="P93" s="343" t="s">
        <v>307</v>
      </c>
    </row>
    <row r="94" ht="22" customHeight="true">
      <c r="B94" s="18" t="s">
        <v>394</v>
      </c>
      <c r="C94" s="18"/>
      <c r="D94" s="18"/>
      <c r="E94" s="18"/>
      <c r="F94" s="18"/>
      <c r="G94" s="18"/>
      <c r="H94" s="18"/>
      <c r="I94" s="18"/>
      <c r="J94" s="18"/>
      <c r="L94" s="143" t="str">
        <f>=IFERROR(CHOOSE(E82,'III. Finanzberichte'!$B$19,'III. Finanzberichte'!$I$19,'III. Finanzberichte'!$P$19,'III. Finanzberichte'!$W$19,'III. Finanzberichte'!$AD$19,'III. Finanzberichte'!$AK$19,'III. Finanzberichte'!$AR$19,'III. Finanzberichte'!$AY$19,'III. Finanzberichte'!$BF$19,'III. Finanzberichte'!$BM$19,'III. Finanzberichte'!$BT$19,'III. Finanzberichte'!$CA$19,'III. Finanzberichte'!$CH$19,'III. Finanzberichte'!$CO$19,'III. Finanzberichte'!$CV$19,'III. Finanzberichte'!$DC$19,'III. Finanzberichte'!$DJ$19,'III. Finanzberichte'!$DQ$19),"")</f>
      </c>
      <c r="M94" s="116" t="str">
        <f>=IFERROR(CHOOSE(E82,'III. Finanzberichte'!$C$19,'III. Finanzberichte'!$J$19,'III. Finanzberichte'!$Q$19,'III. Finanzberichte'!$X$19,'III. Finanzberichte'!$AE$19,'III. Finanzberichte'!$AL$19,'III. Finanzberichte'!$AS$19,'III. Finanzberichte'!$AZ$19,'III. Finanzberichte'!$BG$19,'III. Finanzberichte'!$BN$19,'III. Finanzberichte'!$BU$19,'III. Finanzberichte'!$CB$19,'III. Finanzberichte'!$CI$19,'III. Finanzberichte'!$CP$19,'III. Finanzberichte'!$CW$19,'III. Finanzberichte'!$DD$19,'III. Finanzberichte'!$DK$19,'III. Finanzberichte'!$DR$19),"")</f>
      </c>
      <c r="N94" s="117" t="str">
        <f>=IFERROR(CHOOSE(E82,'III. Finanzberichte'!$D$19,'III. Finanzberichte'!$K$19,'III. Finanzberichte'!$R$19,'III. Finanzberichte'!$Y$19,'III. Finanzberichte'!$AF$19,'III. Finanzberichte'!$AM$19,'III. Finanzberichte'!$AT$19,'III. Finanzberichte'!$BA$19,'III. Finanzberichte'!$BH$19,'III. Finanzberichte'!$BO$19,'III. Finanzberichte'!$BV$19,'III. Finanzberichte'!$CC$19,'III. Finanzberichte'!$CJ$19,'III. Finanzberichte'!$CQ$19,'III. Finanzberichte'!$CX$19,'III. Finanzberichte'!$DE$19,'III. Finanzberichte'!$DL$19,'III. Finanzberichte'!$DS$19),"")</f>
      </c>
      <c r="O94" s="116" t="str">
        <f>=IFERROR(CHOOSE(E82,'III. Finanzberichte'!$E$19,'III. Finanzberichte'!$L$19,'III. Finanzberichte'!$S$19,'III. Finanzberichte'!$Z$19,'III. Finanzberichte'!$AG$19,'III. Finanzberichte'!$AN$19,'III. Finanzberichte'!$AU$19,'III. Finanzberichte'!$BB$19,'III. Finanzberichte'!$BI$19,'III. Finanzberichte'!$BP$19,'III. Finanzberichte'!$BW$19,'III. Finanzberichte'!$CD$19,'III. Finanzberichte'!$CK$19,'III. Finanzberichte'!$CR$19,'III. Finanzberichte'!$CY$19,'III. Finanzberichte'!$DF$19,'III. Finanzberichte'!$DM$19,'III. Finanzberichte'!$DT$19),"")</f>
      </c>
      <c r="P94" s="144" t="str">
        <f>=IFERROR(CHOOSE(E82,'III. Finanzberichte'!$F$19,'III. Finanzberichte'!$M$19,'III. Finanzberichte'!$T$19,'III. Finanzberichte'!$AA$19,'III. Finanzberichte'!$AH$19,'III. Finanzberichte'!$AO$19,'III. Finanzberichte'!$AV$19,'III. Finanzberichte'!$BC$19,'III. Finanzberichte'!$BJ$19,'III. Finanzberichte'!$BQ$19,'III. Finanzberichte'!$BX$19,'III. Finanzberichte'!$CE$19,'III. Finanzberichte'!$CL$19,'III. Finanzberichte'!$CS$19,'III. Finanzberichte'!$CZ$19,'III. Finanzberichte'!$DG$19,'III. Finanzberichte'!$DN$19,'III. Finanzberichte'!$DU$19),"")</f>
      </c>
    </row>
    <row r="95">
      <c r="L95" s="143" t="str">
        <f>=IFERROR(CHOOSE(E82,'III. Finanzberichte'!$B$20,'III. Finanzberichte'!$I$20,'III. Finanzberichte'!$P$20,'III. Finanzberichte'!$W$20,'III. Finanzberichte'!$AD$20,'III. Finanzberichte'!$AK$20,'III. Finanzberichte'!$AR$20,'III. Finanzberichte'!$AY$20,'III. Finanzberichte'!$BF$20,'III. Finanzberichte'!$BM$20,'III. Finanzberichte'!$BT$20,'III. Finanzberichte'!$CA$20,'III. Finanzberichte'!$CH$20,'III. Finanzberichte'!$CO$20,'III. Finanzberichte'!$CV$20,'III. Finanzberichte'!$DC$20,'III. Finanzberichte'!$DJ$20,'III. Finanzberichte'!$DQ$20),"")</f>
      </c>
      <c r="M95" s="116" t="str">
        <f>=IFERROR(CHOOSE(E82,'III. Finanzberichte'!$C$20,'III. Finanzberichte'!$J$20,'III. Finanzberichte'!$Q$20,'III. Finanzberichte'!$X$20,'III. Finanzberichte'!$AE$20,'III. Finanzberichte'!$AL$20,'III. Finanzberichte'!$AS$20,'III. Finanzberichte'!$AZ$20,'III. Finanzberichte'!$BG$20,'III. Finanzberichte'!$BN$20,'III. Finanzberichte'!$BU$20,'III. Finanzberichte'!$CB$20,'III. Finanzberichte'!$CI$20,'III. Finanzberichte'!$CP$20,'III. Finanzberichte'!$CW$20,'III. Finanzberichte'!$DD$20,'III. Finanzberichte'!$DK$20,'III. Finanzberichte'!$DR$20),"")</f>
      </c>
      <c r="N95" s="117" t="str">
        <f>=IFERROR(CHOOSE(E82,'III. Finanzberichte'!$D$20,'III. Finanzberichte'!$K$20,'III. Finanzberichte'!$R$20,'III. Finanzberichte'!$Y$20,'III. Finanzberichte'!$AF$20,'III. Finanzberichte'!$AM$20,'III. Finanzberichte'!$AT$20,'III. Finanzberichte'!$BA$20,'III. Finanzberichte'!$BH$20,'III. Finanzberichte'!$BO$20,'III. Finanzberichte'!$BV$20,'III. Finanzberichte'!$CC$20,'III. Finanzberichte'!$CJ$20,'III. Finanzberichte'!$CQ$20,'III. Finanzberichte'!$CX$20,'III. Finanzberichte'!$DE$20,'III. Finanzberichte'!$DL$20,'III. Finanzberichte'!$DS$20),"")</f>
      </c>
      <c r="O95" s="116" t="str">
        <f>=IFERROR(CHOOSE(E82,'III. Finanzberichte'!$E$20,'III. Finanzberichte'!$L$20,'III. Finanzberichte'!$S$20,'III. Finanzberichte'!$Z$20,'III. Finanzberichte'!$AG$20,'III. Finanzberichte'!$AN$20,'III. Finanzberichte'!$AU$20,'III. Finanzberichte'!$BB$20,'III. Finanzberichte'!$BI$20,'III. Finanzberichte'!$BP$20,'III. Finanzberichte'!$BW$20,'III. Finanzberichte'!$CD$20,'III. Finanzberichte'!$CK$20,'III. Finanzberichte'!$CR$20,'III. Finanzberichte'!$CY$20,'III. Finanzberichte'!$DF$20,'III. Finanzberichte'!$DM$20,'III. Finanzberichte'!$DT$20),"")</f>
      </c>
      <c r="P95" s="144" t="str">
        <f>=IFERROR(CHOOSE(E82,'III. Finanzberichte'!$F$20,'III. Finanzberichte'!$M$20,'III. Finanzberichte'!$T$20,'III. Finanzberichte'!$AA$20,'III. Finanzberichte'!$AH$20,'III. Finanzberichte'!$AO$20,'III. Finanzberichte'!$AV$20,'III. Finanzberichte'!$BC$20,'III. Finanzberichte'!$BJ$20,'III. Finanzberichte'!$BQ$20,'III. Finanzberichte'!$BX$20,'III. Finanzberichte'!$CE$20,'III. Finanzberichte'!$CL$20,'III. Finanzberichte'!$CS$20,'III. Finanzberichte'!$CZ$20,'III. Finanzberichte'!$DG$20,'III. Finanzberichte'!$DN$20,'III. Finanzberichte'!$DU$20),"")</f>
      </c>
    </row>
    <row r="96" ht="28" customHeight="true">
      <c r="B96" s="263" t="s">
        <v>379</v>
      </c>
      <c r="C96" s="264" t="s">
        <v>395</v>
      </c>
      <c r="D96" s="264" t="s">
        <v>381</v>
      </c>
      <c r="E96" s="264" t="s">
        <v>382</v>
      </c>
      <c r="F96" s="264" t="s">
        <v>383</v>
      </c>
      <c r="G96" s="264" t="s">
        <v>396</v>
      </c>
      <c r="H96" s="264" t="s">
        <v>385</v>
      </c>
      <c r="I96" s="264" t="s">
        <v>386</v>
      </c>
      <c r="J96" s="265" t="s">
        <v>387</v>
      </c>
      <c r="L96" s="143" t="str">
        <f>=IFERROR(CHOOSE(E82,'III. Finanzberichte'!$B$21,'III. Finanzberichte'!$I$21,'III. Finanzberichte'!$P$21,'III. Finanzberichte'!$W$21,'III. Finanzberichte'!$AD$21,'III. Finanzberichte'!$AK$21,'III. Finanzberichte'!$AR$21,'III. Finanzberichte'!$AY$21,'III. Finanzberichte'!$BF$21,'III. Finanzberichte'!$BM$21,'III. Finanzberichte'!$BT$21,'III. Finanzberichte'!$CA$21,'III. Finanzberichte'!$CH$21,'III. Finanzberichte'!$CO$21,'III. Finanzberichte'!$CV$21,'III. Finanzberichte'!$DC$21,'III. Finanzberichte'!$DJ$21,'III. Finanzberichte'!$DQ$21),"")</f>
      </c>
      <c r="M96" s="116" t="str">
        <f>=IFERROR(CHOOSE(E82,'III. Finanzberichte'!$C$21,'III. Finanzberichte'!$J$21,'III. Finanzberichte'!$Q$21,'III. Finanzberichte'!$X$21,'III. Finanzberichte'!$AE$21,'III. Finanzberichte'!$AL$21,'III. Finanzberichte'!$AS$21,'III. Finanzberichte'!$AZ$21,'III. Finanzberichte'!$BG$21,'III. Finanzberichte'!$BN$21,'III. Finanzberichte'!$BU$21,'III. Finanzberichte'!$CB$21,'III. Finanzberichte'!$CI$21,'III. Finanzberichte'!$CP$21,'III. Finanzberichte'!$CW$21,'III. Finanzberichte'!$DD$21,'III. Finanzberichte'!$DK$21,'III. Finanzberichte'!$DR$21),"")</f>
      </c>
      <c r="N96" s="117" t="str">
        <f>=IFERROR(CHOOSE(E82,'III. Finanzberichte'!$D$21,'III. Finanzberichte'!$K$21,'III. Finanzberichte'!$R$21,'III. Finanzberichte'!$Y$21,'III. Finanzberichte'!$AF$21,'III. Finanzberichte'!$AM$21,'III. Finanzberichte'!$AT$21,'III. Finanzberichte'!$BA$21,'III. Finanzberichte'!$BH$21,'III. Finanzberichte'!$BO$21,'III. Finanzberichte'!$BV$21,'III. Finanzberichte'!$CC$21,'III. Finanzberichte'!$CJ$21,'III. Finanzberichte'!$CQ$21,'III. Finanzberichte'!$CX$21,'III. Finanzberichte'!$DE$21,'III. Finanzberichte'!$DL$21,'III. Finanzberichte'!$DS$21),"")</f>
      </c>
      <c r="O96" s="116" t="str">
        <f>=IFERROR(CHOOSE(E82,'III. Finanzberichte'!$E$21,'III. Finanzberichte'!$L$21,'III. Finanzberichte'!$S$21,'III. Finanzberichte'!$Z$21,'III. Finanzberichte'!$AG$21,'III. Finanzberichte'!$AN$21,'III. Finanzberichte'!$AU$21,'III. Finanzberichte'!$BB$21,'III. Finanzberichte'!$BI$21,'III. Finanzberichte'!$BP$21,'III. Finanzberichte'!$BW$21,'III. Finanzberichte'!$CD$21,'III. Finanzberichte'!$CK$21,'III. Finanzberichte'!$CR$21,'III. Finanzberichte'!$CY$21,'III. Finanzberichte'!$DF$21,'III. Finanzberichte'!$DM$21,'III. Finanzberichte'!$DT$21),"")</f>
      </c>
      <c r="P96" s="144" t="str">
        <f>=IFERROR(CHOOSE(E82,'III. Finanzberichte'!$F$21,'III. Finanzberichte'!$M$21,'III. Finanzberichte'!$T$21,'III. Finanzberichte'!$AA$21,'III. Finanzberichte'!$AH$21,'III. Finanzberichte'!$AO$21,'III. Finanzberichte'!$AV$21,'III. Finanzberichte'!$BC$21,'III. Finanzberichte'!$BJ$21,'III. Finanzberichte'!$BQ$21,'III. Finanzberichte'!$BX$21,'III. Finanzberichte'!$CE$21,'III. Finanzberichte'!$CL$21,'III. Finanzberichte'!$CS$21,'III. Finanzberichte'!$CZ$21,'III. Finanzberichte'!$DG$21,'III. Finanzberichte'!$DN$21,'III. Finanzberichte'!$DU$21),"")</f>
      </c>
    </row>
    <row r="97">
      <c r="B97" s="266" t="s">
        <v>194</v>
      </c>
      <c r="C97" s="240" t="str">
        <f>=IFERROR(ROUND(CHOOSE(E82,'III. Finanzberichte'!$E$12,'III. Finanzberichte'!$L$12,'III. Finanzberichte'!$S$12,'III. Finanzberichte'!$Z$12,'III. Finanzberichte'!$AG$12,'III. Finanzberichte'!$AN$12,'III. Finanzberichte'!$AU$12,'III. Finanzberichte'!$BB$12,'III. Finanzberichte'!$BI$12,'III. Finanzberichte'!$BP$12,'III. Finanzberichte'!$BW$12,'III. Finanzberichte'!$CD$12,'III. Finanzberichte'!$CK$12,'III. Finanzberichte'!$CR$12,'III. Finanzberichte'!$CY$12,'III. Finanzberichte'!$DF$12,'III. Finanzberichte'!$DM$12,'III. Finanzberichte'!$DT$12),2),0)</f>
      </c>
      <c r="D97" s="240" t="str">
        <f>=IFERROR(ROUND(Eigenmittel_LW,2),0)</f>
      </c>
      <c r="E97" s="201" t="str">
        <f>=ROUND(IFERROR($C$97-$D$97,0),2)</f>
      </c>
      <c r="F97" s="258" t="str">
        <f>=ROUND(IFERROR(($C$97/$D$97)-1,0),4)</f>
      </c>
      <c r="G97" s="217" t="str">
        <f>=IFERROR(ROUND(CHOOSE(E82,'III. Finanzberichte'!$F$12,'III. Finanzberichte'!$M$12,'III. Finanzberichte'!$T$12,'III. Finanzberichte'!$AA$12,'III. Finanzberichte'!$AH$12,'III. Finanzberichte'!$AO$12,'III. Finanzberichte'!$AV$12,'III. Finanzberichte'!$BC$12,'III. Finanzberichte'!$BJ$12,'III. Finanzberichte'!$BQ$12,'III. Finanzberichte'!$BX$12,'III. Finanzberichte'!$CE$12,'III. Finanzberichte'!$CL$12,'III. Finanzberichte'!$CS$12,'III. Finanzberichte'!$CZ$12,'III. Finanzberichte'!$DG$12,'III. Finanzberichte'!$DN$12,'III. Finanzberichte'!$DU$12),2),0)</f>
      </c>
      <c r="H97" s="217" t="str">
        <f>=IFERROR(ROUND(Eigenmittel_EUR,2),0)</f>
      </c>
      <c r="I97" s="182" t="str">
        <f>=ROUND(IFERROR($G$97-$H$97,0),2)</f>
      </c>
      <c r="J97" s="289" t="str">
        <f>=ROUND(IFERROR(($G$97/$H$97)-1,0),4)</f>
      </c>
      <c r="L97" s="143" t="str">
        <f>=IFERROR(CHOOSE(E82,'III. Finanzberichte'!$B$22,'III. Finanzberichte'!$I$22,'III. Finanzberichte'!$P$22,'III. Finanzberichte'!$W$22,'III. Finanzberichte'!$AD$22,'III. Finanzberichte'!$AK$22,'III. Finanzberichte'!$AR$22,'III. Finanzberichte'!$AY$22,'III. Finanzberichte'!$BF$22,'III. Finanzberichte'!$BM$22,'III. Finanzberichte'!$BT$22,'III. Finanzberichte'!$CA$22,'III. Finanzberichte'!$CH$22,'III. Finanzberichte'!$CO$22,'III. Finanzberichte'!$CV$22,'III. Finanzberichte'!$DC$22,'III. Finanzberichte'!$DJ$22,'III. Finanzberichte'!$DQ$22),"")</f>
      </c>
      <c r="M97" s="116" t="str">
        <f>=IFERROR(CHOOSE(E82,'III. Finanzberichte'!$C$22,'III. Finanzberichte'!$J$22,'III. Finanzberichte'!$Q$22,'III. Finanzberichte'!$X$22,'III. Finanzberichte'!$AE$22,'III. Finanzberichte'!$AL$22,'III. Finanzberichte'!$AS$22,'III. Finanzberichte'!$AZ$22,'III. Finanzberichte'!$BG$22,'III. Finanzberichte'!$BN$22,'III. Finanzberichte'!$BU$22,'III. Finanzberichte'!$CB$22,'III. Finanzberichte'!$CI$22,'III. Finanzberichte'!$CP$22,'III. Finanzberichte'!$CW$22,'III. Finanzberichte'!$DD$22,'III. Finanzberichte'!$DK$22,'III. Finanzberichte'!$DR$22),"")</f>
      </c>
      <c r="N97" s="117" t="str">
        <f>=IFERROR(CHOOSE(E82,'III. Finanzberichte'!$D$22,'III. Finanzberichte'!$K$22,'III. Finanzberichte'!$R$22,'III. Finanzberichte'!$Y$22,'III. Finanzberichte'!$AF$22,'III. Finanzberichte'!$AM$22,'III. Finanzberichte'!$AT$22,'III. Finanzberichte'!$BA$22,'III. Finanzberichte'!$BH$22,'III. Finanzberichte'!$BO$22,'III. Finanzberichte'!$BV$22,'III. Finanzberichte'!$CC$22,'III. Finanzberichte'!$CJ$22,'III. Finanzberichte'!$CQ$22,'III. Finanzberichte'!$CX$22,'III. Finanzberichte'!$DE$22,'III. Finanzberichte'!$DL$22,'III. Finanzberichte'!$DS$22),"")</f>
      </c>
      <c r="O97" s="116" t="str">
        <f>=IFERROR(CHOOSE(E82,'III. Finanzberichte'!$E$22,'III. Finanzberichte'!$L$22,'III. Finanzberichte'!$S$22,'III. Finanzberichte'!$Z$22,'III. Finanzberichte'!$AG$22,'III. Finanzberichte'!$AN$22,'III. Finanzberichte'!$AU$22,'III. Finanzberichte'!$BB$22,'III. Finanzberichte'!$BI$22,'III. Finanzberichte'!$BP$22,'III. Finanzberichte'!$BW$22,'III. Finanzberichte'!$CD$22,'III. Finanzberichte'!$CK$22,'III. Finanzberichte'!$CR$22,'III. Finanzberichte'!$CY$22,'III. Finanzberichte'!$DF$22,'III. Finanzberichte'!$DM$22,'III. Finanzberichte'!$DT$22),"")</f>
      </c>
      <c r="P97" s="144" t="str">
        <f>=IFERROR(CHOOSE(E82,'III. Finanzberichte'!$F$22,'III. Finanzberichte'!$M$22,'III. Finanzberichte'!$T$22,'III. Finanzberichte'!$AA$22,'III. Finanzberichte'!$AH$22,'III. Finanzberichte'!$AO$22,'III. Finanzberichte'!$AV$22,'III. Finanzberichte'!$BC$22,'III. Finanzberichte'!$BJ$22,'III. Finanzberichte'!$BQ$22,'III. Finanzberichte'!$BX$22,'III. Finanzberichte'!$CE$22,'III. Finanzberichte'!$CL$22,'III. Finanzberichte'!$CS$22,'III. Finanzberichte'!$CZ$22,'III. Finanzberichte'!$DG$22,'III. Finanzberichte'!$DN$22,'III. Finanzberichte'!$DU$22),"")</f>
      </c>
    </row>
    <row r="98">
      <c r="B98" s="266" t="s">
        <v>300</v>
      </c>
      <c r="C98" s="240" t="str">
        <f>=IFERROR(ROUND(CHOOSE(E82,'III. Finanzberichte'!$E$13,'III. Finanzberichte'!$L$13,'III. Finanzberichte'!$S$13,'III. Finanzberichte'!$Z$13,'III. Finanzberichte'!$AG$13,'III. Finanzberichte'!$AN$13,'III. Finanzberichte'!$AU$13,'III. Finanzberichte'!$BB$13,'III. Finanzberichte'!$BI$13,'III. Finanzberichte'!$BP$13,'III. Finanzberichte'!$BW$13,'III. Finanzberichte'!$CD$13,'III. Finanzberichte'!$CK$13,'III. Finanzberichte'!$CR$13,'III. Finanzberichte'!$CY$13,'III. Finanzberichte'!$DF$13,'III. Finanzberichte'!$DM$13,'III. Finanzberichte'!$DT$13),2),0)</f>
      </c>
      <c r="D98" s="240" t="str">
        <f>=IFERROR(ROUND(Drittmittel_LW,2),0)</f>
      </c>
      <c r="E98" s="201" t="str">
        <f>=ROUND(IFERROR($C$98-$D$98,0),2)</f>
      </c>
      <c r="F98" s="258" t="str">
        <f>=ROUND(IFERROR(($C$98/$D$98)-1,0),4)</f>
      </c>
      <c r="G98" s="217" t="str">
        <f>=IFERROR(ROUND(CHOOSE(E82,'III. Finanzberichte'!$F$13,'III. Finanzberichte'!$M$13,'III. Finanzberichte'!$T$13,'III. Finanzberichte'!$AA$13,'III. Finanzberichte'!$AH$13,'III. Finanzberichte'!$AO$13,'III. Finanzberichte'!$AV$13,'III. Finanzberichte'!$BC$13,'III. Finanzberichte'!$BJ$13,'III. Finanzberichte'!$BQ$13,'III. Finanzberichte'!$BX$13,'III. Finanzberichte'!$CE$13,'III. Finanzberichte'!$CL$13,'III. Finanzberichte'!$CS$13,'III. Finanzberichte'!$CZ$13,'III. Finanzberichte'!$DG$13,'III. Finanzberichte'!$DN$13,'III. Finanzberichte'!$DU$13),2),0)</f>
      </c>
      <c r="H98" s="217" t="str">
        <f>=IFERROR(ROUND(Drittmittel_EUR,2),0)</f>
      </c>
      <c r="I98" s="182" t="str">
        <f>=ROUND(IFERROR($G$98-$H$98,0),2)</f>
      </c>
      <c r="J98" s="290" t="str">
        <f>=ROUND(IFERROR(($G$98/$H$98)-1,0),4)</f>
      </c>
      <c r="L98" s="143" t="str">
        <f>=IFERROR(CHOOSE(E82,'III. Finanzberichte'!$B$23,'III. Finanzberichte'!$I$23,'III. Finanzberichte'!$P$23,'III. Finanzberichte'!$W$23,'III. Finanzberichte'!$AD$23,'III. Finanzberichte'!$AK$23,'III. Finanzberichte'!$AR$23,'III. Finanzberichte'!$AY$23,'III. Finanzberichte'!$BF$23,'III. Finanzberichte'!$BM$23,'III. Finanzberichte'!$BT$23,'III. Finanzberichte'!$CA$23,'III. Finanzberichte'!$CH$23,'III. Finanzberichte'!$CO$23,'III. Finanzberichte'!$CV$23,'III. Finanzberichte'!$DC$23,'III. Finanzberichte'!$DJ$23,'III. Finanzberichte'!$DQ$23),"")</f>
      </c>
      <c r="M98" s="116" t="str">
        <f>=IFERROR(CHOOSE(E82,'III. Finanzberichte'!$C$23,'III. Finanzberichte'!$J$23,'III. Finanzberichte'!$Q$23,'III. Finanzberichte'!$X$23,'III. Finanzberichte'!$AE$23,'III. Finanzberichte'!$AL$23,'III. Finanzberichte'!$AS$23,'III. Finanzberichte'!$AZ$23,'III. Finanzberichte'!$BG$23,'III. Finanzberichte'!$BN$23,'III. Finanzberichte'!$BU$23,'III. Finanzberichte'!$CB$23,'III. Finanzberichte'!$CI$23,'III. Finanzberichte'!$CP$23,'III. Finanzberichte'!$CW$23,'III. Finanzberichte'!$DD$23,'III. Finanzberichte'!$DK$23,'III. Finanzberichte'!$DR$23),"")</f>
      </c>
      <c r="N98" s="117" t="str">
        <f>=IFERROR(CHOOSE(E82,'III. Finanzberichte'!$D$23,'III. Finanzberichte'!$K$23,'III. Finanzberichte'!$R$23,'III. Finanzberichte'!$Y$23,'III. Finanzberichte'!$AF$23,'III. Finanzberichte'!$AM$23,'III. Finanzberichte'!$AT$23,'III. Finanzberichte'!$BA$23,'III. Finanzberichte'!$BH$23,'III. Finanzberichte'!$BO$23,'III. Finanzberichte'!$BV$23,'III. Finanzberichte'!$CC$23,'III. Finanzberichte'!$CJ$23,'III. Finanzberichte'!$CQ$23,'III. Finanzberichte'!$CX$23,'III. Finanzberichte'!$DE$23,'III. Finanzberichte'!$DL$23,'III. Finanzberichte'!$DS$23),"")</f>
      </c>
      <c r="O98" s="116" t="str">
        <f>=IFERROR(CHOOSE(E82,'III. Finanzberichte'!$E$23,'III. Finanzberichte'!$L$23,'III. Finanzberichte'!$S$23,'III. Finanzberichte'!$Z$23,'III. Finanzberichte'!$AG$23,'III. Finanzberichte'!$AN$23,'III. Finanzberichte'!$AU$23,'III. Finanzberichte'!$BB$23,'III. Finanzberichte'!$BI$23,'III. Finanzberichte'!$BP$23,'III. Finanzberichte'!$BW$23,'III. Finanzberichte'!$CD$23,'III. Finanzberichte'!$CK$23,'III. Finanzberichte'!$CR$23,'III. Finanzberichte'!$CY$23,'III. Finanzberichte'!$DF$23,'III. Finanzberichte'!$DM$23,'III. Finanzberichte'!$DT$23),"")</f>
      </c>
      <c r="P98" s="144" t="str">
        <f>=IFERROR(CHOOSE(E82,'III. Finanzberichte'!$F$23,'III. Finanzberichte'!$M$23,'III. Finanzberichte'!$T$23,'III. Finanzberichte'!$AA$23,'III. Finanzberichte'!$AH$23,'III. Finanzberichte'!$AO$23,'III. Finanzberichte'!$AV$23,'III. Finanzberichte'!$BC$23,'III. Finanzberichte'!$BJ$23,'III. Finanzberichte'!$BQ$23,'III. Finanzberichte'!$BX$23,'III. Finanzberichte'!$CE$23,'III. Finanzberichte'!$CL$23,'III. Finanzberichte'!$CS$23,'III. Finanzberichte'!$CZ$23,'III. Finanzberichte'!$DG$23,'III. Finanzberichte'!$DN$23,'III. Finanzberichte'!$DU$23),"")</f>
      </c>
    </row>
    <row r="99">
      <c r="B99" s="266" t="s">
        <v>199</v>
      </c>
      <c r="C99" s="240" t="str">
        <f>=IFERROR(ROUND(CHOOSE(E82,'III. Finanzberichte'!$E$14,'III. Finanzberichte'!$L$14,'III. Finanzberichte'!$S$14,'III. Finanzberichte'!$Z$14,'III. Finanzberichte'!$AG$14,'III. Finanzberichte'!$AN$14,'III. Finanzberichte'!$AU$14,'III. Finanzberichte'!$BB$14,'III. Finanzberichte'!$BI$14,'III. Finanzberichte'!$BP$14,'III. Finanzberichte'!$BW$14,'III. Finanzberichte'!$CD$14,'III. Finanzberichte'!$CK$14,'III. Finanzberichte'!$CR$14,'III. Finanzberichte'!$CY$14,'III. Finanzberichte'!$DF$14,'III. Finanzberichte'!$DM$14,'III. Finanzberichte'!$DT$14),2),0)</f>
      </c>
      <c r="D99" s="240" t="str">
        <f>=IFERROR(ROUND(KMW_Mittel_LW,2),0)</f>
      </c>
      <c r="E99" s="201" t="str">
        <f>=ROUND(IFERROR($C$99-$D$99,0),2)</f>
      </c>
      <c r="F99" s="258" t="str">
        <f>=ROUND(IFERROR(($C$99/$D$99)-1,0),4)</f>
      </c>
      <c r="G99" s="217" t="str">
        <f>=IFERROR(ROUND(CHOOSE(E82,'III. Finanzberichte'!$F$14,'III. Finanzberichte'!$M$14,'III. Finanzberichte'!$T$14,'III. Finanzberichte'!$AA$14,'III. Finanzberichte'!$AH$14,'III. Finanzberichte'!$AO$14,'III. Finanzberichte'!$AV$14,'III. Finanzberichte'!$BC$14,'III. Finanzberichte'!$BJ$14,'III. Finanzberichte'!$BQ$14,'III. Finanzberichte'!$BX$14,'III. Finanzberichte'!$CE$14,'III. Finanzberichte'!$CL$14,'III. Finanzberichte'!$CS$14,'III. Finanzberichte'!$CZ$14,'III. Finanzberichte'!$DG$14,'III. Finanzberichte'!$DN$14,'III. Finanzberichte'!$DU$14),2),0)</f>
      </c>
      <c r="H99" s="217" t="str">
        <f>=IFERROR(ROUND(KMW_Mittel_EUR,2),0)</f>
      </c>
      <c r="I99" s="182" t="str">
        <f>=ROUND(IFERROR($G$99-$H$99,0),2)</f>
      </c>
      <c r="J99" s="291" t="str">
        <f>=ROUND(IFERROR(($G$99/$H$99)-1,0),4)</f>
      </c>
      <c r="L99" s="143" t="str">
        <f>=IFERROR(CHOOSE(E82,'III. Finanzberichte'!$B$24,'III. Finanzberichte'!$I$24,'III. Finanzberichte'!$P$24,'III. Finanzberichte'!$W$24,'III. Finanzberichte'!$AD$24,'III. Finanzberichte'!$AK$24,'III. Finanzberichte'!$AR$24,'III. Finanzberichte'!$AY$24,'III. Finanzberichte'!$BF$24,'III. Finanzberichte'!$BM$24,'III. Finanzberichte'!$BT$24,'III. Finanzberichte'!$CA$24,'III. Finanzberichte'!$CH$24,'III. Finanzberichte'!$CO$24,'III. Finanzberichte'!$CV$24,'III. Finanzberichte'!$DC$24,'III. Finanzberichte'!$DJ$24,'III. Finanzberichte'!$DQ$24),"")</f>
      </c>
      <c r="M99" s="116" t="str">
        <f>=IFERROR(CHOOSE(E82,'III. Finanzberichte'!$C$24,'III. Finanzberichte'!$J$24,'III. Finanzberichte'!$Q$24,'III. Finanzberichte'!$X$24,'III. Finanzberichte'!$AE$24,'III. Finanzberichte'!$AL$24,'III. Finanzberichte'!$AS$24,'III. Finanzberichte'!$AZ$24,'III. Finanzberichte'!$BG$24,'III. Finanzberichte'!$BN$24,'III. Finanzberichte'!$BU$24,'III. Finanzberichte'!$CB$24,'III. Finanzberichte'!$CI$24,'III. Finanzberichte'!$CP$24,'III. Finanzberichte'!$CW$24,'III. Finanzberichte'!$DD$24,'III. Finanzberichte'!$DK$24,'III. Finanzberichte'!$DR$24),"")</f>
      </c>
      <c r="N99" s="117" t="str">
        <f>=IFERROR(CHOOSE(E82,'III. Finanzberichte'!$D$24,'III. Finanzberichte'!$K$24,'III. Finanzberichte'!$R$24,'III. Finanzberichte'!$Y$24,'III. Finanzberichte'!$AF$24,'III. Finanzberichte'!$AM$24,'III. Finanzberichte'!$AT$24,'III. Finanzberichte'!$BA$24,'III. Finanzberichte'!$BH$24,'III. Finanzberichte'!$BO$24,'III. Finanzberichte'!$BV$24,'III. Finanzberichte'!$CC$24,'III. Finanzberichte'!$CJ$24,'III. Finanzberichte'!$CQ$24,'III. Finanzberichte'!$CX$24,'III. Finanzberichte'!$DE$24,'III. Finanzberichte'!$DL$24,'III. Finanzberichte'!$DS$24),"")</f>
      </c>
      <c r="O99" s="116" t="str">
        <f>=IFERROR(CHOOSE(E82,'III. Finanzberichte'!$E$24,'III. Finanzberichte'!$L$24,'III. Finanzberichte'!$S$24,'III. Finanzberichte'!$Z$24,'III. Finanzberichte'!$AG$24,'III. Finanzberichte'!$AN$24,'III. Finanzberichte'!$AU$24,'III. Finanzberichte'!$BB$24,'III. Finanzberichte'!$BI$24,'III. Finanzberichte'!$BP$24,'III. Finanzberichte'!$BW$24,'III. Finanzberichte'!$CD$24,'III. Finanzberichte'!$CK$24,'III. Finanzberichte'!$CR$24,'III. Finanzberichte'!$CY$24,'III. Finanzberichte'!$DF$24,'III. Finanzberichte'!$DM$24,'III. Finanzberichte'!$DT$24),"")</f>
      </c>
      <c r="P99" s="144" t="str">
        <f>=IFERROR(CHOOSE(E82,'III. Finanzberichte'!$F$24,'III. Finanzberichte'!$M$24,'III. Finanzberichte'!$T$24,'III. Finanzberichte'!$AA$24,'III. Finanzberichte'!$AH$24,'III. Finanzberichte'!$AO$24,'III. Finanzberichte'!$AV$24,'III. Finanzberichte'!$BC$24,'III. Finanzberichte'!$BJ$24,'III. Finanzberichte'!$BQ$24,'III. Finanzberichte'!$BX$24,'III. Finanzberichte'!$CE$24,'III. Finanzberichte'!$CL$24,'III. Finanzberichte'!$CS$24,'III. Finanzberichte'!$CZ$24,'III. Finanzberichte'!$DG$24,'III. Finanzberichte'!$DN$24,'III. Finanzberichte'!$DU$24),"")</f>
      </c>
    </row>
    <row r="100">
      <c r="B100" s="266" t="s">
        <v>301</v>
      </c>
      <c r="C100" s="240" t="str">
        <f>=IFERROR(ROUND(CHOOSE(E82,'III. Finanzberichte'!$E$15,'III. Finanzberichte'!$L$15,'III. Finanzberichte'!$S$15,'III. Finanzberichte'!$Z$15,'III. Finanzberichte'!$AG$15,'III. Finanzberichte'!$AN$15,'III. Finanzberichte'!$AU$15,'III. Finanzberichte'!$BB$15,'III. Finanzberichte'!$BI$15,'III. Finanzberichte'!$BP$15,'III. Finanzberichte'!$BW$15,'III. Finanzberichte'!$CD$15,'III. Finanzberichte'!$CK$15,'III. Finanzberichte'!$CR$15,'III. Finanzberichte'!$CY$15,'III. Finanzberichte'!$DF$15,'III. Finanzberichte'!$DM$15,'III. Finanzberichte'!$DT$15),2),0)</f>
      </c>
      <c r="D100" s="240" t="str">
        <f>=IFERROR(ROUND(0,2),0)</f>
      </c>
      <c r="E100" s="201" t="str">
        <f>=ROUND(IFERROR($C$100-$D$100,0),2)</f>
      </c>
      <c r="F100" s="258" t="str">
        <f>=ROUND(IFERROR(($C$100/$D$100)-1,0),4)</f>
      </c>
      <c r="G100" s="217" t="str">
        <f>=IFERROR(ROUND(CHOOSE(E82,'III. Finanzberichte'!$F$15,'III. Finanzberichte'!$M$15,'III. Finanzberichte'!$T$15,'III. Finanzberichte'!$AA$15,'III. Finanzberichte'!$AH$15,'III. Finanzberichte'!$AO$15,'III. Finanzberichte'!$AV$15,'III. Finanzberichte'!$BC$15,'III. Finanzberichte'!$BJ$15,'III. Finanzberichte'!$BQ$15,'III. Finanzberichte'!$BX$15,'III. Finanzberichte'!$CE$15,'III. Finanzberichte'!$CL$15,'III. Finanzberichte'!$CS$15,'III. Finanzberichte'!$CZ$15,'III. Finanzberichte'!$DG$15,'III. Finanzberichte'!$DN$15,'III. Finanzberichte'!$DU$15),2),0)</f>
      </c>
      <c r="H100" s="217" t="str">
        <f>=IFERROR(ROUND(0,2),0)</f>
      </c>
      <c r="I100" s="182" t="str">
        <f>=ROUND(IFERROR($G$100-$H$100,0),2)</f>
      </c>
      <c r="J100" s="292" t="str">
        <f>=ROUND(IFERROR(($G$100/$H$100)-1,0),4)</f>
      </c>
      <c r="L100" s="143" t="str">
        <f>=IFERROR(CHOOSE(E82,'III. Finanzberichte'!$B$25,'III. Finanzberichte'!$I$25,'III. Finanzberichte'!$P$25,'III. Finanzberichte'!$W$25,'III. Finanzberichte'!$AD$25,'III. Finanzberichte'!$AK$25,'III. Finanzberichte'!$AR$25,'III. Finanzberichte'!$AY$25,'III. Finanzberichte'!$BF$25,'III. Finanzberichte'!$BM$25,'III. Finanzberichte'!$BT$25,'III. Finanzberichte'!$CA$25,'III. Finanzberichte'!$CH$25,'III. Finanzberichte'!$CO$25,'III. Finanzberichte'!$CV$25,'III. Finanzberichte'!$DC$25,'III. Finanzberichte'!$DJ$25,'III. Finanzberichte'!$DQ$25),"")</f>
      </c>
      <c r="M100" s="116" t="str">
        <f>=IFERROR(CHOOSE(E82,'III. Finanzberichte'!$C$25,'III. Finanzberichte'!$J$25,'III. Finanzberichte'!$Q$25,'III. Finanzberichte'!$X$25,'III. Finanzberichte'!$AE$25,'III. Finanzberichte'!$AL$25,'III. Finanzberichte'!$AS$25,'III. Finanzberichte'!$AZ$25,'III. Finanzberichte'!$BG$25,'III. Finanzberichte'!$BN$25,'III. Finanzberichte'!$BU$25,'III. Finanzberichte'!$CB$25,'III. Finanzberichte'!$CI$25,'III. Finanzberichte'!$CP$25,'III. Finanzberichte'!$CW$25,'III. Finanzberichte'!$DD$25,'III. Finanzberichte'!$DK$25,'III. Finanzberichte'!$DR$25),"")</f>
      </c>
      <c r="N100" s="117" t="str">
        <f>=IFERROR(CHOOSE(E82,'III. Finanzberichte'!$D$25,'III. Finanzberichte'!$K$25,'III. Finanzberichte'!$R$25,'III. Finanzberichte'!$Y$25,'III. Finanzberichte'!$AF$25,'III. Finanzberichte'!$AM$25,'III. Finanzberichte'!$AT$25,'III. Finanzberichte'!$BA$25,'III. Finanzberichte'!$BH$25,'III. Finanzberichte'!$BO$25,'III. Finanzberichte'!$BV$25,'III. Finanzberichte'!$CC$25,'III. Finanzberichte'!$CJ$25,'III. Finanzberichte'!$CQ$25,'III. Finanzberichte'!$CX$25,'III. Finanzberichte'!$DE$25,'III. Finanzberichte'!$DL$25,'III. Finanzberichte'!$DS$25),"")</f>
      </c>
      <c r="O100" s="116" t="str">
        <f>=IFERROR(CHOOSE(E82,'III. Finanzberichte'!$E$25,'III. Finanzberichte'!$L$25,'III. Finanzberichte'!$S$25,'III. Finanzberichte'!$Z$25,'III. Finanzberichte'!$AG$25,'III. Finanzberichte'!$AN$25,'III. Finanzberichte'!$AU$25,'III. Finanzberichte'!$BB$25,'III. Finanzberichte'!$BI$25,'III. Finanzberichte'!$BP$25,'III. Finanzberichte'!$BW$25,'III. Finanzberichte'!$CD$25,'III. Finanzberichte'!$CK$25,'III. Finanzberichte'!$CR$25,'III. Finanzberichte'!$CY$25,'III. Finanzberichte'!$DF$25,'III. Finanzberichte'!$DM$25,'III. Finanzberichte'!$DT$25),"")</f>
      </c>
      <c r="P100" s="144" t="str">
        <f>=IFERROR(CHOOSE(E82,'III. Finanzberichte'!$F$25,'III. Finanzberichte'!$M$25,'III. Finanzberichte'!$T$25,'III. Finanzberichte'!$AA$25,'III. Finanzberichte'!$AH$25,'III. Finanzberichte'!$AO$25,'III. Finanzberichte'!$AV$25,'III. Finanzberichte'!$BC$25,'III. Finanzberichte'!$BJ$25,'III. Finanzberichte'!$BQ$25,'III. Finanzberichte'!$BX$25,'III. Finanzberichte'!$CE$25,'III. Finanzberichte'!$CL$25,'III. Finanzberichte'!$CS$25,'III. Finanzberichte'!$CZ$25,'III. Finanzberichte'!$DG$25,'III. Finanzberichte'!$DN$25,'III. Finanzberichte'!$DU$25),"")</f>
      </c>
    </row>
    <row r="101" ht="20" customHeight="true">
      <c r="B101" s="271" t="s">
        <v>287</v>
      </c>
      <c r="C101" s="272" t="str">
        <f>=ROUND(SUM($C$97:$C$100),2)</f>
      </c>
      <c r="D101" s="272" t="str">
        <f>=ROUND(SUM($D$97:$D$100),2)</f>
      </c>
      <c r="E101" s="272" t="str">
        <f>=ROUND(SUM($E$97:$E$100),2)</f>
      </c>
      <c r="F101" s="293" t="str">
        <f>=ROUND(IFERROR(($C$101/$D$101)-1,0),4)</f>
      </c>
      <c r="G101" s="274" t="str">
        <f>=ROUND(SUM($G$97:$G$100),2)</f>
      </c>
      <c r="H101" s="274" t="str">
        <f>=ROUND(SUM($H$97:$H$100),2)</f>
      </c>
      <c r="I101" s="274" t="str">
        <f>=ROUND(SUM($I$97:$I$100),2)</f>
      </c>
      <c r="J101" s="294" t="str">
        <f>=ROUND(IFERROR(($G$101/$H$101)-1,0),4)</f>
      </c>
      <c r="L101" s="143" t="str">
        <f>=IFERROR(CHOOSE(E82,'III. Finanzberichte'!$B$26,'III. Finanzberichte'!$I$26,'III. Finanzberichte'!$P$26,'III. Finanzberichte'!$W$26,'III. Finanzberichte'!$AD$26,'III. Finanzberichte'!$AK$26,'III. Finanzberichte'!$AR$26,'III. Finanzberichte'!$AY$26,'III. Finanzberichte'!$BF$26,'III. Finanzberichte'!$BM$26,'III. Finanzberichte'!$BT$26,'III. Finanzberichte'!$CA$26,'III. Finanzberichte'!$CH$26,'III. Finanzberichte'!$CO$26,'III. Finanzberichte'!$CV$26,'III. Finanzberichte'!$DC$26,'III. Finanzberichte'!$DJ$26,'III. Finanzberichte'!$DQ$26),"")</f>
      </c>
      <c r="M101" s="116" t="str">
        <f>=IFERROR(CHOOSE(E82,'III. Finanzberichte'!$C$26,'III. Finanzberichte'!$J$26,'III. Finanzberichte'!$Q$26,'III. Finanzberichte'!$X$26,'III. Finanzberichte'!$AE$26,'III. Finanzberichte'!$AL$26,'III. Finanzberichte'!$AS$26,'III. Finanzberichte'!$AZ$26,'III. Finanzberichte'!$BG$26,'III. Finanzberichte'!$BN$26,'III. Finanzberichte'!$BU$26,'III. Finanzberichte'!$CB$26,'III. Finanzberichte'!$CI$26,'III. Finanzberichte'!$CP$26,'III. Finanzberichte'!$CW$26,'III. Finanzberichte'!$DD$26,'III. Finanzberichte'!$DK$26,'III. Finanzberichte'!$DR$26),"")</f>
      </c>
      <c r="N101" s="117" t="str">
        <f>=IFERROR(CHOOSE(E82,'III. Finanzberichte'!$D$26,'III. Finanzberichte'!$K$26,'III. Finanzberichte'!$R$26,'III. Finanzberichte'!$Y$26,'III. Finanzberichte'!$AF$26,'III. Finanzberichte'!$AM$26,'III. Finanzberichte'!$AT$26,'III. Finanzberichte'!$BA$26,'III. Finanzberichte'!$BH$26,'III. Finanzberichte'!$BO$26,'III. Finanzberichte'!$BV$26,'III. Finanzberichte'!$CC$26,'III. Finanzberichte'!$CJ$26,'III. Finanzberichte'!$CQ$26,'III. Finanzberichte'!$CX$26,'III. Finanzberichte'!$DE$26,'III. Finanzberichte'!$DL$26,'III. Finanzberichte'!$DS$26),"")</f>
      </c>
      <c r="O101" s="116" t="str">
        <f>=IFERROR(CHOOSE(E82,'III. Finanzberichte'!$E$26,'III. Finanzberichte'!$L$26,'III. Finanzberichte'!$S$26,'III. Finanzberichte'!$Z$26,'III. Finanzberichte'!$AG$26,'III. Finanzberichte'!$AN$26,'III. Finanzberichte'!$AU$26,'III. Finanzberichte'!$BB$26,'III. Finanzberichte'!$BI$26,'III. Finanzberichte'!$BP$26,'III. Finanzberichte'!$BW$26,'III. Finanzberichte'!$CD$26,'III. Finanzberichte'!$CK$26,'III. Finanzberichte'!$CR$26,'III. Finanzberichte'!$CY$26,'III. Finanzberichte'!$DF$26,'III. Finanzberichte'!$DM$26,'III. Finanzberichte'!$DT$26),"")</f>
      </c>
      <c r="P101" s="144" t="str">
        <f>=IFERROR(CHOOSE(E82,'III. Finanzberichte'!$F$26,'III. Finanzberichte'!$M$26,'III. Finanzberichte'!$T$26,'III. Finanzberichte'!$AA$26,'III. Finanzberichte'!$AH$26,'III. Finanzberichte'!$AO$26,'III. Finanzberichte'!$AV$26,'III. Finanzberichte'!$BC$26,'III. Finanzberichte'!$BJ$26,'III. Finanzberichte'!$BQ$26,'III. Finanzberichte'!$BX$26,'III. Finanzberichte'!$CE$26,'III. Finanzberichte'!$CL$26,'III. Finanzberichte'!$CS$26,'III. Finanzberichte'!$CZ$26,'III. Finanzberichte'!$DG$26,'III. Finanzberichte'!$DN$26,'III. Finanzberichte'!$DU$26),"")</f>
      </c>
    </row>
    <row r="102">
      <c r="L102" s="143" t="str">
        <f>=IFERROR(CHOOSE(E82,'III. Finanzberichte'!$B$27,'III. Finanzberichte'!$I$27,'III. Finanzberichte'!$P$27,'III. Finanzberichte'!$W$27,'III. Finanzberichte'!$AD$27,'III. Finanzberichte'!$AK$27,'III. Finanzberichte'!$AR$27,'III. Finanzberichte'!$AY$27,'III. Finanzberichte'!$BF$27,'III. Finanzberichte'!$BM$27,'III. Finanzberichte'!$BT$27,'III. Finanzberichte'!$CA$27,'III. Finanzberichte'!$CH$27,'III. Finanzberichte'!$CO$27,'III. Finanzberichte'!$CV$27,'III. Finanzberichte'!$DC$27,'III. Finanzberichte'!$DJ$27,'III. Finanzberichte'!$DQ$27),"")</f>
      </c>
      <c r="M102" s="116" t="str">
        <f>=IFERROR(CHOOSE(E82,'III. Finanzberichte'!$C$27,'III. Finanzberichte'!$J$27,'III. Finanzberichte'!$Q$27,'III. Finanzberichte'!$X$27,'III. Finanzberichte'!$AE$27,'III. Finanzberichte'!$AL$27,'III. Finanzberichte'!$AS$27,'III. Finanzberichte'!$AZ$27,'III. Finanzberichte'!$BG$27,'III. Finanzberichte'!$BN$27,'III. Finanzberichte'!$BU$27,'III. Finanzberichte'!$CB$27,'III. Finanzberichte'!$CI$27,'III. Finanzberichte'!$CP$27,'III. Finanzberichte'!$CW$27,'III. Finanzberichte'!$DD$27,'III. Finanzberichte'!$DK$27,'III. Finanzberichte'!$DR$27),"")</f>
      </c>
      <c r="N102" s="117" t="str">
        <f>=IFERROR(CHOOSE(E82,'III. Finanzberichte'!$D$27,'III. Finanzberichte'!$K$27,'III. Finanzberichte'!$R$27,'III. Finanzberichte'!$Y$27,'III. Finanzberichte'!$AF$27,'III. Finanzberichte'!$AM$27,'III. Finanzberichte'!$AT$27,'III. Finanzberichte'!$BA$27,'III. Finanzberichte'!$BH$27,'III. Finanzberichte'!$BO$27,'III. Finanzberichte'!$BV$27,'III. Finanzberichte'!$CC$27,'III. Finanzberichte'!$CJ$27,'III. Finanzberichte'!$CQ$27,'III. Finanzberichte'!$CX$27,'III. Finanzberichte'!$DE$27,'III. Finanzberichte'!$DL$27,'III. Finanzberichte'!$DS$27),"")</f>
      </c>
      <c r="O102" s="116" t="str">
        <f>=IFERROR(CHOOSE(E82,'III. Finanzberichte'!$E$27,'III. Finanzberichte'!$L$27,'III. Finanzberichte'!$S$27,'III. Finanzberichte'!$Z$27,'III. Finanzberichte'!$AG$27,'III. Finanzberichte'!$AN$27,'III. Finanzberichte'!$AU$27,'III. Finanzberichte'!$BB$27,'III. Finanzberichte'!$BI$27,'III. Finanzberichte'!$BP$27,'III. Finanzberichte'!$BW$27,'III. Finanzberichte'!$CD$27,'III. Finanzberichte'!$CK$27,'III. Finanzberichte'!$CR$27,'III. Finanzberichte'!$CY$27,'III. Finanzberichte'!$DF$27,'III. Finanzberichte'!$DM$27,'III. Finanzberichte'!$DT$27),"")</f>
      </c>
      <c r="P102" s="144" t="str">
        <f>=IFERROR(CHOOSE(E82,'III. Finanzberichte'!$F$27,'III. Finanzberichte'!$M$27,'III. Finanzberichte'!$T$27,'III. Finanzberichte'!$AA$27,'III. Finanzberichte'!$AH$27,'III. Finanzberichte'!$AO$27,'III. Finanzberichte'!$AV$27,'III. Finanzberichte'!$BC$27,'III. Finanzberichte'!$BJ$27,'III. Finanzberichte'!$BQ$27,'III. Finanzberichte'!$BX$27,'III. Finanzberichte'!$CE$27,'III. Finanzberichte'!$CL$27,'III. Finanzberichte'!$CS$27,'III. Finanzberichte'!$CZ$27,'III. Finanzberichte'!$DG$27,'III. Finanzberichte'!$DN$27,'III. Finanzberichte'!$DU$27),"")</f>
      </c>
    </row>
    <row r="103" ht="22" customHeight="true">
      <c r="B103" s="18" t="s">
        <v>397</v>
      </c>
      <c r="C103" s="18"/>
      <c r="D103" s="18"/>
      <c r="E103" s="18"/>
      <c r="F103" s="18"/>
      <c r="G103" s="18"/>
      <c r="H103" s="18"/>
      <c r="I103" s="18"/>
      <c r="J103" s="18"/>
      <c r="L103" s="143" t="str">
        <f>=IFERROR(CHOOSE(E82,'III. Finanzberichte'!$B$28,'III. Finanzberichte'!$I$28,'III. Finanzberichte'!$P$28,'III. Finanzberichte'!$W$28,'III. Finanzberichte'!$AD$28,'III. Finanzberichte'!$AK$28,'III. Finanzberichte'!$AR$28,'III. Finanzberichte'!$AY$28,'III. Finanzberichte'!$BF$28,'III. Finanzberichte'!$BM$28,'III. Finanzberichte'!$BT$28,'III. Finanzberichte'!$CA$28,'III. Finanzberichte'!$CH$28,'III. Finanzberichte'!$CO$28,'III. Finanzberichte'!$CV$28,'III. Finanzberichte'!$DC$28,'III. Finanzberichte'!$DJ$28,'III. Finanzberichte'!$DQ$28),"")</f>
      </c>
      <c r="M103" s="116" t="str">
        <f>=IFERROR(CHOOSE(E82,'III. Finanzberichte'!$C$28,'III. Finanzberichte'!$J$28,'III. Finanzberichte'!$Q$28,'III. Finanzberichte'!$X$28,'III. Finanzberichte'!$AE$28,'III. Finanzberichte'!$AL$28,'III. Finanzberichte'!$AS$28,'III. Finanzberichte'!$AZ$28,'III. Finanzberichte'!$BG$28,'III. Finanzberichte'!$BN$28,'III. Finanzberichte'!$BU$28,'III. Finanzberichte'!$CB$28,'III. Finanzberichte'!$CI$28,'III. Finanzberichte'!$CP$28,'III. Finanzberichte'!$CW$28,'III. Finanzberichte'!$DD$28,'III. Finanzberichte'!$DK$28,'III. Finanzberichte'!$DR$28),"")</f>
      </c>
      <c r="N103" s="117" t="str">
        <f>=IFERROR(CHOOSE(E82,'III. Finanzberichte'!$D$28,'III. Finanzberichte'!$K$28,'III. Finanzberichte'!$R$28,'III. Finanzberichte'!$Y$28,'III. Finanzberichte'!$AF$28,'III. Finanzberichte'!$AM$28,'III. Finanzberichte'!$AT$28,'III. Finanzberichte'!$BA$28,'III. Finanzberichte'!$BH$28,'III. Finanzberichte'!$BO$28,'III. Finanzberichte'!$BV$28,'III. Finanzberichte'!$CC$28,'III. Finanzberichte'!$CJ$28,'III. Finanzberichte'!$CQ$28,'III. Finanzberichte'!$CX$28,'III. Finanzberichte'!$DE$28,'III. Finanzberichte'!$DL$28,'III. Finanzberichte'!$DS$28),"")</f>
      </c>
      <c r="O103" s="116" t="str">
        <f>=IFERROR(CHOOSE(E82,'III. Finanzberichte'!$E$28,'III. Finanzberichte'!$L$28,'III. Finanzberichte'!$S$28,'III. Finanzberichte'!$Z$28,'III. Finanzberichte'!$AG$28,'III. Finanzberichte'!$AN$28,'III. Finanzberichte'!$AU$28,'III. Finanzberichte'!$BB$28,'III. Finanzberichte'!$BI$28,'III. Finanzberichte'!$BP$28,'III. Finanzberichte'!$BW$28,'III. Finanzberichte'!$CD$28,'III. Finanzberichte'!$CK$28,'III. Finanzberichte'!$CR$28,'III. Finanzberichte'!$CY$28,'III. Finanzberichte'!$DF$28,'III. Finanzberichte'!$DM$28,'III. Finanzberichte'!$DT$28),"")</f>
      </c>
      <c r="P103" s="144" t="str">
        <f>=IFERROR(CHOOSE(E82,'III. Finanzberichte'!$F$28,'III. Finanzberichte'!$M$28,'III. Finanzberichte'!$T$28,'III. Finanzberichte'!$AA$28,'III. Finanzberichte'!$AH$28,'III. Finanzberichte'!$AO$28,'III. Finanzberichte'!$AV$28,'III. Finanzberichte'!$BC$28,'III. Finanzberichte'!$BJ$28,'III. Finanzberichte'!$BQ$28,'III. Finanzberichte'!$BX$28,'III. Finanzberichte'!$CE$28,'III. Finanzberichte'!$CL$28,'III. Finanzberichte'!$CS$28,'III. Finanzberichte'!$CZ$28,'III. Finanzberichte'!$DG$28,'III. Finanzberichte'!$DN$28,'III. Finanzberichte'!$DU$28),"")</f>
      </c>
    </row>
    <row r="104">
      <c r="L104" s="344" t="s">
        <v>308</v>
      </c>
      <c r="M104" s="332" t="str">
        <f>=IFERROR(CHOOSE(E82,'III. Finanzberichte'!$C$29,'III. Finanzberichte'!$J$29,'III. Finanzberichte'!$Q$29,'III. Finanzberichte'!$X$29,'III. Finanzberichte'!$AE$29,'III. Finanzberichte'!$AL$29,'III. Finanzberichte'!$AS$29,'III. Finanzberichte'!$AZ$29,'III. Finanzberichte'!$BG$29,'III. Finanzberichte'!$BN$29,'III. Finanzberichte'!$BU$29,'III. Finanzberichte'!$CB$29,'III. Finanzberichte'!$CI$29,'III. Finanzberichte'!$CP$29,'III. Finanzberichte'!$CW$29,'III. Finanzberichte'!$DD$29,'III. Finanzberichte'!$DK$29,'III. Finanzberichte'!$DR$29),"")</f>
      </c>
      <c r="N104" s="333" t="str">
        <f>=IFERROR(CHOOSE(E82,'III. Finanzberichte'!$D$29,'III. Finanzberichte'!$K$29,'III. Finanzberichte'!$R$29,'III. Finanzberichte'!$Y$29,'III. Finanzberichte'!$AF$29,'III. Finanzberichte'!$AM$29,'III. Finanzberichte'!$AT$29,'III. Finanzberichte'!$BA$29,'III. Finanzberichte'!$BH$29,'III. Finanzberichte'!$BO$29,'III. Finanzberichte'!$BV$29,'III. Finanzberichte'!$CC$29,'III. Finanzberichte'!$CJ$29,'III. Finanzberichte'!$CQ$29,'III. Finanzberichte'!$CX$29,'III. Finanzberichte'!$DE$29,'III. Finanzberichte'!$DL$29,'III. Finanzberichte'!$DS$29),"")</f>
      </c>
      <c r="O104" s="332" t="str">
        <f>=IFERROR(CHOOSE(E82,'III. Finanzberichte'!$E$29,'III. Finanzberichte'!$L$29,'III. Finanzberichte'!$S$29,'III. Finanzberichte'!$Z$29,'III. Finanzberichte'!$AG$29,'III. Finanzberichte'!$AN$29,'III. Finanzberichte'!$AU$29,'III. Finanzberichte'!$BB$29,'III. Finanzberichte'!$BI$29,'III. Finanzberichte'!$BP$29,'III. Finanzberichte'!$BW$29,'III. Finanzberichte'!$CD$29,'III. Finanzberichte'!$CK$29,'III. Finanzberichte'!$CR$29,'III. Finanzberichte'!$CY$29,'III. Finanzberichte'!$DF$29,'III. Finanzberichte'!$DM$29,'III. Finanzberichte'!$DT$29),"")</f>
      </c>
      <c r="P104" s="345" t="str">
        <f>=IFERROR(CHOOSE(E82,'III. Finanzberichte'!$F$29,'III. Finanzberichte'!$M$29,'III. Finanzberichte'!$T$29,'III. Finanzberichte'!$AA$29,'III. Finanzberichte'!$AH$29,'III. Finanzberichte'!$AO$29,'III. Finanzberichte'!$AV$29,'III. Finanzberichte'!$BC$29,'III. Finanzberichte'!$BJ$29,'III. Finanzberichte'!$BQ$29,'III. Finanzberichte'!$BX$29,'III. Finanzberichte'!$CE$29,'III. Finanzberichte'!$CL$29,'III. Finanzberichte'!$CS$29,'III. Finanzberichte'!$CZ$29,'III. Finanzberichte'!$DG$29,'III. Finanzberichte'!$DN$29,'III. Finanzberichte'!$DU$29),"")</f>
      </c>
    </row>
    <row r="105" ht="28" customHeight="true">
      <c r="B105" s="263" t="s">
        <v>379</v>
      </c>
      <c r="C105" s="264" t="s">
        <v>395</v>
      </c>
      <c r="D105" s="264" t="s">
        <v>381</v>
      </c>
      <c r="E105" s="264" t="s">
        <v>382</v>
      </c>
      <c r="F105" s="264" t="s">
        <v>383</v>
      </c>
      <c r="G105" s="264" t="s">
        <v>396</v>
      </c>
      <c r="H105" s="264" t="s">
        <v>385</v>
      </c>
      <c r="I105" s="264" t="s">
        <v>386</v>
      </c>
      <c r="J105" s="265" t="s">
        <v>387</v>
      </c>
      <c r="L105" s="47"/>
      <c r="P105" s="48"/>
    </row>
    <row r="106">
      <c r="B106" s="266" t="s">
        <v>205</v>
      </c>
      <c r="C106" s="240" t="str">
        <f>=IFERROR(ROUND(CHOOSE(E82,'III. Finanzberichte'!$E$19+'III. Finanzberichte'!$E$20,'III. Finanzberichte'!$L$19+'III. Finanzberichte'!$L$20,'III. Finanzberichte'!$S$19+'III. Finanzberichte'!$S$20,'III. Finanzberichte'!$Z$19+'III. Finanzberichte'!$Z$20,'III. Finanzberichte'!$AG$19+'III. Finanzberichte'!$AG$20,'III. Finanzberichte'!$AN$19+'III. Finanzberichte'!$AN$20,'III. Finanzberichte'!$AU$19+'III. Finanzberichte'!$AU$20,'III. Finanzberichte'!$BB$19+'III. Finanzberichte'!$BB$20,'III. Finanzberichte'!$BI$19+'III. Finanzberichte'!$BI$20,'III. Finanzberichte'!$BP$19+'III. Finanzberichte'!$BP$20,'III. Finanzberichte'!$BW$19+'III. Finanzberichte'!$BW$20,'III. Finanzberichte'!$CD$19+'III. Finanzberichte'!$CD$20,'III. Finanzberichte'!$CK$19+'III. Finanzberichte'!$CK$20,'III. Finanzberichte'!$CR$19+'III. Finanzberichte'!$CR$20,'III. Finanzberichte'!$CY$19+'III. Finanzberichte'!$CY$20,'III. Finanzberichte'!$DF$19+'III. Finanzberichte'!$DF$20,'III. Finanzberichte'!$DM$19+'III. Finanzberichte'!$DM$20,'III. Finanzberichte'!$DT$19+'III. Finanzberichte'!$DT$20),2),0)</f>
      </c>
      <c r="D106" s="240" t="str">
        <f>=IFERROR(ROUND(Kosten_Bauausgaben_LW,2),0)</f>
      </c>
      <c r="E106" s="201" t="str">
        <f>=ROUND(IFERROR($C$106-$D$106,0),2)</f>
      </c>
      <c r="F106" s="258" t="str">
        <f>=ROUND(IFERROR(($C$106/$D$106)-1,0),4)</f>
      </c>
      <c r="G106" s="217" t="str">
        <f>=IFERROR(ROUND(CHOOSE(E82,'III. Finanzberichte'!$F$19+'III. Finanzberichte'!$F$20,'III. Finanzberichte'!$M$19+'III. Finanzberichte'!$M$20,'III. Finanzberichte'!$T$19+'III. Finanzberichte'!$T$20,'III. Finanzberichte'!$AA$19+'III. Finanzberichte'!$AA$20,'III. Finanzberichte'!$AH$19+'III. Finanzberichte'!$AH$20,'III. Finanzberichte'!$AO$19+'III. Finanzberichte'!$AO$20,'III. Finanzberichte'!$AV$19+'III. Finanzberichte'!$AV$20,'III. Finanzberichte'!$BC$19+'III. Finanzberichte'!$BC$20,'III. Finanzberichte'!$BJ$19+'III. Finanzberichte'!$BJ$20,'III. Finanzberichte'!$BQ$19+'III. Finanzberichte'!$BQ$20,'III. Finanzberichte'!$BX$19+'III. Finanzberichte'!$BX$20,'III. Finanzberichte'!$CE$19+'III. Finanzberichte'!$CE$20,'III. Finanzberichte'!$CL$19+'III. Finanzberichte'!$CL$20,'III. Finanzberichte'!$CS$19+'III. Finanzberichte'!$CS$20,'III. Finanzberichte'!$CZ$19+'III. Finanzberichte'!$CZ$20,'III. Finanzberichte'!$DG$19+'III. Finanzberichte'!$DG$20,'III. Finanzberichte'!$DN$19+'III. Finanzberichte'!$DN$20,'III. Finanzberichte'!$DU$19+'III. Finanzberichte'!$DU$20),2),0)</f>
      </c>
      <c r="H106" s="217" t="str">
        <f>=IFERROR(ROUND(Kosten_Bauausgaben_EUR,2),0)</f>
      </c>
      <c r="I106" s="182" t="str">
        <f>=ROUND(IFERROR($G$106-$H$106,0),2)</f>
      </c>
      <c r="J106" s="295" t="str">
        <f>=ROUND(IFERROR(($G$106/$H$106)-1,0),4)</f>
      </c>
      <c r="L106" s="346" t="s">
        <v>309</v>
      </c>
      <c r="M106" s="347" t="str">
        <f>=IFERROR(CHOOSE(E82,'III. Finanzberichte'!$C$31,'III. Finanzberichte'!$J$31,'III. Finanzberichte'!$Q$31,'III. Finanzberichte'!$X$31,'III. Finanzberichte'!$AE$31,'III. Finanzberichte'!$AL$31,'III. Finanzberichte'!$AS$31,'III. Finanzberichte'!$AZ$31,'III. Finanzberichte'!$BG$31,'III. Finanzberichte'!$BN$31,'III. Finanzberichte'!$BU$31,'III. Finanzberichte'!$CB$31,'III. Finanzberichte'!$CI$31,'III. Finanzberichte'!$CP$31,'III. Finanzberichte'!$CW$31,'III. Finanzberichte'!$DD$31,'III. Finanzberichte'!$DK$31,'III. Finanzberichte'!$DR$31),"")</f>
      </c>
      <c r="N106" s="348" t="str">
        <f>=IFERROR(CHOOSE(E82,'III. Finanzberichte'!$D$31,'III. Finanzberichte'!$K$31,'III. Finanzberichte'!$R$31,'III. Finanzberichte'!$Y$31,'III. Finanzberichte'!$AF$31,'III. Finanzberichte'!$AM$31,'III. Finanzberichte'!$AT$31,'III. Finanzberichte'!$BA$31,'III. Finanzberichte'!$BH$31,'III. Finanzberichte'!$BO$31,'III. Finanzberichte'!$BV$31,'III. Finanzberichte'!$CC$31,'III. Finanzberichte'!$CJ$31,'III. Finanzberichte'!$CQ$31,'III. Finanzberichte'!$CX$31,'III. Finanzberichte'!$DE$31,'III. Finanzberichte'!$DL$31,'III. Finanzberichte'!$DS$31),"")</f>
      </c>
      <c r="O106" s="347" t="str">
        <f>=IFERROR(CHOOSE(E82,'III. Finanzberichte'!$E$31,'III. Finanzberichte'!$L$31,'III. Finanzberichte'!$S$31,'III. Finanzberichte'!$Z$31,'III. Finanzberichte'!$AG$31,'III. Finanzberichte'!$AN$31,'III. Finanzberichte'!$AU$31,'III. Finanzberichte'!$BB$31,'III. Finanzberichte'!$BI$31,'III. Finanzberichte'!$BP$31,'III. Finanzberichte'!$BW$31,'III. Finanzberichte'!$CD$31,'III. Finanzberichte'!$CK$31,'III. Finanzberichte'!$CR$31,'III. Finanzberichte'!$CY$31,'III. Finanzberichte'!$DF$31,'III. Finanzberichte'!$DM$31,'III. Finanzberichte'!$DT$31),"")</f>
      </c>
      <c r="P106" s="349" t="str">
        <f>=IFERROR(CHOOSE(E82,'III. Finanzberichte'!$F$31,'III. Finanzberichte'!$M$31,'III. Finanzberichte'!$T$31,'III. Finanzberichte'!$AA$31,'III. Finanzberichte'!$AH$31,'III. Finanzberichte'!$AO$31,'III. Finanzberichte'!$AV$31,'III. Finanzberichte'!$BC$31,'III. Finanzberichte'!$BJ$31,'III. Finanzberichte'!$BQ$31,'III. Finanzberichte'!$BX$31,'III. Finanzberichte'!$CE$31,'III. Finanzberichte'!$CL$31,'III. Finanzberichte'!$CS$31,'III. Finanzberichte'!$CZ$31,'III. Finanzberichte'!$DG$31,'III. Finanzberichte'!$DN$31,'III. Finanzberichte'!$DU$31),"")</f>
      </c>
    </row>
    <row r="107">
      <c r="B107" s="266" t="s">
        <v>210</v>
      </c>
      <c r="C107" s="240" t="str">
        <f>=IFERROR(ROUND(CHOOSE(E82,'III. Finanzberichte'!$E$21,'III. Finanzberichte'!$L$21,'III. Finanzberichte'!$S$21,'III. Finanzberichte'!$Z$21,'III. Finanzberichte'!$AG$21,'III. Finanzberichte'!$AN$21,'III. Finanzberichte'!$AU$21,'III. Finanzberichte'!$BB$21,'III. Finanzberichte'!$BI$21,'III. Finanzberichte'!$BP$21,'III. Finanzberichte'!$BW$21,'III. Finanzberichte'!$CD$21,'III. Finanzberichte'!$CK$21,'III. Finanzberichte'!$CR$21,'III. Finanzberichte'!$CY$21,'III. Finanzberichte'!$DF$21,'III. Finanzberichte'!$DM$21,'III. Finanzberichte'!$DT$21),2),0)</f>
      </c>
      <c r="D107" s="240" t="str">
        <f>=IFERROR(ROUND(Kosten_Investitionen_LW,2),0)</f>
      </c>
      <c r="E107" s="201" t="str">
        <f>=ROUND(IFERROR($C$107-$D$107,0),2)</f>
      </c>
      <c r="F107" s="258" t="str">
        <f>=ROUND(IFERROR(($C$107/$D$107)-1,0),4)</f>
      </c>
      <c r="G107" s="217" t="str">
        <f>=IFERROR(ROUND(CHOOSE(E82,'III. Finanzberichte'!$F$21,'III. Finanzberichte'!$M$21,'III. Finanzberichte'!$T$21,'III. Finanzberichte'!$AA$21,'III. Finanzberichte'!$AH$21,'III. Finanzberichte'!$AO$21,'III. Finanzberichte'!$AV$21,'III. Finanzberichte'!$BC$21,'III. Finanzberichte'!$BJ$21,'III. Finanzberichte'!$BQ$21,'III. Finanzberichte'!$BX$21,'III. Finanzberichte'!$CE$21,'III. Finanzberichte'!$CL$21,'III. Finanzberichte'!$CS$21,'III. Finanzberichte'!$CZ$21,'III. Finanzberichte'!$DG$21,'III. Finanzberichte'!$DN$21,'III. Finanzberichte'!$DU$21),2),0)</f>
      </c>
      <c r="H107" s="217" t="str">
        <f>=IFERROR(ROUND(Kosten_Investitionen_EUR,2),0)</f>
      </c>
      <c r="I107" s="182" t="str">
        <f>=ROUND(IFERROR($G$107-$H$107,0),2)</f>
      </c>
      <c r="J107" s="296" t="str">
        <f>=ROUND(IFERROR(($G$107/$H$107)-1,0),4)</f>
      </c>
    </row>
    <row r="108">
      <c r="B108" s="266" t="s">
        <v>213</v>
      </c>
      <c r="C108" s="240" t="str">
        <f>=IFERROR(ROUND(CHOOSE(E82,'III. Finanzberichte'!$E$22+'III. Finanzberichte'!$E$23,'III. Finanzberichte'!$L$22+'III. Finanzberichte'!$L$23,'III. Finanzberichte'!$S$22+'III. Finanzberichte'!$S$23,'III. Finanzberichte'!$Z$22+'III. Finanzberichte'!$Z$23,'III. Finanzberichte'!$AG$22+'III. Finanzberichte'!$AG$23,'III. Finanzberichte'!$AN$22+'III. Finanzberichte'!$AN$23,'III. Finanzberichte'!$AU$22+'III. Finanzberichte'!$AU$23,'III. Finanzberichte'!$BB$22+'III. Finanzberichte'!$BB$23,'III. Finanzberichte'!$BI$22+'III. Finanzberichte'!$BI$23,'III. Finanzberichte'!$BP$22+'III. Finanzberichte'!$BP$23,'III. Finanzberichte'!$BW$22+'III. Finanzberichte'!$BW$23,'III. Finanzberichte'!$CD$22+'III. Finanzberichte'!$CD$23,'III. Finanzberichte'!$CK$22+'III. Finanzberichte'!$CK$23,'III. Finanzberichte'!$CR$22+'III. Finanzberichte'!$CR$23,'III. Finanzberichte'!$CY$22+'III. Finanzberichte'!$CY$23,'III. Finanzberichte'!$DF$22+'III. Finanzberichte'!$DF$23,'III. Finanzberichte'!$DM$22+'III. Finanzberichte'!$DM$23,'III. Finanzberichte'!$DT$22+'III. Finanzberichte'!$DT$23),2),0)</f>
      </c>
      <c r="D108" s="240" t="str">
        <f>=IFERROR(ROUND(Kosten_Personalkosten_LW,2),0)</f>
      </c>
      <c r="E108" s="201" t="str">
        <f>=ROUND(IFERROR($C$108-$D$108,0),2)</f>
      </c>
      <c r="F108" s="258" t="str">
        <f>=ROUND(IFERROR(($C$108/$D$108)-1,0),4)</f>
      </c>
      <c r="G108" s="217" t="str">
        <f>=IFERROR(ROUND(CHOOSE(E82,'III. Finanzberichte'!$F$22+'III. Finanzberichte'!$F$23,'III. Finanzberichte'!$M$22+'III. Finanzberichte'!$M$23,'III. Finanzberichte'!$T$22+'III. Finanzberichte'!$T$23,'III. Finanzberichte'!$AA$22+'III. Finanzberichte'!$AA$23,'III. Finanzberichte'!$AH$22+'III. Finanzberichte'!$AH$23,'III. Finanzberichte'!$AO$22+'III. Finanzberichte'!$AO$23,'III. Finanzberichte'!$AV$22+'III. Finanzberichte'!$AV$23,'III. Finanzberichte'!$BC$22+'III. Finanzberichte'!$BC$23,'III. Finanzberichte'!$BJ$22+'III. Finanzberichte'!$BJ$23,'III. Finanzberichte'!$BQ$22+'III. Finanzberichte'!$BQ$23,'III. Finanzberichte'!$BX$22+'III. Finanzberichte'!$BX$23,'III. Finanzberichte'!$CE$22+'III. Finanzberichte'!$CE$23,'III. Finanzberichte'!$CL$22+'III. Finanzberichte'!$CL$23,'III. Finanzberichte'!$CS$22+'III. Finanzberichte'!$CS$23,'III. Finanzberichte'!$CZ$22+'III. Finanzberichte'!$CZ$23,'III. Finanzberichte'!$DG$22+'III. Finanzberichte'!$DG$23,'III. Finanzberichte'!$DN$22+'III. Finanzberichte'!$DN$23,'III. Finanzberichte'!$DU$22+'III. Finanzberichte'!$DU$23),2),0)</f>
      </c>
      <c r="H108" s="217" t="str">
        <f>=IFERROR(ROUND(Kosten_Personalkosten_EUR,2),0)</f>
      </c>
      <c r="I108" s="182" t="str">
        <f>=ROUND(IFERROR($G$108-$H$108,0),2)</f>
      </c>
      <c r="J108" s="297" t="str">
        <f>=ROUND(IFERROR(($G$108/$H$108)-1,0),4)</f>
      </c>
    </row>
    <row r="109">
      <c r="B109" s="266" t="s">
        <v>218</v>
      </c>
      <c r="C109" s="240" t="str">
        <f>=IFERROR(ROUND(CHOOSE(E82,'III. Finanzberichte'!$E$24,'III. Finanzberichte'!$L$24,'III. Finanzberichte'!$S$24,'III. Finanzberichte'!$Z$24,'III. Finanzberichte'!$AG$24,'III. Finanzberichte'!$AN$24,'III. Finanzberichte'!$AU$24,'III. Finanzberichte'!$BB$24,'III. Finanzberichte'!$BI$24,'III. Finanzberichte'!$BP$24,'III. Finanzberichte'!$BW$24,'III. Finanzberichte'!$CD$24,'III. Finanzberichte'!$CK$24,'III. Finanzberichte'!$CR$24,'III. Finanzberichte'!$CY$24,'III. Finanzberichte'!$DF$24,'III. Finanzberichte'!$DM$24,'III. Finanzberichte'!$DT$24),2),0)</f>
      </c>
      <c r="D109" s="240" t="str">
        <f>=IFERROR(ROUND(Kosten_Projektaktivitaeten_LW,2),0)</f>
      </c>
      <c r="E109" s="201" t="str">
        <f>=ROUND(IFERROR($C$109-$D$109,0),2)</f>
      </c>
      <c r="F109" s="258" t="str">
        <f>=ROUND(IFERROR(($C$109/$D$109)-1,0),4)</f>
      </c>
      <c r="G109" s="217" t="str">
        <f>=IFERROR(ROUND(CHOOSE(E82,'III. Finanzberichte'!$F$24,'III. Finanzberichte'!$M$24,'III. Finanzberichte'!$T$24,'III. Finanzberichte'!$AA$24,'III. Finanzberichte'!$AH$24,'III. Finanzberichte'!$AO$24,'III. Finanzberichte'!$AV$24,'III. Finanzberichte'!$BC$24,'III. Finanzberichte'!$BJ$24,'III. Finanzberichte'!$BQ$24,'III. Finanzberichte'!$BX$24,'III. Finanzberichte'!$CE$24,'III. Finanzberichte'!$CL$24,'III. Finanzberichte'!$CS$24,'III. Finanzberichte'!$CZ$24,'III. Finanzberichte'!$DG$24,'III. Finanzberichte'!$DN$24,'III. Finanzberichte'!$DU$24),2),0)</f>
      </c>
      <c r="H109" s="217" t="str">
        <f>=IFERROR(ROUND(Kosten_Projektaktivitaeten_EUR,2),0)</f>
      </c>
      <c r="I109" s="182" t="str">
        <f>=ROUND(IFERROR($G$109-$H$109,0),2)</f>
      </c>
      <c r="J109" s="298" t="str">
        <f>=ROUND(IFERROR(($G$109/$H$109)-1,0),4)</f>
      </c>
    </row>
    <row r="110">
      <c r="B110" s="266" t="s">
        <v>221</v>
      </c>
      <c r="C110" s="240" t="str">
        <f>=IFERROR(ROUND(CHOOSE(E82,'III. Finanzberichte'!$E$25,'III. Finanzberichte'!$L$25,'III. Finanzberichte'!$S$25,'III. Finanzberichte'!$Z$25,'III. Finanzberichte'!$AG$25,'III. Finanzberichte'!$AN$25,'III. Finanzberichte'!$AU$25,'III. Finanzberichte'!$BB$25,'III. Finanzberichte'!$BI$25,'III. Finanzberichte'!$BP$25,'III. Finanzberichte'!$BW$25,'III. Finanzberichte'!$CD$25,'III. Finanzberichte'!$CK$25,'III. Finanzberichte'!$CR$25,'III. Finanzberichte'!$CY$25,'III. Finanzberichte'!$DF$25,'III. Finanzberichte'!$DM$25,'III. Finanzberichte'!$DT$25),2),0)</f>
      </c>
      <c r="D110" s="240" t="str">
        <f>=IFERROR(ROUND(Kosten_Projektverwaltung_LW,2),0)</f>
      </c>
      <c r="E110" s="201" t="str">
        <f>=ROUND(IFERROR($C$110-$D$110,0),2)</f>
      </c>
      <c r="F110" s="258" t="str">
        <f>=ROUND(IFERROR(($C$110/$D$110)-1,0),4)</f>
      </c>
      <c r="G110" s="217" t="str">
        <f>=IFERROR(ROUND(CHOOSE(E82,'III. Finanzberichte'!$F$25,'III. Finanzberichte'!$M$25,'III. Finanzberichte'!$T$25,'III. Finanzberichte'!$AA$25,'III. Finanzberichte'!$AH$25,'III. Finanzberichte'!$AO$25,'III. Finanzberichte'!$AV$25,'III. Finanzberichte'!$BC$25,'III. Finanzberichte'!$BJ$25,'III. Finanzberichte'!$BQ$25,'III. Finanzberichte'!$BX$25,'III. Finanzberichte'!$CE$25,'III. Finanzberichte'!$CL$25,'III. Finanzberichte'!$CS$25,'III. Finanzberichte'!$CZ$25,'III. Finanzberichte'!$DG$25,'III. Finanzberichte'!$DN$25,'III. Finanzberichte'!$DU$25),2),0)</f>
      </c>
      <c r="H110" s="217" t="str">
        <f>=IFERROR(ROUND(Kosten_Projektverwaltung_EUR,2),0)</f>
      </c>
      <c r="I110" s="182" t="str">
        <f>=ROUND(IFERROR($G$110-$H$110,0),2)</f>
      </c>
      <c r="J110" s="299" t="str">
        <f>=ROUND(IFERROR(($G$110/$H$110)-1,0),4)</f>
      </c>
    </row>
    <row r="111">
      <c r="B111" s="266" t="s">
        <v>224</v>
      </c>
      <c r="C111" s="240" t="str">
        <f>=IFERROR(ROUND(CHOOSE(E82,'III. Finanzberichte'!$E$26,'III. Finanzberichte'!$L$26,'III. Finanzberichte'!$S$26,'III. Finanzberichte'!$Z$26,'III. Finanzberichte'!$AG$26,'III. Finanzberichte'!$AN$26,'III. Finanzberichte'!$AU$26,'III. Finanzberichte'!$BB$26,'III. Finanzberichte'!$BI$26,'III. Finanzberichte'!$BP$26,'III. Finanzberichte'!$BW$26,'III. Finanzberichte'!$CD$26,'III. Finanzberichte'!$CK$26,'III. Finanzberichte'!$CR$26,'III. Finanzberichte'!$CY$26,'III. Finanzberichte'!$DF$26,'III. Finanzberichte'!$DM$26,'III. Finanzberichte'!$DT$26),2),0)</f>
      </c>
      <c r="D111" s="240" t="str">
        <f>=IFERROR(ROUND(Kosten_Evaluierung_LW,2),0)</f>
      </c>
      <c r="E111" s="201" t="str">
        <f>=ROUND(IFERROR($C$111-$D$111,0),2)</f>
      </c>
      <c r="F111" s="258" t="str">
        <f>=ROUND(IFERROR(($C$111/$D$111)-1,0),4)</f>
      </c>
      <c r="G111" s="217" t="str">
        <f>=IFERROR(ROUND(CHOOSE(E82,'III. Finanzberichte'!$F$26,'III. Finanzberichte'!$M$26,'III. Finanzberichte'!$T$26,'III. Finanzberichte'!$AA$26,'III. Finanzberichte'!$AH$26,'III. Finanzberichte'!$AO$26,'III. Finanzberichte'!$AV$26,'III. Finanzberichte'!$BC$26,'III. Finanzberichte'!$BJ$26,'III. Finanzberichte'!$BQ$26,'III. Finanzberichte'!$BX$26,'III. Finanzberichte'!$CE$26,'III. Finanzberichte'!$CL$26,'III. Finanzberichte'!$CS$26,'III. Finanzberichte'!$CZ$26,'III. Finanzberichte'!$DG$26,'III. Finanzberichte'!$DN$26,'III. Finanzberichte'!$DU$26),2),0)</f>
      </c>
      <c r="H111" s="217" t="str">
        <f>=IFERROR(ROUND(Kosten_Evaluierung_EUR,2),0)</f>
      </c>
      <c r="I111" s="182" t="str">
        <f>=ROUND(IFERROR($G$111-$H$111,0),2)</f>
      </c>
      <c r="J111" s="300" t="str">
        <f>=ROUND(IFERROR(($G$111/$H$111)-1,0),4)</f>
      </c>
    </row>
    <row r="112">
      <c r="B112" s="266" t="s">
        <v>227</v>
      </c>
      <c r="C112" s="240" t="str">
        <f>=IFERROR(ROUND(CHOOSE(E82,'III. Finanzberichte'!$E$27,'III. Finanzberichte'!$L$27,'III. Finanzberichte'!$S$27,'III. Finanzberichte'!$Z$27,'III. Finanzberichte'!$AG$27,'III. Finanzberichte'!$AN$27,'III. Finanzberichte'!$AU$27,'III. Finanzberichte'!$BB$27,'III. Finanzberichte'!$BI$27,'III. Finanzberichte'!$BP$27,'III. Finanzberichte'!$BW$27,'III. Finanzberichte'!$CD$27,'III. Finanzberichte'!$CK$27,'III. Finanzberichte'!$CR$27,'III. Finanzberichte'!$CY$27,'III. Finanzberichte'!$DF$27,'III. Finanzberichte'!$DM$27,'III. Finanzberichte'!$DT$27),2),0)</f>
      </c>
      <c r="D112" s="240" t="str">
        <f>=IFERROR(ROUND(Kosten_Audit_LW,2),0)</f>
      </c>
      <c r="E112" s="201" t="str">
        <f>=ROUND(IFERROR($C$112-$D$112,0),2)</f>
      </c>
      <c r="F112" s="258" t="str">
        <f>=ROUND(IFERROR(($C$112/$D$112)-1,0),4)</f>
      </c>
      <c r="G112" s="217" t="str">
        <f>=IFERROR(ROUND(CHOOSE(E82,'III. Finanzberichte'!$F$27,'III. Finanzberichte'!$M$27,'III. Finanzberichte'!$T$27,'III. Finanzberichte'!$AA$27,'III. Finanzberichte'!$AH$27,'III. Finanzberichte'!$AO$27,'III. Finanzberichte'!$AV$27,'III. Finanzberichte'!$BC$27,'III. Finanzberichte'!$BJ$27,'III. Finanzberichte'!$BQ$27,'III. Finanzberichte'!$BX$27,'III. Finanzberichte'!$CE$27,'III. Finanzberichte'!$CL$27,'III. Finanzberichte'!$CS$27,'III. Finanzberichte'!$CZ$27,'III. Finanzberichte'!$DG$27,'III. Finanzberichte'!$DN$27,'III. Finanzberichte'!$DU$27),2),0)</f>
      </c>
      <c r="H112" s="217" t="str">
        <f>=IFERROR(ROUND(Kosten_Audit_EUR,2),0)</f>
      </c>
      <c r="I112" s="182" t="str">
        <f>=ROUND(IFERROR($G$112-$H$112,0),2)</f>
      </c>
      <c r="J112" s="301" t="str">
        <f>=ROUND(IFERROR(($G$112/$H$112)-1,0),4)</f>
      </c>
    </row>
    <row r="113">
      <c r="B113" s="266" t="s">
        <v>230</v>
      </c>
      <c r="C113" s="240" t="str">
        <f>=IFERROR(ROUND(CHOOSE(E82,'III. Finanzberichte'!$E$28,'III. Finanzberichte'!$L$28,'III. Finanzberichte'!$S$28,'III. Finanzberichte'!$Z$28,'III. Finanzberichte'!$AG$28,'III. Finanzberichte'!$AN$28,'III. Finanzberichte'!$AU$28,'III. Finanzberichte'!$BB$28,'III. Finanzberichte'!$BI$28,'III. Finanzberichte'!$BP$28,'III. Finanzberichte'!$BW$28,'III. Finanzberichte'!$CD$28,'III. Finanzberichte'!$CK$28,'III. Finanzberichte'!$CR$28,'III. Finanzberichte'!$CY$28,'III. Finanzberichte'!$DF$28,'III. Finanzberichte'!$DM$28,'III. Finanzberichte'!$DT$28),2),0)</f>
      </c>
      <c r="D113" s="240" t="str">
        <f>=IFERROR(ROUND(Kosten_Reserve_LW,2),0)</f>
      </c>
      <c r="E113" s="201" t="str">
        <f>=ROUND(IFERROR($C$113-$D$113,0),2)</f>
      </c>
      <c r="F113" s="258" t="str">
        <f>=ROUND(IFERROR(($C$113/$D$113)-1,0),4)</f>
      </c>
      <c r="G113" s="217" t="str">
        <f>=IFERROR(ROUND(CHOOSE(E82,'III. Finanzberichte'!$F$28,'III. Finanzberichte'!$M$28,'III. Finanzberichte'!$T$28,'III. Finanzberichte'!$AA$28,'III. Finanzberichte'!$AH$28,'III. Finanzberichte'!$AO$28,'III. Finanzberichte'!$AV$28,'III. Finanzberichte'!$BC$28,'III. Finanzberichte'!$BJ$28,'III. Finanzberichte'!$BQ$28,'III. Finanzberichte'!$BX$28,'III. Finanzberichte'!$CE$28,'III. Finanzberichte'!$CL$28,'III. Finanzberichte'!$CS$28,'III. Finanzberichte'!$CZ$28,'III. Finanzberichte'!$DG$28,'III. Finanzberichte'!$DN$28,'III. Finanzberichte'!$DU$28),2),0)</f>
      </c>
      <c r="H113" s="217" t="str">
        <f>=IFERROR(ROUND(Kosten_Reserve_EUR,2),0)</f>
      </c>
      <c r="I113" s="182" t="str">
        <f>=ROUND(IFERROR($G$113-$H$113,0),2)</f>
      </c>
      <c r="J113" s="302" t="str">
        <f>=ROUND(IFERROR(($G$113/$H$113)-1,0),4)</f>
      </c>
    </row>
    <row r="114" ht="20" customHeight="true">
      <c r="B114" s="271" t="s">
        <v>287</v>
      </c>
      <c r="C114" s="272" t="str">
        <f>=ROUND(SUM($C$106:$C$113),2)</f>
      </c>
      <c r="D114" s="272" t="str">
        <f>=ROUND(SUM($D$106:$D$113),2)</f>
      </c>
      <c r="E114" s="272" t="str">
        <f>=ROUND(SUM($E$106:$E$113),2)</f>
      </c>
      <c r="F114" s="303" t="str">
        <f>=ROUND(IFERROR(($C$114/$D$114)-1,0),4)</f>
      </c>
      <c r="G114" s="274" t="str">
        <f>=ROUND(SUM($G$106:$G$113),2)</f>
      </c>
      <c r="H114" s="274" t="str">
        <f>=ROUND(SUM($H$106:$H$113),2)</f>
      </c>
      <c r="I114" s="274" t="str">
        <f>=ROUND(SUM($I$106:$I$113),2)</f>
      </c>
      <c r="J114" s="304" t="str">
        <f>=ROUND(IFERROR(($G$114/$H$114)-1,0),4)</f>
      </c>
    </row>
  </sheetData>
  <mergeCells count="104">
    <mergeCell ref="B2:J2"/>
    <mergeCell ref="B3:J3"/>
    <mergeCell ref="B5:J5"/>
    <mergeCell ref="B6:J6"/>
    <mergeCell ref="C8:G8"/>
    <mergeCell ref="C9:D9"/>
    <mergeCell ref="E9:G9"/>
    <mergeCell ref="C10:D10"/>
    <mergeCell ref="E10:G10"/>
    <mergeCell ref="C11:D11"/>
    <mergeCell ref="E11:G11"/>
    <mergeCell ref="C12:G12"/>
    <mergeCell ref="C13:D13"/>
    <mergeCell ref="E13:F13"/>
    <mergeCell ref="G13:G13"/>
    <mergeCell ref="C14:D14"/>
    <mergeCell ref="E14:F14"/>
    <mergeCell ref="G14:G14"/>
    <mergeCell ref="C15:D15"/>
    <mergeCell ref="E15:F15"/>
    <mergeCell ref="G15:G15"/>
    <mergeCell ref="C16:D16"/>
    <mergeCell ref="E16:F16"/>
    <mergeCell ref="G16:G16"/>
    <mergeCell ref="C17:D17"/>
    <mergeCell ref="E17:F17"/>
    <mergeCell ref="G17:G17"/>
    <mergeCell ref="C18:D18"/>
    <mergeCell ref="E18:F18"/>
    <mergeCell ref="G18:G18"/>
    <mergeCell ref="B20:J20"/>
    <mergeCell ref="B22:C22"/>
    <mergeCell ref="B23:C23"/>
    <mergeCell ref="B24:C24"/>
    <mergeCell ref="B25:C25"/>
    <mergeCell ref="B26:C26"/>
    <mergeCell ref="F22:I22"/>
    <mergeCell ref="G23:H23"/>
    <mergeCell ref="G24:H24"/>
    <mergeCell ref="G25:H25"/>
    <mergeCell ref="G26:H26"/>
    <mergeCell ref="G27:H27"/>
    <mergeCell ref="B29:C29"/>
    <mergeCell ref="F29:H29"/>
    <mergeCell ref="B30:C30"/>
    <mergeCell ref="F30:H30"/>
    <mergeCell ref="B32:C32"/>
    <mergeCell ref="F32:H32"/>
    <mergeCell ref="B33:C33"/>
    <mergeCell ref="F33:H33"/>
    <mergeCell ref="B36:J36"/>
    <mergeCell ref="B38:C38"/>
    <mergeCell ref="B39:C39"/>
    <mergeCell ref="D39:E39"/>
    <mergeCell ref="B40:C40"/>
    <mergeCell ref="B41:C41"/>
    <mergeCell ref="D41:E41"/>
    <mergeCell ref="B42:C42"/>
    <mergeCell ref="B43:C43"/>
    <mergeCell ref="D43:E43"/>
    <mergeCell ref="B44:C44"/>
    <mergeCell ref="D44:E44"/>
    <mergeCell ref="B45:C45"/>
    <mergeCell ref="D45:E45"/>
    <mergeCell ref="B46:C46"/>
    <mergeCell ref="B47:C47"/>
    <mergeCell ref="B48:C48"/>
    <mergeCell ref="B49:C49"/>
    <mergeCell ref="B51:J51"/>
    <mergeCell ref="B60:J60"/>
    <mergeCell ref="B77:J77"/>
    <mergeCell ref="B78:J78"/>
    <mergeCell ref="C80:G80"/>
    <mergeCell ref="C81:D81"/>
    <mergeCell ref="E81:G81"/>
    <mergeCell ref="C82:D82"/>
    <mergeCell ref="E82:G82"/>
    <mergeCell ref="B84:J84"/>
    <mergeCell ref="B86:C86"/>
    <mergeCell ref="B87:C87"/>
    <mergeCell ref="B88:C88"/>
    <mergeCell ref="B89:C89"/>
    <mergeCell ref="B90:C90"/>
    <mergeCell ref="F86:I86"/>
    <mergeCell ref="G87:H87"/>
    <mergeCell ref="G88:H88"/>
    <mergeCell ref="G89:H89"/>
    <mergeCell ref="G90:H90"/>
    <mergeCell ref="B94:J94"/>
    <mergeCell ref="B103:J103"/>
    <mergeCell ref="L5:N5"/>
    <mergeCell ref="M6:N6"/>
    <mergeCell ref="M7:N7"/>
    <mergeCell ref="M8:N8"/>
    <mergeCell ref="M9:N9"/>
    <mergeCell ref="M10:N10"/>
    <mergeCell ref="L77:P77"/>
    <mergeCell ref="M78:P78"/>
    <mergeCell ref="M79:P79"/>
    <mergeCell ref="M80:P80"/>
    <mergeCell ref="M81:P81"/>
    <mergeCell ref="M82:P82"/>
    <mergeCell ref="L84:P84"/>
    <mergeCell ref="L92:P92"/>
  </mergeCells>
  <conditionalFormatting sqref="C13:D13">
    <cfRule type="expression" dxfId="9" priority="1">
      <formula>$C$13&lt;&gt;""</formula>
    </cfRule>
  </conditionalFormatting>
  <conditionalFormatting sqref="E13:F13">
    <cfRule type="expression" dxfId="10" priority="2">
      <formula>$C$13&lt;&gt;""</formula>
    </cfRule>
  </conditionalFormatting>
  <conditionalFormatting sqref="G13:G13">
    <cfRule type="expression" dxfId="11" priority="3">
      <formula>$C$13&lt;&gt;""</formula>
    </cfRule>
  </conditionalFormatting>
  <conditionalFormatting sqref="C14:D14">
    <cfRule type="expression" dxfId="9" priority="4">
      <formula>$C$14&lt;&gt;""</formula>
    </cfRule>
  </conditionalFormatting>
  <conditionalFormatting sqref="E14:F14">
    <cfRule type="expression" dxfId="10" priority="5">
      <formula>$C$14&lt;&gt;""</formula>
    </cfRule>
  </conditionalFormatting>
  <conditionalFormatting sqref="G14:G14">
    <cfRule type="expression" dxfId="11" priority="6">
      <formula>$C$14&lt;&gt;""</formula>
    </cfRule>
  </conditionalFormatting>
  <conditionalFormatting sqref="C15:D15">
    <cfRule type="expression" dxfId="9" priority="7">
      <formula>$C$15&lt;&gt;""</formula>
    </cfRule>
  </conditionalFormatting>
  <conditionalFormatting sqref="E15:F15">
    <cfRule type="expression" dxfId="10" priority="8">
      <formula>$C$15&lt;&gt;""</formula>
    </cfRule>
  </conditionalFormatting>
  <conditionalFormatting sqref="G15:G15">
    <cfRule type="expression" dxfId="11" priority="9">
      <formula>$C$15&lt;&gt;""</formula>
    </cfRule>
  </conditionalFormatting>
  <conditionalFormatting sqref="C16:D16">
    <cfRule type="expression" dxfId="9" priority="10">
      <formula>$C$16&lt;&gt;""</formula>
    </cfRule>
  </conditionalFormatting>
  <conditionalFormatting sqref="E16:F16">
    <cfRule type="expression" dxfId="10" priority="11">
      <formula>$C$16&lt;&gt;""</formula>
    </cfRule>
  </conditionalFormatting>
  <conditionalFormatting sqref="G16:G16">
    <cfRule type="expression" dxfId="11" priority="12">
      <formula>$C$16&lt;&gt;""</formula>
    </cfRule>
  </conditionalFormatting>
  <conditionalFormatting sqref="C17:D17">
    <cfRule type="expression" dxfId="9" priority="13">
      <formula>$C$17&lt;&gt;""</formula>
    </cfRule>
  </conditionalFormatting>
  <conditionalFormatting sqref="E17:F17">
    <cfRule type="expression" dxfId="10" priority="14">
      <formula>$C$17&lt;&gt;""</formula>
    </cfRule>
  </conditionalFormatting>
  <conditionalFormatting sqref="G17:G17">
    <cfRule type="expression" dxfId="11" priority="15">
      <formula>$C$17&lt;&gt;""</formula>
    </cfRule>
  </conditionalFormatting>
  <conditionalFormatting sqref="C18:D18">
    <cfRule type="expression" dxfId="9" priority="16">
      <formula>$C$18&lt;&gt;""</formula>
    </cfRule>
  </conditionalFormatting>
  <conditionalFormatting sqref="E18:F18">
    <cfRule type="expression" dxfId="10" priority="17">
      <formula>$C$18&lt;&gt;""</formula>
    </cfRule>
  </conditionalFormatting>
  <conditionalFormatting sqref="G18:G18">
    <cfRule type="expression" dxfId="11" priority="18">
      <formula>$C$18&lt;&gt;""</formula>
    </cfRule>
  </conditionalFormatting>
  <conditionalFormatting sqref="D47">
    <cfRule type="expression" dxfId="12" priority="19">
      <formula>$D$47="OK"</formula>
    </cfRule>
  </conditionalFormatting>
  <conditionalFormatting sqref="D47">
    <cfRule type="expression" dxfId="13" priority="20">
      <formula>$D$47&lt;&gt;"OK"</formula>
    </cfRule>
  </conditionalFormatting>
  <conditionalFormatting sqref="E47">
    <cfRule type="expression" dxfId="12" priority="21">
      <formula>$E$47="OK"</formula>
    </cfRule>
  </conditionalFormatting>
  <conditionalFormatting sqref="E47">
    <cfRule type="expression" dxfId="13" priority="22">
      <formula>$E$47&lt;&gt;"OK"</formula>
    </cfRule>
  </conditionalFormatting>
  <conditionalFormatting sqref="D48">
    <cfRule type="expression" dxfId="14" priority="23">
      <formula>$D$48&gt;0</formula>
    </cfRule>
  </conditionalFormatting>
  <conditionalFormatting sqref="E48">
    <cfRule type="expression" dxfId="15" priority="24">
      <formula>$E$48&gt;0</formula>
    </cfRule>
  </conditionalFormatting>
  <conditionalFormatting sqref="F63:F70">
    <cfRule type="expression" dxfId="16" priority="25">
      <formula>F63&gt;0.2</formula>
    </cfRule>
  </conditionalFormatting>
  <conditionalFormatting sqref="F63:F70">
    <cfRule type="expression" dxfId="17" priority="26">
      <formula>AND(F63&gt;=0.1,F63&lt;=0.2)</formula>
    </cfRule>
  </conditionalFormatting>
  <conditionalFormatting sqref="J63:J70">
    <cfRule type="expression" dxfId="16" priority="27">
      <formula>J63&gt;0.2</formula>
    </cfRule>
  </conditionalFormatting>
  <conditionalFormatting sqref="J63:J70">
    <cfRule type="expression" dxfId="17" priority="28">
      <formula>AND(J63&gt;=0.1,J63&lt;=0.2)</formula>
    </cfRule>
  </conditionalFormatting>
  <conditionalFormatting sqref="F106:F113">
    <cfRule type="expression" dxfId="16" priority="29">
      <formula>F106&gt;0.2</formula>
    </cfRule>
  </conditionalFormatting>
  <conditionalFormatting sqref="F106:F113">
    <cfRule type="expression" dxfId="17" priority="30">
      <formula>AND(F106&gt;=0.1,F106&lt;=0.2)</formula>
    </cfRule>
  </conditionalFormatting>
  <conditionalFormatting sqref="J106:J113">
    <cfRule type="expression" dxfId="16" priority="31">
      <formula>J106&gt;0.2</formula>
    </cfRule>
  </conditionalFormatting>
  <conditionalFormatting sqref="J106:J113">
    <cfRule type="expression" dxfId="17" priority="32">
      <formula>AND(J106&gt;=0.1,J106&lt;=0.2)</formula>
    </cfRule>
  </conditionalFormatting>
  <dataValidations count="8">
    <dataValidation allowBlank="true" sqref="E9" type="list">
      <formula1>=MA_Auswahl_Liste</formula1>
    </dataValidation>
    <dataValidation allowBlank="true" sqref="F23" type="list">
      <formula1>"Abzug,Kein Abzug"</formula1>
    </dataValidation>
    <dataValidation allowBlank="true" sqref="F24" type="list">
      <formula1>"Abzug,Kein Abzug"</formula1>
    </dataValidation>
    <dataValidation allowBlank="true" sqref="F25" type="list">
      <formula1>"Abzug,Kein Abzug"</formula1>
    </dataValidation>
    <dataValidation allowBlank="true" sqref="D41" type="list">
      <formula1>"Jahr 1,Jahr 2,Jahr 3"</formula1>
    </dataValidation>
    <dataValidation allowBlank="true" sqref="E81" type="list">
      <formula1>=FB_Auswahl_Liste</formula1>
    </dataValidation>
    <dataValidation allowBlank="true" sqref="F87" type="list">
      <formula1>"Abzug,Kein Abzug"</formula1>
    </dataValidation>
    <dataValidation allowBlank="true" sqref="F88" type="list">
      <formula1>"Abzug,Kein Abzug"</formula1>
    </dataValidation>
  </dataValidations>
</worksheet>
</file>

<file path=xl/worksheets/sheet8.xml><?xml version="1.0" encoding="utf-8"?>
<worksheet xmlns="http://schemas.openxmlformats.org/spreadsheetml/2006/main">
  <dimension ref="A1"/>
  <sheetViews>
    <sheetView workbookViewId="0"/>
  </sheetViews>
  <cols>
    <col customWidth="true" hidden="true" max="74" min="53" width="9.140625"/>
  </cols>
  <sheetData>
    <row r="1">
      <c r="A1" t="s">
        <v>247</v>
      </c>
      <c r="C1" s="350" t="s">
        <v>400</v>
      </c>
      <c r="I1" s="350" t="s">
        <v>401</v>
      </c>
      <c r="O1" s="350" t="s">
        <v>402</v>
      </c>
      <c r="U1" s="350" t="s">
        <v>403</v>
      </c>
      <c r="BA1">
        <v>1</v>
      </c>
      <c r="BB1" t="str">
        <f>=IFERROR(VALUE(TRIM(MID('IV. MA'!C4,9,5))),0)</f>
      </c>
      <c r="BC1" t="str">
        <f>=IF(IFERROR(SUBTOTAL(109,MA_1[Angefordert (LC)]),0)&lt;&gt;0,1,0)</f>
      </c>
      <c r="BD1" t="str">
        <f>=IF(BC1=1,SUMPRODUCT(($BB$1:$BB1=BB1)*($BC$1:$BC1=1)),0)</f>
      </c>
      <c r="BE1" t="str">
        <f>=IF(AND(BC1=1,BB1&gt;0),"Periode "&amp;BB1&amp;" (#"&amp;BD1&amp;")","")</f>
      </c>
      <c r="BF1" t="str">
        <f>=IFERROR(ROUND(SUBTOTAL(109,MA_1[Angefordert (LC)]),2),0)</f>
      </c>
      <c r="BG1" t="str">
        <f>=IFERROR(ROUND(SUBTOTAL(109,MA_1[Angefordert (EUR)]),2),0)</f>
      </c>
      <c r="BH1" t="str">
        <f>=IFERROR(ROUND('IV. MA'!D21+'IV. MA'!D22,2),0)</f>
      </c>
      <c r="BJ1">
        <v>1</v>
      </c>
      <c r="BK1" t="str">
        <f>=IF((IFERROR(SUBTOTAL(109,Ausgaben_1[Ausgaben (LC)]),0)&lt;&gt;0)+(IFERROR(SUM('III. Finanzberichte'!C12:C15),0)&lt;&gt;0)&gt;0,1,0)</f>
      </c>
      <c r="BL1" t="str">
        <f>=IF(BK1=1,"Periode "&amp;BJ1,"")</f>
      </c>
      <c r="BN1" cm="1" s="3">
        <f t="array" ref="BN1">_xlfn.VSTACK("Neuste MA",_xlfn._xlws.FILTER($BE$1:$BE$18,($BB$1:$BB$18='V. AUSWERTUNG'!E82+1)*($BC$1:$BC$18=1),""))</f>
        <v>0</v>
      </c>
      <c r="BP1" cm="1" s="3">
        <f t="array" ref="BP1">_xlfn.VSTACK("Neuester FB","Kein Finanzbericht (Projektbeginn)",_xlfn._xlws.FILTER($BL$1:$BL$18,$BK$1:$BK$18=1,""))</f>
        <v>0</v>
      </c>
      <c r="BR1" t="str">
        <f>=$BB$1</f>
      </c>
      <c r="BS1" t="str">
        <f>=$BD$1</f>
      </c>
      <c r="BT1" t="s">
        <v>205</v>
      </c>
      <c r="BU1" t="str">
        <f>=IFERROR('IV. MA'!C10,0)</f>
      </c>
      <c r="BV1" t="str">
        <f>=IFERROR('IV. MA'!D10,0)</f>
      </c>
    </row>
    <row r="2">
      <c r="A2" t="s">
        <v>248</v>
      </c>
      <c r="C2" cm="1" s="3">
        <f t="array" ref="C2">_xlfn._xlws.FILTER(_xlfn.ANCHORARRAY(AA2), (_xlfn.CHOOSECOLS(_xlfn.ANCHORARRAY(AA2),3)&lt;&gt;0)+(_xlfn.CHOOSECOLS(_xlfn.ANCHORARRAY(AA2),4)&lt;&gt;0), "")</f>
        <v>0</v>
      </c>
      <c r="I2" cm="1" s="3">
        <f t="array" ref="I2">_xlfn._xlws.FILTER(_xlfn.ANCHORARRAY(AG2), (_xlfn.CHOOSECOLS(_xlfn.ANCHORARRAY(AG2),3)&lt;&gt;0)+(_xlfn.CHOOSECOLS(_xlfn.ANCHORARRAY(AG2),4)&lt;&gt;0), "")</f>
        <v>0</v>
      </c>
      <c r="O2" cm="1" s="3">
        <f t="array" ref="O2">_xlfn._xlws.FILTER(_xlfn.ANCHORARRAY(AM2), (_xlfn.CHOOSECOLS(_xlfn.ANCHORARRAY(AM2),2)&lt;&gt;0)+(_xlfn.CHOOSECOLS(_xlfn.ANCHORARRAY(AM2),3)&lt;&gt;0), "")</f>
        <v>0</v>
      </c>
      <c r="U2" cm="1" s="3">
        <f t="array" ref="U2">_xlfn._xlws.FILTER(_xlfn.ANCHORARRAY(AS2), (_xlfn.CHOOSECOLS(_xlfn.ANCHORARRAY(AS2),2)&lt;&gt;0)+(_xlfn.CHOOSECOLS(_xlfn.ANCHORARRAY(AS2),3)&lt;&gt;0), "")</f>
        <v>0</v>
      </c>
      <c r="AA2" cm="1" s="3">
        <f t="array" ref="AA2">_xlfn.VSTACK('III. Finanzberichte'!$B$43:$F$47,'III. Finanzberichte'!$I$43:$M$47,'III. Finanzberichte'!$P$43:$T$47,'III. Finanzberichte'!$W$43:$AA$47,'III. Finanzberichte'!$AD$43:$AH$47,'III. Finanzberichte'!$AK$43:$AO$47,'III. Finanzberichte'!$AR$43:$AV$47,'III. Finanzberichte'!$AY$43:$BC$47,'III. Finanzberichte'!$BF$43:$BJ$47,'III. Finanzberichte'!$BM$43:$BQ$47,'III. Finanzberichte'!$BT$43:$BX$47,'III. Finanzberichte'!$CA$43:$CE$47,'III. Finanzberichte'!$CH$43:$CL$47,'III. Finanzberichte'!$CO$43:$CS$47,'III. Finanzberichte'!$CV$43:$CZ$47,'III. Finanzberichte'!$DC$43:$DG$47,'III. Finanzberichte'!$DJ$43:$DN$47,'III. Finanzberichte'!$DQ$43:$DU$47)</f>
        <v>0</v>
      </c>
      <c r="AG2" cm="1" s="3">
        <f t="array" ref="AG2">_xlfn.VSTACK('III. Finanzberichte'!$B$52:$F$57,'III. Finanzberichte'!$I$52:$M$57,'III. Finanzberichte'!$P$52:$T$57,'III. Finanzberichte'!$W$52:$AA$57,'III. Finanzberichte'!$AD$52:$AH$57,'III. Finanzberichte'!$AK$52:$AO$57,'III. Finanzberichte'!$AR$52:$AV$57,'III. Finanzberichte'!$AY$52:$BC$57,'III. Finanzberichte'!$BF$52:$BJ$57,'III. Finanzberichte'!$BM$52:$BQ$57,'III. Finanzberichte'!$BT$52:$BX$57,'III. Finanzberichte'!$CA$52:$CE$57,'III. Finanzberichte'!$CH$52:$CL$57,'III. Finanzberichte'!$CO$52:$CS$57,'III. Finanzberichte'!$CV$52:$CZ$57,'III. Finanzberichte'!$DC$52:$DG$57,'III. Finanzberichte'!$DJ$52:$DN$57,'III. Finanzberichte'!$DQ$52:$DU$57)</f>
        <v>0</v>
      </c>
      <c r="AM2" cm="1" s="3">
        <f t="array" ref="AM2">_xlfn.VSTACK('III. Finanzberichte'!$B$19:$F$28,'III. Finanzberichte'!$I$19:$M$28,'III. Finanzberichte'!$P$19:$T$28,'III. Finanzberichte'!$W$19:$AA$28,'III. Finanzberichte'!$AD$19:$AH$28,'III. Finanzberichte'!$AK$19:$AO$28,'III. Finanzberichte'!$AR$19:$AV$28,'III. Finanzberichte'!$AY$19:$BC$28,'III. Finanzberichte'!$BF$19:$BJ$28,'III. Finanzberichte'!$BM$19:$BQ$28,'III. Finanzberichte'!$BT$19:$BX$28,'III. Finanzberichte'!$CA$19:$CE$28,'III. Finanzberichte'!$CH$19:$CL$28,'III. Finanzberichte'!$CO$19:$CS$28,'III. Finanzberichte'!$CV$19:$CZ$28,'III. Finanzberichte'!$DC$19:$DG$28,'III. Finanzberichte'!$DJ$19:$DN$28,'III. Finanzberichte'!$DQ$19:$DU$28)</f>
        <v>0</v>
      </c>
      <c r="AS2" cm="1" s="3">
        <f t="array" ref="AS2">_xlfn.VSTACK('IV. MA'!$B$10:$D$17,'IV. MA'!$F$10:$H$17,'IV. MA'!$J$10:$L$17,'IV. MA'!$N$10:$P$17,'IV. MA'!$R$10:$T$17,'IV. MA'!$V$10:$X$17,'IV. MA'!$Z$10:$AB$17,'IV. MA'!$AD$10:$AF$17,'IV. MA'!$AH$10:$AJ$17,'IV. MA'!$AL$10:$AN$17,'IV. MA'!$AP$10:$AR$17,'IV. MA'!$AT$10:$AV$17,'IV. MA'!$AX$10:$AZ$17,'IV. MA'!$BB$10:$BD$17,'IV. MA'!$BF$10:$BH$17,'IV. MA'!$BJ$10:$BL$17,'IV. MA'!$BN$10:$BP$17,'IV. MA'!$BR$10:$BT$17)</f>
        <v>0</v>
      </c>
      <c r="BA2">
        <v>2</v>
      </c>
      <c r="BB2" t="str">
        <f>=IFERROR(VALUE(TRIM(MID('IV. MA'!G4,9,5))),0)</f>
      </c>
      <c r="BC2" t="str">
        <f>=IF(IFERROR(SUBTOTAL(109,MA_2[Angefordert (LC)]),0)&lt;&gt;0,1,0)</f>
      </c>
      <c r="BD2" t="str">
        <f>=IF(BC2=1,SUMPRODUCT(($BB$1:$BB2=BB2)*($BC$1:$BC2=1)),0)</f>
      </c>
      <c r="BE2" t="str">
        <f>=IF(AND(BC2=1,BB2&gt;0),"Periode "&amp;BB2&amp;" (#"&amp;BD2&amp;")","")</f>
      </c>
      <c r="BF2" t="str">
        <f>=IFERROR(ROUND(SUBTOTAL(109,MA_2[Angefordert (LC)]),2),0)</f>
      </c>
      <c r="BG2" t="str">
        <f>=IFERROR(ROUND(SUBTOTAL(109,MA_2[Angefordert (EUR)]),2),0)</f>
      </c>
      <c r="BH2" t="str">
        <f>=IFERROR(ROUND('IV. MA'!H21+'IV. MA'!H22,2),0)</f>
      </c>
      <c r="BJ2">
        <v>2</v>
      </c>
      <c r="BK2" t="str">
        <f>=IF((IFERROR(SUBTOTAL(109,Ausgaben_2[Ausgaben (LC)]),0)&lt;&gt;0)+(IFERROR(SUM('III. Finanzberichte'!J12:J15),0)&lt;&gt;0)&gt;0,1,0)</f>
      </c>
      <c r="BL2" t="str">
        <f>=IF(BK2=1,"Periode "&amp;BJ2,"")</f>
      </c>
      <c r="BR2" t="str">
        <f>=$BB$1</f>
      </c>
      <c r="BS2" t="str">
        <f>=$BD$1</f>
      </c>
      <c r="BT2" t="s">
        <v>210</v>
      </c>
      <c r="BU2" t="str">
        <f>=IFERROR('IV. MA'!C11,0)</f>
      </c>
      <c r="BV2" t="str">
        <f>=IFERROR('IV. MA'!D11,0)</f>
      </c>
    </row>
    <row r="3">
      <c r="A3" t="s">
        <v>249</v>
      </c>
      <c r="BA3">
        <v>3</v>
      </c>
      <c r="BB3" t="str">
        <f>=IFERROR(VALUE(TRIM(MID('IV. MA'!K4,9,5))),0)</f>
      </c>
      <c r="BC3" t="str">
        <f>=IF(IFERROR(SUBTOTAL(109,MA_3[Angefordert (LC)]),0)&lt;&gt;0,1,0)</f>
      </c>
      <c r="BD3" t="str">
        <f>=IF(BC3=1,SUMPRODUCT(($BB$1:$BB3=BB3)*($BC$1:$BC3=1)),0)</f>
      </c>
      <c r="BE3" t="str">
        <f>=IF(AND(BC3=1,BB3&gt;0),"Periode "&amp;BB3&amp;" (#"&amp;BD3&amp;")","")</f>
      </c>
      <c r="BF3" t="str">
        <f>=IFERROR(ROUND(SUBTOTAL(109,MA_3[Angefordert (LC)]),2),0)</f>
      </c>
      <c r="BG3" t="str">
        <f>=IFERROR(ROUND(SUBTOTAL(109,MA_3[Angefordert (EUR)]),2),0)</f>
      </c>
      <c r="BH3" t="str">
        <f>=IFERROR(ROUND('IV. MA'!L21+'IV. MA'!L22,2),0)</f>
      </c>
      <c r="BJ3">
        <v>3</v>
      </c>
      <c r="BK3" t="str">
        <f>=IF((IFERROR(SUBTOTAL(109,Ausgaben_3[Ausgaben (LC)]),0)&lt;&gt;0)+(IFERROR(SUM('III. Finanzberichte'!Q12:Q15),0)&lt;&gt;0)&gt;0,1,0)</f>
      </c>
      <c r="BL3" t="str">
        <f>=IF(BK3=1,"Periode "&amp;BJ3,"")</f>
      </c>
      <c r="BR3" t="str">
        <f>=$BB$1</f>
      </c>
      <c r="BS3" t="str">
        <f>=$BD$1</f>
      </c>
      <c r="BT3" t="s">
        <v>213</v>
      </c>
      <c r="BU3" t="str">
        <f>=IFERROR('IV. MA'!C12,0)</f>
      </c>
      <c r="BV3" t="str">
        <f>=IFERROR('IV. MA'!D12,0)</f>
      </c>
    </row>
    <row r="4">
      <c r="A4" t="s">
        <v>250</v>
      </c>
      <c r="BA4">
        <v>4</v>
      </c>
      <c r="BB4" t="str">
        <f>=IFERROR(VALUE(TRIM(MID('IV. MA'!O4,9,5))),0)</f>
      </c>
      <c r="BC4" t="str">
        <f>=IF(IFERROR(SUBTOTAL(109,MA_4[Angefordert (LC)]),0)&lt;&gt;0,1,0)</f>
      </c>
      <c r="BD4" t="str">
        <f>=IF(BC4=1,SUMPRODUCT(($BB$1:$BB4=BB4)*($BC$1:$BC4=1)),0)</f>
      </c>
      <c r="BE4" t="str">
        <f>=IF(AND(BC4=1,BB4&gt;0),"Periode "&amp;BB4&amp;" (#"&amp;BD4&amp;")","")</f>
      </c>
      <c r="BF4" t="str">
        <f>=IFERROR(ROUND(SUBTOTAL(109,MA_4[Angefordert (LC)]),2),0)</f>
      </c>
      <c r="BG4" t="str">
        <f>=IFERROR(ROUND(SUBTOTAL(109,MA_4[Angefordert (EUR)]),2),0)</f>
      </c>
      <c r="BH4" t="str">
        <f>=IFERROR(ROUND('IV. MA'!P21+'IV. MA'!P22,2),0)</f>
      </c>
      <c r="BJ4">
        <v>4</v>
      </c>
      <c r="BK4" t="str">
        <f>=IF((IFERROR(SUBTOTAL(109,Ausgaben_4[Ausgaben (LC)]),0)&lt;&gt;0)+(IFERROR(SUM('III. Finanzberichte'!X12:X15),0)&lt;&gt;0)&gt;0,1,0)</f>
      </c>
      <c r="BL4" t="str">
        <f>=IF(BK4=1,"Periode "&amp;BJ4,"")</f>
      </c>
      <c r="BR4" t="str">
        <f>=$BB$1</f>
      </c>
      <c r="BS4" t="str">
        <f>=$BD$1</f>
      </c>
      <c r="BT4" t="s">
        <v>218</v>
      </c>
      <c r="BU4" t="str">
        <f>=IFERROR('IV. MA'!C13,0)</f>
      </c>
      <c r="BV4" t="str">
        <f>=IFERROR('IV. MA'!D13,0)</f>
      </c>
    </row>
    <row r="5">
      <c r="A5" t="s">
        <v>251</v>
      </c>
      <c r="BA5">
        <v>5</v>
      </c>
      <c r="BB5" t="str">
        <f>=IFERROR(VALUE(TRIM(MID('IV. MA'!S4,9,5))),0)</f>
      </c>
      <c r="BC5" t="str">
        <f>=IF(IFERROR(SUBTOTAL(109,MA_5[Angefordert (LC)]),0)&lt;&gt;0,1,0)</f>
      </c>
      <c r="BD5" t="str">
        <f>=IF(BC5=1,SUMPRODUCT(($BB$1:$BB5=BB5)*($BC$1:$BC5=1)),0)</f>
      </c>
      <c r="BE5" t="str">
        <f>=IF(AND(BC5=1,BB5&gt;0),"Periode "&amp;BB5&amp;" (#"&amp;BD5&amp;")","")</f>
      </c>
      <c r="BF5" t="str">
        <f>=IFERROR(ROUND(SUBTOTAL(109,MA_5[Angefordert (LC)]),2),0)</f>
      </c>
      <c r="BG5" t="str">
        <f>=IFERROR(ROUND(SUBTOTAL(109,MA_5[Angefordert (EUR)]),2),0)</f>
      </c>
      <c r="BH5" t="str">
        <f>=IFERROR(ROUND('IV. MA'!T21+'IV. MA'!T22,2),0)</f>
      </c>
      <c r="BJ5">
        <v>5</v>
      </c>
      <c r="BK5" t="str">
        <f>=IF((IFERROR(SUBTOTAL(109,Ausgaben_5[Ausgaben (LC)]),0)&lt;&gt;0)+(IFERROR(SUM('III. Finanzberichte'!AE12:AE15),0)&lt;&gt;0)&gt;0,1,0)</f>
      </c>
      <c r="BL5" t="str">
        <f>=IF(BK5=1,"Periode "&amp;BJ5,"")</f>
      </c>
      <c r="BR5" t="str">
        <f>=$BB$1</f>
      </c>
      <c r="BS5" t="str">
        <f>=$BD$1</f>
      </c>
      <c r="BT5" t="s">
        <v>221</v>
      </c>
      <c r="BU5" t="str">
        <f>=IFERROR('IV. MA'!C14,0)</f>
      </c>
      <c r="BV5" t="str">
        <f>=IFERROR('IV. MA'!D14,0)</f>
      </c>
    </row>
    <row r="6">
      <c r="A6" t="s">
        <v>252</v>
      </c>
      <c r="BA6">
        <v>6</v>
      </c>
      <c r="BB6" t="str">
        <f>=IFERROR(VALUE(TRIM(MID('IV. MA'!W4,9,5))),0)</f>
      </c>
      <c r="BC6" t="str">
        <f>=IF(IFERROR(SUBTOTAL(109,MA_6[Angefordert (LC)]),0)&lt;&gt;0,1,0)</f>
      </c>
      <c r="BD6" t="str">
        <f>=IF(BC6=1,SUMPRODUCT(($BB$1:$BB6=BB6)*($BC$1:$BC6=1)),0)</f>
      </c>
      <c r="BE6" t="str">
        <f>=IF(AND(BC6=1,BB6&gt;0),"Periode "&amp;BB6&amp;" (#"&amp;BD6&amp;")","")</f>
      </c>
      <c r="BF6" t="str">
        <f>=IFERROR(ROUND(SUBTOTAL(109,MA_6[Angefordert (LC)]),2),0)</f>
      </c>
      <c r="BG6" t="str">
        <f>=IFERROR(ROUND(SUBTOTAL(109,MA_6[Angefordert (EUR)]),2),0)</f>
      </c>
      <c r="BH6" t="str">
        <f>=IFERROR(ROUND('IV. MA'!X21+'IV. MA'!X22,2),0)</f>
      </c>
      <c r="BJ6">
        <v>6</v>
      </c>
      <c r="BK6" t="str">
        <f>=IF((IFERROR(SUBTOTAL(109,Ausgaben_6[Ausgaben (LC)]),0)&lt;&gt;0)+(IFERROR(SUM('III. Finanzberichte'!AL12:AL15),0)&lt;&gt;0)&gt;0,1,0)</f>
      </c>
      <c r="BL6" t="str">
        <f>=IF(BK6=1,"Periode "&amp;BJ6,"")</f>
      </c>
      <c r="BR6" t="str">
        <f>=$BB$1</f>
      </c>
      <c r="BS6" t="str">
        <f>=$BD$1</f>
      </c>
      <c r="BT6" t="s">
        <v>224</v>
      </c>
      <c r="BU6" t="str">
        <f>=IFERROR('IV. MA'!C15,0)</f>
      </c>
      <c r="BV6" t="str">
        <f>=IFERROR('IV. MA'!D15,0)</f>
      </c>
    </row>
    <row r="7">
      <c r="A7" t="s">
        <v>253</v>
      </c>
      <c r="BA7">
        <v>7</v>
      </c>
      <c r="BB7" t="str">
        <f>=IFERROR(VALUE(TRIM(MID('IV. MA'!AA4,9,5))),0)</f>
      </c>
      <c r="BC7" t="str">
        <f>=IF(IFERROR(SUBTOTAL(109,MA_7[Angefordert (LC)]),0)&lt;&gt;0,1,0)</f>
      </c>
      <c r="BD7" t="str">
        <f>=IF(BC7=1,SUMPRODUCT(($BB$1:$BB7=BB7)*($BC$1:$BC7=1)),0)</f>
      </c>
      <c r="BE7" t="str">
        <f>=IF(AND(BC7=1,BB7&gt;0),"Periode "&amp;BB7&amp;" (#"&amp;BD7&amp;")","")</f>
      </c>
      <c r="BF7" t="str">
        <f>=IFERROR(ROUND(SUBTOTAL(109,MA_7[Angefordert (LC)]),2),0)</f>
      </c>
      <c r="BG7" t="str">
        <f>=IFERROR(ROUND(SUBTOTAL(109,MA_7[Angefordert (EUR)]),2),0)</f>
      </c>
      <c r="BH7" t="str">
        <f>=IFERROR(ROUND('IV. MA'!AB21+'IV. MA'!AB22,2),0)</f>
      </c>
      <c r="BJ7">
        <v>7</v>
      </c>
      <c r="BK7" t="str">
        <f>=IF((IFERROR(SUBTOTAL(109,Ausgaben_7[Ausgaben (LC)]),0)&lt;&gt;0)+(IFERROR(SUM('III. Finanzberichte'!AS12:AS15),0)&lt;&gt;0)&gt;0,1,0)</f>
      </c>
      <c r="BL7" t="str">
        <f>=IF(BK7=1,"Periode "&amp;BJ7,"")</f>
      </c>
      <c r="BR7" t="str">
        <f>=$BB$1</f>
      </c>
      <c r="BS7" t="str">
        <f>=$BD$1</f>
      </c>
      <c r="BT7" t="s">
        <v>227</v>
      </c>
      <c r="BU7" t="str">
        <f>=IFERROR('IV. MA'!C16,0)</f>
      </c>
      <c r="BV7" t="str">
        <f>=IFERROR('IV. MA'!D16,0)</f>
      </c>
    </row>
    <row r="8">
      <c r="A8" t="s">
        <v>254</v>
      </c>
      <c r="BA8">
        <v>8</v>
      </c>
      <c r="BB8" t="str">
        <f>=IFERROR(VALUE(TRIM(MID('IV. MA'!AE4,9,5))),0)</f>
      </c>
      <c r="BC8" t="str">
        <f>=IF(IFERROR(SUBTOTAL(109,MA_8[Angefordert (LC)]),0)&lt;&gt;0,1,0)</f>
      </c>
      <c r="BD8" t="str">
        <f>=IF(BC8=1,SUMPRODUCT(($BB$1:$BB8=BB8)*($BC$1:$BC8=1)),0)</f>
      </c>
      <c r="BE8" t="str">
        <f>=IF(AND(BC8=1,BB8&gt;0),"Periode "&amp;BB8&amp;" (#"&amp;BD8&amp;")","")</f>
      </c>
      <c r="BF8" t="str">
        <f>=IFERROR(ROUND(SUBTOTAL(109,MA_8[Angefordert (LC)]),2),0)</f>
      </c>
      <c r="BG8" t="str">
        <f>=IFERROR(ROUND(SUBTOTAL(109,MA_8[Angefordert (EUR)]),2),0)</f>
      </c>
      <c r="BH8" t="str">
        <f>=IFERROR(ROUND('IV. MA'!AF21+'IV. MA'!AF22,2),0)</f>
      </c>
      <c r="BJ8">
        <v>8</v>
      </c>
      <c r="BK8" t="str">
        <f>=IF((IFERROR(SUBTOTAL(109,Ausgaben_8[Ausgaben (LC)]),0)&lt;&gt;0)+(IFERROR(SUM('III. Finanzberichte'!AZ12:AZ15),0)&lt;&gt;0)&gt;0,1,0)</f>
      </c>
      <c r="BL8" t="str">
        <f>=IF(BK8=1,"Periode "&amp;BJ8,"")</f>
      </c>
      <c r="BR8" t="str">
        <f>=$BB$1</f>
      </c>
      <c r="BS8" t="str">
        <f>=$BD$1</f>
      </c>
      <c r="BT8" t="s">
        <v>230</v>
      </c>
      <c r="BU8" t="str">
        <f>=IFERROR('IV. MA'!C17,0)</f>
      </c>
      <c r="BV8" t="str">
        <f>=IFERROR('IV. MA'!D17,0)</f>
      </c>
    </row>
    <row r="9">
      <c r="A9" t="s">
        <v>255</v>
      </c>
      <c r="BA9">
        <v>9</v>
      </c>
      <c r="BB9" t="str">
        <f>=IFERROR(VALUE(TRIM(MID('IV. MA'!AI4,9,5))),0)</f>
      </c>
      <c r="BC9" t="str">
        <f>=IF(IFERROR(SUBTOTAL(109,MA_9[Angefordert (LC)]),0)&lt;&gt;0,1,0)</f>
      </c>
      <c r="BD9" t="str">
        <f>=IF(BC9=1,SUMPRODUCT(($BB$1:$BB9=BB9)*($BC$1:$BC9=1)),0)</f>
      </c>
      <c r="BE9" t="str">
        <f>=IF(AND(BC9=1,BB9&gt;0),"Periode "&amp;BB9&amp;" (#"&amp;BD9&amp;")","")</f>
      </c>
      <c r="BF9" t="str">
        <f>=IFERROR(ROUND(SUBTOTAL(109,MA_9[Angefordert (LC)]),2),0)</f>
      </c>
      <c r="BG9" t="str">
        <f>=IFERROR(ROUND(SUBTOTAL(109,MA_9[Angefordert (EUR)]),2),0)</f>
      </c>
      <c r="BH9" t="str">
        <f>=IFERROR(ROUND('IV. MA'!AJ21+'IV. MA'!AJ22,2),0)</f>
      </c>
      <c r="BJ9">
        <v>9</v>
      </c>
      <c r="BK9" t="str">
        <f>=IF((IFERROR(SUBTOTAL(109,Ausgaben_9[Ausgaben (LC)]),0)&lt;&gt;0)+(IFERROR(SUM('III. Finanzberichte'!BG12:BG15),0)&lt;&gt;0)&gt;0,1,0)</f>
      </c>
      <c r="BL9" t="str">
        <f>=IF(BK9=1,"Periode "&amp;BJ9,"")</f>
      </c>
      <c r="BR9" t="str">
        <f>=$BB$1</f>
      </c>
      <c r="BS9" t="str">
        <f>=$BD$1</f>
      </c>
      <c r="BT9" t="s">
        <v>194</v>
      </c>
      <c r="BU9" t="str">
        <f>=IFERROR('IV. MA'!C21,0)</f>
      </c>
      <c r="BV9" t="str">
        <f>=IFERROR('IV. MA'!D21,0)</f>
      </c>
    </row>
    <row r="10">
      <c r="A10" t="s">
        <v>256</v>
      </c>
      <c r="BA10">
        <v>10</v>
      </c>
      <c r="BB10" t="str">
        <f>=IFERROR(VALUE(TRIM(MID('IV. MA'!AM4,9,5))),0)</f>
      </c>
      <c r="BC10" t="str">
        <f>=IF(IFERROR(SUBTOTAL(109,MA_10[Angefordert (LC)]),0)&lt;&gt;0,1,0)</f>
      </c>
      <c r="BD10" t="str">
        <f>=IF(BC10=1,SUMPRODUCT(($BB$1:$BB10=BB10)*($BC$1:$BC10=1)),0)</f>
      </c>
      <c r="BE10" t="str">
        <f>=IF(AND(BC10=1,BB10&gt;0),"Periode "&amp;BB10&amp;" (#"&amp;BD10&amp;")","")</f>
      </c>
      <c r="BF10" t="str">
        <f>=IFERROR(ROUND(SUBTOTAL(109,MA_10[Angefordert (LC)]),2),0)</f>
      </c>
      <c r="BG10" t="str">
        <f>=IFERROR(ROUND(SUBTOTAL(109,MA_10[Angefordert (EUR)]),2),0)</f>
      </c>
      <c r="BH10" t="str">
        <f>=IFERROR(ROUND('IV. MA'!AN21+'IV. MA'!AN22,2),0)</f>
      </c>
      <c r="BJ10">
        <v>10</v>
      </c>
      <c r="BK10" t="str">
        <f>=IF((IFERROR(SUBTOTAL(109,Ausgaben_10[Ausgaben (LC)]),0)&lt;&gt;0)+(IFERROR(SUM('III. Finanzberichte'!BN12:BN15),0)&lt;&gt;0)&gt;0,1,0)</f>
      </c>
      <c r="BL10" t="str">
        <f>=IF(BK10=1,"Periode "&amp;BJ10,"")</f>
      </c>
      <c r="BR10" t="str">
        <f>=$BB$1</f>
      </c>
      <c r="BS10" t="str">
        <f>=$BD$1</f>
      </c>
      <c r="BT10" t="s">
        <v>300</v>
      </c>
      <c r="BU10" t="str">
        <f>=IFERROR('IV. MA'!C22,0)</f>
      </c>
      <c r="BV10" t="str">
        <f>=IFERROR('IV. MA'!D22,0)</f>
      </c>
    </row>
    <row r="11">
      <c r="A11" t="s">
        <v>257</v>
      </c>
      <c r="BA11">
        <v>11</v>
      </c>
      <c r="BB11" t="str">
        <f>=IFERROR(VALUE(TRIM(MID('IV. MA'!AQ4,9,5))),0)</f>
      </c>
      <c r="BC11" t="str">
        <f>=IF(IFERROR(SUBTOTAL(109,MA_11[Angefordert (LC)]),0)&lt;&gt;0,1,0)</f>
      </c>
      <c r="BD11" t="str">
        <f>=IF(BC11=1,SUMPRODUCT(($BB$1:$BB11=BB11)*($BC$1:$BC11=1)),0)</f>
      </c>
      <c r="BE11" t="str">
        <f>=IF(AND(BC11=1,BB11&gt;0),"Periode "&amp;BB11&amp;" (#"&amp;BD11&amp;")","")</f>
      </c>
      <c r="BF11" t="str">
        <f>=IFERROR(ROUND(SUBTOTAL(109,MA_11[Angefordert (LC)]),2),0)</f>
      </c>
      <c r="BG11" t="str">
        <f>=IFERROR(ROUND(SUBTOTAL(109,MA_11[Angefordert (EUR)]),2),0)</f>
      </c>
      <c r="BH11" t="str">
        <f>=IFERROR(ROUND('IV. MA'!AR21+'IV. MA'!AR22,2),0)</f>
      </c>
      <c r="BJ11">
        <v>11</v>
      </c>
      <c r="BK11" t="str">
        <f>=IF((IFERROR(SUBTOTAL(109,Ausgaben_11[Ausgaben (LC)]),0)&lt;&gt;0)+(IFERROR(SUM('III. Finanzberichte'!BU12:BU15),0)&lt;&gt;0)&gt;0,1,0)</f>
      </c>
      <c r="BL11" t="str">
        <f>=IF(BK11=1,"Periode "&amp;BJ11,"")</f>
      </c>
      <c r="BR11" t="str">
        <f>=$BB$1</f>
      </c>
      <c r="BS11" t="str">
        <f>=$BD$1</f>
      </c>
      <c r="BT11" t="s">
        <v>199</v>
      </c>
      <c r="BU11" t="str">
        <f>=IFERROR('IV. MA'!C25,0)</f>
      </c>
      <c r="BV11" t="str">
        <f>=IFERROR('IV. MA'!D25,0)</f>
      </c>
    </row>
    <row r="12">
      <c r="A12" t="s">
        <v>258</v>
      </c>
      <c r="BA12">
        <v>12</v>
      </c>
      <c r="BB12" t="str">
        <f>=IFERROR(VALUE(TRIM(MID('IV. MA'!AU4,9,5))),0)</f>
      </c>
      <c r="BC12" t="str">
        <f>=IF(IFERROR(SUBTOTAL(109,MA_12[Angefordert (LC)]),0)&lt;&gt;0,1,0)</f>
      </c>
      <c r="BD12" t="str">
        <f>=IF(BC12=1,SUMPRODUCT(($BB$1:$BB12=BB12)*($BC$1:$BC12=1)),0)</f>
      </c>
      <c r="BE12" t="str">
        <f>=IF(AND(BC12=1,BB12&gt;0),"Periode "&amp;BB12&amp;" (#"&amp;BD12&amp;")","")</f>
      </c>
      <c r="BF12" t="str">
        <f>=IFERROR(ROUND(SUBTOTAL(109,MA_12[Angefordert (LC)]),2),0)</f>
      </c>
      <c r="BG12" t="str">
        <f>=IFERROR(ROUND(SUBTOTAL(109,MA_12[Angefordert (EUR)]),2),0)</f>
      </c>
      <c r="BH12" t="str">
        <f>=IFERROR(ROUND('IV. MA'!AV21+'IV. MA'!AV22,2),0)</f>
      </c>
      <c r="BJ12">
        <v>12</v>
      </c>
      <c r="BK12" t="str">
        <f>=IF((IFERROR(SUBTOTAL(109,Ausgaben_12[Ausgaben (LC)]),0)&lt;&gt;0)+(IFERROR(SUM('III. Finanzberichte'!CB12:CB15),0)&lt;&gt;0)&gt;0,1,0)</f>
      </c>
      <c r="BL12" t="str">
        <f>=IF(BK12=1,"Periode "&amp;BJ12,"")</f>
      </c>
      <c r="BR12" t="str">
        <f>=$BB$2</f>
      </c>
      <c r="BS12" t="str">
        <f>=$BD$2</f>
      </c>
      <c r="BT12" t="s">
        <v>205</v>
      </c>
      <c r="BU12" t="str">
        <f>=IFERROR('IV. MA'!G10,0)</f>
      </c>
      <c r="BV12" t="str">
        <f>=IFERROR('IV. MA'!H10,0)</f>
      </c>
    </row>
    <row r="13">
      <c r="A13" t="s">
        <v>259</v>
      </c>
      <c r="BA13">
        <v>13</v>
      </c>
      <c r="BB13" t="str">
        <f>=IFERROR(VALUE(TRIM(MID('IV. MA'!AY4,9,5))),0)</f>
      </c>
      <c r="BC13" t="str">
        <f>=IF(IFERROR(SUBTOTAL(109,MA_13[Angefordert (LC)]),0)&lt;&gt;0,1,0)</f>
      </c>
      <c r="BD13" t="str">
        <f>=IF(BC13=1,SUMPRODUCT(($BB$1:$BB13=BB13)*($BC$1:$BC13=1)),0)</f>
      </c>
      <c r="BE13" t="str">
        <f>=IF(AND(BC13=1,BB13&gt;0),"Periode "&amp;BB13&amp;" (#"&amp;BD13&amp;")","")</f>
      </c>
      <c r="BF13" t="str">
        <f>=IFERROR(ROUND(SUBTOTAL(109,MA_13[Angefordert (LC)]),2),0)</f>
      </c>
      <c r="BG13" t="str">
        <f>=IFERROR(ROUND(SUBTOTAL(109,MA_13[Angefordert (EUR)]),2),0)</f>
      </c>
      <c r="BH13" t="str">
        <f>=IFERROR(ROUND('IV. MA'!AZ21+'IV. MA'!AZ22,2),0)</f>
      </c>
      <c r="BJ13">
        <v>13</v>
      </c>
      <c r="BK13" t="str">
        <f>=IF((IFERROR(SUBTOTAL(109,Ausgaben_13[Ausgaben (LC)]),0)&lt;&gt;0)+(IFERROR(SUM('III. Finanzberichte'!CI12:CI15),0)&lt;&gt;0)&gt;0,1,0)</f>
      </c>
      <c r="BL13" t="str">
        <f>=IF(BK13=1,"Periode "&amp;BJ13,"")</f>
      </c>
      <c r="BR13" t="str">
        <f>=$BB$2</f>
      </c>
      <c r="BS13" t="str">
        <f>=$BD$2</f>
      </c>
      <c r="BT13" t="s">
        <v>210</v>
      </c>
      <c r="BU13" t="str">
        <f>=IFERROR('IV. MA'!G11,0)</f>
      </c>
      <c r="BV13" t="str">
        <f>=IFERROR('IV. MA'!H11,0)</f>
      </c>
    </row>
    <row r="14">
      <c r="A14" t="s">
        <v>260</v>
      </c>
      <c r="BA14">
        <v>14</v>
      </c>
      <c r="BB14" t="str">
        <f>=IFERROR(VALUE(TRIM(MID('IV. MA'!BC4,9,5))),0)</f>
      </c>
      <c r="BC14" t="str">
        <f>=IF(IFERROR(SUBTOTAL(109,MA_14[Angefordert (LC)]),0)&lt;&gt;0,1,0)</f>
      </c>
      <c r="BD14" t="str">
        <f>=IF(BC14=1,SUMPRODUCT(($BB$1:$BB14=BB14)*($BC$1:$BC14=1)),0)</f>
      </c>
      <c r="BE14" t="str">
        <f>=IF(AND(BC14=1,BB14&gt;0),"Periode "&amp;BB14&amp;" (#"&amp;BD14&amp;")","")</f>
      </c>
      <c r="BF14" t="str">
        <f>=IFERROR(ROUND(SUBTOTAL(109,MA_14[Angefordert (LC)]),2),0)</f>
      </c>
      <c r="BG14" t="str">
        <f>=IFERROR(ROUND(SUBTOTAL(109,MA_14[Angefordert (EUR)]),2),0)</f>
      </c>
      <c r="BH14" t="str">
        <f>=IFERROR(ROUND('IV. MA'!BD21+'IV. MA'!BD22,2),0)</f>
      </c>
      <c r="BJ14">
        <v>14</v>
      </c>
      <c r="BK14" t="str">
        <f>=IF((IFERROR(SUBTOTAL(109,Ausgaben_14[Ausgaben (LC)]),0)&lt;&gt;0)+(IFERROR(SUM('III. Finanzberichte'!CP12:CP15),0)&lt;&gt;0)&gt;0,1,0)</f>
      </c>
      <c r="BL14" t="str">
        <f>=IF(BK14=1,"Periode "&amp;BJ14,"")</f>
      </c>
      <c r="BR14" t="str">
        <f>=$BB$2</f>
      </c>
      <c r="BS14" t="str">
        <f>=$BD$2</f>
      </c>
      <c r="BT14" t="s">
        <v>213</v>
      </c>
      <c r="BU14" t="str">
        <f>=IFERROR('IV. MA'!G12,0)</f>
      </c>
      <c r="BV14" t="str">
        <f>=IFERROR('IV. MA'!H12,0)</f>
      </c>
    </row>
    <row r="15">
      <c r="A15" t="s">
        <v>261</v>
      </c>
      <c r="BA15">
        <v>15</v>
      </c>
      <c r="BB15" t="str">
        <f>=IFERROR(VALUE(TRIM(MID('IV. MA'!BG4,9,5))),0)</f>
      </c>
      <c r="BC15" t="str">
        <f>=IF(IFERROR(SUBTOTAL(109,MA_15[Angefordert (LC)]),0)&lt;&gt;0,1,0)</f>
      </c>
      <c r="BD15" t="str">
        <f>=IF(BC15=1,SUMPRODUCT(($BB$1:$BB15=BB15)*($BC$1:$BC15=1)),0)</f>
      </c>
      <c r="BE15" t="str">
        <f>=IF(AND(BC15=1,BB15&gt;0),"Periode "&amp;BB15&amp;" (#"&amp;BD15&amp;")","")</f>
      </c>
      <c r="BF15" t="str">
        <f>=IFERROR(ROUND(SUBTOTAL(109,MA_15[Angefordert (LC)]),2),0)</f>
      </c>
      <c r="BG15" t="str">
        <f>=IFERROR(ROUND(SUBTOTAL(109,MA_15[Angefordert (EUR)]),2),0)</f>
      </c>
      <c r="BH15" t="str">
        <f>=IFERROR(ROUND('IV. MA'!BH21+'IV. MA'!BH22,2),0)</f>
      </c>
      <c r="BJ15">
        <v>15</v>
      </c>
      <c r="BK15" t="str">
        <f>=IF((IFERROR(SUBTOTAL(109,Ausgaben_15[Ausgaben (LC)]),0)&lt;&gt;0)+(IFERROR(SUM('III. Finanzberichte'!CW12:CW15),0)&lt;&gt;0)&gt;0,1,0)</f>
      </c>
      <c r="BL15" t="str">
        <f>=IF(BK15=1,"Periode "&amp;BJ15,"")</f>
      </c>
      <c r="BR15" t="str">
        <f>=$BB$2</f>
      </c>
      <c r="BS15" t="str">
        <f>=$BD$2</f>
      </c>
      <c r="BT15" t="s">
        <v>218</v>
      </c>
      <c r="BU15" t="str">
        <f>=IFERROR('IV. MA'!G13,0)</f>
      </c>
      <c r="BV15" t="str">
        <f>=IFERROR('IV. MA'!H13,0)</f>
      </c>
    </row>
    <row r="16">
      <c r="A16" t="s">
        <v>262</v>
      </c>
      <c r="BA16">
        <v>16</v>
      </c>
      <c r="BB16" t="str">
        <f>=IFERROR(VALUE(TRIM(MID('IV. MA'!BK4,9,5))),0)</f>
      </c>
      <c r="BC16" t="str">
        <f>=IF(IFERROR(SUBTOTAL(109,MA_16[Angefordert (LC)]),0)&lt;&gt;0,1,0)</f>
      </c>
      <c r="BD16" t="str">
        <f>=IF(BC16=1,SUMPRODUCT(($BB$1:$BB16=BB16)*($BC$1:$BC16=1)),0)</f>
      </c>
      <c r="BE16" t="str">
        <f>=IF(AND(BC16=1,BB16&gt;0),"Periode "&amp;BB16&amp;" (#"&amp;BD16&amp;")","")</f>
      </c>
      <c r="BF16" t="str">
        <f>=IFERROR(ROUND(SUBTOTAL(109,MA_16[Angefordert (LC)]),2),0)</f>
      </c>
      <c r="BG16" t="str">
        <f>=IFERROR(ROUND(SUBTOTAL(109,MA_16[Angefordert (EUR)]),2),0)</f>
      </c>
      <c r="BH16" t="str">
        <f>=IFERROR(ROUND('IV. MA'!BL21+'IV. MA'!BL22,2),0)</f>
      </c>
      <c r="BJ16">
        <v>16</v>
      </c>
      <c r="BK16" t="str">
        <f>=IF((IFERROR(SUBTOTAL(109,Ausgaben_16[Ausgaben (LC)]),0)&lt;&gt;0)+(IFERROR(SUM('III. Finanzberichte'!DD12:DD15),0)&lt;&gt;0)&gt;0,1,0)</f>
      </c>
      <c r="BL16" t="str">
        <f>=IF(BK16=1,"Periode "&amp;BJ16,"")</f>
      </c>
      <c r="BR16" t="str">
        <f>=$BB$2</f>
      </c>
      <c r="BS16" t="str">
        <f>=$BD$2</f>
      </c>
      <c r="BT16" t="s">
        <v>221</v>
      </c>
      <c r="BU16" t="str">
        <f>=IFERROR('IV. MA'!G14,0)</f>
      </c>
      <c r="BV16" t="str">
        <f>=IFERROR('IV. MA'!H14,0)</f>
      </c>
    </row>
    <row r="17">
      <c r="A17" t="s">
        <v>263</v>
      </c>
      <c r="BA17">
        <v>17</v>
      </c>
      <c r="BB17" t="str">
        <f>=IFERROR(VALUE(TRIM(MID('IV. MA'!BO4,9,5))),0)</f>
      </c>
      <c r="BC17" t="str">
        <f>=IF(IFERROR(SUBTOTAL(109,MA_17[Angefordert (LC)]),0)&lt;&gt;0,1,0)</f>
      </c>
      <c r="BD17" t="str">
        <f>=IF(BC17=1,SUMPRODUCT(($BB$1:$BB17=BB17)*($BC$1:$BC17=1)),0)</f>
      </c>
      <c r="BE17" t="str">
        <f>=IF(AND(BC17=1,BB17&gt;0),"Periode "&amp;BB17&amp;" (#"&amp;BD17&amp;")","")</f>
      </c>
      <c r="BF17" t="str">
        <f>=IFERROR(ROUND(SUBTOTAL(109,MA_17[Angefordert (LC)]),2),0)</f>
      </c>
      <c r="BG17" t="str">
        <f>=IFERROR(ROUND(SUBTOTAL(109,MA_17[Angefordert (EUR)]),2),0)</f>
      </c>
      <c r="BH17" t="str">
        <f>=IFERROR(ROUND('IV. MA'!BP21+'IV. MA'!BP22,2),0)</f>
      </c>
      <c r="BJ17">
        <v>17</v>
      </c>
      <c r="BK17" t="str">
        <f>=IF((IFERROR(SUBTOTAL(109,Ausgaben_17[Ausgaben (LC)]),0)&lt;&gt;0)+(IFERROR(SUM('III. Finanzberichte'!DK12:DK15),0)&lt;&gt;0)&gt;0,1,0)</f>
      </c>
      <c r="BL17" t="str">
        <f>=IF(BK17=1,"Periode "&amp;BJ17,"")</f>
      </c>
      <c r="BR17" t="str">
        <f>=$BB$2</f>
      </c>
      <c r="BS17" t="str">
        <f>=$BD$2</f>
      </c>
      <c r="BT17" t="s">
        <v>224</v>
      </c>
      <c r="BU17" t="str">
        <f>=IFERROR('IV. MA'!G15,0)</f>
      </c>
      <c r="BV17" t="str">
        <f>=IFERROR('IV. MA'!H15,0)</f>
      </c>
    </row>
    <row r="18">
      <c r="A18" t="s">
        <v>264</v>
      </c>
      <c r="BA18">
        <v>18</v>
      </c>
      <c r="BB18" t="str">
        <f>=IFERROR(VALUE(TRIM(MID('IV. MA'!BS4,9,5))),0)</f>
      </c>
      <c r="BC18" t="str">
        <f>=IF(IFERROR(SUBTOTAL(109,MA_18[Angefordert (LC)]),0)&lt;&gt;0,1,0)</f>
      </c>
      <c r="BD18" t="str">
        <f>=IF(BC18=1,SUMPRODUCT(($BB$1:$BB18=BB18)*($BC$1:$BC18=1)),0)</f>
      </c>
      <c r="BE18" t="str">
        <f>=IF(AND(BC18=1,BB18&gt;0),"Periode "&amp;BB18&amp;" (#"&amp;BD18&amp;")","")</f>
      </c>
      <c r="BF18" t="str">
        <f>=IFERROR(ROUND(SUBTOTAL(109,MA_18[Angefordert (LC)]),2),0)</f>
      </c>
      <c r="BG18" t="str">
        <f>=IFERROR(ROUND(SUBTOTAL(109,MA_18[Angefordert (EUR)]),2),0)</f>
      </c>
      <c r="BH18" t="str">
        <f>=IFERROR(ROUND('IV. MA'!BT21+'IV. MA'!BT22,2),0)</f>
      </c>
      <c r="BJ18">
        <v>18</v>
      </c>
      <c r="BK18" t="str">
        <f>=IF((IFERROR(SUBTOTAL(109,Ausgaben_18[Ausgaben (LC)]),0)&lt;&gt;0)+(IFERROR(SUM('III. Finanzberichte'!DR12:DR15),0)&lt;&gt;0)&gt;0,1,0)</f>
      </c>
      <c r="BL18" t="str">
        <f>=IF(BK18=1,"Periode "&amp;BJ18,"")</f>
      </c>
      <c r="BR18" t="str">
        <f>=$BB$2</f>
      </c>
      <c r="BS18" t="str">
        <f>=$BD$2</f>
      </c>
      <c r="BT18" t="s">
        <v>227</v>
      </c>
      <c r="BU18" t="str">
        <f>=IFERROR('IV. MA'!G16,0)</f>
      </c>
      <c r="BV18" t="str">
        <f>=IFERROR('IV. MA'!H16,0)</f>
      </c>
    </row>
    <row r="19">
      <c r="BR19" t="str">
        <f>=$BB$2</f>
      </c>
      <c r="BS19" t="str">
        <f>=$BD$2</f>
      </c>
      <c r="BT19" t="s">
        <v>230</v>
      </c>
      <c r="BU19" t="str">
        <f>=IFERROR('IV. MA'!G17,0)</f>
      </c>
      <c r="BV19" t="str">
        <f>=IFERROR('IV. MA'!H17,0)</f>
      </c>
    </row>
    <row r="20">
      <c r="BR20" t="str">
        <f>=$BB$2</f>
      </c>
      <c r="BS20" t="str">
        <f>=$BD$2</f>
      </c>
      <c r="BT20" t="s">
        <v>194</v>
      </c>
      <c r="BU20" t="str">
        <f>=IFERROR('IV. MA'!G21,0)</f>
      </c>
      <c r="BV20" t="str">
        <f>=IFERROR('IV. MA'!H21,0)</f>
      </c>
    </row>
    <row r="21">
      <c r="BR21" t="str">
        <f>=$BB$2</f>
      </c>
      <c r="BS21" t="str">
        <f>=$BD$2</f>
      </c>
      <c r="BT21" t="s">
        <v>300</v>
      </c>
      <c r="BU21" t="str">
        <f>=IFERROR('IV. MA'!G22,0)</f>
      </c>
      <c r="BV21" t="str">
        <f>=IFERROR('IV. MA'!H22,0)</f>
      </c>
    </row>
    <row r="22">
      <c r="BR22" t="str">
        <f>=$BB$2</f>
      </c>
      <c r="BS22" t="str">
        <f>=$BD$2</f>
      </c>
      <c r="BT22" t="s">
        <v>199</v>
      </c>
      <c r="BU22" t="str">
        <f>=IFERROR('IV. MA'!G25,0)</f>
      </c>
      <c r="BV22" t="str">
        <f>=IFERROR('IV. MA'!H25,0)</f>
      </c>
    </row>
    <row r="23">
      <c r="BR23" t="str">
        <f>=$BB$3</f>
      </c>
      <c r="BS23" t="str">
        <f>=$BD$3</f>
      </c>
      <c r="BT23" t="s">
        <v>205</v>
      </c>
      <c r="BU23" t="str">
        <f>=IFERROR('IV. MA'!K10,0)</f>
      </c>
      <c r="BV23" t="str">
        <f>=IFERROR('IV. MA'!L10,0)</f>
      </c>
    </row>
    <row r="24">
      <c r="BR24" t="str">
        <f>=$BB$3</f>
      </c>
      <c r="BS24" t="str">
        <f>=$BD$3</f>
      </c>
      <c r="BT24" t="s">
        <v>210</v>
      </c>
      <c r="BU24" t="str">
        <f>=IFERROR('IV. MA'!K11,0)</f>
      </c>
      <c r="BV24" t="str">
        <f>=IFERROR('IV. MA'!L11,0)</f>
      </c>
    </row>
    <row r="25">
      <c r="BR25" t="str">
        <f>=$BB$3</f>
      </c>
      <c r="BS25" t="str">
        <f>=$BD$3</f>
      </c>
      <c r="BT25" t="s">
        <v>213</v>
      </c>
      <c r="BU25" t="str">
        <f>=IFERROR('IV. MA'!K12,0)</f>
      </c>
      <c r="BV25" t="str">
        <f>=IFERROR('IV. MA'!L12,0)</f>
      </c>
    </row>
    <row r="26">
      <c r="BR26" t="str">
        <f>=$BB$3</f>
      </c>
      <c r="BS26" t="str">
        <f>=$BD$3</f>
      </c>
      <c r="BT26" t="s">
        <v>218</v>
      </c>
      <c r="BU26" t="str">
        <f>=IFERROR('IV. MA'!K13,0)</f>
      </c>
      <c r="BV26" t="str">
        <f>=IFERROR('IV. MA'!L13,0)</f>
      </c>
    </row>
    <row r="27">
      <c r="BR27" t="str">
        <f>=$BB$3</f>
      </c>
      <c r="BS27" t="str">
        <f>=$BD$3</f>
      </c>
      <c r="BT27" t="s">
        <v>221</v>
      </c>
      <c r="BU27" t="str">
        <f>=IFERROR('IV. MA'!K14,0)</f>
      </c>
      <c r="BV27" t="str">
        <f>=IFERROR('IV. MA'!L14,0)</f>
      </c>
    </row>
    <row r="28">
      <c r="BR28" t="str">
        <f>=$BB$3</f>
      </c>
      <c r="BS28" t="str">
        <f>=$BD$3</f>
      </c>
      <c r="BT28" t="s">
        <v>224</v>
      </c>
      <c r="BU28" t="str">
        <f>=IFERROR('IV. MA'!K15,0)</f>
      </c>
      <c r="BV28" t="str">
        <f>=IFERROR('IV. MA'!L15,0)</f>
      </c>
    </row>
    <row r="29">
      <c r="BR29" t="str">
        <f>=$BB$3</f>
      </c>
      <c r="BS29" t="str">
        <f>=$BD$3</f>
      </c>
      <c r="BT29" t="s">
        <v>227</v>
      </c>
      <c r="BU29" t="str">
        <f>=IFERROR('IV. MA'!K16,0)</f>
      </c>
      <c r="BV29" t="str">
        <f>=IFERROR('IV. MA'!L16,0)</f>
      </c>
    </row>
    <row r="30">
      <c r="BR30" t="str">
        <f>=$BB$3</f>
      </c>
      <c r="BS30" t="str">
        <f>=$BD$3</f>
      </c>
      <c r="BT30" t="s">
        <v>230</v>
      </c>
      <c r="BU30" t="str">
        <f>=IFERROR('IV. MA'!K17,0)</f>
      </c>
      <c r="BV30" t="str">
        <f>=IFERROR('IV. MA'!L17,0)</f>
      </c>
    </row>
    <row r="31">
      <c r="BR31" t="str">
        <f>=$BB$3</f>
      </c>
      <c r="BS31" t="str">
        <f>=$BD$3</f>
      </c>
      <c r="BT31" t="s">
        <v>194</v>
      </c>
      <c r="BU31" t="str">
        <f>=IFERROR('IV. MA'!K21,0)</f>
      </c>
      <c r="BV31" t="str">
        <f>=IFERROR('IV. MA'!L21,0)</f>
      </c>
    </row>
    <row r="32">
      <c r="BR32" t="str">
        <f>=$BB$3</f>
      </c>
      <c r="BS32" t="str">
        <f>=$BD$3</f>
      </c>
      <c r="BT32" t="s">
        <v>300</v>
      </c>
      <c r="BU32" t="str">
        <f>=IFERROR('IV. MA'!K22,0)</f>
      </c>
      <c r="BV32" t="str">
        <f>=IFERROR('IV. MA'!L22,0)</f>
      </c>
    </row>
    <row r="33">
      <c r="BR33" t="str">
        <f>=$BB$3</f>
      </c>
      <c r="BS33" t="str">
        <f>=$BD$3</f>
      </c>
      <c r="BT33" t="s">
        <v>199</v>
      </c>
      <c r="BU33" t="str">
        <f>=IFERROR('IV. MA'!K25,0)</f>
      </c>
      <c r="BV33" t="str">
        <f>=IFERROR('IV. MA'!L25,0)</f>
      </c>
    </row>
    <row r="34">
      <c r="BR34" t="str">
        <f>=$BB$4</f>
      </c>
      <c r="BS34" t="str">
        <f>=$BD$4</f>
      </c>
      <c r="BT34" t="s">
        <v>205</v>
      </c>
      <c r="BU34" t="str">
        <f>=IFERROR('IV. MA'!O10,0)</f>
      </c>
      <c r="BV34" t="str">
        <f>=IFERROR('IV. MA'!P10,0)</f>
      </c>
    </row>
    <row r="35">
      <c r="BR35" t="str">
        <f>=$BB$4</f>
      </c>
      <c r="BS35" t="str">
        <f>=$BD$4</f>
      </c>
      <c r="BT35" t="s">
        <v>210</v>
      </c>
      <c r="BU35" t="str">
        <f>=IFERROR('IV. MA'!O11,0)</f>
      </c>
      <c r="BV35" t="str">
        <f>=IFERROR('IV. MA'!P11,0)</f>
      </c>
    </row>
    <row r="36">
      <c r="BR36" t="str">
        <f>=$BB$4</f>
      </c>
      <c r="BS36" t="str">
        <f>=$BD$4</f>
      </c>
      <c r="BT36" t="s">
        <v>213</v>
      </c>
      <c r="BU36" t="str">
        <f>=IFERROR('IV. MA'!O12,0)</f>
      </c>
      <c r="BV36" t="str">
        <f>=IFERROR('IV. MA'!P12,0)</f>
      </c>
    </row>
    <row r="37">
      <c r="BR37" t="str">
        <f>=$BB$4</f>
      </c>
      <c r="BS37" t="str">
        <f>=$BD$4</f>
      </c>
      <c r="BT37" t="s">
        <v>218</v>
      </c>
      <c r="BU37" t="str">
        <f>=IFERROR('IV. MA'!O13,0)</f>
      </c>
      <c r="BV37" t="str">
        <f>=IFERROR('IV. MA'!P13,0)</f>
      </c>
    </row>
    <row r="38">
      <c r="BR38" t="str">
        <f>=$BB$4</f>
      </c>
      <c r="BS38" t="str">
        <f>=$BD$4</f>
      </c>
      <c r="BT38" t="s">
        <v>221</v>
      </c>
      <c r="BU38" t="str">
        <f>=IFERROR('IV. MA'!O14,0)</f>
      </c>
      <c r="BV38" t="str">
        <f>=IFERROR('IV. MA'!P14,0)</f>
      </c>
    </row>
    <row r="39">
      <c r="BR39" t="str">
        <f>=$BB$4</f>
      </c>
      <c r="BS39" t="str">
        <f>=$BD$4</f>
      </c>
      <c r="BT39" t="s">
        <v>224</v>
      </c>
      <c r="BU39" t="str">
        <f>=IFERROR('IV. MA'!O15,0)</f>
      </c>
      <c r="BV39" t="str">
        <f>=IFERROR('IV. MA'!P15,0)</f>
      </c>
    </row>
    <row r="40">
      <c r="BR40" t="str">
        <f>=$BB$4</f>
      </c>
      <c r="BS40" t="str">
        <f>=$BD$4</f>
      </c>
      <c r="BT40" t="s">
        <v>227</v>
      </c>
      <c r="BU40" t="str">
        <f>=IFERROR('IV. MA'!O16,0)</f>
      </c>
      <c r="BV40" t="str">
        <f>=IFERROR('IV. MA'!P16,0)</f>
      </c>
    </row>
    <row r="41">
      <c r="BR41" t="str">
        <f>=$BB$4</f>
      </c>
      <c r="BS41" t="str">
        <f>=$BD$4</f>
      </c>
      <c r="BT41" t="s">
        <v>230</v>
      </c>
      <c r="BU41" t="str">
        <f>=IFERROR('IV. MA'!O17,0)</f>
      </c>
      <c r="BV41" t="str">
        <f>=IFERROR('IV. MA'!P17,0)</f>
      </c>
    </row>
    <row r="42">
      <c r="BR42" t="str">
        <f>=$BB$4</f>
      </c>
      <c r="BS42" t="str">
        <f>=$BD$4</f>
      </c>
      <c r="BT42" t="s">
        <v>194</v>
      </c>
      <c r="BU42" t="str">
        <f>=IFERROR('IV. MA'!O21,0)</f>
      </c>
      <c r="BV42" t="str">
        <f>=IFERROR('IV. MA'!P21,0)</f>
      </c>
    </row>
    <row r="43">
      <c r="BR43" t="str">
        <f>=$BB$4</f>
      </c>
      <c r="BS43" t="str">
        <f>=$BD$4</f>
      </c>
      <c r="BT43" t="s">
        <v>300</v>
      </c>
      <c r="BU43" t="str">
        <f>=IFERROR('IV. MA'!O22,0)</f>
      </c>
      <c r="BV43" t="str">
        <f>=IFERROR('IV. MA'!P22,0)</f>
      </c>
    </row>
    <row r="44">
      <c r="BR44" t="str">
        <f>=$BB$4</f>
      </c>
      <c r="BS44" t="str">
        <f>=$BD$4</f>
      </c>
      <c r="BT44" t="s">
        <v>199</v>
      </c>
      <c r="BU44" t="str">
        <f>=IFERROR('IV. MA'!O25,0)</f>
      </c>
      <c r="BV44" t="str">
        <f>=IFERROR('IV. MA'!P25,0)</f>
      </c>
    </row>
    <row r="45">
      <c r="BR45" t="str">
        <f>=$BB$5</f>
      </c>
      <c r="BS45" t="str">
        <f>=$BD$5</f>
      </c>
      <c r="BT45" t="s">
        <v>205</v>
      </c>
      <c r="BU45" t="str">
        <f>=IFERROR('IV. MA'!S10,0)</f>
      </c>
      <c r="BV45" t="str">
        <f>=IFERROR('IV. MA'!T10,0)</f>
      </c>
    </row>
    <row r="46">
      <c r="BR46" t="str">
        <f>=$BB$5</f>
      </c>
      <c r="BS46" t="str">
        <f>=$BD$5</f>
      </c>
      <c r="BT46" t="s">
        <v>210</v>
      </c>
      <c r="BU46" t="str">
        <f>=IFERROR('IV. MA'!S11,0)</f>
      </c>
      <c r="BV46" t="str">
        <f>=IFERROR('IV. MA'!T11,0)</f>
      </c>
    </row>
    <row r="47">
      <c r="BR47" t="str">
        <f>=$BB$5</f>
      </c>
      <c r="BS47" t="str">
        <f>=$BD$5</f>
      </c>
      <c r="BT47" t="s">
        <v>213</v>
      </c>
      <c r="BU47" t="str">
        <f>=IFERROR('IV. MA'!S12,0)</f>
      </c>
      <c r="BV47" t="str">
        <f>=IFERROR('IV. MA'!T12,0)</f>
      </c>
    </row>
    <row r="48">
      <c r="BR48" t="str">
        <f>=$BB$5</f>
      </c>
      <c r="BS48" t="str">
        <f>=$BD$5</f>
      </c>
      <c r="BT48" t="s">
        <v>218</v>
      </c>
      <c r="BU48" t="str">
        <f>=IFERROR('IV. MA'!S13,0)</f>
      </c>
      <c r="BV48" t="str">
        <f>=IFERROR('IV. MA'!T13,0)</f>
      </c>
    </row>
    <row r="49">
      <c r="BR49" t="str">
        <f>=$BB$5</f>
      </c>
      <c r="BS49" t="str">
        <f>=$BD$5</f>
      </c>
      <c r="BT49" t="s">
        <v>221</v>
      </c>
      <c r="BU49" t="str">
        <f>=IFERROR('IV. MA'!S14,0)</f>
      </c>
      <c r="BV49" t="str">
        <f>=IFERROR('IV. MA'!T14,0)</f>
      </c>
    </row>
    <row r="50">
      <c r="BR50" t="str">
        <f>=$BB$5</f>
      </c>
      <c r="BS50" t="str">
        <f>=$BD$5</f>
      </c>
      <c r="BT50" t="s">
        <v>224</v>
      </c>
      <c r="BU50" t="str">
        <f>=IFERROR('IV. MA'!S15,0)</f>
      </c>
      <c r="BV50" t="str">
        <f>=IFERROR('IV. MA'!T15,0)</f>
      </c>
    </row>
    <row r="51">
      <c r="BR51" t="str">
        <f>=$BB$5</f>
      </c>
      <c r="BS51" t="str">
        <f>=$BD$5</f>
      </c>
      <c r="BT51" t="s">
        <v>227</v>
      </c>
      <c r="BU51" t="str">
        <f>=IFERROR('IV. MA'!S16,0)</f>
      </c>
      <c r="BV51" t="str">
        <f>=IFERROR('IV. MA'!T16,0)</f>
      </c>
    </row>
    <row r="52">
      <c r="BR52" t="str">
        <f>=$BB$5</f>
      </c>
      <c r="BS52" t="str">
        <f>=$BD$5</f>
      </c>
      <c r="BT52" t="s">
        <v>230</v>
      </c>
      <c r="BU52" t="str">
        <f>=IFERROR('IV. MA'!S17,0)</f>
      </c>
      <c r="BV52" t="str">
        <f>=IFERROR('IV. MA'!T17,0)</f>
      </c>
    </row>
    <row r="53">
      <c r="BR53" t="str">
        <f>=$BB$5</f>
      </c>
      <c r="BS53" t="str">
        <f>=$BD$5</f>
      </c>
      <c r="BT53" t="s">
        <v>194</v>
      </c>
      <c r="BU53" t="str">
        <f>=IFERROR('IV. MA'!S21,0)</f>
      </c>
      <c r="BV53" t="str">
        <f>=IFERROR('IV. MA'!T21,0)</f>
      </c>
    </row>
    <row r="54">
      <c r="BR54" t="str">
        <f>=$BB$5</f>
      </c>
      <c r="BS54" t="str">
        <f>=$BD$5</f>
      </c>
      <c r="BT54" t="s">
        <v>300</v>
      </c>
      <c r="BU54" t="str">
        <f>=IFERROR('IV. MA'!S22,0)</f>
      </c>
      <c r="BV54" t="str">
        <f>=IFERROR('IV. MA'!T22,0)</f>
      </c>
    </row>
    <row r="55">
      <c r="BR55" t="str">
        <f>=$BB$5</f>
      </c>
      <c r="BS55" t="str">
        <f>=$BD$5</f>
      </c>
      <c r="BT55" t="s">
        <v>199</v>
      </c>
      <c r="BU55" t="str">
        <f>=IFERROR('IV. MA'!S25,0)</f>
      </c>
      <c r="BV55" t="str">
        <f>=IFERROR('IV. MA'!T25,0)</f>
      </c>
    </row>
    <row r="56">
      <c r="BR56" t="str">
        <f>=$BB$6</f>
      </c>
      <c r="BS56" t="str">
        <f>=$BD$6</f>
      </c>
      <c r="BT56" t="s">
        <v>205</v>
      </c>
      <c r="BU56" t="str">
        <f>=IFERROR('IV. MA'!W10,0)</f>
      </c>
      <c r="BV56" t="str">
        <f>=IFERROR('IV. MA'!X10,0)</f>
      </c>
    </row>
    <row r="57">
      <c r="BR57" t="str">
        <f>=$BB$6</f>
      </c>
      <c r="BS57" t="str">
        <f>=$BD$6</f>
      </c>
      <c r="BT57" t="s">
        <v>210</v>
      </c>
      <c r="BU57" t="str">
        <f>=IFERROR('IV. MA'!W11,0)</f>
      </c>
      <c r="BV57" t="str">
        <f>=IFERROR('IV. MA'!X11,0)</f>
      </c>
    </row>
    <row r="58">
      <c r="BR58" t="str">
        <f>=$BB$6</f>
      </c>
      <c r="BS58" t="str">
        <f>=$BD$6</f>
      </c>
      <c r="BT58" t="s">
        <v>213</v>
      </c>
      <c r="BU58" t="str">
        <f>=IFERROR('IV. MA'!W12,0)</f>
      </c>
      <c r="BV58" t="str">
        <f>=IFERROR('IV. MA'!X12,0)</f>
      </c>
    </row>
    <row r="59">
      <c r="BR59" t="str">
        <f>=$BB$6</f>
      </c>
      <c r="BS59" t="str">
        <f>=$BD$6</f>
      </c>
      <c r="BT59" t="s">
        <v>218</v>
      </c>
      <c r="BU59" t="str">
        <f>=IFERROR('IV. MA'!W13,0)</f>
      </c>
      <c r="BV59" t="str">
        <f>=IFERROR('IV. MA'!X13,0)</f>
      </c>
    </row>
    <row r="60">
      <c r="BR60" t="str">
        <f>=$BB$6</f>
      </c>
      <c r="BS60" t="str">
        <f>=$BD$6</f>
      </c>
      <c r="BT60" t="s">
        <v>221</v>
      </c>
      <c r="BU60" t="str">
        <f>=IFERROR('IV. MA'!W14,0)</f>
      </c>
      <c r="BV60" t="str">
        <f>=IFERROR('IV. MA'!X14,0)</f>
      </c>
    </row>
    <row r="61">
      <c r="BR61" t="str">
        <f>=$BB$6</f>
      </c>
      <c r="BS61" t="str">
        <f>=$BD$6</f>
      </c>
      <c r="BT61" t="s">
        <v>224</v>
      </c>
      <c r="BU61" t="str">
        <f>=IFERROR('IV. MA'!W15,0)</f>
      </c>
      <c r="BV61" t="str">
        <f>=IFERROR('IV. MA'!X15,0)</f>
      </c>
    </row>
    <row r="62">
      <c r="BR62" t="str">
        <f>=$BB$6</f>
      </c>
      <c r="BS62" t="str">
        <f>=$BD$6</f>
      </c>
      <c r="BT62" t="s">
        <v>227</v>
      </c>
      <c r="BU62" t="str">
        <f>=IFERROR('IV. MA'!W16,0)</f>
      </c>
      <c r="BV62" t="str">
        <f>=IFERROR('IV. MA'!X16,0)</f>
      </c>
    </row>
    <row r="63">
      <c r="BR63" t="str">
        <f>=$BB$6</f>
      </c>
      <c r="BS63" t="str">
        <f>=$BD$6</f>
      </c>
      <c r="BT63" t="s">
        <v>230</v>
      </c>
      <c r="BU63" t="str">
        <f>=IFERROR('IV. MA'!W17,0)</f>
      </c>
      <c r="BV63" t="str">
        <f>=IFERROR('IV. MA'!X17,0)</f>
      </c>
    </row>
    <row r="64">
      <c r="BR64" t="str">
        <f>=$BB$6</f>
      </c>
      <c r="BS64" t="str">
        <f>=$BD$6</f>
      </c>
      <c r="BT64" t="s">
        <v>194</v>
      </c>
      <c r="BU64" t="str">
        <f>=IFERROR('IV. MA'!W21,0)</f>
      </c>
      <c r="BV64" t="str">
        <f>=IFERROR('IV. MA'!X21,0)</f>
      </c>
    </row>
    <row r="65">
      <c r="BR65" t="str">
        <f>=$BB$6</f>
      </c>
      <c r="BS65" t="str">
        <f>=$BD$6</f>
      </c>
      <c r="BT65" t="s">
        <v>300</v>
      </c>
      <c r="BU65" t="str">
        <f>=IFERROR('IV. MA'!W22,0)</f>
      </c>
      <c r="BV65" t="str">
        <f>=IFERROR('IV. MA'!X22,0)</f>
      </c>
    </row>
    <row r="66">
      <c r="BR66" t="str">
        <f>=$BB$6</f>
      </c>
      <c r="BS66" t="str">
        <f>=$BD$6</f>
      </c>
      <c r="BT66" t="s">
        <v>199</v>
      </c>
      <c r="BU66" t="str">
        <f>=IFERROR('IV. MA'!W25,0)</f>
      </c>
      <c r="BV66" t="str">
        <f>=IFERROR('IV. MA'!X25,0)</f>
      </c>
    </row>
    <row r="67">
      <c r="BR67" t="str">
        <f>=$BB$7</f>
      </c>
      <c r="BS67" t="str">
        <f>=$BD$7</f>
      </c>
      <c r="BT67" t="s">
        <v>205</v>
      </c>
      <c r="BU67" t="str">
        <f>=IFERROR('IV. MA'!AA10,0)</f>
      </c>
      <c r="BV67" t="str">
        <f>=IFERROR('IV. MA'!AB10,0)</f>
      </c>
    </row>
    <row r="68">
      <c r="BR68" t="str">
        <f>=$BB$7</f>
      </c>
      <c r="BS68" t="str">
        <f>=$BD$7</f>
      </c>
      <c r="BT68" t="s">
        <v>210</v>
      </c>
      <c r="BU68" t="str">
        <f>=IFERROR('IV. MA'!AA11,0)</f>
      </c>
      <c r="BV68" t="str">
        <f>=IFERROR('IV. MA'!AB11,0)</f>
      </c>
    </row>
    <row r="69">
      <c r="BR69" t="str">
        <f>=$BB$7</f>
      </c>
      <c r="BS69" t="str">
        <f>=$BD$7</f>
      </c>
      <c r="BT69" t="s">
        <v>213</v>
      </c>
      <c r="BU69" t="str">
        <f>=IFERROR('IV. MA'!AA12,0)</f>
      </c>
      <c r="BV69" t="str">
        <f>=IFERROR('IV. MA'!AB12,0)</f>
      </c>
    </row>
    <row r="70">
      <c r="BR70" t="str">
        <f>=$BB$7</f>
      </c>
      <c r="BS70" t="str">
        <f>=$BD$7</f>
      </c>
      <c r="BT70" t="s">
        <v>218</v>
      </c>
      <c r="BU70" t="str">
        <f>=IFERROR('IV. MA'!AA13,0)</f>
      </c>
      <c r="BV70" t="str">
        <f>=IFERROR('IV. MA'!AB13,0)</f>
      </c>
    </row>
    <row r="71">
      <c r="BR71" t="str">
        <f>=$BB$7</f>
      </c>
      <c r="BS71" t="str">
        <f>=$BD$7</f>
      </c>
      <c r="BT71" t="s">
        <v>221</v>
      </c>
      <c r="BU71" t="str">
        <f>=IFERROR('IV. MA'!AA14,0)</f>
      </c>
      <c r="BV71" t="str">
        <f>=IFERROR('IV. MA'!AB14,0)</f>
      </c>
    </row>
    <row r="72">
      <c r="BR72" t="str">
        <f>=$BB$7</f>
      </c>
      <c r="BS72" t="str">
        <f>=$BD$7</f>
      </c>
      <c r="BT72" t="s">
        <v>224</v>
      </c>
      <c r="BU72" t="str">
        <f>=IFERROR('IV. MA'!AA15,0)</f>
      </c>
      <c r="BV72" t="str">
        <f>=IFERROR('IV. MA'!AB15,0)</f>
      </c>
    </row>
    <row r="73">
      <c r="BR73" t="str">
        <f>=$BB$7</f>
      </c>
      <c r="BS73" t="str">
        <f>=$BD$7</f>
      </c>
      <c r="BT73" t="s">
        <v>227</v>
      </c>
      <c r="BU73" t="str">
        <f>=IFERROR('IV. MA'!AA16,0)</f>
      </c>
      <c r="BV73" t="str">
        <f>=IFERROR('IV. MA'!AB16,0)</f>
      </c>
    </row>
    <row r="74">
      <c r="BR74" t="str">
        <f>=$BB$7</f>
      </c>
      <c r="BS74" t="str">
        <f>=$BD$7</f>
      </c>
      <c r="BT74" t="s">
        <v>230</v>
      </c>
      <c r="BU74" t="str">
        <f>=IFERROR('IV. MA'!AA17,0)</f>
      </c>
      <c r="BV74" t="str">
        <f>=IFERROR('IV. MA'!AB17,0)</f>
      </c>
    </row>
    <row r="75">
      <c r="BR75" t="str">
        <f>=$BB$7</f>
      </c>
      <c r="BS75" t="str">
        <f>=$BD$7</f>
      </c>
      <c r="BT75" t="s">
        <v>194</v>
      </c>
      <c r="BU75" t="str">
        <f>=IFERROR('IV. MA'!AA21,0)</f>
      </c>
      <c r="BV75" t="str">
        <f>=IFERROR('IV. MA'!AB21,0)</f>
      </c>
    </row>
    <row r="76">
      <c r="BR76" t="str">
        <f>=$BB$7</f>
      </c>
      <c r="BS76" t="str">
        <f>=$BD$7</f>
      </c>
      <c r="BT76" t="s">
        <v>300</v>
      </c>
      <c r="BU76" t="str">
        <f>=IFERROR('IV. MA'!AA22,0)</f>
      </c>
      <c r="BV76" t="str">
        <f>=IFERROR('IV. MA'!AB22,0)</f>
      </c>
    </row>
    <row r="77">
      <c r="BR77" t="str">
        <f>=$BB$7</f>
      </c>
      <c r="BS77" t="str">
        <f>=$BD$7</f>
      </c>
      <c r="BT77" t="s">
        <v>199</v>
      </c>
      <c r="BU77" t="str">
        <f>=IFERROR('IV. MA'!AA25,0)</f>
      </c>
      <c r="BV77" t="str">
        <f>=IFERROR('IV. MA'!AB25,0)</f>
      </c>
    </row>
    <row r="78">
      <c r="BR78" t="str">
        <f>=$BB$8</f>
      </c>
      <c r="BS78" t="str">
        <f>=$BD$8</f>
      </c>
      <c r="BT78" t="s">
        <v>205</v>
      </c>
      <c r="BU78" t="str">
        <f>=IFERROR('IV. MA'!AE10,0)</f>
      </c>
      <c r="BV78" t="str">
        <f>=IFERROR('IV. MA'!AF10,0)</f>
      </c>
    </row>
    <row r="79">
      <c r="BR79" t="str">
        <f>=$BB$8</f>
      </c>
      <c r="BS79" t="str">
        <f>=$BD$8</f>
      </c>
      <c r="BT79" t="s">
        <v>210</v>
      </c>
      <c r="BU79" t="str">
        <f>=IFERROR('IV. MA'!AE11,0)</f>
      </c>
      <c r="BV79" t="str">
        <f>=IFERROR('IV. MA'!AF11,0)</f>
      </c>
    </row>
    <row r="80">
      <c r="BR80" t="str">
        <f>=$BB$8</f>
      </c>
      <c r="BS80" t="str">
        <f>=$BD$8</f>
      </c>
      <c r="BT80" t="s">
        <v>213</v>
      </c>
      <c r="BU80" t="str">
        <f>=IFERROR('IV. MA'!AE12,0)</f>
      </c>
      <c r="BV80" t="str">
        <f>=IFERROR('IV. MA'!AF12,0)</f>
      </c>
    </row>
    <row r="81">
      <c r="BR81" t="str">
        <f>=$BB$8</f>
      </c>
      <c r="BS81" t="str">
        <f>=$BD$8</f>
      </c>
      <c r="BT81" t="s">
        <v>218</v>
      </c>
      <c r="BU81" t="str">
        <f>=IFERROR('IV. MA'!AE13,0)</f>
      </c>
      <c r="BV81" t="str">
        <f>=IFERROR('IV. MA'!AF13,0)</f>
      </c>
    </row>
    <row r="82">
      <c r="BR82" t="str">
        <f>=$BB$8</f>
      </c>
      <c r="BS82" t="str">
        <f>=$BD$8</f>
      </c>
      <c r="BT82" t="s">
        <v>221</v>
      </c>
      <c r="BU82" t="str">
        <f>=IFERROR('IV. MA'!AE14,0)</f>
      </c>
      <c r="BV82" t="str">
        <f>=IFERROR('IV. MA'!AF14,0)</f>
      </c>
    </row>
    <row r="83">
      <c r="BR83" t="str">
        <f>=$BB$8</f>
      </c>
      <c r="BS83" t="str">
        <f>=$BD$8</f>
      </c>
      <c r="BT83" t="s">
        <v>224</v>
      </c>
      <c r="BU83" t="str">
        <f>=IFERROR('IV. MA'!AE15,0)</f>
      </c>
      <c r="BV83" t="str">
        <f>=IFERROR('IV. MA'!AF15,0)</f>
      </c>
    </row>
    <row r="84">
      <c r="BR84" t="str">
        <f>=$BB$8</f>
      </c>
      <c r="BS84" t="str">
        <f>=$BD$8</f>
      </c>
      <c r="BT84" t="s">
        <v>227</v>
      </c>
      <c r="BU84" t="str">
        <f>=IFERROR('IV. MA'!AE16,0)</f>
      </c>
      <c r="BV84" t="str">
        <f>=IFERROR('IV. MA'!AF16,0)</f>
      </c>
    </row>
    <row r="85">
      <c r="BR85" t="str">
        <f>=$BB$8</f>
      </c>
      <c r="BS85" t="str">
        <f>=$BD$8</f>
      </c>
      <c r="BT85" t="s">
        <v>230</v>
      </c>
      <c r="BU85" t="str">
        <f>=IFERROR('IV. MA'!AE17,0)</f>
      </c>
      <c r="BV85" t="str">
        <f>=IFERROR('IV. MA'!AF17,0)</f>
      </c>
    </row>
    <row r="86">
      <c r="BR86" t="str">
        <f>=$BB$8</f>
      </c>
      <c r="BS86" t="str">
        <f>=$BD$8</f>
      </c>
      <c r="BT86" t="s">
        <v>194</v>
      </c>
      <c r="BU86" t="str">
        <f>=IFERROR('IV. MA'!AE21,0)</f>
      </c>
      <c r="BV86" t="str">
        <f>=IFERROR('IV. MA'!AF21,0)</f>
      </c>
    </row>
    <row r="87">
      <c r="BR87" t="str">
        <f>=$BB$8</f>
      </c>
      <c r="BS87" t="str">
        <f>=$BD$8</f>
      </c>
      <c r="BT87" t="s">
        <v>300</v>
      </c>
      <c r="BU87" t="str">
        <f>=IFERROR('IV. MA'!AE22,0)</f>
      </c>
      <c r="BV87" t="str">
        <f>=IFERROR('IV. MA'!AF22,0)</f>
      </c>
    </row>
    <row r="88">
      <c r="BR88" t="str">
        <f>=$BB$8</f>
      </c>
      <c r="BS88" t="str">
        <f>=$BD$8</f>
      </c>
      <c r="BT88" t="s">
        <v>199</v>
      </c>
      <c r="BU88" t="str">
        <f>=IFERROR('IV. MA'!AE25,0)</f>
      </c>
      <c r="BV88" t="str">
        <f>=IFERROR('IV. MA'!AF25,0)</f>
      </c>
    </row>
    <row r="89">
      <c r="BR89" t="str">
        <f>=$BB$9</f>
      </c>
      <c r="BS89" t="str">
        <f>=$BD$9</f>
      </c>
      <c r="BT89" t="s">
        <v>205</v>
      </c>
      <c r="BU89" t="str">
        <f>=IFERROR('IV. MA'!AI10,0)</f>
      </c>
      <c r="BV89" t="str">
        <f>=IFERROR('IV. MA'!AJ10,0)</f>
      </c>
    </row>
    <row r="90">
      <c r="BR90" t="str">
        <f>=$BB$9</f>
      </c>
      <c r="BS90" t="str">
        <f>=$BD$9</f>
      </c>
      <c r="BT90" t="s">
        <v>210</v>
      </c>
      <c r="BU90" t="str">
        <f>=IFERROR('IV. MA'!AI11,0)</f>
      </c>
      <c r="BV90" t="str">
        <f>=IFERROR('IV. MA'!AJ11,0)</f>
      </c>
    </row>
    <row r="91">
      <c r="BR91" t="str">
        <f>=$BB$9</f>
      </c>
      <c r="BS91" t="str">
        <f>=$BD$9</f>
      </c>
      <c r="BT91" t="s">
        <v>213</v>
      </c>
      <c r="BU91" t="str">
        <f>=IFERROR('IV. MA'!AI12,0)</f>
      </c>
      <c r="BV91" t="str">
        <f>=IFERROR('IV. MA'!AJ12,0)</f>
      </c>
    </row>
    <row r="92">
      <c r="BR92" t="str">
        <f>=$BB$9</f>
      </c>
      <c r="BS92" t="str">
        <f>=$BD$9</f>
      </c>
      <c r="BT92" t="s">
        <v>218</v>
      </c>
      <c r="BU92" t="str">
        <f>=IFERROR('IV. MA'!AI13,0)</f>
      </c>
      <c r="BV92" t="str">
        <f>=IFERROR('IV. MA'!AJ13,0)</f>
      </c>
    </row>
    <row r="93">
      <c r="BR93" t="str">
        <f>=$BB$9</f>
      </c>
      <c r="BS93" t="str">
        <f>=$BD$9</f>
      </c>
      <c r="BT93" t="s">
        <v>221</v>
      </c>
      <c r="BU93" t="str">
        <f>=IFERROR('IV. MA'!AI14,0)</f>
      </c>
      <c r="BV93" t="str">
        <f>=IFERROR('IV. MA'!AJ14,0)</f>
      </c>
    </row>
    <row r="94">
      <c r="BR94" t="str">
        <f>=$BB$9</f>
      </c>
      <c r="BS94" t="str">
        <f>=$BD$9</f>
      </c>
      <c r="BT94" t="s">
        <v>224</v>
      </c>
      <c r="BU94" t="str">
        <f>=IFERROR('IV. MA'!AI15,0)</f>
      </c>
      <c r="BV94" t="str">
        <f>=IFERROR('IV. MA'!AJ15,0)</f>
      </c>
    </row>
    <row r="95">
      <c r="BR95" t="str">
        <f>=$BB$9</f>
      </c>
      <c r="BS95" t="str">
        <f>=$BD$9</f>
      </c>
      <c r="BT95" t="s">
        <v>227</v>
      </c>
      <c r="BU95" t="str">
        <f>=IFERROR('IV. MA'!AI16,0)</f>
      </c>
      <c r="BV95" t="str">
        <f>=IFERROR('IV. MA'!AJ16,0)</f>
      </c>
    </row>
    <row r="96">
      <c r="BR96" t="str">
        <f>=$BB$9</f>
      </c>
      <c r="BS96" t="str">
        <f>=$BD$9</f>
      </c>
      <c r="BT96" t="s">
        <v>230</v>
      </c>
      <c r="BU96" t="str">
        <f>=IFERROR('IV. MA'!AI17,0)</f>
      </c>
      <c r="BV96" t="str">
        <f>=IFERROR('IV. MA'!AJ17,0)</f>
      </c>
    </row>
    <row r="97">
      <c r="BR97" t="str">
        <f>=$BB$9</f>
      </c>
      <c r="BS97" t="str">
        <f>=$BD$9</f>
      </c>
      <c r="BT97" t="s">
        <v>194</v>
      </c>
      <c r="BU97" t="str">
        <f>=IFERROR('IV. MA'!AI21,0)</f>
      </c>
      <c r="BV97" t="str">
        <f>=IFERROR('IV. MA'!AJ21,0)</f>
      </c>
    </row>
    <row r="98">
      <c r="BR98" t="str">
        <f>=$BB$9</f>
      </c>
      <c r="BS98" t="str">
        <f>=$BD$9</f>
      </c>
      <c r="BT98" t="s">
        <v>300</v>
      </c>
      <c r="BU98" t="str">
        <f>=IFERROR('IV. MA'!AI22,0)</f>
      </c>
      <c r="BV98" t="str">
        <f>=IFERROR('IV. MA'!AJ22,0)</f>
      </c>
    </row>
    <row r="99">
      <c r="BR99" t="str">
        <f>=$BB$9</f>
      </c>
      <c r="BS99" t="str">
        <f>=$BD$9</f>
      </c>
      <c r="BT99" t="s">
        <v>199</v>
      </c>
      <c r="BU99" t="str">
        <f>=IFERROR('IV. MA'!AI25,0)</f>
      </c>
      <c r="BV99" t="str">
        <f>=IFERROR('IV. MA'!AJ25,0)</f>
      </c>
    </row>
    <row r="100">
      <c r="BR100" t="str">
        <f>=$BB$10</f>
      </c>
      <c r="BS100" t="str">
        <f>=$BD$10</f>
      </c>
      <c r="BT100" t="s">
        <v>205</v>
      </c>
      <c r="BU100" t="str">
        <f>=IFERROR('IV. MA'!AM10,0)</f>
      </c>
      <c r="BV100" t="str">
        <f>=IFERROR('IV. MA'!AN10,0)</f>
      </c>
    </row>
    <row r="101">
      <c r="BR101" t="str">
        <f>=$BB$10</f>
      </c>
      <c r="BS101" t="str">
        <f>=$BD$10</f>
      </c>
      <c r="BT101" t="s">
        <v>210</v>
      </c>
      <c r="BU101" t="str">
        <f>=IFERROR('IV. MA'!AM11,0)</f>
      </c>
      <c r="BV101" t="str">
        <f>=IFERROR('IV. MA'!AN11,0)</f>
      </c>
    </row>
    <row r="102">
      <c r="BR102" t="str">
        <f>=$BB$10</f>
      </c>
      <c r="BS102" t="str">
        <f>=$BD$10</f>
      </c>
      <c r="BT102" t="s">
        <v>213</v>
      </c>
      <c r="BU102" t="str">
        <f>=IFERROR('IV. MA'!AM12,0)</f>
      </c>
      <c r="BV102" t="str">
        <f>=IFERROR('IV. MA'!AN12,0)</f>
      </c>
    </row>
    <row r="103">
      <c r="BR103" t="str">
        <f>=$BB$10</f>
      </c>
      <c r="BS103" t="str">
        <f>=$BD$10</f>
      </c>
      <c r="BT103" t="s">
        <v>218</v>
      </c>
      <c r="BU103" t="str">
        <f>=IFERROR('IV. MA'!AM13,0)</f>
      </c>
      <c r="BV103" t="str">
        <f>=IFERROR('IV. MA'!AN13,0)</f>
      </c>
    </row>
    <row r="104">
      <c r="BR104" t="str">
        <f>=$BB$10</f>
      </c>
      <c r="BS104" t="str">
        <f>=$BD$10</f>
      </c>
      <c r="BT104" t="s">
        <v>221</v>
      </c>
      <c r="BU104" t="str">
        <f>=IFERROR('IV. MA'!AM14,0)</f>
      </c>
      <c r="BV104" t="str">
        <f>=IFERROR('IV. MA'!AN14,0)</f>
      </c>
    </row>
    <row r="105">
      <c r="BR105" t="str">
        <f>=$BB$10</f>
      </c>
      <c r="BS105" t="str">
        <f>=$BD$10</f>
      </c>
      <c r="BT105" t="s">
        <v>224</v>
      </c>
      <c r="BU105" t="str">
        <f>=IFERROR('IV. MA'!AM15,0)</f>
      </c>
      <c r="BV105" t="str">
        <f>=IFERROR('IV. MA'!AN15,0)</f>
      </c>
    </row>
    <row r="106">
      <c r="BR106" t="str">
        <f>=$BB$10</f>
      </c>
      <c r="BS106" t="str">
        <f>=$BD$10</f>
      </c>
      <c r="BT106" t="s">
        <v>227</v>
      </c>
      <c r="BU106" t="str">
        <f>=IFERROR('IV. MA'!AM16,0)</f>
      </c>
      <c r="BV106" t="str">
        <f>=IFERROR('IV. MA'!AN16,0)</f>
      </c>
    </row>
    <row r="107">
      <c r="BR107" t="str">
        <f>=$BB$10</f>
      </c>
      <c r="BS107" t="str">
        <f>=$BD$10</f>
      </c>
      <c r="BT107" t="s">
        <v>230</v>
      </c>
      <c r="BU107" t="str">
        <f>=IFERROR('IV. MA'!AM17,0)</f>
      </c>
      <c r="BV107" t="str">
        <f>=IFERROR('IV. MA'!AN17,0)</f>
      </c>
    </row>
    <row r="108">
      <c r="BR108" t="str">
        <f>=$BB$10</f>
      </c>
      <c r="BS108" t="str">
        <f>=$BD$10</f>
      </c>
      <c r="BT108" t="s">
        <v>194</v>
      </c>
      <c r="BU108" t="str">
        <f>=IFERROR('IV. MA'!AM21,0)</f>
      </c>
      <c r="BV108" t="str">
        <f>=IFERROR('IV. MA'!AN21,0)</f>
      </c>
    </row>
    <row r="109">
      <c r="BR109" t="str">
        <f>=$BB$10</f>
      </c>
      <c r="BS109" t="str">
        <f>=$BD$10</f>
      </c>
      <c r="BT109" t="s">
        <v>300</v>
      </c>
      <c r="BU109" t="str">
        <f>=IFERROR('IV. MA'!AM22,0)</f>
      </c>
      <c r="BV109" t="str">
        <f>=IFERROR('IV. MA'!AN22,0)</f>
      </c>
    </row>
    <row r="110">
      <c r="BR110" t="str">
        <f>=$BB$10</f>
      </c>
      <c r="BS110" t="str">
        <f>=$BD$10</f>
      </c>
      <c r="BT110" t="s">
        <v>199</v>
      </c>
      <c r="BU110" t="str">
        <f>=IFERROR('IV. MA'!AM25,0)</f>
      </c>
      <c r="BV110" t="str">
        <f>=IFERROR('IV. MA'!AN25,0)</f>
      </c>
    </row>
    <row r="111">
      <c r="BR111" t="str">
        <f>=$BB$11</f>
      </c>
      <c r="BS111" t="str">
        <f>=$BD$11</f>
      </c>
      <c r="BT111" t="s">
        <v>205</v>
      </c>
      <c r="BU111" t="str">
        <f>=IFERROR('IV. MA'!AQ10,0)</f>
      </c>
      <c r="BV111" t="str">
        <f>=IFERROR('IV. MA'!AR10,0)</f>
      </c>
    </row>
    <row r="112">
      <c r="BR112" t="str">
        <f>=$BB$11</f>
      </c>
      <c r="BS112" t="str">
        <f>=$BD$11</f>
      </c>
      <c r="BT112" t="s">
        <v>210</v>
      </c>
      <c r="BU112" t="str">
        <f>=IFERROR('IV. MA'!AQ11,0)</f>
      </c>
      <c r="BV112" t="str">
        <f>=IFERROR('IV. MA'!AR11,0)</f>
      </c>
    </row>
    <row r="113">
      <c r="BR113" t="str">
        <f>=$BB$11</f>
      </c>
      <c r="BS113" t="str">
        <f>=$BD$11</f>
      </c>
      <c r="BT113" t="s">
        <v>213</v>
      </c>
      <c r="BU113" t="str">
        <f>=IFERROR('IV. MA'!AQ12,0)</f>
      </c>
      <c r="BV113" t="str">
        <f>=IFERROR('IV. MA'!AR12,0)</f>
      </c>
    </row>
    <row r="114">
      <c r="BR114" t="str">
        <f>=$BB$11</f>
      </c>
      <c r="BS114" t="str">
        <f>=$BD$11</f>
      </c>
      <c r="BT114" t="s">
        <v>218</v>
      </c>
      <c r="BU114" t="str">
        <f>=IFERROR('IV. MA'!AQ13,0)</f>
      </c>
      <c r="BV114" t="str">
        <f>=IFERROR('IV. MA'!AR13,0)</f>
      </c>
    </row>
    <row r="115">
      <c r="BR115" t="str">
        <f>=$BB$11</f>
      </c>
      <c r="BS115" t="str">
        <f>=$BD$11</f>
      </c>
      <c r="BT115" t="s">
        <v>221</v>
      </c>
      <c r="BU115" t="str">
        <f>=IFERROR('IV. MA'!AQ14,0)</f>
      </c>
      <c r="BV115" t="str">
        <f>=IFERROR('IV. MA'!AR14,0)</f>
      </c>
    </row>
    <row r="116">
      <c r="BR116" t="str">
        <f>=$BB$11</f>
      </c>
      <c r="BS116" t="str">
        <f>=$BD$11</f>
      </c>
      <c r="BT116" t="s">
        <v>224</v>
      </c>
      <c r="BU116" t="str">
        <f>=IFERROR('IV. MA'!AQ15,0)</f>
      </c>
      <c r="BV116" t="str">
        <f>=IFERROR('IV. MA'!AR15,0)</f>
      </c>
    </row>
    <row r="117">
      <c r="BR117" t="str">
        <f>=$BB$11</f>
      </c>
      <c r="BS117" t="str">
        <f>=$BD$11</f>
      </c>
      <c r="BT117" t="s">
        <v>227</v>
      </c>
      <c r="BU117" t="str">
        <f>=IFERROR('IV. MA'!AQ16,0)</f>
      </c>
      <c r="BV117" t="str">
        <f>=IFERROR('IV. MA'!AR16,0)</f>
      </c>
    </row>
    <row r="118">
      <c r="BR118" t="str">
        <f>=$BB$11</f>
      </c>
      <c r="BS118" t="str">
        <f>=$BD$11</f>
      </c>
      <c r="BT118" t="s">
        <v>230</v>
      </c>
      <c r="BU118" t="str">
        <f>=IFERROR('IV. MA'!AQ17,0)</f>
      </c>
      <c r="BV118" t="str">
        <f>=IFERROR('IV. MA'!AR17,0)</f>
      </c>
    </row>
    <row r="119">
      <c r="BR119" t="str">
        <f>=$BB$11</f>
      </c>
      <c r="BS119" t="str">
        <f>=$BD$11</f>
      </c>
      <c r="BT119" t="s">
        <v>194</v>
      </c>
      <c r="BU119" t="str">
        <f>=IFERROR('IV. MA'!AQ21,0)</f>
      </c>
      <c r="BV119" t="str">
        <f>=IFERROR('IV. MA'!AR21,0)</f>
      </c>
    </row>
    <row r="120">
      <c r="BR120" t="str">
        <f>=$BB$11</f>
      </c>
      <c r="BS120" t="str">
        <f>=$BD$11</f>
      </c>
      <c r="BT120" t="s">
        <v>300</v>
      </c>
      <c r="BU120" t="str">
        <f>=IFERROR('IV. MA'!AQ22,0)</f>
      </c>
      <c r="BV120" t="str">
        <f>=IFERROR('IV. MA'!AR22,0)</f>
      </c>
    </row>
    <row r="121">
      <c r="BR121" t="str">
        <f>=$BB$11</f>
      </c>
      <c r="BS121" t="str">
        <f>=$BD$11</f>
      </c>
      <c r="BT121" t="s">
        <v>199</v>
      </c>
      <c r="BU121" t="str">
        <f>=IFERROR('IV. MA'!AQ25,0)</f>
      </c>
      <c r="BV121" t="str">
        <f>=IFERROR('IV. MA'!AR25,0)</f>
      </c>
    </row>
    <row r="122">
      <c r="BR122" t="str">
        <f>=$BB$12</f>
      </c>
      <c r="BS122" t="str">
        <f>=$BD$12</f>
      </c>
      <c r="BT122" t="s">
        <v>205</v>
      </c>
      <c r="BU122" t="str">
        <f>=IFERROR('IV. MA'!AU10,0)</f>
      </c>
      <c r="BV122" t="str">
        <f>=IFERROR('IV. MA'!AV10,0)</f>
      </c>
    </row>
    <row r="123">
      <c r="BR123" t="str">
        <f>=$BB$12</f>
      </c>
      <c r="BS123" t="str">
        <f>=$BD$12</f>
      </c>
      <c r="BT123" t="s">
        <v>210</v>
      </c>
      <c r="BU123" t="str">
        <f>=IFERROR('IV. MA'!AU11,0)</f>
      </c>
      <c r="BV123" t="str">
        <f>=IFERROR('IV. MA'!AV11,0)</f>
      </c>
    </row>
    <row r="124">
      <c r="BR124" t="str">
        <f>=$BB$12</f>
      </c>
      <c r="BS124" t="str">
        <f>=$BD$12</f>
      </c>
      <c r="BT124" t="s">
        <v>213</v>
      </c>
      <c r="BU124" t="str">
        <f>=IFERROR('IV. MA'!AU12,0)</f>
      </c>
      <c r="BV124" t="str">
        <f>=IFERROR('IV. MA'!AV12,0)</f>
      </c>
    </row>
    <row r="125">
      <c r="BR125" t="str">
        <f>=$BB$12</f>
      </c>
      <c r="BS125" t="str">
        <f>=$BD$12</f>
      </c>
      <c r="BT125" t="s">
        <v>218</v>
      </c>
      <c r="BU125" t="str">
        <f>=IFERROR('IV. MA'!AU13,0)</f>
      </c>
      <c r="BV125" t="str">
        <f>=IFERROR('IV. MA'!AV13,0)</f>
      </c>
    </row>
    <row r="126">
      <c r="BR126" t="str">
        <f>=$BB$12</f>
      </c>
      <c r="BS126" t="str">
        <f>=$BD$12</f>
      </c>
      <c r="BT126" t="s">
        <v>221</v>
      </c>
      <c r="BU126" t="str">
        <f>=IFERROR('IV. MA'!AU14,0)</f>
      </c>
      <c r="BV126" t="str">
        <f>=IFERROR('IV. MA'!AV14,0)</f>
      </c>
    </row>
    <row r="127">
      <c r="BR127" t="str">
        <f>=$BB$12</f>
      </c>
      <c r="BS127" t="str">
        <f>=$BD$12</f>
      </c>
      <c r="BT127" t="s">
        <v>224</v>
      </c>
      <c r="BU127" t="str">
        <f>=IFERROR('IV. MA'!AU15,0)</f>
      </c>
      <c r="BV127" t="str">
        <f>=IFERROR('IV. MA'!AV15,0)</f>
      </c>
    </row>
    <row r="128">
      <c r="BR128" t="str">
        <f>=$BB$12</f>
      </c>
      <c r="BS128" t="str">
        <f>=$BD$12</f>
      </c>
      <c r="BT128" t="s">
        <v>227</v>
      </c>
      <c r="BU128" t="str">
        <f>=IFERROR('IV. MA'!AU16,0)</f>
      </c>
      <c r="BV128" t="str">
        <f>=IFERROR('IV. MA'!AV16,0)</f>
      </c>
    </row>
    <row r="129">
      <c r="BR129" t="str">
        <f>=$BB$12</f>
      </c>
      <c r="BS129" t="str">
        <f>=$BD$12</f>
      </c>
      <c r="BT129" t="s">
        <v>230</v>
      </c>
      <c r="BU129" t="str">
        <f>=IFERROR('IV. MA'!AU17,0)</f>
      </c>
      <c r="BV129" t="str">
        <f>=IFERROR('IV. MA'!AV17,0)</f>
      </c>
    </row>
    <row r="130">
      <c r="BR130" t="str">
        <f>=$BB$12</f>
      </c>
      <c r="BS130" t="str">
        <f>=$BD$12</f>
      </c>
      <c r="BT130" t="s">
        <v>194</v>
      </c>
      <c r="BU130" t="str">
        <f>=IFERROR('IV. MA'!AU21,0)</f>
      </c>
      <c r="BV130" t="str">
        <f>=IFERROR('IV. MA'!AV21,0)</f>
      </c>
    </row>
    <row r="131">
      <c r="BR131" t="str">
        <f>=$BB$12</f>
      </c>
      <c r="BS131" t="str">
        <f>=$BD$12</f>
      </c>
      <c r="BT131" t="s">
        <v>300</v>
      </c>
      <c r="BU131" t="str">
        <f>=IFERROR('IV. MA'!AU22,0)</f>
      </c>
      <c r="BV131" t="str">
        <f>=IFERROR('IV. MA'!AV22,0)</f>
      </c>
    </row>
    <row r="132">
      <c r="BR132" t="str">
        <f>=$BB$12</f>
      </c>
      <c r="BS132" t="str">
        <f>=$BD$12</f>
      </c>
      <c r="BT132" t="s">
        <v>199</v>
      </c>
      <c r="BU132" t="str">
        <f>=IFERROR('IV. MA'!AU25,0)</f>
      </c>
      <c r="BV132" t="str">
        <f>=IFERROR('IV. MA'!AV25,0)</f>
      </c>
    </row>
    <row r="133">
      <c r="BR133" t="str">
        <f>=$BB$13</f>
      </c>
      <c r="BS133" t="str">
        <f>=$BD$13</f>
      </c>
      <c r="BT133" t="s">
        <v>205</v>
      </c>
      <c r="BU133" t="str">
        <f>=IFERROR('IV. MA'!AY10,0)</f>
      </c>
      <c r="BV133" t="str">
        <f>=IFERROR('IV. MA'!AZ10,0)</f>
      </c>
    </row>
    <row r="134">
      <c r="BR134" t="str">
        <f>=$BB$13</f>
      </c>
      <c r="BS134" t="str">
        <f>=$BD$13</f>
      </c>
      <c r="BT134" t="s">
        <v>210</v>
      </c>
      <c r="BU134" t="str">
        <f>=IFERROR('IV. MA'!AY11,0)</f>
      </c>
      <c r="BV134" t="str">
        <f>=IFERROR('IV. MA'!AZ11,0)</f>
      </c>
    </row>
    <row r="135">
      <c r="BR135" t="str">
        <f>=$BB$13</f>
      </c>
      <c r="BS135" t="str">
        <f>=$BD$13</f>
      </c>
      <c r="BT135" t="s">
        <v>213</v>
      </c>
      <c r="BU135" t="str">
        <f>=IFERROR('IV. MA'!AY12,0)</f>
      </c>
      <c r="BV135" t="str">
        <f>=IFERROR('IV. MA'!AZ12,0)</f>
      </c>
    </row>
    <row r="136">
      <c r="BR136" t="str">
        <f>=$BB$13</f>
      </c>
      <c r="BS136" t="str">
        <f>=$BD$13</f>
      </c>
      <c r="BT136" t="s">
        <v>218</v>
      </c>
      <c r="BU136" t="str">
        <f>=IFERROR('IV. MA'!AY13,0)</f>
      </c>
      <c r="BV136" t="str">
        <f>=IFERROR('IV. MA'!AZ13,0)</f>
      </c>
    </row>
    <row r="137">
      <c r="BR137" t="str">
        <f>=$BB$13</f>
      </c>
      <c r="BS137" t="str">
        <f>=$BD$13</f>
      </c>
      <c r="BT137" t="s">
        <v>221</v>
      </c>
      <c r="BU137" t="str">
        <f>=IFERROR('IV. MA'!AY14,0)</f>
      </c>
      <c r="BV137" t="str">
        <f>=IFERROR('IV. MA'!AZ14,0)</f>
      </c>
    </row>
    <row r="138">
      <c r="BR138" t="str">
        <f>=$BB$13</f>
      </c>
      <c r="BS138" t="str">
        <f>=$BD$13</f>
      </c>
      <c r="BT138" t="s">
        <v>224</v>
      </c>
      <c r="BU138" t="str">
        <f>=IFERROR('IV. MA'!AY15,0)</f>
      </c>
      <c r="BV138" t="str">
        <f>=IFERROR('IV. MA'!AZ15,0)</f>
      </c>
    </row>
    <row r="139">
      <c r="BR139" t="str">
        <f>=$BB$13</f>
      </c>
      <c r="BS139" t="str">
        <f>=$BD$13</f>
      </c>
      <c r="BT139" t="s">
        <v>227</v>
      </c>
      <c r="BU139" t="str">
        <f>=IFERROR('IV. MA'!AY16,0)</f>
      </c>
      <c r="BV139" t="str">
        <f>=IFERROR('IV. MA'!AZ16,0)</f>
      </c>
    </row>
    <row r="140">
      <c r="BR140" t="str">
        <f>=$BB$13</f>
      </c>
      <c r="BS140" t="str">
        <f>=$BD$13</f>
      </c>
      <c r="BT140" t="s">
        <v>230</v>
      </c>
      <c r="BU140" t="str">
        <f>=IFERROR('IV. MA'!AY17,0)</f>
      </c>
      <c r="BV140" t="str">
        <f>=IFERROR('IV. MA'!AZ17,0)</f>
      </c>
    </row>
    <row r="141">
      <c r="BR141" t="str">
        <f>=$BB$13</f>
      </c>
      <c r="BS141" t="str">
        <f>=$BD$13</f>
      </c>
      <c r="BT141" t="s">
        <v>194</v>
      </c>
      <c r="BU141" t="str">
        <f>=IFERROR('IV. MA'!AY21,0)</f>
      </c>
      <c r="BV141" t="str">
        <f>=IFERROR('IV. MA'!AZ21,0)</f>
      </c>
    </row>
    <row r="142">
      <c r="BR142" t="str">
        <f>=$BB$13</f>
      </c>
      <c r="BS142" t="str">
        <f>=$BD$13</f>
      </c>
      <c r="BT142" t="s">
        <v>300</v>
      </c>
      <c r="BU142" t="str">
        <f>=IFERROR('IV. MA'!AY22,0)</f>
      </c>
      <c r="BV142" t="str">
        <f>=IFERROR('IV. MA'!AZ22,0)</f>
      </c>
    </row>
    <row r="143">
      <c r="BR143" t="str">
        <f>=$BB$13</f>
      </c>
      <c r="BS143" t="str">
        <f>=$BD$13</f>
      </c>
      <c r="BT143" t="s">
        <v>199</v>
      </c>
      <c r="BU143" t="str">
        <f>=IFERROR('IV. MA'!AY25,0)</f>
      </c>
      <c r="BV143" t="str">
        <f>=IFERROR('IV. MA'!AZ25,0)</f>
      </c>
    </row>
    <row r="144">
      <c r="BR144" t="str">
        <f>=$BB$14</f>
      </c>
      <c r="BS144" t="str">
        <f>=$BD$14</f>
      </c>
      <c r="BT144" t="s">
        <v>205</v>
      </c>
      <c r="BU144" t="str">
        <f>=IFERROR('IV. MA'!BC10,0)</f>
      </c>
      <c r="BV144" t="str">
        <f>=IFERROR('IV. MA'!BD10,0)</f>
      </c>
    </row>
    <row r="145">
      <c r="BR145" t="str">
        <f>=$BB$14</f>
      </c>
      <c r="BS145" t="str">
        <f>=$BD$14</f>
      </c>
      <c r="BT145" t="s">
        <v>210</v>
      </c>
      <c r="BU145" t="str">
        <f>=IFERROR('IV. MA'!BC11,0)</f>
      </c>
      <c r="BV145" t="str">
        <f>=IFERROR('IV. MA'!BD11,0)</f>
      </c>
    </row>
    <row r="146">
      <c r="BR146" t="str">
        <f>=$BB$14</f>
      </c>
      <c r="BS146" t="str">
        <f>=$BD$14</f>
      </c>
      <c r="BT146" t="s">
        <v>213</v>
      </c>
      <c r="BU146" t="str">
        <f>=IFERROR('IV. MA'!BC12,0)</f>
      </c>
      <c r="BV146" t="str">
        <f>=IFERROR('IV. MA'!BD12,0)</f>
      </c>
    </row>
    <row r="147">
      <c r="BR147" t="str">
        <f>=$BB$14</f>
      </c>
      <c r="BS147" t="str">
        <f>=$BD$14</f>
      </c>
      <c r="BT147" t="s">
        <v>218</v>
      </c>
      <c r="BU147" t="str">
        <f>=IFERROR('IV. MA'!BC13,0)</f>
      </c>
      <c r="BV147" t="str">
        <f>=IFERROR('IV. MA'!BD13,0)</f>
      </c>
    </row>
    <row r="148">
      <c r="BR148" t="str">
        <f>=$BB$14</f>
      </c>
      <c r="BS148" t="str">
        <f>=$BD$14</f>
      </c>
      <c r="BT148" t="s">
        <v>221</v>
      </c>
      <c r="BU148" t="str">
        <f>=IFERROR('IV. MA'!BC14,0)</f>
      </c>
      <c r="BV148" t="str">
        <f>=IFERROR('IV. MA'!BD14,0)</f>
      </c>
    </row>
    <row r="149">
      <c r="BR149" t="str">
        <f>=$BB$14</f>
      </c>
      <c r="BS149" t="str">
        <f>=$BD$14</f>
      </c>
      <c r="BT149" t="s">
        <v>224</v>
      </c>
      <c r="BU149" t="str">
        <f>=IFERROR('IV. MA'!BC15,0)</f>
      </c>
      <c r="BV149" t="str">
        <f>=IFERROR('IV. MA'!BD15,0)</f>
      </c>
    </row>
    <row r="150">
      <c r="BR150" t="str">
        <f>=$BB$14</f>
      </c>
      <c r="BS150" t="str">
        <f>=$BD$14</f>
      </c>
      <c r="BT150" t="s">
        <v>227</v>
      </c>
      <c r="BU150" t="str">
        <f>=IFERROR('IV. MA'!BC16,0)</f>
      </c>
      <c r="BV150" t="str">
        <f>=IFERROR('IV. MA'!BD16,0)</f>
      </c>
    </row>
    <row r="151">
      <c r="BR151" t="str">
        <f>=$BB$14</f>
      </c>
      <c r="BS151" t="str">
        <f>=$BD$14</f>
      </c>
      <c r="BT151" t="s">
        <v>230</v>
      </c>
      <c r="BU151" t="str">
        <f>=IFERROR('IV. MA'!BC17,0)</f>
      </c>
      <c r="BV151" t="str">
        <f>=IFERROR('IV. MA'!BD17,0)</f>
      </c>
    </row>
    <row r="152">
      <c r="BR152" t="str">
        <f>=$BB$14</f>
      </c>
      <c r="BS152" t="str">
        <f>=$BD$14</f>
      </c>
      <c r="BT152" t="s">
        <v>194</v>
      </c>
      <c r="BU152" t="str">
        <f>=IFERROR('IV. MA'!BC21,0)</f>
      </c>
      <c r="BV152" t="str">
        <f>=IFERROR('IV. MA'!BD21,0)</f>
      </c>
    </row>
    <row r="153">
      <c r="BR153" t="str">
        <f>=$BB$14</f>
      </c>
      <c r="BS153" t="str">
        <f>=$BD$14</f>
      </c>
      <c r="BT153" t="s">
        <v>300</v>
      </c>
      <c r="BU153" t="str">
        <f>=IFERROR('IV. MA'!BC22,0)</f>
      </c>
      <c r="BV153" t="str">
        <f>=IFERROR('IV. MA'!BD22,0)</f>
      </c>
    </row>
    <row r="154">
      <c r="BR154" t="str">
        <f>=$BB$14</f>
      </c>
      <c r="BS154" t="str">
        <f>=$BD$14</f>
      </c>
      <c r="BT154" t="s">
        <v>199</v>
      </c>
      <c r="BU154" t="str">
        <f>=IFERROR('IV. MA'!BC25,0)</f>
      </c>
      <c r="BV154" t="str">
        <f>=IFERROR('IV. MA'!BD25,0)</f>
      </c>
    </row>
    <row r="155">
      <c r="BR155" t="str">
        <f>=$BB$15</f>
      </c>
      <c r="BS155" t="str">
        <f>=$BD$15</f>
      </c>
      <c r="BT155" t="s">
        <v>205</v>
      </c>
      <c r="BU155" t="str">
        <f>=IFERROR('IV. MA'!BG10,0)</f>
      </c>
      <c r="BV155" t="str">
        <f>=IFERROR('IV. MA'!BH10,0)</f>
      </c>
    </row>
    <row r="156">
      <c r="BR156" t="str">
        <f>=$BB$15</f>
      </c>
      <c r="BS156" t="str">
        <f>=$BD$15</f>
      </c>
      <c r="BT156" t="s">
        <v>210</v>
      </c>
      <c r="BU156" t="str">
        <f>=IFERROR('IV. MA'!BG11,0)</f>
      </c>
      <c r="BV156" t="str">
        <f>=IFERROR('IV. MA'!BH11,0)</f>
      </c>
    </row>
    <row r="157">
      <c r="BR157" t="str">
        <f>=$BB$15</f>
      </c>
      <c r="BS157" t="str">
        <f>=$BD$15</f>
      </c>
      <c r="BT157" t="s">
        <v>213</v>
      </c>
      <c r="BU157" t="str">
        <f>=IFERROR('IV. MA'!BG12,0)</f>
      </c>
      <c r="BV157" t="str">
        <f>=IFERROR('IV. MA'!BH12,0)</f>
      </c>
    </row>
    <row r="158">
      <c r="BR158" t="str">
        <f>=$BB$15</f>
      </c>
      <c r="BS158" t="str">
        <f>=$BD$15</f>
      </c>
      <c r="BT158" t="s">
        <v>218</v>
      </c>
      <c r="BU158" t="str">
        <f>=IFERROR('IV. MA'!BG13,0)</f>
      </c>
      <c r="BV158" t="str">
        <f>=IFERROR('IV. MA'!BH13,0)</f>
      </c>
    </row>
    <row r="159">
      <c r="BR159" t="str">
        <f>=$BB$15</f>
      </c>
      <c r="BS159" t="str">
        <f>=$BD$15</f>
      </c>
      <c r="BT159" t="s">
        <v>221</v>
      </c>
      <c r="BU159" t="str">
        <f>=IFERROR('IV. MA'!BG14,0)</f>
      </c>
      <c r="BV159" t="str">
        <f>=IFERROR('IV. MA'!BH14,0)</f>
      </c>
    </row>
    <row r="160">
      <c r="BR160" t="str">
        <f>=$BB$15</f>
      </c>
      <c r="BS160" t="str">
        <f>=$BD$15</f>
      </c>
      <c r="BT160" t="s">
        <v>224</v>
      </c>
      <c r="BU160" t="str">
        <f>=IFERROR('IV. MA'!BG15,0)</f>
      </c>
      <c r="BV160" t="str">
        <f>=IFERROR('IV. MA'!BH15,0)</f>
      </c>
    </row>
    <row r="161">
      <c r="BR161" t="str">
        <f>=$BB$15</f>
      </c>
      <c r="BS161" t="str">
        <f>=$BD$15</f>
      </c>
      <c r="BT161" t="s">
        <v>227</v>
      </c>
      <c r="BU161" t="str">
        <f>=IFERROR('IV. MA'!BG16,0)</f>
      </c>
      <c r="BV161" t="str">
        <f>=IFERROR('IV. MA'!BH16,0)</f>
      </c>
    </row>
    <row r="162">
      <c r="BR162" t="str">
        <f>=$BB$15</f>
      </c>
      <c r="BS162" t="str">
        <f>=$BD$15</f>
      </c>
      <c r="BT162" t="s">
        <v>230</v>
      </c>
      <c r="BU162" t="str">
        <f>=IFERROR('IV. MA'!BG17,0)</f>
      </c>
      <c r="BV162" t="str">
        <f>=IFERROR('IV. MA'!BH17,0)</f>
      </c>
    </row>
    <row r="163">
      <c r="BR163" t="str">
        <f>=$BB$15</f>
      </c>
      <c r="BS163" t="str">
        <f>=$BD$15</f>
      </c>
      <c r="BT163" t="s">
        <v>194</v>
      </c>
      <c r="BU163" t="str">
        <f>=IFERROR('IV. MA'!BG21,0)</f>
      </c>
      <c r="BV163" t="str">
        <f>=IFERROR('IV. MA'!BH21,0)</f>
      </c>
    </row>
    <row r="164">
      <c r="BR164" t="str">
        <f>=$BB$15</f>
      </c>
      <c r="BS164" t="str">
        <f>=$BD$15</f>
      </c>
      <c r="BT164" t="s">
        <v>300</v>
      </c>
      <c r="BU164" t="str">
        <f>=IFERROR('IV. MA'!BG22,0)</f>
      </c>
      <c r="BV164" t="str">
        <f>=IFERROR('IV. MA'!BH22,0)</f>
      </c>
    </row>
    <row r="165">
      <c r="BR165" t="str">
        <f>=$BB$15</f>
      </c>
      <c r="BS165" t="str">
        <f>=$BD$15</f>
      </c>
      <c r="BT165" t="s">
        <v>199</v>
      </c>
      <c r="BU165" t="str">
        <f>=IFERROR('IV. MA'!BG25,0)</f>
      </c>
      <c r="BV165" t="str">
        <f>=IFERROR('IV. MA'!BH25,0)</f>
      </c>
    </row>
    <row r="166">
      <c r="BR166" t="str">
        <f>=$BB$16</f>
      </c>
      <c r="BS166" t="str">
        <f>=$BD$16</f>
      </c>
      <c r="BT166" t="s">
        <v>205</v>
      </c>
      <c r="BU166" t="str">
        <f>=IFERROR('IV. MA'!BK10,0)</f>
      </c>
      <c r="BV166" t="str">
        <f>=IFERROR('IV. MA'!BL10,0)</f>
      </c>
    </row>
    <row r="167">
      <c r="BR167" t="str">
        <f>=$BB$16</f>
      </c>
      <c r="BS167" t="str">
        <f>=$BD$16</f>
      </c>
      <c r="BT167" t="s">
        <v>210</v>
      </c>
      <c r="BU167" t="str">
        <f>=IFERROR('IV. MA'!BK11,0)</f>
      </c>
      <c r="BV167" t="str">
        <f>=IFERROR('IV. MA'!BL11,0)</f>
      </c>
    </row>
    <row r="168">
      <c r="BR168" t="str">
        <f>=$BB$16</f>
      </c>
      <c r="BS168" t="str">
        <f>=$BD$16</f>
      </c>
      <c r="BT168" t="s">
        <v>213</v>
      </c>
      <c r="BU168" t="str">
        <f>=IFERROR('IV. MA'!BK12,0)</f>
      </c>
      <c r="BV168" t="str">
        <f>=IFERROR('IV. MA'!BL12,0)</f>
      </c>
    </row>
    <row r="169">
      <c r="BR169" t="str">
        <f>=$BB$16</f>
      </c>
      <c r="BS169" t="str">
        <f>=$BD$16</f>
      </c>
      <c r="BT169" t="s">
        <v>218</v>
      </c>
      <c r="BU169" t="str">
        <f>=IFERROR('IV. MA'!BK13,0)</f>
      </c>
      <c r="BV169" t="str">
        <f>=IFERROR('IV. MA'!BL13,0)</f>
      </c>
    </row>
    <row r="170">
      <c r="BR170" t="str">
        <f>=$BB$16</f>
      </c>
      <c r="BS170" t="str">
        <f>=$BD$16</f>
      </c>
      <c r="BT170" t="s">
        <v>221</v>
      </c>
      <c r="BU170" t="str">
        <f>=IFERROR('IV. MA'!BK14,0)</f>
      </c>
      <c r="BV170" t="str">
        <f>=IFERROR('IV. MA'!BL14,0)</f>
      </c>
    </row>
    <row r="171">
      <c r="BR171" t="str">
        <f>=$BB$16</f>
      </c>
      <c r="BS171" t="str">
        <f>=$BD$16</f>
      </c>
      <c r="BT171" t="s">
        <v>224</v>
      </c>
      <c r="BU171" t="str">
        <f>=IFERROR('IV. MA'!BK15,0)</f>
      </c>
      <c r="BV171" t="str">
        <f>=IFERROR('IV. MA'!BL15,0)</f>
      </c>
    </row>
    <row r="172">
      <c r="BR172" t="str">
        <f>=$BB$16</f>
      </c>
      <c r="BS172" t="str">
        <f>=$BD$16</f>
      </c>
      <c r="BT172" t="s">
        <v>227</v>
      </c>
      <c r="BU172" t="str">
        <f>=IFERROR('IV. MA'!BK16,0)</f>
      </c>
      <c r="BV172" t="str">
        <f>=IFERROR('IV. MA'!BL16,0)</f>
      </c>
    </row>
    <row r="173">
      <c r="BR173" t="str">
        <f>=$BB$16</f>
      </c>
      <c r="BS173" t="str">
        <f>=$BD$16</f>
      </c>
      <c r="BT173" t="s">
        <v>230</v>
      </c>
      <c r="BU173" t="str">
        <f>=IFERROR('IV. MA'!BK17,0)</f>
      </c>
      <c r="BV173" t="str">
        <f>=IFERROR('IV. MA'!BL17,0)</f>
      </c>
    </row>
    <row r="174">
      <c r="BR174" t="str">
        <f>=$BB$16</f>
      </c>
      <c r="BS174" t="str">
        <f>=$BD$16</f>
      </c>
      <c r="BT174" t="s">
        <v>194</v>
      </c>
      <c r="BU174" t="str">
        <f>=IFERROR('IV. MA'!BK21,0)</f>
      </c>
      <c r="BV174" t="str">
        <f>=IFERROR('IV. MA'!BL21,0)</f>
      </c>
    </row>
    <row r="175">
      <c r="BR175" t="str">
        <f>=$BB$16</f>
      </c>
      <c r="BS175" t="str">
        <f>=$BD$16</f>
      </c>
      <c r="BT175" t="s">
        <v>300</v>
      </c>
      <c r="BU175" t="str">
        <f>=IFERROR('IV. MA'!BK22,0)</f>
      </c>
      <c r="BV175" t="str">
        <f>=IFERROR('IV. MA'!BL22,0)</f>
      </c>
    </row>
    <row r="176">
      <c r="BR176" t="str">
        <f>=$BB$16</f>
      </c>
      <c r="BS176" t="str">
        <f>=$BD$16</f>
      </c>
      <c r="BT176" t="s">
        <v>199</v>
      </c>
      <c r="BU176" t="str">
        <f>=IFERROR('IV. MA'!BK25,0)</f>
      </c>
      <c r="BV176" t="str">
        <f>=IFERROR('IV. MA'!BL25,0)</f>
      </c>
    </row>
    <row r="177">
      <c r="BR177" t="str">
        <f>=$BB$17</f>
      </c>
      <c r="BS177" t="str">
        <f>=$BD$17</f>
      </c>
      <c r="BT177" t="s">
        <v>205</v>
      </c>
      <c r="BU177" t="str">
        <f>=IFERROR('IV. MA'!BO10,0)</f>
      </c>
      <c r="BV177" t="str">
        <f>=IFERROR('IV. MA'!BP10,0)</f>
      </c>
    </row>
    <row r="178">
      <c r="BR178" t="str">
        <f>=$BB$17</f>
      </c>
      <c r="BS178" t="str">
        <f>=$BD$17</f>
      </c>
      <c r="BT178" t="s">
        <v>210</v>
      </c>
      <c r="BU178" t="str">
        <f>=IFERROR('IV. MA'!BO11,0)</f>
      </c>
      <c r="BV178" t="str">
        <f>=IFERROR('IV. MA'!BP11,0)</f>
      </c>
    </row>
    <row r="179">
      <c r="BR179" t="str">
        <f>=$BB$17</f>
      </c>
      <c r="BS179" t="str">
        <f>=$BD$17</f>
      </c>
      <c r="BT179" t="s">
        <v>213</v>
      </c>
      <c r="BU179" t="str">
        <f>=IFERROR('IV. MA'!BO12,0)</f>
      </c>
      <c r="BV179" t="str">
        <f>=IFERROR('IV. MA'!BP12,0)</f>
      </c>
    </row>
    <row r="180">
      <c r="BR180" t="str">
        <f>=$BB$17</f>
      </c>
      <c r="BS180" t="str">
        <f>=$BD$17</f>
      </c>
      <c r="BT180" t="s">
        <v>218</v>
      </c>
      <c r="BU180" t="str">
        <f>=IFERROR('IV. MA'!BO13,0)</f>
      </c>
      <c r="BV180" t="str">
        <f>=IFERROR('IV. MA'!BP13,0)</f>
      </c>
    </row>
    <row r="181">
      <c r="BR181" t="str">
        <f>=$BB$17</f>
      </c>
      <c r="BS181" t="str">
        <f>=$BD$17</f>
      </c>
      <c r="BT181" t="s">
        <v>221</v>
      </c>
      <c r="BU181" t="str">
        <f>=IFERROR('IV. MA'!BO14,0)</f>
      </c>
      <c r="BV181" t="str">
        <f>=IFERROR('IV. MA'!BP14,0)</f>
      </c>
    </row>
    <row r="182">
      <c r="BR182" t="str">
        <f>=$BB$17</f>
      </c>
      <c r="BS182" t="str">
        <f>=$BD$17</f>
      </c>
      <c r="BT182" t="s">
        <v>224</v>
      </c>
      <c r="BU182" t="str">
        <f>=IFERROR('IV. MA'!BO15,0)</f>
      </c>
      <c r="BV182" t="str">
        <f>=IFERROR('IV. MA'!BP15,0)</f>
      </c>
    </row>
    <row r="183">
      <c r="BR183" t="str">
        <f>=$BB$17</f>
      </c>
      <c r="BS183" t="str">
        <f>=$BD$17</f>
      </c>
      <c r="BT183" t="s">
        <v>227</v>
      </c>
      <c r="BU183" t="str">
        <f>=IFERROR('IV. MA'!BO16,0)</f>
      </c>
      <c r="BV183" t="str">
        <f>=IFERROR('IV. MA'!BP16,0)</f>
      </c>
    </row>
    <row r="184">
      <c r="BR184" t="str">
        <f>=$BB$17</f>
      </c>
      <c r="BS184" t="str">
        <f>=$BD$17</f>
      </c>
      <c r="BT184" t="s">
        <v>230</v>
      </c>
      <c r="BU184" t="str">
        <f>=IFERROR('IV. MA'!BO17,0)</f>
      </c>
      <c r="BV184" t="str">
        <f>=IFERROR('IV. MA'!BP17,0)</f>
      </c>
    </row>
    <row r="185">
      <c r="BR185" t="str">
        <f>=$BB$17</f>
      </c>
      <c r="BS185" t="str">
        <f>=$BD$17</f>
      </c>
      <c r="BT185" t="s">
        <v>194</v>
      </c>
      <c r="BU185" t="str">
        <f>=IFERROR('IV. MA'!BO21,0)</f>
      </c>
      <c r="BV185" t="str">
        <f>=IFERROR('IV. MA'!BP21,0)</f>
      </c>
    </row>
    <row r="186">
      <c r="BR186" t="str">
        <f>=$BB$17</f>
      </c>
      <c r="BS186" t="str">
        <f>=$BD$17</f>
      </c>
      <c r="BT186" t="s">
        <v>300</v>
      </c>
      <c r="BU186" t="str">
        <f>=IFERROR('IV. MA'!BO22,0)</f>
      </c>
      <c r="BV186" t="str">
        <f>=IFERROR('IV. MA'!BP22,0)</f>
      </c>
    </row>
    <row r="187">
      <c r="BR187" t="str">
        <f>=$BB$17</f>
      </c>
      <c r="BS187" t="str">
        <f>=$BD$17</f>
      </c>
      <c r="BT187" t="s">
        <v>199</v>
      </c>
      <c r="BU187" t="str">
        <f>=IFERROR('IV. MA'!BO25,0)</f>
      </c>
      <c r="BV187" t="str">
        <f>=IFERROR('IV. MA'!BP25,0)</f>
      </c>
    </row>
    <row r="188">
      <c r="BR188" t="str">
        <f>=$BB$18</f>
      </c>
      <c r="BS188" t="str">
        <f>=$BD$18</f>
      </c>
      <c r="BT188" t="s">
        <v>205</v>
      </c>
      <c r="BU188" t="str">
        <f>=IFERROR('IV. MA'!BS10,0)</f>
      </c>
      <c r="BV188" t="str">
        <f>=IFERROR('IV. MA'!BT10,0)</f>
      </c>
    </row>
    <row r="189">
      <c r="BR189" t="str">
        <f>=$BB$18</f>
      </c>
      <c r="BS189" t="str">
        <f>=$BD$18</f>
      </c>
      <c r="BT189" t="s">
        <v>210</v>
      </c>
      <c r="BU189" t="str">
        <f>=IFERROR('IV. MA'!BS11,0)</f>
      </c>
      <c r="BV189" t="str">
        <f>=IFERROR('IV. MA'!BT11,0)</f>
      </c>
    </row>
    <row r="190">
      <c r="BR190" t="str">
        <f>=$BB$18</f>
      </c>
      <c r="BS190" t="str">
        <f>=$BD$18</f>
      </c>
      <c r="BT190" t="s">
        <v>213</v>
      </c>
      <c r="BU190" t="str">
        <f>=IFERROR('IV. MA'!BS12,0)</f>
      </c>
      <c r="BV190" t="str">
        <f>=IFERROR('IV. MA'!BT12,0)</f>
      </c>
    </row>
    <row r="191">
      <c r="BR191" t="str">
        <f>=$BB$18</f>
      </c>
      <c r="BS191" t="str">
        <f>=$BD$18</f>
      </c>
      <c r="BT191" t="s">
        <v>218</v>
      </c>
      <c r="BU191" t="str">
        <f>=IFERROR('IV. MA'!BS13,0)</f>
      </c>
      <c r="BV191" t="str">
        <f>=IFERROR('IV. MA'!BT13,0)</f>
      </c>
    </row>
    <row r="192">
      <c r="BR192" t="str">
        <f>=$BB$18</f>
      </c>
      <c r="BS192" t="str">
        <f>=$BD$18</f>
      </c>
      <c r="BT192" t="s">
        <v>221</v>
      </c>
      <c r="BU192" t="str">
        <f>=IFERROR('IV. MA'!BS14,0)</f>
      </c>
      <c r="BV192" t="str">
        <f>=IFERROR('IV. MA'!BT14,0)</f>
      </c>
    </row>
    <row r="193">
      <c r="BR193" t="str">
        <f>=$BB$18</f>
      </c>
      <c r="BS193" t="str">
        <f>=$BD$18</f>
      </c>
      <c r="BT193" t="s">
        <v>224</v>
      </c>
      <c r="BU193" t="str">
        <f>=IFERROR('IV. MA'!BS15,0)</f>
      </c>
      <c r="BV193" t="str">
        <f>=IFERROR('IV. MA'!BT15,0)</f>
      </c>
    </row>
    <row r="194">
      <c r="BR194" t="str">
        <f>=$BB$18</f>
      </c>
      <c r="BS194" t="str">
        <f>=$BD$18</f>
      </c>
      <c r="BT194" t="s">
        <v>227</v>
      </c>
      <c r="BU194" t="str">
        <f>=IFERROR('IV. MA'!BS16,0)</f>
      </c>
      <c r="BV194" t="str">
        <f>=IFERROR('IV. MA'!BT16,0)</f>
      </c>
    </row>
    <row r="195">
      <c r="BR195" t="str">
        <f>=$BB$18</f>
      </c>
      <c r="BS195" t="str">
        <f>=$BD$18</f>
      </c>
      <c r="BT195" t="s">
        <v>230</v>
      </c>
      <c r="BU195" t="str">
        <f>=IFERROR('IV. MA'!BS17,0)</f>
      </c>
      <c r="BV195" t="str">
        <f>=IFERROR('IV. MA'!BT17,0)</f>
      </c>
    </row>
    <row r="196">
      <c r="BR196" t="str">
        <f>=$BB$18</f>
      </c>
      <c r="BS196" t="str">
        <f>=$BD$18</f>
      </c>
      <c r="BT196" t="s">
        <v>194</v>
      </c>
      <c r="BU196" t="str">
        <f>=IFERROR('IV. MA'!BS21,0)</f>
      </c>
      <c r="BV196" t="str">
        <f>=IFERROR('IV. MA'!BT21,0)</f>
      </c>
    </row>
    <row r="197">
      <c r="BR197" t="str">
        <f>=$BB$18</f>
      </c>
      <c r="BS197" t="str">
        <f>=$BD$18</f>
      </c>
      <c r="BT197" t="s">
        <v>300</v>
      </c>
      <c r="BU197" t="str">
        <f>=IFERROR('IV. MA'!BS22,0)</f>
      </c>
      <c r="BV197" t="str">
        <f>=IFERROR('IV. MA'!BT22,0)</f>
      </c>
    </row>
    <row r="198">
      <c r="BR198" t="str">
        <f>=$BB$18</f>
      </c>
      <c r="BS198" t="str">
        <f>=$BD$18</f>
      </c>
      <c r="BT198" t="s">
        <v>199</v>
      </c>
      <c r="BU198" t="str">
        <f>=IFERROR('IV. MA'!BS25,0)</f>
      </c>
      <c r="BV198" t="str">
        <f>=IFERROR('IV. MA'!BT25,0)</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