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8_{F593413A-9C3C-411F-A40C-29BB23F15262}" xr6:coauthVersionLast="47" xr6:coauthVersionMax="47" xr10:uidLastSave="{00000000-0000-0000-0000-000000000000}"/>
  <bookViews>
    <workbookView xWindow="-120" yWindow="-120" windowWidth="28560" windowHeight="14580" xr2:uid="{00000000-000D-0000-FFFF-FFFF00000000}"/>
  </bookViews>
  <sheets>
    <sheet name="Dashboard" sheetId="2" r:id="rId1"/>
    <sheet name="I. Budget" sheetId="3" r:id="rId2"/>
    <sheet name="II. KMW-Mittel" sheetId="4" r:id="rId3"/>
    <sheet name="III. Finanzberichte" sheetId="5" r:id="rId4"/>
    <sheet name="IV. MA" sheetId="6" r:id="rId5"/>
    <sheet name="Daten" sheetId="7" state="hidden" r:id="rId6"/>
  </sheets>
  <definedNames>
    <definedName name="Budget_ID_Liste">OFFSET('I. Budget'!$S$1, 0, 0, COUNTA('I. Budget'!S:S), 1)</definedName>
    <definedName name="Budget_Kurs">'I. Budget'!$H$4</definedName>
    <definedName name="Drittmittel_EUR">'I. Budget'!$I$10</definedName>
    <definedName name="Drittmittel_LW">'I. Budget'!$E$10</definedName>
    <definedName name="Eigenmittel_EUR">'I. Budget'!$I$7</definedName>
    <definedName name="Eigenmittel_LW">'I. Budget'!$E$7</definedName>
    <definedName name="FB_Kurs_1">'III. Finanzberichte'!$C$7</definedName>
    <definedName name="FB_Kurs_10">'III. Finanzberichte'!$BN$7</definedName>
    <definedName name="FB_Kurs_11">'III. Finanzberichte'!$BU$7</definedName>
    <definedName name="FB_Kurs_12">'III. Finanzberichte'!$CB$7</definedName>
    <definedName name="FB_Kurs_13">'III. Finanzberichte'!$CI$7</definedName>
    <definedName name="FB_Kurs_14">'III. Finanzberichte'!$CP$7</definedName>
    <definedName name="FB_Kurs_15">'III. Finanzberichte'!$CW$7</definedName>
    <definedName name="FB_Kurs_16">'III. Finanzberichte'!$DD$7</definedName>
    <definedName name="FB_Kurs_17">'III. Finanzberichte'!$DK$7</definedName>
    <definedName name="FB_Kurs_18">'III. Finanzberichte'!$DR$7</definedName>
    <definedName name="FB_Kurs_2">'III. Finanzberichte'!$J$7</definedName>
    <definedName name="FB_Kurs_3">'III. Finanzberichte'!$Q$7</definedName>
    <definedName name="FB_Kurs_4">'III. Finanzberichte'!$X$7</definedName>
    <definedName name="FB_Kurs_5">'III. Finanzberichte'!$AE$7</definedName>
    <definedName name="FB_Kurs_6">'III. Finanzberichte'!$AL$7</definedName>
    <definedName name="FB_Kurs_7">'III. Finanzberichte'!$AS$7</definedName>
    <definedName name="FB_Kurs_8">'III. Finanzberichte'!$AZ$7</definedName>
    <definedName name="FB_Kurs_9">'III. Finanzberichte'!$BG$7</definedName>
    <definedName name="FB_SaldoEUR_1">'III. Finanzberichte'!$D$29</definedName>
    <definedName name="FB_SaldoEUR_10">'III. Finanzberichte'!$BO$29</definedName>
    <definedName name="FB_SaldoEUR_11">'III. Finanzberichte'!$BV$29</definedName>
    <definedName name="FB_SaldoEUR_12">'III. Finanzberichte'!$CC$29</definedName>
    <definedName name="FB_SaldoEUR_13">'III. Finanzberichte'!$CJ$29</definedName>
    <definedName name="FB_SaldoEUR_14">'III. Finanzberichte'!$CQ$29</definedName>
    <definedName name="FB_SaldoEUR_15">'III. Finanzberichte'!$CX$29</definedName>
    <definedName name="FB_SaldoEUR_16">'III. Finanzberichte'!$DE$29</definedName>
    <definedName name="FB_SaldoEUR_17">'III. Finanzberichte'!$DL$29</definedName>
    <definedName name="FB_SaldoEUR_18">'III. Finanzberichte'!$DS$29</definedName>
    <definedName name="FB_SaldoEUR_2">'III. Finanzberichte'!$K$29</definedName>
    <definedName name="FB_SaldoEUR_3">'III. Finanzberichte'!$R$29</definedName>
    <definedName name="FB_SaldoEUR_4">'III. Finanzberichte'!$Y$29</definedName>
    <definedName name="FB_SaldoEUR_5">'III. Finanzberichte'!$AF$29</definedName>
    <definedName name="FB_SaldoEUR_6">'III. Finanzberichte'!$AM$29</definedName>
    <definedName name="FB_SaldoEUR_7">'III. Finanzberichte'!$AT$29</definedName>
    <definedName name="FB_SaldoEUR_8">'III. Finanzberichte'!$BA$29</definedName>
    <definedName name="FB_SaldoEUR_9">'III. Finanzberichte'!$BH$29</definedName>
    <definedName name="FB_SaldoLC_1">'III. Finanzberichte'!$C$29</definedName>
    <definedName name="FB_SaldoLC_10">'III. Finanzberichte'!$BN$29</definedName>
    <definedName name="FB_SaldoLC_11">'III. Finanzberichte'!$BU$29</definedName>
    <definedName name="FB_SaldoLC_12">'III. Finanzberichte'!$CB$29</definedName>
    <definedName name="FB_SaldoLC_13">'III. Finanzberichte'!$CI$29</definedName>
    <definedName name="FB_SaldoLC_14">'III. Finanzberichte'!$CP$29</definedName>
    <definedName name="FB_SaldoLC_15">'III. Finanzberichte'!$CW$29</definedName>
    <definedName name="FB_SaldoLC_16">'III. Finanzberichte'!$DD$29</definedName>
    <definedName name="FB_SaldoLC_17">'III. Finanzberichte'!$DK$29</definedName>
    <definedName name="FB_SaldoLC_18">'III. Finanzberichte'!$DR$29</definedName>
    <definedName name="FB_SaldoLC_2">'III. Finanzberichte'!$J$29</definedName>
    <definedName name="FB_SaldoLC_3">'III. Finanzberichte'!$Q$29</definedName>
    <definedName name="FB_SaldoLC_4">'III. Finanzberichte'!$X$29</definedName>
    <definedName name="FB_SaldoLC_5">'III. Finanzberichte'!$AE$29</definedName>
    <definedName name="FB_SaldoLC_6">'III. Finanzberichte'!$AL$29</definedName>
    <definedName name="FB_SaldoLC_7">'III. Finanzberichte'!$AS$29</definedName>
    <definedName name="FB_SaldoLC_8">'III. Finanzberichte'!$AZ$29</definedName>
    <definedName name="FB_SaldoLC_9">'III. Finanzberichte'!$BG$29</definedName>
    <definedName name="Geber_Liste">OFFSET('I. Budget'!$R$1, 0, 0, COUNTA('I. Budget'!R:R), 1)</definedName>
    <definedName name="Gesamtausgaben_EUR">'I. Budget'!$P$12</definedName>
    <definedName name="Gesamtausgaben_LW">'I. Budget'!$O$12</definedName>
    <definedName name="Gesamtprojektmittel_EUR">'I. Budget'!$I$15</definedName>
    <definedName name="Gesamtprojektmittel_LW">'I. Budget'!$E$15</definedName>
    <definedName name="KMW_Mittel_EUR">'I. Budget'!$I$13</definedName>
    <definedName name="KMW_Mittel_LW">'I. Budget'!$E$13</definedName>
    <definedName name="Kosten_Audit_EUR">'I. Budget'!$P$10</definedName>
    <definedName name="Kosten_Audit_LW">'I. Budget'!$O$10</definedName>
    <definedName name="Kosten_Bauausgaben_EUR">'I. Budget'!$P$4</definedName>
    <definedName name="Kosten_Bauausgaben_LW">'I. Budget'!$O$4</definedName>
    <definedName name="Kosten_Evaluierung_EUR">'I. Budget'!$P$9</definedName>
    <definedName name="Kosten_Evaluierung_LW">'I. Budget'!$O$9</definedName>
    <definedName name="Kosten_Investitionen_EUR">'I. Budget'!$P$5</definedName>
    <definedName name="Kosten_Investitionen_LW">'I. Budget'!$O$5</definedName>
    <definedName name="Kosten_Personalkosten_EUR">'I. Budget'!$P$6</definedName>
    <definedName name="Kosten_Personalkosten_LW">'I. Budget'!$O$6</definedName>
    <definedName name="Kosten_Projektaktivitaeten_EUR">'I. Budget'!$P$7</definedName>
    <definedName name="Kosten_Projektaktivitaeten_LW">'I. Budget'!$O$7</definedName>
    <definedName name="Kosten_Projektverwaltung_EUR">'I. Budget'!$P$8</definedName>
    <definedName name="Kosten_Projektverwaltung_LW">'I. Budget'!$O$8</definedName>
    <definedName name="Kosten_Reserve_EUR">'I. Budget'!$P$11</definedName>
    <definedName name="Kosten_Reserve_LW">'I. Budget'!$O$11</definedName>
    <definedName name="MA_Kurs_1">'IV. MA'!$C$7</definedName>
    <definedName name="MA_Kurs_10">'IV. MA'!$AM$7</definedName>
    <definedName name="MA_Kurs_11">'IV. MA'!$AQ$7</definedName>
    <definedName name="MA_Kurs_12">'IV. MA'!$AU$7</definedName>
    <definedName name="MA_Kurs_13">'IV. MA'!$AY$7</definedName>
    <definedName name="MA_Kurs_14">'IV. MA'!$BC$7</definedName>
    <definedName name="MA_Kurs_15">'IV. MA'!$BG$7</definedName>
    <definedName name="MA_Kurs_16">'IV. MA'!$BK$7</definedName>
    <definedName name="MA_Kurs_17">'IV. MA'!$BO$7</definedName>
    <definedName name="MA_Kurs_18">'IV. MA'!$BS$7</definedName>
    <definedName name="MA_Kurs_2">'IV. MA'!$G$7</definedName>
    <definedName name="MA_Kurs_3">'IV. MA'!$K$7</definedName>
    <definedName name="MA_Kurs_4">'IV. MA'!$O$7</definedName>
    <definedName name="MA_Kurs_5">'IV. MA'!$S$7</definedName>
    <definedName name="MA_Kurs_6">'IV. MA'!$W$7</definedName>
    <definedName name="MA_Kurs_7">'IV. MA'!$AA$7</definedName>
    <definedName name="MA_Kurs_8">'IV. MA'!$AE$7</definedName>
    <definedName name="MA_Kurs_9">'IV. MA'!$AI$7</definedName>
    <definedName name="Reserve_Freigabe">'I. Budget'!$K$5</definedName>
    <definedName name="Saldovortrag_EUR">Dashboard!$E$13</definedName>
    <definedName name="Saldovortrag_LW">Dashboard!$C$13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6" l="1"/>
  <c r="D23" i="6" s="1"/>
  <c r="BT22" i="6"/>
  <c r="BP22" i="6"/>
  <c r="BL22" i="6"/>
  <c r="BH22" i="6"/>
  <c r="BD22" i="6"/>
  <c r="AZ22" i="6"/>
  <c r="AV22" i="6"/>
  <c r="AR22" i="6"/>
  <c r="AN22" i="6"/>
  <c r="AJ22" i="6"/>
  <c r="AF22" i="6"/>
  <c r="AB22" i="6"/>
  <c r="X22" i="6"/>
  <c r="T22" i="6"/>
  <c r="P22" i="6"/>
  <c r="L22" i="6"/>
  <c r="H22" i="6"/>
  <c r="D22" i="6"/>
  <c r="BT21" i="6"/>
  <c r="BP21" i="6"/>
  <c r="BL21" i="6"/>
  <c r="BH21" i="6"/>
  <c r="BD21" i="6"/>
  <c r="AZ21" i="6"/>
  <c r="AV21" i="6"/>
  <c r="AR21" i="6"/>
  <c r="AN21" i="6"/>
  <c r="AJ21" i="6"/>
  <c r="AF21" i="6"/>
  <c r="AB21" i="6"/>
  <c r="X21" i="6"/>
  <c r="T21" i="6"/>
  <c r="P21" i="6"/>
  <c r="L21" i="6"/>
  <c r="H21" i="6"/>
  <c r="D21" i="6"/>
  <c r="AR20" i="6"/>
  <c r="T20" i="6"/>
  <c r="BS18" i="6"/>
  <c r="BP18" i="6"/>
  <c r="BO18" i="6"/>
  <c r="BK18" i="6"/>
  <c r="BH18" i="6"/>
  <c r="BG18" i="6"/>
  <c r="BD18" i="6"/>
  <c r="BC18" i="6"/>
  <c r="AY18" i="6"/>
  <c r="AU18" i="6"/>
  <c r="AR18" i="6"/>
  <c r="AQ18" i="6"/>
  <c r="AM18" i="6"/>
  <c r="AJ18" i="6"/>
  <c r="AI18" i="6"/>
  <c r="AF18" i="6"/>
  <c r="AE18" i="6"/>
  <c r="AA18" i="6"/>
  <c r="W18" i="6"/>
  <c r="T18" i="6"/>
  <c r="S18" i="6"/>
  <c r="O18" i="6"/>
  <c r="L18" i="6"/>
  <c r="K18" i="6"/>
  <c r="H18" i="6"/>
  <c r="H20" i="6" s="1"/>
  <c r="G18" i="6"/>
  <c r="C18" i="6"/>
  <c r="C25" i="6" s="1"/>
  <c r="BT17" i="6"/>
  <c r="BP17" i="6"/>
  <c r="BL17" i="6"/>
  <c r="BH17" i="6"/>
  <c r="BD17" i="6"/>
  <c r="AZ17" i="6"/>
  <c r="AV17" i="6"/>
  <c r="AR17" i="6"/>
  <c r="AN17" i="6"/>
  <c r="AJ17" i="6"/>
  <c r="AF17" i="6"/>
  <c r="AB17" i="6"/>
  <c r="X17" i="6"/>
  <c r="T17" i="6"/>
  <c r="P17" i="6"/>
  <c r="L17" i="6"/>
  <c r="H17" i="6"/>
  <c r="D17" i="6"/>
  <c r="BT16" i="6"/>
  <c r="BP16" i="6"/>
  <c r="BL16" i="6"/>
  <c r="BH16" i="6"/>
  <c r="BD16" i="6"/>
  <c r="AZ16" i="6"/>
  <c r="AV16" i="6"/>
  <c r="AR16" i="6"/>
  <c r="AN16" i="6"/>
  <c r="AJ16" i="6"/>
  <c r="AF16" i="6"/>
  <c r="AB16" i="6"/>
  <c r="X16" i="6"/>
  <c r="T16" i="6"/>
  <c r="P16" i="6"/>
  <c r="L16" i="6"/>
  <c r="H16" i="6"/>
  <c r="D16" i="6"/>
  <c r="BT15" i="6"/>
  <c r="BP15" i="6"/>
  <c r="BL15" i="6"/>
  <c r="BH15" i="6"/>
  <c r="BD15" i="6"/>
  <c r="AZ15" i="6"/>
  <c r="AV15" i="6"/>
  <c r="AR15" i="6"/>
  <c r="AN15" i="6"/>
  <c r="AJ15" i="6"/>
  <c r="AF15" i="6"/>
  <c r="AB15" i="6"/>
  <c r="X15" i="6"/>
  <c r="T15" i="6"/>
  <c r="P15" i="6"/>
  <c r="L15" i="6"/>
  <c r="H15" i="6"/>
  <c r="D15" i="6"/>
  <c r="BT14" i="6"/>
  <c r="BP14" i="6"/>
  <c r="BL14" i="6"/>
  <c r="BH14" i="6"/>
  <c r="BD14" i="6"/>
  <c r="AZ14" i="6"/>
  <c r="AV14" i="6"/>
  <c r="AR14" i="6"/>
  <c r="AN14" i="6"/>
  <c r="AJ14" i="6"/>
  <c r="AF14" i="6"/>
  <c r="AB14" i="6"/>
  <c r="X14" i="6"/>
  <c r="T14" i="6"/>
  <c r="P14" i="6"/>
  <c r="L14" i="6"/>
  <c r="H14" i="6"/>
  <c r="D14" i="6"/>
  <c r="BT13" i="6"/>
  <c r="BP13" i="6"/>
  <c r="BL13" i="6"/>
  <c r="BH13" i="6"/>
  <c r="BD13" i="6"/>
  <c r="AZ13" i="6"/>
  <c r="AV13" i="6"/>
  <c r="AR13" i="6"/>
  <c r="AN13" i="6"/>
  <c r="AJ13" i="6"/>
  <c r="AF13" i="6"/>
  <c r="AB13" i="6"/>
  <c r="X13" i="6"/>
  <c r="T13" i="6"/>
  <c r="P13" i="6"/>
  <c r="L13" i="6"/>
  <c r="H13" i="6"/>
  <c r="D13" i="6"/>
  <c r="BT12" i="6"/>
  <c r="BP12" i="6"/>
  <c r="BL12" i="6"/>
  <c r="BH12" i="6"/>
  <c r="BD12" i="6"/>
  <c r="AZ12" i="6"/>
  <c r="AV12" i="6"/>
  <c r="AR12" i="6"/>
  <c r="AN12" i="6"/>
  <c r="AJ12" i="6"/>
  <c r="AF12" i="6"/>
  <c r="AB12" i="6"/>
  <c r="X12" i="6"/>
  <c r="T12" i="6"/>
  <c r="P12" i="6"/>
  <c r="L12" i="6"/>
  <c r="H12" i="6"/>
  <c r="D12" i="6"/>
  <c r="BT11" i="6"/>
  <c r="BP11" i="6"/>
  <c r="BL11" i="6"/>
  <c r="BH11" i="6"/>
  <c r="BD11" i="6"/>
  <c r="AZ11" i="6"/>
  <c r="AV11" i="6"/>
  <c r="AR11" i="6"/>
  <c r="AN11" i="6"/>
  <c r="AJ11" i="6"/>
  <c r="AF11" i="6"/>
  <c r="AB11" i="6"/>
  <c r="X11" i="6"/>
  <c r="T11" i="6"/>
  <c r="P11" i="6"/>
  <c r="L11" i="6"/>
  <c r="H11" i="6"/>
  <c r="D11" i="6"/>
  <c r="BT10" i="6"/>
  <c r="BT18" i="6" s="1"/>
  <c r="BP10" i="6"/>
  <c r="BL10" i="6"/>
  <c r="BL18" i="6" s="1"/>
  <c r="BH10" i="6"/>
  <c r="BD10" i="6"/>
  <c r="AZ10" i="6"/>
  <c r="AZ18" i="6" s="1"/>
  <c r="AV10" i="6"/>
  <c r="AV18" i="6" s="1"/>
  <c r="AR10" i="6"/>
  <c r="AN10" i="6"/>
  <c r="AN18" i="6" s="1"/>
  <c r="AJ10" i="6"/>
  <c r="AF10" i="6"/>
  <c r="AB10" i="6"/>
  <c r="AB18" i="6" s="1"/>
  <c r="X10" i="6"/>
  <c r="X18" i="6" s="1"/>
  <c r="T10" i="6"/>
  <c r="P10" i="6"/>
  <c r="L10" i="6"/>
  <c r="H10" i="6"/>
  <c r="D10" i="6"/>
  <c r="D18" i="6" s="1"/>
  <c r="DS56" i="5"/>
  <c r="DL56" i="5"/>
  <c r="DE56" i="5"/>
  <c r="CX56" i="5"/>
  <c r="CQ56" i="5"/>
  <c r="CJ56" i="5"/>
  <c r="CC56" i="5"/>
  <c r="BV56" i="5"/>
  <c r="BO56" i="5"/>
  <c r="BH56" i="5"/>
  <c r="BA56" i="5"/>
  <c r="AT56" i="5"/>
  <c r="AM56" i="5"/>
  <c r="AF56" i="5"/>
  <c r="Y56" i="5"/>
  <c r="R56" i="5"/>
  <c r="K56" i="5"/>
  <c r="D56" i="5"/>
  <c r="DU45" i="5"/>
  <c r="DN45" i="5"/>
  <c r="DG45" i="5"/>
  <c r="CZ45" i="5"/>
  <c r="CS45" i="5"/>
  <c r="CL45" i="5"/>
  <c r="CE45" i="5"/>
  <c r="BX45" i="5"/>
  <c r="BQ45" i="5"/>
  <c r="BJ45" i="5"/>
  <c r="BC45" i="5"/>
  <c r="AV45" i="5"/>
  <c r="AO45" i="5"/>
  <c r="AH45" i="5"/>
  <c r="AA45" i="5"/>
  <c r="T45" i="5"/>
  <c r="M45" i="5"/>
  <c r="F45" i="5"/>
  <c r="DU44" i="5"/>
  <c r="DN44" i="5"/>
  <c r="DG44" i="5"/>
  <c r="CZ44" i="5"/>
  <c r="CS44" i="5"/>
  <c r="CL44" i="5"/>
  <c r="CE44" i="5"/>
  <c r="BX44" i="5"/>
  <c r="BQ44" i="5"/>
  <c r="BJ44" i="5"/>
  <c r="BC44" i="5"/>
  <c r="AV44" i="5"/>
  <c r="AO44" i="5"/>
  <c r="AH44" i="5"/>
  <c r="AA44" i="5"/>
  <c r="T44" i="5"/>
  <c r="M44" i="5"/>
  <c r="F44" i="5"/>
  <c r="DU43" i="5"/>
  <c r="DN43" i="5"/>
  <c r="DG43" i="5"/>
  <c r="CZ43" i="5"/>
  <c r="CS43" i="5"/>
  <c r="CL43" i="5"/>
  <c r="CE43" i="5"/>
  <c r="BX43" i="5"/>
  <c r="BQ43" i="5"/>
  <c r="BJ43" i="5"/>
  <c r="BC43" i="5"/>
  <c r="AV43" i="5"/>
  <c r="AO43" i="5"/>
  <c r="AH43" i="5"/>
  <c r="AA43" i="5"/>
  <c r="T43" i="5"/>
  <c r="M43" i="5"/>
  <c r="F43" i="5"/>
  <c r="DU42" i="5"/>
  <c r="DN42" i="5"/>
  <c r="DG42" i="5"/>
  <c r="CZ42" i="5"/>
  <c r="CS42" i="5"/>
  <c r="CL42" i="5"/>
  <c r="CE42" i="5"/>
  <c r="BX42" i="5"/>
  <c r="BQ42" i="5"/>
  <c r="BJ42" i="5"/>
  <c r="BC42" i="5"/>
  <c r="AV42" i="5"/>
  <c r="AO42" i="5"/>
  <c r="AH42" i="5"/>
  <c r="AA42" i="5"/>
  <c r="T42" i="5"/>
  <c r="M42" i="5"/>
  <c r="F42" i="5"/>
  <c r="DS34" i="5"/>
  <c r="DL34" i="5"/>
  <c r="DE34" i="5"/>
  <c r="CX34" i="5"/>
  <c r="CQ34" i="5"/>
  <c r="CJ34" i="5"/>
  <c r="CC34" i="5"/>
  <c r="BV34" i="5"/>
  <c r="BO34" i="5"/>
  <c r="BH34" i="5"/>
  <c r="BA34" i="5"/>
  <c r="AT34" i="5"/>
  <c r="AM34" i="5"/>
  <c r="AF34" i="5"/>
  <c r="Y34" i="5"/>
  <c r="R34" i="5"/>
  <c r="K34" i="5"/>
  <c r="D34" i="5"/>
  <c r="DS33" i="5"/>
  <c r="DL33" i="5"/>
  <c r="DE33" i="5"/>
  <c r="CX33" i="5"/>
  <c r="CQ33" i="5"/>
  <c r="CJ33" i="5"/>
  <c r="CC33" i="5"/>
  <c r="BV33" i="5"/>
  <c r="BO33" i="5"/>
  <c r="BH33" i="5"/>
  <c r="BA33" i="5"/>
  <c r="AT33" i="5"/>
  <c r="AM33" i="5"/>
  <c r="AF33" i="5"/>
  <c r="Y33" i="5"/>
  <c r="R33" i="5"/>
  <c r="K33" i="5"/>
  <c r="D33" i="5"/>
  <c r="DS32" i="5"/>
  <c r="DL32" i="5"/>
  <c r="DE32" i="5"/>
  <c r="CX32" i="5"/>
  <c r="CQ32" i="5"/>
  <c r="CJ32" i="5"/>
  <c r="CC32" i="5"/>
  <c r="BV32" i="5"/>
  <c r="BO32" i="5"/>
  <c r="BH32" i="5"/>
  <c r="BA32" i="5"/>
  <c r="AT32" i="5"/>
  <c r="AM32" i="5"/>
  <c r="AF32" i="5"/>
  <c r="Y32" i="5"/>
  <c r="R32" i="5"/>
  <c r="K32" i="5"/>
  <c r="D32" i="5"/>
  <c r="DR27" i="5"/>
  <c r="DK27" i="5"/>
  <c r="DD27" i="5"/>
  <c r="CW27" i="5"/>
  <c r="CP27" i="5"/>
  <c r="CI27" i="5"/>
  <c r="CB27" i="5"/>
  <c r="BU27" i="5"/>
  <c r="BN27" i="5"/>
  <c r="BG27" i="5"/>
  <c r="AZ27" i="5"/>
  <c r="AS27" i="5"/>
  <c r="AL27" i="5"/>
  <c r="AE27" i="5"/>
  <c r="X27" i="5"/>
  <c r="Q27" i="5"/>
  <c r="J27" i="5"/>
  <c r="C27" i="5"/>
  <c r="DQ26" i="5"/>
  <c r="DJ26" i="5"/>
  <c r="DC26" i="5"/>
  <c r="CV26" i="5"/>
  <c r="CO26" i="5"/>
  <c r="CH26" i="5"/>
  <c r="CA26" i="5"/>
  <c r="BT26" i="5"/>
  <c r="BM26" i="5"/>
  <c r="BF26" i="5"/>
  <c r="AY26" i="5"/>
  <c r="AR26" i="5"/>
  <c r="AK26" i="5"/>
  <c r="AD26" i="5"/>
  <c r="W26" i="5"/>
  <c r="P26" i="5"/>
  <c r="I26" i="5"/>
  <c r="E26" i="5"/>
  <c r="B26" i="5"/>
  <c r="DQ25" i="5"/>
  <c r="DJ25" i="5"/>
  <c r="DC25" i="5"/>
  <c r="CV25" i="5"/>
  <c r="CO25" i="5"/>
  <c r="CH25" i="5"/>
  <c r="CA25" i="5"/>
  <c r="BT25" i="5"/>
  <c r="BM25" i="5"/>
  <c r="BF25" i="5"/>
  <c r="AY25" i="5"/>
  <c r="AR25" i="5"/>
  <c r="AK25" i="5"/>
  <c r="AD25" i="5"/>
  <c r="W25" i="5"/>
  <c r="P25" i="5"/>
  <c r="I25" i="5"/>
  <c r="E25" i="5"/>
  <c r="B25" i="5"/>
  <c r="DQ24" i="5"/>
  <c r="DJ24" i="5"/>
  <c r="DC24" i="5"/>
  <c r="CV24" i="5"/>
  <c r="CO24" i="5"/>
  <c r="CH24" i="5"/>
  <c r="CA24" i="5"/>
  <c r="BT24" i="5"/>
  <c r="BM24" i="5"/>
  <c r="BF24" i="5"/>
  <c r="AY24" i="5"/>
  <c r="AR24" i="5"/>
  <c r="AK24" i="5"/>
  <c r="AD24" i="5"/>
  <c r="W24" i="5"/>
  <c r="P24" i="5"/>
  <c r="I24" i="5"/>
  <c r="E24" i="5"/>
  <c r="B24" i="5"/>
  <c r="DQ23" i="5"/>
  <c r="DJ23" i="5"/>
  <c r="DC23" i="5"/>
  <c r="CV23" i="5"/>
  <c r="CO23" i="5"/>
  <c r="CH23" i="5"/>
  <c r="CA23" i="5"/>
  <c r="BT23" i="5"/>
  <c r="BM23" i="5"/>
  <c r="BF23" i="5"/>
  <c r="AY23" i="5"/>
  <c r="AR23" i="5"/>
  <c r="AK23" i="5"/>
  <c r="AD23" i="5"/>
  <c r="W23" i="5"/>
  <c r="P23" i="5"/>
  <c r="L23" i="5"/>
  <c r="I23" i="5"/>
  <c r="E23" i="5"/>
  <c r="B23" i="5"/>
  <c r="DQ22" i="5"/>
  <c r="DJ22" i="5"/>
  <c r="DC22" i="5"/>
  <c r="CV22" i="5"/>
  <c r="CO22" i="5"/>
  <c r="CH22" i="5"/>
  <c r="CA22" i="5"/>
  <c r="BT22" i="5"/>
  <c r="BM22" i="5"/>
  <c r="BF22" i="5"/>
  <c r="AY22" i="5"/>
  <c r="AR22" i="5"/>
  <c r="AK22" i="5"/>
  <c r="AD22" i="5"/>
  <c r="W22" i="5"/>
  <c r="P22" i="5"/>
  <c r="I22" i="5"/>
  <c r="E22" i="5"/>
  <c r="B22" i="5"/>
  <c r="DQ21" i="5"/>
  <c r="DJ21" i="5"/>
  <c r="DC21" i="5"/>
  <c r="CV21" i="5"/>
  <c r="CO21" i="5"/>
  <c r="CH21" i="5"/>
  <c r="CA21" i="5"/>
  <c r="BT21" i="5"/>
  <c r="BM21" i="5"/>
  <c r="BF21" i="5"/>
  <c r="AY21" i="5"/>
  <c r="AR21" i="5"/>
  <c r="AK21" i="5"/>
  <c r="AD21" i="5"/>
  <c r="W21" i="5"/>
  <c r="P21" i="5"/>
  <c r="I21" i="5"/>
  <c r="E21" i="5"/>
  <c r="B21" i="5"/>
  <c r="DQ20" i="5"/>
  <c r="DJ20" i="5"/>
  <c r="DC20" i="5"/>
  <c r="CV20" i="5"/>
  <c r="CO20" i="5"/>
  <c r="CH20" i="5"/>
  <c r="CA20" i="5"/>
  <c r="BT20" i="5"/>
  <c r="BM20" i="5"/>
  <c r="BF20" i="5"/>
  <c r="AY20" i="5"/>
  <c r="AR20" i="5"/>
  <c r="AK20" i="5"/>
  <c r="AD20" i="5"/>
  <c r="W20" i="5"/>
  <c r="P20" i="5"/>
  <c r="I20" i="5"/>
  <c r="E20" i="5"/>
  <c r="B20" i="5"/>
  <c r="DQ19" i="5"/>
  <c r="DJ19" i="5"/>
  <c r="DC19" i="5"/>
  <c r="CV19" i="5"/>
  <c r="CO19" i="5"/>
  <c r="CH19" i="5"/>
  <c r="CA19" i="5"/>
  <c r="BT19" i="5"/>
  <c r="BM19" i="5"/>
  <c r="BF19" i="5"/>
  <c r="AY19" i="5"/>
  <c r="AR19" i="5"/>
  <c r="AK19" i="5"/>
  <c r="AD19" i="5"/>
  <c r="W19" i="5"/>
  <c r="P19" i="5"/>
  <c r="I19" i="5"/>
  <c r="E19" i="5"/>
  <c r="E27" i="5" s="1"/>
  <c r="B19" i="5"/>
  <c r="L26" i="5" s="1"/>
  <c r="DR15" i="5"/>
  <c r="DK15" i="5"/>
  <c r="DD15" i="5"/>
  <c r="CW15" i="5"/>
  <c r="CP15" i="5"/>
  <c r="CI15" i="5"/>
  <c r="CB15" i="5"/>
  <c r="BU15" i="5"/>
  <c r="BN15" i="5"/>
  <c r="BG15" i="5"/>
  <c r="AZ15" i="5"/>
  <c r="AS15" i="5"/>
  <c r="AL15" i="5"/>
  <c r="AE15" i="5"/>
  <c r="X15" i="5"/>
  <c r="S15" i="5"/>
  <c r="Z15" i="5" s="1"/>
  <c r="AG15" i="5" s="1"/>
  <c r="AN15" i="5" s="1"/>
  <c r="AU15" i="5" s="1"/>
  <c r="BB15" i="5" s="1"/>
  <c r="BI15" i="5" s="1"/>
  <c r="BP15" i="5" s="1"/>
  <c r="BW15" i="5" s="1"/>
  <c r="CD15" i="5" s="1"/>
  <c r="CK15" i="5" s="1"/>
  <c r="CR15" i="5" s="1"/>
  <c r="CY15" i="5" s="1"/>
  <c r="DF15" i="5" s="1"/>
  <c r="DM15" i="5" s="1"/>
  <c r="DT15" i="5" s="1"/>
  <c r="Q15" i="5"/>
  <c r="J15" i="5"/>
  <c r="E15" i="5"/>
  <c r="L15" i="5" s="1"/>
  <c r="C15" i="5"/>
  <c r="DS14" i="5"/>
  <c r="DR14" i="5"/>
  <c r="DL14" i="5"/>
  <c r="DK14" i="5"/>
  <c r="DE14" i="5"/>
  <c r="DD14" i="5"/>
  <c r="CX14" i="5"/>
  <c r="CW14" i="5"/>
  <c r="CQ14" i="5"/>
  <c r="CP14" i="5"/>
  <c r="CJ14" i="5"/>
  <c r="CI14" i="5"/>
  <c r="CC14" i="5"/>
  <c r="CB14" i="5"/>
  <c r="BV14" i="5"/>
  <c r="BU14" i="5"/>
  <c r="BO14" i="5"/>
  <c r="BN14" i="5"/>
  <c r="BH14" i="5"/>
  <c r="BG14" i="5"/>
  <c r="BA14" i="5"/>
  <c r="AZ14" i="5"/>
  <c r="AT14" i="5"/>
  <c r="AS14" i="5"/>
  <c r="AM14" i="5"/>
  <c r="AL14" i="5"/>
  <c r="AF14" i="5"/>
  <c r="AE14" i="5"/>
  <c r="Y14" i="5"/>
  <c r="X14" i="5"/>
  <c r="R14" i="5"/>
  <c r="Q14" i="5"/>
  <c r="M14" i="5"/>
  <c r="T14" i="5" s="1"/>
  <c r="AA14" i="5" s="1"/>
  <c r="AH14" i="5" s="1"/>
  <c r="AO14" i="5" s="1"/>
  <c r="AV14" i="5" s="1"/>
  <c r="BC14" i="5" s="1"/>
  <c r="BJ14" i="5" s="1"/>
  <c r="BQ14" i="5" s="1"/>
  <c r="BX14" i="5" s="1"/>
  <c r="CE14" i="5" s="1"/>
  <c r="CL14" i="5" s="1"/>
  <c r="CS14" i="5" s="1"/>
  <c r="CZ14" i="5" s="1"/>
  <c r="DG14" i="5" s="1"/>
  <c r="DN14" i="5" s="1"/>
  <c r="DU14" i="5" s="1"/>
  <c r="K14" i="5"/>
  <c r="J14" i="5"/>
  <c r="L14" i="5" s="1"/>
  <c r="S14" i="5" s="1"/>
  <c r="Z14" i="5" s="1"/>
  <c r="AG14" i="5" s="1"/>
  <c r="AN14" i="5" s="1"/>
  <c r="AU14" i="5" s="1"/>
  <c r="BB14" i="5" s="1"/>
  <c r="BI14" i="5" s="1"/>
  <c r="BP14" i="5" s="1"/>
  <c r="BW14" i="5" s="1"/>
  <c r="CD14" i="5" s="1"/>
  <c r="CK14" i="5" s="1"/>
  <c r="CR14" i="5" s="1"/>
  <c r="CY14" i="5" s="1"/>
  <c r="DF14" i="5" s="1"/>
  <c r="DM14" i="5" s="1"/>
  <c r="DT14" i="5" s="1"/>
  <c r="F14" i="5"/>
  <c r="E14" i="5"/>
  <c r="D14" i="5"/>
  <c r="C14" i="5"/>
  <c r="DR13" i="5"/>
  <c r="DK13" i="5"/>
  <c r="DD13" i="5"/>
  <c r="CW13" i="5"/>
  <c r="CP13" i="5"/>
  <c r="CI13" i="5"/>
  <c r="CB13" i="5"/>
  <c r="BU13" i="5"/>
  <c r="BN13" i="5"/>
  <c r="BG13" i="5"/>
  <c r="AZ13" i="5"/>
  <c r="AS13" i="5"/>
  <c r="AL13" i="5"/>
  <c r="AE13" i="5"/>
  <c r="X13" i="5"/>
  <c r="S13" i="5"/>
  <c r="Z13" i="5" s="1"/>
  <c r="Q13" i="5"/>
  <c r="J13" i="5"/>
  <c r="L13" i="5" s="1"/>
  <c r="E13" i="5"/>
  <c r="C13" i="5"/>
  <c r="DR12" i="5"/>
  <c r="DK12" i="5"/>
  <c r="DD12" i="5"/>
  <c r="CW12" i="5"/>
  <c r="CP12" i="5"/>
  <c r="CI12" i="5"/>
  <c r="CB12" i="5"/>
  <c r="BU12" i="5"/>
  <c r="BN12" i="5"/>
  <c r="BG12" i="5"/>
  <c r="AZ12" i="5"/>
  <c r="AS12" i="5"/>
  <c r="AL12" i="5"/>
  <c r="AE12" i="5"/>
  <c r="X12" i="5"/>
  <c r="S12" i="5"/>
  <c r="Z12" i="5" s="1"/>
  <c r="AG12" i="5" s="1"/>
  <c r="AN12" i="5" s="1"/>
  <c r="AU12" i="5" s="1"/>
  <c r="BB12" i="5" s="1"/>
  <c r="BI12" i="5" s="1"/>
  <c r="BP12" i="5" s="1"/>
  <c r="BW12" i="5" s="1"/>
  <c r="CD12" i="5" s="1"/>
  <c r="CK12" i="5" s="1"/>
  <c r="CR12" i="5" s="1"/>
  <c r="CY12" i="5" s="1"/>
  <c r="DF12" i="5" s="1"/>
  <c r="DM12" i="5" s="1"/>
  <c r="DT12" i="5" s="1"/>
  <c r="Q12" i="5"/>
  <c r="J12" i="5"/>
  <c r="L12" i="5" s="1"/>
  <c r="E12" i="5"/>
  <c r="C12" i="5"/>
  <c r="F11" i="5"/>
  <c r="E11" i="5"/>
  <c r="E16" i="5" s="1"/>
  <c r="E29" i="5" s="1"/>
  <c r="D11" i="5"/>
  <c r="C11" i="5"/>
  <c r="D23" i="4"/>
  <c r="I27" i="3"/>
  <c r="H27" i="3"/>
  <c r="E34" i="3" s="1"/>
  <c r="G27" i="3"/>
  <c r="F27" i="3"/>
  <c r="E27" i="3"/>
  <c r="C26" i="3"/>
  <c r="C25" i="3"/>
  <c r="C24" i="3"/>
  <c r="S1" i="3" s="1"/>
  <c r="C23" i="3"/>
  <c r="C22" i="3"/>
  <c r="C21" i="3"/>
  <c r="C20" i="3"/>
  <c r="C19" i="3"/>
  <c r="I15" i="3"/>
  <c r="E31" i="3" s="1"/>
  <c r="H15" i="3"/>
  <c r="G15" i="3"/>
  <c r="F15" i="3"/>
  <c r="E33" i="3" s="1"/>
  <c r="P12" i="3"/>
  <c r="O12" i="3"/>
  <c r="P11" i="3"/>
  <c r="O11" i="3"/>
  <c r="P10" i="3"/>
  <c r="O10" i="3"/>
  <c r="I10" i="3"/>
  <c r="E10" i="3"/>
  <c r="E15" i="3" s="1"/>
  <c r="P9" i="3"/>
  <c r="O9" i="3"/>
  <c r="P8" i="3"/>
  <c r="O8" i="3"/>
  <c r="P7" i="3"/>
  <c r="O7" i="3"/>
  <c r="P6" i="3"/>
  <c r="O6" i="3"/>
  <c r="K6" i="3"/>
  <c r="P5" i="3"/>
  <c r="O5" i="3"/>
  <c r="P4" i="3"/>
  <c r="O4" i="3"/>
  <c r="K3" i="3"/>
  <c r="R1" i="3"/>
  <c r="E8" i="2"/>
  <c r="AG13" i="5" l="1"/>
  <c r="AN13" i="5" s="1"/>
  <c r="AU13" i="5" s="1"/>
  <c r="BB13" i="5" s="1"/>
  <c r="BI13" i="5" s="1"/>
  <c r="BP13" i="5" s="1"/>
  <c r="BW13" i="5" s="1"/>
  <c r="CD13" i="5" s="1"/>
  <c r="CK13" i="5" s="1"/>
  <c r="CR13" i="5" s="1"/>
  <c r="CY13" i="5" s="1"/>
  <c r="DF13" i="5" s="1"/>
  <c r="DM13" i="5" s="1"/>
  <c r="DT13" i="5" s="1"/>
  <c r="H4" i="3"/>
  <c r="E32" i="3" s="1"/>
  <c r="E30" i="3"/>
  <c r="L22" i="5"/>
  <c r="L25" i="5"/>
  <c r="D41" i="5"/>
  <c r="C16" i="5"/>
  <c r="C29" i="5" s="1"/>
  <c r="L21" i="5"/>
  <c r="E41" i="5"/>
  <c r="E46" i="5" s="1"/>
  <c r="S25" i="5"/>
  <c r="L19" i="5"/>
  <c r="S26" i="5" s="1"/>
  <c r="L20" i="5"/>
  <c r="S24" i="5" s="1"/>
  <c r="S21" i="5"/>
  <c r="L24" i="5"/>
  <c r="S23" i="5" s="1"/>
  <c r="BH20" i="6"/>
  <c r="X20" i="6"/>
  <c r="AV20" i="6"/>
  <c r="AF20" i="6"/>
  <c r="D25" i="6"/>
  <c r="D20" i="6"/>
  <c r="AB20" i="6"/>
  <c r="AZ20" i="6"/>
  <c r="AJ20" i="6"/>
  <c r="AS2" i="7"/>
  <c r="P18" i="6"/>
  <c r="AN20" i="6"/>
  <c r="BL20" i="6"/>
  <c r="BD20" i="6"/>
  <c r="L20" i="6"/>
  <c r="BP20" i="6"/>
  <c r="BT20" i="6"/>
  <c r="K20" i="6"/>
  <c r="W20" i="6"/>
  <c r="AI20" i="6"/>
  <c r="AU20" i="6"/>
  <c r="BG20" i="6"/>
  <c r="BS20" i="6"/>
  <c r="C20" i="6"/>
  <c r="O20" i="6"/>
  <c r="AA20" i="6"/>
  <c r="AM20" i="6"/>
  <c r="AY20" i="6"/>
  <c r="BK20" i="6"/>
  <c r="G20" i="6"/>
  <c r="S20" i="6"/>
  <c r="AE20" i="6"/>
  <c r="AQ20" i="6"/>
  <c r="BC20" i="6"/>
  <c r="BO20" i="6"/>
  <c r="G23" i="6" l="1"/>
  <c r="C36" i="5"/>
  <c r="L11" i="5"/>
  <c r="L16" i="5" s="1"/>
  <c r="J11" i="5"/>
  <c r="S22" i="5"/>
  <c r="F41" i="5"/>
  <c r="D46" i="5"/>
  <c r="F46" i="5" s="1"/>
  <c r="C7" i="5" s="1"/>
  <c r="P20" i="6"/>
  <c r="L27" i="5"/>
  <c r="S19" i="5"/>
  <c r="S20" i="5"/>
  <c r="K41" i="5" l="1"/>
  <c r="J16" i="5"/>
  <c r="J29" i="5" s="1"/>
  <c r="L29" i="5"/>
  <c r="S27" i="5"/>
  <c r="Z20" i="5"/>
  <c r="Z19" i="5"/>
  <c r="Z21" i="5"/>
  <c r="Z26" i="5"/>
  <c r="Z25" i="5"/>
  <c r="Z22" i="5"/>
  <c r="Z24" i="5"/>
  <c r="Z23" i="5"/>
  <c r="E55" i="5"/>
  <c r="F55" i="5" s="1"/>
  <c r="E54" i="5"/>
  <c r="F54" i="5" s="1"/>
  <c r="E53" i="5"/>
  <c r="F53" i="5" s="1"/>
  <c r="E52" i="5"/>
  <c r="D26" i="5"/>
  <c r="F26" i="5" s="1"/>
  <c r="E51" i="5"/>
  <c r="E50" i="5"/>
  <c r="D20" i="5"/>
  <c r="F20" i="5" s="1"/>
  <c r="D19" i="5"/>
  <c r="D24" i="5"/>
  <c r="F24" i="5" s="1"/>
  <c r="D23" i="5"/>
  <c r="F23" i="5" s="1"/>
  <c r="D22" i="5"/>
  <c r="F22" i="5" s="1"/>
  <c r="D21" i="5"/>
  <c r="F21" i="5" s="1"/>
  <c r="D25" i="5"/>
  <c r="F25" i="5" s="1"/>
  <c r="H23" i="6"/>
  <c r="H25" i="6" s="1"/>
  <c r="G25" i="6"/>
  <c r="F51" i="5" l="1"/>
  <c r="F13" i="5"/>
  <c r="D13" i="5"/>
  <c r="F52" i="5"/>
  <c r="D15" i="5"/>
  <c r="F15" i="5"/>
  <c r="D27" i="5"/>
  <c r="F19" i="5"/>
  <c r="F27" i="5" s="1"/>
  <c r="K23" i="6"/>
  <c r="J36" i="5"/>
  <c r="Q11" i="5"/>
  <c r="S11" i="5"/>
  <c r="S16" i="5" s="1"/>
  <c r="S29" i="5" s="1"/>
  <c r="Z27" i="5"/>
  <c r="AG24" i="5"/>
  <c r="AG23" i="5"/>
  <c r="AG21" i="5"/>
  <c r="AG22" i="5"/>
  <c r="AG25" i="5"/>
  <c r="AG19" i="5"/>
  <c r="AG26" i="5"/>
  <c r="AG20" i="5"/>
  <c r="E56" i="5"/>
  <c r="F56" i="5" s="1"/>
  <c r="F50" i="5"/>
  <c r="F12" i="5"/>
  <c r="D12" i="5"/>
  <c r="D16" i="5" s="1"/>
  <c r="D29" i="5" s="1"/>
  <c r="K46" i="5"/>
  <c r="L23" i="6" l="1"/>
  <c r="L25" i="6" s="1"/>
  <c r="K25" i="6"/>
  <c r="D36" i="5"/>
  <c r="M11" i="5"/>
  <c r="K11" i="5"/>
  <c r="F16" i="5"/>
  <c r="F29" i="5" s="1"/>
  <c r="R41" i="5"/>
  <c r="Q16" i="5"/>
  <c r="Q29" i="5" s="1"/>
  <c r="AG27" i="5"/>
  <c r="AN24" i="5"/>
  <c r="AN21" i="5"/>
  <c r="AN19" i="5"/>
  <c r="AN23" i="5"/>
  <c r="AN22" i="5"/>
  <c r="AN26" i="5"/>
  <c r="AN25" i="5"/>
  <c r="AN20" i="5"/>
  <c r="R46" i="5" l="1"/>
  <c r="AN27" i="5"/>
  <c r="AU20" i="5"/>
  <c r="AU19" i="5"/>
  <c r="AU24" i="5"/>
  <c r="AU25" i="5"/>
  <c r="AU26" i="5"/>
  <c r="AU23" i="5"/>
  <c r="AU22" i="5"/>
  <c r="AU21" i="5"/>
  <c r="O23" i="6"/>
  <c r="Q36" i="5"/>
  <c r="Z11" i="5"/>
  <c r="Z16" i="5" s="1"/>
  <c r="Z29" i="5" s="1"/>
  <c r="X11" i="5"/>
  <c r="L41" i="5"/>
  <c r="L46" i="5" l="1"/>
  <c r="M46" i="5" s="1"/>
  <c r="J7" i="5" s="1"/>
  <c r="M41" i="5"/>
  <c r="AU27" i="5"/>
  <c r="BB21" i="5"/>
  <c r="BB22" i="5"/>
  <c r="BB24" i="5"/>
  <c r="BB23" i="5"/>
  <c r="BB20" i="5"/>
  <c r="BB25" i="5"/>
  <c r="BB19" i="5"/>
  <c r="BB26" i="5"/>
  <c r="Y41" i="5"/>
  <c r="X16" i="5"/>
  <c r="X29" i="5" s="1"/>
  <c r="P23" i="6"/>
  <c r="P25" i="6" s="1"/>
  <c r="O25" i="6"/>
  <c r="S23" i="6" l="1"/>
  <c r="X36" i="5"/>
  <c r="AG11" i="5"/>
  <c r="AG16" i="5" s="1"/>
  <c r="AG29" i="5" s="1"/>
  <c r="AE11" i="5"/>
  <c r="BB27" i="5"/>
  <c r="BI24" i="5"/>
  <c r="BI21" i="5"/>
  <c r="BI23" i="5"/>
  <c r="BI22" i="5"/>
  <c r="BI20" i="5"/>
  <c r="BI19" i="5"/>
  <c r="BI26" i="5"/>
  <c r="BI25" i="5"/>
  <c r="Y46" i="5"/>
  <c r="L55" i="5"/>
  <c r="M55" i="5" s="1"/>
  <c r="L54" i="5"/>
  <c r="M54" i="5" s="1"/>
  <c r="L53" i="5"/>
  <c r="M53" i="5" s="1"/>
  <c r="L52" i="5"/>
  <c r="L51" i="5"/>
  <c r="L50" i="5"/>
  <c r="K25" i="5"/>
  <c r="M25" i="5" s="1"/>
  <c r="K24" i="5"/>
  <c r="M24" i="5" s="1"/>
  <c r="K23" i="5"/>
  <c r="M23" i="5" s="1"/>
  <c r="K22" i="5"/>
  <c r="M22" i="5" s="1"/>
  <c r="K21" i="5"/>
  <c r="M21" i="5" s="1"/>
  <c r="K20" i="5"/>
  <c r="M20" i="5" s="1"/>
  <c r="K19" i="5"/>
  <c r="K26" i="5"/>
  <c r="M26" i="5" s="1"/>
  <c r="BI27" i="5" l="1"/>
  <c r="BP19" i="5"/>
  <c r="BP20" i="5"/>
  <c r="BP24" i="5"/>
  <c r="BP21" i="5"/>
  <c r="BP26" i="5"/>
  <c r="BP22" i="5"/>
  <c r="BP25" i="5"/>
  <c r="BP23" i="5"/>
  <c r="AF41" i="5"/>
  <c r="AE16" i="5"/>
  <c r="AE29" i="5" s="1"/>
  <c r="M51" i="5"/>
  <c r="K13" i="5"/>
  <c r="M13" i="5" s="1"/>
  <c r="K27" i="5"/>
  <c r="M19" i="5"/>
  <c r="M27" i="5" s="1"/>
  <c r="L56" i="5"/>
  <c r="M56" i="5" s="1"/>
  <c r="M50" i="5"/>
  <c r="K12" i="5"/>
  <c r="M52" i="5"/>
  <c r="K15" i="5"/>
  <c r="M15" i="5" s="1"/>
  <c r="T23" i="6"/>
  <c r="T25" i="6" s="1"/>
  <c r="S25" i="6"/>
  <c r="AF46" i="5" l="1"/>
  <c r="M12" i="5"/>
  <c r="K16" i="5"/>
  <c r="K29" i="5" s="1"/>
  <c r="BP27" i="5"/>
  <c r="BW23" i="5"/>
  <c r="BW22" i="5"/>
  <c r="BW24" i="5"/>
  <c r="BW20" i="5"/>
  <c r="BW21" i="5"/>
  <c r="BW26" i="5"/>
  <c r="BW25" i="5"/>
  <c r="BW19" i="5"/>
  <c r="W23" i="6"/>
  <c r="AE36" i="5"/>
  <c r="AL11" i="5"/>
  <c r="AN11" i="5"/>
  <c r="AN16" i="5" s="1"/>
  <c r="AN29" i="5" s="1"/>
  <c r="X23" i="6" l="1"/>
  <c r="X25" i="6" s="1"/>
  <c r="W25" i="6"/>
  <c r="AM41" i="5"/>
  <c r="AL16" i="5"/>
  <c r="AL29" i="5" s="1"/>
  <c r="K36" i="5"/>
  <c r="R11" i="5"/>
  <c r="T11" i="5"/>
  <c r="M16" i="5"/>
  <c r="M29" i="5" s="1"/>
  <c r="BW27" i="5"/>
  <c r="CD24" i="5"/>
  <c r="CD21" i="5"/>
  <c r="CD26" i="5"/>
  <c r="CD23" i="5"/>
  <c r="CD22" i="5"/>
  <c r="CD20" i="5"/>
  <c r="CD19" i="5"/>
  <c r="CD25" i="5"/>
  <c r="CD27" i="5" l="1"/>
  <c r="CK24" i="5"/>
  <c r="CK23" i="5"/>
  <c r="CK22" i="5"/>
  <c r="CK21" i="5"/>
  <c r="CK19" i="5"/>
  <c r="CK20" i="5"/>
  <c r="CK26" i="5"/>
  <c r="CK25" i="5"/>
  <c r="AM46" i="5"/>
  <c r="S41" i="5"/>
  <c r="AA23" i="6"/>
  <c r="AL36" i="5"/>
  <c r="AU11" i="5"/>
  <c r="AU16" i="5" s="1"/>
  <c r="AU29" i="5" s="1"/>
  <c r="AS11" i="5"/>
  <c r="S46" i="5" l="1"/>
  <c r="T46" i="5" s="1"/>
  <c r="Q7" i="5" s="1"/>
  <c r="T41" i="5"/>
  <c r="CR23" i="5"/>
  <c r="CR24" i="5"/>
  <c r="CR22" i="5"/>
  <c r="CR20" i="5"/>
  <c r="CR21" i="5"/>
  <c r="CK27" i="5"/>
  <c r="CR19" i="5"/>
  <c r="CR25" i="5"/>
  <c r="CR26" i="5"/>
  <c r="AT41" i="5"/>
  <c r="AS16" i="5"/>
  <c r="AS29" i="5" s="1"/>
  <c r="AB23" i="6"/>
  <c r="AB25" i="6" s="1"/>
  <c r="AA25" i="6"/>
  <c r="AT46" i="5" l="1"/>
  <c r="CR27" i="5"/>
  <c r="CY24" i="5"/>
  <c r="CY20" i="5"/>
  <c r="CY23" i="5"/>
  <c r="CY22" i="5"/>
  <c r="CY25" i="5"/>
  <c r="CY21" i="5"/>
  <c r="CY26" i="5"/>
  <c r="CY19" i="5"/>
  <c r="AE23" i="6"/>
  <c r="AS36" i="5"/>
  <c r="BB11" i="5"/>
  <c r="BB16" i="5" s="1"/>
  <c r="BB29" i="5" s="1"/>
  <c r="AZ11" i="5"/>
  <c r="S55" i="5"/>
  <c r="T55" i="5" s="1"/>
  <c r="S54" i="5"/>
  <c r="T54" i="5" s="1"/>
  <c r="S53" i="5"/>
  <c r="T53" i="5" s="1"/>
  <c r="S52" i="5"/>
  <c r="S51" i="5"/>
  <c r="S50" i="5"/>
  <c r="R26" i="5"/>
  <c r="T26" i="5" s="1"/>
  <c r="R24" i="5"/>
  <c r="T24" i="5" s="1"/>
  <c r="R23" i="5"/>
  <c r="T23" i="5" s="1"/>
  <c r="R22" i="5"/>
  <c r="T22" i="5" s="1"/>
  <c r="R21" i="5"/>
  <c r="T21" i="5" s="1"/>
  <c r="R25" i="5"/>
  <c r="T25" i="5" s="1"/>
  <c r="R20" i="5"/>
  <c r="T20" i="5" s="1"/>
  <c r="R19" i="5"/>
  <c r="AF23" i="6" l="1"/>
  <c r="AF25" i="6" s="1"/>
  <c r="AE25" i="6"/>
  <c r="CY27" i="5"/>
  <c r="DF23" i="5"/>
  <c r="DF19" i="5"/>
  <c r="DF22" i="5"/>
  <c r="DF24" i="5"/>
  <c r="DF21" i="5"/>
  <c r="DF26" i="5"/>
  <c r="DF25" i="5"/>
  <c r="DF20" i="5"/>
  <c r="BA41" i="5"/>
  <c r="AZ16" i="5"/>
  <c r="AZ29" i="5" s="1"/>
  <c r="T51" i="5"/>
  <c r="R13" i="5"/>
  <c r="T13" i="5" s="1"/>
  <c r="R27" i="5"/>
  <c r="T19" i="5"/>
  <c r="T27" i="5" s="1"/>
  <c r="S56" i="5"/>
  <c r="T56" i="5" s="1"/>
  <c r="R12" i="5"/>
  <c r="T50" i="5"/>
  <c r="T52" i="5"/>
  <c r="R15" i="5"/>
  <c r="T15" i="5" s="1"/>
  <c r="BA46" i="5" l="1"/>
  <c r="DF27" i="5"/>
  <c r="DM25" i="5"/>
  <c r="DM24" i="5"/>
  <c r="DM23" i="5"/>
  <c r="DM26" i="5"/>
  <c r="DM22" i="5"/>
  <c r="DM20" i="5"/>
  <c r="DM21" i="5"/>
  <c r="DM19" i="5"/>
  <c r="T12" i="5"/>
  <c r="R16" i="5"/>
  <c r="R29" i="5" s="1"/>
  <c r="AI23" i="6"/>
  <c r="AZ36" i="5"/>
  <c r="BG11" i="5"/>
  <c r="BI11" i="5"/>
  <c r="BI16" i="5" s="1"/>
  <c r="BI29" i="5" s="1"/>
  <c r="AJ23" i="6" l="1"/>
  <c r="AJ25" i="6" s="1"/>
  <c r="AI25" i="6"/>
  <c r="DM27" i="5"/>
  <c r="DT23" i="5"/>
  <c r="DT22" i="5"/>
  <c r="DT19" i="5"/>
  <c r="DT27" i="5" s="1"/>
  <c r="DT24" i="5"/>
  <c r="DT25" i="5"/>
  <c r="DT26" i="5"/>
  <c r="DT21" i="5"/>
  <c r="DT20" i="5"/>
  <c r="BH41" i="5"/>
  <c r="BG16" i="5"/>
  <c r="BG29" i="5" s="1"/>
  <c r="R36" i="5"/>
  <c r="AA11" i="5"/>
  <c r="Y11" i="5"/>
  <c r="T16" i="5"/>
  <c r="T29" i="5" s="1"/>
  <c r="Z41" i="5" l="1"/>
  <c r="BH46" i="5"/>
  <c r="AM23" i="6"/>
  <c r="BG36" i="5"/>
  <c r="BP11" i="5"/>
  <c r="BP16" i="5" s="1"/>
  <c r="BP29" i="5" s="1"/>
  <c r="BN11" i="5"/>
  <c r="AN23" i="6" l="1"/>
  <c r="AN25" i="6" s="1"/>
  <c r="AM25" i="6"/>
  <c r="BO41" i="5"/>
  <c r="BN16" i="5"/>
  <c r="BN29" i="5" s="1"/>
  <c r="Z46" i="5"/>
  <c r="AA46" i="5" s="1"/>
  <c r="X7" i="5" s="1"/>
  <c r="AA41" i="5"/>
  <c r="Z55" i="5" l="1"/>
  <c r="AA55" i="5" s="1"/>
  <c r="Z54" i="5"/>
  <c r="AA54" i="5" s="1"/>
  <c r="Z53" i="5"/>
  <c r="AA53" i="5" s="1"/>
  <c r="Z52" i="5"/>
  <c r="Y26" i="5"/>
  <c r="AA26" i="5" s="1"/>
  <c r="Z51" i="5"/>
  <c r="Z50" i="5"/>
  <c r="Y20" i="5"/>
  <c r="AA20" i="5" s="1"/>
  <c r="Y19" i="5"/>
  <c r="Y25" i="5"/>
  <c r="AA25" i="5" s="1"/>
  <c r="Y22" i="5"/>
  <c r="AA22" i="5" s="1"/>
  <c r="Y21" i="5"/>
  <c r="AA21" i="5" s="1"/>
  <c r="Y23" i="5"/>
  <c r="AA23" i="5" s="1"/>
  <c r="Y24" i="5"/>
  <c r="AA24" i="5" s="1"/>
  <c r="AQ23" i="6"/>
  <c r="BN36" i="5"/>
  <c r="BW11" i="5"/>
  <c r="BW16" i="5" s="1"/>
  <c r="BW29" i="5" s="1"/>
  <c r="BU11" i="5"/>
  <c r="BO46" i="5"/>
  <c r="AA51" i="5" l="1"/>
  <c r="Y13" i="5"/>
  <c r="AA13" i="5" s="1"/>
  <c r="AA52" i="5"/>
  <c r="Y15" i="5"/>
  <c r="AA15" i="5" s="1"/>
  <c r="AR23" i="6"/>
  <c r="AR25" i="6" s="1"/>
  <c r="AQ25" i="6"/>
  <c r="Y27" i="5"/>
  <c r="AA19" i="5"/>
  <c r="AA27" i="5" s="1"/>
  <c r="BV41" i="5"/>
  <c r="BU16" i="5"/>
  <c r="BU29" i="5" s="1"/>
  <c r="AA50" i="5"/>
  <c r="Z56" i="5"/>
  <c r="AA56" i="5" s="1"/>
  <c r="Y12" i="5"/>
  <c r="BV46" i="5" l="1"/>
  <c r="AU23" i="6"/>
  <c r="BU36" i="5"/>
  <c r="CB11" i="5"/>
  <c r="CD11" i="5"/>
  <c r="CD16" i="5" s="1"/>
  <c r="CD29" i="5" s="1"/>
  <c r="AA12" i="5"/>
  <c r="Y16" i="5"/>
  <c r="Y29" i="5" s="1"/>
  <c r="AV23" i="6" l="1"/>
  <c r="AV25" i="6" s="1"/>
  <c r="AU25" i="6"/>
  <c r="Y36" i="5"/>
  <c r="AH11" i="5"/>
  <c r="AF11" i="5"/>
  <c r="AA16" i="5"/>
  <c r="AA29" i="5" s="1"/>
  <c r="CC41" i="5"/>
  <c r="CB16" i="5"/>
  <c r="CB29" i="5" s="1"/>
  <c r="AG41" i="5" l="1"/>
  <c r="AY23" i="6"/>
  <c r="CB36" i="5"/>
  <c r="CK11" i="5"/>
  <c r="CK16" i="5" s="1"/>
  <c r="CK29" i="5" s="1"/>
  <c r="CI11" i="5"/>
  <c r="CC46" i="5"/>
  <c r="AZ23" i="6" l="1"/>
  <c r="AZ25" i="6" s="1"/>
  <c r="AY25" i="6"/>
  <c r="AG46" i="5"/>
  <c r="AH46" i="5" s="1"/>
  <c r="AE7" i="5" s="1"/>
  <c r="AH41" i="5"/>
  <c r="CJ41" i="5"/>
  <c r="CI16" i="5"/>
  <c r="CI29" i="5" s="1"/>
  <c r="CJ46" i="5" l="1"/>
  <c r="AG55" i="5"/>
  <c r="AH55" i="5" s="1"/>
  <c r="AG54" i="5"/>
  <c r="AH54" i="5" s="1"/>
  <c r="AG53" i="5"/>
  <c r="AH53" i="5" s="1"/>
  <c r="AG52" i="5"/>
  <c r="AG51" i="5"/>
  <c r="AG50" i="5"/>
  <c r="AF25" i="5"/>
  <c r="AH25" i="5" s="1"/>
  <c r="AF24" i="5"/>
  <c r="AH24" i="5" s="1"/>
  <c r="AF23" i="5"/>
  <c r="AH23" i="5" s="1"/>
  <c r="AF22" i="5"/>
  <c r="AH22" i="5" s="1"/>
  <c r="AF21" i="5"/>
  <c r="AH21" i="5" s="1"/>
  <c r="AF26" i="5"/>
  <c r="AH26" i="5" s="1"/>
  <c r="AF20" i="5"/>
  <c r="AH20" i="5" s="1"/>
  <c r="AF19" i="5"/>
  <c r="BC23" i="6"/>
  <c r="CI36" i="5"/>
  <c r="CR11" i="5"/>
  <c r="CR16" i="5" s="1"/>
  <c r="CR29" i="5" s="1"/>
  <c r="CP11" i="5"/>
  <c r="AF27" i="5" l="1"/>
  <c r="AH19" i="5"/>
  <c r="AH27" i="5" s="1"/>
  <c r="BD23" i="6"/>
  <c r="BD25" i="6" s="1"/>
  <c r="BC25" i="6"/>
  <c r="AH51" i="5"/>
  <c r="AF13" i="5"/>
  <c r="AH13" i="5" s="1"/>
  <c r="CQ41" i="5"/>
  <c r="CP16" i="5"/>
  <c r="CP29" i="5" s="1"/>
  <c r="AG56" i="5"/>
  <c r="AH56" i="5" s="1"/>
  <c r="AH50" i="5"/>
  <c r="AF12" i="5"/>
  <c r="AH52" i="5"/>
  <c r="AF15" i="5"/>
  <c r="AH15" i="5" s="1"/>
  <c r="AH12" i="5" l="1"/>
  <c r="AF16" i="5"/>
  <c r="AF29" i="5" s="1"/>
  <c r="BG23" i="6"/>
  <c r="CP36" i="5"/>
  <c r="CW11" i="5"/>
  <c r="CY11" i="5"/>
  <c r="CY16" i="5" s="1"/>
  <c r="CY29" i="5" s="1"/>
  <c r="CQ46" i="5"/>
  <c r="CX41" i="5" l="1"/>
  <c r="CW16" i="5"/>
  <c r="CW29" i="5" s="1"/>
  <c r="AF36" i="5"/>
  <c r="AM11" i="5"/>
  <c r="AO11" i="5"/>
  <c r="BH23" i="6"/>
  <c r="BH25" i="6" s="1"/>
  <c r="BG25" i="6"/>
  <c r="AH16" i="5"/>
  <c r="AH29" i="5" s="1"/>
  <c r="AN41" i="5" l="1"/>
  <c r="BK23" i="6"/>
  <c r="CW36" i="5"/>
  <c r="DF11" i="5"/>
  <c r="DF16" i="5" s="1"/>
  <c r="DF29" i="5" s="1"/>
  <c r="DD11" i="5"/>
  <c r="CX46" i="5"/>
  <c r="BL23" i="6" l="1"/>
  <c r="BL25" i="6" s="1"/>
  <c r="BK25" i="6"/>
  <c r="AN46" i="5"/>
  <c r="AO46" i="5" s="1"/>
  <c r="AL7" i="5" s="1"/>
  <c r="AO41" i="5"/>
  <c r="DE41" i="5"/>
  <c r="DD16" i="5"/>
  <c r="DD29" i="5" s="1"/>
  <c r="BO23" i="6" l="1"/>
  <c r="DD36" i="5"/>
  <c r="DM11" i="5"/>
  <c r="DM16" i="5" s="1"/>
  <c r="DM29" i="5" s="1"/>
  <c r="DK11" i="5"/>
  <c r="AN55" i="5"/>
  <c r="AO55" i="5" s="1"/>
  <c r="AN54" i="5"/>
  <c r="AO54" i="5" s="1"/>
  <c r="AN53" i="5"/>
  <c r="AO53" i="5" s="1"/>
  <c r="AN52" i="5"/>
  <c r="AN51" i="5"/>
  <c r="AN50" i="5"/>
  <c r="AM24" i="5"/>
  <c r="AO24" i="5" s="1"/>
  <c r="AM23" i="5"/>
  <c r="AO23" i="5" s="1"/>
  <c r="AM22" i="5"/>
  <c r="AO22" i="5" s="1"/>
  <c r="AM21" i="5"/>
  <c r="AO21" i="5" s="1"/>
  <c r="AM25" i="5"/>
  <c r="AO25" i="5" s="1"/>
  <c r="AM20" i="5"/>
  <c r="AO20" i="5" s="1"/>
  <c r="AM19" i="5"/>
  <c r="AM26" i="5"/>
  <c r="AO26" i="5" s="1"/>
  <c r="DE46" i="5"/>
  <c r="AM27" i="5" l="1"/>
  <c r="AO19" i="5"/>
  <c r="AO27" i="5" s="1"/>
  <c r="AN56" i="5"/>
  <c r="AO56" i="5" s="1"/>
  <c r="AO50" i="5"/>
  <c r="AM12" i="5"/>
  <c r="AO51" i="5"/>
  <c r="AM13" i="5"/>
  <c r="AO13" i="5" s="1"/>
  <c r="AO52" i="5"/>
  <c r="AM15" i="5"/>
  <c r="AO15" i="5" s="1"/>
  <c r="DL41" i="5"/>
  <c r="DK16" i="5"/>
  <c r="DK29" i="5" s="1"/>
  <c r="BP23" i="6"/>
  <c r="BP25" i="6" s="1"/>
  <c r="BO25" i="6"/>
  <c r="DL46" i="5" l="1"/>
  <c r="AO12" i="5"/>
  <c r="AM16" i="5"/>
  <c r="AM29" i="5" s="1"/>
  <c r="BS23" i="6"/>
  <c r="DK36" i="5"/>
  <c r="DR11" i="5"/>
  <c r="DT11" i="5"/>
  <c r="DT16" i="5" s="1"/>
  <c r="DT29" i="5" s="1"/>
  <c r="AM36" i="5" l="1"/>
  <c r="AV11" i="5"/>
  <c r="AT11" i="5"/>
  <c r="DS41" i="5"/>
  <c r="DR16" i="5"/>
  <c r="DR29" i="5" s="1"/>
  <c r="DR36" i="5" s="1"/>
  <c r="AO16" i="5"/>
  <c r="AO29" i="5" s="1"/>
  <c r="BT23" i="6"/>
  <c r="BT25" i="6" s="1"/>
  <c r="BS25" i="6"/>
  <c r="AU41" i="5" l="1"/>
  <c r="DS46" i="5"/>
  <c r="AU46" i="5" l="1"/>
  <c r="AV46" i="5" s="1"/>
  <c r="AS7" i="5" s="1"/>
  <c r="AV41" i="5"/>
  <c r="AU55" i="5" l="1"/>
  <c r="AV55" i="5" s="1"/>
  <c r="AU54" i="5"/>
  <c r="AV54" i="5" s="1"/>
  <c r="AU53" i="5"/>
  <c r="AV53" i="5" s="1"/>
  <c r="AU52" i="5"/>
  <c r="AU51" i="5"/>
  <c r="AU50" i="5"/>
  <c r="AT26" i="5"/>
  <c r="AV26" i="5" s="1"/>
  <c r="AT20" i="5"/>
  <c r="AV20" i="5" s="1"/>
  <c r="AT19" i="5"/>
  <c r="AT25" i="5"/>
  <c r="AV25" i="5" s="1"/>
  <c r="AT21" i="5"/>
  <c r="AV21" i="5" s="1"/>
  <c r="AT22" i="5"/>
  <c r="AV22" i="5" s="1"/>
  <c r="AT23" i="5"/>
  <c r="AV23" i="5" s="1"/>
  <c r="AT24" i="5"/>
  <c r="AV24" i="5" s="1"/>
  <c r="AV51" i="5" l="1"/>
  <c r="AT13" i="5"/>
  <c r="AV13" i="5" s="1"/>
  <c r="AV52" i="5"/>
  <c r="AT15" i="5"/>
  <c r="AV15" i="5" s="1"/>
  <c r="AT27" i="5"/>
  <c r="AV19" i="5"/>
  <c r="AV27" i="5" s="1"/>
  <c r="AU56" i="5"/>
  <c r="AV56" i="5" s="1"/>
  <c r="AV50" i="5"/>
  <c r="AT12" i="5"/>
  <c r="AV12" i="5" l="1"/>
  <c r="AT16" i="5"/>
  <c r="AT29" i="5" s="1"/>
  <c r="AT36" i="5" l="1"/>
  <c r="BC11" i="5"/>
  <c r="BA11" i="5"/>
  <c r="AV16" i="5"/>
  <c r="AV29" i="5" s="1"/>
  <c r="BB41" i="5" l="1"/>
  <c r="BB46" i="5" l="1"/>
  <c r="BC46" i="5" s="1"/>
  <c r="AZ7" i="5" s="1"/>
  <c r="BC41" i="5"/>
  <c r="BB55" i="5" l="1"/>
  <c r="BC55" i="5" s="1"/>
  <c r="BB54" i="5"/>
  <c r="BC54" i="5" s="1"/>
  <c r="BB53" i="5"/>
  <c r="BC53" i="5" s="1"/>
  <c r="BB52" i="5"/>
  <c r="BB51" i="5"/>
  <c r="BA26" i="5"/>
  <c r="BC26" i="5" s="1"/>
  <c r="BA25" i="5"/>
  <c r="BC25" i="5" s="1"/>
  <c r="BA24" i="5"/>
  <c r="BC24" i="5" s="1"/>
  <c r="BA23" i="5"/>
  <c r="BC23" i="5" s="1"/>
  <c r="BA22" i="5"/>
  <c r="BC22" i="5" s="1"/>
  <c r="BA21" i="5"/>
  <c r="BC21" i="5" s="1"/>
  <c r="BA20" i="5"/>
  <c r="BC20" i="5" s="1"/>
  <c r="BA19" i="5"/>
  <c r="BB50" i="5"/>
  <c r="BA27" i="5" l="1"/>
  <c r="BC19" i="5"/>
  <c r="BC27" i="5" s="1"/>
  <c r="BC51" i="5"/>
  <c r="BA13" i="5"/>
  <c r="BC13" i="5" s="1"/>
  <c r="BC52" i="5"/>
  <c r="BA15" i="5"/>
  <c r="BC15" i="5" s="1"/>
  <c r="BB56" i="5"/>
  <c r="BC56" i="5" s="1"/>
  <c r="BC50" i="5"/>
  <c r="BA12" i="5"/>
  <c r="BC12" i="5" l="1"/>
  <c r="BA16" i="5"/>
  <c r="BA29" i="5" s="1"/>
  <c r="BH11" i="5" l="1"/>
  <c r="BA36" i="5"/>
  <c r="BJ11" i="5"/>
  <c r="BC16" i="5"/>
  <c r="BC29" i="5" s="1"/>
  <c r="BI41" i="5" l="1"/>
  <c r="BI46" i="5" l="1"/>
  <c r="BJ46" i="5" s="1"/>
  <c r="BG7" i="5" s="1"/>
  <c r="BJ41" i="5"/>
  <c r="BI55" i="5" l="1"/>
  <c r="BJ55" i="5" s="1"/>
  <c r="BI54" i="5"/>
  <c r="BJ54" i="5" s="1"/>
  <c r="BI53" i="5"/>
  <c r="BJ53" i="5" s="1"/>
  <c r="BI52" i="5"/>
  <c r="BI51" i="5"/>
  <c r="BI50" i="5"/>
  <c r="BH26" i="5"/>
  <c r="BJ26" i="5" s="1"/>
  <c r="BH25" i="5"/>
  <c r="BJ25" i="5" s="1"/>
  <c r="BH24" i="5"/>
  <c r="BJ24" i="5" s="1"/>
  <c r="BH23" i="5"/>
  <c r="BJ23" i="5" s="1"/>
  <c r="BH22" i="5"/>
  <c r="BJ22" i="5" s="1"/>
  <c r="BH21" i="5"/>
  <c r="BJ21" i="5" s="1"/>
  <c r="BH20" i="5"/>
  <c r="BJ20" i="5" s="1"/>
  <c r="BH19" i="5"/>
  <c r="BJ52" i="5" l="1"/>
  <c r="BH15" i="5"/>
  <c r="BJ15" i="5" s="1"/>
  <c r="BJ51" i="5"/>
  <c r="BH13" i="5"/>
  <c r="BJ13" i="5" s="1"/>
  <c r="BH27" i="5"/>
  <c r="BJ19" i="5"/>
  <c r="BJ27" i="5" s="1"/>
  <c r="BI56" i="5"/>
  <c r="BJ56" i="5" s="1"/>
  <c r="BJ50" i="5"/>
  <c r="BH12" i="5"/>
  <c r="BJ12" i="5" l="1"/>
  <c r="BH16" i="5"/>
  <c r="BH29" i="5" s="1"/>
  <c r="BH36" i="5" l="1"/>
  <c r="BQ11" i="5"/>
  <c r="BO11" i="5"/>
  <c r="BJ16" i="5"/>
  <c r="BJ29" i="5" s="1"/>
  <c r="BP41" i="5" l="1"/>
  <c r="BP46" i="5" l="1"/>
  <c r="BQ46" i="5" s="1"/>
  <c r="BN7" i="5" s="1"/>
  <c r="BQ41" i="5"/>
  <c r="BP55" i="5" l="1"/>
  <c r="BQ55" i="5" s="1"/>
  <c r="BP54" i="5"/>
  <c r="BQ54" i="5" s="1"/>
  <c r="BP53" i="5"/>
  <c r="BQ53" i="5" s="1"/>
  <c r="BP52" i="5"/>
  <c r="BP51" i="5"/>
  <c r="BO26" i="5"/>
  <c r="BQ26" i="5" s="1"/>
  <c r="BO25" i="5"/>
  <c r="BQ25" i="5" s="1"/>
  <c r="BP50" i="5"/>
  <c r="BO19" i="5"/>
  <c r="BO24" i="5"/>
  <c r="BQ24" i="5" s="1"/>
  <c r="BO23" i="5"/>
  <c r="BQ23" i="5" s="1"/>
  <c r="BO22" i="5"/>
  <c r="BQ22" i="5" s="1"/>
  <c r="BO21" i="5"/>
  <c r="BQ21" i="5" s="1"/>
  <c r="BO20" i="5"/>
  <c r="BQ20" i="5" s="1"/>
  <c r="BQ52" i="5" l="1"/>
  <c r="BO15" i="5"/>
  <c r="BQ15" i="5" s="1"/>
  <c r="BO27" i="5"/>
  <c r="BQ19" i="5"/>
  <c r="BQ27" i="5" s="1"/>
  <c r="BQ50" i="5"/>
  <c r="BP56" i="5"/>
  <c r="BQ56" i="5" s="1"/>
  <c r="BO12" i="5"/>
  <c r="BQ51" i="5"/>
  <c r="BO13" i="5"/>
  <c r="BQ13" i="5" s="1"/>
  <c r="BQ12" i="5" l="1"/>
  <c r="BO16" i="5"/>
  <c r="BO29" i="5" s="1"/>
  <c r="BQ16" i="5" l="1"/>
  <c r="BQ29" i="5" s="1"/>
  <c r="BO36" i="5"/>
  <c r="BX11" i="5"/>
  <c r="BV11" i="5"/>
  <c r="BW41" i="5" l="1"/>
  <c r="BW46" i="5" l="1"/>
  <c r="BX46" i="5" s="1"/>
  <c r="BU7" i="5" s="1"/>
  <c r="BX41" i="5"/>
  <c r="BW55" i="5" l="1"/>
  <c r="BX55" i="5" s="1"/>
  <c r="BW54" i="5"/>
  <c r="BX54" i="5" s="1"/>
  <c r="BW53" i="5"/>
  <c r="BX53" i="5" s="1"/>
  <c r="BW50" i="5"/>
  <c r="BW52" i="5"/>
  <c r="BW51" i="5"/>
  <c r="BV24" i="5"/>
  <c r="BX24" i="5" s="1"/>
  <c r="BV23" i="5"/>
  <c r="BX23" i="5" s="1"/>
  <c r="BV22" i="5"/>
  <c r="BX22" i="5" s="1"/>
  <c r="BV21" i="5"/>
  <c r="BX21" i="5" s="1"/>
  <c r="BV20" i="5"/>
  <c r="BX20" i="5" s="1"/>
  <c r="BV25" i="5"/>
  <c r="BX25" i="5" s="1"/>
  <c r="BV19" i="5"/>
  <c r="BV26" i="5"/>
  <c r="BX26" i="5" s="1"/>
  <c r="BX52" i="5" l="1"/>
  <c r="BV15" i="5"/>
  <c r="BX15" i="5" s="1"/>
  <c r="BW56" i="5"/>
  <c r="BX56" i="5" s="1"/>
  <c r="BX50" i="5"/>
  <c r="BV12" i="5"/>
  <c r="BX51" i="5"/>
  <c r="BV13" i="5"/>
  <c r="BX13" i="5" s="1"/>
  <c r="BV27" i="5"/>
  <c r="BX19" i="5"/>
  <c r="BX27" i="5" s="1"/>
  <c r="BX12" i="5" l="1"/>
  <c r="BV16" i="5"/>
  <c r="BV29" i="5" s="1"/>
  <c r="BV36" i="5" l="1"/>
  <c r="CC11" i="5"/>
  <c r="CE11" i="5"/>
  <c r="BX16" i="5"/>
  <c r="BX29" i="5" s="1"/>
  <c r="CD41" i="5" l="1"/>
  <c r="CD46" i="5" l="1"/>
  <c r="CE46" i="5" s="1"/>
  <c r="CB7" i="5" s="1"/>
  <c r="CE41" i="5"/>
  <c r="CD55" i="5" l="1"/>
  <c r="CE55" i="5" s="1"/>
  <c r="CD54" i="5"/>
  <c r="CE54" i="5" s="1"/>
  <c r="CD53" i="5"/>
  <c r="CE53" i="5" s="1"/>
  <c r="CD52" i="5"/>
  <c r="CD51" i="5"/>
  <c r="CD50" i="5"/>
  <c r="CC26" i="5"/>
  <c r="CE26" i="5" s="1"/>
  <c r="CC24" i="5"/>
  <c r="CE24" i="5" s="1"/>
  <c r="CC23" i="5"/>
  <c r="CE23" i="5" s="1"/>
  <c r="CC22" i="5"/>
  <c r="CE22" i="5" s="1"/>
  <c r="CC21" i="5"/>
  <c r="CE21" i="5" s="1"/>
  <c r="CC20" i="5"/>
  <c r="CE20" i="5" s="1"/>
  <c r="CC19" i="5"/>
  <c r="CC25" i="5"/>
  <c r="CE25" i="5" s="1"/>
  <c r="CE51" i="5" l="1"/>
  <c r="CC13" i="5"/>
  <c r="CE13" i="5" s="1"/>
  <c r="CE52" i="5"/>
  <c r="CC15" i="5"/>
  <c r="CE15" i="5" s="1"/>
  <c r="CC27" i="5"/>
  <c r="CE19" i="5"/>
  <c r="CE27" i="5" s="1"/>
  <c r="CD56" i="5"/>
  <c r="CE56" i="5" s="1"/>
  <c r="CE50" i="5"/>
  <c r="CC12" i="5"/>
  <c r="CE12" i="5" l="1"/>
  <c r="CC16" i="5"/>
  <c r="CC29" i="5" s="1"/>
  <c r="CC36" i="5" l="1"/>
  <c r="CL11" i="5"/>
  <c r="CJ11" i="5"/>
  <c r="CE16" i="5"/>
  <c r="CE29" i="5" s="1"/>
  <c r="CK41" i="5" l="1"/>
  <c r="CK46" i="5" l="1"/>
  <c r="CL46" i="5" s="1"/>
  <c r="CI7" i="5" s="1"/>
  <c r="CL41" i="5"/>
  <c r="CK55" i="5" l="1"/>
  <c r="CL55" i="5" s="1"/>
  <c r="CK54" i="5"/>
  <c r="CL54" i="5" s="1"/>
  <c r="CK53" i="5"/>
  <c r="CL53" i="5" s="1"/>
  <c r="CK52" i="5"/>
  <c r="CK51" i="5"/>
  <c r="CJ26" i="5"/>
  <c r="CL26" i="5" s="1"/>
  <c r="CJ25" i="5"/>
  <c r="CL25" i="5" s="1"/>
  <c r="CK50" i="5"/>
  <c r="CJ19" i="5"/>
  <c r="CJ21" i="5"/>
  <c r="CL21" i="5" s="1"/>
  <c r="CJ22" i="5"/>
  <c r="CL22" i="5" s="1"/>
  <c r="CJ23" i="5"/>
  <c r="CL23" i="5" s="1"/>
  <c r="CJ24" i="5"/>
  <c r="CL24" i="5" s="1"/>
  <c r="CJ20" i="5"/>
  <c r="CL20" i="5" s="1"/>
  <c r="CL52" i="5" l="1"/>
  <c r="CJ15" i="5"/>
  <c r="CL15" i="5" s="1"/>
  <c r="CL51" i="5"/>
  <c r="CJ13" i="5"/>
  <c r="CL13" i="5" s="1"/>
  <c r="CJ27" i="5"/>
  <c r="CL19" i="5"/>
  <c r="CL27" i="5" s="1"/>
  <c r="CK56" i="5"/>
  <c r="CL56" i="5" s="1"/>
  <c r="CL50" i="5"/>
  <c r="CJ12" i="5"/>
  <c r="CL12" i="5" l="1"/>
  <c r="CJ16" i="5"/>
  <c r="CJ29" i="5" s="1"/>
  <c r="CJ36" i="5" l="1"/>
  <c r="CS11" i="5"/>
  <c r="CQ11" i="5"/>
  <c r="CL16" i="5"/>
  <c r="CL29" i="5" s="1"/>
  <c r="CR41" i="5" l="1"/>
  <c r="CR46" i="5" l="1"/>
  <c r="CS46" i="5" s="1"/>
  <c r="CP7" i="5" s="1"/>
  <c r="CS41" i="5"/>
  <c r="CR55" i="5" l="1"/>
  <c r="CS55" i="5" s="1"/>
  <c r="CR54" i="5"/>
  <c r="CS54" i="5" s="1"/>
  <c r="CR53" i="5"/>
  <c r="CS53" i="5" s="1"/>
  <c r="CR52" i="5"/>
  <c r="CR51" i="5"/>
  <c r="CR50" i="5"/>
  <c r="CQ26" i="5"/>
  <c r="CS26" i="5" s="1"/>
  <c r="CQ24" i="5"/>
  <c r="CS24" i="5" s="1"/>
  <c r="CQ23" i="5"/>
  <c r="CS23" i="5" s="1"/>
  <c r="CQ22" i="5"/>
  <c r="CS22" i="5" s="1"/>
  <c r="CQ21" i="5"/>
  <c r="CS21" i="5" s="1"/>
  <c r="CQ20" i="5"/>
  <c r="CS20" i="5" s="1"/>
  <c r="CQ25" i="5"/>
  <c r="CS25" i="5" s="1"/>
  <c r="CQ19" i="5"/>
  <c r="CS51" i="5" l="1"/>
  <c r="CQ13" i="5"/>
  <c r="CS13" i="5" s="1"/>
  <c r="CS52" i="5"/>
  <c r="CQ15" i="5"/>
  <c r="CS15" i="5" s="1"/>
  <c r="CR56" i="5"/>
  <c r="CS56" i="5" s="1"/>
  <c r="CS50" i="5"/>
  <c r="CQ12" i="5"/>
  <c r="CQ27" i="5"/>
  <c r="CS19" i="5"/>
  <c r="CS27" i="5" s="1"/>
  <c r="CS12" i="5" l="1"/>
  <c r="CQ16" i="5"/>
  <c r="CQ29" i="5" s="1"/>
  <c r="CQ36" i="5" l="1"/>
  <c r="CX11" i="5"/>
  <c r="CZ11" i="5"/>
  <c r="CS16" i="5"/>
  <c r="CS29" i="5" s="1"/>
  <c r="CY41" i="5" l="1"/>
  <c r="CY46" i="5" l="1"/>
  <c r="CZ46" i="5" s="1"/>
  <c r="CW7" i="5" s="1"/>
  <c r="CZ41" i="5"/>
  <c r="CY55" i="5" l="1"/>
  <c r="CZ55" i="5" s="1"/>
  <c r="CY54" i="5"/>
  <c r="CZ54" i="5" s="1"/>
  <c r="CY53" i="5"/>
  <c r="CZ53" i="5" s="1"/>
  <c r="CY52" i="5"/>
  <c r="CY51" i="5"/>
  <c r="CY50" i="5"/>
  <c r="CX24" i="5"/>
  <c r="CZ24" i="5" s="1"/>
  <c r="CX23" i="5"/>
  <c r="CZ23" i="5" s="1"/>
  <c r="CX22" i="5"/>
  <c r="CZ22" i="5" s="1"/>
  <c r="CX21" i="5"/>
  <c r="CZ21" i="5" s="1"/>
  <c r="CX20" i="5"/>
  <c r="CZ20" i="5" s="1"/>
  <c r="CX26" i="5"/>
  <c r="CZ26" i="5" s="1"/>
  <c r="CX25" i="5"/>
  <c r="CZ25" i="5" s="1"/>
  <c r="CX19" i="5"/>
  <c r="CY56" i="5" l="1"/>
  <c r="CZ56" i="5" s="1"/>
  <c r="CZ50" i="5"/>
  <c r="CX12" i="5"/>
  <c r="CZ52" i="5"/>
  <c r="CX15" i="5"/>
  <c r="CZ15" i="5" s="1"/>
  <c r="CZ51" i="5"/>
  <c r="CX13" i="5"/>
  <c r="CZ13" i="5" s="1"/>
  <c r="CX27" i="5"/>
  <c r="CZ19" i="5"/>
  <c r="CZ27" i="5" s="1"/>
  <c r="CZ12" i="5" l="1"/>
  <c r="CX16" i="5"/>
  <c r="CX29" i="5" s="1"/>
  <c r="CX36" i="5" l="1"/>
  <c r="DG11" i="5"/>
  <c r="DE11" i="5"/>
  <c r="CZ16" i="5"/>
  <c r="CZ29" i="5" s="1"/>
  <c r="DF41" i="5" l="1"/>
  <c r="DF46" i="5" l="1"/>
  <c r="DG46" i="5" s="1"/>
  <c r="DD7" i="5" s="1"/>
  <c r="DG41" i="5"/>
  <c r="DF55" i="5" l="1"/>
  <c r="DG55" i="5" s="1"/>
  <c r="DF54" i="5"/>
  <c r="DG54" i="5" s="1"/>
  <c r="DF53" i="5"/>
  <c r="DG53" i="5" s="1"/>
  <c r="DF52" i="5"/>
  <c r="DF51" i="5"/>
  <c r="DF50" i="5"/>
  <c r="DE26" i="5"/>
  <c r="DG26" i="5" s="1"/>
  <c r="DE25" i="5"/>
  <c r="DG25" i="5" s="1"/>
  <c r="DE19" i="5"/>
  <c r="DE20" i="5"/>
  <c r="DG20" i="5" s="1"/>
  <c r="DE21" i="5"/>
  <c r="DG21" i="5" s="1"/>
  <c r="DE22" i="5"/>
  <c r="DG22" i="5" s="1"/>
  <c r="DE23" i="5"/>
  <c r="DG23" i="5" s="1"/>
  <c r="DE24" i="5"/>
  <c r="DG24" i="5" s="1"/>
  <c r="DG50" i="5" l="1"/>
  <c r="DF56" i="5"/>
  <c r="DG56" i="5" s="1"/>
  <c r="DE12" i="5"/>
  <c r="DG51" i="5"/>
  <c r="DE13" i="5"/>
  <c r="DG13" i="5" s="1"/>
  <c r="DG52" i="5"/>
  <c r="DE15" i="5"/>
  <c r="DG15" i="5" s="1"/>
  <c r="DE27" i="5"/>
  <c r="DG19" i="5"/>
  <c r="DG27" i="5" s="1"/>
  <c r="DG12" i="5" l="1"/>
  <c r="DE16" i="5"/>
  <c r="DE29" i="5" s="1"/>
  <c r="DE36" i="5" l="1"/>
  <c r="DN11" i="5"/>
  <c r="DL11" i="5"/>
  <c r="DG16" i="5"/>
  <c r="DG29" i="5" s="1"/>
  <c r="DM41" i="5" l="1"/>
  <c r="DM46" i="5" l="1"/>
  <c r="DN46" i="5" s="1"/>
  <c r="DK7" i="5" s="1"/>
  <c r="DN41" i="5"/>
  <c r="DM55" i="5" l="1"/>
  <c r="DN55" i="5" s="1"/>
  <c r="DM54" i="5"/>
  <c r="DN54" i="5" s="1"/>
  <c r="DM53" i="5"/>
  <c r="DN53" i="5" s="1"/>
  <c r="DM52" i="5"/>
  <c r="DM51" i="5"/>
  <c r="DL26" i="5"/>
  <c r="DN26" i="5" s="1"/>
  <c r="DM50" i="5"/>
  <c r="DL25" i="5"/>
  <c r="DN25" i="5" s="1"/>
  <c r="DL24" i="5"/>
  <c r="DN24" i="5" s="1"/>
  <c r="DL23" i="5"/>
  <c r="DN23" i="5" s="1"/>
  <c r="DL22" i="5"/>
  <c r="DN22" i="5" s="1"/>
  <c r="DL21" i="5"/>
  <c r="DN21" i="5" s="1"/>
  <c r="DL20" i="5"/>
  <c r="DN20" i="5" s="1"/>
  <c r="DL19" i="5"/>
  <c r="DN52" i="5" l="1"/>
  <c r="DL15" i="5"/>
  <c r="DN15" i="5" s="1"/>
  <c r="DN51" i="5"/>
  <c r="DL13" i="5"/>
  <c r="DN13" i="5" s="1"/>
  <c r="DL27" i="5"/>
  <c r="DN19" i="5"/>
  <c r="DN27" i="5" s="1"/>
  <c r="DM56" i="5"/>
  <c r="DN56" i="5" s="1"/>
  <c r="DN50" i="5"/>
  <c r="DL12" i="5"/>
  <c r="DN12" i="5" l="1"/>
  <c r="DL16" i="5"/>
  <c r="DL29" i="5" s="1"/>
  <c r="DL36" i="5" l="1"/>
  <c r="DS11" i="5"/>
  <c r="DU11" i="5"/>
  <c r="DN16" i="5"/>
  <c r="DN29" i="5" s="1"/>
  <c r="DT41" i="5" l="1"/>
  <c r="DT46" i="5" l="1"/>
  <c r="DU46" i="5" s="1"/>
  <c r="DR7" i="5" s="1"/>
  <c r="DU41" i="5"/>
  <c r="AA2" i="7"/>
  <c r="DT55" i="5" l="1"/>
  <c r="DU55" i="5" s="1"/>
  <c r="DT54" i="5"/>
  <c r="DU54" i="5" s="1"/>
  <c r="DT53" i="5"/>
  <c r="DU53" i="5" s="1"/>
  <c r="DT52" i="5"/>
  <c r="DT51" i="5"/>
  <c r="DT50" i="5"/>
  <c r="DS25" i="5"/>
  <c r="DU25" i="5" s="1"/>
  <c r="DS26" i="5"/>
  <c r="DU26" i="5" s="1"/>
  <c r="DS23" i="5"/>
  <c r="DU23" i="5" s="1"/>
  <c r="DS22" i="5"/>
  <c r="DU22" i="5" s="1"/>
  <c r="DS21" i="5"/>
  <c r="DU21" i="5" s="1"/>
  <c r="DS20" i="5"/>
  <c r="DU20" i="5" s="1"/>
  <c r="DS19" i="5"/>
  <c r="DS24" i="5"/>
  <c r="DU24" i="5" s="1"/>
  <c r="DU51" i="5" l="1"/>
  <c r="DS13" i="5"/>
  <c r="DU13" i="5" s="1"/>
  <c r="DU52" i="5"/>
  <c r="DS15" i="5"/>
  <c r="DU15" i="5" s="1"/>
  <c r="DT56" i="5"/>
  <c r="DU56" i="5" s="1"/>
  <c r="DU50" i="5"/>
  <c r="DS12" i="5"/>
  <c r="AG2" i="7"/>
  <c r="DS27" i="5"/>
  <c r="DU19" i="5"/>
  <c r="DU27" i="5" s="1"/>
  <c r="AM2" i="7"/>
  <c r="DU12" i="5" l="1"/>
  <c r="DU16" i="5" s="1"/>
  <c r="DU29" i="5" s="1"/>
  <c r="DS16" i="5"/>
  <c r="DS29" i="5" s="1"/>
  <c r="DS36" i="5" s="1"/>
</calcChain>
</file>

<file path=xl/sharedStrings.xml><?xml version="1.0" encoding="utf-8"?>
<sst xmlns="http://schemas.openxmlformats.org/spreadsheetml/2006/main" count="1966" uniqueCount="319">
  <si>
    <t xml:space="preserve">  DASHBOARD (v1.0)</t>
  </si>
  <si>
    <t>Statische Projektinformationen</t>
  </si>
  <si>
    <t>AED</t>
  </si>
  <si>
    <t>AFN</t>
  </si>
  <si>
    <t>ALL</t>
  </si>
  <si>
    <t>AMD</t>
  </si>
  <si>
    <t>AOA</t>
  </si>
  <si>
    <t>ARS</t>
  </si>
  <si>
    <t>AUD</t>
  </si>
  <si>
    <t>AWG</t>
  </si>
  <si>
    <t>AZN</t>
  </si>
  <si>
    <t>BAM</t>
  </si>
  <si>
    <t>BBD</t>
  </si>
  <si>
    <t>BDT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</si>
  <si>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</si>
  <si>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</si>
  <si>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</si>
  <si>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</si>
  <si>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</si>
  <si>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</si>
  <si>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</si>
  <si>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</si>
  <si>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</si>
  <si>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</si>
  <si>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</si>
  <si>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</si>
  <si>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</si>
  <si>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</si>
  <si>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</si>
  <si>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</si>
  <si>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</si>
  <si>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</si>
  <si>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</si>
  <si>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</si>
  <si>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</si>
  <si>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</si>
  <si>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</si>
  <si>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</si>
  <si>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</si>
  <si>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</si>
  <si>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</si>
  <si>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</si>
  <si>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</si>
  <si>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</si>
  <si>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</si>
  <si>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</si>
  <si>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</si>
  <si>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</si>
  <si>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</si>
  <si>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</si>
  <si>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</si>
  <si>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</si>
  <si>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</si>
  <si>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</si>
  <si>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</si>
  <si>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</si>
  <si>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</si>
  <si>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</si>
  <si>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</si>
  <si>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</si>
  <si>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</si>
  <si>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</si>
  <si>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</si>
  <si>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</si>
  <si>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</si>
  <si>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</si>
  <si>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</si>
  <si>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</si>
  <si>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</si>
  <si>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</si>
  <si>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</si>
  <si>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</si>
  <si>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</si>
  <si>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</si>
  <si>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</si>
  <si>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</si>
  <si>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</si>
  <si>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</si>
  <si>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</si>
  <si>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</si>
  <si>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</si>
  <si>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</si>
  <si>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</si>
  <si>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</si>
  <si>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</si>
  <si>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</si>
  <si>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</si>
  <si>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</si>
  <si>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</si>
  <si>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</si>
  <si>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</si>
  <si>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</si>
  <si>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</si>
  <si>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</si>
  <si>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</si>
  <si>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</si>
  <si>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</si>
  <si>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</si>
  <si>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</si>
  <si>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</si>
  <si>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</si>
  <si>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</si>
  <si>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</si>
  <si>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</si>
  <si>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</si>
  <si>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</si>
  <si>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</si>
  <si>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</si>
  <si>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</si>
  <si>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</si>
  <si>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</si>
  <si>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</si>
  <si>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</si>
  <si>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</si>
  <si>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</si>
  <si>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</si>
  <si>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</si>
  <si>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</si>
  <si>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</si>
  <si>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</si>
  <si>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</si>
  <si>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</si>
  <si>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</si>
  <si>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</si>
  <si>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</si>
  <si>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</si>
  <si>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</si>
  <si>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</si>
  <si>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</si>
  <si>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</si>
  <si>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</si>
  <si>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</si>
  <si>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</si>
  <si>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</si>
  <si>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</si>
  <si>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</si>
  <si>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</si>
  <si>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</si>
  <si>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</si>
  <si>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</si>
  <si>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</si>
  <si>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</si>
  <si>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</si>
  <si>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VED</t>
  </si>
  <si>
    <t>VES</t>
  </si>
  <si>
    <t>VND</t>
  </si>
  <si>
    <t>VUV</t>
  </si>
  <si>
    <t>WST</t>
  </si>
  <si>
    <t>XAF</t>
  </si>
  <si>
    <t>XCD</t>
  </si>
  <si>
    <t>XCG</t>
  </si>
  <si>
    <t>XOF</t>
  </si>
  <si>
    <t>XPF</t>
  </si>
  <si>
    <t>YER</t>
  </si>
  <si>
    <t>ZAR</t>
  </si>
  <si>
    <t>ZMW</t>
  </si>
  <si>
    <t>ZWG</t>
  </si>
  <si>
    <t>Projektnummer</t>
  </si>
  <si>
    <t/>
  </si>
  <si>
    <t>Vorprojekt vorhanden</t>
  </si>
  <si>
    <t>Ja</t>
  </si>
  <si>
    <t>Projekttitel</t>
  </si>
  <si>
    <t>Projekttraeger</t>
  </si>
  <si>
    <t>Berichtswaehrung</t>
  </si>
  <si>
    <t>Projektlaufzeit (geplant)</t>
  </si>
  <si>
    <t>In Monate</t>
  </si>
  <si>
    <t>Vorprojektnummer</t>
  </si>
  <si>
    <t>VP-Berichtswaehrung</t>
  </si>
  <si>
    <t>Vorprojektende</t>
  </si>
  <si>
    <t>Wechselkurs</t>
  </si>
  <si>
    <t>Saldo (LW)</t>
  </si>
  <si>
    <t>Saldo (EUR)</t>
  </si>
  <si>
    <t>Folgeprojektstart</t>
  </si>
  <si>
    <t>Saldovortrag (LW)</t>
  </si>
  <si>
    <t>Saldovortrag (EUR)</t>
  </si>
  <si>
    <t>Folgende Dokumente liegen vor:</t>
  </si>
  <si>
    <t>Nein</t>
  </si>
  <si>
    <t>Vorprojektsaldo (Nachweis)</t>
  </si>
  <si>
    <t>Vertrag</t>
  </si>
  <si>
    <t>Budget</t>
  </si>
  <si>
    <t>Bankbelege</t>
  </si>
  <si>
    <t>Finanzbericht(e)</t>
  </si>
  <si>
    <t>Einzelbelege und Beleglisten</t>
  </si>
  <si>
    <t>Narrativer Bericht</t>
  </si>
  <si>
    <t>I. KERNDATEN BUDGET</t>
  </si>
  <si>
    <t>1. GEPLANTE EINNAHMEN / FINANZIERUNG</t>
  </si>
  <si>
    <t>€ Budget-Kurs:</t>
  </si>
  <si>
    <t>Finanzierungsquelle</t>
  </si>
  <si>
    <t>Betrag (LC)</t>
  </si>
  <si>
    <t>Jahr 1</t>
  </si>
  <si>
    <t>Jahr 2</t>
  </si>
  <si>
    <t>Jahr 3</t>
  </si>
  <si>
    <t>Betrag (EUR)</t>
  </si>
  <si>
    <t>1.1 Eigenmittel</t>
  </si>
  <si>
    <t>Eigenmittel</t>
  </si>
  <si>
    <t>1.2 Drittmittel</t>
  </si>
  <si>
    <t>Drittmittel (Summe):</t>
  </si>
  <si>
    <t>Aufstellung je Geber → Tabelle rechts</t>
  </si>
  <si>
    <t>1.3 KMW-Mittel</t>
  </si>
  <si>
    <t>KMW-Mittel</t>
  </si>
  <si>
    <t>GESAMTPROJEKTMITTEL</t>
  </si>
  <si>
    <t>2. GEPLANTE AUSGABEN</t>
  </si>
  <si>
    <t>Kostenkategorie</t>
  </si>
  <si>
    <t>ID</t>
  </si>
  <si>
    <t>Kostenposition</t>
  </si>
  <si>
    <t>Bauausgaben</t>
  </si>
  <si>
    <t>Investitionen</t>
  </si>
  <si>
    <t>Personalkosten</t>
  </si>
  <si>
    <t>Projektaktivitaeten</t>
  </si>
  <si>
    <t>Projektverwaltung</t>
  </si>
  <si>
    <t>Evaluierung</t>
  </si>
  <si>
    <t>Audit</t>
  </si>
  <si>
    <t>Reserve</t>
  </si>
  <si>
    <t>Geplante Gesamtausgaben</t>
  </si>
  <si>
    <t>Drittmittel – Aufstellung je Geber</t>
  </si>
  <si>
    <t>Name des Gebers</t>
  </si>
  <si>
    <t>Reserve Freigabe</t>
  </si>
  <si>
    <t>Reserve freigeben:</t>
  </si>
  <si>
    <t>Begruendung</t>
  </si>
  <si>
    <t>Budgetpruefung</t>
  </si>
  <si>
    <t>Einnahmen = Ausgaben (LC)</t>
  </si>
  <si>
    <t>Einnahmen = Ausgaben (EUR)</t>
  </si>
  <si>
    <t>Gleicher Budget-Kurs</t>
  </si>
  <si>
    <t>Einnahmen: Jahre = Gesamt (LC)</t>
  </si>
  <si>
    <t>Ausgaben: Jahre = Gesamt (LC)</t>
  </si>
  <si>
    <t>II. KMW-MITTEL BEREITGESTELLT</t>
  </si>
  <si>
    <t>Periode 1</t>
  </si>
  <si>
    <t>Periode 2</t>
  </si>
  <si>
    <t>Periode 3</t>
  </si>
  <si>
    <t>Periode 4</t>
  </si>
  <si>
    <t>Periode 5</t>
  </si>
  <si>
    <t>Periode 6</t>
  </si>
  <si>
    <t>Periode 7</t>
  </si>
  <si>
    <t>Periode 8</t>
  </si>
  <si>
    <t>Periode 9</t>
  </si>
  <si>
    <t>Periode 10</t>
  </si>
  <si>
    <t>Periode 11</t>
  </si>
  <si>
    <t>Periode 12</t>
  </si>
  <si>
    <t>Periode 13</t>
  </si>
  <si>
    <t>Periode 14</t>
  </si>
  <si>
    <t>Periode 15</t>
  </si>
  <si>
    <t>Periode 16</t>
  </si>
  <si>
    <t>Periode 17</t>
  </si>
  <si>
    <t>Periode 18</t>
  </si>
  <si>
    <t>Periode 19</t>
  </si>
  <si>
    <t>Periode 20</t>
  </si>
  <si>
    <t>Periode 21</t>
  </si>
  <si>
    <t>Periode 22</t>
  </si>
  <si>
    <t>Periode 23</t>
  </si>
  <si>
    <t>Periode 24</t>
  </si>
  <si>
    <t>Periode 25</t>
  </si>
  <si>
    <t>Periode 26</t>
  </si>
  <si>
    <t>Periode 27</t>
  </si>
  <si>
    <t>Periode 28</t>
  </si>
  <si>
    <t>Periode 29</t>
  </si>
  <si>
    <t>Periode 30</t>
  </si>
  <si>
    <t>Periode 31</t>
  </si>
  <si>
    <t>Periode 32</t>
  </si>
  <si>
    <t>Periode 33</t>
  </si>
  <si>
    <t>Periode 34</t>
  </si>
  <si>
    <t>Periode 35</t>
  </si>
  <si>
    <t>Periode 36</t>
  </si>
  <si>
    <t>Periode</t>
  </si>
  <si>
    <t>Waehrung</t>
  </si>
  <si>
    <t>Betrag</t>
  </si>
  <si>
    <t>Datum</t>
  </si>
  <si>
    <t>GESAMT</t>
  </si>
  <si>
    <t>Periode:</t>
  </si>
  <si>
    <t>Zeitraum:</t>
  </si>
  <si>
    <t>Durchschnittskurs:</t>
  </si>
  <si>
    <t>Einnahmen</t>
  </si>
  <si>
    <t>Typ / ID</t>
  </si>
  <si>
    <t>Einnahmen (LC)</t>
  </si>
  <si>
    <t>Einnahmen (EUR)</t>
  </si>
  <si>
    <t>Kum. Einnahmen (LC)</t>
  </si>
  <si>
    <t>Kum. Einnahmen (EUR)</t>
  </si>
  <si>
    <t>Vorprojektsaldo</t>
  </si>
  <si>
    <t>Drittmittel</t>
  </si>
  <si>
    <t>Zinsertraege</t>
  </si>
  <si>
    <t>Gesamteinnahmen</t>
  </si>
  <si>
    <t>Ausgaben</t>
  </si>
  <si>
    <t>Ausgaben (LC)</t>
  </si>
  <si>
    <t>Ausgaben (EUR)</t>
  </si>
  <si>
    <t>Kum. Ausgaben (LC)</t>
  </si>
  <si>
    <t>Kum. Ausgaben (EUR)</t>
  </si>
  <si>
    <t>Gesamtausgaben</t>
  </si>
  <si>
    <t>Saldo des Finanzberichts</t>
  </si>
  <si>
    <t>Aufschluesselung:</t>
  </si>
  <si>
    <t>Bank</t>
  </si>
  <si>
    <t>Kasse</t>
  </si>
  <si>
    <t>Sonstiges</t>
  </si>
  <si>
    <t>Differenz (Pruefung):</t>
  </si>
  <si>
    <t>Einnahmen (Explizite Kurseingabe)</t>
  </si>
  <si>
    <t>Typ</t>
  </si>
  <si>
    <t>Geber</t>
  </si>
  <si>
    <t>Kurs</t>
  </si>
  <si>
    <t>Saldo des Vorprojekts</t>
  </si>
  <si>
    <t>KMW</t>
  </si>
  <si>
    <t>Gesamteinnahmen in Periode</t>
  </si>
  <si>
    <t>Einnahmen (Durchschnittskurs)</t>
  </si>
  <si>
    <t>Projektpartner</t>
  </si>
  <si>
    <t>Gesamt (Durchschnittskurs)</t>
  </si>
  <si>
    <t>➤</t>
  </si>
  <si>
    <t>Vorperiodensaldo</t>
  </si>
  <si>
    <t>Saldo der Vorperiode</t>
  </si>
  <si>
    <t>OANDA-Kurs:</t>
  </si>
  <si>
    <t>Angefordert (LC)</t>
  </si>
  <si>
    <t>Angefordert (EUR)</t>
  </si>
  <si>
    <t>SUMME</t>
  </si>
  <si>
    <t>Gesamtbedarf an Mitteln:</t>
  </si>
  <si>
    <t>abzueglich Eigenmittel:</t>
  </si>
  <si>
    <t>abzueglich Drittmittel:</t>
  </si>
  <si>
    <t>abzueglich Saldo Vorprojekt:</t>
  </si>
  <si>
    <t>KMW-Mittel Anforderung:</t>
  </si>
  <si>
    <t>abzueglich Saldo Vorperiode (FB):</t>
  </si>
  <si>
    <t>Einnahmen_Explizit_Stack</t>
  </si>
  <si>
    <t>Einnahmen_Durchschnittskurs_Stack</t>
  </si>
  <si>
    <t>Ausgaben_Finanzbericht_Stack</t>
  </si>
  <si>
    <t>Mittelanforderung_Stack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</si>
</sst>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0.0000"/>
    <numFmt numFmtId="166" formatCode="#,##0.00&quot; €&quot;"/>
    <numFmt numFmtId="167" formatCode="0.000000"/>
  </numFmts>
  <fonts count="21" x14ac:knownFonts="1">
    <font>
      <sz val="11"/>
      <color theme="1"/>
      <name val="Calibri"/>
      <family val="2"/>
    </font>
    <font>
      <b/>
      <sz val="18"/>
      <color rgb="FFFFFFFF"/>
      <name val="Segoe UI"/>
      <family val="2"/>
    </font>
    <font>
      <b/>
      <sz val="13"/>
      <color rgb="FF000000"/>
      <name val="Segoe UI"/>
      <family val="2"/>
    </font>
    <font>
      <sz val="11"/>
      <color rgb="FF000000"/>
      <name val="Segoe UI"/>
      <family val="2"/>
    </font>
    <font>
      <b/>
      <sz val="10"/>
      <color rgb="FF000000"/>
      <name val="Segoe UI"/>
      <family val="2"/>
    </font>
    <font>
      <b/>
      <sz val="14"/>
      <color rgb="FF000000"/>
      <name val="Segoe UI"/>
      <family val="2"/>
    </font>
    <font>
      <b/>
      <sz val="11"/>
      <color rgb="FF000000"/>
      <name val="Segoe UI"/>
      <family val="2"/>
    </font>
    <font>
      <sz val="9"/>
      <color rgb="FF000000"/>
      <name val="Segoe UI"/>
      <family val="2"/>
    </font>
    <font>
      <i/>
      <sz val="11"/>
      <color rgb="FF000000"/>
      <name val="Segoe UI"/>
      <family val="2"/>
    </font>
    <font>
      <b/>
      <sz val="9"/>
      <color rgb="FF3C3C3C"/>
      <name val="Segoe UI"/>
      <family val="2"/>
    </font>
    <font>
      <sz val="10"/>
      <color rgb="FF000000"/>
      <name val="Segoe UI"/>
      <family val="2"/>
    </font>
    <font>
      <i/>
      <sz val="8"/>
      <color rgb="FF595959"/>
      <name val="Segoe UI"/>
      <family val="2"/>
    </font>
    <font>
      <b/>
      <sz val="11"/>
      <color rgb="FF000000"/>
      <name val="Segoe UI"/>
      <family val="2"/>
    </font>
    <font>
      <b/>
      <sz val="9"/>
      <color rgb="FF000000"/>
      <name val="Segoe UI"/>
      <family val="2"/>
    </font>
    <font>
      <i/>
      <sz val="9"/>
      <color rgb="FF595959"/>
      <name val="Segoe UI"/>
      <family val="2"/>
    </font>
    <font>
      <b/>
      <sz val="9"/>
      <color rgb="FF595959"/>
      <name val="Segoe UI"/>
      <family val="2"/>
    </font>
    <font>
      <b/>
      <sz val="9"/>
      <color rgb="FF7F7F7F"/>
      <name val="Segoe UI"/>
      <family val="2"/>
    </font>
    <font>
      <sz val="9"/>
      <color rgb="FF595959"/>
      <name val="Segoe UI"/>
      <family val="2"/>
    </font>
    <font>
      <sz val="8"/>
      <color rgb="FF808080"/>
      <name val="Segoe UI"/>
      <family val="2"/>
    </font>
    <font>
      <b/>
      <sz val="24"/>
      <color rgb="FF808080"/>
      <name val="Segoe UI"/>
      <family val="2"/>
    </font>
    <font>
      <b/>
      <sz val="12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6C7A50"/>
      </patternFill>
    </fill>
    <fill>
      <patternFill patternType="solid">
        <fgColor rgb="FFDCDCDC"/>
      </patternFill>
    </fill>
    <fill>
      <patternFill patternType="solid">
        <fgColor rgb="FFF5F5F5"/>
      </patternFill>
    </fill>
    <fill>
      <patternFill patternType="solid">
        <fgColor rgb="FFFFFAE5"/>
      </patternFill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CE6F1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667022"/>
      </bottom>
      <diagonal/>
    </border>
    <border>
      <left/>
      <right/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double">
        <color rgb="FF969696"/>
      </top>
      <bottom style="thin">
        <color rgb="FF969696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medium">
        <color rgb="FF808080"/>
      </right>
      <top style="thin">
        <color rgb="FFD3D3D3"/>
      </top>
      <bottom style="thin">
        <color rgb="FFD3D3D3"/>
      </bottom>
      <diagonal/>
    </border>
    <border>
      <left style="medium">
        <color rgb="FF808080"/>
      </left>
      <right style="thin">
        <color rgb="FFD3D3D3"/>
      </right>
      <top style="thin">
        <color rgb="FFD3D3D3"/>
      </top>
      <bottom style="medium">
        <color rgb="FF80808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808080"/>
      </bottom>
      <diagonal/>
    </border>
    <border>
      <left style="thin">
        <color rgb="FFD3D3D3"/>
      </left>
      <right style="medium">
        <color rgb="FF808080"/>
      </right>
      <top style="thin">
        <color rgb="FFD3D3D3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/>
      <top style="medium">
        <color rgb="FF808080"/>
      </top>
      <bottom style="thin">
        <color rgb="FF808080"/>
      </bottom>
      <diagonal/>
    </border>
    <border>
      <left/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thin">
        <color rgb="FFD3D3D3"/>
      </bottom>
      <diagonal/>
    </border>
    <border>
      <left style="medium">
        <color rgb="FF808080"/>
      </left>
      <right style="medium">
        <color rgb="FF808080"/>
      </right>
      <top style="thin">
        <color rgb="FFD3D3D3"/>
      </top>
      <bottom style="thin">
        <color rgb="FFD3D3D3"/>
      </bottom>
      <diagonal/>
    </border>
    <border>
      <left style="medium">
        <color rgb="FF808080"/>
      </left>
      <right style="medium">
        <color rgb="FF808080"/>
      </right>
      <top style="thin">
        <color rgb="FFD3D3D3"/>
      </top>
      <bottom style="medium">
        <color rgb="FF808080"/>
      </bottom>
      <diagonal/>
    </border>
    <border>
      <left style="medium">
        <color rgb="FF808080"/>
      </left>
      <right style="thin">
        <color rgb="FFD3D3D3"/>
      </right>
      <top style="medium">
        <color rgb="FF80808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808080"/>
      </top>
      <bottom style="thin">
        <color rgb="FFD3D3D3"/>
      </bottom>
      <diagonal/>
    </border>
    <border>
      <left style="thin">
        <color rgb="FFD3D3D3"/>
      </left>
      <right style="medium">
        <color rgb="FF808080"/>
      </right>
      <top style="medium">
        <color rgb="FF808080"/>
      </top>
      <bottom style="thin">
        <color rgb="FFD3D3D3"/>
      </bottom>
      <diagonal/>
    </border>
    <border>
      <left style="medium">
        <color rgb="FF808080"/>
      </left>
      <right style="thin">
        <color rgb="FFD3D3D3"/>
      </right>
      <top style="medium">
        <color rgb="FF808080"/>
      </top>
      <bottom style="medium">
        <color rgb="FF808080"/>
      </bottom>
      <diagonal/>
    </border>
    <border>
      <left style="thin">
        <color rgb="FFD3D3D3"/>
      </left>
      <right style="thin">
        <color rgb="FFD3D3D3"/>
      </right>
      <top style="medium">
        <color rgb="FF808080"/>
      </top>
      <bottom style="medium">
        <color rgb="FF808080"/>
      </bottom>
      <diagonal/>
    </border>
    <border>
      <left style="thin">
        <color rgb="FFD3D3D3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/>
      <bottom style="thin">
        <color rgb="FFD3D3D3"/>
      </bottom>
      <diagonal/>
    </border>
    <border>
      <left/>
      <right/>
      <top style="double">
        <color rgb="FF808080"/>
      </top>
      <bottom style="double">
        <color rgb="FF808080"/>
      </bottom>
      <diagonal/>
    </border>
    <border>
      <left/>
      <right/>
      <top style="medium">
        <color rgb="FF808080"/>
      </top>
      <bottom style="thin">
        <color rgb="FFD3D3D3"/>
      </bottom>
      <diagonal/>
    </border>
    <border>
      <left/>
      <right style="medium">
        <color rgb="FF808080"/>
      </right>
      <top style="double">
        <color rgb="FF808080"/>
      </top>
      <bottom style="double">
        <color rgb="FF808080"/>
      </bottom>
      <diagonal/>
    </border>
    <border>
      <left style="medium">
        <color rgb="FF808080"/>
      </left>
      <right/>
      <top/>
      <bottom style="thin">
        <color rgb="FFD3D3D3"/>
      </bottom>
      <diagonal/>
    </border>
    <border>
      <left style="thin">
        <color rgb="FF808080"/>
      </left>
      <right style="thin">
        <color rgb="FF808080"/>
      </right>
      <top style="double">
        <color rgb="FF808080"/>
      </top>
      <bottom style="thin">
        <color rgb="FF808080"/>
      </bottom>
      <diagonal/>
    </border>
    <border>
      <left/>
      <right/>
      <top style="double">
        <color rgb="FF808080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3" fillId="0" borderId="0" xfId="0" applyFont="1"/>
    <xf numFmtId="0" fontId="4" fillId="4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/>
    </xf>
    <xf numFmtId="164" fontId="3" fillId="5" borderId="3" xfId="0" applyNumberFormat="1" applyFont="1" applyFill="1" applyBorder="1" applyAlignment="1">
      <alignment horizontal="left" vertical="center"/>
    </xf>
    <xf numFmtId="165" fontId="3" fillId="5" borderId="3" xfId="0" applyNumberFormat="1" applyFont="1" applyFill="1" applyBorder="1" applyAlignment="1">
      <alignment horizontal="left" vertical="center"/>
    </xf>
    <xf numFmtId="4" fontId="3" fillId="5" borderId="3" xfId="0" applyNumberFormat="1" applyFont="1" applyFill="1" applyBorder="1" applyAlignment="1">
      <alignment horizontal="left" vertical="center"/>
    </xf>
    <xf numFmtId="166" fontId="3" fillId="5" borderId="3" xfId="0" applyNumberFormat="1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5" fillId="7" borderId="5" xfId="0" applyFont="1" applyFill="1" applyBorder="1" applyAlignment="1">
      <alignment vertical="center"/>
    </xf>
    <xf numFmtId="0" fontId="6" fillId="7" borderId="6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right" vertical="center"/>
    </xf>
    <xf numFmtId="165" fontId="8" fillId="0" borderId="7" xfId="0" applyNumberFormat="1" applyFont="1" applyBorder="1"/>
    <xf numFmtId="0" fontId="9" fillId="7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left" vertical="center"/>
    </xf>
    <xf numFmtId="4" fontId="3" fillId="5" borderId="10" xfId="0" applyNumberFormat="1" applyFont="1" applyFill="1" applyBorder="1" applyAlignment="1">
      <alignment horizontal="right" vertical="center"/>
    </xf>
    <xf numFmtId="0" fontId="11" fillId="0" borderId="0" xfId="0" applyFont="1"/>
    <xf numFmtId="4" fontId="12" fillId="0" borderId="0" xfId="0" applyNumberFormat="1" applyFont="1" applyAlignment="1">
      <alignment horizontal="right" vertical="center"/>
    </xf>
    <xf numFmtId="0" fontId="4" fillId="6" borderId="11" xfId="0" applyFont="1" applyFill="1" applyBorder="1" applyAlignment="1">
      <alignment vertical="center"/>
    </xf>
    <xf numFmtId="0" fontId="3" fillId="5" borderId="10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left" vertical="center"/>
    </xf>
    <xf numFmtId="166" fontId="3" fillId="5" borderId="18" xfId="0" applyNumberFormat="1" applyFont="1" applyFill="1" applyBorder="1" applyAlignment="1">
      <alignment horizontal="right" vertical="center"/>
    </xf>
    <xf numFmtId="0" fontId="3" fillId="5" borderId="19" xfId="0" applyFont="1" applyFill="1" applyBorder="1" applyAlignment="1">
      <alignment horizontal="left" vertical="center"/>
    </xf>
    <xf numFmtId="4" fontId="3" fillId="5" borderId="20" xfId="0" applyNumberFormat="1" applyFont="1" applyFill="1" applyBorder="1" applyAlignment="1">
      <alignment horizontal="right" vertical="center"/>
    </xf>
    <xf numFmtId="166" fontId="3" fillId="5" borderId="21" xfId="0" applyNumberFormat="1" applyFont="1" applyFill="1" applyBorder="1" applyAlignment="1">
      <alignment horizontal="right" vertical="center"/>
    </xf>
    <xf numFmtId="0" fontId="5" fillId="7" borderId="22" xfId="0" applyFont="1" applyFill="1" applyBorder="1" applyAlignment="1">
      <alignment vertical="center"/>
    </xf>
    <xf numFmtId="0" fontId="5" fillId="7" borderId="23" xfId="0" applyFont="1" applyFill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6" fillId="7" borderId="26" xfId="0" applyFont="1" applyFill="1" applyBorder="1" applyAlignment="1">
      <alignment horizontal="left" vertical="center"/>
    </xf>
    <xf numFmtId="0" fontId="6" fillId="7" borderId="27" xfId="0" applyFont="1" applyFill="1" applyBorder="1" applyAlignment="1">
      <alignment horizontal="left" vertical="center"/>
    </xf>
    <xf numFmtId="0" fontId="4" fillId="6" borderId="28" xfId="0" applyFont="1" applyFill="1" applyBorder="1" applyAlignment="1">
      <alignment horizontal="left" vertical="center"/>
    </xf>
    <xf numFmtId="0" fontId="4" fillId="6" borderId="29" xfId="0" applyFont="1" applyFill="1" applyBorder="1" applyAlignment="1">
      <alignment horizontal="left" vertical="center"/>
    </xf>
    <xf numFmtId="0" fontId="10" fillId="0" borderId="24" xfId="0" applyFont="1" applyBorder="1"/>
    <xf numFmtId="166" fontId="12" fillId="0" borderId="25" xfId="0" applyNumberFormat="1" applyFont="1" applyBorder="1" applyAlignment="1">
      <alignment horizontal="right" vertical="center"/>
    </xf>
    <xf numFmtId="0" fontId="4" fillId="6" borderId="30" xfId="0" applyFont="1" applyFill="1" applyBorder="1" applyAlignment="1">
      <alignment vertical="center"/>
    </xf>
    <xf numFmtId="0" fontId="4" fillId="6" borderId="31" xfId="0" applyFont="1" applyFill="1" applyBorder="1" applyAlignment="1">
      <alignment vertical="center"/>
    </xf>
    <xf numFmtId="0" fontId="4" fillId="6" borderId="32" xfId="0" applyFont="1" applyFill="1" applyBorder="1" applyAlignment="1">
      <alignment vertical="center"/>
    </xf>
    <xf numFmtId="0" fontId="4" fillId="6" borderId="33" xfId="0" applyFont="1" applyFill="1" applyBorder="1" applyAlignment="1">
      <alignment vertical="center"/>
    </xf>
    <xf numFmtId="0" fontId="4" fillId="6" borderId="34" xfId="0" applyFont="1" applyFill="1" applyBorder="1" applyAlignment="1">
      <alignment vertical="center"/>
    </xf>
    <xf numFmtId="0" fontId="13" fillId="7" borderId="35" xfId="0" applyFont="1" applyFill="1" applyBorder="1" applyAlignment="1">
      <alignment horizontal="center" vertical="center"/>
    </xf>
    <xf numFmtId="166" fontId="9" fillId="0" borderId="36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15" fillId="8" borderId="37" xfId="0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0" fontId="15" fillId="8" borderId="2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vertical="center"/>
    </xf>
    <xf numFmtId="4" fontId="3" fillId="5" borderId="10" xfId="0" applyNumberFormat="1" applyFont="1" applyFill="1" applyBorder="1" applyAlignment="1">
      <alignment vertical="center"/>
    </xf>
    <xf numFmtId="0" fontId="9" fillId="7" borderId="41" xfId="0" applyFont="1" applyFill="1" applyBorder="1" applyAlignment="1">
      <alignment horizontal="center" vertical="center"/>
    </xf>
    <xf numFmtId="0" fontId="9" fillId="7" borderId="42" xfId="0" applyFont="1" applyFill="1" applyBorder="1" applyAlignment="1">
      <alignment horizontal="center" vertical="center"/>
    </xf>
    <xf numFmtId="0" fontId="9" fillId="7" borderId="43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vertical="center"/>
    </xf>
    <xf numFmtId="0" fontId="3" fillId="5" borderId="39" xfId="0" applyFont="1" applyFill="1" applyBorder="1" applyAlignment="1">
      <alignment vertical="center"/>
    </xf>
    <xf numFmtId="4" fontId="3" fillId="5" borderId="39" xfId="0" applyNumberFormat="1" applyFont="1" applyFill="1" applyBorder="1" applyAlignment="1">
      <alignment vertical="center"/>
    </xf>
    <xf numFmtId="164" fontId="3" fillId="5" borderId="40" xfId="0" applyNumberFormat="1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164" fontId="3" fillId="5" borderId="18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4" fontId="3" fillId="5" borderId="20" xfId="0" applyNumberFormat="1" applyFont="1" applyFill="1" applyBorder="1" applyAlignment="1">
      <alignment vertical="center"/>
    </xf>
    <xf numFmtId="164" fontId="3" fillId="5" borderId="21" xfId="0" applyNumberFormat="1" applyFont="1" applyFill="1" applyBorder="1" applyAlignment="1">
      <alignment horizontal="center" vertical="center"/>
    </xf>
    <xf numFmtId="0" fontId="9" fillId="7" borderId="41" xfId="0" applyFont="1" applyFill="1" applyBorder="1" applyAlignment="1">
      <alignment vertical="center"/>
    </xf>
    <xf numFmtId="0" fontId="9" fillId="7" borderId="42" xfId="0" applyFont="1" applyFill="1" applyBorder="1" applyAlignment="1">
      <alignment vertical="center"/>
    </xf>
    <xf numFmtId="4" fontId="9" fillId="7" borderId="42" xfId="0" applyNumberFormat="1" applyFont="1" applyFill="1" applyBorder="1" applyAlignment="1">
      <alignment vertical="center"/>
    </xf>
    <xf numFmtId="0" fontId="9" fillId="7" borderId="43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7" borderId="11" xfId="0" applyFont="1" applyFill="1" applyBorder="1" applyAlignment="1">
      <alignment horizontal="center" vertical="center" wrapText="1"/>
    </xf>
    <xf numFmtId="4" fontId="3" fillId="9" borderId="10" xfId="0" applyNumberFormat="1" applyFont="1" applyFill="1" applyBorder="1" applyAlignment="1">
      <alignment horizontal="right" vertical="center"/>
    </xf>
    <xf numFmtId="166" fontId="3" fillId="9" borderId="10" xfId="0" applyNumberFormat="1" applyFont="1" applyFill="1" applyBorder="1" applyAlignment="1">
      <alignment horizontal="right" vertical="center"/>
    </xf>
    <xf numFmtId="4" fontId="12" fillId="6" borderId="11" xfId="0" applyNumberFormat="1" applyFont="1" applyFill="1" applyBorder="1" applyAlignment="1">
      <alignment horizontal="right" vertical="center"/>
    </xf>
    <xf numFmtId="166" fontId="12" fillId="6" borderId="11" xfId="0" applyNumberFormat="1" applyFont="1" applyFill="1" applyBorder="1" applyAlignment="1">
      <alignment horizontal="right" vertical="center"/>
    </xf>
    <xf numFmtId="0" fontId="12" fillId="7" borderId="11" xfId="0" applyFont="1" applyFill="1" applyBorder="1" applyAlignment="1">
      <alignment horizontal="center" vertical="center"/>
    </xf>
    <xf numFmtId="4" fontId="12" fillId="6" borderId="10" xfId="0" applyNumberFormat="1" applyFont="1" applyFill="1" applyBorder="1" applyAlignment="1">
      <alignment horizontal="right"/>
    </xf>
    <xf numFmtId="166" fontId="12" fillId="6" borderId="10" xfId="0" applyNumberFormat="1" applyFont="1" applyFill="1" applyBorder="1" applyAlignment="1">
      <alignment horizontal="right"/>
    </xf>
    <xf numFmtId="4" fontId="12" fillId="0" borderId="45" xfId="0" applyNumberFormat="1" applyFont="1" applyBorder="1"/>
    <xf numFmtId="166" fontId="12" fillId="0" borderId="45" xfId="0" applyNumberFormat="1" applyFont="1" applyBorder="1"/>
    <xf numFmtId="4" fontId="3" fillId="5" borderId="44" xfId="0" applyNumberFormat="1" applyFont="1" applyFill="1" applyBorder="1" applyAlignment="1">
      <alignment horizontal="right" vertical="center"/>
    </xf>
    <xf numFmtId="166" fontId="3" fillId="9" borderId="44" xfId="0" applyNumberFormat="1" applyFont="1" applyFill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12" fillId="7" borderId="30" xfId="0" applyFont="1" applyFill="1" applyBorder="1" applyAlignment="1">
      <alignment horizontal="left" vertical="center"/>
    </xf>
    <xf numFmtId="0" fontId="12" fillId="7" borderId="31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left" vertical="center"/>
    </xf>
    <xf numFmtId="166" fontId="3" fillId="9" borderId="18" xfId="0" applyNumberFormat="1" applyFont="1" applyFill="1" applyBorder="1" applyAlignment="1">
      <alignment horizontal="right" vertical="center"/>
    </xf>
    <xf numFmtId="0" fontId="12" fillId="6" borderId="30" xfId="0" applyFont="1" applyFill="1" applyBorder="1" applyAlignment="1">
      <alignment horizontal="left" vertical="center"/>
    </xf>
    <xf numFmtId="166" fontId="12" fillId="6" borderId="31" xfId="0" applyNumberFormat="1" applyFont="1" applyFill="1" applyBorder="1" applyAlignment="1">
      <alignment horizontal="right" vertical="center"/>
    </xf>
    <xf numFmtId="0" fontId="12" fillId="7" borderId="30" xfId="0" applyFont="1" applyFill="1" applyBorder="1" applyAlignment="1">
      <alignment horizontal="center" vertical="center"/>
    </xf>
    <xf numFmtId="0" fontId="12" fillId="7" borderId="31" xfId="0" applyFont="1" applyFill="1" applyBorder="1" applyAlignment="1">
      <alignment horizontal="center" vertical="center"/>
    </xf>
    <xf numFmtId="49" fontId="3" fillId="9" borderId="17" xfId="0" applyNumberFormat="1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left"/>
    </xf>
    <xf numFmtId="166" fontId="12" fillId="6" borderId="18" xfId="0" applyNumberFormat="1" applyFont="1" applyFill="1" applyBorder="1" applyAlignment="1">
      <alignment horizontal="right"/>
    </xf>
    <xf numFmtId="166" fontId="12" fillId="0" borderId="47" xfId="0" applyNumberFormat="1" applyFont="1" applyBorder="1"/>
    <xf numFmtId="0" fontId="3" fillId="0" borderId="48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4" fontId="18" fillId="0" borderId="8" xfId="0" applyNumberFormat="1" applyFont="1" applyBorder="1" applyAlignment="1">
      <alignment horizontal="right" vertical="center"/>
    </xf>
    <xf numFmtId="166" fontId="18" fillId="0" borderId="8" xfId="0" applyNumberFormat="1" applyFont="1" applyBorder="1" applyAlignment="1">
      <alignment horizontal="right" vertical="center"/>
    </xf>
    <xf numFmtId="0" fontId="0" fillId="0" borderId="8" xfId="0" applyBorder="1"/>
    <xf numFmtId="0" fontId="0" fillId="0" borderId="16" xfId="0" applyBorder="1"/>
    <xf numFmtId="0" fontId="8" fillId="9" borderId="10" xfId="0" applyFont="1" applyFill="1" applyBorder="1" applyAlignment="1">
      <alignment horizontal="left"/>
    </xf>
    <xf numFmtId="0" fontId="8" fillId="9" borderId="10" xfId="0" applyFont="1" applyFill="1" applyBorder="1" applyAlignment="1">
      <alignment horizontal="center"/>
    </xf>
    <xf numFmtId="4" fontId="8" fillId="9" borderId="10" xfId="0" applyNumberFormat="1" applyFont="1" applyFill="1" applyBorder="1" applyAlignment="1">
      <alignment horizontal="right"/>
    </xf>
    <xf numFmtId="166" fontId="8" fillId="9" borderId="10" xfId="0" applyNumberFormat="1" applyFont="1" applyFill="1" applyBorder="1" applyAlignment="1">
      <alignment horizontal="right"/>
    </xf>
    <xf numFmtId="167" fontId="8" fillId="9" borderId="10" xfId="0" applyNumberFormat="1" applyFont="1" applyFill="1" applyBorder="1" applyAlignment="1">
      <alignment horizontal="right"/>
    </xf>
    <xf numFmtId="0" fontId="3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center"/>
    </xf>
    <xf numFmtId="4" fontId="3" fillId="5" borderId="10" xfId="0" applyNumberFormat="1" applyFont="1" applyFill="1" applyBorder="1" applyAlignment="1">
      <alignment horizontal="right"/>
    </xf>
    <xf numFmtId="166" fontId="3" fillId="5" borderId="10" xfId="0" applyNumberFormat="1" applyFont="1" applyFill="1" applyBorder="1" applyAlignment="1">
      <alignment horizontal="right"/>
    </xf>
    <xf numFmtId="167" fontId="3" fillId="9" borderId="10" xfId="0" applyNumberFormat="1" applyFont="1" applyFill="1" applyBorder="1" applyAlignment="1">
      <alignment horizontal="right"/>
    </xf>
    <xf numFmtId="0" fontId="12" fillId="9" borderId="10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center"/>
    </xf>
    <xf numFmtId="4" fontId="12" fillId="9" borderId="10" xfId="0" applyNumberFormat="1" applyFont="1" applyFill="1" applyBorder="1" applyAlignment="1">
      <alignment horizontal="right"/>
    </xf>
    <xf numFmtId="166" fontId="12" fillId="9" borderId="10" xfId="0" applyNumberFormat="1" applyFont="1" applyFill="1" applyBorder="1" applyAlignment="1">
      <alignment horizontal="right"/>
    </xf>
    <xf numFmtId="167" fontId="12" fillId="9" borderId="10" xfId="0" applyNumberFormat="1" applyFont="1" applyFill="1" applyBorder="1" applyAlignment="1">
      <alignment horizontal="right"/>
    </xf>
    <xf numFmtId="166" fontId="3" fillId="9" borderId="10" xfId="0" applyNumberFormat="1" applyFont="1" applyFill="1" applyBorder="1" applyAlignment="1">
      <alignment horizontal="right"/>
    </xf>
    <xf numFmtId="0" fontId="19" fillId="0" borderId="0" xfId="0" applyFont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166" fontId="3" fillId="0" borderId="10" xfId="0" applyNumberFormat="1" applyFont="1" applyBorder="1" applyAlignment="1">
      <alignment horizontal="right" vertical="center"/>
    </xf>
    <xf numFmtId="0" fontId="12" fillId="8" borderId="49" xfId="0" applyFont="1" applyFill="1" applyBorder="1" applyAlignment="1">
      <alignment horizontal="left" vertical="center"/>
    </xf>
    <xf numFmtId="4" fontId="12" fillId="8" borderId="49" xfId="0" applyNumberFormat="1" applyFont="1" applyFill="1" applyBorder="1" applyAlignment="1">
      <alignment horizontal="right" vertical="center"/>
    </xf>
    <xf numFmtId="166" fontId="12" fillId="8" borderId="49" xfId="0" applyNumberFormat="1" applyFont="1" applyFill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4" fontId="8" fillId="0" borderId="10" xfId="0" applyNumberFormat="1" applyFont="1" applyBorder="1" applyAlignment="1">
      <alignment horizontal="right" vertical="center"/>
    </xf>
    <xf numFmtId="0" fontId="20" fillId="0" borderId="50" xfId="0" applyFont="1" applyBorder="1" applyAlignment="1">
      <alignment horizontal="left" vertical="center"/>
    </xf>
    <xf numFmtId="4" fontId="20" fillId="10" borderId="49" xfId="0" applyNumberFormat="1" applyFont="1" applyFill="1" applyBorder="1" applyAlignment="1">
      <alignment horizontal="right" vertical="center"/>
    </xf>
    <xf numFmtId="166" fontId="20" fillId="10" borderId="49" xfId="0" applyNumberFormat="1" applyFont="1" applyFill="1" applyBorder="1" applyAlignment="1">
      <alignment horizontal="right" vertical="center"/>
    </xf>
    <xf numFmtId="0" fontId="12" fillId="7" borderId="0" xfId="0" applyFont="1" applyFill="1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12" fillId="7" borderId="12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left" vertical="top" wrapText="1"/>
    </xf>
    <xf numFmtId="0" fontId="13" fillId="7" borderId="38" xfId="0" applyFont="1" applyFill="1" applyBorder="1" applyAlignment="1">
      <alignment horizontal="center" vertical="center"/>
    </xf>
    <xf numFmtId="0" fontId="13" fillId="7" borderId="39" xfId="0" applyFont="1" applyFill="1" applyBorder="1" applyAlignment="1">
      <alignment horizontal="center" vertical="center"/>
    </xf>
    <xf numFmtId="0" fontId="13" fillId="7" borderId="40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3" fillId="6" borderId="46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left" vertical="center"/>
    </xf>
    <xf numFmtId="0" fontId="3" fillId="5" borderId="44" xfId="0" applyFont="1" applyFill="1" applyBorder="1" applyAlignment="1">
      <alignment horizontal="right" vertical="center"/>
    </xf>
    <xf numFmtId="167" fontId="3" fillId="0" borderId="44" xfId="0" applyNumberFormat="1" applyFont="1" applyBorder="1" applyAlignment="1">
      <alignment horizontal="center" vertical="center"/>
    </xf>
    <xf numFmtId="0" fontId="12" fillId="7" borderId="26" xfId="0" applyFont="1" applyFill="1" applyBorder="1" applyAlignment="1">
      <alignment horizontal="left" vertical="center"/>
    </xf>
    <xf numFmtId="0" fontId="12" fillId="7" borderId="6" xfId="0" applyFont="1" applyFill="1" applyBorder="1" applyAlignment="1">
      <alignment horizontal="left" vertical="center"/>
    </xf>
    <xf numFmtId="0" fontId="12" fillId="7" borderId="27" xfId="0" applyFont="1" applyFill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44" xfId="0" applyFont="1" applyFill="1" applyBorder="1" applyAlignment="1">
      <alignment horizontal="center" vertical="center"/>
    </xf>
    <xf numFmtId="164" fontId="3" fillId="5" borderId="44" xfId="0" applyNumberFormat="1" applyFont="1" applyFill="1" applyBorder="1" applyAlignment="1">
      <alignment horizontal="center" vertical="center"/>
    </xf>
    <xf numFmtId="165" fontId="3" fillId="5" borderId="4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000000"/>
        <name val="Segoe UI"/>
        <family val="2"/>
      </font>
      <fill>
        <patternFill patternType="solid">
          <bgColor rgb="FFFFFAE5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/>
        <sz val="9"/>
        <color rgb="FFFFFFFF"/>
        <name val="Segoe UI"/>
        <family val="2"/>
      </font>
      <fill>
        <patternFill patternType="solid">
          <bgColor rgb="FF3C3C3C"/>
        </patternFill>
      </fill>
      <alignment horizontal="center" vertical="center"/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/>
        <sz val="9"/>
        <color rgb="FF006100"/>
        <name val="Segoe UI"/>
        <family val="2"/>
      </font>
      <fill>
        <patternFill patternType="solid">
          <bgColor rgb="FFC6EFCE"/>
        </patternFill>
      </fill>
      <border>
        <left style="medium">
          <color rgb="FF808080"/>
        </left>
        <right style="medium">
          <color rgb="FF808080"/>
        </right>
        <top style="thin">
          <color rgb="FF808080"/>
        </top>
        <bottom style="medium">
          <color rgb="FF808080"/>
        </bottom>
      </border>
    </dxf>
    <dxf>
      <font>
        <b/>
        <sz val="9"/>
        <color rgb="FF9C0006"/>
        <name val="Segoe UI"/>
        <family val="2"/>
      </font>
      <fill>
        <patternFill patternType="solid">
          <bgColor rgb="FFFFC7CE"/>
        </patternFill>
      </fill>
      <border>
        <left style="thin">
          <color rgb="FF808080"/>
        </left>
        <right style="medium">
          <color rgb="FF808080"/>
        </right>
        <top style="thin">
          <color rgb="FF808080"/>
        </top>
        <bottom style="medium">
          <color rgb="FF808080"/>
        </bottom>
      </border>
    </dxf>
    <dxf>
      <font>
        <b/>
        <sz val="9"/>
        <color rgb="FF006100"/>
        <name val="Segoe UI"/>
        <family val="2"/>
      </font>
      <fill>
        <patternFill patternType="solid">
          <bgColor rgb="FFC6EFCE"/>
        </patternFill>
      </fill>
      <border>
        <left style="thin">
          <color rgb="FF808080"/>
        </left>
        <right style="medium">
          <color rgb="FF808080"/>
        </right>
        <top style="thin">
          <color rgb="FF808080"/>
        </top>
        <bottom style="medium">
          <color rgb="FF808080"/>
        </bottom>
      </border>
    </dxf>
    <dxf>
      <font>
        <b/>
        <sz val="9"/>
        <color rgb="FF9C0006"/>
        <name val="Segoe UI"/>
        <family val="2"/>
      </font>
      <fill>
        <patternFill patternType="solid">
          <bgColor rgb="FFFFC7CE"/>
        </patternFill>
      </fill>
      <border>
        <left style="thin">
          <color rgb="FF808080"/>
        </left>
        <right style="medium">
          <color rgb="FF808080"/>
        </right>
        <top style="thin">
          <color rgb="FF808080"/>
        </top>
        <bottom style="thin">
          <color rgb="FF808080"/>
        </bottom>
      </border>
    </dxf>
    <dxf>
      <font>
        <b/>
        <sz val="9"/>
        <color rgb="FF006100"/>
        <name val="Segoe UI"/>
        <family val="2"/>
      </font>
      <fill>
        <patternFill patternType="solid">
          <bgColor rgb="FFC6EFCE"/>
        </patternFill>
      </fill>
      <border>
        <left style="thin">
          <color rgb="FF808080"/>
        </left>
        <right style="medium">
          <color rgb="FF808080"/>
        </right>
        <top style="thin">
          <color rgb="FF808080"/>
        </top>
        <bottom style="thin">
          <color rgb="FF808080"/>
        </bottom>
      </border>
    </dxf>
    <dxf>
      <font>
        <b/>
        <sz val="9"/>
        <color rgb="FF9C0006"/>
        <name val="Segoe UI"/>
        <family val="2"/>
      </font>
      <fill>
        <patternFill patternType="solid">
          <bgColor rgb="FFFFC7CE"/>
        </patternFill>
      </fill>
      <border>
        <left style="thin">
          <color rgb="FF808080"/>
        </left>
        <right style="medium">
          <color rgb="FF808080"/>
        </right>
        <top style="thin">
          <color rgb="FF808080"/>
        </top>
        <bottom style="thin">
          <color rgb="FF808080"/>
        </bottom>
      </border>
    </dxf>
    <dxf>
      <font>
        <b/>
        <sz val="9"/>
        <color rgb="FF006100"/>
        <name val="Segoe UI"/>
        <family val="2"/>
      </font>
      <fill>
        <patternFill patternType="solid">
          <bgColor rgb="FFC6EFCE"/>
        </patternFill>
      </fill>
      <border>
        <left style="thin">
          <color rgb="FF808080"/>
        </left>
        <right style="medium">
          <color rgb="FF808080"/>
        </right>
        <top style="thin">
          <color rgb="FF808080"/>
        </top>
        <bottom style="thin">
          <color rgb="FF808080"/>
        </bottom>
      </border>
    </dxf>
    <dxf>
      <font>
        <b/>
        <sz val="9"/>
        <color rgb="FF9C0006"/>
        <name val="Segoe UI"/>
        <family val="2"/>
      </font>
      <fill>
        <patternFill patternType="solid">
          <bgColor rgb="FFFFC7CE"/>
        </patternFill>
      </fill>
      <border>
        <left style="thin">
          <color rgb="FF808080"/>
        </left>
        <right style="medium">
          <color rgb="FF808080"/>
        </right>
        <top style="thin">
          <color rgb="FF808080"/>
        </top>
        <bottom style="thin">
          <color rgb="FF808080"/>
        </bottom>
      </border>
    </dxf>
    <dxf>
      <font>
        <b/>
        <sz val="9"/>
        <color rgb="FF006100"/>
        <name val="Segoe UI"/>
        <family val="2"/>
      </font>
      <fill>
        <patternFill patternType="solid">
          <bgColor rgb="FFC6EFCE"/>
        </patternFill>
      </fill>
      <border>
        <left style="thin">
          <color rgb="FF808080"/>
        </left>
        <right style="medium">
          <color rgb="FF808080"/>
        </right>
        <top style="thin">
          <color rgb="FF808080"/>
        </top>
        <bottom style="thin">
          <color rgb="FF808080"/>
        </bottom>
      </border>
    </dxf>
    <dxf>
      <font>
        <b/>
        <sz val="9"/>
        <color rgb="FF9C0006"/>
        <name val="Segoe UI"/>
        <family val="2"/>
      </font>
      <fill>
        <patternFill patternType="solid">
          <bgColor rgb="FFFFC7CE"/>
        </patternFill>
      </fill>
      <border>
        <left style="thin">
          <color rgb="FF808080"/>
        </left>
        <right style="medium">
          <color rgb="FF808080"/>
        </right>
        <top style="thin">
          <color rgb="FF808080"/>
        </top>
        <bottom style="thin">
          <color rgb="FF808080"/>
        </bottom>
      </border>
    </dxf>
    <dxf>
      <font>
        <b/>
        <sz val="9"/>
        <color rgb="FF006100"/>
        <name val="Segoe UI"/>
        <family val="2"/>
      </font>
      <fill>
        <patternFill patternType="solid">
          <bgColor rgb="FFC6EFCE"/>
        </patternFill>
      </fill>
      <border>
        <left style="thin">
          <color rgb="FF808080"/>
        </left>
        <right style="medium">
          <color rgb="FF808080"/>
        </right>
        <top style="thin">
          <color rgb="FF808080"/>
        </top>
        <bottom style="thin">
          <color rgb="FF808080"/>
        </bottom>
      </border>
    </dxf>
    <dxf>
      <font>
        <strike/>
        <color rgb="FF646464"/>
        <name val="Segoe UI"/>
        <family val="2"/>
      </font>
    </dxf>
    <dxf>
      <font>
        <color rgb="FF646464"/>
        <name val="Segoe UI"/>
        <family val="2"/>
      </font>
      <fill>
        <patternFill patternType="solid">
          <bgColor rgb="FFF0F0F0"/>
        </patternFill>
      </fill>
    </dxf>
    <dxf>
      <font>
        <color rgb="FF646464"/>
        <name val="Segoe UI"/>
        <family val="2"/>
      </font>
      <fill>
        <patternFill patternType="solid">
          <bgColor rgb="FFF0F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udgetAusgaben" displayName="TblBudgetAusgaben" ref="B18:I26">
  <autoFilter ref="B18:I26" xr:uid="{00000000-0009-0000-0100-000001000000}"/>
  <tableColumns count="8">
    <tableColumn id="1" xr3:uid="{00000000-0010-0000-0000-000001000000}" name="Kostenkategorie"/>
    <tableColumn id="2" xr3:uid="{00000000-0010-0000-0000-000002000000}" name="ID"/>
    <tableColumn id="3" xr3:uid="{00000000-0010-0000-0000-000003000000}" name="Kostenposition"/>
    <tableColumn id="4" xr3:uid="{00000000-0010-0000-0000-000004000000}" name="Betrag (LC)"/>
    <tableColumn id="5" xr3:uid="{00000000-0010-0000-0000-000005000000}" name="Jahr 1"/>
    <tableColumn id="6" xr3:uid="{00000000-0010-0000-0000-000006000000}" name="Jahr 2"/>
    <tableColumn id="7" xr3:uid="{00000000-0010-0000-0000-000007000000}" name="Jahr 3"/>
    <tableColumn id="8" xr3:uid="{00000000-0010-0000-0000-000008000000}" name="Betrag (EUR)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rittmittel" displayName="TblDrittmittel" ref="K18:M21">
  <autoFilter ref="K18:M21" xr:uid="{00000000-0009-0000-0100-000002000000}"/>
  <tableColumns count="3">
    <tableColumn id="1" xr3:uid="{00000000-0010-0000-0100-000001000000}" name="Name des Gebers"/>
    <tableColumn id="2" xr3:uid="{00000000-0010-0000-0100-000002000000}" name="Betrag (LC)"/>
    <tableColumn id="3" xr3:uid="{00000000-0010-0000-0100-000003000000}" name="Betrag (EUR)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KMWMittel" displayName="TblKMWMittel" ref="B4:E22">
  <autoFilter ref="B4:E22" xr:uid="{00000000-0009-0000-0100-000003000000}"/>
  <tableColumns count="4">
    <tableColumn id="1" xr3:uid="{00000000-0010-0000-0200-000001000000}" name="Periode"/>
    <tableColumn id="2" xr3:uid="{00000000-0010-0000-0200-000002000000}" name="Waehrung"/>
    <tableColumn id="3" xr3:uid="{00000000-0010-0000-0200-000003000000}" name="Betrag"/>
    <tableColumn id="4" xr3:uid="{00000000-0010-0000-0200-000004000000}" name="Datum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usgaben_1" displayName="Ausgaben_1" ref="B18:F26">
  <autoFilter ref="B18:F26" xr:uid="{00000000-0009-0000-0100-000004000000}"/>
  <tableColumns count="5">
    <tableColumn id="1" xr3:uid="{00000000-0010-0000-0300-000001000000}" name="ID"/>
    <tableColumn id="2" xr3:uid="{00000000-0010-0000-0300-000002000000}" name="Ausgaben (LC)"/>
    <tableColumn id="3" xr3:uid="{00000000-0010-0000-0300-000003000000}" name="Ausgaben (EUR)"/>
    <tableColumn id="4" xr3:uid="{00000000-0010-0000-0300-000004000000}" name="Kum. Ausgaben (LC)"/>
    <tableColumn id="5" xr3:uid="{00000000-0010-0000-0300-000005000000}" name="Kum. Ausgaben (EUR)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innahmen_1" displayName="Einnahmen_1" ref="B40:F45">
  <autoFilter ref="B40:F45" xr:uid="{00000000-0009-0000-0100-000005000000}"/>
  <tableColumns count="5">
    <tableColumn id="1" xr3:uid="{00000000-0010-0000-0400-000001000000}" name="Typ"/>
    <tableColumn id="2" xr3:uid="{00000000-0010-0000-0400-000002000000}" name="Geber"/>
    <tableColumn id="3" xr3:uid="{00000000-0010-0000-0400-000003000000}" name="Einnahmen (LC)"/>
    <tableColumn id="4" xr3:uid="{00000000-0010-0000-0400-000004000000}" name="Einnahmen (EUR)"/>
    <tableColumn id="5" xr3:uid="{00000000-0010-0000-0400-000005000000}" name="Kurs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innahmen_WK_1" displayName="Einnahmen_WK_1" ref="B49:F55">
  <autoFilter ref="B49:F55" xr:uid="{00000000-0009-0000-0100-000006000000}"/>
  <tableColumns count="5">
    <tableColumn id="1" xr3:uid="{00000000-0010-0000-0500-000001000000}" name="Typ"/>
    <tableColumn id="2" xr3:uid="{00000000-0010-0000-0500-000002000000}" name="Geber"/>
    <tableColumn id="3" xr3:uid="{00000000-0010-0000-0500-000003000000}" name="Einnahmen (LC)"/>
    <tableColumn id="4" xr3:uid="{00000000-0010-0000-0500-000004000000}" name="Einnahmen (EUR)"/>
    <tableColumn id="5" xr3:uid="{00000000-0010-0000-0500-000005000000}" name="Kurs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usgaben_2" displayName="Ausgaben_2" ref="I18:M26">
  <autoFilter ref="I18:M26" xr:uid="{00000000-0009-0000-0100-000007000000}"/>
  <tableColumns count="5">
    <tableColumn id="1" xr3:uid="{00000000-0010-0000-0600-000001000000}" name="ID"/>
    <tableColumn id="2" xr3:uid="{00000000-0010-0000-0600-000002000000}" name="Ausgaben (LC)"/>
    <tableColumn id="3" xr3:uid="{00000000-0010-0000-0600-000003000000}" name="Ausgaben (EUR)"/>
    <tableColumn id="4" xr3:uid="{00000000-0010-0000-0600-000004000000}" name="Kum. Ausgaben (LC)"/>
    <tableColumn id="5" xr3:uid="{00000000-0010-0000-0600-000005000000}" name="Kum. Ausgaben (EUR)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innahmen_2" displayName="Einnahmen_2" ref="I40:M45">
  <autoFilter ref="I40:M45" xr:uid="{00000000-0009-0000-0100-000008000000}"/>
  <tableColumns count="5">
    <tableColumn id="1" xr3:uid="{00000000-0010-0000-0700-000001000000}" name="Typ"/>
    <tableColumn id="2" xr3:uid="{00000000-0010-0000-0700-000002000000}" name="Geber"/>
    <tableColumn id="3" xr3:uid="{00000000-0010-0000-0700-000003000000}" name="Einnahmen (LC)"/>
    <tableColumn id="4" xr3:uid="{00000000-0010-0000-0700-000004000000}" name="Einnahmen (EUR)"/>
    <tableColumn id="5" xr3:uid="{00000000-0010-0000-0700-000005000000}" name="Kurs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innahmen_WK_2" displayName="Einnahmen_WK_2" ref="I49:M55">
  <autoFilter ref="I49:M55" xr:uid="{00000000-0009-0000-0100-000009000000}"/>
  <tableColumns count="5">
    <tableColumn id="1" xr3:uid="{00000000-0010-0000-0800-000001000000}" name="Typ"/>
    <tableColumn id="2" xr3:uid="{00000000-0010-0000-0800-000002000000}" name="Geber"/>
    <tableColumn id="3" xr3:uid="{00000000-0010-0000-0800-000003000000}" name="Einnahmen (LC)"/>
    <tableColumn id="4" xr3:uid="{00000000-0010-0000-0800-000004000000}" name="Einnahmen (EUR)"/>
    <tableColumn id="5" xr3:uid="{00000000-0010-0000-0800-000005000000}" name="Kurs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usgaben_3" displayName="Ausgaben_3" ref="P18:T26">
  <autoFilter ref="P18:T26" xr:uid="{00000000-0009-0000-0100-00000A000000}"/>
  <tableColumns count="5">
    <tableColumn id="1" xr3:uid="{00000000-0010-0000-0900-000001000000}" name="ID"/>
    <tableColumn id="2" xr3:uid="{00000000-0010-0000-0900-000002000000}" name="Ausgaben (LC)"/>
    <tableColumn id="3" xr3:uid="{00000000-0010-0000-0900-000003000000}" name="Ausgaben (EUR)"/>
    <tableColumn id="4" xr3:uid="{00000000-0010-0000-0900-000004000000}" name="Kum. Ausgaben (LC)"/>
    <tableColumn id="5" xr3:uid="{00000000-0010-0000-0900-000005000000}" name="Kum. Ausgaben (EUR)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Einnahmen_3" displayName="Einnahmen_3" ref="P40:T45">
  <autoFilter ref="P40:T45" xr:uid="{00000000-0009-0000-0100-00000B000000}"/>
  <tableColumns count="5">
    <tableColumn id="1" xr3:uid="{00000000-0010-0000-0A00-000001000000}" name="Typ"/>
    <tableColumn id="2" xr3:uid="{00000000-0010-0000-0A00-000002000000}" name="Geber"/>
    <tableColumn id="3" xr3:uid="{00000000-0010-0000-0A00-000003000000}" name="Einnahmen (LC)"/>
    <tableColumn id="4" xr3:uid="{00000000-0010-0000-0A00-000004000000}" name="Einnahmen (EUR)"/>
    <tableColumn id="5" xr3:uid="{00000000-0010-0000-0A00-000005000000}" name="Kurs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Einnahmen_WK_3" displayName="Einnahmen_WK_3" ref="P49:T55">
  <autoFilter ref="P49:T55" xr:uid="{00000000-0009-0000-0100-00000C000000}"/>
  <tableColumns count="5">
    <tableColumn id="1" xr3:uid="{00000000-0010-0000-0B00-000001000000}" name="Typ"/>
    <tableColumn id="2" xr3:uid="{00000000-0010-0000-0B00-000002000000}" name="Geber"/>
    <tableColumn id="3" xr3:uid="{00000000-0010-0000-0B00-000003000000}" name="Einnahmen (LC)"/>
    <tableColumn id="4" xr3:uid="{00000000-0010-0000-0B00-000004000000}" name="Einnahmen (EUR)"/>
    <tableColumn id="5" xr3:uid="{00000000-0010-0000-0B00-000005000000}" name="Kurs"/>
  </tableColumns>
  <tableStyleInfo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Ausgaben_4" displayName="Ausgaben_4" ref="W18:AA26">
  <autoFilter ref="W18:AA26" xr:uid="{00000000-0009-0000-0100-00000D000000}"/>
  <tableColumns count="5">
    <tableColumn id="1" xr3:uid="{00000000-0010-0000-0C00-000001000000}" name="ID"/>
    <tableColumn id="2" xr3:uid="{00000000-0010-0000-0C00-000002000000}" name="Ausgaben (LC)"/>
    <tableColumn id="3" xr3:uid="{00000000-0010-0000-0C00-000003000000}" name="Ausgaben (EUR)"/>
    <tableColumn id="4" xr3:uid="{00000000-0010-0000-0C00-000004000000}" name="Kum. Ausgaben (LC)"/>
    <tableColumn id="5" xr3:uid="{00000000-0010-0000-0C00-000005000000}" name="Kum. Ausgaben (EUR)"/>
  </tableColumns>
  <tableStyleInfo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Einnahmen_4" displayName="Einnahmen_4" ref="W40:AA45">
  <autoFilter ref="W40:AA45" xr:uid="{00000000-0009-0000-0100-00000E000000}"/>
  <tableColumns count="5">
    <tableColumn id="1" xr3:uid="{00000000-0010-0000-0D00-000001000000}" name="Typ"/>
    <tableColumn id="2" xr3:uid="{00000000-0010-0000-0D00-000002000000}" name="Geber"/>
    <tableColumn id="3" xr3:uid="{00000000-0010-0000-0D00-000003000000}" name="Einnahmen (LC)"/>
    <tableColumn id="4" xr3:uid="{00000000-0010-0000-0D00-000004000000}" name="Einnahmen (EUR)"/>
    <tableColumn id="5" xr3:uid="{00000000-0010-0000-0D00-000005000000}" name="Kurs"/>
  </tableColumns>
  <tableStyleInfo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Einnahmen_WK_4" displayName="Einnahmen_WK_4" ref="W49:AA55">
  <autoFilter ref="W49:AA55" xr:uid="{00000000-0009-0000-0100-00000F000000}"/>
  <tableColumns count="5">
    <tableColumn id="1" xr3:uid="{00000000-0010-0000-0E00-000001000000}" name="Typ"/>
    <tableColumn id="2" xr3:uid="{00000000-0010-0000-0E00-000002000000}" name="Geber"/>
    <tableColumn id="3" xr3:uid="{00000000-0010-0000-0E00-000003000000}" name="Einnahmen (LC)"/>
    <tableColumn id="4" xr3:uid="{00000000-0010-0000-0E00-000004000000}" name="Einnahmen (EUR)"/>
    <tableColumn id="5" xr3:uid="{00000000-0010-0000-0E00-000005000000}" name="Kurs"/>
  </tableColumns>
  <tableStyleInfo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Ausgaben_5" displayName="Ausgaben_5" ref="AD18:AH26">
  <autoFilter ref="AD18:AH26" xr:uid="{00000000-0009-0000-0100-000010000000}"/>
  <tableColumns count="5">
    <tableColumn id="1" xr3:uid="{00000000-0010-0000-0F00-000001000000}" name="ID"/>
    <tableColumn id="2" xr3:uid="{00000000-0010-0000-0F00-000002000000}" name="Ausgaben (LC)"/>
    <tableColumn id="3" xr3:uid="{00000000-0010-0000-0F00-000003000000}" name="Ausgaben (EUR)"/>
    <tableColumn id="4" xr3:uid="{00000000-0010-0000-0F00-000004000000}" name="Kum. Ausgaben (LC)"/>
    <tableColumn id="5" xr3:uid="{00000000-0010-0000-0F00-000005000000}" name="Kum. Ausgaben (EUR)"/>
  </tableColumns>
  <tableStyleInfo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Einnahmen_5" displayName="Einnahmen_5" ref="AD40:AH45">
  <autoFilter ref="AD40:AH45" xr:uid="{00000000-0009-0000-0100-000011000000}"/>
  <tableColumns count="5">
    <tableColumn id="1" xr3:uid="{00000000-0010-0000-1000-000001000000}" name="Typ"/>
    <tableColumn id="2" xr3:uid="{00000000-0010-0000-1000-000002000000}" name="Geber"/>
    <tableColumn id="3" xr3:uid="{00000000-0010-0000-1000-000003000000}" name="Einnahmen (LC)"/>
    <tableColumn id="4" xr3:uid="{00000000-0010-0000-1000-000004000000}" name="Einnahmen (EUR)"/>
    <tableColumn id="5" xr3:uid="{00000000-0010-0000-1000-000005000000}" name="Kurs"/>
  </tableColumns>
  <tableStyleInfo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Einnahmen_WK_5" displayName="Einnahmen_WK_5" ref="AD49:AH55">
  <autoFilter ref="AD49:AH55" xr:uid="{00000000-0009-0000-0100-000012000000}"/>
  <tableColumns count="5">
    <tableColumn id="1" xr3:uid="{00000000-0010-0000-1100-000001000000}" name="Typ"/>
    <tableColumn id="2" xr3:uid="{00000000-0010-0000-1100-000002000000}" name="Geber"/>
    <tableColumn id="3" xr3:uid="{00000000-0010-0000-1100-000003000000}" name="Einnahmen (LC)"/>
    <tableColumn id="4" xr3:uid="{00000000-0010-0000-1100-000004000000}" name="Einnahmen (EUR)"/>
    <tableColumn id="5" xr3:uid="{00000000-0010-0000-1100-000005000000}" name="Kurs"/>
  </tableColumns>
  <tableStyleInfo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Ausgaben_6" displayName="Ausgaben_6" ref="AK18:AO26">
  <autoFilter ref="AK18:AO26" xr:uid="{00000000-0009-0000-0100-000013000000}"/>
  <tableColumns count="5">
    <tableColumn id="1" xr3:uid="{00000000-0010-0000-1200-000001000000}" name="ID"/>
    <tableColumn id="2" xr3:uid="{00000000-0010-0000-1200-000002000000}" name="Ausgaben (LC)"/>
    <tableColumn id="3" xr3:uid="{00000000-0010-0000-1200-000003000000}" name="Ausgaben (EUR)"/>
    <tableColumn id="4" xr3:uid="{00000000-0010-0000-1200-000004000000}" name="Kum. Ausgaben (LC)"/>
    <tableColumn id="5" xr3:uid="{00000000-0010-0000-1200-000005000000}" name="Kum. Ausgaben (EUR)"/>
  </tableColumns>
  <tableStyleInfo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Einnahmen_6" displayName="Einnahmen_6" ref="AK40:AO45">
  <autoFilter ref="AK40:AO45" xr:uid="{00000000-0009-0000-0100-000014000000}"/>
  <tableColumns count="5">
    <tableColumn id="1" xr3:uid="{00000000-0010-0000-1300-000001000000}" name="Typ"/>
    <tableColumn id="2" xr3:uid="{00000000-0010-0000-1300-000002000000}" name="Geber"/>
    <tableColumn id="3" xr3:uid="{00000000-0010-0000-1300-000003000000}" name="Einnahmen (LC)"/>
    <tableColumn id="4" xr3:uid="{00000000-0010-0000-1300-000004000000}" name="Einnahmen (EUR)"/>
    <tableColumn id="5" xr3:uid="{00000000-0010-0000-1300-000005000000}" name="Kurs"/>
  </tableColumns>
  <tableStyleInfo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Einnahmen_WK_6" displayName="Einnahmen_WK_6" ref="AK49:AO55">
  <autoFilter ref="AK49:AO55" xr:uid="{00000000-0009-0000-0100-000015000000}"/>
  <tableColumns count="5">
    <tableColumn id="1" xr3:uid="{00000000-0010-0000-1400-000001000000}" name="Typ"/>
    <tableColumn id="2" xr3:uid="{00000000-0010-0000-1400-000002000000}" name="Geber"/>
    <tableColumn id="3" xr3:uid="{00000000-0010-0000-1400-000003000000}" name="Einnahmen (LC)"/>
    <tableColumn id="4" xr3:uid="{00000000-0010-0000-1400-000004000000}" name="Einnahmen (EUR)"/>
    <tableColumn id="5" xr3:uid="{00000000-0010-0000-1400-000005000000}" name="Kurs"/>
  </tableColumns>
  <tableStyleInfo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Ausgaben_7" displayName="Ausgaben_7" ref="AR18:AV26">
  <autoFilter ref="AR18:AV26" xr:uid="{00000000-0009-0000-0100-000016000000}"/>
  <tableColumns count="5">
    <tableColumn id="1" xr3:uid="{00000000-0010-0000-1500-000001000000}" name="ID"/>
    <tableColumn id="2" xr3:uid="{00000000-0010-0000-1500-000002000000}" name="Ausgaben (LC)"/>
    <tableColumn id="3" xr3:uid="{00000000-0010-0000-1500-000003000000}" name="Ausgaben (EUR)"/>
    <tableColumn id="4" xr3:uid="{00000000-0010-0000-1500-000004000000}" name="Kum. Ausgaben (LC)"/>
    <tableColumn id="5" xr3:uid="{00000000-0010-0000-1500-000005000000}" name="Kum. Ausgaben (EUR)"/>
  </tableColumns>
  <tableStyleInfo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Einnahmen_7" displayName="Einnahmen_7" ref="AR40:AV45">
  <autoFilter ref="AR40:AV45" xr:uid="{00000000-0009-0000-0100-000017000000}"/>
  <tableColumns count="5">
    <tableColumn id="1" xr3:uid="{00000000-0010-0000-1600-000001000000}" name="Typ"/>
    <tableColumn id="2" xr3:uid="{00000000-0010-0000-1600-000002000000}" name="Geber"/>
    <tableColumn id="3" xr3:uid="{00000000-0010-0000-1600-000003000000}" name="Einnahmen (LC)"/>
    <tableColumn id="4" xr3:uid="{00000000-0010-0000-1600-000004000000}" name="Einnahmen (EUR)"/>
    <tableColumn id="5" xr3:uid="{00000000-0010-0000-1600-000005000000}" name="Kurs"/>
  </tableColumns>
  <tableStyleInfo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Einnahmen_WK_7" displayName="Einnahmen_WK_7" ref="AR49:AV55">
  <autoFilter ref="AR49:AV55" xr:uid="{00000000-0009-0000-0100-000018000000}"/>
  <tableColumns count="5">
    <tableColumn id="1" xr3:uid="{00000000-0010-0000-1700-000001000000}" name="Typ"/>
    <tableColumn id="2" xr3:uid="{00000000-0010-0000-1700-000002000000}" name="Geber"/>
    <tableColumn id="3" xr3:uid="{00000000-0010-0000-1700-000003000000}" name="Einnahmen (LC)"/>
    <tableColumn id="4" xr3:uid="{00000000-0010-0000-1700-000004000000}" name="Einnahmen (EUR)"/>
    <tableColumn id="5" xr3:uid="{00000000-0010-0000-1700-000005000000}" name="Kurs"/>
  </tableColumns>
  <tableStyleInfo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Ausgaben_8" displayName="Ausgaben_8" ref="AY18:BC26">
  <autoFilter ref="AY18:BC26" xr:uid="{00000000-0009-0000-0100-000019000000}"/>
  <tableColumns count="5">
    <tableColumn id="1" xr3:uid="{00000000-0010-0000-1800-000001000000}" name="ID"/>
    <tableColumn id="2" xr3:uid="{00000000-0010-0000-1800-000002000000}" name="Ausgaben (LC)"/>
    <tableColumn id="3" xr3:uid="{00000000-0010-0000-1800-000003000000}" name="Ausgaben (EUR)"/>
    <tableColumn id="4" xr3:uid="{00000000-0010-0000-1800-000004000000}" name="Kum. Ausgaben (LC)"/>
    <tableColumn id="5" xr3:uid="{00000000-0010-0000-1800-000005000000}" name="Kum. Ausgaben (EUR)"/>
  </tableColumns>
  <tableStyleInfo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Einnahmen_8" displayName="Einnahmen_8" ref="AY40:BC45">
  <autoFilter ref="AY40:BC45" xr:uid="{00000000-0009-0000-0100-00001A000000}"/>
  <tableColumns count="5">
    <tableColumn id="1" xr3:uid="{00000000-0010-0000-1900-000001000000}" name="Typ"/>
    <tableColumn id="2" xr3:uid="{00000000-0010-0000-1900-000002000000}" name="Geber"/>
    <tableColumn id="3" xr3:uid="{00000000-0010-0000-1900-000003000000}" name="Einnahmen (LC)"/>
    <tableColumn id="4" xr3:uid="{00000000-0010-0000-1900-000004000000}" name="Einnahmen (EUR)"/>
    <tableColumn id="5" xr3:uid="{00000000-0010-0000-1900-000005000000}" name="Kurs"/>
  </tableColumns>
  <tableStyleInfo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Einnahmen_WK_8" displayName="Einnahmen_WK_8" ref="AY49:BC55">
  <autoFilter ref="AY49:BC55" xr:uid="{00000000-0009-0000-0100-00001B000000}"/>
  <tableColumns count="5">
    <tableColumn id="1" xr3:uid="{00000000-0010-0000-1A00-000001000000}" name="Typ"/>
    <tableColumn id="2" xr3:uid="{00000000-0010-0000-1A00-000002000000}" name="Geber"/>
    <tableColumn id="3" xr3:uid="{00000000-0010-0000-1A00-000003000000}" name="Einnahmen (LC)"/>
    <tableColumn id="4" xr3:uid="{00000000-0010-0000-1A00-000004000000}" name="Einnahmen (EUR)"/>
    <tableColumn id="5" xr3:uid="{00000000-0010-0000-1A00-000005000000}" name="Kurs"/>
  </tableColumns>
  <tableStyleInfo showFirstColumn="0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Ausgaben_9" displayName="Ausgaben_9" ref="BF18:BJ26">
  <autoFilter ref="BF18:BJ26" xr:uid="{00000000-0009-0000-0100-00001C000000}"/>
  <tableColumns count="5">
    <tableColumn id="1" xr3:uid="{00000000-0010-0000-1B00-000001000000}" name="ID"/>
    <tableColumn id="2" xr3:uid="{00000000-0010-0000-1B00-000002000000}" name="Ausgaben (LC)"/>
    <tableColumn id="3" xr3:uid="{00000000-0010-0000-1B00-000003000000}" name="Ausgaben (EUR)"/>
    <tableColumn id="4" xr3:uid="{00000000-0010-0000-1B00-000004000000}" name="Kum. Ausgaben (LC)"/>
    <tableColumn id="5" xr3:uid="{00000000-0010-0000-1B00-000005000000}" name="Kum. Ausgaben (EUR)"/>
  </tableColumns>
  <tableStyleInfo showFirstColumn="0" showLastColumn="0" showRowStripes="0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Einnahmen_9" displayName="Einnahmen_9" ref="BF40:BJ45">
  <autoFilter ref="BF40:BJ45" xr:uid="{00000000-0009-0000-0100-00001D000000}"/>
  <tableColumns count="5">
    <tableColumn id="1" xr3:uid="{00000000-0010-0000-1C00-000001000000}" name="Typ"/>
    <tableColumn id="2" xr3:uid="{00000000-0010-0000-1C00-000002000000}" name="Geber"/>
    <tableColumn id="3" xr3:uid="{00000000-0010-0000-1C00-000003000000}" name="Einnahmen (LC)"/>
    <tableColumn id="4" xr3:uid="{00000000-0010-0000-1C00-000004000000}" name="Einnahmen (EUR)"/>
    <tableColumn id="5" xr3:uid="{00000000-0010-0000-1C00-000005000000}" name="Kurs"/>
  </tableColumns>
  <tableStyleInfo showFirstColumn="0" showLastColumn="0" showRowStripes="0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Einnahmen_WK_9" displayName="Einnahmen_WK_9" ref="BF49:BJ55">
  <autoFilter ref="BF49:BJ55" xr:uid="{00000000-0009-0000-0100-00001E000000}"/>
  <tableColumns count="5">
    <tableColumn id="1" xr3:uid="{00000000-0010-0000-1D00-000001000000}" name="Typ"/>
    <tableColumn id="2" xr3:uid="{00000000-0010-0000-1D00-000002000000}" name="Geber"/>
    <tableColumn id="3" xr3:uid="{00000000-0010-0000-1D00-000003000000}" name="Einnahmen (LC)"/>
    <tableColumn id="4" xr3:uid="{00000000-0010-0000-1D00-000004000000}" name="Einnahmen (EUR)"/>
    <tableColumn id="5" xr3:uid="{00000000-0010-0000-1D00-000005000000}" name="Kurs"/>
  </tableColumns>
  <tableStyleInfo showFirstColumn="0" showLastColumn="0" showRowStripes="0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Ausgaben_10" displayName="Ausgaben_10" ref="BM18:BQ26">
  <autoFilter ref="BM18:BQ26" xr:uid="{00000000-0009-0000-0100-00001F000000}"/>
  <tableColumns count="5">
    <tableColumn id="1" xr3:uid="{00000000-0010-0000-1E00-000001000000}" name="ID"/>
    <tableColumn id="2" xr3:uid="{00000000-0010-0000-1E00-000002000000}" name="Ausgaben (LC)"/>
    <tableColumn id="3" xr3:uid="{00000000-0010-0000-1E00-000003000000}" name="Ausgaben (EUR)"/>
    <tableColumn id="4" xr3:uid="{00000000-0010-0000-1E00-000004000000}" name="Kum. Ausgaben (LC)"/>
    <tableColumn id="5" xr3:uid="{00000000-0010-0000-1E00-000005000000}" name="Kum. Ausgaben (EUR)"/>
  </tableColumns>
  <tableStyleInfo showFirstColumn="0" showLastColumn="0" showRowStripes="0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Einnahmen_10" displayName="Einnahmen_10" ref="BM40:BQ45">
  <autoFilter ref="BM40:BQ45" xr:uid="{00000000-0009-0000-0100-000020000000}"/>
  <tableColumns count="5">
    <tableColumn id="1" xr3:uid="{00000000-0010-0000-1F00-000001000000}" name="Typ"/>
    <tableColumn id="2" xr3:uid="{00000000-0010-0000-1F00-000002000000}" name="Geber"/>
    <tableColumn id="3" xr3:uid="{00000000-0010-0000-1F00-000003000000}" name="Einnahmen (LC)"/>
    <tableColumn id="4" xr3:uid="{00000000-0010-0000-1F00-000004000000}" name="Einnahmen (EUR)"/>
    <tableColumn id="5" xr3:uid="{00000000-0010-0000-1F00-000005000000}" name="Kurs"/>
  </tableColumns>
  <tableStyleInfo showFirstColumn="0" showLastColumn="0" showRowStripes="0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Einnahmen_WK_10" displayName="Einnahmen_WK_10" ref="BM49:BQ55">
  <autoFilter ref="BM49:BQ55" xr:uid="{00000000-0009-0000-0100-000021000000}"/>
  <tableColumns count="5">
    <tableColumn id="1" xr3:uid="{00000000-0010-0000-2000-000001000000}" name="Typ"/>
    <tableColumn id="2" xr3:uid="{00000000-0010-0000-2000-000002000000}" name="Geber"/>
    <tableColumn id="3" xr3:uid="{00000000-0010-0000-2000-000003000000}" name="Einnahmen (LC)"/>
    <tableColumn id="4" xr3:uid="{00000000-0010-0000-2000-000004000000}" name="Einnahmen (EUR)"/>
    <tableColumn id="5" xr3:uid="{00000000-0010-0000-2000-000005000000}" name="Kurs"/>
  </tableColumns>
  <tableStyleInfo showFirstColumn="0" showLastColumn="0" showRowStripes="0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Ausgaben_11" displayName="Ausgaben_11" ref="BT18:BX26">
  <autoFilter ref="BT18:BX26" xr:uid="{00000000-0009-0000-0100-000022000000}"/>
  <tableColumns count="5">
    <tableColumn id="1" xr3:uid="{00000000-0010-0000-2100-000001000000}" name="ID"/>
    <tableColumn id="2" xr3:uid="{00000000-0010-0000-2100-000002000000}" name="Ausgaben (LC)"/>
    <tableColumn id="3" xr3:uid="{00000000-0010-0000-2100-000003000000}" name="Ausgaben (EUR)"/>
    <tableColumn id="4" xr3:uid="{00000000-0010-0000-2100-000004000000}" name="Kum. Ausgaben (LC)"/>
    <tableColumn id="5" xr3:uid="{00000000-0010-0000-2100-000005000000}" name="Kum. Ausgaben (EUR)"/>
  </tableColumns>
  <tableStyleInfo showFirstColumn="0" showLastColumn="0" showRowStripes="0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Einnahmen_11" displayName="Einnahmen_11" ref="BT40:BX45">
  <autoFilter ref="BT40:BX45" xr:uid="{00000000-0009-0000-0100-000023000000}"/>
  <tableColumns count="5">
    <tableColumn id="1" xr3:uid="{00000000-0010-0000-2200-000001000000}" name="Typ"/>
    <tableColumn id="2" xr3:uid="{00000000-0010-0000-2200-000002000000}" name="Geber"/>
    <tableColumn id="3" xr3:uid="{00000000-0010-0000-2200-000003000000}" name="Einnahmen (LC)"/>
    <tableColumn id="4" xr3:uid="{00000000-0010-0000-2200-000004000000}" name="Einnahmen (EUR)"/>
    <tableColumn id="5" xr3:uid="{00000000-0010-0000-2200-000005000000}" name="Kurs"/>
  </tableColumns>
  <tableStyleInfo showFirstColumn="0" showLastColumn="0" showRowStripes="0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Einnahmen_WK_11" displayName="Einnahmen_WK_11" ref="BT49:BX55">
  <autoFilter ref="BT49:BX55" xr:uid="{00000000-0009-0000-0100-000024000000}"/>
  <tableColumns count="5">
    <tableColumn id="1" xr3:uid="{00000000-0010-0000-2300-000001000000}" name="Typ"/>
    <tableColumn id="2" xr3:uid="{00000000-0010-0000-2300-000002000000}" name="Geber"/>
    <tableColumn id="3" xr3:uid="{00000000-0010-0000-2300-000003000000}" name="Einnahmen (LC)"/>
    <tableColumn id="4" xr3:uid="{00000000-0010-0000-2300-000004000000}" name="Einnahmen (EUR)"/>
    <tableColumn id="5" xr3:uid="{00000000-0010-0000-2300-000005000000}" name="Kurs"/>
  </tableColumns>
  <tableStyleInfo showFirstColumn="0" showLastColumn="0" showRowStripes="0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Ausgaben_12" displayName="Ausgaben_12" ref="CA18:CE26">
  <autoFilter ref="CA18:CE26" xr:uid="{00000000-0009-0000-0100-000025000000}"/>
  <tableColumns count="5">
    <tableColumn id="1" xr3:uid="{00000000-0010-0000-2400-000001000000}" name="ID"/>
    <tableColumn id="2" xr3:uid="{00000000-0010-0000-2400-000002000000}" name="Ausgaben (LC)"/>
    <tableColumn id="3" xr3:uid="{00000000-0010-0000-2400-000003000000}" name="Ausgaben (EUR)"/>
    <tableColumn id="4" xr3:uid="{00000000-0010-0000-2400-000004000000}" name="Kum. Ausgaben (LC)"/>
    <tableColumn id="5" xr3:uid="{00000000-0010-0000-2400-000005000000}" name="Kum. Ausgaben (EUR)"/>
  </tableColumns>
  <tableStyleInfo showFirstColumn="0" showLastColumn="0" showRowStripes="0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Einnahmen_12" displayName="Einnahmen_12" ref="CA40:CE45">
  <autoFilter ref="CA40:CE45" xr:uid="{00000000-0009-0000-0100-000026000000}"/>
  <tableColumns count="5">
    <tableColumn id="1" xr3:uid="{00000000-0010-0000-2500-000001000000}" name="Typ"/>
    <tableColumn id="2" xr3:uid="{00000000-0010-0000-2500-000002000000}" name="Geber"/>
    <tableColumn id="3" xr3:uid="{00000000-0010-0000-2500-000003000000}" name="Einnahmen (LC)"/>
    <tableColumn id="4" xr3:uid="{00000000-0010-0000-2500-000004000000}" name="Einnahmen (EUR)"/>
    <tableColumn id="5" xr3:uid="{00000000-0010-0000-2500-000005000000}" name="Kurs"/>
  </tableColumns>
  <tableStyleInfo showFirstColumn="0" showLastColumn="0" showRowStripes="0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Einnahmen_WK_12" displayName="Einnahmen_WK_12" ref="CA49:CE55">
  <autoFilter ref="CA49:CE55" xr:uid="{00000000-0009-0000-0100-000027000000}"/>
  <tableColumns count="5">
    <tableColumn id="1" xr3:uid="{00000000-0010-0000-2600-000001000000}" name="Typ"/>
    <tableColumn id="2" xr3:uid="{00000000-0010-0000-2600-000002000000}" name="Geber"/>
    <tableColumn id="3" xr3:uid="{00000000-0010-0000-2600-000003000000}" name="Einnahmen (LC)"/>
    <tableColumn id="4" xr3:uid="{00000000-0010-0000-2600-000004000000}" name="Einnahmen (EUR)"/>
    <tableColumn id="5" xr3:uid="{00000000-0010-0000-2600-000005000000}" name="Kurs"/>
  </tableColumns>
  <tableStyleInfo showFirstColumn="0" showLastColumn="0" showRowStripes="0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Ausgaben_13" displayName="Ausgaben_13" ref="CH18:CL26">
  <autoFilter ref="CH18:CL26" xr:uid="{00000000-0009-0000-0100-000028000000}"/>
  <tableColumns count="5">
    <tableColumn id="1" xr3:uid="{00000000-0010-0000-2700-000001000000}" name="ID"/>
    <tableColumn id="2" xr3:uid="{00000000-0010-0000-2700-000002000000}" name="Ausgaben (LC)"/>
    <tableColumn id="3" xr3:uid="{00000000-0010-0000-2700-000003000000}" name="Ausgaben (EUR)"/>
    <tableColumn id="4" xr3:uid="{00000000-0010-0000-2700-000004000000}" name="Kum. Ausgaben (LC)"/>
    <tableColumn id="5" xr3:uid="{00000000-0010-0000-2700-000005000000}" name="Kum. Ausgaben (EUR)"/>
  </tableColumns>
  <tableStyleInfo showFirstColumn="0" showLastColumn="0" showRowStripes="0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Einnahmen_13" displayName="Einnahmen_13" ref="CH40:CL45">
  <autoFilter ref="CH40:CL45" xr:uid="{00000000-0009-0000-0100-000029000000}"/>
  <tableColumns count="5">
    <tableColumn id="1" xr3:uid="{00000000-0010-0000-2800-000001000000}" name="Typ"/>
    <tableColumn id="2" xr3:uid="{00000000-0010-0000-2800-000002000000}" name="Geber"/>
    <tableColumn id="3" xr3:uid="{00000000-0010-0000-2800-000003000000}" name="Einnahmen (LC)"/>
    <tableColumn id="4" xr3:uid="{00000000-0010-0000-2800-000004000000}" name="Einnahmen (EUR)"/>
    <tableColumn id="5" xr3:uid="{00000000-0010-0000-2800-000005000000}" name="Kurs"/>
  </tableColumns>
  <tableStyleInfo showFirstColumn="0" showLastColumn="0" showRowStripes="0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Einnahmen_WK_13" displayName="Einnahmen_WK_13" ref="CH49:CL55">
  <autoFilter ref="CH49:CL55" xr:uid="{00000000-0009-0000-0100-00002A000000}"/>
  <tableColumns count="5">
    <tableColumn id="1" xr3:uid="{00000000-0010-0000-2900-000001000000}" name="Typ"/>
    <tableColumn id="2" xr3:uid="{00000000-0010-0000-2900-000002000000}" name="Geber"/>
    <tableColumn id="3" xr3:uid="{00000000-0010-0000-2900-000003000000}" name="Einnahmen (LC)"/>
    <tableColumn id="4" xr3:uid="{00000000-0010-0000-2900-000004000000}" name="Einnahmen (EUR)"/>
    <tableColumn id="5" xr3:uid="{00000000-0010-0000-2900-000005000000}" name="Kurs"/>
  </tableColumns>
  <tableStyleInfo showFirstColumn="0" showLastColumn="0" showRowStripes="0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Ausgaben_14" displayName="Ausgaben_14" ref="CO18:CS26">
  <autoFilter ref="CO18:CS26" xr:uid="{00000000-0009-0000-0100-00002B000000}"/>
  <tableColumns count="5">
    <tableColumn id="1" xr3:uid="{00000000-0010-0000-2A00-000001000000}" name="ID"/>
    <tableColumn id="2" xr3:uid="{00000000-0010-0000-2A00-000002000000}" name="Ausgaben (LC)"/>
    <tableColumn id="3" xr3:uid="{00000000-0010-0000-2A00-000003000000}" name="Ausgaben (EUR)"/>
    <tableColumn id="4" xr3:uid="{00000000-0010-0000-2A00-000004000000}" name="Kum. Ausgaben (LC)"/>
    <tableColumn id="5" xr3:uid="{00000000-0010-0000-2A00-000005000000}" name="Kum. Ausgaben (EUR)"/>
  </tableColumns>
  <tableStyleInfo showFirstColumn="0" showLastColumn="0" showRowStripes="0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Einnahmen_14" displayName="Einnahmen_14" ref="CO40:CS45">
  <autoFilter ref="CO40:CS45" xr:uid="{00000000-0009-0000-0100-00002C000000}"/>
  <tableColumns count="5">
    <tableColumn id="1" xr3:uid="{00000000-0010-0000-2B00-000001000000}" name="Typ"/>
    <tableColumn id="2" xr3:uid="{00000000-0010-0000-2B00-000002000000}" name="Geber"/>
    <tableColumn id="3" xr3:uid="{00000000-0010-0000-2B00-000003000000}" name="Einnahmen (LC)"/>
    <tableColumn id="4" xr3:uid="{00000000-0010-0000-2B00-000004000000}" name="Einnahmen (EUR)"/>
    <tableColumn id="5" xr3:uid="{00000000-0010-0000-2B00-000005000000}" name="Kurs"/>
  </tableColumns>
  <tableStyleInfo showFirstColumn="0" showLastColumn="0" showRowStripes="0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Einnahmen_WK_14" displayName="Einnahmen_WK_14" ref="CO49:CS55">
  <autoFilter ref="CO49:CS55" xr:uid="{00000000-0009-0000-0100-00002D000000}"/>
  <tableColumns count="5">
    <tableColumn id="1" xr3:uid="{00000000-0010-0000-2C00-000001000000}" name="Typ"/>
    <tableColumn id="2" xr3:uid="{00000000-0010-0000-2C00-000002000000}" name="Geber"/>
    <tableColumn id="3" xr3:uid="{00000000-0010-0000-2C00-000003000000}" name="Einnahmen (LC)"/>
    <tableColumn id="4" xr3:uid="{00000000-0010-0000-2C00-000004000000}" name="Einnahmen (EUR)"/>
    <tableColumn id="5" xr3:uid="{00000000-0010-0000-2C00-000005000000}" name="Kurs"/>
  </tableColumns>
  <tableStyleInfo showFirstColumn="0" showLastColumn="0" showRowStripes="0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Ausgaben_15" displayName="Ausgaben_15" ref="CV18:CZ26">
  <autoFilter ref="CV18:CZ26" xr:uid="{00000000-0009-0000-0100-00002E000000}"/>
  <tableColumns count="5">
    <tableColumn id="1" xr3:uid="{00000000-0010-0000-2D00-000001000000}" name="ID"/>
    <tableColumn id="2" xr3:uid="{00000000-0010-0000-2D00-000002000000}" name="Ausgaben (LC)"/>
    <tableColumn id="3" xr3:uid="{00000000-0010-0000-2D00-000003000000}" name="Ausgaben (EUR)"/>
    <tableColumn id="4" xr3:uid="{00000000-0010-0000-2D00-000004000000}" name="Kum. Ausgaben (LC)"/>
    <tableColumn id="5" xr3:uid="{00000000-0010-0000-2D00-000005000000}" name="Kum. Ausgaben (EUR)"/>
  </tableColumns>
  <tableStyleInfo showFirstColumn="0" showLastColumn="0" showRowStripes="0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Einnahmen_15" displayName="Einnahmen_15" ref="CV40:CZ45">
  <autoFilter ref="CV40:CZ45" xr:uid="{00000000-0009-0000-0100-00002F000000}"/>
  <tableColumns count="5">
    <tableColumn id="1" xr3:uid="{00000000-0010-0000-2E00-000001000000}" name="Typ"/>
    <tableColumn id="2" xr3:uid="{00000000-0010-0000-2E00-000002000000}" name="Geber"/>
    <tableColumn id="3" xr3:uid="{00000000-0010-0000-2E00-000003000000}" name="Einnahmen (LC)"/>
    <tableColumn id="4" xr3:uid="{00000000-0010-0000-2E00-000004000000}" name="Einnahmen (EUR)"/>
    <tableColumn id="5" xr3:uid="{00000000-0010-0000-2E00-000005000000}" name="Kurs"/>
  </tableColumns>
  <tableStyleInfo showFirstColumn="0" showLastColumn="0" showRowStripes="0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Einnahmen_WK_15" displayName="Einnahmen_WK_15" ref="CV49:CZ55">
  <autoFilter ref="CV49:CZ55" xr:uid="{00000000-0009-0000-0100-000030000000}"/>
  <tableColumns count="5">
    <tableColumn id="1" xr3:uid="{00000000-0010-0000-2F00-000001000000}" name="Typ"/>
    <tableColumn id="2" xr3:uid="{00000000-0010-0000-2F00-000002000000}" name="Geber"/>
    <tableColumn id="3" xr3:uid="{00000000-0010-0000-2F00-000003000000}" name="Einnahmen (LC)"/>
    <tableColumn id="4" xr3:uid="{00000000-0010-0000-2F00-000004000000}" name="Einnahmen (EUR)"/>
    <tableColumn id="5" xr3:uid="{00000000-0010-0000-2F00-000005000000}" name="Kurs"/>
  </tableColumns>
  <tableStyleInfo showFirstColumn="0" showLastColumn="0" showRowStripes="0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Ausgaben_16" displayName="Ausgaben_16" ref="DC18:DG26">
  <autoFilter ref="DC18:DG26" xr:uid="{00000000-0009-0000-0100-000031000000}"/>
  <tableColumns count="5">
    <tableColumn id="1" xr3:uid="{00000000-0010-0000-3000-000001000000}" name="ID"/>
    <tableColumn id="2" xr3:uid="{00000000-0010-0000-3000-000002000000}" name="Ausgaben (LC)"/>
    <tableColumn id="3" xr3:uid="{00000000-0010-0000-3000-000003000000}" name="Ausgaben (EUR)"/>
    <tableColumn id="4" xr3:uid="{00000000-0010-0000-3000-000004000000}" name="Kum. Ausgaben (LC)"/>
    <tableColumn id="5" xr3:uid="{00000000-0010-0000-3000-000005000000}" name="Kum. Ausgaben (EUR)"/>
  </tableColumns>
  <tableStyleInfo showFirstColumn="0" showLastColumn="0" showRowStripes="0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Einnahmen_16" displayName="Einnahmen_16" ref="DC40:DG45">
  <autoFilter ref="DC40:DG45" xr:uid="{00000000-0009-0000-0100-000032000000}"/>
  <tableColumns count="5">
    <tableColumn id="1" xr3:uid="{00000000-0010-0000-3100-000001000000}" name="Typ"/>
    <tableColumn id="2" xr3:uid="{00000000-0010-0000-3100-000002000000}" name="Geber"/>
    <tableColumn id="3" xr3:uid="{00000000-0010-0000-3100-000003000000}" name="Einnahmen (LC)"/>
    <tableColumn id="4" xr3:uid="{00000000-0010-0000-3100-000004000000}" name="Einnahmen (EUR)"/>
    <tableColumn id="5" xr3:uid="{00000000-0010-0000-3100-000005000000}" name="Kurs"/>
  </tableColumns>
  <tableStyleInfo showFirstColumn="0" showLastColumn="0" showRowStripes="0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Einnahmen_WK_16" displayName="Einnahmen_WK_16" ref="DC49:DG55">
  <autoFilter ref="DC49:DG55" xr:uid="{00000000-0009-0000-0100-000033000000}"/>
  <tableColumns count="5">
    <tableColumn id="1" xr3:uid="{00000000-0010-0000-3200-000001000000}" name="Typ"/>
    <tableColumn id="2" xr3:uid="{00000000-0010-0000-3200-000002000000}" name="Geber"/>
    <tableColumn id="3" xr3:uid="{00000000-0010-0000-3200-000003000000}" name="Einnahmen (LC)"/>
    <tableColumn id="4" xr3:uid="{00000000-0010-0000-3200-000004000000}" name="Einnahmen (EUR)"/>
    <tableColumn id="5" xr3:uid="{00000000-0010-0000-3200-000005000000}" name="Kurs"/>
  </tableColumns>
  <tableStyleInfo showFirstColumn="0" showLastColumn="0" showRowStripes="0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Ausgaben_17" displayName="Ausgaben_17" ref="DJ18:DN26">
  <autoFilter ref="DJ18:DN26" xr:uid="{00000000-0009-0000-0100-000034000000}"/>
  <tableColumns count="5">
    <tableColumn id="1" xr3:uid="{00000000-0010-0000-3300-000001000000}" name="ID"/>
    <tableColumn id="2" xr3:uid="{00000000-0010-0000-3300-000002000000}" name="Ausgaben (LC)"/>
    <tableColumn id="3" xr3:uid="{00000000-0010-0000-3300-000003000000}" name="Ausgaben (EUR)"/>
    <tableColumn id="4" xr3:uid="{00000000-0010-0000-3300-000004000000}" name="Kum. Ausgaben (LC)"/>
    <tableColumn id="5" xr3:uid="{00000000-0010-0000-3300-000005000000}" name="Kum. Ausgaben (EUR)"/>
  </tableColumns>
  <tableStyleInfo showFirstColumn="0" showLastColumn="0" showRowStripes="0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Einnahmen_17" displayName="Einnahmen_17" ref="DJ40:DN45">
  <autoFilter ref="DJ40:DN45" xr:uid="{00000000-0009-0000-0100-000035000000}"/>
  <tableColumns count="5">
    <tableColumn id="1" xr3:uid="{00000000-0010-0000-3400-000001000000}" name="Typ"/>
    <tableColumn id="2" xr3:uid="{00000000-0010-0000-3400-000002000000}" name="Geber"/>
    <tableColumn id="3" xr3:uid="{00000000-0010-0000-3400-000003000000}" name="Einnahmen (LC)"/>
    <tableColumn id="4" xr3:uid="{00000000-0010-0000-3400-000004000000}" name="Einnahmen (EUR)"/>
    <tableColumn id="5" xr3:uid="{00000000-0010-0000-3400-000005000000}" name="Kurs"/>
  </tableColumns>
  <tableStyleInfo showFirstColumn="0" showLastColumn="0" showRowStripes="0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Einnahmen_WK_17" displayName="Einnahmen_WK_17" ref="DJ49:DN55">
  <autoFilter ref="DJ49:DN55" xr:uid="{00000000-0009-0000-0100-000036000000}"/>
  <tableColumns count="5">
    <tableColumn id="1" xr3:uid="{00000000-0010-0000-3500-000001000000}" name="Typ"/>
    <tableColumn id="2" xr3:uid="{00000000-0010-0000-3500-000002000000}" name="Geber"/>
    <tableColumn id="3" xr3:uid="{00000000-0010-0000-3500-000003000000}" name="Einnahmen (LC)"/>
    <tableColumn id="4" xr3:uid="{00000000-0010-0000-3500-000004000000}" name="Einnahmen (EUR)"/>
    <tableColumn id="5" xr3:uid="{00000000-0010-0000-3500-000005000000}" name="Kurs"/>
  </tableColumns>
  <tableStyleInfo showFirstColumn="0" showLastColumn="0" showRowStripes="0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Ausgaben_18" displayName="Ausgaben_18" ref="DQ18:DU26">
  <autoFilter ref="DQ18:DU26" xr:uid="{00000000-0009-0000-0100-000037000000}"/>
  <tableColumns count="5">
    <tableColumn id="1" xr3:uid="{00000000-0010-0000-3600-000001000000}" name="ID"/>
    <tableColumn id="2" xr3:uid="{00000000-0010-0000-3600-000002000000}" name="Ausgaben (LC)"/>
    <tableColumn id="3" xr3:uid="{00000000-0010-0000-3600-000003000000}" name="Ausgaben (EUR)"/>
    <tableColumn id="4" xr3:uid="{00000000-0010-0000-3600-000004000000}" name="Kum. Ausgaben (LC)"/>
    <tableColumn id="5" xr3:uid="{00000000-0010-0000-3600-000005000000}" name="Kum. Ausgaben (EUR)"/>
  </tableColumns>
  <tableStyleInfo showFirstColumn="0" showLastColumn="0" showRowStripes="0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Einnahmen_18" displayName="Einnahmen_18" ref="DQ40:DU45">
  <autoFilter ref="DQ40:DU45" xr:uid="{00000000-0009-0000-0100-000038000000}"/>
  <tableColumns count="5">
    <tableColumn id="1" xr3:uid="{00000000-0010-0000-3700-000001000000}" name="Typ"/>
    <tableColumn id="2" xr3:uid="{00000000-0010-0000-3700-000002000000}" name="Geber"/>
    <tableColumn id="3" xr3:uid="{00000000-0010-0000-3700-000003000000}" name="Einnahmen (LC)"/>
    <tableColumn id="4" xr3:uid="{00000000-0010-0000-3700-000004000000}" name="Einnahmen (EUR)"/>
    <tableColumn id="5" xr3:uid="{00000000-0010-0000-3700-000005000000}" name="Kurs"/>
  </tableColumns>
  <tableStyleInfo showFirstColumn="0" showLastColumn="0" showRowStripes="0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Einnahmen_WK_18" displayName="Einnahmen_WK_18" ref="DQ49:DU55">
  <autoFilter ref="DQ49:DU55" xr:uid="{00000000-0009-0000-0100-000039000000}"/>
  <tableColumns count="5">
    <tableColumn id="1" xr3:uid="{00000000-0010-0000-3800-000001000000}" name="Typ"/>
    <tableColumn id="2" xr3:uid="{00000000-0010-0000-3800-000002000000}" name="Geber"/>
    <tableColumn id="3" xr3:uid="{00000000-0010-0000-3800-000003000000}" name="Einnahmen (LC)"/>
    <tableColumn id="4" xr3:uid="{00000000-0010-0000-3800-000004000000}" name="Einnahmen (EUR)"/>
    <tableColumn id="5" xr3:uid="{00000000-0010-0000-3800-000005000000}" name="Kurs"/>
  </tableColumns>
  <tableStyleInfo showFirstColumn="0" showLastColumn="0" showRowStripes="0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MA_1" displayName="MA_1" ref="B9:D17">
  <autoFilter ref="B9:D17" xr:uid="{00000000-0009-0000-0100-00003A000000}"/>
  <tableColumns count="3">
    <tableColumn id="1" xr3:uid="{00000000-0010-0000-3900-000001000000}" name="Kostenkategorie"/>
    <tableColumn id="2" xr3:uid="{00000000-0010-0000-3900-000002000000}" name="Angefordert (LC)"/>
    <tableColumn id="3" xr3:uid="{00000000-0010-0000-3900-000003000000}" name="Angefordert (EUR)"/>
  </tableColumns>
  <tableStyleInfo showFirstColumn="0" showLastColumn="0" showRowStripes="0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MA_2" displayName="MA_2" ref="F9:H17">
  <autoFilter ref="F9:H17" xr:uid="{00000000-0009-0000-0100-00003B000000}"/>
  <tableColumns count="3">
    <tableColumn id="1" xr3:uid="{00000000-0010-0000-3A00-000001000000}" name="Kostenkategorie"/>
    <tableColumn id="2" xr3:uid="{00000000-0010-0000-3A00-000002000000}" name="Angefordert (LC)"/>
    <tableColumn id="3" xr3:uid="{00000000-0010-0000-3A00-000003000000}" name="Angefordert (EUR)"/>
  </tableColumns>
  <tableStyleInfo showFirstColumn="0" showLastColumn="0" showRowStripes="0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MA_3" displayName="MA_3" ref="J9:L17">
  <autoFilter ref="J9:L17" xr:uid="{00000000-0009-0000-0100-00003C000000}"/>
  <tableColumns count="3">
    <tableColumn id="1" xr3:uid="{00000000-0010-0000-3B00-000001000000}" name="Kostenkategorie"/>
    <tableColumn id="2" xr3:uid="{00000000-0010-0000-3B00-000002000000}" name="Angefordert (LC)"/>
    <tableColumn id="3" xr3:uid="{00000000-0010-0000-3B00-000003000000}" name="Angefordert (EUR)"/>
  </tableColumns>
  <tableStyleInfo showFirstColumn="0" showLastColumn="0" showRowStripes="0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MA_4" displayName="MA_4" ref="N9:P17">
  <autoFilter ref="N9:P17" xr:uid="{00000000-0009-0000-0100-00003D000000}"/>
  <tableColumns count="3">
    <tableColumn id="1" xr3:uid="{00000000-0010-0000-3C00-000001000000}" name="Kostenkategorie"/>
    <tableColumn id="2" xr3:uid="{00000000-0010-0000-3C00-000002000000}" name="Angefordert (LC)"/>
    <tableColumn id="3" xr3:uid="{00000000-0010-0000-3C00-000003000000}" name="Angefordert (EUR)"/>
  </tableColumns>
  <tableStyleInfo showFirstColumn="0" showLastColumn="0" showRowStripes="0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MA_5" displayName="MA_5" ref="R9:T17">
  <autoFilter ref="R9:T17" xr:uid="{00000000-0009-0000-0100-00003E000000}"/>
  <tableColumns count="3">
    <tableColumn id="1" xr3:uid="{00000000-0010-0000-3D00-000001000000}" name="Kostenkategorie"/>
    <tableColumn id="2" xr3:uid="{00000000-0010-0000-3D00-000002000000}" name="Angefordert (LC)"/>
    <tableColumn id="3" xr3:uid="{00000000-0010-0000-3D00-000003000000}" name="Angefordert (EUR)"/>
  </tableColumns>
  <tableStyleInfo showFirstColumn="0" showLastColumn="0" showRowStripes="0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MA_6" displayName="MA_6" ref="V9:X17">
  <autoFilter ref="V9:X17" xr:uid="{00000000-0009-0000-0100-00003F000000}"/>
  <tableColumns count="3">
    <tableColumn id="1" xr3:uid="{00000000-0010-0000-3E00-000001000000}" name="Kostenkategorie"/>
    <tableColumn id="2" xr3:uid="{00000000-0010-0000-3E00-000002000000}" name="Angefordert (LC)"/>
    <tableColumn id="3" xr3:uid="{00000000-0010-0000-3E00-000003000000}" name="Angefordert (EUR)"/>
  </tableColumns>
  <tableStyleInfo showFirstColumn="0" showLastColumn="0" showRowStripes="0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MA_7" displayName="MA_7" ref="Z9:AB17">
  <autoFilter ref="Z9:AB17" xr:uid="{00000000-0009-0000-0100-000040000000}"/>
  <tableColumns count="3">
    <tableColumn id="1" xr3:uid="{00000000-0010-0000-3F00-000001000000}" name="Kostenkategorie"/>
    <tableColumn id="2" xr3:uid="{00000000-0010-0000-3F00-000002000000}" name="Angefordert (LC)"/>
    <tableColumn id="3" xr3:uid="{00000000-0010-0000-3F00-000003000000}" name="Angefordert (EUR)"/>
  </tableColumns>
  <tableStyleInfo showFirstColumn="0" showLastColumn="0" showRowStripes="0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MA_8" displayName="MA_8" ref="AD9:AF17">
  <autoFilter ref="AD9:AF17" xr:uid="{00000000-0009-0000-0100-000041000000}"/>
  <tableColumns count="3">
    <tableColumn id="1" xr3:uid="{00000000-0010-0000-4000-000001000000}" name="Kostenkategorie"/>
    <tableColumn id="2" xr3:uid="{00000000-0010-0000-4000-000002000000}" name="Angefordert (LC)"/>
    <tableColumn id="3" xr3:uid="{00000000-0010-0000-4000-000003000000}" name="Angefordert (EUR)"/>
  </tableColumns>
  <tableStyleInfo showFirstColumn="0" showLastColumn="0" showRowStripes="0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MA_9" displayName="MA_9" ref="AH9:AJ17">
  <autoFilter ref="AH9:AJ17" xr:uid="{00000000-0009-0000-0100-000042000000}"/>
  <tableColumns count="3">
    <tableColumn id="1" xr3:uid="{00000000-0010-0000-4100-000001000000}" name="Kostenkategorie"/>
    <tableColumn id="2" xr3:uid="{00000000-0010-0000-4100-000002000000}" name="Angefordert (LC)"/>
    <tableColumn id="3" xr3:uid="{00000000-0010-0000-4100-000003000000}" name="Angefordert (EUR)"/>
  </tableColumns>
  <tableStyleInfo showFirstColumn="0" showLastColumn="0" showRowStripes="0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MA_10" displayName="MA_10" ref="AL9:AN17">
  <autoFilter ref="AL9:AN17" xr:uid="{00000000-0009-0000-0100-000043000000}"/>
  <tableColumns count="3">
    <tableColumn id="1" xr3:uid="{00000000-0010-0000-4200-000001000000}" name="Kostenkategorie"/>
    <tableColumn id="2" xr3:uid="{00000000-0010-0000-4200-000002000000}" name="Angefordert (LC)"/>
    <tableColumn id="3" xr3:uid="{00000000-0010-0000-4200-000003000000}" name="Angefordert (EUR)"/>
  </tableColumns>
  <tableStyleInfo showFirstColumn="0" showLastColumn="0" showRowStripes="0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MA_11" displayName="MA_11" ref="AP9:AR17">
  <autoFilter ref="AP9:AR17" xr:uid="{00000000-0009-0000-0100-000044000000}"/>
  <tableColumns count="3">
    <tableColumn id="1" xr3:uid="{00000000-0010-0000-4300-000001000000}" name="Kostenkategorie"/>
    <tableColumn id="2" xr3:uid="{00000000-0010-0000-4300-000002000000}" name="Angefordert (LC)"/>
    <tableColumn id="3" xr3:uid="{00000000-0010-0000-4300-000003000000}" name="Angefordert (EUR)"/>
  </tableColumns>
  <tableStyleInfo showFirstColumn="0" showLastColumn="0" showRowStripes="0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MA_12" displayName="MA_12" ref="AT9:AV17">
  <autoFilter ref="AT9:AV17" xr:uid="{00000000-0009-0000-0100-000045000000}"/>
  <tableColumns count="3">
    <tableColumn id="1" xr3:uid="{00000000-0010-0000-4400-000001000000}" name="Kostenkategorie"/>
    <tableColumn id="2" xr3:uid="{00000000-0010-0000-4400-000002000000}" name="Angefordert (LC)"/>
    <tableColumn id="3" xr3:uid="{00000000-0010-0000-4400-000003000000}" name="Angefordert (EUR)"/>
  </tableColumns>
  <tableStyleInfo showFirstColumn="0" showLastColumn="0" showRowStripes="0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MA_13" displayName="MA_13" ref="AX9:AZ17">
  <autoFilter ref="AX9:AZ17" xr:uid="{00000000-0009-0000-0100-000046000000}"/>
  <tableColumns count="3">
    <tableColumn id="1" xr3:uid="{00000000-0010-0000-4500-000001000000}" name="Kostenkategorie"/>
    <tableColumn id="2" xr3:uid="{00000000-0010-0000-4500-000002000000}" name="Angefordert (LC)"/>
    <tableColumn id="3" xr3:uid="{00000000-0010-0000-4500-000003000000}" name="Angefordert (EUR)"/>
  </tableColumns>
  <tableStyleInfo showFirstColumn="0" showLastColumn="0" showRowStripes="0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MA_14" displayName="MA_14" ref="BB9:BD17">
  <autoFilter ref="BB9:BD17" xr:uid="{00000000-0009-0000-0100-000047000000}"/>
  <tableColumns count="3">
    <tableColumn id="1" xr3:uid="{00000000-0010-0000-4600-000001000000}" name="Kostenkategorie"/>
    <tableColumn id="2" xr3:uid="{00000000-0010-0000-4600-000002000000}" name="Angefordert (LC)"/>
    <tableColumn id="3" xr3:uid="{00000000-0010-0000-4600-000003000000}" name="Angefordert (EUR)"/>
  </tableColumns>
  <tableStyleInfo showFirstColumn="0" showLastColumn="0" showRowStripes="0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MA_15" displayName="MA_15" ref="BF9:BH17">
  <autoFilter ref="BF9:BH17" xr:uid="{00000000-0009-0000-0100-000048000000}"/>
  <tableColumns count="3">
    <tableColumn id="1" xr3:uid="{00000000-0010-0000-4700-000001000000}" name="Kostenkategorie"/>
    <tableColumn id="2" xr3:uid="{00000000-0010-0000-4700-000002000000}" name="Angefordert (LC)"/>
    <tableColumn id="3" xr3:uid="{00000000-0010-0000-4700-000003000000}" name="Angefordert (EUR)"/>
  </tableColumns>
  <tableStyleInfo showFirstColumn="0" showLastColumn="0" showRowStripes="0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MA_16" displayName="MA_16" ref="BJ9:BL17">
  <autoFilter ref="BJ9:BL17" xr:uid="{00000000-0009-0000-0100-000049000000}"/>
  <tableColumns count="3">
    <tableColumn id="1" xr3:uid="{00000000-0010-0000-4800-000001000000}" name="Kostenkategorie"/>
    <tableColumn id="2" xr3:uid="{00000000-0010-0000-4800-000002000000}" name="Angefordert (LC)"/>
    <tableColumn id="3" xr3:uid="{00000000-0010-0000-4800-000003000000}" name="Angefordert (EUR)"/>
  </tableColumns>
  <tableStyleInfo showFirstColumn="0" showLastColumn="0" showRowStripes="0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MA_17" displayName="MA_17" ref="BN9:BP17">
  <autoFilter ref="BN9:BP17" xr:uid="{00000000-0009-0000-0100-00004A000000}"/>
  <tableColumns count="3">
    <tableColumn id="1" xr3:uid="{00000000-0010-0000-4900-000001000000}" name="Kostenkategorie"/>
    <tableColumn id="2" xr3:uid="{00000000-0010-0000-4900-000002000000}" name="Angefordert (LC)"/>
    <tableColumn id="3" xr3:uid="{00000000-0010-0000-4900-000003000000}" name="Angefordert (EUR)"/>
  </tableColumns>
  <tableStyleInfo showFirstColumn="0" showLastColumn="0" showRowStripes="0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MA_18" displayName="MA_18" ref="BR9:BT17">
  <autoFilter ref="BR9:BT17" xr:uid="{00000000-0009-0000-0100-00004B000000}"/>
  <tableColumns count="3">
    <tableColumn id="1" xr3:uid="{00000000-0010-0000-4A00-000001000000}" name="Kostenkategorie"/>
    <tableColumn id="2" xr3:uid="{00000000-0010-0000-4A00-000002000000}" name="Angefordert (LC)"/>
    <tableColumn id="3" xr3:uid="{00000000-0010-0000-4A00-000003000000}" name="Angefordert (EUR)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6.xml"/><Relationship Id="rId18" Type="http://schemas.openxmlformats.org/officeDocument/2006/relationships/table" Target="../tables/table21.xml"/><Relationship Id="rId26" Type="http://schemas.openxmlformats.org/officeDocument/2006/relationships/table" Target="../tables/table29.xml"/><Relationship Id="rId39" Type="http://schemas.openxmlformats.org/officeDocument/2006/relationships/table" Target="../tables/table42.xml"/><Relationship Id="rId21" Type="http://schemas.openxmlformats.org/officeDocument/2006/relationships/table" Target="../tables/table24.xml"/><Relationship Id="rId34" Type="http://schemas.openxmlformats.org/officeDocument/2006/relationships/table" Target="../tables/table37.xml"/><Relationship Id="rId42" Type="http://schemas.openxmlformats.org/officeDocument/2006/relationships/table" Target="../tables/table45.xml"/><Relationship Id="rId47" Type="http://schemas.openxmlformats.org/officeDocument/2006/relationships/table" Target="../tables/table50.xml"/><Relationship Id="rId50" Type="http://schemas.openxmlformats.org/officeDocument/2006/relationships/table" Target="../tables/table53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6" Type="http://schemas.openxmlformats.org/officeDocument/2006/relationships/table" Target="../tables/table19.xml"/><Relationship Id="rId29" Type="http://schemas.openxmlformats.org/officeDocument/2006/relationships/table" Target="../tables/table32.xml"/><Relationship Id="rId11" Type="http://schemas.openxmlformats.org/officeDocument/2006/relationships/table" Target="../tables/table14.xml"/><Relationship Id="rId24" Type="http://schemas.openxmlformats.org/officeDocument/2006/relationships/table" Target="../tables/table27.xml"/><Relationship Id="rId32" Type="http://schemas.openxmlformats.org/officeDocument/2006/relationships/table" Target="../tables/table35.xml"/><Relationship Id="rId37" Type="http://schemas.openxmlformats.org/officeDocument/2006/relationships/table" Target="../tables/table40.xml"/><Relationship Id="rId40" Type="http://schemas.openxmlformats.org/officeDocument/2006/relationships/table" Target="../tables/table43.xml"/><Relationship Id="rId45" Type="http://schemas.openxmlformats.org/officeDocument/2006/relationships/table" Target="../tables/table48.xml"/><Relationship Id="rId53" Type="http://schemas.openxmlformats.org/officeDocument/2006/relationships/table" Target="../tables/table56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19" Type="http://schemas.openxmlformats.org/officeDocument/2006/relationships/table" Target="../tables/table22.xml"/><Relationship Id="rId31" Type="http://schemas.openxmlformats.org/officeDocument/2006/relationships/table" Target="../tables/table34.xml"/><Relationship Id="rId44" Type="http://schemas.openxmlformats.org/officeDocument/2006/relationships/table" Target="../tables/table47.xml"/><Relationship Id="rId52" Type="http://schemas.openxmlformats.org/officeDocument/2006/relationships/table" Target="../tables/table55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4" Type="http://schemas.openxmlformats.org/officeDocument/2006/relationships/table" Target="../tables/table17.xml"/><Relationship Id="rId22" Type="http://schemas.openxmlformats.org/officeDocument/2006/relationships/table" Target="../tables/table25.xml"/><Relationship Id="rId27" Type="http://schemas.openxmlformats.org/officeDocument/2006/relationships/table" Target="../tables/table30.xml"/><Relationship Id="rId30" Type="http://schemas.openxmlformats.org/officeDocument/2006/relationships/table" Target="../tables/table33.xml"/><Relationship Id="rId35" Type="http://schemas.openxmlformats.org/officeDocument/2006/relationships/table" Target="../tables/table38.xml"/><Relationship Id="rId43" Type="http://schemas.openxmlformats.org/officeDocument/2006/relationships/table" Target="../tables/table46.xml"/><Relationship Id="rId48" Type="http://schemas.openxmlformats.org/officeDocument/2006/relationships/table" Target="../tables/table51.xml"/><Relationship Id="rId8" Type="http://schemas.openxmlformats.org/officeDocument/2006/relationships/table" Target="../tables/table11.xml"/><Relationship Id="rId51" Type="http://schemas.openxmlformats.org/officeDocument/2006/relationships/table" Target="../tables/table54.xml"/><Relationship Id="rId3" Type="http://schemas.openxmlformats.org/officeDocument/2006/relationships/table" Target="../tables/table6.xml"/><Relationship Id="rId12" Type="http://schemas.openxmlformats.org/officeDocument/2006/relationships/table" Target="../tables/table15.xml"/><Relationship Id="rId17" Type="http://schemas.openxmlformats.org/officeDocument/2006/relationships/table" Target="../tables/table20.xml"/><Relationship Id="rId25" Type="http://schemas.openxmlformats.org/officeDocument/2006/relationships/table" Target="../tables/table28.xml"/><Relationship Id="rId33" Type="http://schemas.openxmlformats.org/officeDocument/2006/relationships/table" Target="../tables/table36.xml"/><Relationship Id="rId38" Type="http://schemas.openxmlformats.org/officeDocument/2006/relationships/table" Target="../tables/table41.xml"/><Relationship Id="rId46" Type="http://schemas.openxmlformats.org/officeDocument/2006/relationships/table" Target="../tables/table49.xml"/><Relationship Id="rId20" Type="http://schemas.openxmlformats.org/officeDocument/2006/relationships/table" Target="../tables/table23.xml"/><Relationship Id="rId41" Type="http://schemas.openxmlformats.org/officeDocument/2006/relationships/table" Target="../tables/table44.xml"/><Relationship Id="rId54" Type="http://schemas.openxmlformats.org/officeDocument/2006/relationships/table" Target="../tables/table57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5" Type="http://schemas.openxmlformats.org/officeDocument/2006/relationships/table" Target="../tables/table18.xml"/><Relationship Id="rId23" Type="http://schemas.openxmlformats.org/officeDocument/2006/relationships/table" Target="../tables/table26.xml"/><Relationship Id="rId28" Type="http://schemas.openxmlformats.org/officeDocument/2006/relationships/table" Target="../tables/table31.xml"/><Relationship Id="rId36" Type="http://schemas.openxmlformats.org/officeDocument/2006/relationships/table" Target="../tables/table39.xml"/><Relationship Id="rId49" Type="http://schemas.openxmlformats.org/officeDocument/2006/relationships/table" Target="../tables/table5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5.xml"/><Relationship Id="rId13" Type="http://schemas.openxmlformats.org/officeDocument/2006/relationships/table" Target="../tables/table70.xml"/><Relationship Id="rId18" Type="http://schemas.openxmlformats.org/officeDocument/2006/relationships/table" Target="../tables/table75.xml"/><Relationship Id="rId3" Type="http://schemas.openxmlformats.org/officeDocument/2006/relationships/table" Target="../tables/table60.xml"/><Relationship Id="rId7" Type="http://schemas.openxmlformats.org/officeDocument/2006/relationships/table" Target="../tables/table64.xml"/><Relationship Id="rId12" Type="http://schemas.openxmlformats.org/officeDocument/2006/relationships/table" Target="../tables/table69.xml"/><Relationship Id="rId17" Type="http://schemas.openxmlformats.org/officeDocument/2006/relationships/table" Target="../tables/table74.xml"/><Relationship Id="rId2" Type="http://schemas.openxmlformats.org/officeDocument/2006/relationships/table" Target="../tables/table59.xml"/><Relationship Id="rId16" Type="http://schemas.openxmlformats.org/officeDocument/2006/relationships/table" Target="../tables/table73.xml"/><Relationship Id="rId1" Type="http://schemas.openxmlformats.org/officeDocument/2006/relationships/table" Target="../tables/table58.xml"/><Relationship Id="rId6" Type="http://schemas.openxmlformats.org/officeDocument/2006/relationships/table" Target="../tables/table63.xml"/><Relationship Id="rId11" Type="http://schemas.openxmlformats.org/officeDocument/2006/relationships/table" Target="../tables/table68.xml"/><Relationship Id="rId5" Type="http://schemas.openxmlformats.org/officeDocument/2006/relationships/table" Target="../tables/table62.xml"/><Relationship Id="rId15" Type="http://schemas.openxmlformats.org/officeDocument/2006/relationships/table" Target="../tables/table72.xml"/><Relationship Id="rId10" Type="http://schemas.openxmlformats.org/officeDocument/2006/relationships/table" Target="../tables/table67.xml"/><Relationship Id="rId4" Type="http://schemas.openxmlformats.org/officeDocument/2006/relationships/table" Target="../tables/table61.xml"/><Relationship Id="rId9" Type="http://schemas.openxmlformats.org/officeDocument/2006/relationships/table" Target="../tables/table66.xml"/><Relationship Id="rId14" Type="http://schemas.openxmlformats.org/officeDocument/2006/relationships/table" Target="../tables/table7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3D3D3"/>
  </sheetPr>
  <dimension ref="B1:AA155"/>
  <sheetViews>
    <sheetView showGridLines="0" tabSelected="1" workbookViewId="0">
      <selection activeCell="B2" sqref="B2:E2"/>
    </sheetView>
  </sheetViews>
  <sheetFormatPr defaultRowHeight="15" x14ac:dyDescent="0.25"/>
  <cols>
    <col min="1" max="1" width="3" customWidth="1"/>
    <col min="2" max="2" width="32" customWidth="1"/>
    <col min="3" max="3" width="25" customWidth="1"/>
    <col min="4" max="4" width="24" customWidth="1"/>
    <col min="5" max="5" width="35" customWidth="1"/>
    <col min="27" max="27" width="9.140625" hidden="1" customWidth="1"/>
  </cols>
  <sheetData>
    <row r="1" spans="2:27" ht="16.5" x14ac:dyDescent="0.3">
      <c r="AA1" s="1" t="s">
        <v>2</v>
      </c>
    </row>
    <row r="2" spans="2:27" ht="39.950000000000003" customHeight="1" x14ac:dyDescent="0.3">
      <c r="B2" s="137" t="s">
        <v>0</v>
      </c>
      <c r="C2" s="137"/>
      <c r="D2" s="137"/>
      <c r="E2" s="137"/>
      <c r="AA2" s="1" t="s">
        <v>3</v>
      </c>
    </row>
    <row r="3" spans="2:27" ht="16.5" x14ac:dyDescent="0.3">
      <c r="AA3" s="1" t="s">
        <v>4</v>
      </c>
    </row>
    <row r="4" spans="2:27" ht="24" customHeight="1" x14ac:dyDescent="0.3">
      <c r="B4" s="138" t="s">
        <v>1</v>
      </c>
      <c r="C4" s="138"/>
      <c r="D4" s="138"/>
      <c r="E4" s="138"/>
      <c r="AA4" s="1" t="s">
        <v>5</v>
      </c>
    </row>
    <row r="5" spans="2:27" ht="21.95" customHeight="1" x14ac:dyDescent="0.3">
      <c r="B5" s="2" t="s">
        <v>157</v>
      </c>
      <c r="C5" s="3" t="s">
        <v>158</v>
      </c>
      <c r="D5" s="2" t="s">
        <v>159</v>
      </c>
      <c r="E5" s="4" t="s">
        <v>160</v>
      </c>
      <c r="AA5" s="1" t="s">
        <v>6</v>
      </c>
    </row>
    <row r="6" spans="2:27" ht="21.95" customHeight="1" x14ac:dyDescent="0.3">
      <c r="B6" s="2" t="s">
        <v>161</v>
      </c>
      <c r="C6" s="139" t="s">
        <v>158</v>
      </c>
      <c r="D6" s="139"/>
      <c r="E6" s="139"/>
      <c r="AA6" s="1" t="s">
        <v>7</v>
      </c>
    </row>
    <row r="7" spans="2:27" ht="21.95" customHeight="1" x14ac:dyDescent="0.3">
      <c r="B7" s="2" t="s">
        <v>162</v>
      </c>
      <c r="C7" s="3" t="s">
        <v>158</v>
      </c>
      <c r="D7" s="2" t="s">
        <v>163</v>
      </c>
      <c r="E7" s="3" t="s">
        <v>158</v>
      </c>
      <c r="AA7" s="1" t="s">
        <v>8</v>
      </c>
    </row>
    <row r="8" spans="2:27" ht="21.95" customHeight="1" x14ac:dyDescent="0.3">
      <c r="B8" s="2" t="s">
        <v>164</v>
      </c>
      <c r="C8" s="3" t="s">
        <v>158</v>
      </c>
      <c r="D8" s="2" t="s">
        <v>165</v>
      </c>
      <c r="E8" s="5" t="str">
        <f ca="1">IFERROR(_xludf.LET(AllNums, _xludf.TEXTJOIN("", TRUE, IFERROR(MID(C8, _xludf.SEQUENCE(LEN(C8)), 1) * 1, "")), StartDate, DATE(MID(AllNums, 5, 4), MID(AllNums, 3, 2), LEFT(AllNums, 2)), EndDate, DATE(MID(AllNums, 13, 4), MID(AllNums, 11, 2), MID(AllNums, 9, 2)), DATEDIF(StartDate, EndDate + 1, "M")), "")</f>
        <v/>
      </c>
      <c r="AA8" s="1" t="s">
        <v>9</v>
      </c>
    </row>
    <row r="9" spans="2:27" ht="21.95" customHeight="1" x14ac:dyDescent="0.3">
      <c r="B9" s="6" t="s">
        <v>166</v>
      </c>
      <c r="C9" s="7" t="s">
        <v>158</v>
      </c>
      <c r="D9" s="6" t="s">
        <v>167</v>
      </c>
      <c r="E9" s="7" t="s">
        <v>158</v>
      </c>
      <c r="AA9" s="1" t="s">
        <v>10</v>
      </c>
    </row>
    <row r="10" spans="2:27" ht="21.95" customHeight="1" x14ac:dyDescent="0.3">
      <c r="B10" s="2" t="s">
        <v>168</v>
      </c>
      <c r="C10" s="8" t="s">
        <v>158</v>
      </c>
      <c r="D10" s="2" t="s">
        <v>169</v>
      </c>
      <c r="E10" s="9" t="s">
        <v>158</v>
      </c>
      <c r="AA10" s="1" t="s">
        <v>11</v>
      </c>
    </row>
    <row r="11" spans="2:27" ht="21.95" customHeight="1" x14ac:dyDescent="0.3">
      <c r="B11" s="2" t="s">
        <v>170</v>
      </c>
      <c r="C11" s="10" t="s">
        <v>158</v>
      </c>
      <c r="D11" s="2" t="s">
        <v>171</v>
      </c>
      <c r="E11" s="11" t="s">
        <v>158</v>
      </c>
      <c r="AA11" s="1" t="s">
        <v>12</v>
      </c>
    </row>
    <row r="12" spans="2:27" ht="21.95" customHeight="1" x14ac:dyDescent="0.3">
      <c r="B12" s="2" t="s">
        <v>172</v>
      </c>
      <c r="C12" s="8" t="s">
        <v>158</v>
      </c>
      <c r="D12" s="2" t="s">
        <v>169</v>
      </c>
      <c r="E12" s="9" t="s">
        <v>158</v>
      </c>
      <c r="AA12" s="1" t="s">
        <v>13</v>
      </c>
    </row>
    <row r="13" spans="2:27" ht="21.95" customHeight="1" x14ac:dyDescent="0.3">
      <c r="B13" s="2" t="s">
        <v>173</v>
      </c>
      <c r="C13" s="10" t="s">
        <v>158</v>
      </c>
      <c r="D13" s="2" t="s">
        <v>174</v>
      </c>
      <c r="E13" s="11" t="s">
        <v>158</v>
      </c>
      <c r="AA13" s="1" t="s">
        <v>14</v>
      </c>
    </row>
    <row r="14" spans="2:27" ht="16.5" x14ac:dyDescent="0.3">
      <c r="AA14" s="1" t="s">
        <v>15</v>
      </c>
    </row>
    <row r="15" spans="2:27" ht="21.95" customHeight="1" x14ac:dyDescent="0.3">
      <c r="B15" s="140" t="s">
        <v>175</v>
      </c>
      <c r="C15" s="140"/>
      <c r="D15" s="12" t="s">
        <v>176</v>
      </c>
      <c r="E15" s="13" t="s">
        <v>177</v>
      </c>
      <c r="AA15" s="1" t="s">
        <v>16</v>
      </c>
    </row>
    <row r="16" spans="2:27" ht="21.95" customHeight="1" x14ac:dyDescent="0.3">
      <c r="B16" s="140"/>
      <c r="C16" s="140"/>
      <c r="D16" s="12" t="s">
        <v>176</v>
      </c>
      <c r="E16" s="13" t="s">
        <v>178</v>
      </c>
      <c r="AA16" s="1" t="s">
        <v>17</v>
      </c>
    </row>
    <row r="17" spans="2:27" ht="21.95" customHeight="1" x14ac:dyDescent="0.3">
      <c r="B17" s="140"/>
      <c r="C17" s="140"/>
      <c r="D17" s="12" t="s">
        <v>176</v>
      </c>
      <c r="E17" s="13" t="s">
        <v>179</v>
      </c>
      <c r="AA17" s="1" t="s">
        <v>18</v>
      </c>
    </row>
    <row r="18" spans="2:27" ht="21.95" customHeight="1" x14ac:dyDescent="0.3">
      <c r="B18" s="140"/>
      <c r="C18" s="140"/>
      <c r="D18" s="12" t="s">
        <v>176</v>
      </c>
      <c r="E18" s="13" t="s">
        <v>180</v>
      </c>
      <c r="AA18" s="1" t="s">
        <v>19</v>
      </c>
    </row>
    <row r="19" spans="2:27" ht="21.95" customHeight="1" x14ac:dyDescent="0.3">
      <c r="B19" s="140"/>
      <c r="C19" s="140"/>
      <c r="D19" s="12" t="s">
        <v>176</v>
      </c>
      <c r="E19" s="13" t="s">
        <v>181</v>
      </c>
      <c r="AA19" s="1" t="s">
        <v>20</v>
      </c>
    </row>
    <row r="20" spans="2:27" ht="21.95" customHeight="1" x14ac:dyDescent="0.3">
      <c r="B20" s="140"/>
      <c r="C20" s="140"/>
      <c r="D20" s="12" t="s">
        <v>176</v>
      </c>
      <c r="E20" s="13" t="s">
        <v>182</v>
      </c>
      <c r="AA20" s="1" t="s">
        <v>21</v>
      </c>
    </row>
    <row r="21" spans="2:27" ht="21.95" customHeight="1" x14ac:dyDescent="0.3">
      <c r="B21" s="140"/>
      <c r="C21" s="140"/>
      <c r="D21" s="12" t="s">
        <v>176</v>
      </c>
      <c r="E21" s="13" t="s">
        <v>183</v>
      </c>
      <c r="AA21" s="1" t="s">
        <v>22</v>
      </c>
    </row>
    <row r="22" spans="2:27" ht="16.5" x14ac:dyDescent="0.3">
      <c r="AA22" s="1" t="s">
        <v>23</v>
      </c>
    </row>
    <row r="23" spans="2:27" ht="16.5" x14ac:dyDescent="0.3">
      <c r="AA23" s="1" t="s">
        <v>24</v>
      </c>
    </row>
    <row r="24" spans="2:27" ht="16.5" x14ac:dyDescent="0.3">
      <c r="AA24" s="1" t="s">
        <v>25</v>
      </c>
    </row>
    <row r="25" spans="2:27" ht="16.5" x14ac:dyDescent="0.3">
      <c r="AA25" s="1" t="s">
        <v>26</v>
      </c>
    </row>
    <row r="26" spans="2:27" ht="16.5" x14ac:dyDescent="0.3">
      <c r="AA26" s="1" t="s">
        <v>27</v>
      </c>
    </row>
    <row r="27" spans="2:27" ht="16.5" x14ac:dyDescent="0.3">
      <c r="AA27" s="1" t="s">
        <v>28</v>
      </c>
    </row>
    <row r="28" spans="2:27" ht="16.5" x14ac:dyDescent="0.3">
      <c r="AA28" s="1" t="s">
        <v>29</v>
      </c>
    </row>
    <row r="29" spans="2:27" ht="16.5" x14ac:dyDescent="0.3">
      <c r="AA29" s="1" t="s">
        <v>30</v>
      </c>
    </row>
    <row r="30" spans="2:27" ht="16.5" x14ac:dyDescent="0.3">
      <c r="AA30" s="1" t="s">
        <v>31</v>
      </c>
    </row>
    <row r="31" spans="2:27" ht="16.5" x14ac:dyDescent="0.3">
      <c r="AA31" s="1" t="s">
        <v>32</v>
      </c>
    </row>
    <row r="32" spans="2:27" ht="16.5" x14ac:dyDescent="0.3">
      <c r="AA32" s="1" t="s">
        <v>33</v>
      </c>
    </row>
    <row r="33" spans="27:27" ht="16.5" x14ac:dyDescent="0.3">
      <c r="AA33" s="1" t="s">
        <v>34</v>
      </c>
    </row>
    <row r="34" spans="27:27" ht="16.5" x14ac:dyDescent="0.3">
      <c r="AA34" s="1" t="s">
        <v>35</v>
      </c>
    </row>
    <row r="35" spans="27:27" ht="16.5" x14ac:dyDescent="0.3">
      <c r="AA35" s="1" t="s">
        <v>36</v>
      </c>
    </row>
    <row r="36" spans="27:27" ht="16.5" x14ac:dyDescent="0.3">
      <c r="AA36" s="1" t="s">
        <v>37</v>
      </c>
    </row>
    <row r="37" spans="27:27" ht="16.5" x14ac:dyDescent="0.3">
      <c r="AA37" s="1" t="s">
        <v>38</v>
      </c>
    </row>
    <row r="38" spans="27:27" ht="16.5" x14ac:dyDescent="0.3">
      <c r="AA38" s="1" t="s">
        <v>39</v>
      </c>
    </row>
    <row r="39" spans="27:27" ht="16.5" x14ac:dyDescent="0.3">
      <c r="AA39" s="1" t="s">
        <v>40</v>
      </c>
    </row>
    <row r="40" spans="27:27" ht="16.5" x14ac:dyDescent="0.3">
      <c r="AA40" s="1" t="s">
        <v>41</v>
      </c>
    </row>
    <row r="41" spans="27:27" ht="16.5" x14ac:dyDescent="0.3">
      <c r="AA41" s="1" t="s">
        <v>42</v>
      </c>
    </row>
    <row r="42" spans="27:27" ht="16.5" x14ac:dyDescent="0.3">
      <c r="AA42" s="1" t="s">
        <v>43</v>
      </c>
    </row>
    <row r="43" spans="27:27" ht="16.5" x14ac:dyDescent="0.3">
      <c r="AA43" s="1" t="s">
        <v>44</v>
      </c>
    </row>
    <row r="44" spans="27:27" ht="16.5" x14ac:dyDescent="0.3">
      <c r="AA44" s="1" t="s">
        <v>45</v>
      </c>
    </row>
    <row r="45" spans="27:27" ht="16.5" x14ac:dyDescent="0.3">
      <c r="AA45" s="1" t="s">
        <v>46</v>
      </c>
    </row>
    <row r="46" spans="27:27" ht="16.5" x14ac:dyDescent="0.3">
      <c r="AA46" s="1" t="s">
        <v>47</v>
      </c>
    </row>
    <row r="47" spans="27:27" ht="16.5" x14ac:dyDescent="0.3">
      <c r="AA47" s="1" t="s">
        <v>48</v>
      </c>
    </row>
    <row r="48" spans="27:27" ht="16.5" x14ac:dyDescent="0.3">
      <c r="AA48" s="1" t="s">
        <v>49</v>
      </c>
    </row>
    <row r="49" spans="27:27" ht="16.5" x14ac:dyDescent="0.3">
      <c r="AA49" s="1" t="s">
        <v>50</v>
      </c>
    </row>
    <row r="50" spans="27:27" ht="16.5" x14ac:dyDescent="0.3">
      <c r="AA50" s="1" t="s">
        <v>51</v>
      </c>
    </row>
    <row r="51" spans="27:27" ht="16.5" x14ac:dyDescent="0.3">
      <c r="AA51" s="1" t="s">
        <v>52</v>
      </c>
    </row>
    <row r="52" spans="27:27" ht="16.5" x14ac:dyDescent="0.3">
      <c r="AA52" s="1" t="s">
        <v>53</v>
      </c>
    </row>
    <row r="53" spans="27:27" ht="16.5" x14ac:dyDescent="0.3">
      <c r="AA53" s="1" t="s">
        <v>54</v>
      </c>
    </row>
    <row r="54" spans="27:27" ht="16.5" x14ac:dyDescent="0.3">
      <c r="AA54" s="1" t="s">
        <v>55</v>
      </c>
    </row>
    <row r="55" spans="27:27" ht="16.5" x14ac:dyDescent="0.3">
      <c r="AA55" s="1" t="s">
        <v>56</v>
      </c>
    </row>
    <row r="56" spans="27:27" ht="16.5" x14ac:dyDescent="0.3">
      <c r="AA56" s="1" t="s">
        <v>57</v>
      </c>
    </row>
    <row r="57" spans="27:27" ht="16.5" x14ac:dyDescent="0.3">
      <c r="AA57" s="1" t="s">
        <v>58</v>
      </c>
    </row>
    <row r="58" spans="27:27" ht="16.5" x14ac:dyDescent="0.3">
      <c r="AA58" s="1" t="s">
        <v>59</v>
      </c>
    </row>
    <row r="59" spans="27:27" ht="16.5" x14ac:dyDescent="0.3">
      <c r="AA59" s="1" t="s">
        <v>60</v>
      </c>
    </row>
    <row r="60" spans="27:27" ht="16.5" x14ac:dyDescent="0.3">
      <c r="AA60" s="1" t="s">
        <v>61</v>
      </c>
    </row>
    <row r="61" spans="27:27" ht="16.5" x14ac:dyDescent="0.3">
      <c r="AA61" s="1" t="s">
        <v>62</v>
      </c>
    </row>
    <row r="62" spans="27:27" ht="16.5" x14ac:dyDescent="0.3">
      <c r="AA62" s="1" t="s">
        <v>63</v>
      </c>
    </row>
    <row r="63" spans="27:27" ht="16.5" x14ac:dyDescent="0.3">
      <c r="AA63" s="1" t="s">
        <v>64</v>
      </c>
    </row>
    <row r="64" spans="27:27" ht="16.5" x14ac:dyDescent="0.3">
      <c r="AA64" s="1" t="s">
        <v>65</v>
      </c>
    </row>
    <row r="65" spans="27:27" ht="16.5" x14ac:dyDescent="0.3">
      <c r="AA65" s="1" t="s">
        <v>66</v>
      </c>
    </row>
    <row r="66" spans="27:27" ht="16.5" x14ac:dyDescent="0.3">
      <c r="AA66" s="1" t="s">
        <v>67</v>
      </c>
    </row>
    <row r="67" spans="27:27" ht="16.5" x14ac:dyDescent="0.3">
      <c r="AA67" s="1" t="s">
        <v>68</v>
      </c>
    </row>
    <row r="68" spans="27:27" ht="16.5" x14ac:dyDescent="0.3">
      <c r="AA68" s="1" t="s">
        <v>69</v>
      </c>
    </row>
    <row r="69" spans="27:27" ht="16.5" x14ac:dyDescent="0.3">
      <c r="AA69" s="1" t="s">
        <v>70</v>
      </c>
    </row>
    <row r="70" spans="27:27" ht="16.5" x14ac:dyDescent="0.3">
      <c r="AA70" s="1" t="s">
        <v>71</v>
      </c>
    </row>
    <row r="71" spans="27:27" ht="16.5" x14ac:dyDescent="0.3">
      <c r="AA71" s="1" t="s">
        <v>72</v>
      </c>
    </row>
    <row r="72" spans="27:27" ht="16.5" x14ac:dyDescent="0.3">
      <c r="AA72" s="1" t="s">
        <v>73</v>
      </c>
    </row>
    <row r="73" spans="27:27" ht="16.5" x14ac:dyDescent="0.3">
      <c r="AA73" s="1" t="s">
        <v>74</v>
      </c>
    </row>
    <row r="74" spans="27:27" ht="16.5" x14ac:dyDescent="0.3">
      <c r="AA74" s="1" t="s">
        <v>75</v>
      </c>
    </row>
    <row r="75" spans="27:27" ht="16.5" x14ac:dyDescent="0.3">
      <c r="AA75" s="1" t="s">
        <v>76</v>
      </c>
    </row>
    <row r="76" spans="27:27" ht="16.5" x14ac:dyDescent="0.3">
      <c r="AA76" s="1" t="s">
        <v>77</v>
      </c>
    </row>
    <row r="77" spans="27:27" ht="16.5" x14ac:dyDescent="0.3">
      <c r="AA77" s="1" t="s">
        <v>78</v>
      </c>
    </row>
    <row r="78" spans="27:27" ht="16.5" x14ac:dyDescent="0.3">
      <c r="AA78" s="1" t="s">
        <v>79</v>
      </c>
    </row>
    <row r="79" spans="27:27" ht="16.5" x14ac:dyDescent="0.3">
      <c r="AA79" s="1" t="s">
        <v>80</v>
      </c>
    </row>
    <row r="80" spans="27:27" ht="16.5" x14ac:dyDescent="0.3">
      <c r="AA80" s="1" t="s">
        <v>81</v>
      </c>
    </row>
    <row r="81" spans="27:27" ht="16.5" x14ac:dyDescent="0.3">
      <c r="AA81" s="1" t="s">
        <v>82</v>
      </c>
    </row>
    <row r="82" spans="27:27" ht="16.5" x14ac:dyDescent="0.3">
      <c r="AA82" s="1" t="s">
        <v>83</v>
      </c>
    </row>
    <row r="83" spans="27:27" ht="16.5" x14ac:dyDescent="0.3">
      <c r="AA83" s="1" t="s">
        <v>84</v>
      </c>
    </row>
    <row r="84" spans="27:27" ht="16.5" x14ac:dyDescent="0.3">
      <c r="AA84" s="1" t="s">
        <v>85</v>
      </c>
    </row>
    <row r="85" spans="27:27" ht="16.5" x14ac:dyDescent="0.3">
      <c r="AA85" s="1" t="s">
        <v>86</v>
      </c>
    </row>
    <row r="86" spans="27:27" ht="16.5" x14ac:dyDescent="0.3">
      <c r="AA86" s="1" t="s">
        <v>87</v>
      </c>
    </row>
    <row r="87" spans="27:27" ht="16.5" x14ac:dyDescent="0.3">
      <c r="AA87" s="1" t="s">
        <v>88</v>
      </c>
    </row>
    <row r="88" spans="27:27" ht="16.5" x14ac:dyDescent="0.3">
      <c r="AA88" s="1" t="s">
        <v>89</v>
      </c>
    </row>
    <row r="89" spans="27:27" ht="16.5" x14ac:dyDescent="0.3">
      <c r="AA89" s="1" t="s">
        <v>90</v>
      </c>
    </row>
    <row r="90" spans="27:27" ht="16.5" x14ac:dyDescent="0.3">
      <c r="AA90" s="1" t="s">
        <v>91</v>
      </c>
    </row>
    <row r="91" spans="27:27" ht="16.5" x14ac:dyDescent="0.3">
      <c r="AA91" s="1" t="s">
        <v>92</v>
      </c>
    </row>
    <row r="92" spans="27:27" ht="16.5" x14ac:dyDescent="0.3">
      <c r="AA92" s="1" t="s">
        <v>93</v>
      </c>
    </row>
    <row r="93" spans="27:27" ht="16.5" x14ac:dyDescent="0.3">
      <c r="AA93" s="1" t="s">
        <v>94</v>
      </c>
    </row>
    <row r="94" spans="27:27" ht="16.5" x14ac:dyDescent="0.3">
      <c r="AA94" s="1" t="s">
        <v>95</v>
      </c>
    </row>
    <row r="95" spans="27:27" ht="16.5" x14ac:dyDescent="0.3">
      <c r="AA95" s="1" t="s">
        <v>96</v>
      </c>
    </row>
    <row r="96" spans="27:27" ht="16.5" x14ac:dyDescent="0.3">
      <c r="AA96" s="1" t="s">
        <v>97</v>
      </c>
    </row>
    <row r="97" spans="27:27" ht="16.5" x14ac:dyDescent="0.3">
      <c r="AA97" s="1" t="s">
        <v>98</v>
      </c>
    </row>
    <row r="98" spans="27:27" ht="16.5" x14ac:dyDescent="0.3">
      <c r="AA98" s="1" t="s">
        <v>99</v>
      </c>
    </row>
    <row r="99" spans="27:27" ht="16.5" x14ac:dyDescent="0.3">
      <c r="AA99" s="1" t="s">
        <v>100</v>
      </c>
    </row>
    <row r="100" spans="27:27" ht="16.5" x14ac:dyDescent="0.3">
      <c r="AA100" s="1" t="s">
        <v>101</v>
      </c>
    </row>
    <row r="101" spans="27:27" ht="16.5" x14ac:dyDescent="0.3">
      <c r="AA101" s="1" t="s">
        <v>102</v>
      </c>
    </row>
    <row r="102" spans="27:27" ht="16.5" x14ac:dyDescent="0.3">
      <c r="AA102" s="1" t="s">
        <v>103</v>
      </c>
    </row>
    <row r="103" spans="27:27" ht="16.5" x14ac:dyDescent="0.3">
      <c r="AA103" s="1" t="s">
        <v>104</v>
      </c>
    </row>
    <row r="104" spans="27:27" ht="16.5" x14ac:dyDescent="0.3">
      <c r="AA104" s="1" t="s">
        <v>105</v>
      </c>
    </row>
    <row r="105" spans="27:27" ht="16.5" x14ac:dyDescent="0.3">
      <c r="AA105" s="1" t="s">
        <v>106</v>
      </c>
    </row>
    <row r="106" spans="27:27" ht="16.5" x14ac:dyDescent="0.3">
      <c r="AA106" s="1" t="s">
        <v>107</v>
      </c>
    </row>
    <row r="107" spans="27:27" ht="16.5" x14ac:dyDescent="0.3">
      <c r="AA107" s="1" t="s">
        <v>108</v>
      </c>
    </row>
    <row r="108" spans="27:27" ht="16.5" x14ac:dyDescent="0.3">
      <c r="AA108" s="1" t="s">
        <v>109</v>
      </c>
    </row>
    <row r="109" spans="27:27" ht="16.5" x14ac:dyDescent="0.3">
      <c r="AA109" s="1" t="s">
        <v>110</v>
      </c>
    </row>
    <row r="110" spans="27:27" ht="16.5" x14ac:dyDescent="0.3">
      <c r="AA110" s="1" t="s">
        <v>111</v>
      </c>
    </row>
    <row r="111" spans="27:27" ht="16.5" x14ac:dyDescent="0.3">
      <c r="AA111" s="1" t="s">
        <v>112</v>
      </c>
    </row>
    <row r="112" spans="27:27" ht="16.5" x14ac:dyDescent="0.3">
      <c r="AA112" s="1" t="s">
        <v>113</v>
      </c>
    </row>
    <row r="113" spans="27:27" ht="16.5" x14ac:dyDescent="0.3">
      <c r="AA113" s="1" t="s">
        <v>114</v>
      </c>
    </row>
    <row r="114" spans="27:27" ht="16.5" x14ac:dyDescent="0.3">
      <c r="AA114" s="1" t="s">
        <v>115</v>
      </c>
    </row>
    <row r="115" spans="27:27" ht="16.5" x14ac:dyDescent="0.3">
      <c r="AA115" s="1" t="s">
        <v>116</v>
      </c>
    </row>
    <row r="116" spans="27:27" ht="16.5" x14ac:dyDescent="0.3">
      <c r="AA116" s="1" t="s">
        <v>117</v>
      </c>
    </row>
    <row r="117" spans="27:27" ht="16.5" x14ac:dyDescent="0.3">
      <c r="AA117" s="1" t="s">
        <v>118</v>
      </c>
    </row>
    <row r="118" spans="27:27" ht="16.5" x14ac:dyDescent="0.3">
      <c r="AA118" s="1" t="s">
        <v>119</v>
      </c>
    </row>
    <row r="119" spans="27:27" ht="16.5" x14ac:dyDescent="0.3">
      <c r="AA119" s="1" t="s">
        <v>120</v>
      </c>
    </row>
    <row r="120" spans="27:27" ht="16.5" x14ac:dyDescent="0.3">
      <c r="AA120" s="1" t="s">
        <v>121</v>
      </c>
    </row>
    <row r="121" spans="27:27" ht="16.5" x14ac:dyDescent="0.3">
      <c r="AA121" s="1" t="s">
        <v>122</v>
      </c>
    </row>
    <row r="122" spans="27:27" ht="16.5" x14ac:dyDescent="0.3">
      <c r="AA122" s="1" t="s">
        <v>123</v>
      </c>
    </row>
    <row r="123" spans="27:27" ht="16.5" x14ac:dyDescent="0.3">
      <c r="AA123" s="1" t="s">
        <v>124</v>
      </c>
    </row>
    <row r="124" spans="27:27" ht="16.5" x14ac:dyDescent="0.3">
      <c r="AA124" s="1" t="s">
        <v>125</v>
      </c>
    </row>
    <row r="125" spans="27:27" ht="16.5" x14ac:dyDescent="0.3">
      <c r="AA125" s="1" t="s">
        <v>126</v>
      </c>
    </row>
    <row r="126" spans="27:27" ht="16.5" x14ac:dyDescent="0.3">
      <c r="AA126" s="1" t="s">
        <v>127</v>
      </c>
    </row>
    <row r="127" spans="27:27" ht="16.5" x14ac:dyDescent="0.3">
      <c r="AA127" s="1" t="s">
        <v>128</v>
      </c>
    </row>
    <row r="128" spans="27:27" ht="16.5" x14ac:dyDescent="0.3">
      <c r="AA128" s="1" t="s">
        <v>129</v>
      </c>
    </row>
    <row r="129" spans="27:27" ht="16.5" x14ac:dyDescent="0.3">
      <c r="AA129" s="1" t="s">
        <v>130</v>
      </c>
    </row>
    <row r="130" spans="27:27" ht="16.5" x14ac:dyDescent="0.3">
      <c r="AA130" s="1" t="s">
        <v>131</v>
      </c>
    </row>
    <row r="131" spans="27:27" ht="16.5" x14ac:dyDescent="0.3">
      <c r="AA131" s="1" t="s">
        <v>132</v>
      </c>
    </row>
    <row r="132" spans="27:27" ht="16.5" x14ac:dyDescent="0.3">
      <c r="AA132" s="1" t="s">
        <v>133</v>
      </c>
    </row>
    <row r="133" spans="27:27" ht="16.5" x14ac:dyDescent="0.3">
      <c r="AA133" s="1" t="s">
        <v>134</v>
      </c>
    </row>
    <row r="134" spans="27:27" ht="16.5" x14ac:dyDescent="0.3">
      <c r="AA134" s="1" t="s">
        <v>135</v>
      </c>
    </row>
    <row r="135" spans="27:27" ht="16.5" x14ac:dyDescent="0.3">
      <c r="AA135" s="1" t="s">
        <v>136</v>
      </c>
    </row>
    <row r="136" spans="27:27" ht="16.5" x14ac:dyDescent="0.3">
      <c r="AA136" s="1" t="s">
        <v>137</v>
      </c>
    </row>
    <row r="137" spans="27:27" ht="16.5" x14ac:dyDescent="0.3">
      <c r="AA137" s="1" t="s">
        <v>138</v>
      </c>
    </row>
    <row r="138" spans="27:27" ht="16.5" x14ac:dyDescent="0.3">
      <c r="AA138" s="1" t="s">
        <v>139</v>
      </c>
    </row>
    <row r="139" spans="27:27" ht="16.5" x14ac:dyDescent="0.3">
      <c r="AA139" s="1" t="s">
        <v>140</v>
      </c>
    </row>
    <row r="140" spans="27:27" ht="16.5" x14ac:dyDescent="0.3">
      <c r="AA140" s="1" t="s">
        <v>141</v>
      </c>
    </row>
    <row r="141" spans="27:27" ht="16.5" x14ac:dyDescent="0.3">
      <c r="AA141" s="1" t="s">
        <v>142</v>
      </c>
    </row>
    <row r="142" spans="27:27" ht="16.5" x14ac:dyDescent="0.3">
      <c r="AA142" s="1" t="s">
        <v>143</v>
      </c>
    </row>
    <row r="143" spans="27:27" ht="16.5" x14ac:dyDescent="0.3">
      <c r="AA143" s="1" t="s">
        <v>144</v>
      </c>
    </row>
    <row r="144" spans="27:27" ht="16.5" x14ac:dyDescent="0.3">
      <c r="AA144" s="1" t="s">
        <v>145</v>
      </c>
    </row>
    <row r="145" spans="27:27" ht="16.5" x14ac:dyDescent="0.3">
      <c r="AA145" s="1" t="s">
        <v>146</v>
      </c>
    </row>
    <row r="146" spans="27:27" ht="16.5" x14ac:dyDescent="0.3">
      <c r="AA146" s="1" t="s">
        <v>147</v>
      </c>
    </row>
    <row r="147" spans="27:27" ht="16.5" x14ac:dyDescent="0.3">
      <c r="AA147" s="1" t="s">
        <v>148</v>
      </c>
    </row>
    <row r="148" spans="27:27" ht="16.5" x14ac:dyDescent="0.3">
      <c r="AA148" s="1" t="s">
        <v>149</v>
      </c>
    </row>
    <row r="149" spans="27:27" ht="16.5" x14ac:dyDescent="0.3">
      <c r="AA149" s="1" t="s">
        <v>150</v>
      </c>
    </row>
    <row r="150" spans="27:27" ht="16.5" x14ac:dyDescent="0.3">
      <c r="AA150" s="1" t="s">
        <v>151</v>
      </c>
    </row>
    <row r="151" spans="27:27" ht="16.5" x14ac:dyDescent="0.3">
      <c r="AA151" s="1" t="s">
        <v>152</v>
      </c>
    </row>
    <row r="152" spans="27:27" ht="16.5" x14ac:dyDescent="0.3">
      <c r="AA152" s="1" t="s">
        <v>153</v>
      </c>
    </row>
    <row r="153" spans="27:27" ht="16.5" x14ac:dyDescent="0.3">
      <c r="AA153" s="1" t="s">
        <v>154</v>
      </c>
    </row>
    <row r="154" spans="27:27" ht="16.5" x14ac:dyDescent="0.3">
      <c r="AA154" s="1" t="s">
        <v>155</v>
      </c>
    </row>
    <row r="155" spans="27:27" ht="16.5" x14ac:dyDescent="0.3">
      <c r="AA155" s="1" t="s">
        <v>156</v>
      </c>
    </row>
  </sheetData>
  <mergeCells count="4">
    <mergeCell ref="B2:E2"/>
    <mergeCell ref="B4:E4"/>
    <mergeCell ref="C6:E6"/>
    <mergeCell ref="B15:C21"/>
  </mergeCells>
  <conditionalFormatting sqref="B9:E13">
    <cfRule type="expression" dxfId="15" priority="1">
      <formula>$E$5="Nein"</formula>
    </cfRule>
  </conditionalFormatting>
  <conditionalFormatting sqref="D15:E15">
    <cfRule type="expression" dxfId="14" priority="3">
      <formula>$E$5="Nein"</formula>
    </cfRule>
  </conditionalFormatting>
  <conditionalFormatting sqref="E15:E21">
    <cfRule type="expression" dxfId="13" priority="2">
      <formula>$D15="Nein"</formula>
    </cfRule>
  </conditionalFormatting>
  <dataValidations count="2">
    <dataValidation type="list" allowBlank="1" sqref="E5 D15:D21" xr:uid="{00000000-0002-0000-0000-000000000000}">
      <formula1>"Ja,Nein"</formula1>
    </dataValidation>
    <dataValidation type="list" allowBlank="1" sqref="E7 E9" xr:uid="{00000000-0002-0000-0000-000001000000}">
      <formula1>$AA$1:$AA$155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B1:S34"/>
  <sheetViews>
    <sheetView showGridLines="0" workbookViewId="0"/>
  </sheetViews>
  <sheetFormatPr defaultRowHeight="15" x14ac:dyDescent="0.25"/>
  <cols>
    <col min="2" max="2" width="25" customWidth="1"/>
    <col min="3" max="3" width="8" customWidth="1"/>
    <col min="4" max="4" width="30" customWidth="1"/>
    <col min="5" max="5" width="18" customWidth="1"/>
    <col min="6" max="8" width="14" customWidth="1"/>
    <col min="9" max="9" width="18" customWidth="1"/>
    <col min="10" max="10" width="3" customWidth="1"/>
    <col min="11" max="11" width="25" customWidth="1"/>
    <col min="12" max="12" width="14" customWidth="1"/>
    <col min="13" max="13" width="16" customWidth="1"/>
    <col min="15" max="16" width="9.140625" hidden="1" customWidth="1"/>
    <col min="18" max="19" width="9.140625" hidden="1" customWidth="1"/>
  </cols>
  <sheetData>
    <row r="1" spans="2:19" ht="16.5" x14ac:dyDescent="0.3">
      <c r="R1" s="1" t="str">
        <f>_xlfn.VSTACK({"Projektpartner";"Bank"},IFERROR(_xlfn._xlws.FILTER(TblDrittmittel[Name des Gebers],TblDrittmittel[Name des Gebers]&lt;&gt;""),""))</f>
        <v>Projektpartner</v>
      </c>
      <c r="S1" s="1" t="str">
        <f>IFERROR(_xlfn._xlws.FILTER(TblBudgetAusgaben[ID],TblBudgetAusgaben[ID]&lt;&gt;""),"")</f>
        <v>1.1</v>
      </c>
    </row>
    <row r="2" spans="2:19" ht="24" customHeight="1" x14ac:dyDescent="0.25">
      <c r="B2" s="33" t="s">
        <v>184</v>
      </c>
      <c r="C2" s="14"/>
      <c r="D2" s="14"/>
      <c r="E2" s="14"/>
      <c r="F2" s="14"/>
      <c r="G2" s="14"/>
      <c r="H2" s="14"/>
      <c r="I2" s="34"/>
      <c r="K2" s="48" t="s">
        <v>216</v>
      </c>
    </row>
    <row r="3" spans="2:19" x14ac:dyDescent="0.25">
      <c r="B3" s="35"/>
      <c r="I3" s="36"/>
      <c r="K3" s="49">
        <f>$P$11</f>
        <v>0</v>
      </c>
    </row>
    <row r="4" spans="2:19" ht="24" customHeight="1" x14ac:dyDescent="0.3">
      <c r="B4" s="37" t="s">
        <v>185</v>
      </c>
      <c r="C4" s="15"/>
      <c r="D4" s="15"/>
      <c r="E4" s="15"/>
      <c r="F4" s="15"/>
      <c r="G4" s="16" t="s">
        <v>186</v>
      </c>
      <c r="H4" s="17">
        <f>IFERROR($E$15/$I$15,0)</f>
        <v>0</v>
      </c>
      <c r="I4" s="38"/>
      <c r="K4" s="50" t="s">
        <v>217</v>
      </c>
      <c r="O4" s="1">
        <f>SUMIFS(TblBudgetAusgaben[Betrag (LC)],TblBudgetAusgaben[Kostenkategorie],"Bauausgaben")</f>
        <v>0</v>
      </c>
      <c r="P4" s="1">
        <f>SUMIFS(TblBudgetAusgaben[Betrag (EUR)],TblBudgetAusgaben[Kostenkategorie],"Bauausgaben")</f>
        <v>0</v>
      </c>
    </row>
    <row r="5" spans="2:19" ht="16.5" x14ac:dyDescent="0.3">
      <c r="B5" s="26" t="s">
        <v>187</v>
      </c>
      <c r="C5" s="18"/>
      <c r="D5" s="18"/>
      <c r="E5" s="18" t="s">
        <v>188</v>
      </c>
      <c r="F5" s="18" t="s">
        <v>189</v>
      </c>
      <c r="G5" s="18" t="s">
        <v>190</v>
      </c>
      <c r="H5" s="18" t="s">
        <v>191</v>
      </c>
      <c r="I5" s="27" t="s">
        <v>192</v>
      </c>
      <c r="K5" s="51" t="s">
        <v>176</v>
      </c>
      <c r="O5" s="1">
        <f>SUMIFS(TblBudgetAusgaben[Betrag (LC)],TblBudgetAusgaben[Kostenkategorie],"Investitionen")</f>
        <v>0</v>
      </c>
      <c r="P5" s="1">
        <f>SUMIFS(TblBudgetAusgaben[Betrag (EUR)],TblBudgetAusgaben[Kostenkategorie],"Investitionen")</f>
        <v>0</v>
      </c>
    </row>
    <row r="6" spans="2:19" ht="20.100000000000001" customHeight="1" x14ac:dyDescent="0.3">
      <c r="B6" s="39" t="s">
        <v>193</v>
      </c>
      <c r="C6" s="19"/>
      <c r="D6" s="19"/>
      <c r="E6" s="19"/>
      <c r="F6" s="19"/>
      <c r="G6" s="19"/>
      <c r="H6" s="19"/>
      <c r="I6" s="40"/>
      <c r="K6" s="52" t="str">
        <f>IF($K$5="Ja","FREIGEGEBEN","NICHT FREIGEGEBEN")</f>
        <v>NICHT FREIGEGEBEN</v>
      </c>
      <c r="O6" s="1">
        <f>SUMIFS(TblBudgetAusgaben[Betrag (LC)],TblBudgetAusgaben[Kostenkategorie],"Personalkosten")</f>
        <v>0</v>
      </c>
      <c r="P6" s="1">
        <f>SUMIFS(TblBudgetAusgaben[Betrag (EUR)],TblBudgetAusgaben[Kostenkategorie],"Personalkosten")</f>
        <v>0</v>
      </c>
    </row>
    <row r="7" spans="2:19" ht="21.95" customHeight="1" x14ac:dyDescent="0.3">
      <c r="B7" s="41" t="s">
        <v>194</v>
      </c>
      <c r="E7" s="20"/>
      <c r="F7" s="20"/>
      <c r="G7" s="20"/>
      <c r="H7" s="20"/>
      <c r="I7" s="29"/>
      <c r="O7" s="1">
        <f>SUMIFS(TblBudgetAusgaben[Betrag (LC)],TblBudgetAusgaben[Kostenkategorie],"Projektaktivitaeten")</f>
        <v>0</v>
      </c>
      <c r="P7" s="1">
        <f>SUMIFS(TblBudgetAusgaben[Betrag (EUR)],TblBudgetAusgaben[Kostenkategorie],"Projektaktivitaeten")</f>
        <v>0</v>
      </c>
    </row>
    <row r="8" spans="2:19" ht="16.5" x14ac:dyDescent="0.3">
      <c r="B8" s="35"/>
      <c r="I8" s="36"/>
      <c r="K8" s="144" t="s">
        <v>218</v>
      </c>
      <c r="L8" s="144"/>
      <c r="M8" s="144"/>
      <c r="O8" s="1">
        <f>SUMIFS(TblBudgetAusgaben[Betrag (LC)],TblBudgetAusgaben[Kostenkategorie],"Projektverwaltung")</f>
        <v>0</v>
      </c>
      <c r="P8" s="1">
        <f>SUMIFS(TblBudgetAusgaben[Betrag (EUR)],TblBudgetAusgaben[Kostenkategorie],"Projektverwaltung")</f>
        <v>0</v>
      </c>
    </row>
    <row r="9" spans="2:19" ht="20.100000000000001" customHeight="1" x14ac:dyDescent="0.3">
      <c r="B9" s="39" t="s">
        <v>195</v>
      </c>
      <c r="C9" s="19"/>
      <c r="D9" s="19"/>
      <c r="E9" s="19"/>
      <c r="F9" s="19"/>
      <c r="G9" s="19"/>
      <c r="H9" s="19"/>
      <c r="I9" s="40"/>
      <c r="K9" s="145" t="s">
        <v>158</v>
      </c>
      <c r="L9" s="145"/>
      <c r="M9" s="145"/>
      <c r="O9" s="1">
        <f>SUMIFS(TblBudgetAusgaben[Betrag (LC)],TblBudgetAusgaben[Kostenkategorie],"Evaluierung")</f>
        <v>0</v>
      </c>
      <c r="P9" s="1">
        <f>SUMIFS(TblBudgetAusgaben[Betrag (EUR)],TblBudgetAusgaben[Kostenkategorie],"Evaluierung")</f>
        <v>0</v>
      </c>
    </row>
    <row r="10" spans="2:19" ht="21.95" customHeight="1" x14ac:dyDescent="0.3">
      <c r="B10" s="41" t="s">
        <v>196</v>
      </c>
      <c r="D10" s="21" t="s">
        <v>197</v>
      </c>
      <c r="E10" s="22">
        <f>SUM(TblDrittmittel[Betrag (LC)])</f>
        <v>0</v>
      </c>
      <c r="F10" s="20"/>
      <c r="G10" s="20"/>
      <c r="H10" s="20"/>
      <c r="I10" s="42">
        <f>SUM(TblDrittmittel[Betrag (EUR)])</f>
        <v>0</v>
      </c>
      <c r="K10" s="145"/>
      <c r="L10" s="145"/>
      <c r="M10" s="145"/>
      <c r="O10" s="1">
        <f>SUMIFS(TblBudgetAusgaben[Betrag (LC)],TblBudgetAusgaben[Kostenkategorie],"Audit")</f>
        <v>0</v>
      </c>
      <c r="P10" s="1">
        <f>SUMIFS(TblBudgetAusgaben[Betrag (EUR)],TblBudgetAusgaben[Kostenkategorie],"Audit")</f>
        <v>0</v>
      </c>
    </row>
    <row r="11" spans="2:19" ht="16.5" x14ac:dyDescent="0.3">
      <c r="B11" s="35"/>
      <c r="I11" s="36"/>
      <c r="K11" s="145"/>
      <c r="L11" s="145"/>
      <c r="M11" s="145"/>
      <c r="O11" s="1">
        <f>SUMIFS(TblBudgetAusgaben[Betrag (LC)],TblBudgetAusgaben[Kostenkategorie],"Reserve")</f>
        <v>0</v>
      </c>
      <c r="P11" s="1">
        <f>SUMIFS(TblBudgetAusgaben[Betrag (EUR)],TblBudgetAusgaben[Kostenkategorie],"Reserve")</f>
        <v>0</v>
      </c>
    </row>
    <row r="12" spans="2:19" ht="20.100000000000001" customHeight="1" x14ac:dyDescent="0.3">
      <c r="B12" s="39" t="s">
        <v>198</v>
      </c>
      <c r="C12" s="19"/>
      <c r="D12" s="19"/>
      <c r="E12" s="19"/>
      <c r="F12" s="19"/>
      <c r="G12" s="19"/>
      <c r="H12" s="19"/>
      <c r="I12" s="40"/>
      <c r="K12" s="145"/>
      <c r="L12" s="145"/>
      <c r="M12" s="145"/>
      <c r="O12" s="1">
        <f>SUBTOTAL(109,TblBudgetAusgaben[Betrag (LC)])</f>
        <v>0</v>
      </c>
      <c r="P12" s="1">
        <f>SUBTOTAL(109,TblBudgetAusgaben[Betrag (EUR)])</f>
        <v>0</v>
      </c>
    </row>
    <row r="13" spans="2:19" ht="21.95" customHeight="1" x14ac:dyDescent="0.25">
      <c r="B13" s="41" t="s">
        <v>199</v>
      </c>
      <c r="E13" s="20"/>
      <c r="F13" s="20"/>
      <c r="G13" s="20"/>
      <c r="H13" s="20"/>
      <c r="I13" s="29"/>
    </row>
    <row r="14" spans="2:19" x14ac:dyDescent="0.25">
      <c r="B14" s="35"/>
      <c r="I14" s="36"/>
    </row>
    <row r="15" spans="2:19" ht="20.100000000000001" customHeight="1" x14ac:dyDescent="0.25">
      <c r="B15" s="43" t="s">
        <v>200</v>
      </c>
      <c r="C15" s="23"/>
      <c r="D15" s="23"/>
      <c r="E15" s="23">
        <f>E7+E10+E13</f>
        <v>0</v>
      </c>
      <c r="F15" s="23">
        <f>F7+F10+F13</f>
        <v>0</v>
      </c>
      <c r="G15" s="23">
        <f>G7+G10+G13</f>
        <v>0</v>
      </c>
      <c r="H15" s="23">
        <f>H7+H10+H13</f>
        <v>0</v>
      </c>
      <c r="I15" s="44">
        <f>I7+I10+I13</f>
        <v>0</v>
      </c>
    </row>
    <row r="16" spans="2:19" x14ac:dyDescent="0.25">
      <c r="B16" s="35"/>
      <c r="I16" s="36"/>
    </row>
    <row r="17" spans="2:13" ht="24" customHeight="1" x14ac:dyDescent="0.25">
      <c r="B17" s="37" t="s">
        <v>201</v>
      </c>
      <c r="C17" s="15"/>
      <c r="D17" s="15"/>
      <c r="E17" s="15"/>
      <c r="F17" s="15"/>
      <c r="G17" s="15"/>
      <c r="H17" s="15"/>
      <c r="I17" s="38"/>
      <c r="K17" s="141" t="s">
        <v>214</v>
      </c>
      <c r="L17" s="142"/>
      <c r="M17" s="143"/>
    </row>
    <row r="18" spans="2:13" x14ac:dyDescent="0.25">
      <c r="B18" s="26" t="s">
        <v>202</v>
      </c>
      <c r="C18" s="18" t="s">
        <v>203</v>
      </c>
      <c r="D18" s="18" t="s">
        <v>204</v>
      </c>
      <c r="E18" s="18" t="s">
        <v>188</v>
      </c>
      <c r="F18" s="18" t="s">
        <v>189</v>
      </c>
      <c r="G18" s="18" t="s">
        <v>190</v>
      </c>
      <c r="H18" s="18" t="s">
        <v>191</v>
      </c>
      <c r="I18" s="27" t="s">
        <v>192</v>
      </c>
      <c r="K18" s="26" t="s">
        <v>215</v>
      </c>
      <c r="L18" s="18" t="s">
        <v>188</v>
      </c>
      <c r="M18" s="27" t="s">
        <v>192</v>
      </c>
    </row>
    <row r="19" spans="2:13" ht="16.5" x14ac:dyDescent="0.25">
      <c r="B19" s="28" t="s">
        <v>205</v>
      </c>
      <c r="C19" s="25" t="str">
        <f>IF(B19="","",MATCH(B19,{"Bauausgaben","Investitionen","Personalkosten","Projektaktivitaeten","Projektverwaltung","Evaluierung","Audit","Reserve"},0)&amp;"."&amp;COUNTIF(B$19:B19,B19))</f>
        <v>1.1</v>
      </c>
      <c r="D19" s="24" t="s">
        <v>158</v>
      </c>
      <c r="E19" s="20"/>
      <c r="F19" s="20"/>
      <c r="G19" s="20"/>
      <c r="H19" s="20"/>
      <c r="I19" s="29"/>
      <c r="K19" s="28" t="s">
        <v>158</v>
      </c>
      <c r="L19" s="20"/>
      <c r="M19" s="29"/>
    </row>
    <row r="20" spans="2:13" ht="16.5" x14ac:dyDescent="0.25">
      <c r="B20" s="28" t="s">
        <v>206</v>
      </c>
      <c r="C20" s="25" t="str">
        <f>IF(B20="","",MATCH(B20,{"Bauausgaben","Investitionen","Personalkosten","Projektaktivitaeten","Projektverwaltung","Evaluierung","Audit","Reserve"},0)&amp;"."&amp;COUNTIF(B$19:B20,B20))</f>
        <v>2.1</v>
      </c>
      <c r="D20" s="24" t="s">
        <v>158</v>
      </c>
      <c r="E20" s="20"/>
      <c r="F20" s="20"/>
      <c r="G20" s="20"/>
      <c r="H20" s="20"/>
      <c r="I20" s="29"/>
      <c r="K20" s="28" t="s">
        <v>158</v>
      </c>
      <c r="L20" s="20"/>
      <c r="M20" s="29"/>
    </row>
    <row r="21" spans="2:13" ht="16.5" x14ac:dyDescent="0.25">
      <c r="B21" s="28" t="s">
        <v>207</v>
      </c>
      <c r="C21" s="25" t="str">
        <f>IF(B21="","",MATCH(B21,{"Bauausgaben","Investitionen","Personalkosten","Projektaktivitaeten","Projektverwaltung","Evaluierung","Audit","Reserve"},0)&amp;"."&amp;COUNTIF(B$19:B21,B21))</f>
        <v>3.1</v>
      </c>
      <c r="D21" s="24" t="s">
        <v>158</v>
      </c>
      <c r="E21" s="20"/>
      <c r="F21" s="20"/>
      <c r="G21" s="20"/>
      <c r="H21" s="20"/>
      <c r="I21" s="29"/>
      <c r="K21" s="30" t="s">
        <v>158</v>
      </c>
      <c r="L21" s="31"/>
      <c r="M21" s="32"/>
    </row>
    <row r="22" spans="2:13" ht="16.5" x14ac:dyDescent="0.25">
      <c r="B22" s="28" t="s">
        <v>208</v>
      </c>
      <c r="C22" s="25" t="str">
        <f>IF(B22="","",MATCH(B22,{"Bauausgaben","Investitionen","Personalkosten","Projektaktivitaeten","Projektverwaltung","Evaluierung","Audit","Reserve"},0)&amp;"."&amp;COUNTIF(B$19:B22,B22))</f>
        <v>4.1</v>
      </c>
      <c r="D22" s="24" t="s">
        <v>158</v>
      </c>
      <c r="E22" s="20"/>
      <c r="F22" s="20"/>
      <c r="G22" s="20"/>
      <c r="H22" s="20"/>
      <c r="I22" s="29"/>
    </row>
    <row r="23" spans="2:13" ht="16.5" x14ac:dyDescent="0.25">
      <c r="B23" s="28" t="s">
        <v>209</v>
      </c>
      <c r="C23" s="25" t="str">
        <f>IF(B23="","",MATCH(B23,{"Bauausgaben","Investitionen","Personalkosten","Projektaktivitaeten","Projektverwaltung","Evaluierung","Audit","Reserve"},0)&amp;"."&amp;COUNTIF(B$19:B23,B23))</f>
        <v>5.1</v>
      </c>
      <c r="D23" s="24" t="s">
        <v>158</v>
      </c>
      <c r="E23" s="20"/>
      <c r="F23" s="20"/>
      <c r="G23" s="20"/>
      <c r="H23" s="20"/>
      <c r="I23" s="29"/>
    </row>
    <row r="24" spans="2:13" ht="16.5" x14ac:dyDescent="0.25">
      <c r="B24" s="28" t="s">
        <v>210</v>
      </c>
      <c r="C24" s="25" t="str">
        <f>IF(B24="","",MATCH(B24,{"Bauausgaben","Investitionen","Personalkosten","Projektaktivitaeten","Projektverwaltung","Evaluierung","Audit","Reserve"},0)&amp;"."&amp;COUNTIF(B$19:B24,B24))</f>
        <v>6.1</v>
      </c>
      <c r="D24" s="24" t="s">
        <v>158</v>
      </c>
      <c r="E24" s="20"/>
      <c r="F24" s="20"/>
      <c r="G24" s="20"/>
      <c r="H24" s="20"/>
      <c r="I24" s="29"/>
    </row>
    <row r="25" spans="2:13" ht="16.5" x14ac:dyDescent="0.25">
      <c r="B25" s="28" t="s">
        <v>211</v>
      </c>
      <c r="C25" s="25" t="str">
        <f>IF(B25="","",MATCH(B25,{"Bauausgaben","Investitionen","Personalkosten","Projektaktivitaeten","Projektverwaltung","Evaluierung","Audit","Reserve"},0)&amp;"."&amp;COUNTIF(B$19:B25,B25))</f>
        <v>7.1</v>
      </c>
      <c r="D25" s="24" t="s">
        <v>158</v>
      </c>
      <c r="E25" s="20"/>
      <c r="F25" s="20"/>
      <c r="G25" s="20"/>
      <c r="H25" s="20"/>
      <c r="I25" s="29"/>
    </row>
    <row r="26" spans="2:13" ht="16.5" x14ac:dyDescent="0.25">
      <c r="B26" s="28" t="s">
        <v>212</v>
      </c>
      <c r="C26" s="25" t="str">
        <f>IF(B26="","",MATCH(B26,{"Bauausgaben","Investitionen","Personalkosten","Projektaktivitaeten","Projektverwaltung","Evaluierung","Audit","Reserve"},0)&amp;"."&amp;COUNTIF(B$19:B26,B26))</f>
        <v>8.1</v>
      </c>
      <c r="D26" s="24" t="s">
        <v>158</v>
      </c>
      <c r="E26" s="20"/>
      <c r="F26" s="20"/>
      <c r="G26" s="20"/>
      <c r="H26" s="20"/>
      <c r="I26" s="29"/>
    </row>
    <row r="27" spans="2:13" ht="20.100000000000001" customHeight="1" x14ac:dyDescent="0.25">
      <c r="B27" s="45" t="s">
        <v>213</v>
      </c>
      <c r="C27" s="46"/>
      <c r="D27" s="46"/>
      <c r="E27" s="46">
        <f>SUBTOTAL(109,TblBudgetAusgaben[Betrag (LC)])</f>
        <v>0</v>
      </c>
      <c r="F27" s="46">
        <f>SUBTOTAL(109,TblBudgetAusgaben[Jahr 1])</f>
        <v>0</v>
      </c>
      <c r="G27" s="46">
        <f>SUBTOTAL(109,TblBudgetAusgaben[Jahr 2])</f>
        <v>0</v>
      </c>
      <c r="H27" s="46">
        <f>SUBTOTAL(109,TblBudgetAusgaben[Jahr 3])</f>
        <v>0</v>
      </c>
      <c r="I27" s="47">
        <f>SUBTOTAL(109,TblBudgetAusgaben[Betrag (EUR)])</f>
        <v>0</v>
      </c>
    </row>
    <row r="29" spans="2:13" x14ac:dyDescent="0.25">
      <c r="B29" s="146" t="s">
        <v>219</v>
      </c>
      <c r="C29" s="147"/>
      <c r="D29" s="147"/>
      <c r="E29" s="148"/>
    </row>
    <row r="30" spans="2:13" x14ac:dyDescent="0.25">
      <c r="B30" s="149" t="s">
        <v>220</v>
      </c>
      <c r="C30" s="150"/>
      <c r="D30" s="150"/>
      <c r="E30" s="53" t="str">
        <f>IF(ROUND($E$15-$O$12,2)=0,"OK","Abweichung")</f>
        <v>OK</v>
      </c>
    </row>
    <row r="31" spans="2:13" x14ac:dyDescent="0.25">
      <c r="B31" s="149" t="s">
        <v>221</v>
      </c>
      <c r="C31" s="150"/>
      <c r="D31" s="150"/>
      <c r="E31" s="53" t="str">
        <f>IF(ROUND($I$15-$P$12,2)=0,"OK","Abweichung")</f>
        <v>OK</v>
      </c>
    </row>
    <row r="32" spans="2:13" x14ac:dyDescent="0.25">
      <c r="B32" s="149" t="s">
        <v>222</v>
      </c>
      <c r="C32" s="150"/>
      <c r="D32" s="150"/>
      <c r="E32" s="53" t="str">
        <f>IF(ROUND($H$4,4)=ROUND(IFERROR($O$12/$P$12,0),4),"OK","Abweichung")</f>
        <v>OK</v>
      </c>
    </row>
    <row r="33" spans="2:5" x14ac:dyDescent="0.25">
      <c r="B33" s="149" t="s">
        <v>223</v>
      </c>
      <c r="C33" s="150"/>
      <c r="D33" s="150"/>
      <c r="E33" s="53" t="str">
        <f>IF(ROUND(($F$15+$G$15+$H$15)-$E$15,2)=0,"OK","Abweichung")</f>
        <v>OK</v>
      </c>
    </row>
    <row r="34" spans="2:5" x14ac:dyDescent="0.25">
      <c r="B34" s="151" t="s">
        <v>224</v>
      </c>
      <c r="C34" s="152"/>
      <c r="D34" s="152"/>
      <c r="E34" s="54" t="str">
        <f>IF(ROUND(($F$27+$G$27+$H$27)-$O$12,2)=0,"OK","Abweichung")</f>
        <v>OK</v>
      </c>
    </row>
  </sheetData>
  <mergeCells count="9">
    <mergeCell ref="B31:D31"/>
    <mergeCell ref="B32:D32"/>
    <mergeCell ref="B33:D33"/>
    <mergeCell ref="B34:D34"/>
    <mergeCell ref="K17:M17"/>
    <mergeCell ref="K8:M8"/>
    <mergeCell ref="K9:M12"/>
    <mergeCell ref="B29:E29"/>
    <mergeCell ref="B30:D30"/>
  </mergeCells>
  <conditionalFormatting sqref="E30">
    <cfRule type="expression" dxfId="12" priority="4">
      <formula>$E$30="OK"</formula>
    </cfRule>
    <cfRule type="expression" dxfId="11" priority="5">
      <formula>$E$30&lt;&gt;"OK"</formula>
    </cfRule>
  </conditionalFormatting>
  <conditionalFormatting sqref="E31">
    <cfRule type="expression" dxfId="10" priority="6">
      <formula>$E$31="OK"</formula>
    </cfRule>
    <cfRule type="expression" dxfId="9" priority="7">
      <formula>$E$31&lt;&gt;"OK"</formula>
    </cfRule>
  </conditionalFormatting>
  <conditionalFormatting sqref="E32">
    <cfRule type="expression" dxfId="8" priority="8">
      <formula>$E$32="OK"</formula>
    </cfRule>
    <cfRule type="expression" dxfId="7" priority="9">
      <formula>$E$32&lt;&gt;"OK"</formula>
    </cfRule>
  </conditionalFormatting>
  <conditionalFormatting sqref="E33">
    <cfRule type="expression" dxfId="6" priority="10">
      <formula>$E$33="OK"</formula>
    </cfRule>
    <cfRule type="expression" dxfId="5" priority="11">
      <formula>$E$33&lt;&gt;"OK"</formula>
    </cfRule>
  </conditionalFormatting>
  <conditionalFormatting sqref="E34">
    <cfRule type="expression" dxfId="4" priority="12">
      <formula>$E$34="OK"</formula>
    </cfRule>
    <cfRule type="expression" dxfId="3" priority="13">
      <formula>$E$34&lt;&gt;"OK"</formula>
    </cfRule>
  </conditionalFormatting>
  <conditionalFormatting sqref="K6">
    <cfRule type="expression" dxfId="2" priority="1">
      <formula>$K$5="Ja"</formula>
    </cfRule>
  </conditionalFormatting>
  <conditionalFormatting sqref="K8:M8">
    <cfRule type="expression" dxfId="1" priority="2">
      <formula>$K$5="Ja"</formula>
    </cfRule>
  </conditionalFormatting>
  <conditionalFormatting sqref="K9:M12">
    <cfRule type="expression" dxfId="0" priority="3">
      <formula>$K$5="Ja"</formula>
    </cfRule>
  </conditionalFormatting>
  <dataValidations count="2">
    <dataValidation type="list" allowBlank="1" sqref="B19:B26" xr:uid="{00000000-0002-0000-0100-000000000000}">
      <formula1>"Bauausgaben,Investitionen,Personalkosten,Projektaktivitaeten,Projektverwaltung,Evaluierung,Audit,Reserve"</formula1>
    </dataValidation>
    <dataValidation type="list" allowBlank="1" sqref="K5" xr:uid="{00000000-0002-0000-0100-000001000000}">
      <formula1>"Ja,Nein"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:Z36"/>
  <sheetViews>
    <sheetView showGridLines="0" workbookViewId="0"/>
  </sheetViews>
  <sheetFormatPr defaultRowHeight="15" x14ac:dyDescent="0.25"/>
  <cols>
    <col min="2" max="2" width="15" customWidth="1"/>
    <col min="3" max="3" width="10" customWidth="1"/>
    <col min="4" max="4" width="20" customWidth="1"/>
    <col min="5" max="5" width="15" customWidth="1"/>
    <col min="26" max="26" width="9.140625" hidden="1" customWidth="1"/>
  </cols>
  <sheetData>
    <row r="1" spans="2:26" x14ac:dyDescent="0.25">
      <c r="Z1" t="s">
        <v>226</v>
      </c>
    </row>
    <row r="2" spans="2:26" ht="24" customHeight="1" x14ac:dyDescent="0.25">
      <c r="B2" s="153" t="s">
        <v>225</v>
      </c>
      <c r="C2" s="153"/>
      <c r="D2" s="153"/>
      <c r="E2" s="153"/>
      <c r="Z2" t="s">
        <v>227</v>
      </c>
    </row>
    <row r="3" spans="2:26" x14ac:dyDescent="0.25">
      <c r="Z3" t="s">
        <v>228</v>
      </c>
    </row>
    <row r="4" spans="2:26" ht="20.100000000000001" customHeight="1" x14ac:dyDescent="0.25">
      <c r="B4" s="57" t="s">
        <v>262</v>
      </c>
      <c r="C4" s="58" t="s">
        <v>263</v>
      </c>
      <c r="D4" s="58" t="s">
        <v>264</v>
      </c>
      <c r="E4" s="59" t="s">
        <v>265</v>
      </c>
      <c r="Z4" t="s">
        <v>229</v>
      </c>
    </row>
    <row r="5" spans="2:26" ht="16.5" x14ac:dyDescent="0.25">
      <c r="B5" s="60"/>
      <c r="C5" s="61"/>
      <c r="D5" s="62"/>
      <c r="E5" s="63"/>
      <c r="Z5" t="s">
        <v>230</v>
      </c>
    </row>
    <row r="6" spans="2:26" ht="16.5" x14ac:dyDescent="0.25">
      <c r="B6" s="64"/>
      <c r="C6" s="55"/>
      <c r="D6" s="56"/>
      <c r="E6" s="65"/>
      <c r="Z6" t="s">
        <v>231</v>
      </c>
    </row>
    <row r="7" spans="2:26" ht="16.5" x14ac:dyDescent="0.25">
      <c r="B7" s="64"/>
      <c r="C7" s="55"/>
      <c r="D7" s="56"/>
      <c r="E7" s="65"/>
      <c r="Z7" t="s">
        <v>232</v>
      </c>
    </row>
    <row r="8" spans="2:26" ht="16.5" x14ac:dyDescent="0.25">
      <c r="B8" s="64"/>
      <c r="C8" s="55"/>
      <c r="D8" s="56"/>
      <c r="E8" s="65"/>
      <c r="Z8" t="s">
        <v>233</v>
      </c>
    </row>
    <row r="9" spans="2:26" ht="16.5" x14ac:dyDescent="0.25">
      <c r="B9" s="64"/>
      <c r="C9" s="55"/>
      <c r="D9" s="56"/>
      <c r="E9" s="65"/>
      <c r="Z9" t="s">
        <v>234</v>
      </c>
    </row>
    <row r="10" spans="2:26" ht="16.5" x14ac:dyDescent="0.25">
      <c r="B10" s="64"/>
      <c r="C10" s="55"/>
      <c r="D10" s="56"/>
      <c r="E10" s="65"/>
      <c r="Z10" t="s">
        <v>235</v>
      </c>
    </row>
    <row r="11" spans="2:26" ht="16.5" x14ac:dyDescent="0.25">
      <c r="B11" s="64"/>
      <c r="C11" s="55"/>
      <c r="D11" s="56"/>
      <c r="E11" s="65"/>
      <c r="Z11" t="s">
        <v>236</v>
      </c>
    </row>
    <row r="12" spans="2:26" ht="16.5" x14ac:dyDescent="0.25">
      <c r="B12" s="64"/>
      <c r="C12" s="55"/>
      <c r="D12" s="56"/>
      <c r="E12" s="65"/>
      <c r="Z12" t="s">
        <v>237</v>
      </c>
    </row>
    <row r="13" spans="2:26" ht="16.5" x14ac:dyDescent="0.25">
      <c r="B13" s="64"/>
      <c r="C13" s="55"/>
      <c r="D13" s="56"/>
      <c r="E13" s="65"/>
      <c r="Z13" t="s">
        <v>238</v>
      </c>
    </row>
    <row r="14" spans="2:26" ht="16.5" x14ac:dyDescent="0.25">
      <c r="B14" s="64"/>
      <c r="C14" s="55"/>
      <c r="D14" s="56"/>
      <c r="E14" s="65"/>
      <c r="Z14" t="s">
        <v>239</v>
      </c>
    </row>
    <row r="15" spans="2:26" ht="16.5" x14ac:dyDescent="0.25">
      <c r="B15" s="64"/>
      <c r="C15" s="55"/>
      <c r="D15" s="56"/>
      <c r="E15" s="65"/>
      <c r="Z15" t="s">
        <v>240</v>
      </c>
    </row>
    <row r="16" spans="2:26" ht="16.5" x14ac:dyDescent="0.25">
      <c r="B16" s="64"/>
      <c r="C16" s="55"/>
      <c r="D16" s="56"/>
      <c r="E16" s="65"/>
      <c r="Z16" t="s">
        <v>241</v>
      </c>
    </row>
    <row r="17" spans="2:26" ht="16.5" x14ac:dyDescent="0.25">
      <c r="B17" s="64"/>
      <c r="C17" s="55"/>
      <c r="D17" s="56"/>
      <c r="E17" s="65"/>
      <c r="Z17" t="s">
        <v>242</v>
      </c>
    </row>
    <row r="18" spans="2:26" ht="16.5" x14ac:dyDescent="0.25">
      <c r="B18" s="64"/>
      <c r="C18" s="55"/>
      <c r="D18" s="56"/>
      <c r="E18" s="65"/>
      <c r="Z18" t="s">
        <v>243</v>
      </c>
    </row>
    <row r="19" spans="2:26" ht="16.5" x14ac:dyDescent="0.25">
      <c r="B19" s="64"/>
      <c r="C19" s="55"/>
      <c r="D19" s="56"/>
      <c r="E19" s="65"/>
      <c r="Z19" t="s">
        <v>244</v>
      </c>
    </row>
    <row r="20" spans="2:26" ht="16.5" x14ac:dyDescent="0.25">
      <c r="B20" s="64"/>
      <c r="C20" s="55"/>
      <c r="D20" s="56"/>
      <c r="E20" s="65"/>
      <c r="Z20" t="s">
        <v>245</v>
      </c>
    </row>
    <row r="21" spans="2:26" ht="16.5" x14ac:dyDescent="0.25">
      <c r="B21" s="64"/>
      <c r="C21" s="55"/>
      <c r="D21" s="56"/>
      <c r="E21" s="65"/>
      <c r="Z21" t="s">
        <v>246</v>
      </c>
    </row>
    <row r="22" spans="2:26" ht="16.5" x14ac:dyDescent="0.25">
      <c r="B22" s="66"/>
      <c r="C22" s="67"/>
      <c r="D22" s="68"/>
      <c r="E22" s="69"/>
      <c r="Z22" t="s">
        <v>247</v>
      </c>
    </row>
    <row r="23" spans="2:26" x14ac:dyDescent="0.25">
      <c r="B23" s="70" t="s">
        <v>266</v>
      </c>
      <c r="C23" s="71"/>
      <c r="D23" s="72">
        <f>SUBTOTAL(109,TblKMWMittel[Betrag])</f>
        <v>0</v>
      </c>
      <c r="E23" s="73"/>
      <c r="Z23" t="s">
        <v>248</v>
      </c>
    </row>
    <row r="24" spans="2:26" x14ac:dyDescent="0.25">
      <c r="Z24" t="s">
        <v>249</v>
      </c>
    </row>
    <row r="25" spans="2:26" x14ac:dyDescent="0.25">
      <c r="Z25" t="s">
        <v>250</v>
      </c>
    </row>
    <row r="26" spans="2:26" x14ac:dyDescent="0.25">
      <c r="Z26" t="s">
        <v>251</v>
      </c>
    </row>
    <row r="27" spans="2:26" x14ac:dyDescent="0.25">
      <c r="Z27" t="s">
        <v>252</v>
      </c>
    </row>
    <row r="28" spans="2:26" x14ac:dyDescent="0.25">
      <c r="Z28" t="s">
        <v>253</v>
      </c>
    </row>
    <row r="29" spans="2:26" x14ac:dyDescent="0.25">
      <c r="Z29" t="s">
        <v>254</v>
      </c>
    </row>
    <row r="30" spans="2:26" x14ac:dyDescent="0.25">
      <c r="Z30" t="s">
        <v>255</v>
      </c>
    </row>
    <row r="31" spans="2:26" x14ac:dyDescent="0.25">
      <c r="Z31" t="s">
        <v>256</v>
      </c>
    </row>
    <row r="32" spans="2:26" x14ac:dyDescent="0.25">
      <c r="Z32" t="s">
        <v>257</v>
      </c>
    </row>
    <row r="33" spans="26:26" x14ac:dyDescent="0.25">
      <c r="Z33" t="s">
        <v>258</v>
      </c>
    </row>
    <row r="34" spans="26:26" x14ac:dyDescent="0.25">
      <c r="Z34" t="s">
        <v>259</v>
      </c>
    </row>
    <row r="35" spans="26:26" x14ac:dyDescent="0.25">
      <c r="Z35" t="s">
        <v>260</v>
      </c>
    </row>
    <row r="36" spans="26:26" x14ac:dyDescent="0.25">
      <c r="Z36" t="s">
        <v>261</v>
      </c>
    </row>
  </sheetData>
  <mergeCells count="1">
    <mergeCell ref="B2:E2"/>
  </mergeCells>
  <dataValidations count="2">
    <dataValidation type="list" allowBlank="1" sqref="B5:B22" xr:uid="{00000000-0002-0000-0200-000000000000}">
      <formula1>$Z$1:$Z$36</formula1>
    </dataValidation>
    <dataValidation type="list" allowBlank="1" sqref="C5:C22" xr:uid="{00000000-0002-0000-0200-000001000000}">
      <formula1>"EUR,USD"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3:DU56"/>
  <sheetViews>
    <sheetView showGridLines="0" workbookViewId="0"/>
  </sheetViews>
  <sheetFormatPr defaultRowHeight="15" x14ac:dyDescent="0.25"/>
  <cols>
    <col min="2" max="2" width="16" customWidth="1"/>
    <col min="3" max="6" width="18" customWidth="1"/>
    <col min="9" max="9" width="16" customWidth="1"/>
    <col min="10" max="13" width="18" customWidth="1"/>
    <col min="16" max="16" width="16" customWidth="1"/>
    <col min="17" max="20" width="18" customWidth="1"/>
    <col min="23" max="23" width="16" customWidth="1"/>
    <col min="24" max="27" width="18" customWidth="1"/>
    <col min="30" max="30" width="16" customWidth="1"/>
    <col min="31" max="34" width="18" customWidth="1"/>
    <col min="37" max="37" width="16" customWidth="1"/>
    <col min="38" max="41" width="18" customWidth="1"/>
    <col min="44" max="44" width="16" customWidth="1"/>
    <col min="45" max="48" width="18" customWidth="1"/>
    <col min="51" max="51" width="16" customWidth="1"/>
    <col min="52" max="55" width="18" customWidth="1"/>
    <col min="58" max="58" width="16" customWidth="1"/>
    <col min="59" max="62" width="18" customWidth="1"/>
    <col min="65" max="65" width="16" customWidth="1"/>
    <col min="66" max="69" width="18" customWidth="1"/>
    <col min="72" max="72" width="16" customWidth="1"/>
    <col min="73" max="76" width="18" customWidth="1"/>
    <col min="79" max="79" width="16" customWidth="1"/>
    <col min="80" max="83" width="18" customWidth="1"/>
    <col min="86" max="86" width="16" customWidth="1"/>
    <col min="87" max="90" width="18" customWidth="1"/>
    <col min="93" max="93" width="16" customWidth="1"/>
    <col min="94" max="97" width="18" customWidth="1"/>
    <col min="100" max="100" width="16" customWidth="1"/>
    <col min="101" max="104" width="18" customWidth="1"/>
    <col min="107" max="107" width="16" customWidth="1"/>
    <col min="108" max="111" width="18" customWidth="1"/>
    <col min="114" max="114" width="16" customWidth="1"/>
    <col min="115" max="118" width="18" customWidth="1"/>
    <col min="121" max="121" width="16" customWidth="1"/>
    <col min="122" max="125" width="18" customWidth="1"/>
  </cols>
  <sheetData>
    <row r="3" spans="2:125" ht="37.5" x14ac:dyDescent="0.25">
      <c r="H3" s="123" t="s">
        <v>302</v>
      </c>
      <c r="O3" s="123" t="s">
        <v>302</v>
      </c>
      <c r="V3" s="123" t="s">
        <v>302</v>
      </c>
      <c r="AC3" s="123" t="s">
        <v>302</v>
      </c>
      <c r="AJ3" s="123" t="s">
        <v>302</v>
      </c>
      <c r="AQ3" s="123" t="s">
        <v>302</v>
      </c>
      <c r="AX3" s="123" t="s">
        <v>302</v>
      </c>
      <c r="BE3" s="123" t="s">
        <v>302</v>
      </c>
      <c r="BL3" s="123" t="s">
        <v>302</v>
      </c>
      <c r="BS3" s="123" t="s">
        <v>302</v>
      </c>
      <c r="BZ3" s="123" t="s">
        <v>302</v>
      </c>
      <c r="CG3" s="123" t="s">
        <v>302</v>
      </c>
      <c r="CN3" s="123" t="s">
        <v>302</v>
      </c>
      <c r="CU3" s="123" t="s">
        <v>302</v>
      </c>
      <c r="DB3" s="123" t="s">
        <v>302</v>
      </c>
      <c r="DI3" s="123" t="s">
        <v>302</v>
      </c>
      <c r="DP3" s="123" t="s">
        <v>302</v>
      </c>
    </row>
    <row r="5" spans="2:125" ht="16.5" x14ac:dyDescent="0.25">
      <c r="B5" s="154" t="s">
        <v>267</v>
      </c>
      <c r="C5" s="155" t="s">
        <v>226</v>
      </c>
      <c r="D5" s="155"/>
      <c r="E5" s="87"/>
      <c r="F5" s="88"/>
      <c r="I5" s="154" t="s">
        <v>267</v>
      </c>
      <c r="J5" s="155" t="s">
        <v>227</v>
      </c>
      <c r="K5" s="155"/>
      <c r="L5" s="87"/>
      <c r="M5" s="88"/>
      <c r="P5" s="154" t="s">
        <v>267</v>
      </c>
      <c r="Q5" s="155" t="s">
        <v>228</v>
      </c>
      <c r="R5" s="155"/>
      <c r="S5" s="87"/>
      <c r="T5" s="88"/>
      <c r="W5" s="154" t="s">
        <v>267</v>
      </c>
      <c r="X5" s="155" t="s">
        <v>229</v>
      </c>
      <c r="Y5" s="155"/>
      <c r="Z5" s="87"/>
      <c r="AA5" s="88"/>
      <c r="AD5" s="154" t="s">
        <v>267</v>
      </c>
      <c r="AE5" s="155" t="s">
        <v>230</v>
      </c>
      <c r="AF5" s="155"/>
      <c r="AG5" s="87"/>
      <c r="AH5" s="88"/>
      <c r="AK5" s="154" t="s">
        <v>267</v>
      </c>
      <c r="AL5" s="155" t="s">
        <v>231</v>
      </c>
      <c r="AM5" s="155"/>
      <c r="AN5" s="87"/>
      <c r="AO5" s="88"/>
      <c r="AR5" s="154" t="s">
        <v>267</v>
      </c>
      <c r="AS5" s="155" t="s">
        <v>232</v>
      </c>
      <c r="AT5" s="155"/>
      <c r="AU5" s="87"/>
      <c r="AV5" s="88"/>
      <c r="AY5" s="154" t="s">
        <v>267</v>
      </c>
      <c r="AZ5" s="155" t="s">
        <v>233</v>
      </c>
      <c r="BA5" s="155"/>
      <c r="BB5" s="87"/>
      <c r="BC5" s="88"/>
      <c r="BF5" s="154" t="s">
        <v>267</v>
      </c>
      <c r="BG5" s="155" t="s">
        <v>234</v>
      </c>
      <c r="BH5" s="155"/>
      <c r="BI5" s="87"/>
      <c r="BJ5" s="88"/>
      <c r="BM5" s="154" t="s">
        <v>267</v>
      </c>
      <c r="BN5" s="155" t="s">
        <v>235</v>
      </c>
      <c r="BO5" s="155"/>
      <c r="BP5" s="87"/>
      <c r="BQ5" s="88"/>
      <c r="BT5" s="154" t="s">
        <v>267</v>
      </c>
      <c r="BU5" s="155" t="s">
        <v>236</v>
      </c>
      <c r="BV5" s="155"/>
      <c r="BW5" s="87"/>
      <c r="BX5" s="88"/>
      <c r="CA5" s="154" t="s">
        <v>267</v>
      </c>
      <c r="CB5" s="155" t="s">
        <v>237</v>
      </c>
      <c r="CC5" s="155"/>
      <c r="CD5" s="87"/>
      <c r="CE5" s="88"/>
      <c r="CH5" s="154" t="s">
        <v>267</v>
      </c>
      <c r="CI5" s="155" t="s">
        <v>238</v>
      </c>
      <c r="CJ5" s="155"/>
      <c r="CK5" s="87"/>
      <c r="CL5" s="88"/>
      <c r="CO5" s="154" t="s">
        <v>267</v>
      </c>
      <c r="CP5" s="155" t="s">
        <v>239</v>
      </c>
      <c r="CQ5" s="155"/>
      <c r="CR5" s="87"/>
      <c r="CS5" s="88"/>
      <c r="CV5" s="154" t="s">
        <v>267</v>
      </c>
      <c r="CW5" s="155" t="s">
        <v>240</v>
      </c>
      <c r="CX5" s="155"/>
      <c r="CY5" s="87"/>
      <c r="CZ5" s="88"/>
      <c r="DC5" s="154" t="s">
        <v>267</v>
      </c>
      <c r="DD5" s="155" t="s">
        <v>241</v>
      </c>
      <c r="DE5" s="155"/>
      <c r="DF5" s="87"/>
      <c r="DG5" s="88"/>
      <c r="DJ5" s="154" t="s">
        <v>267</v>
      </c>
      <c r="DK5" s="155" t="s">
        <v>242</v>
      </c>
      <c r="DL5" s="155"/>
      <c r="DM5" s="87"/>
      <c r="DN5" s="88"/>
      <c r="DQ5" s="154" t="s">
        <v>267</v>
      </c>
      <c r="DR5" s="155" t="s">
        <v>243</v>
      </c>
      <c r="DS5" s="155"/>
      <c r="DT5" s="87"/>
      <c r="DU5" s="88"/>
    </row>
    <row r="6" spans="2:125" ht="16.5" x14ac:dyDescent="0.25">
      <c r="B6" s="156" t="s">
        <v>268</v>
      </c>
      <c r="C6" s="157" t="s">
        <v>158</v>
      </c>
      <c r="D6" s="157"/>
      <c r="F6" s="36"/>
      <c r="I6" s="156" t="s">
        <v>268</v>
      </c>
      <c r="J6" s="157" t="s">
        <v>158</v>
      </c>
      <c r="K6" s="157"/>
      <c r="M6" s="36"/>
      <c r="P6" s="156" t="s">
        <v>268</v>
      </c>
      <c r="Q6" s="157" t="s">
        <v>158</v>
      </c>
      <c r="R6" s="157"/>
      <c r="T6" s="36"/>
      <c r="W6" s="156" t="s">
        <v>268</v>
      </c>
      <c r="X6" s="157" t="s">
        <v>158</v>
      </c>
      <c r="Y6" s="157"/>
      <c r="AA6" s="36"/>
      <c r="AD6" s="156" t="s">
        <v>268</v>
      </c>
      <c r="AE6" s="157" t="s">
        <v>158</v>
      </c>
      <c r="AF6" s="157"/>
      <c r="AH6" s="36"/>
      <c r="AK6" s="156" t="s">
        <v>268</v>
      </c>
      <c r="AL6" s="157" t="s">
        <v>158</v>
      </c>
      <c r="AM6" s="157"/>
      <c r="AO6" s="36"/>
      <c r="AR6" s="156" t="s">
        <v>268</v>
      </c>
      <c r="AS6" s="157" t="s">
        <v>158</v>
      </c>
      <c r="AT6" s="157"/>
      <c r="AV6" s="36"/>
      <c r="AY6" s="156" t="s">
        <v>268</v>
      </c>
      <c r="AZ6" s="157" t="s">
        <v>158</v>
      </c>
      <c r="BA6" s="157"/>
      <c r="BC6" s="36"/>
      <c r="BF6" s="156" t="s">
        <v>268</v>
      </c>
      <c r="BG6" s="157" t="s">
        <v>158</v>
      </c>
      <c r="BH6" s="157"/>
      <c r="BJ6" s="36"/>
      <c r="BM6" s="156" t="s">
        <v>268</v>
      </c>
      <c r="BN6" s="157" t="s">
        <v>158</v>
      </c>
      <c r="BO6" s="157"/>
      <c r="BQ6" s="36"/>
      <c r="BT6" s="156" t="s">
        <v>268</v>
      </c>
      <c r="BU6" s="157" t="s">
        <v>158</v>
      </c>
      <c r="BV6" s="157"/>
      <c r="BX6" s="36"/>
      <c r="CA6" s="156" t="s">
        <v>268</v>
      </c>
      <c r="CB6" s="157" t="s">
        <v>158</v>
      </c>
      <c r="CC6" s="157"/>
      <c r="CE6" s="36"/>
      <c r="CH6" s="156" t="s">
        <v>268</v>
      </c>
      <c r="CI6" s="157" t="s">
        <v>158</v>
      </c>
      <c r="CJ6" s="157"/>
      <c r="CL6" s="36"/>
      <c r="CO6" s="156" t="s">
        <v>268</v>
      </c>
      <c r="CP6" s="157" t="s">
        <v>158</v>
      </c>
      <c r="CQ6" s="157"/>
      <c r="CS6" s="36"/>
      <c r="CV6" s="156" t="s">
        <v>268</v>
      </c>
      <c r="CW6" s="157" t="s">
        <v>158</v>
      </c>
      <c r="CX6" s="157"/>
      <c r="CZ6" s="36"/>
      <c r="DC6" s="156" t="s">
        <v>268</v>
      </c>
      <c r="DD6" s="157" t="s">
        <v>158</v>
      </c>
      <c r="DE6" s="157"/>
      <c r="DG6" s="36"/>
      <c r="DJ6" s="156" t="s">
        <v>268</v>
      </c>
      <c r="DK6" s="157" t="s">
        <v>158</v>
      </c>
      <c r="DL6" s="157"/>
      <c r="DN6" s="36"/>
      <c r="DQ6" s="156" t="s">
        <v>268</v>
      </c>
      <c r="DR6" s="157" t="s">
        <v>158</v>
      </c>
      <c r="DS6" s="157"/>
      <c r="DU6" s="36"/>
    </row>
    <row r="7" spans="2:125" ht="16.5" x14ac:dyDescent="0.25">
      <c r="B7" s="156" t="s">
        <v>269</v>
      </c>
      <c r="C7" s="158">
        <f>ROUND(IFERROR(F46,0),6)</f>
        <v>0</v>
      </c>
      <c r="D7" s="158"/>
      <c r="F7" s="36"/>
      <c r="I7" s="156" t="s">
        <v>269</v>
      </c>
      <c r="J7" s="158">
        <f>ROUND(IFERROR(M46,0),6)</f>
        <v>0</v>
      </c>
      <c r="K7" s="158"/>
      <c r="M7" s="36"/>
      <c r="P7" s="156" t="s">
        <v>269</v>
      </c>
      <c r="Q7" s="158">
        <f>ROUND(IFERROR(T46,0),6)</f>
        <v>0</v>
      </c>
      <c r="R7" s="158"/>
      <c r="T7" s="36"/>
      <c r="W7" s="156" t="s">
        <v>269</v>
      </c>
      <c r="X7" s="158">
        <f>ROUND(IFERROR(AA46,0),6)</f>
        <v>0</v>
      </c>
      <c r="Y7" s="158"/>
      <c r="AA7" s="36"/>
      <c r="AD7" s="156" t="s">
        <v>269</v>
      </c>
      <c r="AE7" s="158">
        <f>ROUND(IFERROR(AH46,0),6)</f>
        <v>0</v>
      </c>
      <c r="AF7" s="158"/>
      <c r="AH7" s="36"/>
      <c r="AK7" s="156" t="s">
        <v>269</v>
      </c>
      <c r="AL7" s="158">
        <f>ROUND(IFERROR(AO46,0),6)</f>
        <v>0</v>
      </c>
      <c r="AM7" s="158"/>
      <c r="AO7" s="36"/>
      <c r="AR7" s="156" t="s">
        <v>269</v>
      </c>
      <c r="AS7" s="158">
        <f>ROUND(IFERROR(AV46,0),6)</f>
        <v>0</v>
      </c>
      <c r="AT7" s="158"/>
      <c r="AV7" s="36"/>
      <c r="AY7" s="156" t="s">
        <v>269</v>
      </c>
      <c r="AZ7" s="158">
        <f>ROUND(IFERROR(BC46,0),6)</f>
        <v>0</v>
      </c>
      <c r="BA7" s="158"/>
      <c r="BC7" s="36"/>
      <c r="BF7" s="156" t="s">
        <v>269</v>
      </c>
      <c r="BG7" s="158">
        <f>ROUND(IFERROR(BJ46,0),6)</f>
        <v>0</v>
      </c>
      <c r="BH7" s="158"/>
      <c r="BJ7" s="36"/>
      <c r="BM7" s="156" t="s">
        <v>269</v>
      </c>
      <c r="BN7" s="158">
        <f>ROUND(IFERROR(BQ46,0),6)</f>
        <v>0</v>
      </c>
      <c r="BO7" s="158"/>
      <c r="BQ7" s="36"/>
      <c r="BT7" s="156" t="s">
        <v>269</v>
      </c>
      <c r="BU7" s="158">
        <f>ROUND(IFERROR(BX46,0),6)</f>
        <v>0</v>
      </c>
      <c r="BV7" s="158"/>
      <c r="BX7" s="36"/>
      <c r="CA7" s="156" t="s">
        <v>269</v>
      </c>
      <c r="CB7" s="158">
        <f>ROUND(IFERROR(CE46,0),6)</f>
        <v>0</v>
      </c>
      <c r="CC7" s="158"/>
      <c r="CE7" s="36"/>
      <c r="CH7" s="156" t="s">
        <v>269</v>
      </c>
      <c r="CI7" s="158">
        <f>ROUND(IFERROR(CL46,0),6)</f>
        <v>0</v>
      </c>
      <c r="CJ7" s="158"/>
      <c r="CL7" s="36"/>
      <c r="CO7" s="156" t="s">
        <v>269</v>
      </c>
      <c r="CP7" s="158">
        <f>ROUND(IFERROR(CS46,0),6)</f>
        <v>0</v>
      </c>
      <c r="CQ7" s="158"/>
      <c r="CS7" s="36"/>
      <c r="CV7" s="156" t="s">
        <v>269</v>
      </c>
      <c r="CW7" s="158">
        <f>ROUND(IFERROR(CZ46,0),6)</f>
        <v>0</v>
      </c>
      <c r="CX7" s="158"/>
      <c r="CZ7" s="36"/>
      <c r="DC7" s="156" t="s">
        <v>269</v>
      </c>
      <c r="DD7" s="158">
        <f>ROUND(IFERROR(DG46,0),6)</f>
        <v>0</v>
      </c>
      <c r="DE7" s="158"/>
      <c r="DG7" s="36"/>
      <c r="DJ7" s="156" t="s">
        <v>269</v>
      </c>
      <c r="DK7" s="158">
        <f>ROUND(IFERROR(DN46,0),6)</f>
        <v>0</v>
      </c>
      <c r="DL7" s="158"/>
      <c r="DN7" s="36"/>
      <c r="DQ7" s="156" t="s">
        <v>269</v>
      </c>
      <c r="DR7" s="158">
        <f>ROUND(IFERROR(DU46,0),6)</f>
        <v>0</v>
      </c>
      <c r="DS7" s="158"/>
      <c r="DU7" s="36"/>
    </row>
    <row r="8" spans="2:125" x14ac:dyDescent="0.25">
      <c r="B8" s="35"/>
      <c r="F8" s="36"/>
      <c r="I8" s="35"/>
      <c r="M8" s="36"/>
      <c r="P8" s="35"/>
      <c r="T8" s="36"/>
      <c r="W8" s="35"/>
      <c r="AA8" s="36"/>
      <c r="AD8" s="35"/>
      <c r="AH8" s="36"/>
      <c r="AK8" s="35"/>
      <c r="AO8" s="36"/>
      <c r="AR8" s="35"/>
      <c r="AV8" s="36"/>
      <c r="AY8" s="35"/>
      <c r="BC8" s="36"/>
      <c r="BF8" s="35"/>
      <c r="BJ8" s="36"/>
      <c r="BM8" s="35"/>
      <c r="BQ8" s="36"/>
      <c r="BT8" s="35"/>
      <c r="BX8" s="36"/>
      <c r="CA8" s="35"/>
      <c r="CE8" s="36"/>
      <c r="CH8" s="35"/>
      <c r="CL8" s="36"/>
      <c r="CO8" s="35"/>
      <c r="CS8" s="36"/>
      <c r="CV8" s="35"/>
      <c r="CZ8" s="36"/>
      <c r="DC8" s="35"/>
      <c r="DG8" s="36"/>
      <c r="DJ8" s="35"/>
      <c r="DN8" s="36"/>
      <c r="DQ8" s="35"/>
      <c r="DU8" s="36"/>
    </row>
    <row r="9" spans="2:125" ht="16.5" x14ac:dyDescent="0.25">
      <c r="B9" s="159" t="s">
        <v>270</v>
      </c>
      <c r="C9" s="160"/>
      <c r="D9" s="160"/>
      <c r="E9" s="160"/>
      <c r="F9" s="161"/>
      <c r="I9" s="159" t="s">
        <v>270</v>
      </c>
      <c r="J9" s="160"/>
      <c r="K9" s="160"/>
      <c r="L9" s="160"/>
      <c r="M9" s="161"/>
      <c r="P9" s="159" t="s">
        <v>270</v>
      </c>
      <c r="Q9" s="160"/>
      <c r="R9" s="160"/>
      <c r="S9" s="160"/>
      <c r="T9" s="161"/>
      <c r="W9" s="159" t="s">
        <v>270</v>
      </c>
      <c r="X9" s="160"/>
      <c r="Y9" s="160"/>
      <c r="Z9" s="160"/>
      <c r="AA9" s="161"/>
      <c r="AD9" s="159" t="s">
        <v>270</v>
      </c>
      <c r="AE9" s="160"/>
      <c r="AF9" s="160"/>
      <c r="AG9" s="160"/>
      <c r="AH9" s="161"/>
      <c r="AK9" s="159" t="s">
        <v>270</v>
      </c>
      <c r="AL9" s="160"/>
      <c r="AM9" s="160"/>
      <c r="AN9" s="160"/>
      <c r="AO9" s="161"/>
      <c r="AR9" s="159" t="s">
        <v>270</v>
      </c>
      <c r="AS9" s="160"/>
      <c r="AT9" s="160"/>
      <c r="AU9" s="160"/>
      <c r="AV9" s="161"/>
      <c r="AY9" s="159" t="s">
        <v>270</v>
      </c>
      <c r="AZ9" s="160"/>
      <c r="BA9" s="160"/>
      <c r="BB9" s="160"/>
      <c r="BC9" s="161"/>
      <c r="BF9" s="159" t="s">
        <v>270</v>
      </c>
      <c r="BG9" s="160"/>
      <c r="BH9" s="160"/>
      <c r="BI9" s="160"/>
      <c r="BJ9" s="161"/>
      <c r="BM9" s="159" t="s">
        <v>270</v>
      </c>
      <c r="BN9" s="160"/>
      <c r="BO9" s="160"/>
      <c r="BP9" s="160"/>
      <c r="BQ9" s="161"/>
      <c r="BT9" s="159" t="s">
        <v>270</v>
      </c>
      <c r="BU9" s="160"/>
      <c r="BV9" s="160"/>
      <c r="BW9" s="160"/>
      <c r="BX9" s="161"/>
      <c r="CA9" s="159" t="s">
        <v>270</v>
      </c>
      <c r="CB9" s="160"/>
      <c r="CC9" s="160"/>
      <c r="CD9" s="160"/>
      <c r="CE9" s="161"/>
      <c r="CH9" s="159" t="s">
        <v>270</v>
      </c>
      <c r="CI9" s="160"/>
      <c r="CJ9" s="160"/>
      <c r="CK9" s="160"/>
      <c r="CL9" s="161"/>
      <c r="CO9" s="159" t="s">
        <v>270</v>
      </c>
      <c r="CP9" s="160"/>
      <c r="CQ9" s="160"/>
      <c r="CR9" s="160"/>
      <c r="CS9" s="161"/>
      <c r="CV9" s="159" t="s">
        <v>270</v>
      </c>
      <c r="CW9" s="160"/>
      <c r="CX9" s="160"/>
      <c r="CY9" s="160"/>
      <c r="CZ9" s="161"/>
      <c r="DC9" s="159" t="s">
        <v>270</v>
      </c>
      <c r="DD9" s="160"/>
      <c r="DE9" s="160"/>
      <c r="DF9" s="160"/>
      <c r="DG9" s="161"/>
      <c r="DJ9" s="159" t="s">
        <v>270</v>
      </c>
      <c r="DK9" s="160"/>
      <c r="DL9" s="160"/>
      <c r="DM9" s="160"/>
      <c r="DN9" s="161"/>
      <c r="DQ9" s="159" t="s">
        <v>270</v>
      </c>
      <c r="DR9" s="160"/>
      <c r="DS9" s="160"/>
      <c r="DT9" s="160"/>
      <c r="DU9" s="161"/>
    </row>
    <row r="10" spans="2:125" ht="49.5" x14ac:dyDescent="0.25">
      <c r="B10" s="89" t="s">
        <v>271</v>
      </c>
      <c r="C10" s="75" t="s">
        <v>272</v>
      </c>
      <c r="D10" s="75" t="s">
        <v>273</v>
      </c>
      <c r="E10" s="75" t="s">
        <v>274</v>
      </c>
      <c r="F10" s="90" t="s">
        <v>275</v>
      </c>
      <c r="I10" s="89" t="s">
        <v>271</v>
      </c>
      <c r="J10" s="75" t="s">
        <v>272</v>
      </c>
      <c r="K10" s="75" t="s">
        <v>273</v>
      </c>
      <c r="L10" s="75" t="s">
        <v>274</v>
      </c>
      <c r="M10" s="90" t="s">
        <v>275</v>
      </c>
      <c r="P10" s="89" t="s">
        <v>271</v>
      </c>
      <c r="Q10" s="75" t="s">
        <v>272</v>
      </c>
      <c r="R10" s="75" t="s">
        <v>273</v>
      </c>
      <c r="S10" s="75" t="s">
        <v>274</v>
      </c>
      <c r="T10" s="90" t="s">
        <v>275</v>
      </c>
      <c r="W10" s="89" t="s">
        <v>271</v>
      </c>
      <c r="X10" s="75" t="s">
        <v>272</v>
      </c>
      <c r="Y10" s="75" t="s">
        <v>273</v>
      </c>
      <c r="Z10" s="75" t="s">
        <v>274</v>
      </c>
      <c r="AA10" s="90" t="s">
        <v>275</v>
      </c>
      <c r="AD10" s="89" t="s">
        <v>271</v>
      </c>
      <c r="AE10" s="75" t="s">
        <v>272</v>
      </c>
      <c r="AF10" s="75" t="s">
        <v>273</v>
      </c>
      <c r="AG10" s="75" t="s">
        <v>274</v>
      </c>
      <c r="AH10" s="90" t="s">
        <v>275</v>
      </c>
      <c r="AK10" s="89" t="s">
        <v>271</v>
      </c>
      <c r="AL10" s="75" t="s">
        <v>272</v>
      </c>
      <c r="AM10" s="75" t="s">
        <v>273</v>
      </c>
      <c r="AN10" s="75" t="s">
        <v>274</v>
      </c>
      <c r="AO10" s="90" t="s">
        <v>275</v>
      </c>
      <c r="AR10" s="89" t="s">
        <v>271</v>
      </c>
      <c r="AS10" s="75" t="s">
        <v>272</v>
      </c>
      <c r="AT10" s="75" t="s">
        <v>273</v>
      </c>
      <c r="AU10" s="75" t="s">
        <v>274</v>
      </c>
      <c r="AV10" s="90" t="s">
        <v>275</v>
      </c>
      <c r="AY10" s="89" t="s">
        <v>271</v>
      </c>
      <c r="AZ10" s="75" t="s">
        <v>272</v>
      </c>
      <c r="BA10" s="75" t="s">
        <v>273</v>
      </c>
      <c r="BB10" s="75" t="s">
        <v>274</v>
      </c>
      <c r="BC10" s="90" t="s">
        <v>275</v>
      </c>
      <c r="BF10" s="89" t="s">
        <v>271</v>
      </c>
      <c r="BG10" s="75" t="s">
        <v>272</v>
      </c>
      <c r="BH10" s="75" t="s">
        <v>273</v>
      </c>
      <c r="BI10" s="75" t="s">
        <v>274</v>
      </c>
      <c r="BJ10" s="90" t="s">
        <v>275</v>
      </c>
      <c r="BM10" s="89" t="s">
        <v>271</v>
      </c>
      <c r="BN10" s="75" t="s">
        <v>272</v>
      </c>
      <c r="BO10" s="75" t="s">
        <v>273</v>
      </c>
      <c r="BP10" s="75" t="s">
        <v>274</v>
      </c>
      <c r="BQ10" s="90" t="s">
        <v>275</v>
      </c>
      <c r="BT10" s="89" t="s">
        <v>271</v>
      </c>
      <c r="BU10" s="75" t="s">
        <v>272</v>
      </c>
      <c r="BV10" s="75" t="s">
        <v>273</v>
      </c>
      <c r="BW10" s="75" t="s">
        <v>274</v>
      </c>
      <c r="BX10" s="90" t="s">
        <v>275</v>
      </c>
      <c r="CA10" s="89" t="s">
        <v>271</v>
      </c>
      <c r="CB10" s="75" t="s">
        <v>272</v>
      </c>
      <c r="CC10" s="75" t="s">
        <v>273</v>
      </c>
      <c r="CD10" s="75" t="s">
        <v>274</v>
      </c>
      <c r="CE10" s="90" t="s">
        <v>275</v>
      </c>
      <c r="CH10" s="89" t="s">
        <v>271</v>
      </c>
      <c r="CI10" s="75" t="s">
        <v>272</v>
      </c>
      <c r="CJ10" s="75" t="s">
        <v>273</v>
      </c>
      <c r="CK10" s="75" t="s">
        <v>274</v>
      </c>
      <c r="CL10" s="90" t="s">
        <v>275</v>
      </c>
      <c r="CO10" s="89" t="s">
        <v>271</v>
      </c>
      <c r="CP10" s="75" t="s">
        <v>272</v>
      </c>
      <c r="CQ10" s="75" t="s">
        <v>273</v>
      </c>
      <c r="CR10" s="75" t="s">
        <v>274</v>
      </c>
      <c r="CS10" s="90" t="s">
        <v>275</v>
      </c>
      <c r="CV10" s="89" t="s">
        <v>271</v>
      </c>
      <c r="CW10" s="75" t="s">
        <v>272</v>
      </c>
      <c r="CX10" s="75" t="s">
        <v>273</v>
      </c>
      <c r="CY10" s="75" t="s">
        <v>274</v>
      </c>
      <c r="CZ10" s="90" t="s">
        <v>275</v>
      </c>
      <c r="DC10" s="89" t="s">
        <v>271</v>
      </c>
      <c r="DD10" s="75" t="s">
        <v>272</v>
      </c>
      <c r="DE10" s="75" t="s">
        <v>273</v>
      </c>
      <c r="DF10" s="75" t="s">
        <v>274</v>
      </c>
      <c r="DG10" s="90" t="s">
        <v>275</v>
      </c>
      <c r="DJ10" s="89" t="s">
        <v>271</v>
      </c>
      <c r="DK10" s="75" t="s">
        <v>272</v>
      </c>
      <c r="DL10" s="75" t="s">
        <v>273</v>
      </c>
      <c r="DM10" s="75" t="s">
        <v>274</v>
      </c>
      <c r="DN10" s="90" t="s">
        <v>275</v>
      </c>
      <c r="DQ10" s="89" t="s">
        <v>271</v>
      </c>
      <c r="DR10" s="75" t="s">
        <v>272</v>
      </c>
      <c r="DS10" s="75" t="s">
        <v>273</v>
      </c>
      <c r="DT10" s="75" t="s">
        <v>274</v>
      </c>
      <c r="DU10" s="90" t="s">
        <v>275</v>
      </c>
    </row>
    <row r="11" spans="2:125" ht="16.5" x14ac:dyDescent="0.25">
      <c r="B11" s="91" t="s">
        <v>276</v>
      </c>
      <c r="C11" s="76">
        <f>ROUND(IF(Saldovortrag_LW="",0,Saldovortrag_LW),2)</f>
        <v>0</v>
      </c>
      <c r="D11" s="77">
        <f>ROUND(IF(Saldovortrag_EUR="",0,Saldovortrag_EUR),2)</f>
        <v>0</v>
      </c>
      <c r="E11" s="76">
        <f>ROUND(IF(Saldovortrag_LW="",0,Saldovortrag_LW),2)</f>
        <v>0</v>
      </c>
      <c r="F11" s="92">
        <f>ROUND(IF(Saldovortrag_EUR="",0,Saldovortrag_EUR),2)</f>
        <v>0</v>
      </c>
      <c r="I11" s="91" t="s">
        <v>303</v>
      </c>
      <c r="J11" s="76">
        <f>ROUND(FB_SaldoLC_1,2)</f>
        <v>0</v>
      </c>
      <c r="K11" s="77">
        <f>ROUND(FB_SaldoEUR_1,2)</f>
        <v>0</v>
      </c>
      <c r="L11" s="76">
        <f>ROUND(FB_SaldoLC_1,2)</f>
        <v>0</v>
      </c>
      <c r="M11" s="92">
        <f>ROUND(FB_SaldoEUR_1,2)</f>
        <v>0</v>
      </c>
      <c r="P11" s="91" t="s">
        <v>303</v>
      </c>
      <c r="Q11" s="76">
        <f>ROUND(FB_SaldoLC_2,2)</f>
        <v>0</v>
      </c>
      <c r="R11" s="77">
        <f>ROUND(FB_SaldoEUR_2,2)</f>
        <v>0</v>
      </c>
      <c r="S11" s="76">
        <f>ROUND(FB_SaldoLC_2,2)</f>
        <v>0</v>
      </c>
      <c r="T11" s="92">
        <f>ROUND(FB_SaldoEUR_2,2)</f>
        <v>0</v>
      </c>
      <c r="W11" s="91" t="s">
        <v>303</v>
      </c>
      <c r="X11" s="76">
        <f>ROUND(FB_SaldoLC_3,2)</f>
        <v>0</v>
      </c>
      <c r="Y11" s="77">
        <f>ROUND(FB_SaldoEUR_3,2)</f>
        <v>0</v>
      </c>
      <c r="Z11" s="76">
        <f>ROUND(FB_SaldoLC_3,2)</f>
        <v>0</v>
      </c>
      <c r="AA11" s="92">
        <f>ROUND(FB_SaldoEUR_3,2)</f>
        <v>0</v>
      </c>
      <c r="AD11" s="91" t="s">
        <v>303</v>
      </c>
      <c r="AE11" s="76">
        <f>ROUND(FB_SaldoLC_4,2)</f>
        <v>0</v>
      </c>
      <c r="AF11" s="77">
        <f>ROUND(FB_SaldoEUR_4,2)</f>
        <v>0</v>
      </c>
      <c r="AG11" s="76">
        <f>ROUND(FB_SaldoLC_4,2)</f>
        <v>0</v>
      </c>
      <c r="AH11" s="92">
        <f>ROUND(FB_SaldoEUR_4,2)</f>
        <v>0</v>
      </c>
      <c r="AK11" s="91" t="s">
        <v>303</v>
      </c>
      <c r="AL11" s="76">
        <f>ROUND(FB_SaldoLC_5,2)</f>
        <v>0</v>
      </c>
      <c r="AM11" s="77">
        <f>ROUND(FB_SaldoEUR_5,2)</f>
        <v>0</v>
      </c>
      <c r="AN11" s="76">
        <f>ROUND(FB_SaldoLC_5,2)</f>
        <v>0</v>
      </c>
      <c r="AO11" s="92">
        <f>ROUND(FB_SaldoEUR_5,2)</f>
        <v>0</v>
      </c>
      <c r="AR11" s="91" t="s">
        <v>303</v>
      </c>
      <c r="AS11" s="76">
        <f>ROUND(FB_SaldoLC_6,2)</f>
        <v>0</v>
      </c>
      <c r="AT11" s="77">
        <f>ROUND(FB_SaldoEUR_6,2)</f>
        <v>0</v>
      </c>
      <c r="AU11" s="76">
        <f>ROUND(FB_SaldoLC_6,2)</f>
        <v>0</v>
      </c>
      <c r="AV11" s="92">
        <f>ROUND(FB_SaldoEUR_6,2)</f>
        <v>0</v>
      </c>
      <c r="AY11" s="91" t="s">
        <v>303</v>
      </c>
      <c r="AZ11" s="76">
        <f>ROUND(FB_SaldoLC_7,2)</f>
        <v>0</v>
      </c>
      <c r="BA11" s="77">
        <f>ROUND(FB_SaldoEUR_7,2)</f>
        <v>0</v>
      </c>
      <c r="BB11" s="76">
        <f>ROUND(FB_SaldoLC_7,2)</f>
        <v>0</v>
      </c>
      <c r="BC11" s="92">
        <f>ROUND(FB_SaldoEUR_7,2)</f>
        <v>0</v>
      </c>
      <c r="BF11" s="91" t="s">
        <v>303</v>
      </c>
      <c r="BG11" s="76">
        <f>ROUND(FB_SaldoLC_8,2)</f>
        <v>0</v>
      </c>
      <c r="BH11" s="77">
        <f>ROUND(FB_SaldoEUR_8,2)</f>
        <v>0</v>
      </c>
      <c r="BI11" s="76">
        <f>ROUND(FB_SaldoLC_8,2)</f>
        <v>0</v>
      </c>
      <c r="BJ11" s="92">
        <f>ROUND(FB_SaldoEUR_8,2)</f>
        <v>0</v>
      </c>
      <c r="BM11" s="91" t="s">
        <v>303</v>
      </c>
      <c r="BN11" s="76">
        <f>ROUND(FB_SaldoLC_9,2)</f>
        <v>0</v>
      </c>
      <c r="BO11" s="77">
        <f>ROUND(FB_SaldoEUR_9,2)</f>
        <v>0</v>
      </c>
      <c r="BP11" s="76">
        <f>ROUND(FB_SaldoLC_9,2)</f>
        <v>0</v>
      </c>
      <c r="BQ11" s="92">
        <f>ROUND(FB_SaldoEUR_9,2)</f>
        <v>0</v>
      </c>
      <c r="BT11" s="91" t="s">
        <v>303</v>
      </c>
      <c r="BU11" s="76">
        <f>ROUND(FB_SaldoLC_10,2)</f>
        <v>0</v>
      </c>
      <c r="BV11" s="77">
        <f>ROUND(FB_SaldoEUR_10,2)</f>
        <v>0</v>
      </c>
      <c r="BW11" s="76">
        <f>ROUND(FB_SaldoLC_10,2)</f>
        <v>0</v>
      </c>
      <c r="BX11" s="92">
        <f>ROUND(FB_SaldoEUR_10,2)</f>
        <v>0</v>
      </c>
      <c r="CA11" s="91" t="s">
        <v>303</v>
      </c>
      <c r="CB11" s="76">
        <f>ROUND(FB_SaldoLC_11,2)</f>
        <v>0</v>
      </c>
      <c r="CC11" s="77">
        <f>ROUND(FB_SaldoEUR_11,2)</f>
        <v>0</v>
      </c>
      <c r="CD11" s="76">
        <f>ROUND(FB_SaldoLC_11,2)</f>
        <v>0</v>
      </c>
      <c r="CE11" s="92">
        <f>ROUND(FB_SaldoEUR_11,2)</f>
        <v>0</v>
      </c>
      <c r="CH11" s="91" t="s">
        <v>303</v>
      </c>
      <c r="CI11" s="76">
        <f>ROUND(FB_SaldoLC_12,2)</f>
        <v>0</v>
      </c>
      <c r="CJ11" s="77">
        <f>ROUND(FB_SaldoEUR_12,2)</f>
        <v>0</v>
      </c>
      <c r="CK11" s="76">
        <f>ROUND(FB_SaldoLC_12,2)</f>
        <v>0</v>
      </c>
      <c r="CL11" s="92">
        <f>ROUND(FB_SaldoEUR_12,2)</f>
        <v>0</v>
      </c>
      <c r="CO11" s="91" t="s">
        <v>303</v>
      </c>
      <c r="CP11" s="76">
        <f>ROUND(FB_SaldoLC_13,2)</f>
        <v>0</v>
      </c>
      <c r="CQ11" s="77">
        <f>ROUND(FB_SaldoEUR_13,2)</f>
        <v>0</v>
      </c>
      <c r="CR11" s="76">
        <f>ROUND(FB_SaldoLC_13,2)</f>
        <v>0</v>
      </c>
      <c r="CS11" s="92">
        <f>ROUND(FB_SaldoEUR_13,2)</f>
        <v>0</v>
      </c>
      <c r="CV11" s="91" t="s">
        <v>303</v>
      </c>
      <c r="CW11" s="76">
        <f>ROUND(FB_SaldoLC_14,2)</f>
        <v>0</v>
      </c>
      <c r="CX11" s="77">
        <f>ROUND(FB_SaldoEUR_14,2)</f>
        <v>0</v>
      </c>
      <c r="CY11" s="76">
        <f>ROUND(FB_SaldoLC_14,2)</f>
        <v>0</v>
      </c>
      <c r="CZ11" s="92">
        <f>ROUND(FB_SaldoEUR_14,2)</f>
        <v>0</v>
      </c>
      <c r="DC11" s="91" t="s">
        <v>303</v>
      </c>
      <c r="DD11" s="76">
        <f>ROUND(FB_SaldoLC_15,2)</f>
        <v>0</v>
      </c>
      <c r="DE11" s="77">
        <f>ROUND(FB_SaldoEUR_15,2)</f>
        <v>0</v>
      </c>
      <c r="DF11" s="76">
        <f>ROUND(FB_SaldoLC_15,2)</f>
        <v>0</v>
      </c>
      <c r="DG11" s="92">
        <f>ROUND(FB_SaldoEUR_15,2)</f>
        <v>0</v>
      </c>
      <c r="DJ11" s="91" t="s">
        <v>303</v>
      </c>
      <c r="DK11" s="76">
        <f>ROUND(FB_SaldoLC_16,2)</f>
        <v>0</v>
      </c>
      <c r="DL11" s="77">
        <f>ROUND(FB_SaldoEUR_16,2)</f>
        <v>0</v>
      </c>
      <c r="DM11" s="76">
        <f>ROUND(FB_SaldoLC_16,2)</f>
        <v>0</v>
      </c>
      <c r="DN11" s="92">
        <f>ROUND(FB_SaldoEUR_16,2)</f>
        <v>0</v>
      </c>
      <c r="DQ11" s="91" t="s">
        <v>303</v>
      </c>
      <c r="DR11" s="76">
        <f>ROUND(FB_SaldoLC_17,2)</f>
        <v>0</v>
      </c>
      <c r="DS11" s="77">
        <f>ROUND(FB_SaldoEUR_17,2)</f>
        <v>0</v>
      </c>
      <c r="DT11" s="76">
        <f>ROUND(FB_SaldoLC_17,2)</f>
        <v>0</v>
      </c>
      <c r="DU11" s="92">
        <f>ROUND(FB_SaldoEUR_17,2)</f>
        <v>0</v>
      </c>
    </row>
    <row r="12" spans="2:125" ht="16.5" x14ac:dyDescent="0.25">
      <c r="B12" s="91" t="s">
        <v>194</v>
      </c>
      <c r="C12" s="76">
        <f>ROUND(SUMIF($B$41:$B$45,"Eigenmittel",$D$41:$D$45)+SUMIF($B$50:$B$55,"Eigenmittel",$D$50:$D$55),2)</f>
        <v>0</v>
      </c>
      <c r="D12" s="77">
        <f>ROUND(SUMIF($B$41:$B$45,"Eigenmittel",$E$41:$E$45)+SUMIF($B$50:$B$55,"Eigenmittel",$E$50:$E$55),2)</f>
        <v>0</v>
      </c>
      <c r="E12" s="76">
        <f>ROUND(SUMIF($B$41:$B$45,"Eigenmittel",$D$41:$D$45)+SUMIF($B$50:$B$55,"Eigenmittel",$D$50:$D$55),2)</f>
        <v>0</v>
      </c>
      <c r="F12" s="92">
        <f>ROUND(SUMIF($B$41:$B$45,"Eigenmittel",$E$41:$E$45)+SUMIF($B$50:$B$55,"Eigenmittel",$E$50:$E$55),2)</f>
        <v>0</v>
      </c>
      <c r="I12" s="91" t="s">
        <v>194</v>
      </c>
      <c r="J12" s="76">
        <f>ROUND(SUMIF($I$41:$I$45,"Eigenmittel",$K$41:$K$45)+SUMIF($I$50:$I$55,"Eigenmittel",$K$50:$K$55),2)</f>
        <v>0</v>
      </c>
      <c r="K12" s="77">
        <f>ROUND(SUMIF($I$41:$I$45,"Eigenmittel",$L$41:$L$45)+SUMIF($I$50:$I$55,"Eigenmittel",$L$50:$L$55),2)</f>
        <v>0</v>
      </c>
      <c r="L12" s="76">
        <f t="shared" ref="L12:M15" si="0">IFERROR(ROUND(E12 + J12, 2), J12)</f>
        <v>0</v>
      </c>
      <c r="M12" s="92">
        <f t="shared" si="0"/>
        <v>0</v>
      </c>
      <c r="P12" s="91" t="s">
        <v>194</v>
      </c>
      <c r="Q12" s="76">
        <f>ROUND(SUMIF($P$41:$P$45,"Eigenmittel",$R$41:$R$45)+SUMIF($P$50:$P$55,"Eigenmittel",$R$50:$R$55),2)</f>
        <v>0</v>
      </c>
      <c r="R12" s="77">
        <f>ROUND(SUMIF($P$41:$P$45,"Eigenmittel",$S$41:$S$45)+SUMIF($P$50:$P$55,"Eigenmittel",$S$50:$S$55),2)</f>
        <v>0</v>
      </c>
      <c r="S12" s="76">
        <f t="shared" ref="S12:T15" si="1">IFERROR(ROUND(L12 + Q12, 2), Q12)</f>
        <v>0</v>
      </c>
      <c r="T12" s="92">
        <f t="shared" si="1"/>
        <v>0</v>
      </c>
      <c r="W12" s="91" t="s">
        <v>194</v>
      </c>
      <c r="X12" s="76">
        <f>ROUND(SUMIF($W$41:$W$45,"Eigenmittel",$Y$41:$Y$45)+SUMIF($W$50:$W$55,"Eigenmittel",$Y$50:$Y$55),2)</f>
        <v>0</v>
      </c>
      <c r="Y12" s="77">
        <f>ROUND(SUMIF($W$41:$W$45,"Eigenmittel",$Z$41:$Z$45)+SUMIF($W$50:$W$55,"Eigenmittel",$Z$50:$Z$55),2)</f>
        <v>0</v>
      </c>
      <c r="Z12" s="76">
        <f t="shared" ref="Z12:AA15" si="2">IFERROR(ROUND(S12 + X12, 2), X12)</f>
        <v>0</v>
      </c>
      <c r="AA12" s="92">
        <f t="shared" si="2"/>
        <v>0</v>
      </c>
      <c r="AD12" s="91" t="s">
        <v>194</v>
      </c>
      <c r="AE12" s="76">
        <f>ROUND(SUMIF($AD$41:$AD$45,"Eigenmittel",$AF$41:$AF$45)+SUMIF($AD$50:$AD$55,"Eigenmittel",$AF$50:$AF$55),2)</f>
        <v>0</v>
      </c>
      <c r="AF12" s="77">
        <f>ROUND(SUMIF($AD$41:$AD$45,"Eigenmittel",$AG$41:$AG$45)+SUMIF($AD$50:$AD$55,"Eigenmittel",$AG$50:$AG$55),2)</f>
        <v>0</v>
      </c>
      <c r="AG12" s="76">
        <f t="shared" ref="AG12:AH15" si="3">IFERROR(ROUND(Z12 + AE12, 2), AE12)</f>
        <v>0</v>
      </c>
      <c r="AH12" s="92">
        <f t="shared" si="3"/>
        <v>0</v>
      </c>
      <c r="AK12" s="91" t="s">
        <v>194</v>
      </c>
      <c r="AL12" s="76">
        <f>ROUND(SUMIF($AK$41:$AK$45,"Eigenmittel",$AM$41:$AM$45)+SUMIF($AK$50:$AK$55,"Eigenmittel",$AM$50:$AM$55),2)</f>
        <v>0</v>
      </c>
      <c r="AM12" s="77">
        <f>ROUND(SUMIF($AK$41:$AK$45,"Eigenmittel",$AN$41:$AN$45)+SUMIF($AK$50:$AK$55,"Eigenmittel",$AN$50:$AN$55),2)</f>
        <v>0</v>
      </c>
      <c r="AN12" s="76">
        <f t="shared" ref="AN12:AO15" si="4">IFERROR(ROUND(AG12 + AL12, 2), AL12)</f>
        <v>0</v>
      </c>
      <c r="AO12" s="92">
        <f t="shared" si="4"/>
        <v>0</v>
      </c>
      <c r="AR12" s="91" t="s">
        <v>194</v>
      </c>
      <c r="AS12" s="76">
        <f>ROUND(SUMIF($AR$41:$AR$45,"Eigenmittel",$AT$41:$AT$45)+SUMIF($AR$50:$AR$55,"Eigenmittel",$AT$50:$AT$55),2)</f>
        <v>0</v>
      </c>
      <c r="AT12" s="77">
        <f>ROUND(SUMIF($AR$41:$AR$45,"Eigenmittel",$AU$41:$AU$45)+SUMIF($AR$50:$AR$55,"Eigenmittel",$AU$50:$AU$55),2)</f>
        <v>0</v>
      </c>
      <c r="AU12" s="76">
        <f t="shared" ref="AU12:AV15" si="5">IFERROR(ROUND(AN12 + AS12, 2), AS12)</f>
        <v>0</v>
      </c>
      <c r="AV12" s="92">
        <f t="shared" si="5"/>
        <v>0</v>
      </c>
      <c r="AY12" s="91" t="s">
        <v>194</v>
      </c>
      <c r="AZ12" s="76">
        <f>ROUND(SUMIF($AY$41:$AY$45,"Eigenmittel",$BA$41:$BA$45)+SUMIF($AY$50:$AY$55,"Eigenmittel",$BA$50:$BA$55),2)</f>
        <v>0</v>
      </c>
      <c r="BA12" s="77">
        <f>ROUND(SUMIF($AY$41:$AY$45,"Eigenmittel",$BB$41:$BB$45)+SUMIF($AY$50:$AY$55,"Eigenmittel",$BB$50:$BB$55),2)</f>
        <v>0</v>
      </c>
      <c r="BB12" s="76">
        <f t="shared" ref="BB12:BC15" si="6">IFERROR(ROUND(AU12 + AZ12, 2), AZ12)</f>
        <v>0</v>
      </c>
      <c r="BC12" s="92">
        <f t="shared" si="6"/>
        <v>0</v>
      </c>
      <c r="BF12" s="91" t="s">
        <v>194</v>
      </c>
      <c r="BG12" s="76">
        <f>ROUND(SUMIF($BF$41:$BF$45,"Eigenmittel",$BH$41:$BH$45)+SUMIF($BF$50:$BF$55,"Eigenmittel",$BH$50:$BH$55),2)</f>
        <v>0</v>
      </c>
      <c r="BH12" s="77">
        <f>ROUND(SUMIF($BF$41:$BF$45,"Eigenmittel",$BI$41:$BI$45)+SUMIF($BF$50:$BF$55,"Eigenmittel",$BI$50:$BI$55),2)</f>
        <v>0</v>
      </c>
      <c r="BI12" s="76">
        <f t="shared" ref="BI12:BJ15" si="7">IFERROR(ROUND(BB12 + BG12, 2), BG12)</f>
        <v>0</v>
      </c>
      <c r="BJ12" s="92">
        <f t="shared" si="7"/>
        <v>0</v>
      </c>
      <c r="BM12" s="91" t="s">
        <v>194</v>
      </c>
      <c r="BN12" s="76">
        <f>ROUND(SUMIF($BM$41:$BM$45,"Eigenmittel",$BO$41:$BO$45)+SUMIF($BM$50:$BM$55,"Eigenmittel",$BO$50:$BO$55),2)</f>
        <v>0</v>
      </c>
      <c r="BO12" s="77">
        <f>ROUND(SUMIF($BM$41:$BM$45,"Eigenmittel",$BP$41:$BP$45)+SUMIF($BM$50:$BM$55,"Eigenmittel",$BP$50:$BP$55),2)</f>
        <v>0</v>
      </c>
      <c r="BP12" s="76">
        <f t="shared" ref="BP12:BQ15" si="8">IFERROR(ROUND(BI12 + BN12, 2), BN12)</f>
        <v>0</v>
      </c>
      <c r="BQ12" s="92">
        <f t="shared" si="8"/>
        <v>0</v>
      </c>
      <c r="BT12" s="91" t="s">
        <v>194</v>
      </c>
      <c r="BU12" s="76">
        <f>ROUND(SUMIF($BT$41:$BT$45,"Eigenmittel",$BV$41:$BV$45)+SUMIF($BT$50:$BT$55,"Eigenmittel",$BV$50:$BV$55),2)</f>
        <v>0</v>
      </c>
      <c r="BV12" s="77">
        <f>ROUND(SUMIF($BT$41:$BT$45,"Eigenmittel",$BW$41:$BW$45)+SUMIF($BT$50:$BT$55,"Eigenmittel",$BW$50:$BW$55),2)</f>
        <v>0</v>
      </c>
      <c r="BW12" s="76">
        <f t="shared" ref="BW12:BX15" si="9">IFERROR(ROUND(BP12 + BU12, 2), BU12)</f>
        <v>0</v>
      </c>
      <c r="BX12" s="92">
        <f t="shared" si="9"/>
        <v>0</v>
      </c>
      <c r="CA12" s="91" t="s">
        <v>194</v>
      </c>
      <c r="CB12" s="76">
        <f>ROUND(SUMIF($CA$41:$CA$45,"Eigenmittel",$CC$41:$CC$45)+SUMIF($CA$50:$CA$55,"Eigenmittel",$CC$50:$CC$55),2)</f>
        <v>0</v>
      </c>
      <c r="CC12" s="77">
        <f>ROUND(SUMIF($CA$41:$CA$45,"Eigenmittel",$CD$41:$CD$45)+SUMIF($CA$50:$CA$55,"Eigenmittel",$CD$50:$CD$55),2)</f>
        <v>0</v>
      </c>
      <c r="CD12" s="76">
        <f t="shared" ref="CD12:CE15" si="10">IFERROR(ROUND(BW12 + CB12, 2), CB12)</f>
        <v>0</v>
      </c>
      <c r="CE12" s="92">
        <f t="shared" si="10"/>
        <v>0</v>
      </c>
      <c r="CH12" s="91" t="s">
        <v>194</v>
      </c>
      <c r="CI12" s="76">
        <f>ROUND(SUMIF($CH$41:$CH$45,"Eigenmittel",$CJ$41:$CJ$45)+SUMIF($CH$50:$CH$55,"Eigenmittel",$CJ$50:$CJ$55),2)</f>
        <v>0</v>
      </c>
      <c r="CJ12" s="77">
        <f>ROUND(SUMIF($CH$41:$CH$45,"Eigenmittel",$CK$41:$CK$45)+SUMIF($CH$50:$CH$55,"Eigenmittel",$CK$50:$CK$55),2)</f>
        <v>0</v>
      </c>
      <c r="CK12" s="76">
        <f t="shared" ref="CK12:CL15" si="11">IFERROR(ROUND(CD12 + CI12, 2), CI12)</f>
        <v>0</v>
      </c>
      <c r="CL12" s="92">
        <f t="shared" si="11"/>
        <v>0</v>
      </c>
      <c r="CO12" s="91" t="s">
        <v>194</v>
      </c>
      <c r="CP12" s="76">
        <f>ROUND(SUMIF($CO$41:$CO$45,"Eigenmittel",$CQ$41:$CQ$45)+SUMIF($CO$50:$CO$55,"Eigenmittel",$CQ$50:$CQ$55),2)</f>
        <v>0</v>
      </c>
      <c r="CQ12" s="77">
        <f>ROUND(SUMIF($CO$41:$CO$45,"Eigenmittel",$CR$41:$CR$45)+SUMIF($CO$50:$CO$55,"Eigenmittel",$CR$50:$CR$55),2)</f>
        <v>0</v>
      </c>
      <c r="CR12" s="76">
        <f t="shared" ref="CR12:CS15" si="12">IFERROR(ROUND(CK12 + CP12, 2), CP12)</f>
        <v>0</v>
      </c>
      <c r="CS12" s="92">
        <f t="shared" si="12"/>
        <v>0</v>
      </c>
      <c r="CV12" s="91" t="s">
        <v>194</v>
      </c>
      <c r="CW12" s="76">
        <f>ROUND(SUMIF($CV$41:$CV$45,"Eigenmittel",$CX$41:$CX$45)+SUMIF($CV$50:$CV$55,"Eigenmittel",$CX$50:$CX$55),2)</f>
        <v>0</v>
      </c>
      <c r="CX12" s="77">
        <f>ROUND(SUMIF($CV$41:$CV$45,"Eigenmittel",$CY$41:$CY$45)+SUMIF($CV$50:$CV$55,"Eigenmittel",$CY$50:$CY$55),2)</f>
        <v>0</v>
      </c>
      <c r="CY12" s="76">
        <f t="shared" ref="CY12:CZ15" si="13">IFERROR(ROUND(CR12 + CW12, 2), CW12)</f>
        <v>0</v>
      </c>
      <c r="CZ12" s="92">
        <f t="shared" si="13"/>
        <v>0</v>
      </c>
      <c r="DC12" s="91" t="s">
        <v>194</v>
      </c>
      <c r="DD12" s="76">
        <f>ROUND(SUMIF($DC$41:$DC$45,"Eigenmittel",$DE$41:$DE$45)+SUMIF($DC$50:$DC$55,"Eigenmittel",$DE$50:$DE$55),2)</f>
        <v>0</v>
      </c>
      <c r="DE12" s="77">
        <f>ROUND(SUMIF($DC$41:$DC$45,"Eigenmittel",$DF$41:$DF$45)+SUMIF($DC$50:$DC$55,"Eigenmittel",$DF$50:$DF$55),2)</f>
        <v>0</v>
      </c>
      <c r="DF12" s="76">
        <f t="shared" ref="DF12:DG15" si="14">IFERROR(ROUND(CY12 + DD12, 2), DD12)</f>
        <v>0</v>
      </c>
      <c r="DG12" s="92">
        <f t="shared" si="14"/>
        <v>0</v>
      </c>
      <c r="DJ12" s="91" t="s">
        <v>194</v>
      </c>
      <c r="DK12" s="76">
        <f>ROUND(SUMIF($DJ$41:$DJ$45,"Eigenmittel",$DL$41:$DL$45)+SUMIF($DJ$50:$DJ$55,"Eigenmittel",$DL$50:$DL$55),2)</f>
        <v>0</v>
      </c>
      <c r="DL12" s="77">
        <f>ROUND(SUMIF($DJ$41:$DJ$45,"Eigenmittel",$DM$41:$DM$45)+SUMIF($DJ$50:$DJ$55,"Eigenmittel",$DM$50:$DM$55),2)</f>
        <v>0</v>
      </c>
      <c r="DM12" s="76">
        <f t="shared" ref="DM12:DN15" si="15">IFERROR(ROUND(DF12 + DK12, 2), DK12)</f>
        <v>0</v>
      </c>
      <c r="DN12" s="92">
        <f t="shared" si="15"/>
        <v>0</v>
      </c>
      <c r="DQ12" s="91" t="s">
        <v>194</v>
      </c>
      <c r="DR12" s="76">
        <f>ROUND(SUMIF($DQ$41:$DQ$45,"Eigenmittel",$DS$41:$DS$45)+SUMIF($DQ$50:$DQ$55,"Eigenmittel",$DS$50:$DS$55),2)</f>
        <v>0</v>
      </c>
      <c r="DS12" s="77">
        <f>ROUND(SUMIF($DQ$41:$DQ$45,"Eigenmittel",$DT$41:$DT$45)+SUMIF($DQ$50:$DQ$55,"Eigenmittel",$DT$50:$DT$55),2)</f>
        <v>0</v>
      </c>
      <c r="DT12" s="76">
        <f t="shared" ref="DT12:DU15" si="16">IFERROR(ROUND(DM12 + DR12, 2), DR12)</f>
        <v>0</v>
      </c>
      <c r="DU12" s="92">
        <f t="shared" si="16"/>
        <v>0</v>
      </c>
    </row>
    <row r="13" spans="2:125" ht="16.5" x14ac:dyDescent="0.25">
      <c r="B13" s="91" t="s">
        <v>277</v>
      </c>
      <c r="C13" s="76">
        <f>ROUND(SUMIF($B$41:$B$45,"Drittmittel",$D$41:$D$45)+SUMIF($B$50:$B$55,"Drittmittel",$D$50:$D$55),2)</f>
        <v>0</v>
      </c>
      <c r="D13" s="77">
        <f>ROUND(SUMIF($B$41:$B$45,"Drittmittel",$E$41:$E$45)+SUMIF($B$50:$B$55,"Drittmittel",$E$50:$E$55),2)</f>
        <v>0</v>
      </c>
      <c r="E13" s="76">
        <f>ROUND(SUMIF($B$41:$B$45,"Drittmittel",$D$41:$D$45)+SUMIF($B$50:$B$55,"Drittmittel",$D$50:$D$55),2)</f>
        <v>0</v>
      </c>
      <c r="F13" s="92">
        <f>ROUND(SUMIF($B$41:$B$45,"Drittmittel",$E$41:$E$45)+SUMIF($B$50:$B$55,"Drittmittel",$E$50:$E$55),2)</f>
        <v>0</v>
      </c>
      <c r="I13" s="91" t="s">
        <v>277</v>
      </c>
      <c r="J13" s="76">
        <f>ROUND(SUMIF($I$41:$I$45,"Drittmittel",$K$41:$K$45)+SUMIF($I$50:$I$55,"Drittmittel",$K$50:$K$55),2)</f>
        <v>0</v>
      </c>
      <c r="K13" s="77">
        <f>ROUND(SUMIF($I$41:$I$45,"Drittmittel",$L$41:$L$45)+SUMIF($I$50:$I$55,"Drittmittel",$L$50:$L$55),2)</f>
        <v>0</v>
      </c>
      <c r="L13" s="76">
        <f t="shared" si="0"/>
        <v>0</v>
      </c>
      <c r="M13" s="92">
        <f t="shared" si="0"/>
        <v>0</v>
      </c>
      <c r="P13" s="91" t="s">
        <v>277</v>
      </c>
      <c r="Q13" s="76">
        <f>ROUND(SUMIF($P$41:$P$45,"Drittmittel",$R$41:$R$45)+SUMIF($P$50:$P$55,"Drittmittel",$R$50:$R$55),2)</f>
        <v>0</v>
      </c>
      <c r="R13" s="77">
        <f>ROUND(SUMIF($P$41:$P$45,"Drittmittel",$S$41:$S$45)+SUMIF($P$50:$P$55,"Drittmittel",$S$50:$S$55),2)</f>
        <v>0</v>
      </c>
      <c r="S13" s="76">
        <f t="shared" si="1"/>
        <v>0</v>
      </c>
      <c r="T13" s="92">
        <f t="shared" si="1"/>
        <v>0</v>
      </c>
      <c r="W13" s="91" t="s">
        <v>277</v>
      </c>
      <c r="X13" s="76">
        <f>ROUND(SUMIF($W$41:$W$45,"Drittmittel",$Y$41:$Y$45)+SUMIF($W$50:$W$55,"Drittmittel",$Y$50:$Y$55),2)</f>
        <v>0</v>
      </c>
      <c r="Y13" s="77">
        <f>ROUND(SUMIF($W$41:$W$45,"Drittmittel",$Z$41:$Z$45)+SUMIF($W$50:$W$55,"Drittmittel",$Z$50:$Z$55),2)</f>
        <v>0</v>
      </c>
      <c r="Z13" s="76">
        <f t="shared" si="2"/>
        <v>0</v>
      </c>
      <c r="AA13" s="92">
        <f t="shared" si="2"/>
        <v>0</v>
      </c>
      <c r="AD13" s="91" t="s">
        <v>277</v>
      </c>
      <c r="AE13" s="76">
        <f>ROUND(SUMIF($AD$41:$AD$45,"Drittmittel",$AF$41:$AF$45)+SUMIF($AD$50:$AD$55,"Drittmittel",$AF$50:$AF$55),2)</f>
        <v>0</v>
      </c>
      <c r="AF13" s="77">
        <f>ROUND(SUMIF($AD$41:$AD$45,"Drittmittel",$AG$41:$AG$45)+SUMIF($AD$50:$AD$55,"Drittmittel",$AG$50:$AG$55),2)</f>
        <v>0</v>
      </c>
      <c r="AG13" s="76">
        <f t="shared" si="3"/>
        <v>0</v>
      </c>
      <c r="AH13" s="92">
        <f t="shared" si="3"/>
        <v>0</v>
      </c>
      <c r="AK13" s="91" t="s">
        <v>277</v>
      </c>
      <c r="AL13" s="76">
        <f>ROUND(SUMIF($AK$41:$AK$45,"Drittmittel",$AM$41:$AM$45)+SUMIF($AK$50:$AK$55,"Drittmittel",$AM$50:$AM$55),2)</f>
        <v>0</v>
      </c>
      <c r="AM13" s="77">
        <f>ROUND(SUMIF($AK$41:$AK$45,"Drittmittel",$AN$41:$AN$45)+SUMIF($AK$50:$AK$55,"Drittmittel",$AN$50:$AN$55),2)</f>
        <v>0</v>
      </c>
      <c r="AN13" s="76">
        <f t="shared" si="4"/>
        <v>0</v>
      </c>
      <c r="AO13" s="92">
        <f t="shared" si="4"/>
        <v>0</v>
      </c>
      <c r="AR13" s="91" t="s">
        <v>277</v>
      </c>
      <c r="AS13" s="76">
        <f>ROUND(SUMIF($AR$41:$AR$45,"Drittmittel",$AT$41:$AT$45)+SUMIF($AR$50:$AR$55,"Drittmittel",$AT$50:$AT$55),2)</f>
        <v>0</v>
      </c>
      <c r="AT13" s="77">
        <f>ROUND(SUMIF($AR$41:$AR$45,"Drittmittel",$AU$41:$AU$45)+SUMIF($AR$50:$AR$55,"Drittmittel",$AU$50:$AU$55),2)</f>
        <v>0</v>
      </c>
      <c r="AU13" s="76">
        <f t="shared" si="5"/>
        <v>0</v>
      </c>
      <c r="AV13" s="92">
        <f t="shared" si="5"/>
        <v>0</v>
      </c>
      <c r="AY13" s="91" t="s">
        <v>277</v>
      </c>
      <c r="AZ13" s="76">
        <f>ROUND(SUMIF($AY$41:$AY$45,"Drittmittel",$BA$41:$BA$45)+SUMIF($AY$50:$AY$55,"Drittmittel",$BA$50:$BA$55),2)</f>
        <v>0</v>
      </c>
      <c r="BA13" s="77">
        <f>ROUND(SUMIF($AY$41:$AY$45,"Drittmittel",$BB$41:$BB$45)+SUMIF($AY$50:$AY$55,"Drittmittel",$BB$50:$BB$55),2)</f>
        <v>0</v>
      </c>
      <c r="BB13" s="76">
        <f t="shared" si="6"/>
        <v>0</v>
      </c>
      <c r="BC13" s="92">
        <f t="shared" si="6"/>
        <v>0</v>
      </c>
      <c r="BF13" s="91" t="s">
        <v>277</v>
      </c>
      <c r="BG13" s="76">
        <f>ROUND(SUMIF($BF$41:$BF$45,"Drittmittel",$BH$41:$BH$45)+SUMIF($BF$50:$BF$55,"Drittmittel",$BH$50:$BH$55),2)</f>
        <v>0</v>
      </c>
      <c r="BH13" s="77">
        <f>ROUND(SUMIF($BF$41:$BF$45,"Drittmittel",$BI$41:$BI$45)+SUMIF($BF$50:$BF$55,"Drittmittel",$BI$50:$BI$55),2)</f>
        <v>0</v>
      </c>
      <c r="BI13" s="76">
        <f t="shared" si="7"/>
        <v>0</v>
      </c>
      <c r="BJ13" s="92">
        <f t="shared" si="7"/>
        <v>0</v>
      </c>
      <c r="BM13" s="91" t="s">
        <v>277</v>
      </c>
      <c r="BN13" s="76">
        <f>ROUND(SUMIF($BM$41:$BM$45,"Drittmittel",$BO$41:$BO$45)+SUMIF($BM$50:$BM$55,"Drittmittel",$BO$50:$BO$55),2)</f>
        <v>0</v>
      </c>
      <c r="BO13" s="77">
        <f>ROUND(SUMIF($BM$41:$BM$45,"Drittmittel",$BP$41:$BP$45)+SUMIF($BM$50:$BM$55,"Drittmittel",$BP$50:$BP$55),2)</f>
        <v>0</v>
      </c>
      <c r="BP13" s="76">
        <f t="shared" si="8"/>
        <v>0</v>
      </c>
      <c r="BQ13" s="92">
        <f t="shared" si="8"/>
        <v>0</v>
      </c>
      <c r="BT13" s="91" t="s">
        <v>277</v>
      </c>
      <c r="BU13" s="76">
        <f>ROUND(SUMIF($BT$41:$BT$45,"Drittmittel",$BV$41:$BV$45)+SUMIF($BT$50:$BT$55,"Drittmittel",$BV$50:$BV$55),2)</f>
        <v>0</v>
      </c>
      <c r="BV13" s="77">
        <f>ROUND(SUMIF($BT$41:$BT$45,"Drittmittel",$BW$41:$BW$45)+SUMIF($BT$50:$BT$55,"Drittmittel",$BW$50:$BW$55),2)</f>
        <v>0</v>
      </c>
      <c r="BW13" s="76">
        <f t="shared" si="9"/>
        <v>0</v>
      </c>
      <c r="BX13" s="92">
        <f t="shared" si="9"/>
        <v>0</v>
      </c>
      <c r="CA13" s="91" t="s">
        <v>277</v>
      </c>
      <c r="CB13" s="76">
        <f>ROUND(SUMIF($CA$41:$CA$45,"Drittmittel",$CC$41:$CC$45)+SUMIF($CA$50:$CA$55,"Drittmittel",$CC$50:$CC$55),2)</f>
        <v>0</v>
      </c>
      <c r="CC13" s="77">
        <f>ROUND(SUMIF($CA$41:$CA$45,"Drittmittel",$CD$41:$CD$45)+SUMIF($CA$50:$CA$55,"Drittmittel",$CD$50:$CD$55),2)</f>
        <v>0</v>
      </c>
      <c r="CD13" s="76">
        <f t="shared" si="10"/>
        <v>0</v>
      </c>
      <c r="CE13" s="92">
        <f t="shared" si="10"/>
        <v>0</v>
      </c>
      <c r="CH13" s="91" t="s">
        <v>277</v>
      </c>
      <c r="CI13" s="76">
        <f>ROUND(SUMIF($CH$41:$CH$45,"Drittmittel",$CJ$41:$CJ$45)+SUMIF($CH$50:$CH$55,"Drittmittel",$CJ$50:$CJ$55),2)</f>
        <v>0</v>
      </c>
      <c r="CJ13" s="77">
        <f>ROUND(SUMIF($CH$41:$CH$45,"Drittmittel",$CK$41:$CK$45)+SUMIF($CH$50:$CH$55,"Drittmittel",$CK$50:$CK$55),2)</f>
        <v>0</v>
      </c>
      <c r="CK13" s="76">
        <f t="shared" si="11"/>
        <v>0</v>
      </c>
      <c r="CL13" s="92">
        <f t="shared" si="11"/>
        <v>0</v>
      </c>
      <c r="CO13" s="91" t="s">
        <v>277</v>
      </c>
      <c r="CP13" s="76">
        <f>ROUND(SUMIF($CO$41:$CO$45,"Drittmittel",$CQ$41:$CQ$45)+SUMIF($CO$50:$CO$55,"Drittmittel",$CQ$50:$CQ$55),2)</f>
        <v>0</v>
      </c>
      <c r="CQ13" s="77">
        <f>ROUND(SUMIF($CO$41:$CO$45,"Drittmittel",$CR$41:$CR$45)+SUMIF($CO$50:$CO$55,"Drittmittel",$CR$50:$CR$55),2)</f>
        <v>0</v>
      </c>
      <c r="CR13" s="76">
        <f t="shared" si="12"/>
        <v>0</v>
      </c>
      <c r="CS13" s="92">
        <f t="shared" si="12"/>
        <v>0</v>
      </c>
      <c r="CV13" s="91" t="s">
        <v>277</v>
      </c>
      <c r="CW13" s="76">
        <f>ROUND(SUMIF($CV$41:$CV$45,"Drittmittel",$CX$41:$CX$45)+SUMIF($CV$50:$CV$55,"Drittmittel",$CX$50:$CX$55),2)</f>
        <v>0</v>
      </c>
      <c r="CX13" s="77">
        <f>ROUND(SUMIF($CV$41:$CV$45,"Drittmittel",$CY$41:$CY$45)+SUMIF($CV$50:$CV$55,"Drittmittel",$CY$50:$CY$55),2)</f>
        <v>0</v>
      </c>
      <c r="CY13" s="76">
        <f t="shared" si="13"/>
        <v>0</v>
      </c>
      <c r="CZ13" s="92">
        <f t="shared" si="13"/>
        <v>0</v>
      </c>
      <c r="DC13" s="91" t="s">
        <v>277</v>
      </c>
      <c r="DD13" s="76">
        <f>ROUND(SUMIF($DC$41:$DC$45,"Drittmittel",$DE$41:$DE$45)+SUMIF($DC$50:$DC$55,"Drittmittel",$DE$50:$DE$55),2)</f>
        <v>0</v>
      </c>
      <c r="DE13" s="77">
        <f>ROUND(SUMIF($DC$41:$DC$45,"Drittmittel",$DF$41:$DF$45)+SUMIF($DC$50:$DC$55,"Drittmittel",$DF$50:$DF$55),2)</f>
        <v>0</v>
      </c>
      <c r="DF13" s="76">
        <f t="shared" si="14"/>
        <v>0</v>
      </c>
      <c r="DG13" s="92">
        <f t="shared" si="14"/>
        <v>0</v>
      </c>
      <c r="DJ13" s="91" t="s">
        <v>277</v>
      </c>
      <c r="DK13" s="76">
        <f>ROUND(SUMIF($DJ$41:$DJ$45,"Drittmittel",$DL$41:$DL$45)+SUMIF($DJ$50:$DJ$55,"Drittmittel",$DL$50:$DL$55),2)</f>
        <v>0</v>
      </c>
      <c r="DL13" s="77">
        <f>ROUND(SUMIF($DJ$41:$DJ$45,"Drittmittel",$DM$41:$DM$45)+SUMIF($DJ$50:$DJ$55,"Drittmittel",$DM$50:$DM$55),2)</f>
        <v>0</v>
      </c>
      <c r="DM13" s="76">
        <f t="shared" si="15"/>
        <v>0</v>
      </c>
      <c r="DN13" s="92">
        <f t="shared" si="15"/>
        <v>0</v>
      </c>
      <c r="DQ13" s="91" t="s">
        <v>277</v>
      </c>
      <c r="DR13" s="76">
        <f>ROUND(SUMIF($DQ$41:$DQ$45,"Drittmittel",$DS$41:$DS$45)+SUMIF($DQ$50:$DQ$55,"Drittmittel",$DS$50:$DS$55),2)</f>
        <v>0</v>
      </c>
      <c r="DS13" s="77">
        <f>ROUND(SUMIF($DQ$41:$DQ$45,"Drittmittel",$DT$41:$DT$45)+SUMIF($DQ$50:$DQ$55,"Drittmittel",$DT$50:$DT$55),2)</f>
        <v>0</v>
      </c>
      <c r="DT13" s="76">
        <f t="shared" si="16"/>
        <v>0</v>
      </c>
      <c r="DU13" s="92">
        <f t="shared" si="16"/>
        <v>0</v>
      </c>
    </row>
    <row r="14" spans="2:125" ht="16.5" x14ac:dyDescent="0.25">
      <c r="B14" s="91" t="s">
        <v>199</v>
      </c>
      <c r="C14" s="76">
        <f>ROUND(SUMIF($B$41:$B$45,"KMW-Mittel",$D$41:$D$45)+SUMIF($B$50:$B$55,"KMW-Mittel",$D$50:$D$55),2)</f>
        <v>0</v>
      </c>
      <c r="D14" s="77">
        <f>ROUND(SUMIF($B$41:$B$45,"KMW-Mittel",$E$41:$E$45)+SUMIF($B$50:$B$55,"KMW-Mittel",$E$50:$E$55),2)</f>
        <v>0</v>
      </c>
      <c r="E14" s="76">
        <f>ROUND(SUMIF($B$41:$B$45,"KMW-Mittel",$D$41:$D$45)+SUMIF($B$50:$B$55,"KMW-Mittel",$D$50:$D$55),2)</f>
        <v>0</v>
      </c>
      <c r="F14" s="92">
        <f>ROUND(SUMIF($B$41:$B$45,"KMW-Mittel",$E$41:$E$45)+SUMIF($B$50:$B$55,"KMW-Mittel",$E$50:$E$55),2)</f>
        <v>0</v>
      </c>
      <c r="I14" s="91" t="s">
        <v>199</v>
      </c>
      <c r="J14" s="76">
        <f>ROUND(SUMIF($I$41:$I$45,"KMW-Mittel",$K$41:$K$45)+SUMIF($I$50:$I$55,"KMW-Mittel",$K$50:$K$55),2)</f>
        <v>0</v>
      </c>
      <c r="K14" s="77">
        <f>ROUND(SUMIF($I$41:$I$45,"KMW-Mittel",$L$41:$L$45)+SUMIF($I$50:$I$55,"KMW-Mittel",$L$50:$L$55),2)</f>
        <v>0</v>
      </c>
      <c r="L14" s="76">
        <f t="shared" si="0"/>
        <v>0</v>
      </c>
      <c r="M14" s="92">
        <f t="shared" si="0"/>
        <v>0</v>
      </c>
      <c r="P14" s="91" t="s">
        <v>199</v>
      </c>
      <c r="Q14" s="76">
        <f>ROUND(SUMIF($P$41:$P$45,"KMW-Mittel",$R$41:$R$45)+SUMIF($P$50:$P$55,"KMW-Mittel",$R$50:$R$55),2)</f>
        <v>0</v>
      </c>
      <c r="R14" s="77">
        <f>ROUND(SUMIF($P$41:$P$45,"KMW-Mittel",$S$41:$S$45)+SUMIF($P$50:$P$55,"KMW-Mittel",$S$50:$S$55),2)</f>
        <v>0</v>
      </c>
      <c r="S14" s="76">
        <f t="shared" si="1"/>
        <v>0</v>
      </c>
      <c r="T14" s="92">
        <f t="shared" si="1"/>
        <v>0</v>
      </c>
      <c r="W14" s="91" t="s">
        <v>199</v>
      </c>
      <c r="X14" s="76">
        <f>ROUND(SUMIF($W$41:$W$45,"KMW-Mittel",$Y$41:$Y$45)+SUMIF($W$50:$W$55,"KMW-Mittel",$Y$50:$Y$55),2)</f>
        <v>0</v>
      </c>
      <c r="Y14" s="77">
        <f>ROUND(SUMIF($W$41:$W$45,"KMW-Mittel",$Z$41:$Z$45)+SUMIF($W$50:$W$55,"KMW-Mittel",$Z$50:$Z$55),2)</f>
        <v>0</v>
      </c>
      <c r="Z14" s="76">
        <f t="shared" si="2"/>
        <v>0</v>
      </c>
      <c r="AA14" s="92">
        <f t="shared" si="2"/>
        <v>0</v>
      </c>
      <c r="AD14" s="91" t="s">
        <v>199</v>
      </c>
      <c r="AE14" s="76">
        <f>ROUND(SUMIF($AD$41:$AD$45,"KMW-Mittel",$AF$41:$AF$45)+SUMIF($AD$50:$AD$55,"KMW-Mittel",$AF$50:$AF$55),2)</f>
        <v>0</v>
      </c>
      <c r="AF14" s="77">
        <f>ROUND(SUMIF($AD$41:$AD$45,"KMW-Mittel",$AG$41:$AG$45)+SUMIF($AD$50:$AD$55,"KMW-Mittel",$AG$50:$AG$55),2)</f>
        <v>0</v>
      </c>
      <c r="AG14" s="76">
        <f t="shared" si="3"/>
        <v>0</v>
      </c>
      <c r="AH14" s="92">
        <f t="shared" si="3"/>
        <v>0</v>
      </c>
      <c r="AK14" s="91" t="s">
        <v>199</v>
      </c>
      <c r="AL14" s="76">
        <f>ROUND(SUMIF($AK$41:$AK$45,"KMW-Mittel",$AM$41:$AM$45)+SUMIF($AK$50:$AK$55,"KMW-Mittel",$AM$50:$AM$55),2)</f>
        <v>0</v>
      </c>
      <c r="AM14" s="77">
        <f>ROUND(SUMIF($AK$41:$AK$45,"KMW-Mittel",$AN$41:$AN$45)+SUMIF($AK$50:$AK$55,"KMW-Mittel",$AN$50:$AN$55),2)</f>
        <v>0</v>
      </c>
      <c r="AN14" s="76">
        <f t="shared" si="4"/>
        <v>0</v>
      </c>
      <c r="AO14" s="92">
        <f t="shared" si="4"/>
        <v>0</v>
      </c>
      <c r="AR14" s="91" t="s">
        <v>199</v>
      </c>
      <c r="AS14" s="76">
        <f>ROUND(SUMIF($AR$41:$AR$45,"KMW-Mittel",$AT$41:$AT$45)+SUMIF($AR$50:$AR$55,"KMW-Mittel",$AT$50:$AT$55),2)</f>
        <v>0</v>
      </c>
      <c r="AT14" s="77">
        <f>ROUND(SUMIF($AR$41:$AR$45,"KMW-Mittel",$AU$41:$AU$45)+SUMIF($AR$50:$AR$55,"KMW-Mittel",$AU$50:$AU$55),2)</f>
        <v>0</v>
      </c>
      <c r="AU14" s="76">
        <f t="shared" si="5"/>
        <v>0</v>
      </c>
      <c r="AV14" s="92">
        <f t="shared" si="5"/>
        <v>0</v>
      </c>
      <c r="AY14" s="91" t="s">
        <v>199</v>
      </c>
      <c r="AZ14" s="76">
        <f>ROUND(SUMIF($AY$41:$AY$45,"KMW-Mittel",$BA$41:$BA$45)+SUMIF($AY$50:$AY$55,"KMW-Mittel",$BA$50:$BA$55),2)</f>
        <v>0</v>
      </c>
      <c r="BA14" s="77">
        <f>ROUND(SUMIF($AY$41:$AY$45,"KMW-Mittel",$BB$41:$BB$45)+SUMIF($AY$50:$AY$55,"KMW-Mittel",$BB$50:$BB$55),2)</f>
        <v>0</v>
      </c>
      <c r="BB14" s="76">
        <f t="shared" si="6"/>
        <v>0</v>
      </c>
      <c r="BC14" s="92">
        <f t="shared" si="6"/>
        <v>0</v>
      </c>
      <c r="BF14" s="91" t="s">
        <v>199</v>
      </c>
      <c r="BG14" s="76">
        <f>ROUND(SUMIF($BF$41:$BF$45,"KMW-Mittel",$BH$41:$BH$45)+SUMIF($BF$50:$BF$55,"KMW-Mittel",$BH$50:$BH$55),2)</f>
        <v>0</v>
      </c>
      <c r="BH14" s="77">
        <f>ROUND(SUMIF($BF$41:$BF$45,"KMW-Mittel",$BI$41:$BI$45)+SUMIF($BF$50:$BF$55,"KMW-Mittel",$BI$50:$BI$55),2)</f>
        <v>0</v>
      </c>
      <c r="BI14" s="76">
        <f t="shared" si="7"/>
        <v>0</v>
      </c>
      <c r="BJ14" s="92">
        <f t="shared" si="7"/>
        <v>0</v>
      </c>
      <c r="BM14" s="91" t="s">
        <v>199</v>
      </c>
      <c r="BN14" s="76">
        <f>ROUND(SUMIF($BM$41:$BM$45,"KMW-Mittel",$BO$41:$BO$45)+SUMIF($BM$50:$BM$55,"KMW-Mittel",$BO$50:$BO$55),2)</f>
        <v>0</v>
      </c>
      <c r="BO14" s="77">
        <f>ROUND(SUMIF($BM$41:$BM$45,"KMW-Mittel",$BP$41:$BP$45)+SUMIF($BM$50:$BM$55,"KMW-Mittel",$BP$50:$BP$55),2)</f>
        <v>0</v>
      </c>
      <c r="BP14" s="76">
        <f t="shared" si="8"/>
        <v>0</v>
      </c>
      <c r="BQ14" s="92">
        <f t="shared" si="8"/>
        <v>0</v>
      </c>
      <c r="BT14" s="91" t="s">
        <v>199</v>
      </c>
      <c r="BU14" s="76">
        <f>ROUND(SUMIF($BT$41:$BT$45,"KMW-Mittel",$BV$41:$BV$45)+SUMIF($BT$50:$BT$55,"KMW-Mittel",$BV$50:$BV$55),2)</f>
        <v>0</v>
      </c>
      <c r="BV14" s="77">
        <f>ROUND(SUMIF($BT$41:$BT$45,"KMW-Mittel",$BW$41:$BW$45)+SUMIF($BT$50:$BT$55,"KMW-Mittel",$BW$50:$BW$55),2)</f>
        <v>0</v>
      </c>
      <c r="BW14" s="76">
        <f t="shared" si="9"/>
        <v>0</v>
      </c>
      <c r="BX14" s="92">
        <f t="shared" si="9"/>
        <v>0</v>
      </c>
      <c r="CA14" s="91" t="s">
        <v>199</v>
      </c>
      <c r="CB14" s="76">
        <f>ROUND(SUMIF($CA$41:$CA$45,"KMW-Mittel",$CC$41:$CC$45)+SUMIF($CA$50:$CA$55,"KMW-Mittel",$CC$50:$CC$55),2)</f>
        <v>0</v>
      </c>
      <c r="CC14" s="77">
        <f>ROUND(SUMIF($CA$41:$CA$45,"KMW-Mittel",$CD$41:$CD$45)+SUMIF($CA$50:$CA$55,"KMW-Mittel",$CD$50:$CD$55),2)</f>
        <v>0</v>
      </c>
      <c r="CD14" s="76">
        <f t="shared" si="10"/>
        <v>0</v>
      </c>
      <c r="CE14" s="92">
        <f t="shared" si="10"/>
        <v>0</v>
      </c>
      <c r="CH14" s="91" t="s">
        <v>199</v>
      </c>
      <c r="CI14" s="76">
        <f>ROUND(SUMIF($CH$41:$CH$45,"KMW-Mittel",$CJ$41:$CJ$45)+SUMIF($CH$50:$CH$55,"KMW-Mittel",$CJ$50:$CJ$55),2)</f>
        <v>0</v>
      </c>
      <c r="CJ14" s="77">
        <f>ROUND(SUMIF($CH$41:$CH$45,"KMW-Mittel",$CK$41:$CK$45)+SUMIF($CH$50:$CH$55,"KMW-Mittel",$CK$50:$CK$55),2)</f>
        <v>0</v>
      </c>
      <c r="CK14" s="76">
        <f t="shared" si="11"/>
        <v>0</v>
      </c>
      <c r="CL14" s="92">
        <f t="shared" si="11"/>
        <v>0</v>
      </c>
      <c r="CO14" s="91" t="s">
        <v>199</v>
      </c>
      <c r="CP14" s="76">
        <f>ROUND(SUMIF($CO$41:$CO$45,"KMW-Mittel",$CQ$41:$CQ$45)+SUMIF($CO$50:$CO$55,"KMW-Mittel",$CQ$50:$CQ$55),2)</f>
        <v>0</v>
      </c>
      <c r="CQ14" s="77">
        <f>ROUND(SUMIF($CO$41:$CO$45,"KMW-Mittel",$CR$41:$CR$45)+SUMIF($CO$50:$CO$55,"KMW-Mittel",$CR$50:$CR$55),2)</f>
        <v>0</v>
      </c>
      <c r="CR14" s="76">
        <f t="shared" si="12"/>
        <v>0</v>
      </c>
      <c r="CS14" s="92">
        <f t="shared" si="12"/>
        <v>0</v>
      </c>
      <c r="CV14" s="91" t="s">
        <v>199</v>
      </c>
      <c r="CW14" s="76">
        <f>ROUND(SUMIF($CV$41:$CV$45,"KMW-Mittel",$CX$41:$CX$45)+SUMIF($CV$50:$CV$55,"KMW-Mittel",$CX$50:$CX$55),2)</f>
        <v>0</v>
      </c>
      <c r="CX14" s="77">
        <f>ROUND(SUMIF($CV$41:$CV$45,"KMW-Mittel",$CY$41:$CY$45)+SUMIF($CV$50:$CV$55,"KMW-Mittel",$CY$50:$CY$55),2)</f>
        <v>0</v>
      </c>
      <c r="CY14" s="76">
        <f t="shared" si="13"/>
        <v>0</v>
      </c>
      <c r="CZ14" s="92">
        <f t="shared" si="13"/>
        <v>0</v>
      </c>
      <c r="DC14" s="91" t="s">
        <v>199</v>
      </c>
      <c r="DD14" s="76">
        <f>ROUND(SUMIF($DC$41:$DC$45,"KMW-Mittel",$DE$41:$DE$45)+SUMIF($DC$50:$DC$55,"KMW-Mittel",$DE$50:$DE$55),2)</f>
        <v>0</v>
      </c>
      <c r="DE14" s="77">
        <f>ROUND(SUMIF($DC$41:$DC$45,"KMW-Mittel",$DF$41:$DF$45)+SUMIF($DC$50:$DC$55,"KMW-Mittel",$DF$50:$DF$55),2)</f>
        <v>0</v>
      </c>
      <c r="DF14" s="76">
        <f t="shared" si="14"/>
        <v>0</v>
      </c>
      <c r="DG14" s="92">
        <f t="shared" si="14"/>
        <v>0</v>
      </c>
      <c r="DJ14" s="91" t="s">
        <v>199</v>
      </c>
      <c r="DK14" s="76">
        <f>ROUND(SUMIF($DJ$41:$DJ$45,"KMW-Mittel",$DL$41:$DL$45)+SUMIF($DJ$50:$DJ$55,"KMW-Mittel",$DL$50:$DL$55),2)</f>
        <v>0</v>
      </c>
      <c r="DL14" s="77">
        <f>ROUND(SUMIF($DJ$41:$DJ$45,"KMW-Mittel",$DM$41:$DM$45)+SUMIF($DJ$50:$DJ$55,"KMW-Mittel",$DM$50:$DM$55),2)</f>
        <v>0</v>
      </c>
      <c r="DM14" s="76">
        <f t="shared" si="15"/>
        <v>0</v>
      </c>
      <c r="DN14" s="92">
        <f t="shared" si="15"/>
        <v>0</v>
      </c>
      <c r="DQ14" s="91" t="s">
        <v>199</v>
      </c>
      <c r="DR14" s="76">
        <f>ROUND(SUMIF($DQ$41:$DQ$45,"KMW-Mittel",$DS$41:$DS$45)+SUMIF($DQ$50:$DQ$55,"KMW-Mittel",$DS$50:$DS$55),2)</f>
        <v>0</v>
      </c>
      <c r="DS14" s="77">
        <f>ROUND(SUMIF($DQ$41:$DQ$45,"KMW-Mittel",$DT$41:$DT$45)+SUMIF($DQ$50:$DQ$55,"KMW-Mittel",$DT$50:$DT$55),2)</f>
        <v>0</v>
      </c>
      <c r="DT14" s="76">
        <f t="shared" si="16"/>
        <v>0</v>
      </c>
      <c r="DU14" s="92">
        <f t="shared" si="16"/>
        <v>0</v>
      </c>
    </row>
    <row r="15" spans="2:125" ht="16.5" x14ac:dyDescent="0.25">
      <c r="B15" s="91" t="s">
        <v>278</v>
      </c>
      <c r="C15" s="76">
        <f>ROUND(SUMIF($B$41:$B$45,"Zinsertraege",$D$41:$D$45)+SUMIF($B$50:$B$55,"Zinsertraege",$D$50:$D$55),2)</f>
        <v>0</v>
      </c>
      <c r="D15" s="77">
        <f>ROUND(SUMIF($B$41:$B$45,"Zinsertraege",$E$41:$E$45)+SUMIF($B$50:$B$55,"Zinsertraege",$E$50:$E$55),2)</f>
        <v>0</v>
      </c>
      <c r="E15" s="76">
        <f>ROUND(SUMIF($B$41:$B$45,"Zinsertraege",$D$41:$D$45)+SUMIF($B$50:$B$55,"Zinsertraege",$D$50:$D$55),2)</f>
        <v>0</v>
      </c>
      <c r="F15" s="92">
        <f>ROUND(SUMIF($B$41:$B$45,"Zinsertraege",$E$41:$E$45)+SUMIF($B$50:$B$55,"Zinsertraege",$E$50:$E$55),2)</f>
        <v>0</v>
      </c>
      <c r="I15" s="91" t="s">
        <v>278</v>
      </c>
      <c r="J15" s="76">
        <f>ROUND(SUMIF($I$41:$I$45,"Zinsertraege",$K$41:$K$45)+SUMIF($I$50:$I$55,"Zinsertraege",$K$50:$K$55),2)</f>
        <v>0</v>
      </c>
      <c r="K15" s="77">
        <f>ROUND(SUMIF($I$41:$I$45,"Zinsertraege",$L$41:$L$45)+SUMIF($I$50:$I$55,"Zinsertraege",$L$50:$L$55),2)</f>
        <v>0</v>
      </c>
      <c r="L15" s="76">
        <f t="shared" si="0"/>
        <v>0</v>
      </c>
      <c r="M15" s="92">
        <f t="shared" si="0"/>
        <v>0</v>
      </c>
      <c r="P15" s="91" t="s">
        <v>278</v>
      </c>
      <c r="Q15" s="76">
        <f>ROUND(SUMIF($P$41:$P$45,"Zinsertraege",$R$41:$R$45)+SUMIF($P$50:$P$55,"Zinsertraege",$R$50:$R$55),2)</f>
        <v>0</v>
      </c>
      <c r="R15" s="77">
        <f>ROUND(SUMIF($P$41:$P$45,"Zinsertraege",$S$41:$S$45)+SUMIF($P$50:$P$55,"Zinsertraege",$S$50:$S$55),2)</f>
        <v>0</v>
      </c>
      <c r="S15" s="76">
        <f t="shared" si="1"/>
        <v>0</v>
      </c>
      <c r="T15" s="92">
        <f t="shared" si="1"/>
        <v>0</v>
      </c>
      <c r="W15" s="91" t="s">
        <v>278</v>
      </c>
      <c r="X15" s="76">
        <f>ROUND(SUMIF($W$41:$W$45,"Zinsertraege",$Y$41:$Y$45)+SUMIF($W$50:$W$55,"Zinsertraege",$Y$50:$Y$55),2)</f>
        <v>0</v>
      </c>
      <c r="Y15" s="77">
        <f>ROUND(SUMIF($W$41:$W$45,"Zinsertraege",$Z$41:$Z$45)+SUMIF($W$50:$W$55,"Zinsertraege",$Z$50:$Z$55),2)</f>
        <v>0</v>
      </c>
      <c r="Z15" s="76">
        <f t="shared" si="2"/>
        <v>0</v>
      </c>
      <c r="AA15" s="92">
        <f t="shared" si="2"/>
        <v>0</v>
      </c>
      <c r="AD15" s="91" t="s">
        <v>278</v>
      </c>
      <c r="AE15" s="76">
        <f>ROUND(SUMIF($AD$41:$AD$45,"Zinsertraege",$AF$41:$AF$45)+SUMIF($AD$50:$AD$55,"Zinsertraege",$AF$50:$AF$55),2)</f>
        <v>0</v>
      </c>
      <c r="AF15" s="77">
        <f>ROUND(SUMIF($AD$41:$AD$45,"Zinsertraege",$AG$41:$AG$45)+SUMIF($AD$50:$AD$55,"Zinsertraege",$AG$50:$AG$55),2)</f>
        <v>0</v>
      </c>
      <c r="AG15" s="76">
        <f t="shared" si="3"/>
        <v>0</v>
      </c>
      <c r="AH15" s="92">
        <f t="shared" si="3"/>
        <v>0</v>
      </c>
      <c r="AK15" s="91" t="s">
        <v>278</v>
      </c>
      <c r="AL15" s="76">
        <f>ROUND(SUMIF($AK$41:$AK$45,"Zinsertraege",$AM$41:$AM$45)+SUMIF($AK$50:$AK$55,"Zinsertraege",$AM$50:$AM$55),2)</f>
        <v>0</v>
      </c>
      <c r="AM15" s="77">
        <f>ROUND(SUMIF($AK$41:$AK$45,"Zinsertraege",$AN$41:$AN$45)+SUMIF($AK$50:$AK$55,"Zinsertraege",$AN$50:$AN$55),2)</f>
        <v>0</v>
      </c>
      <c r="AN15" s="76">
        <f t="shared" si="4"/>
        <v>0</v>
      </c>
      <c r="AO15" s="92">
        <f t="shared" si="4"/>
        <v>0</v>
      </c>
      <c r="AR15" s="91" t="s">
        <v>278</v>
      </c>
      <c r="AS15" s="76">
        <f>ROUND(SUMIF($AR$41:$AR$45,"Zinsertraege",$AT$41:$AT$45)+SUMIF($AR$50:$AR$55,"Zinsertraege",$AT$50:$AT$55),2)</f>
        <v>0</v>
      </c>
      <c r="AT15" s="77">
        <f>ROUND(SUMIF($AR$41:$AR$45,"Zinsertraege",$AU$41:$AU$45)+SUMIF($AR$50:$AR$55,"Zinsertraege",$AU$50:$AU$55),2)</f>
        <v>0</v>
      </c>
      <c r="AU15" s="76">
        <f t="shared" si="5"/>
        <v>0</v>
      </c>
      <c r="AV15" s="92">
        <f t="shared" si="5"/>
        <v>0</v>
      </c>
      <c r="AY15" s="91" t="s">
        <v>278</v>
      </c>
      <c r="AZ15" s="76">
        <f>ROUND(SUMIF($AY$41:$AY$45,"Zinsertraege",$BA$41:$BA$45)+SUMIF($AY$50:$AY$55,"Zinsertraege",$BA$50:$BA$55),2)</f>
        <v>0</v>
      </c>
      <c r="BA15" s="77">
        <f>ROUND(SUMIF($AY$41:$AY$45,"Zinsertraege",$BB$41:$BB$45)+SUMIF($AY$50:$AY$55,"Zinsertraege",$BB$50:$BB$55),2)</f>
        <v>0</v>
      </c>
      <c r="BB15" s="76">
        <f t="shared" si="6"/>
        <v>0</v>
      </c>
      <c r="BC15" s="92">
        <f t="shared" si="6"/>
        <v>0</v>
      </c>
      <c r="BF15" s="91" t="s">
        <v>278</v>
      </c>
      <c r="BG15" s="76">
        <f>ROUND(SUMIF($BF$41:$BF$45,"Zinsertraege",$BH$41:$BH$45)+SUMIF($BF$50:$BF$55,"Zinsertraege",$BH$50:$BH$55),2)</f>
        <v>0</v>
      </c>
      <c r="BH15" s="77">
        <f>ROUND(SUMIF($BF$41:$BF$45,"Zinsertraege",$BI$41:$BI$45)+SUMIF($BF$50:$BF$55,"Zinsertraege",$BI$50:$BI$55),2)</f>
        <v>0</v>
      </c>
      <c r="BI15" s="76">
        <f t="shared" si="7"/>
        <v>0</v>
      </c>
      <c r="BJ15" s="92">
        <f t="shared" si="7"/>
        <v>0</v>
      </c>
      <c r="BM15" s="91" t="s">
        <v>278</v>
      </c>
      <c r="BN15" s="76">
        <f>ROUND(SUMIF($BM$41:$BM$45,"Zinsertraege",$BO$41:$BO$45)+SUMIF($BM$50:$BM$55,"Zinsertraege",$BO$50:$BO$55),2)</f>
        <v>0</v>
      </c>
      <c r="BO15" s="77">
        <f>ROUND(SUMIF($BM$41:$BM$45,"Zinsertraege",$BP$41:$BP$45)+SUMIF($BM$50:$BM$55,"Zinsertraege",$BP$50:$BP$55),2)</f>
        <v>0</v>
      </c>
      <c r="BP15" s="76">
        <f t="shared" si="8"/>
        <v>0</v>
      </c>
      <c r="BQ15" s="92">
        <f t="shared" si="8"/>
        <v>0</v>
      </c>
      <c r="BT15" s="91" t="s">
        <v>278</v>
      </c>
      <c r="BU15" s="76">
        <f>ROUND(SUMIF($BT$41:$BT$45,"Zinsertraege",$BV$41:$BV$45)+SUMIF($BT$50:$BT$55,"Zinsertraege",$BV$50:$BV$55),2)</f>
        <v>0</v>
      </c>
      <c r="BV15" s="77">
        <f>ROUND(SUMIF($BT$41:$BT$45,"Zinsertraege",$BW$41:$BW$45)+SUMIF($BT$50:$BT$55,"Zinsertraege",$BW$50:$BW$55),2)</f>
        <v>0</v>
      </c>
      <c r="BW15" s="76">
        <f t="shared" si="9"/>
        <v>0</v>
      </c>
      <c r="BX15" s="92">
        <f t="shared" si="9"/>
        <v>0</v>
      </c>
      <c r="CA15" s="91" t="s">
        <v>278</v>
      </c>
      <c r="CB15" s="76">
        <f>ROUND(SUMIF($CA$41:$CA$45,"Zinsertraege",$CC$41:$CC$45)+SUMIF($CA$50:$CA$55,"Zinsertraege",$CC$50:$CC$55),2)</f>
        <v>0</v>
      </c>
      <c r="CC15" s="77">
        <f>ROUND(SUMIF($CA$41:$CA$45,"Zinsertraege",$CD$41:$CD$45)+SUMIF($CA$50:$CA$55,"Zinsertraege",$CD$50:$CD$55),2)</f>
        <v>0</v>
      </c>
      <c r="CD15" s="76">
        <f t="shared" si="10"/>
        <v>0</v>
      </c>
      <c r="CE15" s="92">
        <f t="shared" si="10"/>
        <v>0</v>
      </c>
      <c r="CH15" s="91" t="s">
        <v>278</v>
      </c>
      <c r="CI15" s="76">
        <f>ROUND(SUMIF($CH$41:$CH$45,"Zinsertraege",$CJ$41:$CJ$45)+SUMIF($CH$50:$CH$55,"Zinsertraege",$CJ$50:$CJ$55),2)</f>
        <v>0</v>
      </c>
      <c r="CJ15" s="77">
        <f>ROUND(SUMIF($CH$41:$CH$45,"Zinsertraege",$CK$41:$CK$45)+SUMIF($CH$50:$CH$55,"Zinsertraege",$CK$50:$CK$55),2)</f>
        <v>0</v>
      </c>
      <c r="CK15" s="76">
        <f t="shared" si="11"/>
        <v>0</v>
      </c>
      <c r="CL15" s="92">
        <f t="shared" si="11"/>
        <v>0</v>
      </c>
      <c r="CO15" s="91" t="s">
        <v>278</v>
      </c>
      <c r="CP15" s="76">
        <f>ROUND(SUMIF($CO$41:$CO$45,"Zinsertraege",$CQ$41:$CQ$45)+SUMIF($CO$50:$CO$55,"Zinsertraege",$CQ$50:$CQ$55),2)</f>
        <v>0</v>
      </c>
      <c r="CQ15" s="77">
        <f>ROUND(SUMIF($CO$41:$CO$45,"Zinsertraege",$CR$41:$CR$45)+SUMIF($CO$50:$CO$55,"Zinsertraege",$CR$50:$CR$55),2)</f>
        <v>0</v>
      </c>
      <c r="CR15" s="76">
        <f t="shared" si="12"/>
        <v>0</v>
      </c>
      <c r="CS15" s="92">
        <f t="shared" si="12"/>
        <v>0</v>
      </c>
      <c r="CV15" s="91" t="s">
        <v>278</v>
      </c>
      <c r="CW15" s="76">
        <f>ROUND(SUMIF($CV$41:$CV$45,"Zinsertraege",$CX$41:$CX$45)+SUMIF($CV$50:$CV$55,"Zinsertraege",$CX$50:$CX$55),2)</f>
        <v>0</v>
      </c>
      <c r="CX15" s="77">
        <f>ROUND(SUMIF($CV$41:$CV$45,"Zinsertraege",$CY$41:$CY$45)+SUMIF($CV$50:$CV$55,"Zinsertraege",$CY$50:$CY$55),2)</f>
        <v>0</v>
      </c>
      <c r="CY15" s="76">
        <f t="shared" si="13"/>
        <v>0</v>
      </c>
      <c r="CZ15" s="92">
        <f t="shared" si="13"/>
        <v>0</v>
      </c>
      <c r="DC15" s="91" t="s">
        <v>278</v>
      </c>
      <c r="DD15" s="76">
        <f>ROUND(SUMIF($DC$41:$DC$45,"Zinsertraege",$DE$41:$DE$45)+SUMIF($DC$50:$DC$55,"Zinsertraege",$DE$50:$DE$55),2)</f>
        <v>0</v>
      </c>
      <c r="DE15" s="77">
        <f>ROUND(SUMIF($DC$41:$DC$45,"Zinsertraege",$DF$41:$DF$45)+SUMIF($DC$50:$DC$55,"Zinsertraege",$DF$50:$DF$55),2)</f>
        <v>0</v>
      </c>
      <c r="DF15" s="76">
        <f t="shared" si="14"/>
        <v>0</v>
      </c>
      <c r="DG15" s="92">
        <f t="shared" si="14"/>
        <v>0</v>
      </c>
      <c r="DJ15" s="91" t="s">
        <v>278</v>
      </c>
      <c r="DK15" s="76">
        <f>ROUND(SUMIF($DJ$41:$DJ$45,"Zinsertraege",$DL$41:$DL$45)+SUMIF($DJ$50:$DJ$55,"Zinsertraege",$DL$50:$DL$55),2)</f>
        <v>0</v>
      </c>
      <c r="DL15" s="77">
        <f>ROUND(SUMIF($DJ$41:$DJ$45,"Zinsertraege",$DM$41:$DM$45)+SUMIF($DJ$50:$DJ$55,"Zinsertraege",$DM$50:$DM$55),2)</f>
        <v>0</v>
      </c>
      <c r="DM15" s="76">
        <f t="shared" si="15"/>
        <v>0</v>
      </c>
      <c r="DN15" s="92">
        <f t="shared" si="15"/>
        <v>0</v>
      </c>
      <c r="DQ15" s="91" t="s">
        <v>278</v>
      </c>
      <c r="DR15" s="76">
        <f>ROUND(SUMIF($DQ$41:$DQ$45,"Zinsertraege",$DS$41:$DS$45)+SUMIF($DQ$50:$DQ$55,"Zinsertraege",$DS$50:$DS$55),2)</f>
        <v>0</v>
      </c>
      <c r="DS15" s="77">
        <f>ROUND(SUMIF($DQ$41:$DQ$45,"Zinsertraege",$DT$41:$DT$45)+SUMIF($DQ$50:$DQ$55,"Zinsertraege",$DT$50:$DT$55),2)</f>
        <v>0</v>
      </c>
      <c r="DT15" s="76">
        <f t="shared" si="16"/>
        <v>0</v>
      </c>
      <c r="DU15" s="92">
        <f t="shared" si="16"/>
        <v>0</v>
      </c>
    </row>
    <row r="16" spans="2:125" ht="16.5" x14ac:dyDescent="0.25">
      <c r="B16" s="93" t="s">
        <v>279</v>
      </c>
      <c r="C16" s="78">
        <f>ROUND(SUM(C11:C15),2)</f>
        <v>0</v>
      </c>
      <c r="D16" s="79">
        <f>ROUND(SUM(D11:D15),2)</f>
        <v>0</v>
      </c>
      <c r="E16" s="78">
        <f>ROUND(SUM(E11:E15),2)</f>
        <v>0</v>
      </c>
      <c r="F16" s="94">
        <f>ROUND(SUM(F11:F15),2)</f>
        <v>0</v>
      </c>
      <c r="I16" s="93" t="s">
        <v>279</v>
      </c>
      <c r="J16" s="78">
        <f>ROUND(SUM(J11:J15),2)</f>
        <v>0</v>
      </c>
      <c r="K16" s="79">
        <f>ROUND(SUM(K11:K15),2)</f>
        <v>0</v>
      </c>
      <c r="L16" s="78">
        <f>ROUND(SUM(L11:L15),2)</f>
        <v>0</v>
      </c>
      <c r="M16" s="94">
        <f>ROUND(SUM(M11:M15),2)</f>
        <v>0</v>
      </c>
      <c r="P16" s="93" t="s">
        <v>279</v>
      </c>
      <c r="Q16" s="78">
        <f>ROUND(SUM(Q11:Q15),2)</f>
        <v>0</v>
      </c>
      <c r="R16" s="79">
        <f>ROUND(SUM(R11:R15),2)</f>
        <v>0</v>
      </c>
      <c r="S16" s="78">
        <f>ROUND(SUM(S11:S15),2)</f>
        <v>0</v>
      </c>
      <c r="T16" s="94">
        <f>ROUND(SUM(T11:T15),2)</f>
        <v>0</v>
      </c>
      <c r="W16" s="93" t="s">
        <v>279</v>
      </c>
      <c r="X16" s="78">
        <f>ROUND(SUM(X11:X15),2)</f>
        <v>0</v>
      </c>
      <c r="Y16" s="79">
        <f>ROUND(SUM(Y11:Y15),2)</f>
        <v>0</v>
      </c>
      <c r="Z16" s="78">
        <f>ROUND(SUM(Z11:Z15),2)</f>
        <v>0</v>
      </c>
      <c r="AA16" s="94">
        <f>ROUND(SUM(AA11:AA15),2)</f>
        <v>0</v>
      </c>
      <c r="AD16" s="93" t="s">
        <v>279</v>
      </c>
      <c r="AE16" s="78">
        <f>ROUND(SUM(AE11:AE15),2)</f>
        <v>0</v>
      </c>
      <c r="AF16" s="79">
        <f>ROUND(SUM(AF11:AF15),2)</f>
        <v>0</v>
      </c>
      <c r="AG16" s="78">
        <f>ROUND(SUM(AG11:AG15),2)</f>
        <v>0</v>
      </c>
      <c r="AH16" s="94">
        <f>ROUND(SUM(AH11:AH15),2)</f>
        <v>0</v>
      </c>
      <c r="AK16" s="93" t="s">
        <v>279</v>
      </c>
      <c r="AL16" s="78">
        <f>ROUND(SUM(AL11:AL15),2)</f>
        <v>0</v>
      </c>
      <c r="AM16" s="79">
        <f>ROUND(SUM(AM11:AM15),2)</f>
        <v>0</v>
      </c>
      <c r="AN16" s="78">
        <f>ROUND(SUM(AN11:AN15),2)</f>
        <v>0</v>
      </c>
      <c r="AO16" s="94">
        <f>ROUND(SUM(AO11:AO15),2)</f>
        <v>0</v>
      </c>
      <c r="AR16" s="93" t="s">
        <v>279</v>
      </c>
      <c r="AS16" s="78">
        <f>ROUND(SUM(AS11:AS15),2)</f>
        <v>0</v>
      </c>
      <c r="AT16" s="79">
        <f>ROUND(SUM(AT11:AT15),2)</f>
        <v>0</v>
      </c>
      <c r="AU16" s="78">
        <f>ROUND(SUM(AU11:AU15),2)</f>
        <v>0</v>
      </c>
      <c r="AV16" s="94">
        <f>ROUND(SUM(AV11:AV15),2)</f>
        <v>0</v>
      </c>
      <c r="AY16" s="93" t="s">
        <v>279</v>
      </c>
      <c r="AZ16" s="78">
        <f>ROUND(SUM(AZ11:AZ15),2)</f>
        <v>0</v>
      </c>
      <c r="BA16" s="79">
        <f>ROUND(SUM(BA11:BA15),2)</f>
        <v>0</v>
      </c>
      <c r="BB16" s="78">
        <f>ROUND(SUM(BB11:BB15),2)</f>
        <v>0</v>
      </c>
      <c r="BC16" s="94">
        <f>ROUND(SUM(BC11:BC15),2)</f>
        <v>0</v>
      </c>
      <c r="BF16" s="93" t="s">
        <v>279</v>
      </c>
      <c r="BG16" s="78">
        <f>ROUND(SUM(BG11:BG15),2)</f>
        <v>0</v>
      </c>
      <c r="BH16" s="79">
        <f>ROUND(SUM(BH11:BH15),2)</f>
        <v>0</v>
      </c>
      <c r="BI16" s="78">
        <f>ROUND(SUM(BI11:BI15),2)</f>
        <v>0</v>
      </c>
      <c r="BJ16" s="94">
        <f>ROUND(SUM(BJ11:BJ15),2)</f>
        <v>0</v>
      </c>
      <c r="BM16" s="93" t="s">
        <v>279</v>
      </c>
      <c r="BN16" s="78">
        <f>ROUND(SUM(BN11:BN15),2)</f>
        <v>0</v>
      </c>
      <c r="BO16" s="79">
        <f>ROUND(SUM(BO11:BO15),2)</f>
        <v>0</v>
      </c>
      <c r="BP16" s="78">
        <f>ROUND(SUM(BP11:BP15),2)</f>
        <v>0</v>
      </c>
      <c r="BQ16" s="94">
        <f>ROUND(SUM(BQ11:BQ15),2)</f>
        <v>0</v>
      </c>
      <c r="BT16" s="93" t="s">
        <v>279</v>
      </c>
      <c r="BU16" s="78">
        <f>ROUND(SUM(BU11:BU15),2)</f>
        <v>0</v>
      </c>
      <c r="BV16" s="79">
        <f>ROUND(SUM(BV11:BV15),2)</f>
        <v>0</v>
      </c>
      <c r="BW16" s="78">
        <f>ROUND(SUM(BW11:BW15),2)</f>
        <v>0</v>
      </c>
      <c r="BX16" s="94">
        <f>ROUND(SUM(BX11:BX15),2)</f>
        <v>0</v>
      </c>
      <c r="CA16" s="93" t="s">
        <v>279</v>
      </c>
      <c r="CB16" s="78">
        <f>ROUND(SUM(CB11:CB15),2)</f>
        <v>0</v>
      </c>
      <c r="CC16" s="79">
        <f>ROUND(SUM(CC11:CC15),2)</f>
        <v>0</v>
      </c>
      <c r="CD16" s="78">
        <f>ROUND(SUM(CD11:CD15),2)</f>
        <v>0</v>
      </c>
      <c r="CE16" s="94">
        <f>ROUND(SUM(CE11:CE15),2)</f>
        <v>0</v>
      </c>
      <c r="CH16" s="93" t="s">
        <v>279</v>
      </c>
      <c r="CI16" s="78">
        <f>ROUND(SUM(CI11:CI15),2)</f>
        <v>0</v>
      </c>
      <c r="CJ16" s="79">
        <f>ROUND(SUM(CJ11:CJ15),2)</f>
        <v>0</v>
      </c>
      <c r="CK16" s="78">
        <f>ROUND(SUM(CK11:CK15),2)</f>
        <v>0</v>
      </c>
      <c r="CL16" s="94">
        <f>ROUND(SUM(CL11:CL15),2)</f>
        <v>0</v>
      </c>
      <c r="CO16" s="93" t="s">
        <v>279</v>
      </c>
      <c r="CP16" s="78">
        <f>ROUND(SUM(CP11:CP15),2)</f>
        <v>0</v>
      </c>
      <c r="CQ16" s="79">
        <f>ROUND(SUM(CQ11:CQ15),2)</f>
        <v>0</v>
      </c>
      <c r="CR16" s="78">
        <f>ROUND(SUM(CR11:CR15),2)</f>
        <v>0</v>
      </c>
      <c r="CS16" s="94">
        <f>ROUND(SUM(CS11:CS15),2)</f>
        <v>0</v>
      </c>
      <c r="CV16" s="93" t="s">
        <v>279</v>
      </c>
      <c r="CW16" s="78">
        <f>ROUND(SUM(CW11:CW15),2)</f>
        <v>0</v>
      </c>
      <c r="CX16" s="79">
        <f>ROUND(SUM(CX11:CX15),2)</f>
        <v>0</v>
      </c>
      <c r="CY16" s="78">
        <f>ROUND(SUM(CY11:CY15),2)</f>
        <v>0</v>
      </c>
      <c r="CZ16" s="94">
        <f>ROUND(SUM(CZ11:CZ15),2)</f>
        <v>0</v>
      </c>
      <c r="DC16" s="93" t="s">
        <v>279</v>
      </c>
      <c r="DD16" s="78">
        <f>ROUND(SUM(DD11:DD15),2)</f>
        <v>0</v>
      </c>
      <c r="DE16" s="79">
        <f>ROUND(SUM(DE11:DE15),2)</f>
        <v>0</v>
      </c>
      <c r="DF16" s="78">
        <f>ROUND(SUM(DF11:DF15),2)</f>
        <v>0</v>
      </c>
      <c r="DG16" s="94">
        <f>ROUND(SUM(DG11:DG15),2)</f>
        <v>0</v>
      </c>
      <c r="DJ16" s="93" t="s">
        <v>279</v>
      </c>
      <c r="DK16" s="78">
        <f>ROUND(SUM(DK11:DK15),2)</f>
        <v>0</v>
      </c>
      <c r="DL16" s="79">
        <f>ROUND(SUM(DL11:DL15),2)</f>
        <v>0</v>
      </c>
      <c r="DM16" s="78">
        <f>ROUND(SUM(DM11:DM15),2)</f>
        <v>0</v>
      </c>
      <c r="DN16" s="94">
        <f>ROUND(SUM(DN11:DN15),2)</f>
        <v>0</v>
      </c>
      <c r="DQ16" s="93" t="s">
        <v>279</v>
      </c>
      <c r="DR16" s="78">
        <f>ROUND(SUM(DR11:DR15),2)</f>
        <v>0</v>
      </c>
      <c r="DS16" s="79">
        <f>ROUND(SUM(DS11:DS15),2)</f>
        <v>0</v>
      </c>
      <c r="DT16" s="78">
        <f>ROUND(SUM(DT11:DT15),2)</f>
        <v>0</v>
      </c>
      <c r="DU16" s="94">
        <f>ROUND(SUM(DU11:DU15),2)</f>
        <v>0</v>
      </c>
    </row>
    <row r="17" spans="2:125" ht="16.5" x14ac:dyDescent="0.25">
      <c r="B17" s="159" t="s">
        <v>280</v>
      </c>
      <c r="C17" s="160"/>
      <c r="D17" s="160"/>
      <c r="E17" s="160"/>
      <c r="F17" s="161"/>
      <c r="I17" s="159" t="s">
        <v>280</v>
      </c>
      <c r="J17" s="160"/>
      <c r="K17" s="160"/>
      <c r="L17" s="160"/>
      <c r="M17" s="161"/>
      <c r="P17" s="159" t="s">
        <v>280</v>
      </c>
      <c r="Q17" s="160"/>
      <c r="R17" s="160"/>
      <c r="S17" s="160"/>
      <c r="T17" s="161"/>
      <c r="W17" s="159" t="s">
        <v>280</v>
      </c>
      <c r="X17" s="160"/>
      <c r="Y17" s="160"/>
      <c r="Z17" s="160"/>
      <c r="AA17" s="161"/>
      <c r="AD17" s="159" t="s">
        <v>280</v>
      </c>
      <c r="AE17" s="160"/>
      <c r="AF17" s="160"/>
      <c r="AG17" s="160"/>
      <c r="AH17" s="161"/>
      <c r="AK17" s="159" t="s">
        <v>280</v>
      </c>
      <c r="AL17" s="160"/>
      <c r="AM17" s="160"/>
      <c r="AN17" s="160"/>
      <c r="AO17" s="161"/>
      <c r="AR17" s="159" t="s">
        <v>280</v>
      </c>
      <c r="AS17" s="160"/>
      <c r="AT17" s="160"/>
      <c r="AU17" s="160"/>
      <c r="AV17" s="161"/>
      <c r="AY17" s="159" t="s">
        <v>280</v>
      </c>
      <c r="AZ17" s="160"/>
      <c r="BA17" s="160"/>
      <c r="BB17" s="160"/>
      <c r="BC17" s="161"/>
      <c r="BF17" s="159" t="s">
        <v>280</v>
      </c>
      <c r="BG17" s="160"/>
      <c r="BH17" s="160"/>
      <c r="BI17" s="160"/>
      <c r="BJ17" s="161"/>
      <c r="BM17" s="159" t="s">
        <v>280</v>
      </c>
      <c r="BN17" s="160"/>
      <c r="BO17" s="160"/>
      <c r="BP17" s="160"/>
      <c r="BQ17" s="161"/>
      <c r="BT17" s="159" t="s">
        <v>280</v>
      </c>
      <c r="BU17" s="160"/>
      <c r="BV17" s="160"/>
      <c r="BW17" s="160"/>
      <c r="BX17" s="161"/>
      <c r="CA17" s="159" t="s">
        <v>280</v>
      </c>
      <c r="CB17" s="160"/>
      <c r="CC17" s="160"/>
      <c r="CD17" s="160"/>
      <c r="CE17" s="161"/>
      <c r="CH17" s="159" t="s">
        <v>280</v>
      </c>
      <c r="CI17" s="160"/>
      <c r="CJ17" s="160"/>
      <c r="CK17" s="160"/>
      <c r="CL17" s="161"/>
      <c r="CO17" s="159" t="s">
        <v>280</v>
      </c>
      <c r="CP17" s="160"/>
      <c r="CQ17" s="160"/>
      <c r="CR17" s="160"/>
      <c r="CS17" s="161"/>
      <c r="CV17" s="159" t="s">
        <v>280</v>
      </c>
      <c r="CW17" s="160"/>
      <c r="CX17" s="160"/>
      <c r="CY17" s="160"/>
      <c r="CZ17" s="161"/>
      <c r="DC17" s="159" t="s">
        <v>280</v>
      </c>
      <c r="DD17" s="160"/>
      <c r="DE17" s="160"/>
      <c r="DF17" s="160"/>
      <c r="DG17" s="161"/>
      <c r="DJ17" s="159" t="s">
        <v>280</v>
      </c>
      <c r="DK17" s="160"/>
      <c r="DL17" s="160"/>
      <c r="DM17" s="160"/>
      <c r="DN17" s="161"/>
      <c r="DQ17" s="159" t="s">
        <v>280</v>
      </c>
      <c r="DR17" s="160"/>
      <c r="DS17" s="160"/>
      <c r="DT17" s="160"/>
      <c r="DU17" s="161"/>
    </row>
    <row r="18" spans="2:125" ht="16.5" x14ac:dyDescent="0.25">
      <c r="B18" s="95" t="s">
        <v>203</v>
      </c>
      <c r="C18" s="80" t="s">
        <v>281</v>
      </c>
      <c r="D18" s="80" t="s">
        <v>282</v>
      </c>
      <c r="E18" s="80" t="s">
        <v>283</v>
      </c>
      <c r="F18" s="96" t="s">
        <v>284</v>
      </c>
      <c r="I18" s="95" t="s">
        <v>203</v>
      </c>
      <c r="J18" s="80" t="s">
        <v>281</v>
      </c>
      <c r="K18" s="80" t="s">
        <v>282</v>
      </c>
      <c r="L18" s="80" t="s">
        <v>283</v>
      </c>
      <c r="M18" s="96" t="s">
        <v>284</v>
      </c>
      <c r="P18" s="95" t="s">
        <v>203</v>
      </c>
      <c r="Q18" s="80" t="s">
        <v>281</v>
      </c>
      <c r="R18" s="80" t="s">
        <v>282</v>
      </c>
      <c r="S18" s="80" t="s">
        <v>283</v>
      </c>
      <c r="T18" s="96" t="s">
        <v>284</v>
      </c>
      <c r="W18" s="95" t="s">
        <v>203</v>
      </c>
      <c r="X18" s="80" t="s">
        <v>281</v>
      </c>
      <c r="Y18" s="80" t="s">
        <v>282</v>
      </c>
      <c r="Z18" s="80" t="s">
        <v>283</v>
      </c>
      <c r="AA18" s="96" t="s">
        <v>284</v>
      </c>
      <c r="AD18" s="95" t="s">
        <v>203</v>
      </c>
      <c r="AE18" s="80" t="s">
        <v>281</v>
      </c>
      <c r="AF18" s="80" t="s">
        <v>282</v>
      </c>
      <c r="AG18" s="80" t="s">
        <v>283</v>
      </c>
      <c r="AH18" s="96" t="s">
        <v>284</v>
      </c>
      <c r="AK18" s="95" t="s">
        <v>203</v>
      </c>
      <c r="AL18" s="80" t="s">
        <v>281</v>
      </c>
      <c r="AM18" s="80" t="s">
        <v>282</v>
      </c>
      <c r="AN18" s="80" t="s">
        <v>283</v>
      </c>
      <c r="AO18" s="96" t="s">
        <v>284</v>
      </c>
      <c r="AR18" s="95" t="s">
        <v>203</v>
      </c>
      <c r="AS18" s="80" t="s">
        <v>281</v>
      </c>
      <c r="AT18" s="80" t="s">
        <v>282</v>
      </c>
      <c r="AU18" s="80" t="s">
        <v>283</v>
      </c>
      <c r="AV18" s="96" t="s">
        <v>284</v>
      </c>
      <c r="AY18" s="95" t="s">
        <v>203</v>
      </c>
      <c r="AZ18" s="80" t="s">
        <v>281</v>
      </c>
      <c r="BA18" s="80" t="s">
        <v>282</v>
      </c>
      <c r="BB18" s="80" t="s">
        <v>283</v>
      </c>
      <c r="BC18" s="96" t="s">
        <v>284</v>
      </c>
      <c r="BF18" s="95" t="s">
        <v>203</v>
      </c>
      <c r="BG18" s="80" t="s">
        <v>281</v>
      </c>
      <c r="BH18" s="80" t="s">
        <v>282</v>
      </c>
      <c r="BI18" s="80" t="s">
        <v>283</v>
      </c>
      <c r="BJ18" s="96" t="s">
        <v>284</v>
      </c>
      <c r="BM18" s="95" t="s">
        <v>203</v>
      </c>
      <c r="BN18" s="80" t="s">
        <v>281</v>
      </c>
      <c r="BO18" s="80" t="s">
        <v>282</v>
      </c>
      <c r="BP18" s="80" t="s">
        <v>283</v>
      </c>
      <c r="BQ18" s="96" t="s">
        <v>284</v>
      </c>
      <c r="BT18" s="95" t="s">
        <v>203</v>
      </c>
      <c r="BU18" s="80" t="s">
        <v>281</v>
      </c>
      <c r="BV18" s="80" t="s">
        <v>282</v>
      </c>
      <c r="BW18" s="80" t="s">
        <v>283</v>
      </c>
      <c r="BX18" s="96" t="s">
        <v>284</v>
      </c>
      <c r="CA18" s="95" t="s">
        <v>203</v>
      </c>
      <c r="CB18" s="80" t="s">
        <v>281</v>
      </c>
      <c r="CC18" s="80" t="s">
        <v>282</v>
      </c>
      <c r="CD18" s="80" t="s">
        <v>283</v>
      </c>
      <c r="CE18" s="96" t="s">
        <v>284</v>
      </c>
      <c r="CH18" s="95" t="s">
        <v>203</v>
      </c>
      <c r="CI18" s="80" t="s">
        <v>281</v>
      </c>
      <c r="CJ18" s="80" t="s">
        <v>282</v>
      </c>
      <c r="CK18" s="80" t="s">
        <v>283</v>
      </c>
      <c r="CL18" s="96" t="s">
        <v>284</v>
      </c>
      <c r="CO18" s="95" t="s">
        <v>203</v>
      </c>
      <c r="CP18" s="80" t="s">
        <v>281</v>
      </c>
      <c r="CQ18" s="80" t="s">
        <v>282</v>
      </c>
      <c r="CR18" s="80" t="s">
        <v>283</v>
      </c>
      <c r="CS18" s="96" t="s">
        <v>284</v>
      </c>
      <c r="CV18" s="95" t="s">
        <v>203</v>
      </c>
      <c r="CW18" s="80" t="s">
        <v>281</v>
      </c>
      <c r="CX18" s="80" t="s">
        <v>282</v>
      </c>
      <c r="CY18" s="80" t="s">
        <v>283</v>
      </c>
      <c r="CZ18" s="96" t="s">
        <v>284</v>
      </c>
      <c r="DC18" s="95" t="s">
        <v>203</v>
      </c>
      <c r="DD18" s="80" t="s">
        <v>281</v>
      </c>
      <c r="DE18" s="80" t="s">
        <v>282</v>
      </c>
      <c r="DF18" s="80" t="s">
        <v>283</v>
      </c>
      <c r="DG18" s="96" t="s">
        <v>284</v>
      </c>
      <c r="DJ18" s="95" t="s">
        <v>203</v>
      </c>
      <c r="DK18" s="80" t="s">
        <v>281</v>
      </c>
      <c r="DL18" s="80" t="s">
        <v>282</v>
      </c>
      <c r="DM18" s="80" t="s">
        <v>283</v>
      </c>
      <c r="DN18" s="96" t="s">
        <v>284</v>
      </c>
      <c r="DQ18" s="95" t="s">
        <v>203</v>
      </c>
      <c r="DR18" s="80" t="s">
        <v>281</v>
      </c>
      <c r="DS18" s="80" t="s">
        <v>282</v>
      </c>
      <c r="DT18" s="80" t="s">
        <v>283</v>
      </c>
      <c r="DU18" s="96" t="s">
        <v>284</v>
      </c>
    </row>
    <row r="19" spans="2:125" ht="16.5" x14ac:dyDescent="0.25">
      <c r="B19" s="97" t="str">
        <f t="shared" ref="B19:B26" ca="1" si="17">IFERROR(INDEX(Budget_ID_Liste, ROW() - 18), "")</f>
        <v/>
      </c>
      <c r="C19" s="20"/>
      <c r="D19" s="77">
        <f t="shared" ref="D19:D26" si="18">IFERROR(ROUND(C19/FB_Kurs_1,2),0)</f>
        <v>0</v>
      </c>
      <c r="E19" s="76">
        <f t="shared" ref="E19:F26" si="19">IFERROR(C19, 0)</f>
        <v>0</v>
      </c>
      <c r="F19" s="92">
        <f t="shared" si="19"/>
        <v>0</v>
      </c>
      <c r="I19" s="97" t="str">
        <f t="shared" ref="I19:I26" ca="1" si="20">IFERROR(INDEX(Budget_ID_Liste, ROW() - 18), "")</f>
        <v/>
      </c>
      <c r="J19" s="20"/>
      <c r="K19" s="77">
        <f t="shared" ref="K19:K26" si="21">IFERROR(ROUND(J19/FB_Kurs_2,2),0)</f>
        <v>0</v>
      </c>
      <c r="L19" s="76">
        <f t="shared" ref="L19:L26" ca="1" si="22">IFERROR(J19 + SUMIFS($E$19:$E$26, $B$19:$B$26, I19), J19)</f>
        <v>0</v>
      </c>
      <c r="M19" s="92">
        <f t="shared" ref="M19:M26" ca="1" si="23">IFERROR(K19 + SUMIFS($F$19:$F$26, $B$19:$B$26, I19), K19)</f>
        <v>0</v>
      </c>
      <c r="P19" s="97" t="str">
        <f t="shared" ref="P19:P26" ca="1" si="24">IFERROR(INDEX(Budget_ID_Liste, ROW() - 18), "")</f>
        <v/>
      </c>
      <c r="Q19" s="20"/>
      <c r="R19" s="77">
        <f t="shared" ref="R19:R26" si="25">IFERROR(ROUND(Q19/FB_Kurs_3,2),0)</f>
        <v>0</v>
      </c>
      <c r="S19" s="76">
        <f t="shared" ref="S19:S26" ca="1" si="26">IFERROR(Q19 + SUMIFS($L$19:$L$26, $I$19:$I$26, P19), Q19)</f>
        <v>0</v>
      </c>
      <c r="T19" s="92">
        <f t="shared" ref="T19:T26" ca="1" si="27">IFERROR(R19 + SUMIFS($M$19:$M$26, $I$19:$I$26, P19), R19)</f>
        <v>0</v>
      </c>
      <c r="W19" s="97" t="str">
        <f t="shared" ref="W19:W26" ca="1" si="28">IFERROR(INDEX(Budget_ID_Liste, ROW() - 18), "")</f>
        <v/>
      </c>
      <c r="X19" s="20"/>
      <c r="Y19" s="77">
        <f t="shared" ref="Y19:Y26" si="29">IFERROR(ROUND(X19/FB_Kurs_4,2),0)</f>
        <v>0</v>
      </c>
      <c r="Z19" s="76">
        <f t="shared" ref="Z19:Z26" ca="1" si="30">IFERROR(X19 + SUMIFS($S$19:$S$26, $P$19:$P$26, W19), X19)</f>
        <v>0</v>
      </c>
      <c r="AA19" s="92">
        <f t="shared" ref="AA19:AA26" ca="1" si="31">IFERROR(Y19 + SUMIFS($T$19:$T$26, $P$19:$P$26, W19), Y19)</f>
        <v>0</v>
      </c>
      <c r="AD19" s="97" t="str">
        <f t="shared" ref="AD19:AD26" ca="1" si="32">IFERROR(INDEX(Budget_ID_Liste, ROW() - 18), "")</f>
        <v/>
      </c>
      <c r="AE19" s="20"/>
      <c r="AF19" s="77">
        <f t="shared" ref="AF19:AF26" si="33">IFERROR(ROUND(AE19/FB_Kurs_5,2),0)</f>
        <v>0</v>
      </c>
      <c r="AG19" s="76">
        <f t="shared" ref="AG19:AG26" ca="1" si="34">IFERROR(AE19 + SUMIFS($Z$19:$Z$26, $W$19:$W$26, AD19), AE19)</f>
        <v>0</v>
      </c>
      <c r="AH19" s="92">
        <f t="shared" ref="AH19:AH26" ca="1" si="35">IFERROR(AF19 + SUMIFS($AA$19:$AA$26, $W$19:$W$26, AD19), AF19)</f>
        <v>0</v>
      </c>
      <c r="AK19" s="97" t="str">
        <f t="shared" ref="AK19:AK26" ca="1" si="36">IFERROR(INDEX(Budget_ID_Liste, ROW() - 18), "")</f>
        <v/>
      </c>
      <c r="AL19" s="20"/>
      <c r="AM19" s="77">
        <f t="shared" ref="AM19:AM26" si="37">IFERROR(ROUND(AL19/FB_Kurs_6,2),0)</f>
        <v>0</v>
      </c>
      <c r="AN19" s="76">
        <f t="shared" ref="AN19:AN26" ca="1" si="38">IFERROR(AL19 + SUMIFS($AG$19:$AG$26, $AD$19:$AD$26, AK19), AL19)</f>
        <v>0</v>
      </c>
      <c r="AO19" s="92">
        <f t="shared" ref="AO19:AO26" ca="1" si="39">IFERROR(AM19 + SUMIFS($AH$19:$AH$26, $AD$19:$AD$26, AK19), AM19)</f>
        <v>0</v>
      </c>
      <c r="AR19" s="97" t="str">
        <f t="shared" ref="AR19:AR26" ca="1" si="40">IFERROR(INDEX(Budget_ID_Liste, ROW() - 18), "")</f>
        <v/>
      </c>
      <c r="AS19" s="20"/>
      <c r="AT19" s="77">
        <f t="shared" ref="AT19:AT26" si="41">IFERROR(ROUND(AS19/FB_Kurs_7,2),0)</f>
        <v>0</v>
      </c>
      <c r="AU19" s="76">
        <f t="shared" ref="AU19:AU26" ca="1" si="42">IFERROR(AS19 + SUMIFS($AN$19:$AN$26, $AK$19:$AK$26, AR19), AS19)</f>
        <v>0</v>
      </c>
      <c r="AV19" s="92">
        <f t="shared" ref="AV19:AV26" ca="1" si="43">IFERROR(AT19 + SUMIFS($AO$19:$AO$26, $AK$19:$AK$26, AR19), AT19)</f>
        <v>0</v>
      </c>
      <c r="AY19" s="97" t="str">
        <f t="shared" ref="AY19:AY26" ca="1" si="44">IFERROR(INDEX(Budget_ID_Liste, ROW() - 18), "")</f>
        <v/>
      </c>
      <c r="AZ19" s="20"/>
      <c r="BA19" s="77">
        <f t="shared" ref="BA19:BA26" si="45">IFERROR(ROUND(AZ19/FB_Kurs_8,2),0)</f>
        <v>0</v>
      </c>
      <c r="BB19" s="76">
        <f t="shared" ref="BB19:BB26" ca="1" si="46">IFERROR(AZ19 + SUMIFS($AU$19:$AU$26, $AR$19:$AR$26, AY19), AZ19)</f>
        <v>0</v>
      </c>
      <c r="BC19" s="92">
        <f t="shared" ref="BC19:BC26" ca="1" si="47">IFERROR(BA19 + SUMIFS($AV$19:$AV$26, $AR$19:$AR$26, AY19), BA19)</f>
        <v>0</v>
      </c>
      <c r="BF19" s="97" t="str">
        <f t="shared" ref="BF19:BF26" ca="1" si="48">IFERROR(INDEX(Budget_ID_Liste, ROW() - 18), "")</f>
        <v/>
      </c>
      <c r="BG19" s="20"/>
      <c r="BH19" s="77">
        <f t="shared" ref="BH19:BH26" si="49">IFERROR(ROUND(BG19/FB_Kurs_9,2),0)</f>
        <v>0</v>
      </c>
      <c r="BI19" s="76">
        <f t="shared" ref="BI19:BI26" ca="1" si="50">IFERROR(BG19 + SUMIFS($BB$19:$BB$26, $AY$19:$AY$26, BF19), BG19)</f>
        <v>0</v>
      </c>
      <c r="BJ19" s="92">
        <f t="shared" ref="BJ19:BJ26" ca="1" si="51">IFERROR(BH19 + SUMIFS($BC$19:$BC$26, $AY$19:$AY$26, BF19), BH19)</f>
        <v>0</v>
      </c>
      <c r="BM19" s="97" t="str">
        <f t="shared" ref="BM19:BM26" ca="1" si="52">IFERROR(INDEX(Budget_ID_Liste, ROW() - 18), "")</f>
        <v/>
      </c>
      <c r="BN19" s="20"/>
      <c r="BO19" s="77">
        <f t="shared" ref="BO19:BO26" si="53">IFERROR(ROUND(BN19/FB_Kurs_10,2),0)</f>
        <v>0</v>
      </c>
      <c r="BP19" s="76">
        <f t="shared" ref="BP19:BP26" ca="1" si="54">IFERROR(BN19 + SUMIFS($BI$19:$BI$26, $BF$19:$BF$26, BM19), BN19)</f>
        <v>0</v>
      </c>
      <c r="BQ19" s="92">
        <f t="shared" ref="BQ19:BQ26" ca="1" si="55">IFERROR(BO19 + SUMIFS($BJ$19:$BJ$26, $BF$19:$BF$26, BM19), BO19)</f>
        <v>0</v>
      </c>
      <c r="BT19" s="97" t="str">
        <f t="shared" ref="BT19:BT26" ca="1" si="56">IFERROR(INDEX(Budget_ID_Liste, ROW() - 18), "")</f>
        <v/>
      </c>
      <c r="BU19" s="20"/>
      <c r="BV19" s="77">
        <f t="shared" ref="BV19:BV26" si="57">IFERROR(ROUND(BU19/FB_Kurs_11,2),0)</f>
        <v>0</v>
      </c>
      <c r="BW19" s="76">
        <f t="shared" ref="BW19:BW26" ca="1" si="58">IFERROR(BU19 + SUMIFS($BP$19:$BP$26, $BM$19:$BM$26, BT19), BU19)</f>
        <v>0</v>
      </c>
      <c r="BX19" s="92">
        <f t="shared" ref="BX19:BX26" ca="1" si="59">IFERROR(BV19 + SUMIFS($BQ$19:$BQ$26, $BM$19:$BM$26, BT19), BV19)</f>
        <v>0</v>
      </c>
      <c r="CA19" s="97" t="str">
        <f t="shared" ref="CA19:CA26" ca="1" si="60">IFERROR(INDEX(Budget_ID_Liste, ROW() - 18), "")</f>
        <v/>
      </c>
      <c r="CB19" s="20"/>
      <c r="CC19" s="77">
        <f t="shared" ref="CC19:CC26" si="61">IFERROR(ROUND(CB19/FB_Kurs_12,2),0)</f>
        <v>0</v>
      </c>
      <c r="CD19" s="76">
        <f t="shared" ref="CD19:CD26" ca="1" si="62">IFERROR(CB19 + SUMIFS($BW$19:$BW$26, $BT$19:$BT$26, CA19), CB19)</f>
        <v>0</v>
      </c>
      <c r="CE19" s="92">
        <f t="shared" ref="CE19:CE26" ca="1" si="63">IFERROR(CC19 + SUMIFS($BX$19:$BX$26, $BT$19:$BT$26, CA19), CC19)</f>
        <v>0</v>
      </c>
      <c r="CH19" s="97" t="str">
        <f t="shared" ref="CH19:CH26" ca="1" si="64">IFERROR(INDEX(Budget_ID_Liste, ROW() - 18), "")</f>
        <v/>
      </c>
      <c r="CI19" s="20"/>
      <c r="CJ19" s="77">
        <f t="shared" ref="CJ19:CJ26" si="65">IFERROR(ROUND(CI19/FB_Kurs_13,2),0)</f>
        <v>0</v>
      </c>
      <c r="CK19" s="76">
        <f t="shared" ref="CK19:CK26" ca="1" si="66">IFERROR(CI19 + SUMIFS($CD$19:$CD$26, $CA$19:$CA$26, CH19), CI19)</f>
        <v>0</v>
      </c>
      <c r="CL19" s="92">
        <f t="shared" ref="CL19:CL26" ca="1" si="67">IFERROR(CJ19 + SUMIFS($CE$19:$CE$26, $CA$19:$CA$26, CH19), CJ19)</f>
        <v>0</v>
      </c>
      <c r="CO19" s="97" t="str">
        <f t="shared" ref="CO19:CO26" ca="1" si="68">IFERROR(INDEX(Budget_ID_Liste, ROW() - 18), "")</f>
        <v/>
      </c>
      <c r="CP19" s="20"/>
      <c r="CQ19" s="77">
        <f t="shared" ref="CQ19:CQ26" si="69">IFERROR(ROUND(CP19/FB_Kurs_14,2),0)</f>
        <v>0</v>
      </c>
      <c r="CR19" s="76">
        <f t="shared" ref="CR19:CR26" ca="1" si="70">IFERROR(CP19 + SUMIFS($CK$19:$CK$26, $CH$19:$CH$26, CO19), CP19)</f>
        <v>0</v>
      </c>
      <c r="CS19" s="92">
        <f t="shared" ref="CS19:CS26" ca="1" si="71">IFERROR(CQ19 + SUMIFS($CL$19:$CL$26, $CH$19:$CH$26, CO19), CQ19)</f>
        <v>0</v>
      </c>
      <c r="CV19" s="97" t="str">
        <f t="shared" ref="CV19:CV26" ca="1" si="72">IFERROR(INDEX(Budget_ID_Liste, ROW() - 18), "")</f>
        <v/>
      </c>
      <c r="CW19" s="20"/>
      <c r="CX19" s="77">
        <f t="shared" ref="CX19:CX26" si="73">IFERROR(ROUND(CW19/FB_Kurs_15,2),0)</f>
        <v>0</v>
      </c>
      <c r="CY19" s="76">
        <f t="shared" ref="CY19:CY26" ca="1" si="74">IFERROR(CW19 + SUMIFS($CR$19:$CR$26, $CO$19:$CO$26, CV19), CW19)</f>
        <v>0</v>
      </c>
      <c r="CZ19" s="92">
        <f t="shared" ref="CZ19:CZ26" ca="1" si="75">IFERROR(CX19 + SUMIFS($CS$19:$CS$26, $CO$19:$CO$26, CV19), CX19)</f>
        <v>0</v>
      </c>
      <c r="DC19" s="97" t="str">
        <f t="shared" ref="DC19:DC26" ca="1" si="76">IFERROR(INDEX(Budget_ID_Liste, ROW() - 18), "")</f>
        <v/>
      </c>
      <c r="DD19" s="20"/>
      <c r="DE19" s="77">
        <f t="shared" ref="DE19:DE26" si="77">IFERROR(ROUND(DD19/FB_Kurs_16,2),0)</f>
        <v>0</v>
      </c>
      <c r="DF19" s="76">
        <f t="shared" ref="DF19:DF26" ca="1" si="78">IFERROR(DD19 + SUMIFS($CY$19:$CY$26, $CV$19:$CV$26, DC19), DD19)</f>
        <v>0</v>
      </c>
      <c r="DG19" s="92">
        <f t="shared" ref="DG19:DG26" ca="1" si="79">IFERROR(DE19 + SUMIFS($CZ$19:$CZ$26, $CV$19:$CV$26, DC19), DE19)</f>
        <v>0</v>
      </c>
      <c r="DJ19" s="97" t="str">
        <f t="shared" ref="DJ19:DJ26" ca="1" si="80">IFERROR(INDEX(Budget_ID_Liste, ROW() - 18), "")</f>
        <v/>
      </c>
      <c r="DK19" s="20"/>
      <c r="DL19" s="77">
        <f t="shared" ref="DL19:DL26" si="81">IFERROR(ROUND(DK19/FB_Kurs_17,2),0)</f>
        <v>0</v>
      </c>
      <c r="DM19" s="76">
        <f t="shared" ref="DM19:DM26" ca="1" si="82">IFERROR(DK19 + SUMIFS($DF$19:$DF$26, $DC$19:$DC$26, DJ19), DK19)</f>
        <v>0</v>
      </c>
      <c r="DN19" s="92">
        <f t="shared" ref="DN19:DN26" ca="1" si="83">IFERROR(DL19 + SUMIFS($DG$19:$DG$26, $DC$19:$DC$26, DJ19), DL19)</f>
        <v>0</v>
      </c>
      <c r="DQ19" s="97" t="str">
        <f t="shared" ref="DQ19:DQ26" ca="1" si="84">IFERROR(INDEX(Budget_ID_Liste, ROW() - 18), "")</f>
        <v/>
      </c>
      <c r="DR19" s="20"/>
      <c r="DS19" s="77">
        <f t="shared" ref="DS19:DS26" si="85">IFERROR(ROUND(DR19/FB_Kurs_18,2),0)</f>
        <v>0</v>
      </c>
      <c r="DT19" s="76">
        <f t="shared" ref="DT19:DT26" ca="1" si="86">IFERROR(DR19 + SUMIFS($DM$19:$DM$26, $DJ$19:$DJ$26, DQ19), DR19)</f>
        <v>0</v>
      </c>
      <c r="DU19" s="92">
        <f t="shared" ref="DU19:DU26" ca="1" si="87">IFERROR(DS19 + SUMIFS($DN$19:$DN$26, $DJ$19:$DJ$26, DQ19), DS19)</f>
        <v>0</v>
      </c>
    </row>
    <row r="20" spans="2:125" ht="16.5" x14ac:dyDescent="0.25">
      <c r="B20" s="97" t="str">
        <f t="shared" ca="1" si="17"/>
        <v/>
      </c>
      <c r="C20" s="20"/>
      <c r="D20" s="77">
        <f t="shared" si="18"/>
        <v>0</v>
      </c>
      <c r="E20" s="76">
        <f t="shared" si="19"/>
        <v>0</v>
      </c>
      <c r="F20" s="92">
        <f t="shared" si="19"/>
        <v>0</v>
      </c>
      <c r="I20" s="97" t="str">
        <f t="shared" ca="1" si="20"/>
        <v/>
      </c>
      <c r="J20" s="20"/>
      <c r="K20" s="77">
        <f t="shared" si="21"/>
        <v>0</v>
      </c>
      <c r="L20" s="76">
        <f t="shared" ca="1" si="22"/>
        <v>0</v>
      </c>
      <c r="M20" s="92">
        <f t="shared" ca="1" si="23"/>
        <v>0</v>
      </c>
      <c r="P20" s="97" t="str">
        <f t="shared" ca="1" si="24"/>
        <v/>
      </c>
      <c r="Q20" s="20"/>
      <c r="R20" s="77">
        <f t="shared" si="25"/>
        <v>0</v>
      </c>
      <c r="S20" s="76">
        <f t="shared" ca="1" si="26"/>
        <v>0</v>
      </c>
      <c r="T20" s="92">
        <f t="shared" ca="1" si="27"/>
        <v>0</v>
      </c>
      <c r="W20" s="97" t="str">
        <f t="shared" ca="1" si="28"/>
        <v/>
      </c>
      <c r="X20" s="20"/>
      <c r="Y20" s="77">
        <f t="shared" si="29"/>
        <v>0</v>
      </c>
      <c r="Z20" s="76">
        <f t="shared" ca="1" si="30"/>
        <v>0</v>
      </c>
      <c r="AA20" s="92">
        <f t="shared" ca="1" si="31"/>
        <v>0</v>
      </c>
      <c r="AD20" s="97" t="str">
        <f t="shared" ca="1" si="32"/>
        <v/>
      </c>
      <c r="AE20" s="20"/>
      <c r="AF20" s="77">
        <f t="shared" si="33"/>
        <v>0</v>
      </c>
      <c r="AG20" s="76">
        <f t="shared" ca="1" si="34"/>
        <v>0</v>
      </c>
      <c r="AH20" s="92">
        <f t="shared" ca="1" si="35"/>
        <v>0</v>
      </c>
      <c r="AK20" s="97" t="str">
        <f t="shared" ca="1" si="36"/>
        <v/>
      </c>
      <c r="AL20" s="20"/>
      <c r="AM20" s="77">
        <f t="shared" si="37"/>
        <v>0</v>
      </c>
      <c r="AN20" s="76">
        <f t="shared" ca="1" si="38"/>
        <v>0</v>
      </c>
      <c r="AO20" s="92">
        <f t="shared" ca="1" si="39"/>
        <v>0</v>
      </c>
      <c r="AR20" s="97" t="str">
        <f t="shared" ca="1" si="40"/>
        <v/>
      </c>
      <c r="AS20" s="20"/>
      <c r="AT20" s="77">
        <f t="shared" si="41"/>
        <v>0</v>
      </c>
      <c r="AU20" s="76">
        <f t="shared" ca="1" si="42"/>
        <v>0</v>
      </c>
      <c r="AV20" s="92">
        <f t="shared" ca="1" si="43"/>
        <v>0</v>
      </c>
      <c r="AY20" s="97" t="str">
        <f t="shared" ca="1" si="44"/>
        <v/>
      </c>
      <c r="AZ20" s="20"/>
      <c r="BA20" s="77">
        <f t="shared" si="45"/>
        <v>0</v>
      </c>
      <c r="BB20" s="76">
        <f t="shared" ca="1" si="46"/>
        <v>0</v>
      </c>
      <c r="BC20" s="92">
        <f t="shared" ca="1" si="47"/>
        <v>0</v>
      </c>
      <c r="BF20" s="97" t="str">
        <f t="shared" ca="1" si="48"/>
        <v/>
      </c>
      <c r="BG20" s="20"/>
      <c r="BH20" s="77">
        <f t="shared" si="49"/>
        <v>0</v>
      </c>
      <c r="BI20" s="76">
        <f t="shared" ca="1" si="50"/>
        <v>0</v>
      </c>
      <c r="BJ20" s="92">
        <f t="shared" ca="1" si="51"/>
        <v>0</v>
      </c>
      <c r="BM20" s="97" t="str">
        <f t="shared" ca="1" si="52"/>
        <v/>
      </c>
      <c r="BN20" s="20"/>
      <c r="BO20" s="77">
        <f t="shared" si="53"/>
        <v>0</v>
      </c>
      <c r="BP20" s="76">
        <f t="shared" ca="1" si="54"/>
        <v>0</v>
      </c>
      <c r="BQ20" s="92">
        <f t="shared" ca="1" si="55"/>
        <v>0</v>
      </c>
      <c r="BT20" s="97" t="str">
        <f t="shared" ca="1" si="56"/>
        <v/>
      </c>
      <c r="BU20" s="20"/>
      <c r="BV20" s="77">
        <f t="shared" si="57"/>
        <v>0</v>
      </c>
      <c r="BW20" s="76">
        <f t="shared" ca="1" si="58"/>
        <v>0</v>
      </c>
      <c r="BX20" s="92">
        <f t="shared" ca="1" si="59"/>
        <v>0</v>
      </c>
      <c r="CA20" s="97" t="str">
        <f t="shared" ca="1" si="60"/>
        <v/>
      </c>
      <c r="CB20" s="20"/>
      <c r="CC20" s="77">
        <f t="shared" si="61"/>
        <v>0</v>
      </c>
      <c r="CD20" s="76">
        <f t="shared" ca="1" si="62"/>
        <v>0</v>
      </c>
      <c r="CE20" s="92">
        <f t="shared" ca="1" si="63"/>
        <v>0</v>
      </c>
      <c r="CH20" s="97" t="str">
        <f t="shared" ca="1" si="64"/>
        <v/>
      </c>
      <c r="CI20" s="20"/>
      <c r="CJ20" s="77">
        <f t="shared" si="65"/>
        <v>0</v>
      </c>
      <c r="CK20" s="76">
        <f t="shared" ca="1" si="66"/>
        <v>0</v>
      </c>
      <c r="CL20" s="92">
        <f t="shared" ca="1" si="67"/>
        <v>0</v>
      </c>
      <c r="CO20" s="97" t="str">
        <f t="shared" ca="1" si="68"/>
        <v/>
      </c>
      <c r="CP20" s="20"/>
      <c r="CQ20" s="77">
        <f t="shared" si="69"/>
        <v>0</v>
      </c>
      <c r="CR20" s="76">
        <f t="shared" ca="1" si="70"/>
        <v>0</v>
      </c>
      <c r="CS20" s="92">
        <f t="shared" ca="1" si="71"/>
        <v>0</v>
      </c>
      <c r="CV20" s="97" t="str">
        <f t="shared" ca="1" si="72"/>
        <v/>
      </c>
      <c r="CW20" s="20"/>
      <c r="CX20" s="77">
        <f t="shared" si="73"/>
        <v>0</v>
      </c>
      <c r="CY20" s="76">
        <f t="shared" ca="1" si="74"/>
        <v>0</v>
      </c>
      <c r="CZ20" s="92">
        <f t="shared" ca="1" si="75"/>
        <v>0</v>
      </c>
      <c r="DC20" s="97" t="str">
        <f t="shared" ca="1" si="76"/>
        <v/>
      </c>
      <c r="DD20" s="20"/>
      <c r="DE20" s="77">
        <f t="shared" si="77"/>
        <v>0</v>
      </c>
      <c r="DF20" s="76">
        <f t="shared" ca="1" si="78"/>
        <v>0</v>
      </c>
      <c r="DG20" s="92">
        <f t="shared" ca="1" si="79"/>
        <v>0</v>
      </c>
      <c r="DJ20" s="97" t="str">
        <f t="shared" ca="1" si="80"/>
        <v/>
      </c>
      <c r="DK20" s="20"/>
      <c r="DL20" s="77">
        <f t="shared" si="81"/>
        <v>0</v>
      </c>
      <c r="DM20" s="76">
        <f t="shared" ca="1" si="82"/>
        <v>0</v>
      </c>
      <c r="DN20" s="92">
        <f t="shared" ca="1" si="83"/>
        <v>0</v>
      </c>
      <c r="DQ20" s="97" t="str">
        <f t="shared" ca="1" si="84"/>
        <v/>
      </c>
      <c r="DR20" s="20"/>
      <c r="DS20" s="77">
        <f t="shared" si="85"/>
        <v>0</v>
      </c>
      <c r="DT20" s="76">
        <f t="shared" ca="1" si="86"/>
        <v>0</v>
      </c>
      <c r="DU20" s="92">
        <f t="shared" ca="1" si="87"/>
        <v>0</v>
      </c>
    </row>
    <row r="21" spans="2:125" ht="16.5" x14ac:dyDescent="0.25">
      <c r="B21" s="97" t="str">
        <f t="shared" ca="1" si="17"/>
        <v/>
      </c>
      <c r="C21" s="20"/>
      <c r="D21" s="77">
        <f t="shared" si="18"/>
        <v>0</v>
      </c>
      <c r="E21" s="76">
        <f t="shared" si="19"/>
        <v>0</v>
      </c>
      <c r="F21" s="92">
        <f t="shared" si="19"/>
        <v>0</v>
      </c>
      <c r="I21" s="97" t="str">
        <f t="shared" ca="1" si="20"/>
        <v/>
      </c>
      <c r="J21" s="20"/>
      <c r="K21" s="77">
        <f t="shared" si="21"/>
        <v>0</v>
      </c>
      <c r="L21" s="76">
        <f t="shared" ca="1" si="22"/>
        <v>0</v>
      </c>
      <c r="M21" s="92">
        <f t="shared" ca="1" si="23"/>
        <v>0</v>
      </c>
      <c r="P21" s="97" t="str">
        <f t="shared" ca="1" si="24"/>
        <v/>
      </c>
      <c r="Q21" s="20"/>
      <c r="R21" s="77">
        <f t="shared" si="25"/>
        <v>0</v>
      </c>
      <c r="S21" s="76">
        <f t="shared" ca="1" si="26"/>
        <v>0</v>
      </c>
      <c r="T21" s="92">
        <f t="shared" ca="1" si="27"/>
        <v>0</v>
      </c>
      <c r="W21" s="97" t="str">
        <f t="shared" ca="1" si="28"/>
        <v/>
      </c>
      <c r="X21" s="20"/>
      <c r="Y21" s="77">
        <f t="shared" si="29"/>
        <v>0</v>
      </c>
      <c r="Z21" s="76">
        <f t="shared" ca="1" si="30"/>
        <v>0</v>
      </c>
      <c r="AA21" s="92">
        <f t="shared" ca="1" si="31"/>
        <v>0</v>
      </c>
      <c r="AD21" s="97" t="str">
        <f t="shared" ca="1" si="32"/>
        <v/>
      </c>
      <c r="AE21" s="20"/>
      <c r="AF21" s="77">
        <f t="shared" si="33"/>
        <v>0</v>
      </c>
      <c r="AG21" s="76">
        <f t="shared" ca="1" si="34"/>
        <v>0</v>
      </c>
      <c r="AH21" s="92">
        <f t="shared" ca="1" si="35"/>
        <v>0</v>
      </c>
      <c r="AK21" s="97" t="str">
        <f t="shared" ca="1" si="36"/>
        <v/>
      </c>
      <c r="AL21" s="20"/>
      <c r="AM21" s="77">
        <f t="shared" si="37"/>
        <v>0</v>
      </c>
      <c r="AN21" s="76">
        <f t="shared" ca="1" si="38"/>
        <v>0</v>
      </c>
      <c r="AO21" s="92">
        <f t="shared" ca="1" si="39"/>
        <v>0</v>
      </c>
      <c r="AR21" s="97" t="str">
        <f t="shared" ca="1" si="40"/>
        <v/>
      </c>
      <c r="AS21" s="20"/>
      <c r="AT21" s="77">
        <f t="shared" si="41"/>
        <v>0</v>
      </c>
      <c r="AU21" s="76">
        <f t="shared" ca="1" si="42"/>
        <v>0</v>
      </c>
      <c r="AV21" s="92">
        <f t="shared" ca="1" si="43"/>
        <v>0</v>
      </c>
      <c r="AY21" s="97" t="str">
        <f t="shared" ca="1" si="44"/>
        <v/>
      </c>
      <c r="AZ21" s="20"/>
      <c r="BA21" s="77">
        <f t="shared" si="45"/>
        <v>0</v>
      </c>
      <c r="BB21" s="76">
        <f t="shared" ca="1" si="46"/>
        <v>0</v>
      </c>
      <c r="BC21" s="92">
        <f t="shared" ca="1" si="47"/>
        <v>0</v>
      </c>
      <c r="BF21" s="97" t="str">
        <f t="shared" ca="1" si="48"/>
        <v/>
      </c>
      <c r="BG21" s="20"/>
      <c r="BH21" s="77">
        <f t="shared" si="49"/>
        <v>0</v>
      </c>
      <c r="BI21" s="76">
        <f t="shared" ca="1" si="50"/>
        <v>0</v>
      </c>
      <c r="BJ21" s="92">
        <f t="shared" ca="1" si="51"/>
        <v>0</v>
      </c>
      <c r="BM21" s="97" t="str">
        <f t="shared" ca="1" si="52"/>
        <v/>
      </c>
      <c r="BN21" s="20"/>
      <c r="BO21" s="77">
        <f t="shared" si="53"/>
        <v>0</v>
      </c>
      <c r="BP21" s="76">
        <f t="shared" ca="1" si="54"/>
        <v>0</v>
      </c>
      <c r="BQ21" s="92">
        <f t="shared" ca="1" si="55"/>
        <v>0</v>
      </c>
      <c r="BT21" s="97" t="str">
        <f t="shared" ca="1" si="56"/>
        <v/>
      </c>
      <c r="BU21" s="20"/>
      <c r="BV21" s="77">
        <f t="shared" si="57"/>
        <v>0</v>
      </c>
      <c r="BW21" s="76">
        <f t="shared" ca="1" si="58"/>
        <v>0</v>
      </c>
      <c r="BX21" s="92">
        <f t="shared" ca="1" si="59"/>
        <v>0</v>
      </c>
      <c r="CA21" s="97" t="str">
        <f t="shared" ca="1" si="60"/>
        <v/>
      </c>
      <c r="CB21" s="20"/>
      <c r="CC21" s="77">
        <f t="shared" si="61"/>
        <v>0</v>
      </c>
      <c r="CD21" s="76">
        <f t="shared" ca="1" si="62"/>
        <v>0</v>
      </c>
      <c r="CE21" s="92">
        <f t="shared" ca="1" si="63"/>
        <v>0</v>
      </c>
      <c r="CH21" s="97" t="str">
        <f t="shared" ca="1" si="64"/>
        <v/>
      </c>
      <c r="CI21" s="20"/>
      <c r="CJ21" s="77">
        <f t="shared" si="65"/>
        <v>0</v>
      </c>
      <c r="CK21" s="76">
        <f t="shared" ca="1" si="66"/>
        <v>0</v>
      </c>
      <c r="CL21" s="92">
        <f t="shared" ca="1" si="67"/>
        <v>0</v>
      </c>
      <c r="CO21" s="97" t="str">
        <f t="shared" ca="1" si="68"/>
        <v/>
      </c>
      <c r="CP21" s="20"/>
      <c r="CQ21" s="77">
        <f t="shared" si="69"/>
        <v>0</v>
      </c>
      <c r="CR21" s="76">
        <f t="shared" ca="1" si="70"/>
        <v>0</v>
      </c>
      <c r="CS21" s="92">
        <f t="shared" ca="1" si="71"/>
        <v>0</v>
      </c>
      <c r="CV21" s="97" t="str">
        <f t="shared" ca="1" si="72"/>
        <v/>
      </c>
      <c r="CW21" s="20"/>
      <c r="CX21" s="77">
        <f t="shared" si="73"/>
        <v>0</v>
      </c>
      <c r="CY21" s="76">
        <f t="shared" ca="1" si="74"/>
        <v>0</v>
      </c>
      <c r="CZ21" s="92">
        <f t="shared" ca="1" si="75"/>
        <v>0</v>
      </c>
      <c r="DC21" s="97" t="str">
        <f t="shared" ca="1" si="76"/>
        <v/>
      </c>
      <c r="DD21" s="20"/>
      <c r="DE21" s="77">
        <f t="shared" si="77"/>
        <v>0</v>
      </c>
      <c r="DF21" s="76">
        <f t="shared" ca="1" si="78"/>
        <v>0</v>
      </c>
      <c r="DG21" s="92">
        <f t="shared" ca="1" si="79"/>
        <v>0</v>
      </c>
      <c r="DJ21" s="97" t="str">
        <f t="shared" ca="1" si="80"/>
        <v/>
      </c>
      <c r="DK21" s="20"/>
      <c r="DL21" s="77">
        <f t="shared" si="81"/>
        <v>0</v>
      </c>
      <c r="DM21" s="76">
        <f t="shared" ca="1" si="82"/>
        <v>0</v>
      </c>
      <c r="DN21" s="92">
        <f t="shared" ca="1" si="83"/>
        <v>0</v>
      </c>
      <c r="DQ21" s="97" t="str">
        <f t="shared" ca="1" si="84"/>
        <v/>
      </c>
      <c r="DR21" s="20"/>
      <c r="DS21" s="77">
        <f t="shared" si="85"/>
        <v>0</v>
      </c>
      <c r="DT21" s="76">
        <f t="shared" ca="1" si="86"/>
        <v>0</v>
      </c>
      <c r="DU21" s="92">
        <f t="shared" ca="1" si="87"/>
        <v>0</v>
      </c>
    </row>
    <row r="22" spans="2:125" ht="16.5" x14ac:dyDescent="0.25">
      <c r="B22" s="97" t="str">
        <f t="shared" ca="1" si="17"/>
        <v/>
      </c>
      <c r="C22" s="20"/>
      <c r="D22" s="77">
        <f t="shared" si="18"/>
        <v>0</v>
      </c>
      <c r="E22" s="76">
        <f t="shared" si="19"/>
        <v>0</v>
      </c>
      <c r="F22" s="92">
        <f t="shared" si="19"/>
        <v>0</v>
      </c>
      <c r="I22" s="97" t="str">
        <f t="shared" ca="1" si="20"/>
        <v/>
      </c>
      <c r="J22" s="20"/>
      <c r="K22" s="77">
        <f t="shared" si="21"/>
        <v>0</v>
      </c>
      <c r="L22" s="76">
        <f t="shared" ca="1" si="22"/>
        <v>0</v>
      </c>
      <c r="M22" s="92">
        <f t="shared" ca="1" si="23"/>
        <v>0</v>
      </c>
      <c r="P22" s="97" t="str">
        <f t="shared" ca="1" si="24"/>
        <v/>
      </c>
      <c r="Q22" s="20"/>
      <c r="R22" s="77">
        <f t="shared" si="25"/>
        <v>0</v>
      </c>
      <c r="S22" s="76">
        <f t="shared" ca="1" si="26"/>
        <v>0</v>
      </c>
      <c r="T22" s="92">
        <f t="shared" ca="1" si="27"/>
        <v>0</v>
      </c>
      <c r="W22" s="97" t="str">
        <f t="shared" ca="1" si="28"/>
        <v/>
      </c>
      <c r="X22" s="20"/>
      <c r="Y22" s="77">
        <f t="shared" si="29"/>
        <v>0</v>
      </c>
      <c r="Z22" s="76">
        <f t="shared" ca="1" si="30"/>
        <v>0</v>
      </c>
      <c r="AA22" s="92">
        <f t="shared" ca="1" si="31"/>
        <v>0</v>
      </c>
      <c r="AD22" s="97" t="str">
        <f t="shared" ca="1" si="32"/>
        <v/>
      </c>
      <c r="AE22" s="20"/>
      <c r="AF22" s="77">
        <f t="shared" si="33"/>
        <v>0</v>
      </c>
      <c r="AG22" s="76">
        <f t="shared" ca="1" si="34"/>
        <v>0</v>
      </c>
      <c r="AH22" s="92">
        <f t="shared" ca="1" si="35"/>
        <v>0</v>
      </c>
      <c r="AK22" s="97" t="str">
        <f t="shared" ca="1" si="36"/>
        <v/>
      </c>
      <c r="AL22" s="20"/>
      <c r="AM22" s="77">
        <f t="shared" si="37"/>
        <v>0</v>
      </c>
      <c r="AN22" s="76">
        <f t="shared" ca="1" si="38"/>
        <v>0</v>
      </c>
      <c r="AO22" s="92">
        <f t="shared" ca="1" si="39"/>
        <v>0</v>
      </c>
      <c r="AR22" s="97" t="str">
        <f t="shared" ca="1" si="40"/>
        <v/>
      </c>
      <c r="AS22" s="20"/>
      <c r="AT22" s="77">
        <f t="shared" si="41"/>
        <v>0</v>
      </c>
      <c r="AU22" s="76">
        <f t="shared" ca="1" si="42"/>
        <v>0</v>
      </c>
      <c r="AV22" s="92">
        <f t="shared" ca="1" si="43"/>
        <v>0</v>
      </c>
      <c r="AY22" s="97" t="str">
        <f t="shared" ca="1" si="44"/>
        <v/>
      </c>
      <c r="AZ22" s="20"/>
      <c r="BA22" s="77">
        <f t="shared" si="45"/>
        <v>0</v>
      </c>
      <c r="BB22" s="76">
        <f t="shared" ca="1" si="46"/>
        <v>0</v>
      </c>
      <c r="BC22" s="92">
        <f t="shared" ca="1" si="47"/>
        <v>0</v>
      </c>
      <c r="BF22" s="97" t="str">
        <f t="shared" ca="1" si="48"/>
        <v/>
      </c>
      <c r="BG22" s="20"/>
      <c r="BH22" s="77">
        <f t="shared" si="49"/>
        <v>0</v>
      </c>
      <c r="BI22" s="76">
        <f t="shared" ca="1" si="50"/>
        <v>0</v>
      </c>
      <c r="BJ22" s="92">
        <f t="shared" ca="1" si="51"/>
        <v>0</v>
      </c>
      <c r="BM22" s="97" t="str">
        <f t="shared" ca="1" si="52"/>
        <v/>
      </c>
      <c r="BN22" s="20"/>
      <c r="BO22" s="77">
        <f t="shared" si="53"/>
        <v>0</v>
      </c>
      <c r="BP22" s="76">
        <f t="shared" ca="1" si="54"/>
        <v>0</v>
      </c>
      <c r="BQ22" s="92">
        <f t="shared" ca="1" si="55"/>
        <v>0</v>
      </c>
      <c r="BT22" s="97" t="str">
        <f t="shared" ca="1" si="56"/>
        <v/>
      </c>
      <c r="BU22" s="20"/>
      <c r="BV22" s="77">
        <f t="shared" si="57"/>
        <v>0</v>
      </c>
      <c r="BW22" s="76">
        <f t="shared" ca="1" si="58"/>
        <v>0</v>
      </c>
      <c r="BX22" s="92">
        <f t="shared" ca="1" si="59"/>
        <v>0</v>
      </c>
      <c r="CA22" s="97" t="str">
        <f t="shared" ca="1" si="60"/>
        <v/>
      </c>
      <c r="CB22" s="20"/>
      <c r="CC22" s="77">
        <f t="shared" si="61"/>
        <v>0</v>
      </c>
      <c r="CD22" s="76">
        <f t="shared" ca="1" si="62"/>
        <v>0</v>
      </c>
      <c r="CE22" s="92">
        <f t="shared" ca="1" si="63"/>
        <v>0</v>
      </c>
      <c r="CH22" s="97" t="str">
        <f t="shared" ca="1" si="64"/>
        <v/>
      </c>
      <c r="CI22" s="20"/>
      <c r="CJ22" s="77">
        <f t="shared" si="65"/>
        <v>0</v>
      </c>
      <c r="CK22" s="76">
        <f t="shared" ca="1" si="66"/>
        <v>0</v>
      </c>
      <c r="CL22" s="92">
        <f t="shared" ca="1" si="67"/>
        <v>0</v>
      </c>
      <c r="CO22" s="97" t="str">
        <f t="shared" ca="1" si="68"/>
        <v/>
      </c>
      <c r="CP22" s="20"/>
      <c r="CQ22" s="77">
        <f t="shared" si="69"/>
        <v>0</v>
      </c>
      <c r="CR22" s="76">
        <f t="shared" ca="1" si="70"/>
        <v>0</v>
      </c>
      <c r="CS22" s="92">
        <f t="shared" ca="1" si="71"/>
        <v>0</v>
      </c>
      <c r="CV22" s="97" t="str">
        <f t="shared" ca="1" si="72"/>
        <v/>
      </c>
      <c r="CW22" s="20"/>
      <c r="CX22" s="77">
        <f t="shared" si="73"/>
        <v>0</v>
      </c>
      <c r="CY22" s="76">
        <f t="shared" ca="1" si="74"/>
        <v>0</v>
      </c>
      <c r="CZ22" s="92">
        <f t="shared" ca="1" si="75"/>
        <v>0</v>
      </c>
      <c r="DC22" s="97" t="str">
        <f t="shared" ca="1" si="76"/>
        <v/>
      </c>
      <c r="DD22" s="20"/>
      <c r="DE22" s="77">
        <f t="shared" si="77"/>
        <v>0</v>
      </c>
      <c r="DF22" s="76">
        <f t="shared" ca="1" si="78"/>
        <v>0</v>
      </c>
      <c r="DG22" s="92">
        <f t="shared" ca="1" si="79"/>
        <v>0</v>
      </c>
      <c r="DJ22" s="97" t="str">
        <f t="shared" ca="1" si="80"/>
        <v/>
      </c>
      <c r="DK22" s="20"/>
      <c r="DL22" s="77">
        <f t="shared" si="81"/>
        <v>0</v>
      </c>
      <c r="DM22" s="76">
        <f t="shared" ca="1" si="82"/>
        <v>0</v>
      </c>
      <c r="DN22" s="92">
        <f t="shared" ca="1" si="83"/>
        <v>0</v>
      </c>
      <c r="DQ22" s="97" t="str">
        <f t="shared" ca="1" si="84"/>
        <v/>
      </c>
      <c r="DR22" s="20"/>
      <c r="DS22" s="77">
        <f t="shared" si="85"/>
        <v>0</v>
      </c>
      <c r="DT22" s="76">
        <f t="shared" ca="1" si="86"/>
        <v>0</v>
      </c>
      <c r="DU22" s="92">
        <f t="shared" ca="1" si="87"/>
        <v>0</v>
      </c>
    </row>
    <row r="23" spans="2:125" ht="16.5" x14ac:dyDescent="0.25">
      <c r="B23" s="97" t="str">
        <f t="shared" ca="1" si="17"/>
        <v/>
      </c>
      <c r="C23" s="20"/>
      <c r="D23" s="77">
        <f t="shared" si="18"/>
        <v>0</v>
      </c>
      <c r="E23" s="76">
        <f t="shared" si="19"/>
        <v>0</v>
      </c>
      <c r="F23" s="92">
        <f t="shared" si="19"/>
        <v>0</v>
      </c>
      <c r="I23" s="97" t="str">
        <f t="shared" ca="1" si="20"/>
        <v/>
      </c>
      <c r="J23" s="20"/>
      <c r="K23" s="77">
        <f t="shared" si="21"/>
        <v>0</v>
      </c>
      <c r="L23" s="76">
        <f t="shared" ca="1" si="22"/>
        <v>0</v>
      </c>
      <c r="M23" s="92">
        <f t="shared" ca="1" si="23"/>
        <v>0</v>
      </c>
      <c r="P23" s="97" t="str">
        <f t="shared" ca="1" si="24"/>
        <v/>
      </c>
      <c r="Q23" s="20"/>
      <c r="R23" s="77">
        <f t="shared" si="25"/>
        <v>0</v>
      </c>
      <c r="S23" s="76">
        <f t="shared" ca="1" si="26"/>
        <v>0</v>
      </c>
      <c r="T23" s="92">
        <f t="shared" ca="1" si="27"/>
        <v>0</v>
      </c>
      <c r="W23" s="97" t="str">
        <f t="shared" ca="1" si="28"/>
        <v/>
      </c>
      <c r="X23" s="20"/>
      <c r="Y23" s="77">
        <f t="shared" si="29"/>
        <v>0</v>
      </c>
      <c r="Z23" s="76">
        <f t="shared" ca="1" si="30"/>
        <v>0</v>
      </c>
      <c r="AA23" s="92">
        <f t="shared" ca="1" si="31"/>
        <v>0</v>
      </c>
      <c r="AD23" s="97" t="str">
        <f t="shared" ca="1" si="32"/>
        <v/>
      </c>
      <c r="AE23" s="20"/>
      <c r="AF23" s="77">
        <f t="shared" si="33"/>
        <v>0</v>
      </c>
      <c r="AG23" s="76">
        <f t="shared" ca="1" si="34"/>
        <v>0</v>
      </c>
      <c r="AH23" s="92">
        <f t="shared" ca="1" si="35"/>
        <v>0</v>
      </c>
      <c r="AK23" s="97" t="str">
        <f t="shared" ca="1" si="36"/>
        <v/>
      </c>
      <c r="AL23" s="20"/>
      <c r="AM23" s="77">
        <f t="shared" si="37"/>
        <v>0</v>
      </c>
      <c r="AN23" s="76">
        <f t="shared" ca="1" si="38"/>
        <v>0</v>
      </c>
      <c r="AO23" s="92">
        <f t="shared" ca="1" si="39"/>
        <v>0</v>
      </c>
      <c r="AR23" s="97" t="str">
        <f t="shared" ca="1" si="40"/>
        <v/>
      </c>
      <c r="AS23" s="20"/>
      <c r="AT23" s="77">
        <f t="shared" si="41"/>
        <v>0</v>
      </c>
      <c r="AU23" s="76">
        <f t="shared" ca="1" si="42"/>
        <v>0</v>
      </c>
      <c r="AV23" s="92">
        <f t="shared" ca="1" si="43"/>
        <v>0</v>
      </c>
      <c r="AY23" s="97" t="str">
        <f t="shared" ca="1" si="44"/>
        <v/>
      </c>
      <c r="AZ23" s="20"/>
      <c r="BA23" s="77">
        <f t="shared" si="45"/>
        <v>0</v>
      </c>
      <c r="BB23" s="76">
        <f t="shared" ca="1" si="46"/>
        <v>0</v>
      </c>
      <c r="BC23" s="92">
        <f t="shared" ca="1" si="47"/>
        <v>0</v>
      </c>
      <c r="BF23" s="97" t="str">
        <f t="shared" ca="1" si="48"/>
        <v/>
      </c>
      <c r="BG23" s="20"/>
      <c r="BH23" s="77">
        <f t="shared" si="49"/>
        <v>0</v>
      </c>
      <c r="BI23" s="76">
        <f t="shared" ca="1" si="50"/>
        <v>0</v>
      </c>
      <c r="BJ23" s="92">
        <f t="shared" ca="1" si="51"/>
        <v>0</v>
      </c>
      <c r="BM23" s="97" t="str">
        <f t="shared" ca="1" si="52"/>
        <v/>
      </c>
      <c r="BN23" s="20"/>
      <c r="BO23" s="77">
        <f t="shared" si="53"/>
        <v>0</v>
      </c>
      <c r="BP23" s="76">
        <f t="shared" ca="1" si="54"/>
        <v>0</v>
      </c>
      <c r="BQ23" s="92">
        <f t="shared" ca="1" si="55"/>
        <v>0</v>
      </c>
      <c r="BT23" s="97" t="str">
        <f t="shared" ca="1" si="56"/>
        <v/>
      </c>
      <c r="BU23" s="20"/>
      <c r="BV23" s="77">
        <f t="shared" si="57"/>
        <v>0</v>
      </c>
      <c r="BW23" s="76">
        <f t="shared" ca="1" si="58"/>
        <v>0</v>
      </c>
      <c r="BX23" s="92">
        <f t="shared" ca="1" si="59"/>
        <v>0</v>
      </c>
      <c r="CA23" s="97" t="str">
        <f t="shared" ca="1" si="60"/>
        <v/>
      </c>
      <c r="CB23" s="20"/>
      <c r="CC23" s="77">
        <f t="shared" si="61"/>
        <v>0</v>
      </c>
      <c r="CD23" s="76">
        <f t="shared" ca="1" si="62"/>
        <v>0</v>
      </c>
      <c r="CE23" s="92">
        <f t="shared" ca="1" si="63"/>
        <v>0</v>
      </c>
      <c r="CH23" s="97" t="str">
        <f t="shared" ca="1" si="64"/>
        <v/>
      </c>
      <c r="CI23" s="20"/>
      <c r="CJ23" s="77">
        <f t="shared" si="65"/>
        <v>0</v>
      </c>
      <c r="CK23" s="76">
        <f t="shared" ca="1" si="66"/>
        <v>0</v>
      </c>
      <c r="CL23" s="92">
        <f t="shared" ca="1" si="67"/>
        <v>0</v>
      </c>
      <c r="CO23" s="97" t="str">
        <f t="shared" ca="1" si="68"/>
        <v/>
      </c>
      <c r="CP23" s="20"/>
      <c r="CQ23" s="77">
        <f t="shared" si="69"/>
        <v>0</v>
      </c>
      <c r="CR23" s="76">
        <f t="shared" ca="1" si="70"/>
        <v>0</v>
      </c>
      <c r="CS23" s="92">
        <f t="shared" ca="1" si="71"/>
        <v>0</v>
      </c>
      <c r="CV23" s="97" t="str">
        <f t="shared" ca="1" si="72"/>
        <v/>
      </c>
      <c r="CW23" s="20"/>
      <c r="CX23" s="77">
        <f t="shared" si="73"/>
        <v>0</v>
      </c>
      <c r="CY23" s="76">
        <f t="shared" ca="1" si="74"/>
        <v>0</v>
      </c>
      <c r="CZ23" s="92">
        <f t="shared" ca="1" si="75"/>
        <v>0</v>
      </c>
      <c r="DC23" s="97" t="str">
        <f t="shared" ca="1" si="76"/>
        <v/>
      </c>
      <c r="DD23" s="20"/>
      <c r="DE23" s="77">
        <f t="shared" si="77"/>
        <v>0</v>
      </c>
      <c r="DF23" s="76">
        <f t="shared" ca="1" si="78"/>
        <v>0</v>
      </c>
      <c r="DG23" s="92">
        <f t="shared" ca="1" si="79"/>
        <v>0</v>
      </c>
      <c r="DJ23" s="97" t="str">
        <f t="shared" ca="1" si="80"/>
        <v/>
      </c>
      <c r="DK23" s="20"/>
      <c r="DL23" s="77">
        <f t="shared" si="81"/>
        <v>0</v>
      </c>
      <c r="DM23" s="76">
        <f t="shared" ca="1" si="82"/>
        <v>0</v>
      </c>
      <c r="DN23" s="92">
        <f t="shared" ca="1" si="83"/>
        <v>0</v>
      </c>
      <c r="DQ23" s="97" t="str">
        <f t="shared" ca="1" si="84"/>
        <v/>
      </c>
      <c r="DR23" s="20"/>
      <c r="DS23" s="77">
        <f t="shared" si="85"/>
        <v>0</v>
      </c>
      <c r="DT23" s="76">
        <f t="shared" ca="1" si="86"/>
        <v>0</v>
      </c>
      <c r="DU23" s="92">
        <f t="shared" ca="1" si="87"/>
        <v>0</v>
      </c>
    </row>
    <row r="24" spans="2:125" ht="16.5" x14ac:dyDescent="0.25">
      <c r="B24" s="97" t="str">
        <f t="shared" ca="1" si="17"/>
        <v/>
      </c>
      <c r="C24" s="20"/>
      <c r="D24" s="77">
        <f t="shared" si="18"/>
        <v>0</v>
      </c>
      <c r="E24" s="76">
        <f t="shared" si="19"/>
        <v>0</v>
      </c>
      <c r="F24" s="92">
        <f t="shared" si="19"/>
        <v>0</v>
      </c>
      <c r="I24" s="97" t="str">
        <f t="shared" ca="1" si="20"/>
        <v/>
      </c>
      <c r="J24" s="20"/>
      <c r="K24" s="77">
        <f t="shared" si="21"/>
        <v>0</v>
      </c>
      <c r="L24" s="76">
        <f t="shared" ca="1" si="22"/>
        <v>0</v>
      </c>
      <c r="M24" s="92">
        <f t="shared" ca="1" si="23"/>
        <v>0</v>
      </c>
      <c r="P24" s="97" t="str">
        <f t="shared" ca="1" si="24"/>
        <v/>
      </c>
      <c r="Q24" s="20"/>
      <c r="R24" s="77">
        <f t="shared" si="25"/>
        <v>0</v>
      </c>
      <c r="S24" s="76">
        <f t="shared" ca="1" si="26"/>
        <v>0</v>
      </c>
      <c r="T24" s="92">
        <f t="shared" ca="1" si="27"/>
        <v>0</v>
      </c>
      <c r="W24" s="97" t="str">
        <f t="shared" ca="1" si="28"/>
        <v/>
      </c>
      <c r="X24" s="20"/>
      <c r="Y24" s="77">
        <f t="shared" si="29"/>
        <v>0</v>
      </c>
      <c r="Z24" s="76">
        <f t="shared" ca="1" si="30"/>
        <v>0</v>
      </c>
      <c r="AA24" s="92">
        <f t="shared" ca="1" si="31"/>
        <v>0</v>
      </c>
      <c r="AD24" s="97" t="str">
        <f t="shared" ca="1" si="32"/>
        <v/>
      </c>
      <c r="AE24" s="20"/>
      <c r="AF24" s="77">
        <f t="shared" si="33"/>
        <v>0</v>
      </c>
      <c r="AG24" s="76">
        <f t="shared" ca="1" si="34"/>
        <v>0</v>
      </c>
      <c r="AH24" s="92">
        <f t="shared" ca="1" si="35"/>
        <v>0</v>
      </c>
      <c r="AK24" s="97" t="str">
        <f t="shared" ca="1" si="36"/>
        <v/>
      </c>
      <c r="AL24" s="20"/>
      <c r="AM24" s="77">
        <f t="shared" si="37"/>
        <v>0</v>
      </c>
      <c r="AN24" s="76">
        <f t="shared" ca="1" si="38"/>
        <v>0</v>
      </c>
      <c r="AO24" s="92">
        <f t="shared" ca="1" si="39"/>
        <v>0</v>
      </c>
      <c r="AR24" s="97" t="str">
        <f t="shared" ca="1" si="40"/>
        <v/>
      </c>
      <c r="AS24" s="20"/>
      <c r="AT24" s="77">
        <f t="shared" si="41"/>
        <v>0</v>
      </c>
      <c r="AU24" s="76">
        <f t="shared" ca="1" si="42"/>
        <v>0</v>
      </c>
      <c r="AV24" s="92">
        <f t="shared" ca="1" si="43"/>
        <v>0</v>
      </c>
      <c r="AY24" s="97" t="str">
        <f t="shared" ca="1" si="44"/>
        <v/>
      </c>
      <c r="AZ24" s="20"/>
      <c r="BA24" s="77">
        <f t="shared" si="45"/>
        <v>0</v>
      </c>
      <c r="BB24" s="76">
        <f t="shared" ca="1" si="46"/>
        <v>0</v>
      </c>
      <c r="BC24" s="92">
        <f t="shared" ca="1" si="47"/>
        <v>0</v>
      </c>
      <c r="BF24" s="97" t="str">
        <f t="shared" ca="1" si="48"/>
        <v/>
      </c>
      <c r="BG24" s="20"/>
      <c r="BH24" s="77">
        <f t="shared" si="49"/>
        <v>0</v>
      </c>
      <c r="BI24" s="76">
        <f t="shared" ca="1" si="50"/>
        <v>0</v>
      </c>
      <c r="BJ24" s="92">
        <f t="shared" ca="1" si="51"/>
        <v>0</v>
      </c>
      <c r="BM24" s="97" t="str">
        <f t="shared" ca="1" si="52"/>
        <v/>
      </c>
      <c r="BN24" s="20"/>
      <c r="BO24" s="77">
        <f t="shared" si="53"/>
        <v>0</v>
      </c>
      <c r="BP24" s="76">
        <f t="shared" ca="1" si="54"/>
        <v>0</v>
      </c>
      <c r="BQ24" s="92">
        <f t="shared" ca="1" si="55"/>
        <v>0</v>
      </c>
      <c r="BT24" s="97" t="str">
        <f t="shared" ca="1" si="56"/>
        <v/>
      </c>
      <c r="BU24" s="20"/>
      <c r="BV24" s="77">
        <f t="shared" si="57"/>
        <v>0</v>
      </c>
      <c r="BW24" s="76">
        <f t="shared" ca="1" si="58"/>
        <v>0</v>
      </c>
      <c r="BX24" s="92">
        <f t="shared" ca="1" si="59"/>
        <v>0</v>
      </c>
      <c r="CA24" s="97" t="str">
        <f t="shared" ca="1" si="60"/>
        <v/>
      </c>
      <c r="CB24" s="20"/>
      <c r="CC24" s="77">
        <f t="shared" si="61"/>
        <v>0</v>
      </c>
      <c r="CD24" s="76">
        <f t="shared" ca="1" si="62"/>
        <v>0</v>
      </c>
      <c r="CE24" s="92">
        <f t="shared" ca="1" si="63"/>
        <v>0</v>
      </c>
      <c r="CH24" s="97" t="str">
        <f t="shared" ca="1" si="64"/>
        <v/>
      </c>
      <c r="CI24" s="20"/>
      <c r="CJ24" s="77">
        <f t="shared" si="65"/>
        <v>0</v>
      </c>
      <c r="CK24" s="76">
        <f t="shared" ca="1" si="66"/>
        <v>0</v>
      </c>
      <c r="CL24" s="92">
        <f t="shared" ca="1" si="67"/>
        <v>0</v>
      </c>
      <c r="CO24" s="97" t="str">
        <f t="shared" ca="1" si="68"/>
        <v/>
      </c>
      <c r="CP24" s="20"/>
      <c r="CQ24" s="77">
        <f t="shared" si="69"/>
        <v>0</v>
      </c>
      <c r="CR24" s="76">
        <f t="shared" ca="1" si="70"/>
        <v>0</v>
      </c>
      <c r="CS24" s="92">
        <f t="shared" ca="1" si="71"/>
        <v>0</v>
      </c>
      <c r="CV24" s="97" t="str">
        <f t="shared" ca="1" si="72"/>
        <v/>
      </c>
      <c r="CW24" s="20"/>
      <c r="CX24" s="77">
        <f t="shared" si="73"/>
        <v>0</v>
      </c>
      <c r="CY24" s="76">
        <f t="shared" ca="1" si="74"/>
        <v>0</v>
      </c>
      <c r="CZ24" s="92">
        <f t="shared" ca="1" si="75"/>
        <v>0</v>
      </c>
      <c r="DC24" s="97" t="str">
        <f t="shared" ca="1" si="76"/>
        <v/>
      </c>
      <c r="DD24" s="20"/>
      <c r="DE24" s="77">
        <f t="shared" si="77"/>
        <v>0</v>
      </c>
      <c r="DF24" s="76">
        <f t="shared" ca="1" si="78"/>
        <v>0</v>
      </c>
      <c r="DG24" s="92">
        <f t="shared" ca="1" si="79"/>
        <v>0</v>
      </c>
      <c r="DJ24" s="97" t="str">
        <f t="shared" ca="1" si="80"/>
        <v/>
      </c>
      <c r="DK24" s="20"/>
      <c r="DL24" s="77">
        <f t="shared" si="81"/>
        <v>0</v>
      </c>
      <c r="DM24" s="76">
        <f t="shared" ca="1" si="82"/>
        <v>0</v>
      </c>
      <c r="DN24" s="92">
        <f t="shared" ca="1" si="83"/>
        <v>0</v>
      </c>
      <c r="DQ24" s="97" t="str">
        <f t="shared" ca="1" si="84"/>
        <v/>
      </c>
      <c r="DR24" s="20"/>
      <c r="DS24" s="77">
        <f t="shared" si="85"/>
        <v>0</v>
      </c>
      <c r="DT24" s="76">
        <f t="shared" ca="1" si="86"/>
        <v>0</v>
      </c>
      <c r="DU24" s="92">
        <f t="shared" ca="1" si="87"/>
        <v>0</v>
      </c>
    </row>
    <row r="25" spans="2:125" ht="16.5" x14ac:dyDescent="0.25">
      <c r="B25" s="97" t="str">
        <f t="shared" ca="1" si="17"/>
        <v/>
      </c>
      <c r="C25" s="20"/>
      <c r="D25" s="77">
        <f t="shared" si="18"/>
        <v>0</v>
      </c>
      <c r="E25" s="76">
        <f t="shared" si="19"/>
        <v>0</v>
      </c>
      <c r="F25" s="92">
        <f t="shared" si="19"/>
        <v>0</v>
      </c>
      <c r="I25" s="97" t="str">
        <f t="shared" ca="1" si="20"/>
        <v/>
      </c>
      <c r="J25" s="20"/>
      <c r="K25" s="77">
        <f t="shared" si="21"/>
        <v>0</v>
      </c>
      <c r="L25" s="76">
        <f t="shared" ca="1" si="22"/>
        <v>0</v>
      </c>
      <c r="M25" s="92">
        <f t="shared" ca="1" si="23"/>
        <v>0</v>
      </c>
      <c r="P25" s="97" t="str">
        <f t="shared" ca="1" si="24"/>
        <v/>
      </c>
      <c r="Q25" s="20"/>
      <c r="R25" s="77">
        <f t="shared" si="25"/>
        <v>0</v>
      </c>
      <c r="S25" s="76">
        <f t="shared" ca="1" si="26"/>
        <v>0</v>
      </c>
      <c r="T25" s="92">
        <f t="shared" ca="1" si="27"/>
        <v>0</v>
      </c>
      <c r="W25" s="97" t="str">
        <f t="shared" ca="1" si="28"/>
        <v/>
      </c>
      <c r="X25" s="20"/>
      <c r="Y25" s="77">
        <f t="shared" si="29"/>
        <v>0</v>
      </c>
      <c r="Z25" s="76">
        <f t="shared" ca="1" si="30"/>
        <v>0</v>
      </c>
      <c r="AA25" s="92">
        <f t="shared" ca="1" si="31"/>
        <v>0</v>
      </c>
      <c r="AD25" s="97" t="str">
        <f t="shared" ca="1" si="32"/>
        <v/>
      </c>
      <c r="AE25" s="20"/>
      <c r="AF25" s="77">
        <f t="shared" si="33"/>
        <v>0</v>
      </c>
      <c r="AG25" s="76">
        <f t="shared" ca="1" si="34"/>
        <v>0</v>
      </c>
      <c r="AH25" s="92">
        <f t="shared" ca="1" si="35"/>
        <v>0</v>
      </c>
      <c r="AK25" s="97" t="str">
        <f t="shared" ca="1" si="36"/>
        <v/>
      </c>
      <c r="AL25" s="20"/>
      <c r="AM25" s="77">
        <f t="shared" si="37"/>
        <v>0</v>
      </c>
      <c r="AN25" s="76">
        <f t="shared" ca="1" si="38"/>
        <v>0</v>
      </c>
      <c r="AO25" s="92">
        <f t="shared" ca="1" si="39"/>
        <v>0</v>
      </c>
      <c r="AR25" s="97" t="str">
        <f t="shared" ca="1" si="40"/>
        <v/>
      </c>
      <c r="AS25" s="20"/>
      <c r="AT25" s="77">
        <f t="shared" si="41"/>
        <v>0</v>
      </c>
      <c r="AU25" s="76">
        <f t="shared" ca="1" si="42"/>
        <v>0</v>
      </c>
      <c r="AV25" s="92">
        <f t="shared" ca="1" si="43"/>
        <v>0</v>
      </c>
      <c r="AY25" s="97" t="str">
        <f t="shared" ca="1" si="44"/>
        <v/>
      </c>
      <c r="AZ25" s="20"/>
      <c r="BA25" s="77">
        <f t="shared" si="45"/>
        <v>0</v>
      </c>
      <c r="BB25" s="76">
        <f t="shared" ca="1" si="46"/>
        <v>0</v>
      </c>
      <c r="BC25" s="92">
        <f t="shared" ca="1" si="47"/>
        <v>0</v>
      </c>
      <c r="BF25" s="97" t="str">
        <f t="shared" ca="1" si="48"/>
        <v/>
      </c>
      <c r="BG25" s="20"/>
      <c r="BH25" s="77">
        <f t="shared" si="49"/>
        <v>0</v>
      </c>
      <c r="BI25" s="76">
        <f t="shared" ca="1" si="50"/>
        <v>0</v>
      </c>
      <c r="BJ25" s="92">
        <f t="shared" ca="1" si="51"/>
        <v>0</v>
      </c>
      <c r="BM25" s="97" t="str">
        <f t="shared" ca="1" si="52"/>
        <v/>
      </c>
      <c r="BN25" s="20"/>
      <c r="BO25" s="77">
        <f t="shared" si="53"/>
        <v>0</v>
      </c>
      <c r="BP25" s="76">
        <f t="shared" ca="1" si="54"/>
        <v>0</v>
      </c>
      <c r="BQ25" s="92">
        <f t="shared" ca="1" si="55"/>
        <v>0</v>
      </c>
      <c r="BT25" s="97" t="str">
        <f t="shared" ca="1" si="56"/>
        <v/>
      </c>
      <c r="BU25" s="20"/>
      <c r="BV25" s="77">
        <f t="shared" si="57"/>
        <v>0</v>
      </c>
      <c r="BW25" s="76">
        <f t="shared" ca="1" si="58"/>
        <v>0</v>
      </c>
      <c r="BX25" s="92">
        <f t="shared" ca="1" si="59"/>
        <v>0</v>
      </c>
      <c r="CA25" s="97" t="str">
        <f t="shared" ca="1" si="60"/>
        <v/>
      </c>
      <c r="CB25" s="20"/>
      <c r="CC25" s="77">
        <f t="shared" si="61"/>
        <v>0</v>
      </c>
      <c r="CD25" s="76">
        <f t="shared" ca="1" si="62"/>
        <v>0</v>
      </c>
      <c r="CE25" s="92">
        <f t="shared" ca="1" si="63"/>
        <v>0</v>
      </c>
      <c r="CH25" s="97" t="str">
        <f t="shared" ca="1" si="64"/>
        <v/>
      </c>
      <c r="CI25" s="20"/>
      <c r="CJ25" s="77">
        <f t="shared" si="65"/>
        <v>0</v>
      </c>
      <c r="CK25" s="76">
        <f t="shared" ca="1" si="66"/>
        <v>0</v>
      </c>
      <c r="CL25" s="92">
        <f t="shared" ca="1" si="67"/>
        <v>0</v>
      </c>
      <c r="CO25" s="97" t="str">
        <f t="shared" ca="1" si="68"/>
        <v/>
      </c>
      <c r="CP25" s="20"/>
      <c r="CQ25" s="77">
        <f t="shared" si="69"/>
        <v>0</v>
      </c>
      <c r="CR25" s="76">
        <f t="shared" ca="1" si="70"/>
        <v>0</v>
      </c>
      <c r="CS25" s="92">
        <f t="shared" ca="1" si="71"/>
        <v>0</v>
      </c>
      <c r="CV25" s="97" t="str">
        <f t="shared" ca="1" si="72"/>
        <v/>
      </c>
      <c r="CW25" s="20"/>
      <c r="CX25" s="77">
        <f t="shared" si="73"/>
        <v>0</v>
      </c>
      <c r="CY25" s="76">
        <f t="shared" ca="1" si="74"/>
        <v>0</v>
      </c>
      <c r="CZ25" s="92">
        <f t="shared" ca="1" si="75"/>
        <v>0</v>
      </c>
      <c r="DC25" s="97" t="str">
        <f t="shared" ca="1" si="76"/>
        <v/>
      </c>
      <c r="DD25" s="20"/>
      <c r="DE25" s="77">
        <f t="shared" si="77"/>
        <v>0</v>
      </c>
      <c r="DF25" s="76">
        <f t="shared" ca="1" si="78"/>
        <v>0</v>
      </c>
      <c r="DG25" s="92">
        <f t="shared" ca="1" si="79"/>
        <v>0</v>
      </c>
      <c r="DJ25" s="97" t="str">
        <f t="shared" ca="1" si="80"/>
        <v/>
      </c>
      <c r="DK25" s="20"/>
      <c r="DL25" s="77">
        <f t="shared" si="81"/>
        <v>0</v>
      </c>
      <c r="DM25" s="76">
        <f t="shared" ca="1" si="82"/>
        <v>0</v>
      </c>
      <c r="DN25" s="92">
        <f t="shared" ca="1" si="83"/>
        <v>0</v>
      </c>
      <c r="DQ25" s="97" t="str">
        <f t="shared" ca="1" si="84"/>
        <v/>
      </c>
      <c r="DR25" s="20"/>
      <c r="DS25" s="77">
        <f t="shared" si="85"/>
        <v>0</v>
      </c>
      <c r="DT25" s="76">
        <f t="shared" ca="1" si="86"/>
        <v>0</v>
      </c>
      <c r="DU25" s="92">
        <f t="shared" ca="1" si="87"/>
        <v>0</v>
      </c>
    </row>
    <row r="26" spans="2:125" ht="16.5" x14ac:dyDescent="0.25">
      <c r="B26" s="97" t="str">
        <f t="shared" ca="1" si="17"/>
        <v/>
      </c>
      <c r="C26" s="20"/>
      <c r="D26" s="77">
        <f t="shared" si="18"/>
        <v>0</v>
      </c>
      <c r="E26" s="76">
        <f t="shared" si="19"/>
        <v>0</v>
      </c>
      <c r="F26" s="92">
        <f t="shared" si="19"/>
        <v>0</v>
      </c>
      <c r="I26" s="97" t="str">
        <f t="shared" ca="1" si="20"/>
        <v/>
      </c>
      <c r="J26" s="20"/>
      <c r="K26" s="77">
        <f t="shared" si="21"/>
        <v>0</v>
      </c>
      <c r="L26" s="76">
        <f t="shared" ca="1" si="22"/>
        <v>0</v>
      </c>
      <c r="M26" s="92">
        <f t="shared" ca="1" si="23"/>
        <v>0</v>
      </c>
      <c r="P26" s="97" t="str">
        <f t="shared" ca="1" si="24"/>
        <v/>
      </c>
      <c r="Q26" s="20"/>
      <c r="R26" s="77">
        <f t="shared" si="25"/>
        <v>0</v>
      </c>
      <c r="S26" s="76">
        <f t="shared" ca="1" si="26"/>
        <v>0</v>
      </c>
      <c r="T26" s="92">
        <f t="shared" ca="1" si="27"/>
        <v>0</v>
      </c>
      <c r="W26" s="97" t="str">
        <f t="shared" ca="1" si="28"/>
        <v/>
      </c>
      <c r="X26" s="20"/>
      <c r="Y26" s="77">
        <f t="shared" si="29"/>
        <v>0</v>
      </c>
      <c r="Z26" s="76">
        <f t="shared" ca="1" si="30"/>
        <v>0</v>
      </c>
      <c r="AA26" s="92">
        <f t="shared" ca="1" si="31"/>
        <v>0</v>
      </c>
      <c r="AD26" s="97" t="str">
        <f t="shared" ca="1" si="32"/>
        <v/>
      </c>
      <c r="AE26" s="20"/>
      <c r="AF26" s="77">
        <f t="shared" si="33"/>
        <v>0</v>
      </c>
      <c r="AG26" s="76">
        <f t="shared" ca="1" si="34"/>
        <v>0</v>
      </c>
      <c r="AH26" s="92">
        <f t="shared" ca="1" si="35"/>
        <v>0</v>
      </c>
      <c r="AK26" s="97" t="str">
        <f t="shared" ca="1" si="36"/>
        <v/>
      </c>
      <c r="AL26" s="20"/>
      <c r="AM26" s="77">
        <f t="shared" si="37"/>
        <v>0</v>
      </c>
      <c r="AN26" s="76">
        <f t="shared" ca="1" si="38"/>
        <v>0</v>
      </c>
      <c r="AO26" s="92">
        <f t="shared" ca="1" si="39"/>
        <v>0</v>
      </c>
      <c r="AR26" s="97" t="str">
        <f t="shared" ca="1" si="40"/>
        <v/>
      </c>
      <c r="AS26" s="20"/>
      <c r="AT26" s="77">
        <f t="shared" si="41"/>
        <v>0</v>
      </c>
      <c r="AU26" s="76">
        <f t="shared" ca="1" si="42"/>
        <v>0</v>
      </c>
      <c r="AV26" s="92">
        <f t="shared" ca="1" si="43"/>
        <v>0</v>
      </c>
      <c r="AY26" s="97" t="str">
        <f t="shared" ca="1" si="44"/>
        <v/>
      </c>
      <c r="AZ26" s="20"/>
      <c r="BA26" s="77">
        <f t="shared" si="45"/>
        <v>0</v>
      </c>
      <c r="BB26" s="76">
        <f t="shared" ca="1" si="46"/>
        <v>0</v>
      </c>
      <c r="BC26" s="92">
        <f t="shared" ca="1" si="47"/>
        <v>0</v>
      </c>
      <c r="BF26" s="97" t="str">
        <f t="shared" ca="1" si="48"/>
        <v/>
      </c>
      <c r="BG26" s="20"/>
      <c r="BH26" s="77">
        <f t="shared" si="49"/>
        <v>0</v>
      </c>
      <c r="BI26" s="76">
        <f t="shared" ca="1" si="50"/>
        <v>0</v>
      </c>
      <c r="BJ26" s="92">
        <f t="shared" ca="1" si="51"/>
        <v>0</v>
      </c>
      <c r="BM26" s="97" t="str">
        <f t="shared" ca="1" si="52"/>
        <v/>
      </c>
      <c r="BN26" s="20"/>
      <c r="BO26" s="77">
        <f t="shared" si="53"/>
        <v>0</v>
      </c>
      <c r="BP26" s="76">
        <f t="shared" ca="1" si="54"/>
        <v>0</v>
      </c>
      <c r="BQ26" s="92">
        <f t="shared" ca="1" si="55"/>
        <v>0</v>
      </c>
      <c r="BT26" s="97" t="str">
        <f t="shared" ca="1" si="56"/>
        <v/>
      </c>
      <c r="BU26" s="20"/>
      <c r="BV26" s="77">
        <f t="shared" si="57"/>
        <v>0</v>
      </c>
      <c r="BW26" s="76">
        <f t="shared" ca="1" si="58"/>
        <v>0</v>
      </c>
      <c r="BX26" s="92">
        <f t="shared" ca="1" si="59"/>
        <v>0</v>
      </c>
      <c r="CA26" s="97" t="str">
        <f t="shared" ca="1" si="60"/>
        <v/>
      </c>
      <c r="CB26" s="20"/>
      <c r="CC26" s="77">
        <f t="shared" si="61"/>
        <v>0</v>
      </c>
      <c r="CD26" s="76">
        <f t="shared" ca="1" si="62"/>
        <v>0</v>
      </c>
      <c r="CE26" s="92">
        <f t="shared" ca="1" si="63"/>
        <v>0</v>
      </c>
      <c r="CH26" s="97" t="str">
        <f t="shared" ca="1" si="64"/>
        <v/>
      </c>
      <c r="CI26" s="20"/>
      <c r="CJ26" s="77">
        <f t="shared" si="65"/>
        <v>0</v>
      </c>
      <c r="CK26" s="76">
        <f t="shared" ca="1" si="66"/>
        <v>0</v>
      </c>
      <c r="CL26" s="92">
        <f t="shared" ca="1" si="67"/>
        <v>0</v>
      </c>
      <c r="CO26" s="97" t="str">
        <f t="shared" ca="1" si="68"/>
        <v/>
      </c>
      <c r="CP26" s="20"/>
      <c r="CQ26" s="77">
        <f t="shared" si="69"/>
        <v>0</v>
      </c>
      <c r="CR26" s="76">
        <f t="shared" ca="1" si="70"/>
        <v>0</v>
      </c>
      <c r="CS26" s="92">
        <f t="shared" ca="1" si="71"/>
        <v>0</v>
      </c>
      <c r="CV26" s="97" t="str">
        <f t="shared" ca="1" si="72"/>
        <v/>
      </c>
      <c r="CW26" s="20"/>
      <c r="CX26" s="77">
        <f t="shared" si="73"/>
        <v>0</v>
      </c>
      <c r="CY26" s="76">
        <f t="shared" ca="1" si="74"/>
        <v>0</v>
      </c>
      <c r="CZ26" s="92">
        <f t="shared" ca="1" si="75"/>
        <v>0</v>
      </c>
      <c r="DC26" s="97" t="str">
        <f t="shared" ca="1" si="76"/>
        <v/>
      </c>
      <c r="DD26" s="20"/>
      <c r="DE26" s="77">
        <f t="shared" si="77"/>
        <v>0</v>
      </c>
      <c r="DF26" s="76">
        <f t="shared" ca="1" si="78"/>
        <v>0</v>
      </c>
      <c r="DG26" s="92">
        <f t="shared" ca="1" si="79"/>
        <v>0</v>
      </c>
      <c r="DJ26" s="97" t="str">
        <f t="shared" ca="1" si="80"/>
        <v/>
      </c>
      <c r="DK26" s="20"/>
      <c r="DL26" s="77">
        <f t="shared" si="81"/>
        <v>0</v>
      </c>
      <c r="DM26" s="76">
        <f t="shared" ca="1" si="82"/>
        <v>0</v>
      </c>
      <c r="DN26" s="92">
        <f t="shared" ca="1" si="83"/>
        <v>0</v>
      </c>
      <c r="DQ26" s="97" t="str">
        <f t="shared" ca="1" si="84"/>
        <v/>
      </c>
      <c r="DR26" s="20"/>
      <c r="DS26" s="77">
        <f t="shared" si="85"/>
        <v>0</v>
      </c>
      <c r="DT26" s="76">
        <f t="shared" ca="1" si="86"/>
        <v>0</v>
      </c>
      <c r="DU26" s="92">
        <f t="shared" ca="1" si="87"/>
        <v>0</v>
      </c>
    </row>
    <row r="27" spans="2:125" ht="16.5" x14ac:dyDescent="0.3">
      <c r="B27" s="98" t="s">
        <v>285</v>
      </c>
      <c r="C27" s="81">
        <f>ROUND(SUBTOTAL(109,$C$19:$C$26),2)</f>
        <v>0</v>
      </c>
      <c r="D27" s="82">
        <f>ROUND(SUBTOTAL(109,$D$19:$D$26),2)</f>
        <v>0</v>
      </c>
      <c r="E27" s="81">
        <f>ROUND(SUBTOTAL(109,$E$19:$E$26),2)</f>
        <v>0</v>
      </c>
      <c r="F27" s="99">
        <f>ROUND(SUBTOTAL(109,$F$19:$F$26),2)</f>
        <v>0</v>
      </c>
      <c r="I27" s="98" t="s">
        <v>285</v>
      </c>
      <c r="J27" s="81">
        <f>ROUND(SUBTOTAL(109,$J$19:$J$26),2)</f>
        <v>0</v>
      </c>
      <c r="K27" s="82">
        <f>ROUND(SUBTOTAL(109,$K$19:$K$26),2)</f>
        <v>0</v>
      </c>
      <c r="L27" s="81">
        <f ca="1">ROUND(SUBTOTAL(109,$L$19:$L$26),2)</f>
        <v>0</v>
      </c>
      <c r="M27" s="99">
        <f ca="1">ROUND(SUBTOTAL(109,$M$19:$M$26),2)</f>
        <v>0</v>
      </c>
      <c r="P27" s="98" t="s">
        <v>285</v>
      </c>
      <c r="Q27" s="81">
        <f>ROUND(SUBTOTAL(109,$Q$19:$Q$26),2)</f>
        <v>0</v>
      </c>
      <c r="R27" s="82">
        <f>ROUND(SUBTOTAL(109,$R$19:$R$26),2)</f>
        <v>0</v>
      </c>
      <c r="S27" s="81">
        <f ca="1">ROUND(SUBTOTAL(109,$S$19:$S$26),2)</f>
        <v>0</v>
      </c>
      <c r="T27" s="99">
        <f ca="1">ROUND(SUBTOTAL(109,$T$19:$T$26),2)</f>
        <v>0</v>
      </c>
      <c r="W27" s="98" t="s">
        <v>285</v>
      </c>
      <c r="X27" s="81">
        <f>ROUND(SUBTOTAL(109,$X$19:$X$26),2)</f>
        <v>0</v>
      </c>
      <c r="Y27" s="82">
        <f>ROUND(SUBTOTAL(109,$Y$19:$Y$26),2)</f>
        <v>0</v>
      </c>
      <c r="Z27" s="81">
        <f ca="1">ROUND(SUBTOTAL(109,$Z$19:$Z$26),2)</f>
        <v>0</v>
      </c>
      <c r="AA27" s="99">
        <f ca="1">ROUND(SUBTOTAL(109,$AA$19:$AA$26),2)</f>
        <v>0</v>
      </c>
      <c r="AD27" s="98" t="s">
        <v>285</v>
      </c>
      <c r="AE27" s="81">
        <f>ROUND(SUBTOTAL(109,$AE$19:$AE$26),2)</f>
        <v>0</v>
      </c>
      <c r="AF27" s="82">
        <f>ROUND(SUBTOTAL(109,$AF$19:$AF$26),2)</f>
        <v>0</v>
      </c>
      <c r="AG27" s="81">
        <f ca="1">ROUND(SUBTOTAL(109,$AG$19:$AG$26),2)</f>
        <v>0</v>
      </c>
      <c r="AH27" s="99">
        <f ca="1">ROUND(SUBTOTAL(109,$AH$19:$AH$26),2)</f>
        <v>0</v>
      </c>
      <c r="AK27" s="98" t="s">
        <v>285</v>
      </c>
      <c r="AL27" s="81">
        <f>ROUND(SUBTOTAL(109,$AL$19:$AL$26),2)</f>
        <v>0</v>
      </c>
      <c r="AM27" s="82">
        <f>ROUND(SUBTOTAL(109,$AM$19:$AM$26),2)</f>
        <v>0</v>
      </c>
      <c r="AN27" s="81">
        <f ca="1">ROUND(SUBTOTAL(109,$AN$19:$AN$26),2)</f>
        <v>0</v>
      </c>
      <c r="AO27" s="99">
        <f ca="1">ROUND(SUBTOTAL(109,$AO$19:$AO$26),2)</f>
        <v>0</v>
      </c>
      <c r="AR27" s="98" t="s">
        <v>285</v>
      </c>
      <c r="AS27" s="81">
        <f>ROUND(SUBTOTAL(109,$AS$19:$AS$26),2)</f>
        <v>0</v>
      </c>
      <c r="AT27" s="82">
        <f>ROUND(SUBTOTAL(109,$AT$19:$AT$26),2)</f>
        <v>0</v>
      </c>
      <c r="AU27" s="81">
        <f ca="1">ROUND(SUBTOTAL(109,$AU$19:$AU$26),2)</f>
        <v>0</v>
      </c>
      <c r="AV27" s="99">
        <f ca="1">ROUND(SUBTOTAL(109,$AV$19:$AV$26),2)</f>
        <v>0</v>
      </c>
      <c r="AY27" s="98" t="s">
        <v>285</v>
      </c>
      <c r="AZ27" s="81">
        <f>ROUND(SUBTOTAL(109,$AZ$19:$AZ$26),2)</f>
        <v>0</v>
      </c>
      <c r="BA27" s="82">
        <f>ROUND(SUBTOTAL(109,$BA$19:$BA$26),2)</f>
        <v>0</v>
      </c>
      <c r="BB27" s="81">
        <f ca="1">ROUND(SUBTOTAL(109,$BB$19:$BB$26),2)</f>
        <v>0</v>
      </c>
      <c r="BC27" s="99">
        <f ca="1">ROUND(SUBTOTAL(109,$BC$19:$BC$26),2)</f>
        <v>0</v>
      </c>
      <c r="BF27" s="98" t="s">
        <v>285</v>
      </c>
      <c r="BG27" s="81">
        <f>ROUND(SUBTOTAL(109,$BG$19:$BG$26),2)</f>
        <v>0</v>
      </c>
      <c r="BH27" s="82">
        <f>ROUND(SUBTOTAL(109,$BH$19:$BH$26),2)</f>
        <v>0</v>
      </c>
      <c r="BI27" s="81">
        <f ca="1">ROUND(SUBTOTAL(109,$BI$19:$BI$26),2)</f>
        <v>0</v>
      </c>
      <c r="BJ27" s="99">
        <f ca="1">ROUND(SUBTOTAL(109,$BJ$19:$BJ$26),2)</f>
        <v>0</v>
      </c>
      <c r="BM27" s="98" t="s">
        <v>285</v>
      </c>
      <c r="BN27" s="81">
        <f>ROUND(SUBTOTAL(109,$BN$19:$BN$26),2)</f>
        <v>0</v>
      </c>
      <c r="BO27" s="82">
        <f>ROUND(SUBTOTAL(109,$BO$19:$BO$26),2)</f>
        <v>0</v>
      </c>
      <c r="BP27" s="81">
        <f ca="1">ROUND(SUBTOTAL(109,$BP$19:$BP$26),2)</f>
        <v>0</v>
      </c>
      <c r="BQ27" s="99">
        <f ca="1">ROUND(SUBTOTAL(109,$BQ$19:$BQ$26),2)</f>
        <v>0</v>
      </c>
      <c r="BT27" s="98" t="s">
        <v>285</v>
      </c>
      <c r="BU27" s="81">
        <f>ROUND(SUBTOTAL(109,$BU$19:$BU$26),2)</f>
        <v>0</v>
      </c>
      <c r="BV27" s="82">
        <f>ROUND(SUBTOTAL(109,$BV$19:$BV$26),2)</f>
        <v>0</v>
      </c>
      <c r="BW27" s="81">
        <f ca="1">ROUND(SUBTOTAL(109,$BW$19:$BW$26),2)</f>
        <v>0</v>
      </c>
      <c r="BX27" s="99">
        <f ca="1">ROUND(SUBTOTAL(109,$BX$19:$BX$26),2)</f>
        <v>0</v>
      </c>
      <c r="CA27" s="98" t="s">
        <v>285</v>
      </c>
      <c r="CB27" s="81">
        <f>ROUND(SUBTOTAL(109,$CB$19:$CB$26),2)</f>
        <v>0</v>
      </c>
      <c r="CC27" s="82">
        <f>ROUND(SUBTOTAL(109,$CC$19:$CC$26),2)</f>
        <v>0</v>
      </c>
      <c r="CD27" s="81">
        <f ca="1">ROUND(SUBTOTAL(109,$CD$19:$CD$26),2)</f>
        <v>0</v>
      </c>
      <c r="CE27" s="99">
        <f ca="1">ROUND(SUBTOTAL(109,$CE$19:$CE$26),2)</f>
        <v>0</v>
      </c>
      <c r="CH27" s="98" t="s">
        <v>285</v>
      </c>
      <c r="CI27" s="81">
        <f>ROUND(SUBTOTAL(109,$CI$19:$CI$26),2)</f>
        <v>0</v>
      </c>
      <c r="CJ27" s="82">
        <f>ROUND(SUBTOTAL(109,$CJ$19:$CJ$26),2)</f>
        <v>0</v>
      </c>
      <c r="CK27" s="81">
        <f ca="1">ROUND(SUBTOTAL(109,$CK$19:$CK$26),2)</f>
        <v>0</v>
      </c>
      <c r="CL27" s="99">
        <f ca="1">ROUND(SUBTOTAL(109,$CL$19:$CL$26),2)</f>
        <v>0</v>
      </c>
      <c r="CO27" s="98" t="s">
        <v>285</v>
      </c>
      <c r="CP27" s="81">
        <f>ROUND(SUBTOTAL(109,$CP$19:$CP$26),2)</f>
        <v>0</v>
      </c>
      <c r="CQ27" s="82">
        <f>ROUND(SUBTOTAL(109,$CQ$19:$CQ$26),2)</f>
        <v>0</v>
      </c>
      <c r="CR27" s="81">
        <f ca="1">ROUND(SUBTOTAL(109,$CR$19:$CR$26),2)</f>
        <v>0</v>
      </c>
      <c r="CS27" s="99">
        <f ca="1">ROUND(SUBTOTAL(109,$CS$19:$CS$26),2)</f>
        <v>0</v>
      </c>
      <c r="CV27" s="98" t="s">
        <v>285</v>
      </c>
      <c r="CW27" s="81">
        <f>ROUND(SUBTOTAL(109,$CW$19:$CW$26),2)</f>
        <v>0</v>
      </c>
      <c r="CX27" s="82">
        <f>ROUND(SUBTOTAL(109,$CX$19:$CX$26),2)</f>
        <v>0</v>
      </c>
      <c r="CY27" s="81">
        <f ca="1">ROUND(SUBTOTAL(109,$CY$19:$CY$26),2)</f>
        <v>0</v>
      </c>
      <c r="CZ27" s="99">
        <f ca="1">ROUND(SUBTOTAL(109,$CZ$19:$CZ$26),2)</f>
        <v>0</v>
      </c>
      <c r="DC27" s="98" t="s">
        <v>285</v>
      </c>
      <c r="DD27" s="81">
        <f>ROUND(SUBTOTAL(109,$DD$19:$DD$26),2)</f>
        <v>0</v>
      </c>
      <c r="DE27" s="82">
        <f>ROUND(SUBTOTAL(109,$DE$19:$DE$26),2)</f>
        <v>0</v>
      </c>
      <c r="DF27" s="81">
        <f ca="1">ROUND(SUBTOTAL(109,$DF$19:$DF$26),2)</f>
        <v>0</v>
      </c>
      <c r="DG27" s="99">
        <f ca="1">ROUND(SUBTOTAL(109,$DG$19:$DG$26),2)</f>
        <v>0</v>
      </c>
      <c r="DJ27" s="98" t="s">
        <v>285</v>
      </c>
      <c r="DK27" s="81">
        <f>ROUND(SUBTOTAL(109,$DK$19:$DK$26),2)</f>
        <v>0</v>
      </c>
      <c r="DL27" s="82">
        <f>ROUND(SUBTOTAL(109,$DL$19:$DL$26),2)</f>
        <v>0</v>
      </c>
      <c r="DM27" s="81">
        <f ca="1">ROUND(SUBTOTAL(109,$DM$19:$DM$26),2)</f>
        <v>0</v>
      </c>
      <c r="DN27" s="99">
        <f ca="1">ROUND(SUBTOTAL(109,$DN$19:$DN$26),2)</f>
        <v>0</v>
      </c>
      <c r="DQ27" s="98" t="s">
        <v>285</v>
      </c>
      <c r="DR27" s="81">
        <f>ROUND(SUBTOTAL(109,$DR$19:$DR$26),2)</f>
        <v>0</v>
      </c>
      <c r="DS27" s="82">
        <f>ROUND(SUBTOTAL(109,$DS$19:$DS$26),2)</f>
        <v>0</v>
      </c>
      <c r="DT27" s="81">
        <f ca="1">ROUND(SUBTOTAL(109,$DT$19:$DT$26),2)</f>
        <v>0</v>
      </c>
      <c r="DU27" s="99">
        <f ca="1">ROUND(SUBTOTAL(109,$DU$19:$DU$26),2)</f>
        <v>0</v>
      </c>
    </row>
    <row r="28" spans="2:125" x14ac:dyDescent="0.25">
      <c r="B28" s="35"/>
      <c r="F28" s="36"/>
      <c r="I28" s="35"/>
      <c r="M28" s="36"/>
      <c r="P28" s="35"/>
      <c r="T28" s="36"/>
      <c r="W28" s="35"/>
      <c r="AA28" s="36"/>
      <c r="AD28" s="35"/>
      <c r="AH28" s="36"/>
      <c r="AK28" s="35"/>
      <c r="AO28" s="36"/>
      <c r="AR28" s="35"/>
      <c r="AV28" s="36"/>
      <c r="AY28" s="35"/>
      <c r="BC28" s="36"/>
      <c r="BF28" s="35"/>
      <c r="BJ28" s="36"/>
      <c r="BM28" s="35"/>
      <c r="BQ28" s="36"/>
      <c r="BT28" s="35"/>
      <c r="BX28" s="36"/>
      <c r="CA28" s="35"/>
      <c r="CE28" s="36"/>
      <c r="CH28" s="35"/>
      <c r="CL28" s="36"/>
      <c r="CO28" s="35"/>
      <c r="CS28" s="36"/>
      <c r="CV28" s="35"/>
      <c r="CZ28" s="36"/>
      <c r="DC28" s="35"/>
      <c r="DG28" s="36"/>
      <c r="DJ28" s="35"/>
      <c r="DN28" s="36"/>
      <c r="DQ28" s="35"/>
      <c r="DU28" s="36"/>
    </row>
    <row r="29" spans="2:125" ht="16.5" x14ac:dyDescent="0.3">
      <c r="B29" s="156" t="s">
        <v>286</v>
      </c>
      <c r="C29" s="83">
        <f>ROUND(IFERROR(C16-$C$27,""),2)</f>
        <v>0</v>
      </c>
      <c r="D29" s="84">
        <f>ROUND(IFERROR(D16-$D$27,""),2)</f>
        <v>0</v>
      </c>
      <c r="E29" s="83">
        <f>ROUND(IFERROR(E16-E27,""),2)</f>
        <v>0</v>
      </c>
      <c r="F29" s="100">
        <f>ROUND(IFERROR(F16-F27,""),2)</f>
        <v>0</v>
      </c>
      <c r="I29" s="156" t="s">
        <v>286</v>
      </c>
      <c r="J29" s="83">
        <f>ROUND(IFERROR(J16-$J$27,""),2)</f>
        <v>0</v>
      </c>
      <c r="K29" s="84">
        <f>ROUND(IFERROR(K16-$K$27,""),2)</f>
        <v>0</v>
      </c>
      <c r="L29" s="83">
        <f ca="1">ROUND(IFERROR(L16-L27,""),2)</f>
        <v>0</v>
      </c>
      <c r="M29" s="100">
        <f ca="1">ROUND(IFERROR(M16-M27,""),2)</f>
        <v>0</v>
      </c>
      <c r="P29" s="156" t="s">
        <v>286</v>
      </c>
      <c r="Q29" s="83">
        <f>ROUND(IFERROR(Q16-$Q$27,""),2)</f>
        <v>0</v>
      </c>
      <c r="R29" s="84">
        <f>ROUND(IFERROR(R16-$R$27,""),2)</f>
        <v>0</v>
      </c>
      <c r="S29" s="83">
        <f ca="1">ROUND(IFERROR(S16-S27,""),2)</f>
        <v>0</v>
      </c>
      <c r="T29" s="100">
        <f ca="1">ROUND(IFERROR(T16-T27,""),2)</f>
        <v>0</v>
      </c>
      <c r="W29" s="156" t="s">
        <v>286</v>
      </c>
      <c r="X29" s="83">
        <f>ROUND(IFERROR(X16-$X$27,""),2)</f>
        <v>0</v>
      </c>
      <c r="Y29" s="84">
        <f>ROUND(IFERROR(Y16-$Y$27,""),2)</f>
        <v>0</v>
      </c>
      <c r="Z29" s="83">
        <f ca="1">ROUND(IFERROR(Z16-Z27,""),2)</f>
        <v>0</v>
      </c>
      <c r="AA29" s="100">
        <f ca="1">ROUND(IFERROR(AA16-AA27,""),2)</f>
        <v>0</v>
      </c>
      <c r="AD29" s="156" t="s">
        <v>286</v>
      </c>
      <c r="AE29" s="83">
        <f>ROUND(IFERROR(AE16-$AE$27,""),2)</f>
        <v>0</v>
      </c>
      <c r="AF29" s="84">
        <f>ROUND(IFERROR(AF16-$AF$27,""),2)</f>
        <v>0</v>
      </c>
      <c r="AG29" s="83">
        <f ca="1">ROUND(IFERROR(AG16-AG27,""),2)</f>
        <v>0</v>
      </c>
      <c r="AH29" s="100">
        <f ca="1">ROUND(IFERROR(AH16-AH27,""),2)</f>
        <v>0</v>
      </c>
      <c r="AK29" s="156" t="s">
        <v>286</v>
      </c>
      <c r="AL29" s="83">
        <f>ROUND(IFERROR(AL16-$AL$27,""),2)</f>
        <v>0</v>
      </c>
      <c r="AM29" s="84">
        <f>ROUND(IFERROR(AM16-$AM$27,""),2)</f>
        <v>0</v>
      </c>
      <c r="AN29" s="83">
        <f ca="1">ROUND(IFERROR(AN16-AN27,""),2)</f>
        <v>0</v>
      </c>
      <c r="AO29" s="100">
        <f ca="1">ROUND(IFERROR(AO16-AO27,""),2)</f>
        <v>0</v>
      </c>
      <c r="AR29" s="156" t="s">
        <v>286</v>
      </c>
      <c r="AS29" s="83">
        <f>ROUND(IFERROR(AS16-$AS$27,""),2)</f>
        <v>0</v>
      </c>
      <c r="AT29" s="84">
        <f>ROUND(IFERROR(AT16-$AT$27,""),2)</f>
        <v>0</v>
      </c>
      <c r="AU29" s="83">
        <f ca="1">ROUND(IFERROR(AU16-AU27,""),2)</f>
        <v>0</v>
      </c>
      <c r="AV29" s="100">
        <f ca="1">ROUND(IFERROR(AV16-AV27,""),2)</f>
        <v>0</v>
      </c>
      <c r="AY29" s="156" t="s">
        <v>286</v>
      </c>
      <c r="AZ29" s="83">
        <f>ROUND(IFERROR(AZ16-$AZ$27,""),2)</f>
        <v>0</v>
      </c>
      <c r="BA29" s="84">
        <f>ROUND(IFERROR(BA16-$BA$27,""),2)</f>
        <v>0</v>
      </c>
      <c r="BB29" s="83">
        <f ca="1">ROUND(IFERROR(BB16-BB27,""),2)</f>
        <v>0</v>
      </c>
      <c r="BC29" s="100">
        <f ca="1">ROUND(IFERROR(BC16-BC27,""),2)</f>
        <v>0</v>
      </c>
      <c r="BF29" s="156" t="s">
        <v>286</v>
      </c>
      <c r="BG29" s="83">
        <f>ROUND(IFERROR(BG16-$BG$27,""),2)</f>
        <v>0</v>
      </c>
      <c r="BH29" s="84">
        <f>ROUND(IFERROR(BH16-$BH$27,""),2)</f>
        <v>0</v>
      </c>
      <c r="BI29" s="83">
        <f ca="1">ROUND(IFERROR(BI16-BI27,""),2)</f>
        <v>0</v>
      </c>
      <c r="BJ29" s="100">
        <f ca="1">ROUND(IFERROR(BJ16-BJ27,""),2)</f>
        <v>0</v>
      </c>
      <c r="BM29" s="156" t="s">
        <v>286</v>
      </c>
      <c r="BN29" s="83">
        <f>ROUND(IFERROR(BN16-$BN$27,""),2)</f>
        <v>0</v>
      </c>
      <c r="BO29" s="84">
        <f>ROUND(IFERROR(BO16-$BO$27,""),2)</f>
        <v>0</v>
      </c>
      <c r="BP29" s="83">
        <f ca="1">ROUND(IFERROR(BP16-BP27,""),2)</f>
        <v>0</v>
      </c>
      <c r="BQ29" s="100">
        <f ca="1">ROUND(IFERROR(BQ16-BQ27,""),2)</f>
        <v>0</v>
      </c>
      <c r="BT29" s="156" t="s">
        <v>286</v>
      </c>
      <c r="BU29" s="83">
        <f>ROUND(IFERROR(BU16-$BU$27,""),2)</f>
        <v>0</v>
      </c>
      <c r="BV29" s="84">
        <f>ROUND(IFERROR(BV16-$BV$27,""),2)</f>
        <v>0</v>
      </c>
      <c r="BW29" s="83">
        <f ca="1">ROUND(IFERROR(BW16-BW27,""),2)</f>
        <v>0</v>
      </c>
      <c r="BX29" s="100">
        <f ca="1">ROUND(IFERROR(BX16-BX27,""),2)</f>
        <v>0</v>
      </c>
      <c r="CA29" s="156" t="s">
        <v>286</v>
      </c>
      <c r="CB29" s="83">
        <f>ROUND(IFERROR(CB16-$CB$27,""),2)</f>
        <v>0</v>
      </c>
      <c r="CC29" s="84">
        <f>ROUND(IFERROR(CC16-$CC$27,""),2)</f>
        <v>0</v>
      </c>
      <c r="CD29" s="83">
        <f ca="1">ROUND(IFERROR(CD16-CD27,""),2)</f>
        <v>0</v>
      </c>
      <c r="CE29" s="100">
        <f ca="1">ROUND(IFERROR(CE16-CE27,""),2)</f>
        <v>0</v>
      </c>
      <c r="CH29" s="156" t="s">
        <v>286</v>
      </c>
      <c r="CI29" s="83">
        <f>ROUND(IFERROR(CI16-$CI$27,""),2)</f>
        <v>0</v>
      </c>
      <c r="CJ29" s="84">
        <f>ROUND(IFERROR(CJ16-$CJ$27,""),2)</f>
        <v>0</v>
      </c>
      <c r="CK29" s="83">
        <f ca="1">ROUND(IFERROR(CK16-CK27,""),2)</f>
        <v>0</v>
      </c>
      <c r="CL29" s="100">
        <f ca="1">ROUND(IFERROR(CL16-CL27,""),2)</f>
        <v>0</v>
      </c>
      <c r="CO29" s="156" t="s">
        <v>286</v>
      </c>
      <c r="CP29" s="83">
        <f>ROUND(IFERROR(CP16-$CP$27,""),2)</f>
        <v>0</v>
      </c>
      <c r="CQ29" s="84">
        <f>ROUND(IFERROR(CQ16-$CQ$27,""),2)</f>
        <v>0</v>
      </c>
      <c r="CR29" s="83">
        <f ca="1">ROUND(IFERROR(CR16-CR27,""),2)</f>
        <v>0</v>
      </c>
      <c r="CS29" s="100">
        <f ca="1">ROUND(IFERROR(CS16-CS27,""),2)</f>
        <v>0</v>
      </c>
      <c r="CV29" s="156" t="s">
        <v>286</v>
      </c>
      <c r="CW29" s="83">
        <f>ROUND(IFERROR(CW16-$CW$27,""),2)</f>
        <v>0</v>
      </c>
      <c r="CX29" s="84">
        <f>ROUND(IFERROR(CX16-$CX$27,""),2)</f>
        <v>0</v>
      </c>
      <c r="CY29" s="83">
        <f ca="1">ROUND(IFERROR(CY16-CY27,""),2)</f>
        <v>0</v>
      </c>
      <c r="CZ29" s="100">
        <f ca="1">ROUND(IFERROR(CZ16-CZ27,""),2)</f>
        <v>0</v>
      </c>
      <c r="DC29" s="156" t="s">
        <v>286</v>
      </c>
      <c r="DD29" s="83">
        <f>ROUND(IFERROR(DD16-$DD$27,""),2)</f>
        <v>0</v>
      </c>
      <c r="DE29" s="84">
        <f>ROUND(IFERROR(DE16-$DE$27,""),2)</f>
        <v>0</v>
      </c>
      <c r="DF29" s="83">
        <f ca="1">ROUND(IFERROR(DF16-DF27,""),2)</f>
        <v>0</v>
      </c>
      <c r="DG29" s="100">
        <f ca="1">ROUND(IFERROR(DG16-DG27,""),2)</f>
        <v>0</v>
      </c>
      <c r="DJ29" s="156" t="s">
        <v>286</v>
      </c>
      <c r="DK29" s="83">
        <f>ROUND(IFERROR(DK16-$DK$27,""),2)</f>
        <v>0</v>
      </c>
      <c r="DL29" s="84">
        <f>ROUND(IFERROR(DL16-$DL$27,""),2)</f>
        <v>0</v>
      </c>
      <c r="DM29" s="83">
        <f ca="1">ROUND(IFERROR(DM16-DM27,""),2)</f>
        <v>0</v>
      </c>
      <c r="DN29" s="100">
        <f ca="1">ROUND(IFERROR(DN16-DN27,""),2)</f>
        <v>0</v>
      </c>
      <c r="DQ29" s="156" t="s">
        <v>286</v>
      </c>
      <c r="DR29" s="83">
        <f>ROUND(IFERROR(DR16-$DR$27,""),2)</f>
        <v>0</v>
      </c>
      <c r="DS29" s="84">
        <f>ROUND(IFERROR(DS16-$DS$27,""),2)</f>
        <v>0</v>
      </c>
      <c r="DT29" s="83">
        <f ca="1">ROUND(IFERROR(DT16-DT27,""),2)</f>
        <v>0</v>
      </c>
      <c r="DU29" s="100">
        <f ca="1">ROUND(IFERROR(DU16-DU27,""),2)</f>
        <v>0</v>
      </c>
    </row>
    <row r="30" spans="2:125" x14ac:dyDescent="0.25">
      <c r="B30" s="35"/>
      <c r="F30" s="36"/>
      <c r="I30" s="35"/>
      <c r="M30" s="36"/>
      <c r="P30" s="35"/>
      <c r="T30" s="36"/>
      <c r="W30" s="35"/>
      <c r="AA30" s="36"/>
      <c r="AD30" s="35"/>
      <c r="AH30" s="36"/>
      <c r="AK30" s="35"/>
      <c r="AO30" s="36"/>
      <c r="AR30" s="35"/>
      <c r="AV30" s="36"/>
      <c r="AY30" s="35"/>
      <c r="BC30" s="36"/>
      <c r="BF30" s="35"/>
      <c r="BJ30" s="36"/>
      <c r="BM30" s="35"/>
      <c r="BQ30" s="36"/>
      <c r="BT30" s="35"/>
      <c r="BX30" s="36"/>
      <c r="CA30" s="35"/>
      <c r="CE30" s="36"/>
      <c r="CH30" s="35"/>
      <c r="CL30" s="36"/>
      <c r="CO30" s="35"/>
      <c r="CS30" s="36"/>
      <c r="CV30" s="35"/>
      <c r="CZ30" s="36"/>
      <c r="DC30" s="35"/>
      <c r="DG30" s="36"/>
      <c r="DJ30" s="35"/>
      <c r="DN30" s="36"/>
      <c r="DQ30" s="35"/>
      <c r="DU30" s="36"/>
    </row>
    <row r="31" spans="2:125" ht="16.5" x14ac:dyDescent="0.25">
      <c r="B31" s="162" t="s">
        <v>287</v>
      </c>
      <c r="F31" s="36"/>
      <c r="I31" s="162" t="s">
        <v>287</v>
      </c>
      <c r="M31" s="36"/>
      <c r="P31" s="162" t="s">
        <v>287</v>
      </c>
      <c r="T31" s="36"/>
      <c r="W31" s="162" t="s">
        <v>287</v>
      </c>
      <c r="AA31" s="36"/>
      <c r="AD31" s="162" t="s">
        <v>287</v>
      </c>
      <c r="AH31" s="36"/>
      <c r="AK31" s="162" t="s">
        <v>287</v>
      </c>
      <c r="AO31" s="36"/>
      <c r="AR31" s="162" t="s">
        <v>287</v>
      </c>
      <c r="AV31" s="36"/>
      <c r="AY31" s="162" t="s">
        <v>287</v>
      </c>
      <c r="BC31" s="36"/>
      <c r="BF31" s="162" t="s">
        <v>287</v>
      </c>
      <c r="BJ31" s="36"/>
      <c r="BM31" s="162" t="s">
        <v>287</v>
      </c>
      <c r="BQ31" s="36"/>
      <c r="BT31" s="162" t="s">
        <v>287</v>
      </c>
      <c r="BX31" s="36"/>
      <c r="CA31" s="162" t="s">
        <v>287</v>
      </c>
      <c r="CE31" s="36"/>
      <c r="CH31" s="162" t="s">
        <v>287</v>
      </c>
      <c r="CL31" s="36"/>
      <c r="CO31" s="162" t="s">
        <v>287</v>
      </c>
      <c r="CS31" s="36"/>
      <c r="CV31" s="162" t="s">
        <v>287</v>
      </c>
      <c r="CZ31" s="36"/>
      <c r="DC31" s="162" t="s">
        <v>287</v>
      </c>
      <c r="DG31" s="36"/>
      <c r="DJ31" s="162" t="s">
        <v>287</v>
      </c>
      <c r="DN31" s="36"/>
      <c r="DQ31" s="162" t="s">
        <v>287</v>
      </c>
      <c r="DU31" s="36"/>
    </row>
    <row r="32" spans="2:125" ht="16.5" x14ac:dyDescent="0.25">
      <c r="B32" s="101" t="s">
        <v>288</v>
      </c>
      <c r="C32" s="85"/>
      <c r="D32" s="86">
        <f>IF(C32=0, 0, IF(ROUND(SUM(C33:C34), 2)=0, ROUND(D29 - 0, 2), ROUND(C32 / ROUND(SUM(C32:C34), 2) * D29, 2)))</f>
        <v>0</v>
      </c>
      <c r="F32" s="36"/>
      <c r="I32" s="101" t="s">
        <v>288</v>
      </c>
      <c r="J32" s="85"/>
      <c r="K32" s="86">
        <f>IF(J32=0, 0, IF(ROUND(SUM(J33:J34), 2)=0, ROUND(K29 - 0, 2), ROUND(J32 / ROUND(SUM(J32:J34), 2) * K29, 2)))</f>
        <v>0</v>
      </c>
      <c r="M32" s="36"/>
      <c r="P32" s="101" t="s">
        <v>288</v>
      </c>
      <c r="Q32" s="85"/>
      <c r="R32" s="86">
        <f>IF(Q32=0, 0, IF(ROUND(SUM(Q33:Q34), 2)=0, ROUND(R29 - 0, 2), ROUND(Q32 / ROUND(SUM(Q32:Q34), 2) * R29, 2)))</f>
        <v>0</v>
      </c>
      <c r="T32" s="36"/>
      <c r="W32" s="101" t="s">
        <v>288</v>
      </c>
      <c r="X32" s="85"/>
      <c r="Y32" s="86">
        <f>IF(X32=0, 0, IF(ROUND(SUM(X33:X34), 2)=0, ROUND(Y29 - 0, 2), ROUND(X32 / ROUND(SUM(X32:X34), 2) * Y29, 2)))</f>
        <v>0</v>
      </c>
      <c r="AA32" s="36"/>
      <c r="AD32" s="101" t="s">
        <v>288</v>
      </c>
      <c r="AE32" s="85"/>
      <c r="AF32" s="86">
        <f>IF(AE32=0, 0, IF(ROUND(SUM(AE33:AE34), 2)=0, ROUND(AF29 - 0, 2), ROUND(AE32 / ROUND(SUM(AE32:AE34), 2) * AF29, 2)))</f>
        <v>0</v>
      </c>
      <c r="AH32" s="36"/>
      <c r="AK32" s="101" t="s">
        <v>288</v>
      </c>
      <c r="AL32" s="85"/>
      <c r="AM32" s="86">
        <f>IF(AL32=0, 0, IF(ROUND(SUM(AL33:AL34), 2)=0, ROUND(AM29 - 0, 2), ROUND(AL32 / ROUND(SUM(AL32:AL34), 2) * AM29, 2)))</f>
        <v>0</v>
      </c>
      <c r="AO32" s="36"/>
      <c r="AR32" s="101" t="s">
        <v>288</v>
      </c>
      <c r="AS32" s="85"/>
      <c r="AT32" s="86">
        <f>IF(AS32=0, 0, IF(ROUND(SUM(AS33:AS34), 2)=0, ROUND(AT29 - 0, 2), ROUND(AS32 / ROUND(SUM(AS32:AS34), 2) * AT29, 2)))</f>
        <v>0</v>
      </c>
      <c r="AV32" s="36"/>
      <c r="AY32" s="101" t="s">
        <v>288</v>
      </c>
      <c r="AZ32" s="85"/>
      <c r="BA32" s="86">
        <f>IF(AZ32=0, 0, IF(ROUND(SUM(AZ33:AZ34), 2)=0, ROUND(BA29 - 0, 2), ROUND(AZ32 / ROUND(SUM(AZ32:AZ34), 2) * BA29, 2)))</f>
        <v>0</v>
      </c>
      <c r="BC32" s="36"/>
      <c r="BF32" s="101" t="s">
        <v>288</v>
      </c>
      <c r="BG32" s="85"/>
      <c r="BH32" s="86">
        <f>IF(BG32=0, 0, IF(ROUND(SUM(BG33:BG34), 2)=0, ROUND(BH29 - 0, 2), ROUND(BG32 / ROUND(SUM(BG32:BG34), 2) * BH29, 2)))</f>
        <v>0</v>
      </c>
      <c r="BJ32" s="36"/>
      <c r="BM32" s="101" t="s">
        <v>288</v>
      </c>
      <c r="BN32" s="85"/>
      <c r="BO32" s="86">
        <f>IF(BN32=0, 0, IF(ROUND(SUM(BN33:BN34), 2)=0, ROUND(BO29 - 0, 2), ROUND(BN32 / ROUND(SUM(BN32:BN34), 2) * BO29, 2)))</f>
        <v>0</v>
      </c>
      <c r="BQ32" s="36"/>
      <c r="BT32" s="101" t="s">
        <v>288</v>
      </c>
      <c r="BU32" s="85"/>
      <c r="BV32" s="86">
        <f>IF(BU32=0, 0, IF(ROUND(SUM(BU33:BU34), 2)=0, ROUND(BV29 - 0, 2), ROUND(BU32 / ROUND(SUM(BU32:BU34), 2) * BV29, 2)))</f>
        <v>0</v>
      </c>
      <c r="BX32" s="36"/>
      <c r="CA32" s="101" t="s">
        <v>288</v>
      </c>
      <c r="CB32" s="85"/>
      <c r="CC32" s="86">
        <f>IF(CB32=0, 0, IF(ROUND(SUM(CB33:CB34), 2)=0, ROUND(CC29 - 0, 2), ROUND(CB32 / ROUND(SUM(CB32:CB34), 2) * CC29, 2)))</f>
        <v>0</v>
      </c>
      <c r="CE32" s="36"/>
      <c r="CH32" s="101" t="s">
        <v>288</v>
      </c>
      <c r="CI32" s="85"/>
      <c r="CJ32" s="86">
        <f>IF(CI32=0, 0, IF(ROUND(SUM(CI33:CI34), 2)=0, ROUND(CJ29 - 0, 2), ROUND(CI32 / ROUND(SUM(CI32:CI34), 2) * CJ29, 2)))</f>
        <v>0</v>
      </c>
      <c r="CL32" s="36"/>
      <c r="CO32" s="101" t="s">
        <v>288</v>
      </c>
      <c r="CP32" s="85"/>
      <c r="CQ32" s="86">
        <f>IF(CP32=0, 0, IF(ROUND(SUM(CP33:CP34), 2)=0, ROUND(CQ29 - 0, 2), ROUND(CP32 / ROUND(SUM(CP32:CP34), 2) * CQ29, 2)))</f>
        <v>0</v>
      </c>
      <c r="CS32" s="36"/>
      <c r="CV32" s="101" t="s">
        <v>288</v>
      </c>
      <c r="CW32" s="85"/>
      <c r="CX32" s="86">
        <f>IF(CW32=0, 0, IF(ROUND(SUM(CW33:CW34), 2)=0, ROUND(CX29 - 0, 2), ROUND(CW32 / ROUND(SUM(CW32:CW34), 2) * CX29, 2)))</f>
        <v>0</v>
      </c>
      <c r="CZ32" s="36"/>
      <c r="DC32" s="101" t="s">
        <v>288</v>
      </c>
      <c r="DD32" s="85"/>
      <c r="DE32" s="86">
        <f>IF(DD32=0, 0, IF(ROUND(SUM(DD33:DD34), 2)=0, ROUND(DE29 - 0, 2), ROUND(DD32 / ROUND(SUM(DD32:DD34), 2) * DE29, 2)))</f>
        <v>0</v>
      </c>
      <c r="DG32" s="36"/>
      <c r="DJ32" s="101" t="s">
        <v>288</v>
      </c>
      <c r="DK32" s="85"/>
      <c r="DL32" s="86">
        <f>IF(DK32=0, 0, IF(ROUND(SUM(DK33:DK34), 2)=0, ROUND(DL29 - 0, 2), ROUND(DK32 / ROUND(SUM(DK32:DK34), 2) * DL29, 2)))</f>
        <v>0</v>
      </c>
      <c r="DN32" s="36"/>
      <c r="DQ32" s="101" t="s">
        <v>288</v>
      </c>
      <c r="DR32" s="85"/>
      <c r="DS32" s="86">
        <f>IF(DR32=0, 0, IF(ROUND(SUM(DR33:DR34), 2)=0, ROUND(DS29 - 0, 2), ROUND(DR32 / ROUND(SUM(DR32:DR34), 2) * DS29, 2)))</f>
        <v>0</v>
      </c>
      <c r="DU32" s="36"/>
    </row>
    <row r="33" spans="2:125" ht="16.5" x14ac:dyDescent="0.25">
      <c r="B33" s="101" t="s">
        <v>289</v>
      </c>
      <c r="C33" s="85"/>
      <c r="D33" s="86">
        <f>IF(C33=0, 0, IF(ROUND(SUM(C34:C34), 2)=0, ROUND(D29 - SUM(D32:D32), 2), ROUND(C33 / ROUND(SUM(C32:C34), 2) * D29, 2)))</f>
        <v>0</v>
      </c>
      <c r="F33" s="36"/>
      <c r="I33" s="101" t="s">
        <v>289</v>
      </c>
      <c r="J33" s="85"/>
      <c r="K33" s="86">
        <f>IF(J33=0, 0, IF(ROUND(SUM(J34:J34), 2)=0, ROUND(K29 - SUM(K32:K32), 2), ROUND(J33 / ROUND(SUM(J32:J34), 2) * K29, 2)))</f>
        <v>0</v>
      </c>
      <c r="M33" s="36"/>
      <c r="P33" s="101" t="s">
        <v>289</v>
      </c>
      <c r="Q33" s="85"/>
      <c r="R33" s="86">
        <f>IF(Q33=0, 0, IF(ROUND(SUM(Q34:Q34), 2)=0, ROUND(R29 - SUM(R32:R32), 2), ROUND(Q33 / ROUND(SUM(Q32:Q34), 2) * R29, 2)))</f>
        <v>0</v>
      </c>
      <c r="T33" s="36"/>
      <c r="W33" s="101" t="s">
        <v>289</v>
      </c>
      <c r="X33" s="85"/>
      <c r="Y33" s="86">
        <f>IF(X33=0, 0, IF(ROUND(SUM(X34:X34), 2)=0, ROUND(Y29 - SUM(Y32:Y32), 2), ROUND(X33 / ROUND(SUM(X32:X34), 2) * Y29, 2)))</f>
        <v>0</v>
      </c>
      <c r="AA33" s="36"/>
      <c r="AD33" s="101" t="s">
        <v>289</v>
      </c>
      <c r="AE33" s="85"/>
      <c r="AF33" s="86">
        <f>IF(AE33=0, 0, IF(ROUND(SUM(AE34:AE34), 2)=0, ROUND(AF29 - SUM(AF32:AF32), 2), ROUND(AE33 / ROUND(SUM(AE32:AE34), 2) * AF29, 2)))</f>
        <v>0</v>
      </c>
      <c r="AH33" s="36"/>
      <c r="AK33" s="101" t="s">
        <v>289</v>
      </c>
      <c r="AL33" s="85"/>
      <c r="AM33" s="86">
        <f>IF(AL33=0, 0, IF(ROUND(SUM(AL34:AL34), 2)=0, ROUND(AM29 - SUM(AM32:AM32), 2), ROUND(AL33 / ROUND(SUM(AL32:AL34), 2) * AM29, 2)))</f>
        <v>0</v>
      </c>
      <c r="AO33" s="36"/>
      <c r="AR33" s="101" t="s">
        <v>289</v>
      </c>
      <c r="AS33" s="85"/>
      <c r="AT33" s="86">
        <f>IF(AS33=0, 0, IF(ROUND(SUM(AS34:AS34), 2)=0, ROUND(AT29 - SUM(AT32:AT32), 2), ROUND(AS33 / ROUND(SUM(AS32:AS34), 2) * AT29, 2)))</f>
        <v>0</v>
      </c>
      <c r="AV33" s="36"/>
      <c r="AY33" s="101" t="s">
        <v>289</v>
      </c>
      <c r="AZ33" s="85"/>
      <c r="BA33" s="86">
        <f>IF(AZ33=0, 0, IF(ROUND(SUM(AZ34:AZ34), 2)=0, ROUND(BA29 - SUM(BA32:BA32), 2), ROUND(AZ33 / ROUND(SUM(AZ32:AZ34), 2) * BA29, 2)))</f>
        <v>0</v>
      </c>
      <c r="BC33" s="36"/>
      <c r="BF33" s="101" t="s">
        <v>289</v>
      </c>
      <c r="BG33" s="85"/>
      <c r="BH33" s="86">
        <f>IF(BG33=0, 0, IF(ROUND(SUM(BG34:BG34), 2)=0, ROUND(BH29 - SUM(BH32:BH32), 2), ROUND(BG33 / ROUND(SUM(BG32:BG34), 2) * BH29, 2)))</f>
        <v>0</v>
      </c>
      <c r="BJ33" s="36"/>
      <c r="BM33" s="101" t="s">
        <v>289</v>
      </c>
      <c r="BN33" s="85"/>
      <c r="BO33" s="86">
        <f>IF(BN33=0, 0, IF(ROUND(SUM(BN34:BN34), 2)=0, ROUND(BO29 - SUM(BO32:BO32), 2), ROUND(BN33 / ROUND(SUM(BN32:BN34), 2) * BO29, 2)))</f>
        <v>0</v>
      </c>
      <c r="BQ33" s="36"/>
      <c r="BT33" s="101" t="s">
        <v>289</v>
      </c>
      <c r="BU33" s="85"/>
      <c r="BV33" s="86">
        <f>IF(BU33=0, 0, IF(ROUND(SUM(BU34:BU34), 2)=0, ROUND(BV29 - SUM(BV32:BV32), 2), ROUND(BU33 / ROUND(SUM(BU32:BU34), 2) * BV29, 2)))</f>
        <v>0</v>
      </c>
      <c r="BX33" s="36"/>
      <c r="CA33" s="101" t="s">
        <v>289</v>
      </c>
      <c r="CB33" s="85"/>
      <c r="CC33" s="86">
        <f>IF(CB33=0, 0, IF(ROUND(SUM(CB34:CB34), 2)=0, ROUND(CC29 - SUM(CC32:CC32), 2), ROUND(CB33 / ROUND(SUM(CB32:CB34), 2) * CC29, 2)))</f>
        <v>0</v>
      </c>
      <c r="CE33" s="36"/>
      <c r="CH33" s="101" t="s">
        <v>289</v>
      </c>
      <c r="CI33" s="85"/>
      <c r="CJ33" s="86">
        <f>IF(CI33=0, 0, IF(ROUND(SUM(CI34:CI34), 2)=0, ROUND(CJ29 - SUM(CJ32:CJ32), 2), ROUND(CI33 / ROUND(SUM(CI32:CI34), 2) * CJ29, 2)))</f>
        <v>0</v>
      </c>
      <c r="CL33" s="36"/>
      <c r="CO33" s="101" t="s">
        <v>289</v>
      </c>
      <c r="CP33" s="85"/>
      <c r="CQ33" s="86">
        <f>IF(CP33=0, 0, IF(ROUND(SUM(CP34:CP34), 2)=0, ROUND(CQ29 - SUM(CQ32:CQ32), 2), ROUND(CP33 / ROUND(SUM(CP32:CP34), 2) * CQ29, 2)))</f>
        <v>0</v>
      </c>
      <c r="CS33" s="36"/>
      <c r="CV33" s="101" t="s">
        <v>289</v>
      </c>
      <c r="CW33" s="85"/>
      <c r="CX33" s="86">
        <f>IF(CW33=0, 0, IF(ROUND(SUM(CW34:CW34), 2)=0, ROUND(CX29 - SUM(CX32:CX32), 2), ROUND(CW33 / ROUND(SUM(CW32:CW34), 2) * CX29, 2)))</f>
        <v>0</v>
      </c>
      <c r="CZ33" s="36"/>
      <c r="DC33" s="101" t="s">
        <v>289</v>
      </c>
      <c r="DD33" s="85"/>
      <c r="DE33" s="86">
        <f>IF(DD33=0, 0, IF(ROUND(SUM(DD34:DD34), 2)=0, ROUND(DE29 - SUM(DE32:DE32), 2), ROUND(DD33 / ROUND(SUM(DD32:DD34), 2) * DE29, 2)))</f>
        <v>0</v>
      </c>
      <c r="DG33" s="36"/>
      <c r="DJ33" s="101" t="s">
        <v>289</v>
      </c>
      <c r="DK33" s="85"/>
      <c r="DL33" s="86">
        <f>IF(DK33=0, 0, IF(ROUND(SUM(DK34:DK34), 2)=0, ROUND(DL29 - SUM(DL32:DL32), 2), ROUND(DK33 / ROUND(SUM(DK32:DK34), 2) * DL29, 2)))</f>
        <v>0</v>
      </c>
      <c r="DN33" s="36"/>
      <c r="DQ33" s="101" t="s">
        <v>289</v>
      </c>
      <c r="DR33" s="85"/>
      <c r="DS33" s="86">
        <f>IF(DR33=0, 0, IF(ROUND(SUM(DR34:DR34), 2)=0, ROUND(DS29 - SUM(DS32:DS32), 2), ROUND(DR33 / ROUND(SUM(DR32:DR34), 2) * DS29, 2)))</f>
        <v>0</v>
      </c>
      <c r="DU33" s="36"/>
    </row>
    <row r="34" spans="2:125" ht="16.5" x14ac:dyDescent="0.25">
      <c r="B34" s="101" t="s">
        <v>290</v>
      </c>
      <c r="C34" s="85"/>
      <c r="D34" s="86">
        <f>IF(C34=0, 0, ROUND(D29 - SUM(D32:D33), 2))</f>
        <v>0</v>
      </c>
      <c r="F34" s="36"/>
      <c r="I34" s="101" t="s">
        <v>290</v>
      </c>
      <c r="J34" s="85"/>
      <c r="K34" s="86">
        <f>IF(J34=0, 0, ROUND(K29 - SUM(K32:K33), 2))</f>
        <v>0</v>
      </c>
      <c r="M34" s="36"/>
      <c r="P34" s="101" t="s">
        <v>290</v>
      </c>
      <c r="Q34" s="85"/>
      <c r="R34" s="86">
        <f>IF(Q34=0, 0, ROUND(R29 - SUM(R32:R33), 2))</f>
        <v>0</v>
      </c>
      <c r="T34" s="36"/>
      <c r="W34" s="101" t="s">
        <v>290</v>
      </c>
      <c r="X34" s="85"/>
      <c r="Y34" s="86">
        <f>IF(X34=0, 0, ROUND(Y29 - SUM(Y32:Y33), 2))</f>
        <v>0</v>
      </c>
      <c r="AA34" s="36"/>
      <c r="AD34" s="101" t="s">
        <v>290</v>
      </c>
      <c r="AE34" s="85"/>
      <c r="AF34" s="86">
        <f>IF(AE34=0, 0, ROUND(AF29 - SUM(AF32:AF33), 2))</f>
        <v>0</v>
      </c>
      <c r="AH34" s="36"/>
      <c r="AK34" s="101" t="s">
        <v>290</v>
      </c>
      <c r="AL34" s="85"/>
      <c r="AM34" s="86">
        <f>IF(AL34=0, 0, ROUND(AM29 - SUM(AM32:AM33), 2))</f>
        <v>0</v>
      </c>
      <c r="AO34" s="36"/>
      <c r="AR34" s="101" t="s">
        <v>290</v>
      </c>
      <c r="AS34" s="85"/>
      <c r="AT34" s="86">
        <f>IF(AS34=0, 0, ROUND(AT29 - SUM(AT32:AT33), 2))</f>
        <v>0</v>
      </c>
      <c r="AV34" s="36"/>
      <c r="AY34" s="101" t="s">
        <v>290</v>
      </c>
      <c r="AZ34" s="85"/>
      <c r="BA34" s="86">
        <f>IF(AZ34=0, 0, ROUND(BA29 - SUM(BA32:BA33), 2))</f>
        <v>0</v>
      </c>
      <c r="BC34" s="36"/>
      <c r="BF34" s="101" t="s">
        <v>290</v>
      </c>
      <c r="BG34" s="85"/>
      <c r="BH34" s="86">
        <f>IF(BG34=0, 0, ROUND(BH29 - SUM(BH32:BH33), 2))</f>
        <v>0</v>
      </c>
      <c r="BJ34" s="36"/>
      <c r="BM34" s="101" t="s">
        <v>290</v>
      </c>
      <c r="BN34" s="85"/>
      <c r="BO34" s="86">
        <f>IF(BN34=0, 0, ROUND(BO29 - SUM(BO32:BO33), 2))</f>
        <v>0</v>
      </c>
      <c r="BQ34" s="36"/>
      <c r="BT34" s="101" t="s">
        <v>290</v>
      </c>
      <c r="BU34" s="85"/>
      <c r="BV34" s="86">
        <f>IF(BU34=0, 0, ROUND(BV29 - SUM(BV32:BV33), 2))</f>
        <v>0</v>
      </c>
      <c r="BX34" s="36"/>
      <c r="CA34" s="101" t="s">
        <v>290</v>
      </c>
      <c r="CB34" s="85"/>
      <c r="CC34" s="86">
        <f>IF(CB34=0, 0, ROUND(CC29 - SUM(CC32:CC33), 2))</f>
        <v>0</v>
      </c>
      <c r="CE34" s="36"/>
      <c r="CH34" s="101" t="s">
        <v>290</v>
      </c>
      <c r="CI34" s="85"/>
      <c r="CJ34" s="86">
        <f>IF(CI34=0, 0, ROUND(CJ29 - SUM(CJ32:CJ33), 2))</f>
        <v>0</v>
      </c>
      <c r="CL34" s="36"/>
      <c r="CO34" s="101" t="s">
        <v>290</v>
      </c>
      <c r="CP34" s="85"/>
      <c r="CQ34" s="86">
        <f>IF(CP34=0, 0, ROUND(CQ29 - SUM(CQ32:CQ33), 2))</f>
        <v>0</v>
      </c>
      <c r="CS34" s="36"/>
      <c r="CV34" s="101" t="s">
        <v>290</v>
      </c>
      <c r="CW34" s="85"/>
      <c r="CX34" s="86">
        <f>IF(CW34=0, 0, ROUND(CX29 - SUM(CX32:CX33), 2))</f>
        <v>0</v>
      </c>
      <c r="CZ34" s="36"/>
      <c r="DC34" s="101" t="s">
        <v>290</v>
      </c>
      <c r="DD34" s="85"/>
      <c r="DE34" s="86">
        <f>IF(DD34=0, 0, ROUND(DE29 - SUM(DE32:DE33), 2))</f>
        <v>0</v>
      </c>
      <c r="DG34" s="36"/>
      <c r="DJ34" s="101" t="s">
        <v>290</v>
      </c>
      <c r="DK34" s="85"/>
      <c r="DL34" s="86">
        <f>IF(DK34=0, 0, ROUND(DL29 - SUM(DL32:DL33), 2))</f>
        <v>0</v>
      </c>
      <c r="DN34" s="36"/>
      <c r="DQ34" s="101" t="s">
        <v>290</v>
      </c>
      <c r="DR34" s="85"/>
      <c r="DS34" s="86">
        <f>IF(DR34=0, 0, ROUND(DS29 - SUM(DS32:DS33), 2))</f>
        <v>0</v>
      </c>
      <c r="DU34" s="36"/>
    </row>
    <row r="35" spans="2:125" x14ac:dyDescent="0.25">
      <c r="B35" s="35"/>
      <c r="F35" s="36"/>
      <c r="I35" s="35"/>
      <c r="M35" s="36"/>
      <c r="P35" s="35"/>
      <c r="T35" s="36"/>
      <c r="W35" s="35"/>
      <c r="AA35" s="36"/>
      <c r="AD35" s="35"/>
      <c r="AH35" s="36"/>
      <c r="AK35" s="35"/>
      <c r="AO35" s="36"/>
      <c r="AR35" s="35"/>
      <c r="AV35" s="36"/>
      <c r="AY35" s="35"/>
      <c r="BC35" s="36"/>
      <c r="BF35" s="35"/>
      <c r="BJ35" s="36"/>
      <c r="BM35" s="35"/>
      <c r="BQ35" s="36"/>
      <c r="BT35" s="35"/>
      <c r="BX35" s="36"/>
      <c r="CA35" s="35"/>
      <c r="CE35" s="36"/>
      <c r="CH35" s="35"/>
      <c r="CL35" s="36"/>
      <c r="CO35" s="35"/>
      <c r="CS35" s="36"/>
      <c r="CV35" s="35"/>
      <c r="CZ35" s="36"/>
      <c r="DC35" s="35"/>
      <c r="DG35" s="36"/>
      <c r="DJ35" s="35"/>
      <c r="DN35" s="36"/>
      <c r="DQ35" s="35"/>
      <c r="DU35" s="36"/>
    </row>
    <row r="36" spans="2:125" x14ac:dyDescent="0.25">
      <c r="B36" s="102" t="s">
        <v>291</v>
      </c>
      <c r="C36" s="103">
        <f>ROUND(IFERROR(C29-SUM(C32:C34),""),2)</f>
        <v>0</v>
      </c>
      <c r="D36" s="104">
        <f>ROUND(IFERROR(D29-SUM(D32:D34),""),2)</f>
        <v>0</v>
      </c>
      <c r="E36" s="105"/>
      <c r="F36" s="106"/>
      <c r="I36" s="102" t="s">
        <v>291</v>
      </c>
      <c r="J36" s="103">
        <f>ROUND(IFERROR(J29-SUM(J32:J34),""),2)</f>
        <v>0</v>
      </c>
      <c r="K36" s="104">
        <f>ROUND(IFERROR(K29-SUM(K32:K34),""),2)</f>
        <v>0</v>
      </c>
      <c r="L36" s="105"/>
      <c r="M36" s="106"/>
      <c r="P36" s="102" t="s">
        <v>291</v>
      </c>
      <c r="Q36" s="103">
        <f>ROUND(IFERROR(Q29-SUM(Q32:Q34),""),2)</f>
        <v>0</v>
      </c>
      <c r="R36" s="104">
        <f>ROUND(IFERROR(R29-SUM(R32:R34),""),2)</f>
        <v>0</v>
      </c>
      <c r="S36" s="105"/>
      <c r="T36" s="106"/>
      <c r="W36" s="102" t="s">
        <v>291</v>
      </c>
      <c r="X36" s="103">
        <f>ROUND(IFERROR(X29-SUM(X32:X34),""),2)</f>
        <v>0</v>
      </c>
      <c r="Y36" s="104">
        <f>ROUND(IFERROR(Y29-SUM(Y32:Y34),""),2)</f>
        <v>0</v>
      </c>
      <c r="Z36" s="105"/>
      <c r="AA36" s="106"/>
      <c r="AD36" s="102" t="s">
        <v>291</v>
      </c>
      <c r="AE36" s="103">
        <f>ROUND(IFERROR(AE29-SUM(AE32:AE34),""),2)</f>
        <v>0</v>
      </c>
      <c r="AF36" s="104">
        <f>ROUND(IFERROR(AF29-SUM(AF32:AF34),""),2)</f>
        <v>0</v>
      </c>
      <c r="AG36" s="105"/>
      <c r="AH36" s="106"/>
      <c r="AK36" s="102" t="s">
        <v>291</v>
      </c>
      <c r="AL36" s="103">
        <f>ROUND(IFERROR(AL29-SUM(AL32:AL34),""),2)</f>
        <v>0</v>
      </c>
      <c r="AM36" s="104">
        <f>ROUND(IFERROR(AM29-SUM(AM32:AM34),""),2)</f>
        <v>0</v>
      </c>
      <c r="AN36" s="105"/>
      <c r="AO36" s="106"/>
      <c r="AR36" s="102" t="s">
        <v>291</v>
      </c>
      <c r="AS36" s="103">
        <f>ROUND(IFERROR(AS29-SUM(AS32:AS34),""),2)</f>
        <v>0</v>
      </c>
      <c r="AT36" s="104">
        <f>ROUND(IFERROR(AT29-SUM(AT32:AT34),""),2)</f>
        <v>0</v>
      </c>
      <c r="AU36" s="105"/>
      <c r="AV36" s="106"/>
      <c r="AY36" s="102" t="s">
        <v>291</v>
      </c>
      <c r="AZ36" s="103">
        <f>ROUND(IFERROR(AZ29-SUM(AZ32:AZ34),""),2)</f>
        <v>0</v>
      </c>
      <c r="BA36" s="104">
        <f>ROUND(IFERROR(BA29-SUM(BA32:BA34),""),2)</f>
        <v>0</v>
      </c>
      <c r="BB36" s="105"/>
      <c r="BC36" s="106"/>
      <c r="BF36" s="102" t="s">
        <v>291</v>
      </c>
      <c r="BG36" s="103">
        <f>ROUND(IFERROR(BG29-SUM(BG32:BG34),""),2)</f>
        <v>0</v>
      </c>
      <c r="BH36" s="104">
        <f>ROUND(IFERROR(BH29-SUM(BH32:BH34),""),2)</f>
        <v>0</v>
      </c>
      <c r="BI36" s="105"/>
      <c r="BJ36" s="106"/>
      <c r="BM36" s="102" t="s">
        <v>291</v>
      </c>
      <c r="BN36" s="103">
        <f>ROUND(IFERROR(BN29-SUM(BN32:BN34),""),2)</f>
        <v>0</v>
      </c>
      <c r="BO36" s="104">
        <f>ROUND(IFERROR(BO29-SUM(BO32:BO34),""),2)</f>
        <v>0</v>
      </c>
      <c r="BP36" s="105"/>
      <c r="BQ36" s="106"/>
      <c r="BT36" s="102" t="s">
        <v>291</v>
      </c>
      <c r="BU36" s="103">
        <f>ROUND(IFERROR(BU29-SUM(BU32:BU34),""),2)</f>
        <v>0</v>
      </c>
      <c r="BV36" s="104">
        <f>ROUND(IFERROR(BV29-SUM(BV32:BV34),""),2)</f>
        <v>0</v>
      </c>
      <c r="BW36" s="105"/>
      <c r="BX36" s="106"/>
      <c r="CA36" s="102" t="s">
        <v>291</v>
      </c>
      <c r="CB36" s="103">
        <f>ROUND(IFERROR(CB29-SUM(CB32:CB34),""),2)</f>
        <v>0</v>
      </c>
      <c r="CC36" s="104">
        <f>ROUND(IFERROR(CC29-SUM(CC32:CC34),""),2)</f>
        <v>0</v>
      </c>
      <c r="CD36" s="105"/>
      <c r="CE36" s="106"/>
      <c r="CH36" s="102" t="s">
        <v>291</v>
      </c>
      <c r="CI36" s="103">
        <f>ROUND(IFERROR(CI29-SUM(CI32:CI34),""),2)</f>
        <v>0</v>
      </c>
      <c r="CJ36" s="104">
        <f>ROUND(IFERROR(CJ29-SUM(CJ32:CJ34),""),2)</f>
        <v>0</v>
      </c>
      <c r="CK36" s="105"/>
      <c r="CL36" s="106"/>
      <c r="CO36" s="102" t="s">
        <v>291</v>
      </c>
      <c r="CP36" s="103">
        <f>ROUND(IFERROR(CP29-SUM(CP32:CP34),""),2)</f>
        <v>0</v>
      </c>
      <c r="CQ36" s="104">
        <f>ROUND(IFERROR(CQ29-SUM(CQ32:CQ34),""),2)</f>
        <v>0</v>
      </c>
      <c r="CR36" s="105"/>
      <c r="CS36" s="106"/>
      <c r="CV36" s="102" t="s">
        <v>291</v>
      </c>
      <c r="CW36" s="103">
        <f>ROUND(IFERROR(CW29-SUM(CW32:CW34),""),2)</f>
        <v>0</v>
      </c>
      <c r="CX36" s="104">
        <f>ROUND(IFERROR(CX29-SUM(CX32:CX34),""),2)</f>
        <v>0</v>
      </c>
      <c r="CY36" s="105"/>
      <c r="CZ36" s="106"/>
      <c r="DC36" s="102" t="s">
        <v>291</v>
      </c>
      <c r="DD36" s="103">
        <f>ROUND(IFERROR(DD29-SUM(DD32:DD34),""),2)</f>
        <v>0</v>
      </c>
      <c r="DE36" s="104">
        <f>ROUND(IFERROR(DE29-SUM(DE32:DE34),""),2)</f>
        <v>0</v>
      </c>
      <c r="DF36" s="105"/>
      <c r="DG36" s="106"/>
      <c r="DJ36" s="102" t="s">
        <v>291</v>
      </c>
      <c r="DK36" s="103">
        <f>ROUND(IFERROR(DK29-SUM(DK32:DK34),""),2)</f>
        <v>0</v>
      </c>
      <c r="DL36" s="104">
        <f>ROUND(IFERROR(DL29-SUM(DL32:DL34),""),2)</f>
        <v>0</v>
      </c>
      <c r="DM36" s="105"/>
      <c r="DN36" s="106"/>
      <c r="DQ36" s="102" t="s">
        <v>291</v>
      </c>
      <c r="DR36" s="103">
        <f>ROUND(IFERROR(DR29-SUM(DR32:DR34),""),2)</f>
        <v>0</v>
      </c>
      <c r="DS36" s="104">
        <f>ROUND(IFERROR(DS29-SUM(DS32:DS34),""),2)</f>
        <v>0</v>
      </c>
      <c r="DT36" s="105"/>
      <c r="DU36" s="106"/>
    </row>
    <row r="39" spans="2:125" ht="16.5" x14ac:dyDescent="0.25">
      <c r="B39" s="163" t="s">
        <v>292</v>
      </c>
      <c r="I39" s="163" t="s">
        <v>292</v>
      </c>
      <c r="P39" s="163" t="s">
        <v>292</v>
      </c>
      <c r="W39" s="163" t="s">
        <v>292</v>
      </c>
      <c r="AD39" s="163" t="s">
        <v>292</v>
      </c>
      <c r="AK39" s="163" t="s">
        <v>292</v>
      </c>
      <c r="AR39" s="163" t="s">
        <v>292</v>
      </c>
      <c r="AY39" s="163" t="s">
        <v>292</v>
      </c>
      <c r="BF39" s="163" t="s">
        <v>292</v>
      </c>
      <c r="BM39" s="163" t="s">
        <v>292</v>
      </c>
      <c r="BT39" s="163" t="s">
        <v>292</v>
      </c>
      <c r="CA39" s="163" t="s">
        <v>292</v>
      </c>
      <c r="CH39" s="163" t="s">
        <v>292</v>
      </c>
      <c r="CO39" s="163" t="s">
        <v>292</v>
      </c>
      <c r="CV39" s="163" t="s">
        <v>292</v>
      </c>
      <c r="DC39" s="163" t="s">
        <v>292</v>
      </c>
      <c r="DJ39" s="163" t="s">
        <v>292</v>
      </c>
      <c r="DQ39" s="163" t="s">
        <v>292</v>
      </c>
    </row>
    <row r="40" spans="2:125" ht="16.5" x14ac:dyDescent="0.25">
      <c r="B40" s="80" t="s">
        <v>293</v>
      </c>
      <c r="C40" s="80" t="s">
        <v>294</v>
      </c>
      <c r="D40" s="80" t="s">
        <v>272</v>
      </c>
      <c r="E40" s="80" t="s">
        <v>273</v>
      </c>
      <c r="F40" s="80" t="s">
        <v>295</v>
      </c>
      <c r="I40" s="80" t="s">
        <v>293</v>
      </c>
      <c r="J40" s="80" t="s">
        <v>294</v>
      </c>
      <c r="K40" s="80" t="s">
        <v>272</v>
      </c>
      <c r="L40" s="80" t="s">
        <v>273</v>
      </c>
      <c r="M40" s="80" t="s">
        <v>295</v>
      </c>
      <c r="P40" s="80" t="s">
        <v>293</v>
      </c>
      <c r="Q40" s="80" t="s">
        <v>294</v>
      </c>
      <c r="R40" s="80" t="s">
        <v>272</v>
      </c>
      <c r="S40" s="80" t="s">
        <v>273</v>
      </c>
      <c r="T40" s="80" t="s">
        <v>295</v>
      </c>
      <c r="W40" s="80" t="s">
        <v>293</v>
      </c>
      <c r="X40" s="80" t="s">
        <v>294</v>
      </c>
      <c r="Y40" s="80" t="s">
        <v>272</v>
      </c>
      <c r="Z40" s="80" t="s">
        <v>273</v>
      </c>
      <c r="AA40" s="80" t="s">
        <v>295</v>
      </c>
      <c r="AD40" s="80" t="s">
        <v>293</v>
      </c>
      <c r="AE40" s="80" t="s">
        <v>294</v>
      </c>
      <c r="AF40" s="80" t="s">
        <v>272</v>
      </c>
      <c r="AG40" s="80" t="s">
        <v>273</v>
      </c>
      <c r="AH40" s="80" t="s">
        <v>295</v>
      </c>
      <c r="AK40" s="80" t="s">
        <v>293</v>
      </c>
      <c r="AL40" s="80" t="s">
        <v>294</v>
      </c>
      <c r="AM40" s="80" t="s">
        <v>272</v>
      </c>
      <c r="AN40" s="80" t="s">
        <v>273</v>
      </c>
      <c r="AO40" s="80" t="s">
        <v>295</v>
      </c>
      <c r="AR40" s="80" t="s">
        <v>293</v>
      </c>
      <c r="AS40" s="80" t="s">
        <v>294</v>
      </c>
      <c r="AT40" s="80" t="s">
        <v>272</v>
      </c>
      <c r="AU40" s="80" t="s">
        <v>273</v>
      </c>
      <c r="AV40" s="80" t="s">
        <v>295</v>
      </c>
      <c r="AY40" s="80" t="s">
        <v>293</v>
      </c>
      <c r="AZ40" s="80" t="s">
        <v>294</v>
      </c>
      <c r="BA40" s="80" t="s">
        <v>272</v>
      </c>
      <c r="BB40" s="80" t="s">
        <v>273</v>
      </c>
      <c r="BC40" s="80" t="s">
        <v>295</v>
      </c>
      <c r="BF40" s="80" t="s">
        <v>293</v>
      </c>
      <c r="BG40" s="80" t="s">
        <v>294</v>
      </c>
      <c r="BH40" s="80" t="s">
        <v>272</v>
      </c>
      <c r="BI40" s="80" t="s">
        <v>273</v>
      </c>
      <c r="BJ40" s="80" t="s">
        <v>295</v>
      </c>
      <c r="BM40" s="80" t="s">
        <v>293</v>
      </c>
      <c r="BN40" s="80" t="s">
        <v>294</v>
      </c>
      <c r="BO40" s="80" t="s">
        <v>272</v>
      </c>
      <c r="BP40" s="80" t="s">
        <v>273</v>
      </c>
      <c r="BQ40" s="80" t="s">
        <v>295</v>
      </c>
      <c r="BT40" s="80" t="s">
        <v>293</v>
      </c>
      <c r="BU40" s="80" t="s">
        <v>294</v>
      </c>
      <c r="BV40" s="80" t="s">
        <v>272</v>
      </c>
      <c r="BW40" s="80" t="s">
        <v>273</v>
      </c>
      <c r="BX40" s="80" t="s">
        <v>295</v>
      </c>
      <c r="CA40" s="80" t="s">
        <v>293</v>
      </c>
      <c r="CB40" s="80" t="s">
        <v>294</v>
      </c>
      <c r="CC40" s="80" t="s">
        <v>272</v>
      </c>
      <c r="CD40" s="80" t="s">
        <v>273</v>
      </c>
      <c r="CE40" s="80" t="s">
        <v>295</v>
      </c>
      <c r="CH40" s="80" t="s">
        <v>293</v>
      </c>
      <c r="CI40" s="80" t="s">
        <v>294</v>
      </c>
      <c r="CJ40" s="80" t="s">
        <v>272</v>
      </c>
      <c r="CK40" s="80" t="s">
        <v>273</v>
      </c>
      <c r="CL40" s="80" t="s">
        <v>295</v>
      </c>
      <c r="CO40" s="80" t="s">
        <v>293</v>
      </c>
      <c r="CP40" s="80" t="s">
        <v>294</v>
      </c>
      <c r="CQ40" s="80" t="s">
        <v>272</v>
      </c>
      <c r="CR40" s="80" t="s">
        <v>273</v>
      </c>
      <c r="CS40" s="80" t="s">
        <v>295</v>
      </c>
      <c r="CV40" s="80" t="s">
        <v>293</v>
      </c>
      <c r="CW40" s="80" t="s">
        <v>294</v>
      </c>
      <c r="CX40" s="80" t="s">
        <v>272</v>
      </c>
      <c r="CY40" s="80" t="s">
        <v>273</v>
      </c>
      <c r="CZ40" s="80" t="s">
        <v>295</v>
      </c>
      <c r="DC40" s="80" t="s">
        <v>293</v>
      </c>
      <c r="DD40" s="80" t="s">
        <v>294</v>
      </c>
      <c r="DE40" s="80" t="s">
        <v>272</v>
      </c>
      <c r="DF40" s="80" t="s">
        <v>273</v>
      </c>
      <c r="DG40" s="80" t="s">
        <v>295</v>
      </c>
      <c r="DJ40" s="80" t="s">
        <v>293</v>
      </c>
      <c r="DK40" s="80" t="s">
        <v>294</v>
      </c>
      <c r="DL40" s="80" t="s">
        <v>272</v>
      </c>
      <c r="DM40" s="80" t="s">
        <v>273</v>
      </c>
      <c r="DN40" s="80" t="s">
        <v>295</v>
      </c>
      <c r="DQ40" s="80" t="s">
        <v>293</v>
      </c>
      <c r="DR40" s="80" t="s">
        <v>294</v>
      </c>
      <c r="DS40" s="80" t="s">
        <v>272</v>
      </c>
      <c r="DT40" s="80" t="s">
        <v>273</v>
      </c>
      <c r="DU40" s="80" t="s">
        <v>295</v>
      </c>
    </row>
    <row r="41" spans="2:125" ht="16.5" x14ac:dyDescent="0.3">
      <c r="B41" s="107" t="s">
        <v>296</v>
      </c>
      <c r="C41" s="108" t="s">
        <v>158</v>
      </c>
      <c r="D41" s="109">
        <f>ROUND(C11,2)</f>
        <v>0</v>
      </c>
      <c r="E41" s="110">
        <f>ROUND(D11,2)</f>
        <v>0</v>
      </c>
      <c r="F41" s="111">
        <f t="shared" ref="F41:F46" si="88">ROUND(IFERROR(D41/E41,0),6)</f>
        <v>0</v>
      </c>
      <c r="I41" s="107" t="s">
        <v>304</v>
      </c>
      <c r="J41" s="108" t="s">
        <v>158</v>
      </c>
      <c r="K41" s="109">
        <f>ROUND(J11,2)</f>
        <v>0</v>
      </c>
      <c r="L41" s="110">
        <f>ROUND(K11,2)</f>
        <v>0</v>
      </c>
      <c r="M41" s="111">
        <f t="shared" ref="M41:M46" si="89">ROUND(IFERROR(K41/L41,0),6)</f>
        <v>0</v>
      </c>
      <c r="P41" s="107" t="s">
        <v>304</v>
      </c>
      <c r="Q41" s="108" t="s">
        <v>158</v>
      </c>
      <c r="R41" s="109">
        <f>ROUND(Q11,2)</f>
        <v>0</v>
      </c>
      <c r="S41" s="110">
        <f>ROUND(R11,2)</f>
        <v>0</v>
      </c>
      <c r="T41" s="111">
        <f t="shared" ref="T41:T46" si="90">ROUND(IFERROR(R41/S41,0),6)</f>
        <v>0</v>
      </c>
      <c r="W41" s="107" t="s">
        <v>304</v>
      </c>
      <c r="X41" s="108" t="s">
        <v>158</v>
      </c>
      <c r="Y41" s="109">
        <f>ROUND(X11,2)</f>
        <v>0</v>
      </c>
      <c r="Z41" s="110">
        <f>ROUND(Y11,2)</f>
        <v>0</v>
      </c>
      <c r="AA41" s="111">
        <f t="shared" ref="AA41:AA46" si="91">ROUND(IFERROR(Y41/Z41,0),6)</f>
        <v>0</v>
      </c>
      <c r="AD41" s="107" t="s">
        <v>304</v>
      </c>
      <c r="AE41" s="108" t="s">
        <v>158</v>
      </c>
      <c r="AF41" s="109">
        <f>ROUND(AE11,2)</f>
        <v>0</v>
      </c>
      <c r="AG41" s="110">
        <f>ROUND(AF11,2)</f>
        <v>0</v>
      </c>
      <c r="AH41" s="111">
        <f t="shared" ref="AH41:AH46" si="92">ROUND(IFERROR(AF41/AG41,0),6)</f>
        <v>0</v>
      </c>
      <c r="AK41" s="107" t="s">
        <v>304</v>
      </c>
      <c r="AL41" s="108" t="s">
        <v>158</v>
      </c>
      <c r="AM41" s="109">
        <f>ROUND(AL11,2)</f>
        <v>0</v>
      </c>
      <c r="AN41" s="110">
        <f>ROUND(AM11,2)</f>
        <v>0</v>
      </c>
      <c r="AO41" s="111">
        <f t="shared" ref="AO41:AO46" si="93">ROUND(IFERROR(AM41/AN41,0),6)</f>
        <v>0</v>
      </c>
      <c r="AR41" s="107" t="s">
        <v>304</v>
      </c>
      <c r="AS41" s="108" t="s">
        <v>158</v>
      </c>
      <c r="AT41" s="109">
        <f>ROUND(AS11,2)</f>
        <v>0</v>
      </c>
      <c r="AU41" s="110">
        <f>ROUND(AT11,2)</f>
        <v>0</v>
      </c>
      <c r="AV41" s="111">
        <f t="shared" ref="AV41:AV46" si="94">ROUND(IFERROR(AT41/AU41,0),6)</f>
        <v>0</v>
      </c>
      <c r="AY41" s="107" t="s">
        <v>304</v>
      </c>
      <c r="AZ41" s="108" t="s">
        <v>158</v>
      </c>
      <c r="BA41" s="109">
        <f>ROUND(AZ11,2)</f>
        <v>0</v>
      </c>
      <c r="BB41" s="110">
        <f>ROUND(BA11,2)</f>
        <v>0</v>
      </c>
      <c r="BC41" s="111">
        <f t="shared" ref="BC41:BC46" si="95">ROUND(IFERROR(BA41/BB41,0),6)</f>
        <v>0</v>
      </c>
      <c r="BF41" s="107" t="s">
        <v>304</v>
      </c>
      <c r="BG41" s="108" t="s">
        <v>158</v>
      </c>
      <c r="BH41" s="109">
        <f>ROUND(BG11,2)</f>
        <v>0</v>
      </c>
      <c r="BI41" s="110">
        <f>ROUND(BH11,2)</f>
        <v>0</v>
      </c>
      <c r="BJ41" s="111">
        <f t="shared" ref="BJ41:BJ46" si="96">ROUND(IFERROR(BH41/BI41,0),6)</f>
        <v>0</v>
      </c>
      <c r="BM41" s="107" t="s">
        <v>304</v>
      </c>
      <c r="BN41" s="108" t="s">
        <v>158</v>
      </c>
      <c r="BO41" s="109">
        <f>ROUND(BN11,2)</f>
        <v>0</v>
      </c>
      <c r="BP41" s="110">
        <f>ROUND(BO11,2)</f>
        <v>0</v>
      </c>
      <c r="BQ41" s="111">
        <f t="shared" ref="BQ41:BQ46" si="97">ROUND(IFERROR(BO41/BP41,0),6)</f>
        <v>0</v>
      </c>
      <c r="BT41" s="107" t="s">
        <v>304</v>
      </c>
      <c r="BU41" s="108" t="s">
        <v>158</v>
      </c>
      <c r="BV41" s="109">
        <f>ROUND(BU11,2)</f>
        <v>0</v>
      </c>
      <c r="BW41" s="110">
        <f>ROUND(BV11,2)</f>
        <v>0</v>
      </c>
      <c r="BX41" s="111">
        <f t="shared" ref="BX41:BX46" si="98">ROUND(IFERROR(BV41/BW41,0),6)</f>
        <v>0</v>
      </c>
      <c r="CA41" s="107" t="s">
        <v>304</v>
      </c>
      <c r="CB41" s="108" t="s">
        <v>158</v>
      </c>
      <c r="CC41" s="109">
        <f>ROUND(CB11,2)</f>
        <v>0</v>
      </c>
      <c r="CD41" s="110">
        <f>ROUND(CC11,2)</f>
        <v>0</v>
      </c>
      <c r="CE41" s="111">
        <f t="shared" ref="CE41:CE46" si="99">ROUND(IFERROR(CC41/CD41,0),6)</f>
        <v>0</v>
      </c>
      <c r="CH41" s="107" t="s">
        <v>304</v>
      </c>
      <c r="CI41" s="108" t="s">
        <v>158</v>
      </c>
      <c r="CJ41" s="109">
        <f>ROUND(CI11,2)</f>
        <v>0</v>
      </c>
      <c r="CK41" s="110">
        <f>ROUND(CJ11,2)</f>
        <v>0</v>
      </c>
      <c r="CL41" s="111">
        <f t="shared" ref="CL41:CL46" si="100">ROUND(IFERROR(CJ41/CK41,0),6)</f>
        <v>0</v>
      </c>
      <c r="CO41" s="107" t="s">
        <v>304</v>
      </c>
      <c r="CP41" s="108" t="s">
        <v>158</v>
      </c>
      <c r="CQ41" s="109">
        <f>ROUND(CP11,2)</f>
        <v>0</v>
      </c>
      <c r="CR41" s="110">
        <f>ROUND(CQ11,2)</f>
        <v>0</v>
      </c>
      <c r="CS41" s="111">
        <f t="shared" ref="CS41:CS46" si="101">ROUND(IFERROR(CQ41/CR41,0),6)</f>
        <v>0</v>
      </c>
      <c r="CV41" s="107" t="s">
        <v>304</v>
      </c>
      <c r="CW41" s="108" t="s">
        <v>158</v>
      </c>
      <c r="CX41" s="109">
        <f>ROUND(CW11,2)</f>
        <v>0</v>
      </c>
      <c r="CY41" s="110">
        <f>ROUND(CX11,2)</f>
        <v>0</v>
      </c>
      <c r="CZ41" s="111">
        <f t="shared" ref="CZ41:CZ46" si="102">ROUND(IFERROR(CX41/CY41,0),6)</f>
        <v>0</v>
      </c>
      <c r="DC41" s="107" t="s">
        <v>304</v>
      </c>
      <c r="DD41" s="108" t="s">
        <v>158</v>
      </c>
      <c r="DE41" s="109">
        <f>ROUND(DD11,2)</f>
        <v>0</v>
      </c>
      <c r="DF41" s="110">
        <f>ROUND(DE11,2)</f>
        <v>0</v>
      </c>
      <c r="DG41" s="111">
        <f t="shared" ref="DG41:DG46" si="103">ROUND(IFERROR(DE41/DF41,0),6)</f>
        <v>0</v>
      </c>
      <c r="DJ41" s="107" t="s">
        <v>304</v>
      </c>
      <c r="DK41" s="108" t="s">
        <v>158</v>
      </c>
      <c r="DL41" s="109">
        <f>ROUND(DK11,2)</f>
        <v>0</v>
      </c>
      <c r="DM41" s="110">
        <f>ROUND(DL11,2)</f>
        <v>0</v>
      </c>
      <c r="DN41" s="111">
        <f t="shared" ref="DN41:DN46" si="104">ROUND(IFERROR(DL41/DM41,0),6)</f>
        <v>0</v>
      </c>
      <c r="DQ41" s="107" t="s">
        <v>304</v>
      </c>
      <c r="DR41" s="108" t="s">
        <v>158</v>
      </c>
      <c r="DS41" s="109">
        <f>ROUND(DR11,2)</f>
        <v>0</v>
      </c>
      <c r="DT41" s="110">
        <f>ROUND(DS11,2)</f>
        <v>0</v>
      </c>
      <c r="DU41" s="111">
        <f t="shared" ref="DU41:DU46" si="105">ROUND(IFERROR(DS41/DT41,0),6)</f>
        <v>0</v>
      </c>
    </row>
    <row r="42" spans="2:125" ht="16.5" x14ac:dyDescent="0.3">
      <c r="B42" s="112" t="s">
        <v>199</v>
      </c>
      <c r="C42" s="113" t="s">
        <v>297</v>
      </c>
      <c r="D42" s="114"/>
      <c r="E42" s="115"/>
      <c r="F42" s="116">
        <f t="shared" si="88"/>
        <v>0</v>
      </c>
      <c r="I42" s="112" t="s">
        <v>199</v>
      </c>
      <c r="J42" s="113" t="s">
        <v>297</v>
      </c>
      <c r="K42" s="114"/>
      <c r="L42" s="115"/>
      <c r="M42" s="116">
        <f t="shared" si="89"/>
        <v>0</v>
      </c>
      <c r="P42" s="112" t="s">
        <v>199</v>
      </c>
      <c r="Q42" s="113" t="s">
        <v>297</v>
      </c>
      <c r="R42" s="114"/>
      <c r="S42" s="115"/>
      <c r="T42" s="116">
        <f t="shared" si="90"/>
        <v>0</v>
      </c>
      <c r="W42" s="112" t="s">
        <v>199</v>
      </c>
      <c r="X42" s="113" t="s">
        <v>297</v>
      </c>
      <c r="Y42" s="114"/>
      <c r="Z42" s="115"/>
      <c r="AA42" s="116">
        <f t="shared" si="91"/>
        <v>0</v>
      </c>
      <c r="AD42" s="112" t="s">
        <v>199</v>
      </c>
      <c r="AE42" s="113" t="s">
        <v>297</v>
      </c>
      <c r="AF42" s="114"/>
      <c r="AG42" s="115"/>
      <c r="AH42" s="116">
        <f t="shared" si="92"/>
        <v>0</v>
      </c>
      <c r="AK42" s="112" t="s">
        <v>199</v>
      </c>
      <c r="AL42" s="113" t="s">
        <v>297</v>
      </c>
      <c r="AM42" s="114"/>
      <c r="AN42" s="115"/>
      <c r="AO42" s="116">
        <f t="shared" si="93"/>
        <v>0</v>
      </c>
      <c r="AR42" s="112" t="s">
        <v>199</v>
      </c>
      <c r="AS42" s="113" t="s">
        <v>297</v>
      </c>
      <c r="AT42" s="114"/>
      <c r="AU42" s="115"/>
      <c r="AV42" s="116">
        <f t="shared" si="94"/>
        <v>0</v>
      </c>
      <c r="AY42" s="112" t="s">
        <v>199</v>
      </c>
      <c r="AZ42" s="113" t="s">
        <v>297</v>
      </c>
      <c r="BA42" s="114"/>
      <c r="BB42" s="115"/>
      <c r="BC42" s="116">
        <f t="shared" si="95"/>
        <v>0</v>
      </c>
      <c r="BF42" s="112" t="s">
        <v>199</v>
      </c>
      <c r="BG42" s="113" t="s">
        <v>297</v>
      </c>
      <c r="BH42" s="114"/>
      <c r="BI42" s="115"/>
      <c r="BJ42" s="116">
        <f t="shared" si="96"/>
        <v>0</v>
      </c>
      <c r="BM42" s="112" t="s">
        <v>199</v>
      </c>
      <c r="BN42" s="113" t="s">
        <v>297</v>
      </c>
      <c r="BO42" s="114"/>
      <c r="BP42" s="115"/>
      <c r="BQ42" s="116">
        <f t="shared" si="97"/>
        <v>0</v>
      </c>
      <c r="BT42" s="112" t="s">
        <v>199</v>
      </c>
      <c r="BU42" s="113" t="s">
        <v>297</v>
      </c>
      <c r="BV42" s="114"/>
      <c r="BW42" s="115"/>
      <c r="BX42" s="116">
        <f t="shared" si="98"/>
        <v>0</v>
      </c>
      <c r="CA42" s="112" t="s">
        <v>199</v>
      </c>
      <c r="CB42" s="113" t="s">
        <v>297</v>
      </c>
      <c r="CC42" s="114"/>
      <c r="CD42" s="115"/>
      <c r="CE42" s="116">
        <f t="shared" si="99"/>
        <v>0</v>
      </c>
      <c r="CH42" s="112" t="s">
        <v>199</v>
      </c>
      <c r="CI42" s="113" t="s">
        <v>297</v>
      </c>
      <c r="CJ42" s="114"/>
      <c r="CK42" s="115"/>
      <c r="CL42" s="116">
        <f t="shared" si="100"/>
        <v>0</v>
      </c>
      <c r="CO42" s="112" t="s">
        <v>199</v>
      </c>
      <c r="CP42" s="113" t="s">
        <v>297</v>
      </c>
      <c r="CQ42" s="114"/>
      <c r="CR42" s="115"/>
      <c r="CS42" s="116">
        <f t="shared" si="101"/>
        <v>0</v>
      </c>
      <c r="CV42" s="112" t="s">
        <v>199</v>
      </c>
      <c r="CW42" s="113" t="s">
        <v>297</v>
      </c>
      <c r="CX42" s="114"/>
      <c r="CY42" s="115"/>
      <c r="CZ42" s="116">
        <f t="shared" si="102"/>
        <v>0</v>
      </c>
      <c r="DC42" s="112" t="s">
        <v>199</v>
      </c>
      <c r="DD42" s="113" t="s">
        <v>297</v>
      </c>
      <c r="DE42" s="114"/>
      <c r="DF42" s="115"/>
      <c r="DG42" s="116">
        <f t="shared" si="103"/>
        <v>0</v>
      </c>
      <c r="DJ42" s="112" t="s">
        <v>199</v>
      </c>
      <c r="DK42" s="113" t="s">
        <v>297</v>
      </c>
      <c r="DL42" s="114"/>
      <c r="DM42" s="115"/>
      <c r="DN42" s="116">
        <f t="shared" si="104"/>
        <v>0</v>
      </c>
      <c r="DQ42" s="112" t="s">
        <v>199</v>
      </c>
      <c r="DR42" s="113" t="s">
        <v>297</v>
      </c>
      <c r="DS42" s="114"/>
      <c r="DT42" s="115"/>
      <c r="DU42" s="116">
        <f t="shared" si="105"/>
        <v>0</v>
      </c>
    </row>
    <row r="43" spans="2:125" ht="16.5" x14ac:dyDescent="0.3">
      <c r="B43" s="112" t="s">
        <v>158</v>
      </c>
      <c r="C43" s="113" t="s">
        <v>158</v>
      </c>
      <c r="D43" s="114"/>
      <c r="E43" s="115"/>
      <c r="F43" s="116">
        <f t="shared" si="88"/>
        <v>0</v>
      </c>
      <c r="I43" s="112" t="s">
        <v>158</v>
      </c>
      <c r="J43" s="113" t="s">
        <v>158</v>
      </c>
      <c r="K43" s="114"/>
      <c r="L43" s="115"/>
      <c r="M43" s="116">
        <f t="shared" si="89"/>
        <v>0</v>
      </c>
      <c r="P43" s="112" t="s">
        <v>158</v>
      </c>
      <c r="Q43" s="113" t="s">
        <v>158</v>
      </c>
      <c r="R43" s="114"/>
      <c r="S43" s="115"/>
      <c r="T43" s="116">
        <f t="shared" si="90"/>
        <v>0</v>
      </c>
      <c r="W43" s="112" t="s">
        <v>158</v>
      </c>
      <c r="X43" s="113" t="s">
        <v>158</v>
      </c>
      <c r="Y43" s="114"/>
      <c r="Z43" s="115"/>
      <c r="AA43" s="116">
        <f t="shared" si="91"/>
        <v>0</v>
      </c>
      <c r="AD43" s="112" t="s">
        <v>158</v>
      </c>
      <c r="AE43" s="113" t="s">
        <v>158</v>
      </c>
      <c r="AF43" s="114"/>
      <c r="AG43" s="115"/>
      <c r="AH43" s="116">
        <f t="shared" si="92"/>
        <v>0</v>
      </c>
      <c r="AK43" s="112" t="s">
        <v>158</v>
      </c>
      <c r="AL43" s="113" t="s">
        <v>158</v>
      </c>
      <c r="AM43" s="114"/>
      <c r="AN43" s="115"/>
      <c r="AO43" s="116">
        <f t="shared" si="93"/>
        <v>0</v>
      </c>
      <c r="AR43" s="112" t="s">
        <v>158</v>
      </c>
      <c r="AS43" s="113" t="s">
        <v>158</v>
      </c>
      <c r="AT43" s="114"/>
      <c r="AU43" s="115"/>
      <c r="AV43" s="116">
        <f t="shared" si="94"/>
        <v>0</v>
      </c>
      <c r="AY43" s="112" t="s">
        <v>158</v>
      </c>
      <c r="AZ43" s="113" t="s">
        <v>158</v>
      </c>
      <c r="BA43" s="114"/>
      <c r="BB43" s="115"/>
      <c r="BC43" s="116">
        <f t="shared" si="95"/>
        <v>0</v>
      </c>
      <c r="BF43" s="112" t="s">
        <v>158</v>
      </c>
      <c r="BG43" s="113" t="s">
        <v>158</v>
      </c>
      <c r="BH43" s="114"/>
      <c r="BI43" s="115"/>
      <c r="BJ43" s="116">
        <f t="shared" si="96"/>
        <v>0</v>
      </c>
      <c r="BM43" s="112" t="s">
        <v>158</v>
      </c>
      <c r="BN43" s="113" t="s">
        <v>158</v>
      </c>
      <c r="BO43" s="114"/>
      <c r="BP43" s="115"/>
      <c r="BQ43" s="116">
        <f t="shared" si="97"/>
        <v>0</v>
      </c>
      <c r="BT43" s="112" t="s">
        <v>158</v>
      </c>
      <c r="BU43" s="113" t="s">
        <v>158</v>
      </c>
      <c r="BV43" s="114"/>
      <c r="BW43" s="115"/>
      <c r="BX43" s="116">
        <f t="shared" si="98"/>
        <v>0</v>
      </c>
      <c r="CA43" s="112" t="s">
        <v>158</v>
      </c>
      <c r="CB43" s="113" t="s">
        <v>158</v>
      </c>
      <c r="CC43" s="114"/>
      <c r="CD43" s="115"/>
      <c r="CE43" s="116">
        <f t="shared" si="99"/>
        <v>0</v>
      </c>
      <c r="CH43" s="112" t="s">
        <v>158</v>
      </c>
      <c r="CI43" s="113" t="s">
        <v>158</v>
      </c>
      <c r="CJ43" s="114"/>
      <c r="CK43" s="115"/>
      <c r="CL43" s="116">
        <f t="shared" si="100"/>
        <v>0</v>
      </c>
      <c r="CO43" s="112" t="s">
        <v>158</v>
      </c>
      <c r="CP43" s="113" t="s">
        <v>158</v>
      </c>
      <c r="CQ43" s="114"/>
      <c r="CR43" s="115"/>
      <c r="CS43" s="116">
        <f t="shared" si="101"/>
        <v>0</v>
      </c>
      <c r="CV43" s="112" t="s">
        <v>158</v>
      </c>
      <c r="CW43" s="113" t="s">
        <v>158</v>
      </c>
      <c r="CX43" s="114"/>
      <c r="CY43" s="115"/>
      <c r="CZ43" s="116">
        <f t="shared" si="102"/>
        <v>0</v>
      </c>
      <c r="DC43" s="112" t="s">
        <v>158</v>
      </c>
      <c r="DD43" s="113" t="s">
        <v>158</v>
      </c>
      <c r="DE43" s="114"/>
      <c r="DF43" s="115"/>
      <c r="DG43" s="116">
        <f t="shared" si="103"/>
        <v>0</v>
      </c>
      <c r="DJ43" s="112" t="s">
        <v>158</v>
      </c>
      <c r="DK43" s="113" t="s">
        <v>158</v>
      </c>
      <c r="DL43" s="114"/>
      <c r="DM43" s="115"/>
      <c r="DN43" s="116">
        <f t="shared" si="104"/>
        <v>0</v>
      </c>
      <c r="DQ43" s="112" t="s">
        <v>158</v>
      </c>
      <c r="DR43" s="113" t="s">
        <v>158</v>
      </c>
      <c r="DS43" s="114"/>
      <c r="DT43" s="115"/>
      <c r="DU43" s="116">
        <f t="shared" si="105"/>
        <v>0</v>
      </c>
    </row>
    <row r="44" spans="2:125" ht="16.5" x14ac:dyDescent="0.3">
      <c r="B44" s="112" t="s">
        <v>158</v>
      </c>
      <c r="C44" s="113" t="s">
        <v>158</v>
      </c>
      <c r="D44" s="114"/>
      <c r="E44" s="115"/>
      <c r="F44" s="116">
        <f t="shared" si="88"/>
        <v>0</v>
      </c>
      <c r="I44" s="112" t="s">
        <v>158</v>
      </c>
      <c r="J44" s="113" t="s">
        <v>158</v>
      </c>
      <c r="K44" s="114"/>
      <c r="L44" s="115"/>
      <c r="M44" s="116">
        <f t="shared" si="89"/>
        <v>0</v>
      </c>
      <c r="P44" s="112" t="s">
        <v>158</v>
      </c>
      <c r="Q44" s="113" t="s">
        <v>158</v>
      </c>
      <c r="R44" s="114"/>
      <c r="S44" s="115"/>
      <c r="T44" s="116">
        <f t="shared" si="90"/>
        <v>0</v>
      </c>
      <c r="W44" s="112" t="s">
        <v>158</v>
      </c>
      <c r="X44" s="113" t="s">
        <v>158</v>
      </c>
      <c r="Y44" s="114"/>
      <c r="Z44" s="115"/>
      <c r="AA44" s="116">
        <f t="shared" si="91"/>
        <v>0</v>
      </c>
      <c r="AD44" s="112" t="s">
        <v>158</v>
      </c>
      <c r="AE44" s="113" t="s">
        <v>158</v>
      </c>
      <c r="AF44" s="114"/>
      <c r="AG44" s="115"/>
      <c r="AH44" s="116">
        <f t="shared" si="92"/>
        <v>0</v>
      </c>
      <c r="AK44" s="112" t="s">
        <v>158</v>
      </c>
      <c r="AL44" s="113" t="s">
        <v>158</v>
      </c>
      <c r="AM44" s="114"/>
      <c r="AN44" s="115"/>
      <c r="AO44" s="116">
        <f t="shared" si="93"/>
        <v>0</v>
      </c>
      <c r="AR44" s="112" t="s">
        <v>158</v>
      </c>
      <c r="AS44" s="113" t="s">
        <v>158</v>
      </c>
      <c r="AT44" s="114"/>
      <c r="AU44" s="115"/>
      <c r="AV44" s="116">
        <f t="shared" si="94"/>
        <v>0</v>
      </c>
      <c r="AY44" s="112" t="s">
        <v>158</v>
      </c>
      <c r="AZ44" s="113" t="s">
        <v>158</v>
      </c>
      <c r="BA44" s="114"/>
      <c r="BB44" s="115"/>
      <c r="BC44" s="116">
        <f t="shared" si="95"/>
        <v>0</v>
      </c>
      <c r="BF44" s="112" t="s">
        <v>158</v>
      </c>
      <c r="BG44" s="113" t="s">
        <v>158</v>
      </c>
      <c r="BH44" s="114"/>
      <c r="BI44" s="115"/>
      <c r="BJ44" s="116">
        <f t="shared" si="96"/>
        <v>0</v>
      </c>
      <c r="BM44" s="112" t="s">
        <v>158</v>
      </c>
      <c r="BN44" s="113" t="s">
        <v>158</v>
      </c>
      <c r="BO44" s="114"/>
      <c r="BP44" s="115"/>
      <c r="BQ44" s="116">
        <f t="shared" si="97"/>
        <v>0</v>
      </c>
      <c r="BT44" s="112" t="s">
        <v>158</v>
      </c>
      <c r="BU44" s="113" t="s">
        <v>158</v>
      </c>
      <c r="BV44" s="114"/>
      <c r="BW44" s="115"/>
      <c r="BX44" s="116">
        <f t="shared" si="98"/>
        <v>0</v>
      </c>
      <c r="CA44" s="112" t="s">
        <v>158</v>
      </c>
      <c r="CB44" s="113" t="s">
        <v>158</v>
      </c>
      <c r="CC44" s="114"/>
      <c r="CD44" s="115"/>
      <c r="CE44" s="116">
        <f t="shared" si="99"/>
        <v>0</v>
      </c>
      <c r="CH44" s="112" t="s">
        <v>158</v>
      </c>
      <c r="CI44" s="113" t="s">
        <v>158</v>
      </c>
      <c r="CJ44" s="114"/>
      <c r="CK44" s="115"/>
      <c r="CL44" s="116">
        <f t="shared" si="100"/>
        <v>0</v>
      </c>
      <c r="CO44" s="112" t="s">
        <v>158</v>
      </c>
      <c r="CP44" s="113" t="s">
        <v>158</v>
      </c>
      <c r="CQ44" s="114"/>
      <c r="CR44" s="115"/>
      <c r="CS44" s="116">
        <f t="shared" si="101"/>
        <v>0</v>
      </c>
      <c r="CV44" s="112" t="s">
        <v>158</v>
      </c>
      <c r="CW44" s="113" t="s">
        <v>158</v>
      </c>
      <c r="CX44" s="114"/>
      <c r="CY44" s="115"/>
      <c r="CZ44" s="116">
        <f t="shared" si="102"/>
        <v>0</v>
      </c>
      <c r="DC44" s="112" t="s">
        <v>158</v>
      </c>
      <c r="DD44" s="113" t="s">
        <v>158</v>
      </c>
      <c r="DE44" s="114"/>
      <c r="DF44" s="115"/>
      <c r="DG44" s="116">
        <f t="shared" si="103"/>
        <v>0</v>
      </c>
      <c r="DJ44" s="112" t="s">
        <v>158</v>
      </c>
      <c r="DK44" s="113" t="s">
        <v>158</v>
      </c>
      <c r="DL44" s="114"/>
      <c r="DM44" s="115"/>
      <c r="DN44" s="116">
        <f t="shared" si="104"/>
        <v>0</v>
      </c>
      <c r="DQ44" s="112" t="s">
        <v>158</v>
      </c>
      <c r="DR44" s="113" t="s">
        <v>158</v>
      </c>
      <c r="DS44" s="114"/>
      <c r="DT44" s="115"/>
      <c r="DU44" s="116">
        <f t="shared" si="105"/>
        <v>0</v>
      </c>
    </row>
    <row r="45" spans="2:125" ht="16.5" x14ac:dyDescent="0.3">
      <c r="B45" s="112" t="s">
        <v>158</v>
      </c>
      <c r="C45" s="113" t="s">
        <v>158</v>
      </c>
      <c r="D45" s="114"/>
      <c r="E45" s="115"/>
      <c r="F45" s="116">
        <f t="shared" si="88"/>
        <v>0</v>
      </c>
      <c r="I45" s="112" t="s">
        <v>158</v>
      </c>
      <c r="J45" s="113" t="s">
        <v>158</v>
      </c>
      <c r="K45" s="114"/>
      <c r="L45" s="115"/>
      <c r="M45" s="116">
        <f t="shared" si="89"/>
        <v>0</v>
      </c>
      <c r="P45" s="112" t="s">
        <v>158</v>
      </c>
      <c r="Q45" s="113" t="s">
        <v>158</v>
      </c>
      <c r="R45" s="114"/>
      <c r="S45" s="115"/>
      <c r="T45" s="116">
        <f t="shared" si="90"/>
        <v>0</v>
      </c>
      <c r="W45" s="112" t="s">
        <v>158</v>
      </c>
      <c r="X45" s="113" t="s">
        <v>158</v>
      </c>
      <c r="Y45" s="114"/>
      <c r="Z45" s="115"/>
      <c r="AA45" s="116">
        <f t="shared" si="91"/>
        <v>0</v>
      </c>
      <c r="AD45" s="112" t="s">
        <v>158</v>
      </c>
      <c r="AE45" s="113" t="s">
        <v>158</v>
      </c>
      <c r="AF45" s="114"/>
      <c r="AG45" s="115"/>
      <c r="AH45" s="116">
        <f t="shared" si="92"/>
        <v>0</v>
      </c>
      <c r="AK45" s="112" t="s">
        <v>158</v>
      </c>
      <c r="AL45" s="113" t="s">
        <v>158</v>
      </c>
      <c r="AM45" s="114"/>
      <c r="AN45" s="115"/>
      <c r="AO45" s="116">
        <f t="shared" si="93"/>
        <v>0</v>
      </c>
      <c r="AR45" s="112" t="s">
        <v>158</v>
      </c>
      <c r="AS45" s="113" t="s">
        <v>158</v>
      </c>
      <c r="AT45" s="114"/>
      <c r="AU45" s="115"/>
      <c r="AV45" s="116">
        <f t="shared" si="94"/>
        <v>0</v>
      </c>
      <c r="AY45" s="112" t="s">
        <v>158</v>
      </c>
      <c r="AZ45" s="113" t="s">
        <v>158</v>
      </c>
      <c r="BA45" s="114"/>
      <c r="BB45" s="115"/>
      <c r="BC45" s="116">
        <f t="shared" si="95"/>
        <v>0</v>
      </c>
      <c r="BF45" s="112" t="s">
        <v>158</v>
      </c>
      <c r="BG45" s="113" t="s">
        <v>158</v>
      </c>
      <c r="BH45" s="114"/>
      <c r="BI45" s="115"/>
      <c r="BJ45" s="116">
        <f t="shared" si="96"/>
        <v>0</v>
      </c>
      <c r="BM45" s="112" t="s">
        <v>158</v>
      </c>
      <c r="BN45" s="113" t="s">
        <v>158</v>
      </c>
      <c r="BO45" s="114"/>
      <c r="BP45" s="115"/>
      <c r="BQ45" s="116">
        <f t="shared" si="97"/>
        <v>0</v>
      </c>
      <c r="BT45" s="112" t="s">
        <v>158</v>
      </c>
      <c r="BU45" s="113" t="s">
        <v>158</v>
      </c>
      <c r="BV45" s="114"/>
      <c r="BW45" s="115"/>
      <c r="BX45" s="116">
        <f t="shared" si="98"/>
        <v>0</v>
      </c>
      <c r="CA45" s="112" t="s">
        <v>158</v>
      </c>
      <c r="CB45" s="113" t="s">
        <v>158</v>
      </c>
      <c r="CC45" s="114"/>
      <c r="CD45" s="115"/>
      <c r="CE45" s="116">
        <f t="shared" si="99"/>
        <v>0</v>
      </c>
      <c r="CH45" s="112" t="s">
        <v>158</v>
      </c>
      <c r="CI45" s="113" t="s">
        <v>158</v>
      </c>
      <c r="CJ45" s="114"/>
      <c r="CK45" s="115"/>
      <c r="CL45" s="116">
        <f t="shared" si="100"/>
        <v>0</v>
      </c>
      <c r="CO45" s="112" t="s">
        <v>158</v>
      </c>
      <c r="CP45" s="113" t="s">
        <v>158</v>
      </c>
      <c r="CQ45" s="114"/>
      <c r="CR45" s="115"/>
      <c r="CS45" s="116">
        <f t="shared" si="101"/>
        <v>0</v>
      </c>
      <c r="CV45" s="112" t="s">
        <v>158</v>
      </c>
      <c r="CW45" s="113" t="s">
        <v>158</v>
      </c>
      <c r="CX45" s="114"/>
      <c r="CY45" s="115"/>
      <c r="CZ45" s="116">
        <f t="shared" si="102"/>
        <v>0</v>
      </c>
      <c r="DC45" s="112" t="s">
        <v>158</v>
      </c>
      <c r="DD45" s="113" t="s">
        <v>158</v>
      </c>
      <c r="DE45" s="114"/>
      <c r="DF45" s="115"/>
      <c r="DG45" s="116">
        <f t="shared" si="103"/>
        <v>0</v>
      </c>
      <c r="DJ45" s="112" t="s">
        <v>158</v>
      </c>
      <c r="DK45" s="113" t="s">
        <v>158</v>
      </c>
      <c r="DL45" s="114"/>
      <c r="DM45" s="115"/>
      <c r="DN45" s="116">
        <f t="shared" si="104"/>
        <v>0</v>
      </c>
      <c r="DQ45" s="112" t="s">
        <v>158</v>
      </c>
      <c r="DR45" s="113" t="s">
        <v>158</v>
      </c>
      <c r="DS45" s="114"/>
      <c r="DT45" s="115"/>
      <c r="DU45" s="116">
        <f t="shared" si="105"/>
        <v>0</v>
      </c>
    </row>
    <row r="46" spans="2:125" ht="16.5" x14ac:dyDescent="0.3">
      <c r="B46" s="117" t="s">
        <v>298</v>
      </c>
      <c r="C46" s="118" t="s">
        <v>269</v>
      </c>
      <c r="D46" s="119">
        <f>ROUND(SUBTOTAL(109,$D$41:$D$45),2)</f>
        <v>0</v>
      </c>
      <c r="E46" s="120">
        <f>ROUND(SUBTOTAL(109,$E$41:$E$45),2)</f>
        <v>0</v>
      </c>
      <c r="F46" s="121">
        <f t="shared" si="88"/>
        <v>0</v>
      </c>
      <c r="I46" s="117" t="s">
        <v>298</v>
      </c>
      <c r="J46" s="118" t="s">
        <v>269</v>
      </c>
      <c r="K46" s="119">
        <f>ROUND(SUBTOTAL(109,$K$41:$K$45),2)</f>
        <v>0</v>
      </c>
      <c r="L46" s="120">
        <f>ROUND(SUBTOTAL(109,$L$41:$L$45),2)</f>
        <v>0</v>
      </c>
      <c r="M46" s="121">
        <f t="shared" si="89"/>
        <v>0</v>
      </c>
      <c r="P46" s="117" t="s">
        <v>298</v>
      </c>
      <c r="Q46" s="118" t="s">
        <v>269</v>
      </c>
      <c r="R46" s="119">
        <f>ROUND(SUBTOTAL(109,$R$41:$R$45),2)</f>
        <v>0</v>
      </c>
      <c r="S46" s="120">
        <f>ROUND(SUBTOTAL(109,$S$41:$S$45),2)</f>
        <v>0</v>
      </c>
      <c r="T46" s="121">
        <f t="shared" si="90"/>
        <v>0</v>
      </c>
      <c r="W46" s="117" t="s">
        <v>298</v>
      </c>
      <c r="X46" s="118" t="s">
        <v>269</v>
      </c>
      <c r="Y46" s="119">
        <f>ROUND(SUBTOTAL(109,$Y$41:$Y$45),2)</f>
        <v>0</v>
      </c>
      <c r="Z46" s="120">
        <f>ROUND(SUBTOTAL(109,$Z$41:$Z$45),2)</f>
        <v>0</v>
      </c>
      <c r="AA46" s="121">
        <f t="shared" si="91"/>
        <v>0</v>
      </c>
      <c r="AD46" s="117" t="s">
        <v>298</v>
      </c>
      <c r="AE46" s="118" t="s">
        <v>269</v>
      </c>
      <c r="AF46" s="119">
        <f>ROUND(SUBTOTAL(109,$AF$41:$AF$45),2)</f>
        <v>0</v>
      </c>
      <c r="AG46" s="120">
        <f>ROUND(SUBTOTAL(109,$AG$41:$AG$45),2)</f>
        <v>0</v>
      </c>
      <c r="AH46" s="121">
        <f t="shared" si="92"/>
        <v>0</v>
      </c>
      <c r="AK46" s="117" t="s">
        <v>298</v>
      </c>
      <c r="AL46" s="118" t="s">
        <v>269</v>
      </c>
      <c r="AM46" s="119">
        <f>ROUND(SUBTOTAL(109,$AM$41:$AM$45),2)</f>
        <v>0</v>
      </c>
      <c r="AN46" s="120">
        <f>ROUND(SUBTOTAL(109,$AN$41:$AN$45),2)</f>
        <v>0</v>
      </c>
      <c r="AO46" s="121">
        <f t="shared" si="93"/>
        <v>0</v>
      </c>
      <c r="AR46" s="117" t="s">
        <v>298</v>
      </c>
      <c r="AS46" s="118" t="s">
        <v>269</v>
      </c>
      <c r="AT46" s="119">
        <f>ROUND(SUBTOTAL(109,$AT$41:$AT$45),2)</f>
        <v>0</v>
      </c>
      <c r="AU46" s="120">
        <f>ROUND(SUBTOTAL(109,$AU$41:$AU$45),2)</f>
        <v>0</v>
      </c>
      <c r="AV46" s="121">
        <f t="shared" si="94"/>
        <v>0</v>
      </c>
      <c r="AY46" s="117" t="s">
        <v>298</v>
      </c>
      <c r="AZ46" s="118" t="s">
        <v>269</v>
      </c>
      <c r="BA46" s="119">
        <f>ROUND(SUBTOTAL(109,$BA$41:$BA$45),2)</f>
        <v>0</v>
      </c>
      <c r="BB46" s="120">
        <f>ROUND(SUBTOTAL(109,$BB$41:$BB$45),2)</f>
        <v>0</v>
      </c>
      <c r="BC46" s="121">
        <f t="shared" si="95"/>
        <v>0</v>
      </c>
      <c r="BF46" s="117" t="s">
        <v>298</v>
      </c>
      <c r="BG46" s="118" t="s">
        <v>269</v>
      </c>
      <c r="BH46" s="119">
        <f>ROUND(SUBTOTAL(109,$BH$41:$BH$45),2)</f>
        <v>0</v>
      </c>
      <c r="BI46" s="120">
        <f>ROUND(SUBTOTAL(109,$BI$41:$BI$45),2)</f>
        <v>0</v>
      </c>
      <c r="BJ46" s="121">
        <f t="shared" si="96"/>
        <v>0</v>
      </c>
      <c r="BM46" s="117" t="s">
        <v>298</v>
      </c>
      <c r="BN46" s="118" t="s">
        <v>269</v>
      </c>
      <c r="BO46" s="119">
        <f>ROUND(SUBTOTAL(109,$BO$41:$BO$45),2)</f>
        <v>0</v>
      </c>
      <c r="BP46" s="120">
        <f>ROUND(SUBTOTAL(109,$BP$41:$BP$45),2)</f>
        <v>0</v>
      </c>
      <c r="BQ46" s="121">
        <f t="shared" si="97"/>
        <v>0</v>
      </c>
      <c r="BT46" s="117" t="s">
        <v>298</v>
      </c>
      <c r="BU46" s="118" t="s">
        <v>269</v>
      </c>
      <c r="BV46" s="119">
        <f>ROUND(SUBTOTAL(109,$BV$41:$BV$45),2)</f>
        <v>0</v>
      </c>
      <c r="BW46" s="120">
        <f>ROUND(SUBTOTAL(109,$BW$41:$BW$45),2)</f>
        <v>0</v>
      </c>
      <c r="BX46" s="121">
        <f t="shared" si="98"/>
        <v>0</v>
      </c>
      <c r="CA46" s="117" t="s">
        <v>298</v>
      </c>
      <c r="CB46" s="118" t="s">
        <v>269</v>
      </c>
      <c r="CC46" s="119">
        <f>ROUND(SUBTOTAL(109,$CC$41:$CC$45),2)</f>
        <v>0</v>
      </c>
      <c r="CD46" s="120">
        <f>ROUND(SUBTOTAL(109,$CD$41:$CD$45),2)</f>
        <v>0</v>
      </c>
      <c r="CE46" s="121">
        <f t="shared" si="99"/>
        <v>0</v>
      </c>
      <c r="CH46" s="117" t="s">
        <v>298</v>
      </c>
      <c r="CI46" s="118" t="s">
        <v>269</v>
      </c>
      <c r="CJ46" s="119">
        <f>ROUND(SUBTOTAL(109,$CJ$41:$CJ$45),2)</f>
        <v>0</v>
      </c>
      <c r="CK46" s="120">
        <f>ROUND(SUBTOTAL(109,$CK$41:$CK$45),2)</f>
        <v>0</v>
      </c>
      <c r="CL46" s="121">
        <f t="shared" si="100"/>
        <v>0</v>
      </c>
      <c r="CO46" s="117" t="s">
        <v>298</v>
      </c>
      <c r="CP46" s="118" t="s">
        <v>269</v>
      </c>
      <c r="CQ46" s="119">
        <f>ROUND(SUBTOTAL(109,$CQ$41:$CQ$45),2)</f>
        <v>0</v>
      </c>
      <c r="CR46" s="120">
        <f>ROUND(SUBTOTAL(109,$CR$41:$CR$45),2)</f>
        <v>0</v>
      </c>
      <c r="CS46" s="121">
        <f t="shared" si="101"/>
        <v>0</v>
      </c>
      <c r="CV46" s="117" t="s">
        <v>298</v>
      </c>
      <c r="CW46" s="118" t="s">
        <v>269</v>
      </c>
      <c r="CX46" s="119">
        <f>ROUND(SUBTOTAL(109,$CX$41:$CX$45),2)</f>
        <v>0</v>
      </c>
      <c r="CY46" s="120">
        <f>ROUND(SUBTOTAL(109,$CY$41:$CY$45),2)</f>
        <v>0</v>
      </c>
      <c r="CZ46" s="121">
        <f t="shared" si="102"/>
        <v>0</v>
      </c>
      <c r="DC46" s="117" t="s">
        <v>298</v>
      </c>
      <c r="DD46" s="118" t="s">
        <v>269</v>
      </c>
      <c r="DE46" s="119">
        <f>ROUND(SUBTOTAL(109,$DE$41:$DE$45),2)</f>
        <v>0</v>
      </c>
      <c r="DF46" s="120">
        <f>ROUND(SUBTOTAL(109,$DF$41:$DF$45),2)</f>
        <v>0</v>
      </c>
      <c r="DG46" s="121">
        <f t="shared" si="103"/>
        <v>0</v>
      </c>
      <c r="DJ46" s="117" t="s">
        <v>298</v>
      </c>
      <c r="DK46" s="118" t="s">
        <v>269</v>
      </c>
      <c r="DL46" s="119">
        <f>ROUND(SUBTOTAL(109,$DL$41:$DL$45),2)</f>
        <v>0</v>
      </c>
      <c r="DM46" s="120">
        <f>ROUND(SUBTOTAL(109,$DM$41:$DM$45),2)</f>
        <v>0</v>
      </c>
      <c r="DN46" s="121">
        <f t="shared" si="104"/>
        <v>0</v>
      </c>
      <c r="DQ46" s="117" t="s">
        <v>298</v>
      </c>
      <c r="DR46" s="118" t="s">
        <v>269</v>
      </c>
      <c r="DS46" s="119">
        <f>ROUND(SUBTOTAL(109,$DS$41:$DS$45),2)</f>
        <v>0</v>
      </c>
      <c r="DT46" s="120">
        <f>ROUND(SUBTOTAL(109,$DT$41:$DT$45),2)</f>
        <v>0</v>
      </c>
      <c r="DU46" s="121">
        <f t="shared" si="105"/>
        <v>0</v>
      </c>
    </row>
    <row r="48" spans="2:125" ht="16.5" x14ac:dyDescent="0.25">
      <c r="B48" s="163" t="s">
        <v>299</v>
      </c>
      <c r="I48" s="163" t="s">
        <v>299</v>
      </c>
      <c r="P48" s="163" t="s">
        <v>299</v>
      </c>
      <c r="W48" s="163" t="s">
        <v>299</v>
      </c>
      <c r="AD48" s="163" t="s">
        <v>299</v>
      </c>
      <c r="AK48" s="163" t="s">
        <v>299</v>
      </c>
      <c r="AR48" s="163" t="s">
        <v>299</v>
      </c>
      <c r="AY48" s="163" t="s">
        <v>299</v>
      </c>
      <c r="BF48" s="163" t="s">
        <v>299</v>
      </c>
      <c r="BM48" s="163" t="s">
        <v>299</v>
      </c>
      <c r="BT48" s="163" t="s">
        <v>299</v>
      </c>
      <c r="CA48" s="163" t="s">
        <v>299</v>
      </c>
      <c r="CH48" s="163" t="s">
        <v>299</v>
      </c>
      <c r="CO48" s="163" t="s">
        <v>299</v>
      </c>
      <c r="CV48" s="163" t="s">
        <v>299</v>
      </c>
      <c r="DC48" s="163" t="s">
        <v>299</v>
      </c>
      <c r="DJ48" s="163" t="s">
        <v>299</v>
      </c>
      <c r="DQ48" s="163" t="s">
        <v>299</v>
      </c>
    </row>
    <row r="49" spans="2:125" ht="16.5" x14ac:dyDescent="0.25">
      <c r="B49" s="80" t="s">
        <v>293</v>
      </c>
      <c r="C49" s="80" t="s">
        <v>294</v>
      </c>
      <c r="D49" s="80" t="s">
        <v>272</v>
      </c>
      <c r="E49" s="80" t="s">
        <v>273</v>
      </c>
      <c r="F49" s="80" t="s">
        <v>295</v>
      </c>
      <c r="I49" s="80" t="s">
        <v>293</v>
      </c>
      <c r="J49" s="80" t="s">
        <v>294</v>
      </c>
      <c r="K49" s="80" t="s">
        <v>272</v>
      </c>
      <c r="L49" s="80" t="s">
        <v>273</v>
      </c>
      <c r="M49" s="80" t="s">
        <v>295</v>
      </c>
      <c r="P49" s="80" t="s">
        <v>293</v>
      </c>
      <c r="Q49" s="80" t="s">
        <v>294</v>
      </c>
      <c r="R49" s="80" t="s">
        <v>272</v>
      </c>
      <c r="S49" s="80" t="s">
        <v>273</v>
      </c>
      <c r="T49" s="80" t="s">
        <v>295</v>
      </c>
      <c r="W49" s="80" t="s">
        <v>293</v>
      </c>
      <c r="X49" s="80" t="s">
        <v>294</v>
      </c>
      <c r="Y49" s="80" t="s">
        <v>272</v>
      </c>
      <c r="Z49" s="80" t="s">
        <v>273</v>
      </c>
      <c r="AA49" s="80" t="s">
        <v>295</v>
      </c>
      <c r="AD49" s="80" t="s">
        <v>293</v>
      </c>
      <c r="AE49" s="80" t="s">
        <v>294</v>
      </c>
      <c r="AF49" s="80" t="s">
        <v>272</v>
      </c>
      <c r="AG49" s="80" t="s">
        <v>273</v>
      </c>
      <c r="AH49" s="80" t="s">
        <v>295</v>
      </c>
      <c r="AK49" s="80" t="s">
        <v>293</v>
      </c>
      <c r="AL49" s="80" t="s">
        <v>294</v>
      </c>
      <c r="AM49" s="80" t="s">
        <v>272</v>
      </c>
      <c r="AN49" s="80" t="s">
        <v>273</v>
      </c>
      <c r="AO49" s="80" t="s">
        <v>295</v>
      </c>
      <c r="AR49" s="80" t="s">
        <v>293</v>
      </c>
      <c r="AS49" s="80" t="s">
        <v>294</v>
      </c>
      <c r="AT49" s="80" t="s">
        <v>272</v>
      </c>
      <c r="AU49" s="80" t="s">
        <v>273</v>
      </c>
      <c r="AV49" s="80" t="s">
        <v>295</v>
      </c>
      <c r="AY49" s="80" t="s">
        <v>293</v>
      </c>
      <c r="AZ49" s="80" t="s">
        <v>294</v>
      </c>
      <c r="BA49" s="80" t="s">
        <v>272</v>
      </c>
      <c r="BB49" s="80" t="s">
        <v>273</v>
      </c>
      <c r="BC49" s="80" t="s">
        <v>295</v>
      </c>
      <c r="BF49" s="80" t="s">
        <v>293</v>
      </c>
      <c r="BG49" s="80" t="s">
        <v>294</v>
      </c>
      <c r="BH49" s="80" t="s">
        <v>272</v>
      </c>
      <c r="BI49" s="80" t="s">
        <v>273</v>
      </c>
      <c r="BJ49" s="80" t="s">
        <v>295</v>
      </c>
      <c r="BM49" s="80" t="s">
        <v>293</v>
      </c>
      <c r="BN49" s="80" t="s">
        <v>294</v>
      </c>
      <c r="BO49" s="80" t="s">
        <v>272</v>
      </c>
      <c r="BP49" s="80" t="s">
        <v>273</v>
      </c>
      <c r="BQ49" s="80" t="s">
        <v>295</v>
      </c>
      <c r="BT49" s="80" t="s">
        <v>293</v>
      </c>
      <c r="BU49" s="80" t="s">
        <v>294</v>
      </c>
      <c r="BV49" s="80" t="s">
        <v>272</v>
      </c>
      <c r="BW49" s="80" t="s">
        <v>273</v>
      </c>
      <c r="BX49" s="80" t="s">
        <v>295</v>
      </c>
      <c r="CA49" s="80" t="s">
        <v>293</v>
      </c>
      <c r="CB49" s="80" t="s">
        <v>294</v>
      </c>
      <c r="CC49" s="80" t="s">
        <v>272</v>
      </c>
      <c r="CD49" s="80" t="s">
        <v>273</v>
      </c>
      <c r="CE49" s="80" t="s">
        <v>295</v>
      </c>
      <c r="CH49" s="80" t="s">
        <v>293</v>
      </c>
      <c r="CI49" s="80" t="s">
        <v>294</v>
      </c>
      <c r="CJ49" s="80" t="s">
        <v>272</v>
      </c>
      <c r="CK49" s="80" t="s">
        <v>273</v>
      </c>
      <c r="CL49" s="80" t="s">
        <v>295</v>
      </c>
      <c r="CO49" s="80" t="s">
        <v>293</v>
      </c>
      <c r="CP49" s="80" t="s">
        <v>294</v>
      </c>
      <c r="CQ49" s="80" t="s">
        <v>272</v>
      </c>
      <c r="CR49" s="80" t="s">
        <v>273</v>
      </c>
      <c r="CS49" s="80" t="s">
        <v>295</v>
      </c>
      <c r="CV49" s="80" t="s">
        <v>293</v>
      </c>
      <c r="CW49" s="80" t="s">
        <v>294</v>
      </c>
      <c r="CX49" s="80" t="s">
        <v>272</v>
      </c>
      <c r="CY49" s="80" t="s">
        <v>273</v>
      </c>
      <c r="CZ49" s="80" t="s">
        <v>295</v>
      </c>
      <c r="DC49" s="80" t="s">
        <v>293</v>
      </c>
      <c r="DD49" s="80" t="s">
        <v>294</v>
      </c>
      <c r="DE49" s="80" t="s">
        <v>272</v>
      </c>
      <c r="DF49" s="80" t="s">
        <v>273</v>
      </c>
      <c r="DG49" s="80" t="s">
        <v>295</v>
      </c>
      <c r="DJ49" s="80" t="s">
        <v>293</v>
      </c>
      <c r="DK49" s="80" t="s">
        <v>294</v>
      </c>
      <c r="DL49" s="80" t="s">
        <v>272</v>
      </c>
      <c r="DM49" s="80" t="s">
        <v>273</v>
      </c>
      <c r="DN49" s="80" t="s">
        <v>295</v>
      </c>
      <c r="DQ49" s="80" t="s">
        <v>293</v>
      </c>
      <c r="DR49" s="80" t="s">
        <v>294</v>
      </c>
      <c r="DS49" s="80" t="s">
        <v>272</v>
      </c>
      <c r="DT49" s="80" t="s">
        <v>273</v>
      </c>
      <c r="DU49" s="80" t="s">
        <v>295</v>
      </c>
    </row>
    <row r="50" spans="2:125" ht="16.5" x14ac:dyDescent="0.3">
      <c r="B50" s="112" t="s">
        <v>194</v>
      </c>
      <c r="C50" s="113" t="s">
        <v>300</v>
      </c>
      <c r="D50" s="114"/>
      <c r="E50" s="122">
        <f t="shared" ref="E50:E55" si="106">IFERROR(ROUND(D50/$C$7,2),0)</f>
        <v>0</v>
      </c>
      <c r="F50" s="116">
        <f t="shared" ref="F50:F56" si="107">ROUND(IFERROR(D50/E50,0),6)</f>
        <v>0</v>
      </c>
      <c r="I50" s="112" t="s">
        <v>194</v>
      </c>
      <c r="J50" s="113" t="s">
        <v>300</v>
      </c>
      <c r="K50" s="114"/>
      <c r="L50" s="122">
        <f t="shared" ref="L50:L55" si="108">IFERROR(ROUND(K50/$J$7,2),0)</f>
        <v>0</v>
      </c>
      <c r="M50" s="116">
        <f t="shared" ref="M50:M56" si="109">ROUND(IFERROR(K50/L50,0),6)</f>
        <v>0</v>
      </c>
      <c r="P50" s="112" t="s">
        <v>194</v>
      </c>
      <c r="Q50" s="113" t="s">
        <v>300</v>
      </c>
      <c r="R50" s="114"/>
      <c r="S50" s="122">
        <f t="shared" ref="S50:S55" si="110">IFERROR(ROUND(R50/$Q$7,2),0)</f>
        <v>0</v>
      </c>
      <c r="T50" s="116">
        <f t="shared" ref="T50:T56" si="111">ROUND(IFERROR(R50/S50,0),6)</f>
        <v>0</v>
      </c>
      <c r="W50" s="112" t="s">
        <v>194</v>
      </c>
      <c r="X50" s="113" t="s">
        <v>300</v>
      </c>
      <c r="Y50" s="114"/>
      <c r="Z50" s="122">
        <f t="shared" ref="Z50:Z55" si="112">IFERROR(ROUND(Y50/$X$7,2),0)</f>
        <v>0</v>
      </c>
      <c r="AA50" s="116">
        <f t="shared" ref="AA50:AA56" si="113">ROUND(IFERROR(Y50/Z50,0),6)</f>
        <v>0</v>
      </c>
      <c r="AD50" s="112" t="s">
        <v>194</v>
      </c>
      <c r="AE50" s="113" t="s">
        <v>300</v>
      </c>
      <c r="AF50" s="114"/>
      <c r="AG50" s="122">
        <f t="shared" ref="AG50:AG55" si="114">IFERROR(ROUND(AF50/$AE$7,2),0)</f>
        <v>0</v>
      </c>
      <c r="AH50" s="116">
        <f t="shared" ref="AH50:AH56" si="115">ROUND(IFERROR(AF50/AG50,0),6)</f>
        <v>0</v>
      </c>
      <c r="AK50" s="112" t="s">
        <v>194</v>
      </c>
      <c r="AL50" s="113" t="s">
        <v>300</v>
      </c>
      <c r="AM50" s="114"/>
      <c r="AN50" s="122">
        <f t="shared" ref="AN50:AN55" si="116">IFERROR(ROUND(AM50/$AL$7,2),0)</f>
        <v>0</v>
      </c>
      <c r="AO50" s="116">
        <f t="shared" ref="AO50:AO56" si="117">ROUND(IFERROR(AM50/AN50,0),6)</f>
        <v>0</v>
      </c>
      <c r="AR50" s="112" t="s">
        <v>194</v>
      </c>
      <c r="AS50" s="113" t="s">
        <v>300</v>
      </c>
      <c r="AT50" s="114"/>
      <c r="AU50" s="122">
        <f t="shared" ref="AU50:AU55" si="118">IFERROR(ROUND(AT50/$AS$7,2),0)</f>
        <v>0</v>
      </c>
      <c r="AV50" s="116">
        <f t="shared" ref="AV50:AV56" si="119">ROUND(IFERROR(AT50/AU50,0),6)</f>
        <v>0</v>
      </c>
      <c r="AY50" s="112" t="s">
        <v>194</v>
      </c>
      <c r="AZ50" s="113" t="s">
        <v>300</v>
      </c>
      <c r="BA50" s="114"/>
      <c r="BB50" s="122">
        <f t="shared" ref="BB50:BB55" si="120">IFERROR(ROUND(BA50/$AZ$7,2),0)</f>
        <v>0</v>
      </c>
      <c r="BC50" s="116">
        <f t="shared" ref="BC50:BC56" si="121">ROUND(IFERROR(BA50/BB50,0),6)</f>
        <v>0</v>
      </c>
      <c r="BF50" s="112" t="s">
        <v>194</v>
      </c>
      <c r="BG50" s="113" t="s">
        <v>300</v>
      </c>
      <c r="BH50" s="114"/>
      <c r="BI50" s="122">
        <f t="shared" ref="BI50:BI55" si="122">IFERROR(ROUND(BH50/$BG$7,2),0)</f>
        <v>0</v>
      </c>
      <c r="BJ50" s="116">
        <f t="shared" ref="BJ50:BJ56" si="123">ROUND(IFERROR(BH50/BI50,0),6)</f>
        <v>0</v>
      </c>
      <c r="BM50" s="112" t="s">
        <v>194</v>
      </c>
      <c r="BN50" s="113" t="s">
        <v>300</v>
      </c>
      <c r="BO50" s="114"/>
      <c r="BP50" s="122">
        <f t="shared" ref="BP50:BP55" si="124">IFERROR(ROUND(BO50/$BN$7,2),0)</f>
        <v>0</v>
      </c>
      <c r="BQ50" s="116">
        <f t="shared" ref="BQ50:BQ56" si="125">ROUND(IFERROR(BO50/BP50,0),6)</f>
        <v>0</v>
      </c>
      <c r="BT50" s="112" t="s">
        <v>194</v>
      </c>
      <c r="BU50" s="113" t="s">
        <v>300</v>
      </c>
      <c r="BV50" s="114"/>
      <c r="BW50" s="122">
        <f t="shared" ref="BW50:BW55" si="126">IFERROR(ROUND(BV50/$BU$7,2),0)</f>
        <v>0</v>
      </c>
      <c r="BX50" s="116">
        <f t="shared" ref="BX50:BX56" si="127">ROUND(IFERROR(BV50/BW50,0),6)</f>
        <v>0</v>
      </c>
      <c r="CA50" s="112" t="s">
        <v>194</v>
      </c>
      <c r="CB50" s="113" t="s">
        <v>300</v>
      </c>
      <c r="CC50" s="114"/>
      <c r="CD50" s="122">
        <f t="shared" ref="CD50:CD55" si="128">IFERROR(ROUND(CC50/$CB$7,2),0)</f>
        <v>0</v>
      </c>
      <c r="CE50" s="116">
        <f t="shared" ref="CE50:CE56" si="129">ROUND(IFERROR(CC50/CD50,0),6)</f>
        <v>0</v>
      </c>
      <c r="CH50" s="112" t="s">
        <v>194</v>
      </c>
      <c r="CI50" s="113" t="s">
        <v>300</v>
      </c>
      <c r="CJ50" s="114"/>
      <c r="CK50" s="122">
        <f t="shared" ref="CK50:CK55" si="130">IFERROR(ROUND(CJ50/$CI$7,2),0)</f>
        <v>0</v>
      </c>
      <c r="CL50" s="116">
        <f t="shared" ref="CL50:CL56" si="131">ROUND(IFERROR(CJ50/CK50,0),6)</f>
        <v>0</v>
      </c>
      <c r="CO50" s="112" t="s">
        <v>194</v>
      </c>
      <c r="CP50" s="113" t="s">
        <v>300</v>
      </c>
      <c r="CQ50" s="114"/>
      <c r="CR50" s="122">
        <f t="shared" ref="CR50:CR55" si="132">IFERROR(ROUND(CQ50/$CP$7,2),0)</f>
        <v>0</v>
      </c>
      <c r="CS50" s="116">
        <f t="shared" ref="CS50:CS56" si="133">ROUND(IFERROR(CQ50/CR50,0),6)</f>
        <v>0</v>
      </c>
      <c r="CV50" s="112" t="s">
        <v>194</v>
      </c>
      <c r="CW50" s="113" t="s">
        <v>300</v>
      </c>
      <c r="CX50" s="114"/>
      <c r="CY50" s="122">
        <f t="shared" ref="CY50:CY55" si="134">IFERROR(ROUND(CX50/$CW$7,2),0)</f>
        <v>0</v>
      </c>
      <c r="CZ50" s="116">
        <f t="shared" ref="CZ50:CZ56" si="135">ROUND(IFERROR(CX50/CY50,0),6)</f>
        <v>0</v>
      </c>
      <c r="DC50" s="112" t="s">
        <v>194</v>
      </c>
      <c r="DD50" s="113" t="s">
        <v>300</v>
      </c>
      <c r="DE50" s="114"/>
      <c r="DF50" s="122">
        <f t="shared" ref="DF50:DF55" si="136">IFERROR(ROUND(DE50/$DD$7,2),0)</f>
        <v>0</v>
      </c>
      <c r="DG50" s="116">
        <f t="shared" ref="DG50:DG56" si="137">ROUND(IFERROR(DE50/DF50,0),6)</f>
        <v>0</v>
      </c>
      <c r="DJ50" s="112" t="s">
        <v>194</v>
      </c>
      <c r="DK50" s="113" t="s">
        <v>300</v>
      </c>
      <c r="DL50" s="114"/>
      <c r="DM50" s="122">
        <f t="shared" ref="DM50:DM55" si="138">IFERROR(ROUND(DL50/$DK$7,2),0)</f>
        <v>0</v>
      </c>
      <c r="DN50" s="116">
        <f t="shared" ref="DN50:DN56" si="139">ROUND(IFERROR(DL50/DM50,0),6)</f>
        <v>0</v>
      </c>
      <c r="DQ50" s="112" t="s">
        <v>194</v>
      </c>
      <c r="DR50" s="113" t="s">
        <v>300</v>
      </c>
      <c r="DS50" s="114"/>
      <c r="DT50" s="122">
        <f t="shared" ref="DT50:DT55" si="140">IFERROR(ROUND(DS50/$DR$7,2),0)</f>
        <v>0</v>
      </c>
      <c r="DU50" s="116">
        <f t="shared" ref="DU50:DU56" si="141">ROUND(IFERROR(DS50/DT50,0),6)</f>
        <v>0</v>
      </c>
    </row>
    <row r="51" spans="2:125" ht="16.5" x14ac:dyDescent="0.3">
      <c r="B51" s="112" t="s">
        <v>277</v>
      </c>
      <c r="C51" s="113" t="s">
        <v>158</v>
      </c>
      <c r="D51" s="114"/>
      <c r="E51" s="122">
        <f t="shared" si="106"/>
        <v>0</v>
      </c>
      <c r="F51" s="116">
        <f t="shared" si="107"/>
        <v>0</v>
      </c>
      <c r="I51" s="112" t="s">
        <v>277</v>
      </c>
      <c r="J51" s="113" t="s">
        <v>158</v>
      </c>
      <c r="K51" s="114"/>
      <c r="L51" s="122">
        <f t="shared" si="108"/>
        <v>0</v>
      </c>
      <c r="M51" s="116">
        <f t="shared" si="109"/>
        <v>0</v>
      </c>
      <c r="P51" s="112" t="s">
        <v>277</v>
      </c>
      <c r="Q51" s="113" t="s">
        <v>158</v>
      </c>
      <c r="R51" s="114"/>
      <c r="S51" s="122">
        <f t="shared" si="110"/>
        <v>0</v>
      </c>
      <c r="T51" s="116">
        <f t="shared" si="111"/>
        <v>0</v>
      </c>
      <c r="W51" s="112" t="s">
        <v>277</v>
      </c>
      <c r="X51" s="113" t="s">
        <v>158</v>
      </c>
      <c r="Y51" s="114"/>
      <c r="Z51" s="122">
        <f t="shared" si="112"/>
        <v>0</v>
      </c>
      <c r="AA51" s="116">
        <f t="shared" si="113"/>
        <v>0</v>
      </c>
      <c r="AD51" s="112" t="s">
        <v>277</v>
      </c>
      <c r="AE51" s="113" t="s">
        <v>158</v>
      </c>
      <c r="AF51" s="114"/>
      <c r="AG51" s="122">
        <f t="shared" si="114"/>
        <v>0</v>
      </c>
      <c r="AH51" s="116">
        <f t="shared" si="115"/>
        <v>0</v>
      </c>
      <c r="AK51" s="112" t="s">
        <v>277</v>
      </c>
      <c r="AL51" s="113" t="s">
        <v>158</v>
      </c>
      <c r="AM51" s="114"/>
      <c r="AN51" s="122">
        <f t="shared" si="116"/>
        <v>0</v>
      </c>
      <c r="AO51" s="116">
        <f t="shared" si="117"/>
        <v>0</v>
      </c>
      <c r="AR51" s="112" t="s">
        <v>277</v>
      </c>
      <c r="AS51" s="113" t="s">
        <v>158</v>
      </c>
      <c r="AT51" s="114"/>
      <c r="AU51" s="122">
        <f t="shared" si="118"/>
        <v>0</v>
      </c>
      <c r="AV51" s="116">
        <f t="shared" si="119"/>
        <v>0</v>
      </c>
      <c r="AY51" s="112" t="s">
        <v>277</v>
      </c>
      <c r="AZ51" s="113" t="s">
        <v>158</v>
      </c>
      <c r="BA51" s="114"/>
      <c r="BB51" s="122">
        <f t="shared" si="120"/>
        <v>0</v>
      </c>
      <c r="BC51" s="116">
        <f t="shared" si="121"/>
        <v>0</v>
      </c>
      <c r="BF51" s="112" t="s">
        <v>277</v>
      </c>
      <c r="BG51" s="113" t="s">
        <v>158</v>
      </c>
      <c r="BH51" s="114"/>
      <c r="BI51" s="122">
        <f t="shared" si="122"/>
        <v>0</v>
      </c>
      <c r="BJ51" s="116">
        <f t="shared" si="123"/>
        <v>0</v>
      </c>
      <c r="BM51" s="112" t="s">
        <v>277</v>
      </c>
      <c r="BN51" s="113" t="s">
        <v>158</v>
      </c>
      <c r="BO51" s="114"/>
      <c r="BP51" s="122">
        <f t="shared" si="124"/>
        <v>0</v>
      </c>
      <c r="BQ51" s="116">
        <f t="shared" si="125"/>
        <v>0</v>
      </c>
      <c r="BT51" s="112" t="s">
        <v>277</v>
      </c>
      <c r="BU51" s="113" t="s">
        <v>158</v>
      </c>
      <c r="BV51" s="114"/>
      <c r="BW51" s="122">
        <f t="shared" si="126"/>
        <v>0</v>
      </c>
      <c r="BX51" s="116">
        <f t="shared" si="127"/>
        <v>0</v>
      </c>
      <c r="CA51" s="112" t="s">
        <v>277</v>
      </c>
      <c r="CB51" s="113" t="s">
        <v>158</v>
      </c>
      <c r="CC51" s="114"/>
      <c r="CD51" s="122">
        <f t="shared" si="128"/>
        <v>0</v>
      </c>
      <c r="CE51" s="116">
        <f t="shared" si="129"/>
        <v>0</v>
      </c>
      <c r="CH51" s="112" t="s">
        <v>277</v>
      </c>
      <c r="CI51" s="113" t="s">
        <v>158</v>
      </c>
      <c r="CJ51" s="114"/>
      <c r="CK51" s="122">
        <f t="shared" si="130"/>
        <v>0</v>
      </c>
      <c r="CL51" s="116">
        <f t="shared" si="131"/>
        <v>0</v>
      </c>
      <c r="CO51" s="112" t="s">
        <v>277</v>
      </c>
      <c r="CP51" s="113" t="s">
        <v>158</v>
      </c>
      <c r="CQ51" s="114"/>
      <c r="CR51" s="122">
        <f t="shared" si="132"/>
        <v>0</v>
      </c>
      <c r="CS51" s="116">
        <f t="shared" si="133"/>
        <v>0</v>
      </c>
      <c r="CV51" s="112" t="s">
        <v>277</v>
      </c>
      <c r="CW51" s="113" t="s">
        <v>158</v>
      </c>
      <c r="CX51" s="114"/>
      <c r="CY51" s="122">
        <f t="shared" si="134"/>
        <v>0</v>
      </c>
      <c r="CZ51" s="116">
        <f t="shared" si="135"/>
        <v>0</v>
      </c>
      <c r="DC51" s="112" t="s">
        <v>277</v>
      </c>
      <c r="DD51" s="113" t="s">
        <v>158</v>
      </c>
      <c r="DE51" s="114"/>
      <c r="DF51" s="122">
        <f t="shared" si="136"/>
        <v>0</v>
      </c>
      <c r="DG51" s="116">
        <f t="shared" si="137"/>
        <v>0</v>
      </c>
      <c r="DJ51" s="112" t="s">
        <v>277</v>
      </c>
      <c r="DK51" s="113" t="s">
        <v>158</v>
      </c>
      <c r="DL51" s="114"/>
      <c r="DM51" s="122">
        <f t="shared" si="138"/>
        <v>0</v>
      </c>
      <c r="DN51" s="116">
        <f t="shared" si="139"/>
        <v>0</v>
      </c>
      <c r="DQ51" s="112" t="s">
        <v>277</v>
      </c>
      <c r="DR51" s="113" t="s">
        <v>158</v>
      </c>
      <c r="DS51" s="114"/>
      <c r="DT51" s="122">
        <f t="shared" si="140"/>
        <v>0</v>
      </c>
      <c r="DU51" s="116">
        <f t="shared" si="141"/>
        <v>0</v>
      </c>
    </row>
    <row r="52" spans="2:125" ht="16.5" x14ac:dyDescent="0.3">
      <c r="B52" s="112" t="s">
        <v>278</v>
      </c>
      <c r="C52" s="113" t="s">
        <v>288</v>
      </c>
      <c r="D52" s="114"/>
      <c r="E52" s="122">
        <f t="shared" si="106"/>
        <v>0</v>
      </c>
      <c r="F52" s="116">
        <f t="shared" si="107"/>
        <v>0</v>
      </c>
      <c r="I52" s="112" t="s">
        <v>278</v>
      </c>
      <c r="J52" s="113" t="s">
        <v>288</v>
      </c>
      <c r="K52" s="114"/>
      <c r="L52" s="122">
        <f t="shared" si="108"/>
        <v>0</v>
      </c>
      <c r="M52" s="116">
        <f t="shared" si="109"/>
        <v>0</v>
      </c>
      <c r="P52" s="112" t="s">
        <v>278</v>
      </c>
      <c r="Q52" s="113" t="s">
        <v>288</v>
      </c>
      <c r="R52" s="114"/>
      <c r="S52" s="122">
        <f t="shared" si="110"/>
        <v>0</v>
      </c>
      <c r="T52" s="116">
        <f t="shared" si="111"/>
        <v>0</v>
      </c>
      <c r="W52" s="112" t="s">
        <v>278</v>
      </c>
      <c r="X52" s="113" t="s">
        <v>288</v>
      </c>
      <c r="Y52" s="114"/>
      <c r="Z52" s="122">
        <f t="shared" si="112"/>
        <v>0</v>
      </c>
      <c r="AA52" s="116">
        <f t="shared" si="113"/>
        <v>0</v>
      </c>
      <c r="AD52" s="112" t="s">
        <v>278</v>
      </c>
      <c r="AE52" s="113" t="s">
        <v>288</v>
      </c>
      <c r="AF52" s="114"/>
      <c r="AG52" s="122">
        <f t="shared" si="114"/>
        <v>0</v>
      </c>
      <c r="AH52" s="116">
        <f t="shared" si="115"/>
        <v>0</v>
      </c>
      <c r="AK52" s="112" t="s">
        <v>278</v>
      </c>
      <c r="AL52" s="113" t="s">
        <v>288</v>
      </c>
      <c r="AM52" s="114"/>
      <c r="AN52" s="122">
        <f t="shared" si="116"/>
        <v>0</v>
      </c>
      <c r="AO52" s="116">
        <f t="shared" si="117"/>
        <v>0</v>
      </c>
      <c r="AR52" s="112" t="s">
        <v>278</v>
      </c>
      <c r="AS52" s="113" t="s">
        <v>288</v>
      </c>
      <c r="AT52" s="114"/>
      <c r="AU52" s="122">
        <f t="shared" si="118"/>
        <v>0</v>
      </c>
      <c r="AV52" s="116">
        <f t="shared" si="119"/>
        <v>0</v>
      </c>
      <c r="AY52" s="112" t="s">
        <v>278</v>
      </c>
      <c r="AZ52" s="113" t="s">
        <v>288</v>
      </c>
      <c r="BA52" s="114"/>
      <c r="BB52" s="122">
        <f t="shared" si="120"/>
        <v>0</v>
      </c>
      <c r="BC52" s="116">
        <f t="shared" si="121"/>
        <v>0</v>
      </c>
      <c r="BF52" s="112" t="s">
        <v>278</v>
      </c>
      <c r="BG52" s="113" t="s">
        <v>288</v>
      </c>
      <c r="BH52" s="114"/>
      <c r="BI52" s="122">
        <f t="shared" si="122"/>
        <v>0</v>
      </c>
      <c r="BJ52" s="116">
        <f t="shared" si="123"/>
        <v>0</v>
      </c>
      <c r="BM52" s="112" t="s">
        <v>278</v>
      </c>
      <c r="BN52" s="113" t="s">
        <v>288</v>
      </c>
      <c r="BO52" s="114"/>
      <c r="BP52" s="122">
        <f t="shared" si="124"/>
        <v>0</v>
      </c>
      <c r="BQ52" s="116">
        <f t="shared" si="125"/>
        <v>0</v>
      </c>
      <c r="BT52" s="112" t="s">
        <v>278</v>
      </c>
      <c r="BU52" s="113" t="s">
        <v>288</v>
      </c>
      <c r="BV52" s="114"/>
      <c r="BW52" s="122">
        <f t="shared" si="126"/>
        <v>0</v>
      </c>
      <c r="BX52" s="116">
        <f t="shared" si="127"/>
        <v>0</v>
      </c>
      <c r="CA52" s="112" t="s">
        <v>278</v>
      </c>
      <c r="CB52" s="113" t="s">
        <v>288</v>
      </c>
      <c r="CC52" s="114"/>
      <c r="CD52" s="122">
        <f t="shared" si="128"/>
        <v>0</v>
      </c>
      <c r="CE52" s="116">
        <f t="shared" si="129"/>
        <v>0</v>
      </c>
      <c r="CH52" s="112" t="s">
        <v>278</v>
      </c>
      <c r="CI52" s="113" t="s">
        <v>288</v>
      </c>
      <c r="CJ52" s="114"/>
      <c r="CK52" s="122">
        <f t="shared" si="130"/>
        <v>0</v>
      </c>
      <c r="CL52" s="116">
        <f t="shared" si="131"/>
        <v>0</v>
      </c>
      <c r="CO52" s="112" t="s">
        <v>278</v>
      </c>
      <c r="CP52" s="113" t="s">
        <v>288</v>
      </c>
      <c r="CQ52" s="114"/>
      <c r="CR52" s="122">
        <f t="shared" si="132"/>
        <v>0</v>
      </c>
      <c r="CS52" s="116">
        <f t="shared" si="133"/>
        <v>0</v>
      </c>
      <c r="CV52" s="112" t="s">
        <v>278</v>
      </c>
      <c r="CW52" s="113" t="s">
        <v>288</v>
      </c>
      <c r="CX52" s="114"/>
      <c r="CY52" s="122">
        <f t="shared" si="134"/>
        <v>0</v>
      </c>
      <c r="CZ52" s="116">
        <f t="shared" si="135"/>
        <v>0</v>
      </c>
      <c r="DC52" s="112" t="s">
        <v>278</v>
      </c>
      <c r="DD52" s="113" t="s">
        <v>288</v>
      </c>
      <c r="DE52" s="114"/>
      <c r="DF52" s="122">
        <f t="shared" si="136"/>
        <v>0</v>
      </c>
      <c r="DG52" s="116">
        <f t="shared" si="137"/>
        <v>0</v>
      </c>
      <c r="DJ52" s="112" t="s">
        <v>278</v>
      </c>
      <c r="DK52" s="113" t="s">
        <v>288</v>
      </c>
      <c r="DL52" s="114"/>
      <c r="DM52" s="122">
        <f t="shared" si="138"/>
        <v>0</v>
      </c>
      <c r="DN52" s="116">
        <f t="shared" si="139"/>
        <v>0</v>
      </c>
      <c r="DQ52" s="112" t="s">
        <v>278</v>
      </c>
      <c r="DR52" s="113" t="s">
        <v>288</v>
      </c>
      <c r="DS52" s="114"/>
      <c r="DT52" s="122">
        <f t="shared" si="140"/>
        <v>0</v>
      </c>
      <c r="DU52" s="116">
        <f t="shared" si="141"/>
        <v>0</v>
      </c>
    </row>
    <row r="53" spans="2:125" ht="16.5" x14ac:dyDescent="0.3">
      <c r="B53" s="112" t="s">
        <v>158</v>
      </c>
      <c r="C53" s="113" t="s">
        <v>158</v>
      </c>
      <c r="D53" s="114"/>
      <c r="E53" s="122">
        <f t="shared" si="106"/>
        <v>0</v>
      </c>
      <c r="F53" s="116">
        <f t="shared" si="107"/>
        <v>0</v>
      </c>
      <c r="I53" s="112" t="s">
        <v>158</v>
      </c>
      <c r="J53" s="113" t="s">
        <v>158</v>
      </c>
      <c r="K53" s="114"/>
      <c r="L53" s="122">
        <f t="shared" si="108"/>
        <v>0</v>
      </c>
      <c r="M53" s="116">
        <f t="shared" si="109"/>
        <v>0</v>
      </c>
      <c r="P53" s="112" t="s">
        <v>158</v>
      </c>
      <c r="Q53" s="113" t="s">
        <v>158</v>
      </c>
      <c r="R53" s="114"/>
      <c r="S53" s="122">
        <f t="shared" si="110"/>
        <v>0</v>
      </c>
      <c r="T53" s="116">
        <f t="shared" si="111"/>
        <v>0</v>
      </c>
      <c r="W53" s="112" t="s">
        <v>158</v>
      </c>
      <c r="X53" s="113" t="s">
        <v>158</v>
      </c>
      <c r="Y53" s="114"/>
      <c r="Z53" s="122">
        <f t="shared" si="112"/>
        <v>0</v>
      </c>
      <c r="AA53" s="116">
        <f t="shared" si="113"/>
        <v>0</v>
      </c>
      <c r="AD53" s="112" t="s">
        <v>158</v>
      </c>
      <c r="AE53" s="113" t="s">
        <v>158</v>
      </c>
      <c r="AF53" s="114"/>
      <c r="AG53" s="122">
        <f t="shared" si="114"/>
        <v>0</v>
      </c>
      <c r="AH53" s="116">
        <f t="shared" si="115"/>
        <v>0</v>
      </c>
      <c r="AK53" s="112" t="s">
        <v>158</v>
      </c>
      <c r="AL53" s="113" t="s">
        <v>158</v>
      </c>
      <c r="AM53" s="114"/>
      <c r="AN53" s="122">
        <f t="shared" si="116"/>
        <v>0</v>
      </c>
      <c r="AO53" s="116">
        <f t="shared" si="117"/>
        <v>0</v>
      </c>
      <c r="AR53" s="112" t="s">
        <v>158</v>
      </c>
      <c r="AS53" s="113" t="s">
        <v>158</v>
      </c>
      <c r="AT53" s="114"/>
      <c r="AU53" s="122">
        <f t="shared" si="118"/>
        <v>0</v>
      </c>
      <c r="AV53" s="116">
        <f t="shared" si="119"/>
        <v>0</v>
      </c>
      <c r="AY53" s="112" t="s">
        <v>158</v>
      </c>
      <c r="AZ53" s="113" t="s">
        <v>158</v>
      </c>
      <c r="BA53" s="114"/>
      <c r="BB53" s="122">
        <f t="shared" si="120"/>
        <v>0</v>
      </c>
      <c r="BC53" s="116">
        <f t="shared" si="121"/>
        <v>0</v>
      </c>
      <c r="BF53" s="112" t="s">
        <v>158</v>
      </c>
      <c r="BG53" s="113" t="s">
        <v>158</v>
      </c>
      <c r="BH53" s="114"/>
      <c r="BI53" s="122">
        <f t="shared" si="122"/>
        <v>0</v>
      </c>
      <c r="BJ53" s="116">
        <f t="shared" si="123"/>
        <v>0</v>
      </c>
      <c r="BM53" s="112" t="s">
        <v>158</v>
      </c>
      <c r="BN53" s="113" t="s">
        <v>158</v>
      </c>
      <c r="BO53" s="114"/>
      <c r="BP53" s="122">
        <f t="shared" si="124"/>
        <v>0</v>
      </c>
      <c r="BQ53" s="116">
        <f t="shared" si="125"/>
        <v>0</v>
      </c>
      <c r="BT53" s="112" t="s">
        <v>158</v>
      </c>
      <c r="BU53" s="113" t="s">
        <v>158</v>
      </c>
      <c r="BV53" s="114"/>
      <c r="BW53" s="122">
        <f t="shared" si="126"/>
        <v>0</v>
      </c>
      <c r="BX53" s="116">
        <f t="shared" si="127"/>
        <v>0</v>
      </c>
      <c r="CA53" s="112" t="s">
        <v>158</v>
      </c>
      <c r="CB53" s="113" t="s">
        <v>158</v>
      </c>
      <c r="CC53" s="114"/>
      <c r="CD53" s="122">
        <f t="shared" si="128"/>
        <v>0</v>
      </c>
      <c r="CE53" s="116">
        <f t="shared" si="129"/>
        <v>0</v>
      </c>
      <c r="CH53" s="112" t="s">
        <v>158</v>
      </c>
      <c r="CI53" s="113" t="s">
        <v>158</v>
      </c>
      <c r="CJ53" s="114"/>
      <c r="CK53" s="122">
        <f t="shared" si="130"/>
        <v>0</v>
      </c>
      <c r="CL53" s="116">
        <f t="shared" si="131"/>
        <v>0</v>
      </c>
      <c r="CO53" s="112" t="s">
        <v>158</v>
      </c>
      <c r="CP53" s="113" t="s">
        <v>158</v>
      </c>
      <c r="CQ53" s="114"/>
      <c r="CR53" s="122">
        <f t="shared" si="132"/>
        <v>0</v>
      </c>
      <c r="CS53" s="116">
        <f t="shared" si="133"/>
        <v>0</v>
      </c>
      <c r="CV53" s="112" t="s">
        <v>158</v>
      </c>
      <c r="CW53" s="113" t="s">
        <v>158</v>
      </c>
      <c r="CX53" s="114"/>
      <c r="CY53" s="122">
        <f t="shared" si="134"/>
        <v>0</v>
      </c>
      <c r="CZ53" s="116">
        <f t="shared" si="135"/>
        <v>0</v>
      </c>
      <c r="DC53" s="112" t="s">
        <v>158</v>
      </c>
      <c r="DD53" s="113" t="s">
        <v>158</v>
      </c>
      <c r="DE53" s="114"/>
      <c r="DF53" s="122">
        <f t="shared" si="136"/>
        <v>0</v>
      </c>
      <c r="DG53" s="116">
        <f t="shared" si="137"/>
        <v>0</v>
      </c>
      <c r="DJ53" s="112" t="s">
        <v>158</v>
      </c>
      <c r="DK53" s="113" t="s">
        <v>158</v>
      </c>
      <c r="DL53" s="114"/>
      <c r="DM53" s="122">
        <f t="shared" si="138"/>
        <v>0</v>
      </c>
      <c r="DN53" s="116">
        <f t="shared" si="139"/>
        <v>0</v>
      </c>
      <c r="DQ53" s="112" t="s">
        <v>158</v>
      </c>
      <c r="DR53" s="113" t="s">
        <v>158</v>
      </c>
      <c r="DS53" s="114"/>
      <c r="DT53" s="122">
        <f t="shared" si="140"/>
        <v>0</v>
      </c>
      <c r="DU53" s="116">
        <f t="shared" si="141"/>
        <v>0</v>
      </c>
    </row>
    <row r="54" spans="2:125" ht="16.5" x14ac:dyDescent="0.3">
      <c r="B54" s="112" t="s">
        <v>158</v>
      </c>
      <c r="C54" s="113" t="s">
        <v>158</v>
      </c>
      <c r="D54" s="114"/>
      <c r="E54" s="122">
        <f t="shared" si="106"/>
        <v>0</v>
      </c>
      <c r="F54" s="116">
        <f t="shared" si="107"/>
        <v>0</v>
      </c>
      <c r="I54" s="112" t="s">
        <v>158</v>
      </c>
      <c r="J54" s="113" t="s">
        <v>158</v>
      </c>
      <c r="K54" s="114"/>
      <c r="L54" s="122">
        <f t="shared" si="108"/>
        <v>0</v>
      </c>
      <c r="M54" s="116">
        <f t="shared" si="109"/>
        <v>0</v>
      </c>
      <c r="P54" s="112" t="s">
        <v>158</v>
      </c>
      <c r="Q54" s="113" t="s">
        <v>158</v>
      </c>
      <c r="R54" s="114"/>
      <c r="S54" s="122">
        <f t="shared" si="110"/>
        <v>0</v>
      </c>
      <c r="T54" s="116">
        <f t="shared" si="111"/>
        <v>0</v>
      </c>
      <c r="W54" s="112" t="s">
        <v>158</v>
      </c>
      <c r="X54" s="113" t="s">
        <v>158</v>
      </c>
      <c r="Y54" s="114"/>
      <c r="Z54" s="122">
        <f t="shared" si="112"/>
        <v>0</v>
      </c>
      <c r="AA54" s="116">
        <f t="shared" si="113"/>
        <v>0</v>
      </c>
      <c r="AD54" s="112" t="s">
        <v>158</v>
      </c>
      <c r="AE54" s="113" t="s">
        <v>158</v>
      </c>
      <c r="AF54" s="114"/>
      <c r="AG54" s="122">
        <f t="shared" si="114"/>
        <v>0</v>
      </c>
      <c r="AH54" s="116">
        <f t="shared" si="115"/>
        <v>0</v>
      </c>
      <c r="AK54" s="112" t="s">
        <v>158</v>
      </c>
      <c r="AL54" s="113" t="s">
        <v>158</v>
      </c>
      <c r="AM54" s="114"/>
      <c r="AN54" s="122">
        <f t="shared" si="116"/>
        <v>0</v>
      </c>
      <c r="AO54" s="116">
        <f t="shared" si="117"/>
        <v>0</v>
      </c>
      <c r="AR54" s="112" t="s">
        <v>158</v>
      </c>
      <c r="AS54" s="113" t="s">
        <v>158</v>
      </c>
      <c r="AT54" s="114"/>
      <c r="AU54" s="122">
        <f t="shared" si="118"/>
        <v>0</v>
      </c>
      <c r="AV54" s="116">
        <f t="shared" si="119"/>
        <v>0</v>
      </c>
      <c r="AY54" s="112" t="s">
        <v>158</v>
      </c>
      <c r="AZ54" s="113" t="s">
        <v>158</v>
      </c>
      <c r="BA54" s="114"/>
      <c r="BB54" s="122">
        <f t="shared" si="120"/>
        <v>0</v>
      </c>
      <c r="BC54" s="116">
        <f t="shared" si="121"/>
        <v>0</v>
      </c>
      <c r="BF54" s="112" t="s">
        <v>158</v>
      </c>
      <c r="BG54" s="113" t="s">
        <v>158</v>
      </c>
      <c r="BH54" s="114"/>
      <c r="BI54" s="122">
        <f t="shared" si="122"/>
        <v>0</v>
      </c>
      <c r="BJ54" s="116">
        <f t="shared" si="123"/>
        <v>0</v>
      </c>
      <c r="BM54" s="112" t="s">
        <v>158</v>
      </c>
      <c r="BN54" s="113" t="s">
        <v>158</v>
      </c>
      <c r="BO54" s="114"/>
      <c r="BP54" s="122">
        <f t="shared" si="124"/>
        <v>0</v>
      </c>
      <c r="BQ54" s="116">
        <f t="shared" si="125"/>
        <v>0</v>
      </c>
      <c r="BT54" s="112" t="s">
        <v>158</v>
      </c>
      <c r="BU54" s="113" t="s">
        <v>158</v>
      </c>
      <c r="BV54" s="114"/>
      <c r="BW54" s="122">
        <f t="shared" si="126"/>
        <v>0</v>
      </c>
      <c r="BX54" s="116">
        <f t="shared" si="127"/>
        <v>0</v>
      </c>
      <c r="CA54" s="112" t="s">
        <v>158</v>
      </c>
      <c r="CB54" s="113" t="s">
        <v>158</v>
      </c>
      <c r="CC54" s="114"/>
      <c r="CD54" s="122">
        <f t="shared" si="128"/>
        <v>0</v>
      </c>
      <c r="CE54" s="116">
        <f t="shared" si="129"/>
        <v>0</v>
      </c>
      <c r="CH54" s="112" t="s">
        <v>158</v>
      </c>
      <c r="CI54" s="113" t="s">
        <v>158</v>
      </c>
      <c r="CJ54" s="114"/>
      <c r="CK54" s="122">
        <f t="shared" si="130"/>
        <v>0</v>
      </c>
      <c r="CL54" s="116">
        <f t="shared" si="131"/>
        <v>0</v>
      </c>
      <c r="CO54" s="112" t="s">
        <v>158</v>
      </c>
      <c r="CP54" s="113" t="s">
        <v>158</v>
      </c>
      <c r="CQ54" s="114"/>
      <c r="CR54" s="122">
        <f t="shared" si="132"/>
        <v>0</v>
      </c>
      <c r="CS54" s="116">
        <f t="shared" si="133"/>
        <v>0</v>
      </c>
      <c r="CV54" s="112" t="s">
        <v>158</v>
      </c>
      <c r="CW54" s="113" t="s">
        <v>158</v>
      </c>
      <c r="CX54" s="114"/>
      <c r="CY54" s="122">
        <f t="shared" si="134"/>
        <v>0</v>
      </c>
      <c r="CZ54" s="116">
        <f t="shared" si="135"/>
        <v>0</v>
      </c>
      <c r="DC54" s="112" t="s">
        <v>158</v>
      </c>
      <c r="DD54" s="113" t="s">
        <v>158</v>
      </c>
      <c r="DE54" s="114"/>
      <c r="DF54" s="122">
        <f t="shared" si="136"/>
        <v>0</v>
      </c>
      <c r="DG54" s="116">
        <f t="shared" si="137"/>
        <v>0</v>
      </c>
      <c r="DJ54" s="112" t="s">
        <v>158</v>
      </c>
      <c r="DK54" s="113" t="s">
        <v>158</v>
      </c>
      <c r="DL54" s="114"/>
      <c r="DM54" s="122">
        <f t="shared" si="138"/>
        <v>0</v>
      </c>
      <c r="DN54" s="116">
        <f t="shared" si="139"/>
        <v>0</v>
      </c>
      <c r="DQ54" s="112" t="s">
        <v>158</v>
      </c>
      <c r="DR54" s="113" t="s">
        <v>158</v>
      </c>
      <c r="DS54" s="114"/>
      <c r="DT54" s="122">
        <f t="shared" si="140"/>
        <v>0</v>
      </c>
      <c r="DU54" s="116">
        <f t="shared" si="141"/>
        <v>0</v>
      </c>
    </row>
    <row r="55" spans="2:125" ht="16.5" x14ac:dyDescent="0.3">
      <c r="B55" s="112" t="s">
        <v>158</v>
      </c>
      <c r="C55" s="113" t="s">
        <v>158</v>
      </c>
      <c r="D55" s="114"/>
      <c r="E55" s="122">
        <f t="shared" si="106"/>
        <v>0</v>
      </c>
      <c r="F55" s="116">
        <f t="shared" si="107"/>
        <v>0</v>
      </c>
      <c r="I55" s="112" t="s">
        <v>158</v>
      </c>
      <c r="J55" s="113" t="s">
        <v>158</v>
      </c>
      <c r="K55" s="114"/>
      <c r="L55" s="122">
        <f t="shared" si="108"/>
        <v>0</v>
      </c>
      <c r="M55" s="116">
        <f t="shared" si="109"/>
        <v>0</v>
      </c>
      <c r="P55" s="112" t="s">
        <v>158</v>
      </c>
      <c r="Q55" s="113" t="s">
        <v>158</v>
      </c>
      <c r="R55" s="114"/>
      <c r="S55" s="122">
        <f t="shared" si="110"/>
        <v>0</v>
      </c>
      <c r="T55" s="116">
        <f t="shared" si="111"/>
        <v>0</v>
      </c>
      <c r="W55" s="112" t="s">
        <v>158</v>
      </c>
      <c r="X55" s="113" t="s">
        <v>158</v>
      </c>
      <c r="Y55" s="114"/>
      <c r="Z55" s="122">
        <f t="shared" si="112"/>
        <v>0</v>
      </c>
      <c r="AA55" s="116">
        <f t="shared" si="113"/>
        <v>0</v>
      </c>
      <c r="AD55" s="112" t="s">
        <v>158</v>
      </c>
      <c r="AE55" s="113" t="s">
        <v>158</v>
      </c>
      <c r="AF55" s="114"/>
      <c r="AG55" s="122">
        <f t="shared" si="114"/>
        <v>0</v>
      </c>
      <c r="AH55" s="116">
        <f t="shared" si="115"/>
        <v>0</v>
      </c>
      <c r="AK55" s="112" t="s">
        <v>158</v>
      </c>
      <c r="AL55" s="113" t="s">
        <v>158</v>
      </c>
      <c r="AM55" s="114"/>
      <c r="AN55" s="122">
        <f t="shared" si="116"/>
        <v>0</v>
      </c>
      <c r="AO55" s="116">
        <f t="shared" si="117"/>
        <v>0</v>
      </c>
      <c r="AR55" s="112" t="s">
        <v>158</v>
      </c>
      <c r="AS55" s="113" t="s">
        <v>158</v>
      </c>
      <c r="AT55" s="114"/>
      <c r="AU55" s="122">
        <f t="shared" si="118"/>
        <v>0</v>
      </c>
      <c r="AV55" s="116">
        <f t="shared" si="119"/>
        <v>0</v>
      </c>
      <c r="AY55" s="112" t="s">
        <v>158</v>
      </c>
      <c r="AZ55" s="113" t="s">
        <v>158</v>
      </c>
      <c r="BA55" s="114"/>
      <c r="BB55" s="122">
        <f t="shared" si="120"/>
        <v>0</v>
      </c>
      <c r="BC55" s="116">
        <f t="shared" si="121"/>
        <v>0</v>
      </c>
      <c r="BF55" s="112" t="s">
        <v>158</v>
      </c>
      <c r="BG55" s="113" t="s">
        <v>158</v>
      </c>
      <c r="BH55" s="114"/>
      <c r="BI55" s="122">
        <f t="shared" si="122"/>
        <v>0</v>
      </c>
      <c r="BJ55" s="116">
        <f t="shared" si="123"/>
        <v>0</v>
      </c>
      <c r="BM55" s="112" t="s">
        <v>158</v>
      </c>
      <c r="BN55" s="113" t="s">
        <v>158</v>
      </c>
      <c r="BO55" s="114"/>
      <c r="BP55" s="122">
        <f t="shared" si="124"/>
        <v>0</v>
      </c>
      <c r="BQ55" s="116">
        <f t="shared" si="125"/>
        <v>0</v>
      </c>
      <c r="BT55" s="112" t="s">
        <v>158</v>
      </c>
      <c r="BU55" s="113" t="s">
        <v>158</v>
      </c>
      <c r="BV55" s="114"/>
      <c r="BW55" s="122">
        <f t="shared" si="126"/>
        <v>0</v>
      </c>
      <c r="BX55" s="116">
        <f t="shared" si="127"/>
        <v>0</v>
      </c>
      <c r="CA55" s="112" t="s">
        <v>158</v>
      </c>
      <c r="CB55" s="113" t="s">
        <v>158</v>
      </c>
      <c r="CC55" s="114"/>
      <c r="CD55" s="122">
        <f t="shared" si="128"/>
        <v>0</v>
      </c>
      <c r="CE55" s="116">
        <f t="shared" si="129"/>
        <v>0</v>
      </c>
      <c r="CH55" s="112" t="s">
        <v>158</v>
      </c>
      <c r="CI55" s="113" t="s">
        <v>158</v>
      </c>
      <c r="CJ55" s="114"/>
      <c r="CK55" s="122">
        <f t="shared" si="130"/>
        <v>0</v>
      </c>
      <c r="CL55" s="116">
        <f t="shared" si="131"/>
        <v>0</v>
      </c>
      <c r="CO55" s="112" t="s">
        <v>158</v>
      </c>
      <c r="CP55" s="113" t="s">
        <v>158</v>
      </c>
      <c r="CQ55" s="114"/>
      <c r="CR55" s="122">
        <f t="shared" si="132"/>
        <v>0</v>
      </c>
      <c r="CS55" s="116">
        <f t="shared" si="133"/>
        <v>0</v>
      </c>
      <c r="CV55" s="112" t="s">
        <v>158</v>
      </c>
      <c r="CW55" s="113" t="s">
        <v>158</v>
      </c>
      <c r="CX55" s="114"/>
      <c r="CY55" s="122">
        <f t="shared" si="134"/>
        <v>0</v>
      </c>
      <c r="CZ55" s="116">
        <f t="shared" si="135"/>
        <v>0</v>
      </c>
      <c r="DC55" s="112" t="s">
        <v>158</v>
      </c>
      <c r="DD55" s="113" t="s">
        <v>158</v>
      </c>
      <c r="DE55" s="114"/>
      <c r="DF55" s="122">
        <f t="shared" si="136"/>
        <v>0</v>
      </c>
      <c r="DG55" s="116">
        <f t="shared" si="137"/>
        <v>0</v>
      </c>
      <c r="DJ55" s="112" t="s">
        <v>158</v>
      </c>
      <c r="DK55" s="113" t="s">
        <v>158</v>
      </c>
      <c r="DL55" s="114"/>
      <c r="DM55" s="122">
        <f t="shared" si="138"/>
        <v>0</v>
      </c>
      <c r="DN55" s="116">
        <f t="shared" si="139"/>
        <v>0</v>
      </c>
      <c r="DQ55" s="112" t="s">
        <v>158</v>
      </c>
      <c r="DR55" s="113" t="s">
        <v>158</v>
      </c>
      <c r="DS55" s="114"/>
      <c r="DT55" s="122">
        <f t="shared" si="140"/>
        <v>0</v>
      </c>
      <c r="DU55" s="116">
        <f t="shared" si="141"/>
        <v>0</v>
      </c>
    </row>
    <row r="56" spans="2:125" ht="16.5" x14ac:dyDescent="0.3">
      <c r="B56" s="117" t="s">
        <v>301</v>
      </c>
      <c r="C56" s="118" t="s">
        <v>269</v>
      </c>
      <c r="D56" s="119">
        <f>ROUND(SUBTOTAL(109,$D$50:$D$55),2)</f>
        <v>0</v>
      </c>
      <c r="E56" s="120">
        <f>ROUND(SUBTOTAL(109,$E$50:$E$55),2)</f>
        <v>0</v>
      </c>
      <c r="F56" s="121">
        <f t="shared" si="107"/>
        <v>0</v>
      </c>
      <c r="I56" s="117" t="s">
        <v>301</v>
      </c>
      <c r="J56" s="118" t="s">
        <v>269</v>
      </c>
      <c r="K56" s="119">
        <f>ROUND(SUBTOTAL(109,$K$50:$K$55),2)</f>
        <v>0</v>
      </c>
      <c r="L56" s="120">
        <f>ROUND(SUBTOTAL(109,$L$50:$L$55),2)</f>
        <v>0</v>
      </c>
      <c r="M56" s="121">
        <f t="shared" si="109"/>
        <v>0</v>
      </c>
      <c r="P56" s="117" t="s">
        <v>301</v>
      </c>
      <c r="Q56" s="118" t="s">
        <v>269</v>
      </c>
      <c r="R56" s="119">
        <f>ROUND(SUBTOTAL(109,$R$50:$R$55),2)</f>
        <v>0</v>
      </c>
      <c r="S56" s="120">
        <f>ROUND(SUBTOTAL(109,$S$50:$S$55),2)</f>
        <v>0</v>
      </c>
      <c r="T56" s="121">
        <f t="shared" si="111"/>
        <v>0</v>
      </c>
      <c r="W56" s="117" t="s">
        <v>301</v>
      </c>
      <c r="X56" s="118" t="s">
        <v>269</v>
      </c>
      <c r="Y56" s="119">
        <f>ROUND(SUBTOTAL(109,$Y$50:$Y$55),2)</f>
        <v>0</v>
      </c>
      <c r="Z56" s="120">
        <f>ROUND(SUBTOTAL(109,$Z$50:$Z$55),2)</f>
        <v>0</v>
      </c>
      <c r="AA56" s="121">
        <f t="shared" si="113"/>
        <v>0</v>
      </c>
      <c r="AD56" s="117" t="s">
        <v>301</v>
      </c>
      <c r="AE56" s="118" t="s">
        <v>269</v>
      </c>
      <c r="AF56" s="119">
        <f>ROUND(SUBTOTAL(109,$AF$50:$AF$55),2)</f>
        <v>0</v>
      </c>
      <c r="AG56" s="120">
        <f>ROUND(SUBTOTAL(109,$AG$50:$AG$55),2)</f>
        <v>0</v>
      </c>
      <c r="AH56" s="121">
        <f t="shared" si="115"/>
        <v>0</v>
      </c>
      <c r="AK56" s="117" t="s">
        <v>301</v>
      </c>
      <c r="AL56" s="118" t="s">
        <v>269</v>
      </c>
      <c r="AM56" s="119">
        <f>ROUND(SUBTOTAL(109,$AM$50:$AM$55),2)</f>
        <v>0</v>
      </c>
      <c r="AN56" s="120">
        <f>ROUND(SUBTOTAL(109,$AN$50:$AN$55),2)</f>
        <v>0</v>
      </c>
      <c r="AO56" s="121">
        <f t="shared" si="117"/>
        <v>0</v>
      </c>
      <c r="AR56" s="117" t="s">
        <v>301</v>
      </c>
      <c r="AS56" s="118" t="s">
        <v>269</v>
      </c>
      <c r="AT56" s="119">
        <f>ROUND(SUBTOTAL(109,$AT$50:$AT$55),2)</f>
        <v>0</v>
      </c>
      <c r="AU56" s="120">
        <f>ROUND(SUBTOTAL(109,$AU$50:$AU$55),2)</f>
        <v>0</v>
      </c>
      <c r="AV56" s="121">
        <f t="shared" si="119"/>
        <v>0</v>
      </c>
      <c r="AY56" s="117" t="s">
        <v>301</v>
      </c>
      <c r="AZ56" s="118" t="s">
        <v>269</v>
      </c>
      <c r="BA56" s="119">
        <f>ROUND(SUBTOTAL(109,$BA$50:$BA$55),2)</f>
        <v>0</v>
      </c>
      <c r="BB56" s="120">
        <f>ROUND(SUBTOTAL(109,$BB$50:$BB$55),2)</f>
        <v>0</v>
      </c>
      <c r="BC56" s="121">
        <f t="shared" si="121"/>
        <v>0</v>
      </c>
      <c r="BF56" s="117" t="s">
        <v>301</v>
      </c>
      <c r="BG56" s="118" t="s">
        <v>269</v>
      </c>
      <c r="BH56" s="119">
        <f>ROUND(SUBTOTAL(109,$BH$50:$BH$55),2)</f>
        <v>0</v>
      </c>
      <c r="BI56" s="120">
        <f>ROUND(SUBTOTAL(109,$BI$50:$BI$55),2)</f>
        <v>0</v>
      </c>
      <c r="BJ56" s="121">
        <f t="shared" si="123"/>
        <v>0</v>
      </c>
      <c r="BM56" s="117" t="s">
        <v>301</v>
      </c>
      <c r="BN56" s="118" t="s">
        <v>269</v>
      </c>
      <c r="BO56" s="119">
        <f>ROUND(SUBTOTAL(109,$BO$50:$BO$55),2)</f>
        <v>0</v>
      </c>
      <c r="BP56" s="120">
        <f>ROUND(SUBTOTAL(109,$BP$50:$BP$55),2)</f>
        <v>0</v>
      </c>
      <c r="BQ56" s="121">
        <f t="shared" si="125"/>
        <v>0</v>
      </c>
      <c r="BT56" s="117" t="s">
        <v>301</v>
      </c>
      <c r="BU56" s="118" t="s">
        <v>269</v>
      </c>
      <c r="BV56" s="119">
        <f>ROUND(SUBTOTAL(109,$BV$50:$BV$55),2)</f>
        <v>0</v>
      </c>
      <c r="BW56" s="120">
        <f>ROUND(SUBTOTAL(109,$BW$50:$BW$55),2)</f>
        <v>0</v>
      </c>
      <c r="BX56" s="121">
        <f t="shared" si="127"/>
        <v>0</v>
      </c>
      <c r="CA56" s="117" t="s">
        <v>301</v>
      </c>
      <c r="CB56" s="118" t="s">
        <v>269</v>
      </c>
      <c r="CC56" s="119">
        <f>ROUND(SUBTOTAL(109,$CC$50:$CC$55),2)</f>
        <v>0</v>
      </c>
      <c r="CD56" s="120">
        <f>ROUND(SUBTOTAL(109,$CD$50:$CD$55),2)</f>
        <v>0</v>
      </c>
      <c r="CE56" s="121">
        <f t="shared" si="129"/>
        <v>0</v>
      </c>
      <c r="CH56" s="117" t="s">
        <v>301</v>
      </c>
      <c r="CI56" s="118" t="s">
        <v>269</v>
      </c>
      <c r="CJ56" s="119">
        <f>ROUND(SUBTOTAL(109,$CJ$50:$CJ$55),2)</f>
        <v>0</v>
      </c>
      <c r="CK56" s="120">
        <f>ROUND(SUBTOTAL(109,$CK$50:$CK$55),2)</f>
        <v>0</v>
      </c>
      <c r="CL56" s="121">
        <f t="shared" si="131"/>
        <v>0</v>
      </c>
      <c r="CO56" s="117" t="s">
        <v>301</v>
      </c>
      <c r="CP56" s="118" t="s">
        <v>269</v>
      </c>
      <c r="CQ56" s="119">
        <f>ROUND(SUBTOTAL(109,$CQ$50:$CQ$55),2)</f>
        <v>0</v>
      </c>
      <c r="CR56" s="120">
        <f>ROUND(SUBTOTAL(109,$CR$50:$CR$55),2)</f>
        <v>0</v>
      </c>
      <c r="CS56" s="121">
        <f t="shared" si="133"/>
        <v>0</v>
      </c>
      <c r="CV56" s="117" t="s">
        <v>301</v>
      </c>
      <c r="CW56" s="118" t="s">
        <v>269</v>
      </c>
      <c r="CX56" s="119">
        <f>ROUND(SUBTOTAL(109,$CX$50:$CX$55),2)</f>
        <v>0</v>
      </c>
      <c r="CY56" s="120">
        <f>ROUND(SUBTOTAL(109,$CY$50:$CY$55),2)</f>
        <v>0</v>
      </c>
      <c r="CZ56" s="121">
        <f t="shared" si="135"/>
        <v>0</v>
      </c>
      <c r="DC56" s="117" t="s">
        <v>301</v>
      </c>
      <c r="DD56" s="118" t="s">
        <v>269</v>
      </c>
      <c r="DE56" s="119">
        <f>ROUND(SUBTOTAL(109,$DE$50:$DE$55),2)</f>
        <v>0</v>
      </c>
      <c r="DF56" s="120">
        <f>ROUND(SUBTOTAL(109,$DF$50:$DF$55),2)</f>
        <v>0</v>
      </c>
      <c r="DG56" s="121">
        <f t="shared" si="137"/>
        <v>0</v>
      </c>
      <c r="DJ56" s="117" t="s">
        <v>301</v>
      </c>
      <c r="DK56" s="118" t="s">
        <v>269</v>
      </c>
      <c r="DL56" s="119">
        <f>ROUND(SUBTOTAL(109,$DL$50:$DL$55),2)</f>
        <v>0</v>
      </c>
      <c r="DM56" s="120">
        <f>ROUND(SUBTOTAL(109,$DM$50:$DM$55),2)</f>
        <v>0</v>
      </c>
      <c r="DN56" s="121">
        <f t="shared" si="139"/>
        <v>0</v>
      </c>
      <c r="DQ56" s="117" t="s">
        <v>301</v>
      </c>
      <c r="DR56" s="118" t="s">
        <v>269</v>
      </c>
      <c r="DS56" s="119">
        <f>ROUND(SUBTOTAL(109,$DS$50:$DS$55),2)</f>
        <v>0</v>
      </c>
      <c r="DT56" s="120">
        <f>ROUND(SUBTOTAL(109,$DT$50:$DT$55),2)</f>
        <v>0</v>
      </c>
      <c r="DU56" s="121">
        <f t="shared" si="141"/>
        <v>0</v>
      </c>
    </row>
  </sheetData>
  <mergeCells count="216">
    <mergeCell ref="DJ31"/>
    <mergeCell ref="DJ39"/>
    <mergeCell ref="DJ48"/>
    <mergeCell ref="DQ5"/>
    <mergeCell ref="DR5:DS5"/>
    <mergeCell ref="DQ6"/>
    <mergeCell ref="DR6:DS6"/>
    <mergeCell ref="DQ7"/>
    <mergeCell ref="DR7:DS7"/>
    <mergeCell ref="DQ9:DU9"/>
    <mergeCell ref="DQ17:DU17"/>
    <mergeCell ref="DQ29"/>
    <mergeCell ref="DQ31"/>
    <mergeCell ref="DQ39"/>
    <mergeCell ref="DQ48"/>
    <mergeCell ref="DJ5"/>
    <mergeCell ref="DK5:DL5"/>
    <mergeCell ref="DJ6"/>
    <mergeCell ref="DK6:DL6"/>
    <mergeCell ref="DJ7"/>
    <mergeCell ref="DK7:DL7"/>
    <mergeCell ref="DJ9:DN9"/>
    <mergeCell ref="DJ17:DN17"/>
    <mergeCell ref="DJ29"/>
    <mergeCell ref="CV31"/>
    <mergeCell ref="CV39"/>
    <mergeCell ref="CV48"/>
    <mergeCell ref="DC5"/>
    <mergeCell ref="DD5:DE5"/>
    <mergeCell ref="DC6"/>
    <mergeCell ref="DD6:DE6"/>
    <mergeCell ref="DC7"/>
    <mergeCell ref="DD7:DE7"/>
    <mergeCell ref="DC9:DG9"/>
    <mergeCell ref="DC17:DG17"/>
    <mergeCell ref="DC29"/>
    <mergeCell ref="DC31"/>
    <mergeCell ref="DC39"/>
    <mergeCell ref="DC48"/>
    <mergeCell ref="CV5"/>
    <mergeCell ref="CW5:CX5"/>
    <mergeCell ref="CV6"/>
    <mergeCell ref="CW6:CX6"/>
    <mergeCell ref="CV7"/>
    <mergeCell ref="CW7:CX7"/>
    <mergeCell ref="CV9:CZ9"/>
    <mergeCell ref="CV17:CZ17"/>
    <mergeCell ref="CV29"/>
    <mergeCell ref="CH31"/>
    <mergeCell ref="CH39"/>
    <mergeCell ref="CH48"/>
    <mergeCell ref="CO5"/>
    <mergeCell ref="CP5:CQ5"/>
    <mergeCell ref="CO6"/>
    <mergeCell ref="CP6:CQ6"/>
    <mergeCell ref="CO7"/>
    <mergeCell ref="CP7:CQ7"/>
    <mergeCell ref="CO9:CS9"/>
    <mergeCell ref="CO17:CS17"/>
    <mergeCell ref="CO29"/>
    <mergeCell ref="CO31"/>
    <mergeCell ref="CO39"/>
    <mergeCell ref="CO48"/>
    <mergeCell ref="CH5"/>
    <mergeCell ref="CI5:CJ5"/>
    <mergeCell ref="CH6"/>
    <mergeCell ref="CI6:CJ6"/>
    <mergeCell ref="CH7"/>
    <mergeCell ref="CI7:CJ7"/>
    <mergeCell ref="CH9:CL9"/>
    <mergeCell ref="CH17:CL17"/>
    <mergeCell ref="CH29"/>
    <mergeCell ref="BT31"/>
    <mergeCell ref="BT39"/>
    <mergeCell ref="BT48"/>
    <mergeCell ref="CA5"/>
    <mergeCell ref="CB5:CC5"/>
    <mergeCell ref="CA6"/>
    <mergeCell ref="CB6:CC6"/>
    <mergeCell ref="CA7"/>
    <mergeCell ref="CB7:CC7"/>
    <mergeCell ref="CA9:CE9"/>
    <mergeCell ref="CA17:CE17"/>
    <mergeCell ref="CA29"/>
    <mergeCell ref="CA31"/>
    <mergeCell ref="CA39"/>
    <mergeCell ref="CA48"/>
    <mergeCell ref="BT5"/>
    <mergeCell ref="BU5:BV5"/>
    <mergeCell ref="BT6"/>
    <mergeCell ref="BU6:BV6"/>
    <mergeCell ref="BT7"/>
    <mergeCell ref="BU7:BV7"/>
    <mergeCell ref="BT9:BX9"/>
    <mergeCell ref="BT17:BX17"/>
    <mergeCell ref="BT29"/>
    <mergeCell ref="BF31"/>
    <mergeCell ref="BF39"/>
    <mergeCell ref="BF48"/>
    <mergeCell ref="BM5"/>
    <mergeCell ref="BN5:BO5"/>
    <mergeCell ref="BM6"/>
    <mergeCell ref="BN6:BO6"/>
    <mergeCell ref="BM7"/>
    <mergeCell ref="BN7:BO7"/>
    <mergeCell ref="BM9:BQ9"/>
    <mergeCell ref="BM17:BQ17"/>
    <mergeCell ref="BM29"/>
    <mergeCell ref="BM31"/>
    <mergeCell ref="BM39"/>
    <mergeCell ref="BM48"/>
    <mergeCell ref="BF5"/>
    <mergeCell ref="BG5:BH5"/>
    <mergeCell ref="BF6"/>
    <mergeCell ref="BG6:BH6"/>
    <mergeCell ref="BF7"/>
    <mergeCell ref="BG7:BH7"/>
    <mergeCell ref="BF9:BJ9"/>
    <mergeCell ref="BF17:BJ17"/>
    <mergeCell ref="BF29"/>
    <mergeCell ref="AR31"/>
    <mergeCell ref="AR39"/>
    <mergeCell ref="AR48"/>
    <mergeCell ref="AY5"/>
    <mergeCell ref="AZ5:BA5"/>
    <mergeCell ref="AY6"/>
    <mergeCell ref="AZ6:BA6"/>
    <mergeCell ref="AY7"/>
    <mergeCell ref="AZ7:BA7"/>
    <mergeCell ref="AY9:BC9"/>
    <mergeCell ref="AY17:BC17"/>
    <mergeCell ref="AY29"/>
    <mergeCell ref="AY31"/>
    <mergeCell ref="AY39"/>
    <mergeCell ref="AY48"/>
    <mergeCell ref="AR5"/>
    <mergeCell ref="AS5:AT5"/>
    <mergeCell ref="AR6"/>
    <mergeCell ref="AS6:AT6"/>
    <mergeCell ref="AR7"/>
    <mergeCell ref="AS7:AT7"/>
    <mergeCell ref="AR9:AV9"/>
    <mergeCell ref="AR17:AV17"/>
    <mergeCell ref="AR29"/>
    <mergeCell ref="AD31"/>
    <mergeCell ref="AD39"/>
    <mergeCell ref="AD48"/>
    <mergeCell ref="AK5"/>
    <mergeCell ref="AL5:AM5"/>
    <mergeCell ref="AK6"/>
    <mergeCell ref="AL6:AM6"/>
    <mergeCell ref="AK7"/>
    <mergeCell ref="AL7:AM7"/>
    <mergeCell ref="AK9:AO9"/>
    <mergeCell ref="AK17:AO17"/>
    <mergeCell ref="AK29"/>
    <mergeCell ref="AK31"/>
    <mergeCell ref="AK39"/>
    <mergeCell ref="AK48"/>
    <mergeCell ref="AD5"/>
    <mergeCell ref="AE5:AF5"/>
    <mergeCell ref="AD6"/>
    <mergeCell ref="AE6:AF6"/>
    <mergeCell ref="AD7"/>
    <mergeCell ref="AE7:AF7"/>
    <mergeCell ref="AD9:AH9"/>
    <mergeCell ref="AD17:AH17"/>
    <mergeCell ref="AD29"/>
    <mergeCell ref="P31"/>
    <mergeCell ref="P39"/>
    <mergeCell ref="P48"/>
    <mergeCell ref="W5"/>
    <mergeCell ref="X5:Y5"/>
    <mergeCell ref="W6"/>
    <mergeCell ref="X6:Y6"/>
    <mergeCell ref="W7"/>
    <mergeCell ref="X7:Y7"/>
    <mergeCell ref="W9:AA9"/>
    <mergeCell ref="W17:AA17"/>
    <mergeCell ref="W29"/>
    <mergeCell ref="W31"/>
    <mergeCell ref="W39"/>
    <mergeCell ref="W48"/>
    <mergeCell ref="P5"/>
    <mergeCell ref="Q5:R5"/>
    <mergeCell ref="P6"/>
    <mergeCell ref="Q6:R6"/>
    <mergeCell ref="P7"/>
    <mergeCell ref="Q7:R7"/>
    <mergeCell ref="P9:T9"/>
    <mergeCell ref="P17:T17"/>
    <mergeCell ref="P29"/>
    <mergeCell ref="B31"/>
    <mergeCell ref="B39"/>
    <mergeCell ref="B48"/>
    <mergeCell ref="I5"/>
    <mergeCell ref="J5:K5"/>
    <mergeCell ref="I6"/>
    <mergeCell ref="J6:K6"/>
    <mergeCell ref="I7"/>
    <mergeCell ref="J7:K7"/>
    <mergeCell ref="I9:M9"/>
    <mergeCell ref="I17:M17"/>
    <mergeCell ref="I29"/>
    <mergeCell ref="I31"/>
    <mergeCell ref="I39"/>
    <mergeCell ref="I48"/>
    <mergeCell ref="B5"/>
    <mergeCell ref="C5:D5"/>
    <mergeCell ref="B6"/>
    <mergeCell ref="C6:D6"/>
    <mergeCell ref="B7"/>
    <mergeCell ref="C7:D7"/>
    <mergeCell ref="B9:F9"/>
    <mergeCell ref="B17:F17"/>
    <mergeCell ref="B29"/>
  </mergeCells>
  <dataValidations count="3">
    <dataValidation type="list" allowBlank="1" sqref="B41:B45 B50:B55" xr:uid="{00000000-0002-0000-0300-000000000000}">
      <formula1>"Saldo des Vorprojekts,Eigenmittel,Drittmittel,KMW-Mittel,Zinsertraege"</formula1>
    </dataValidation>
    <dataValidation type="list" allowBlank="1" sqref="C41:C45 DR50:DR55 DR41:DR45 DK50:DK55 DK41:DK45 DD50:DD55 DD41:DD45 CW50:CW55 CW41:CW45 CP50:CP55 CP41:CP45 CI50:CI55 CI41:CI45 CB50:CB55 CB41:CB45 BU50:BU55 BU41:BU45 BN50:BN55 BN41:BN45 BG50:BG55 BG41:BG45 AZ50:AZ55 AZ41:AZ45 AS50:AS55 AS41:AS45 AL50:AL55 AL41:AL45 AE50:AE55 AE41:AE45 X50:X55 X41:X45 Q50:Q55 Q41:Q45 J50:J55 J41:J45 C50:C55" xr:uid="{00000000-0002-0000-0300-000001000000}">
      <formula1>Geber_Liste</formula1>
    </dataValidation>
    <dataValidation type="list" allowBlank="1" sqref="I41:I45 DQ50:DQ55 DQ41:DQ45 DJ50:DJ55 DJ41:DJ45 DC50:DC55 DC41:DC45 CV50:CV55 CV41:CV45 CO50:CO55 CO41:CO45 CH50:CH55 CH41:CH45 CA50:CA55 CA41:CA45 BT50:BT55 BT41:BT45 BM50:BM55 BM41:BM45 BF50:BF55 BF41:BF45 AY50:AY55 AY41:AY45 AR50:AR55 AR41:AR45 AK50:AK55 AK41:AK45 AD50:AD55 AD41:AD45 W50:W55 W41:W45 P50:P55 P41:P45 I50:I55" xr:uid="{00000000-0002-0000-0300-000004000000}">
      <formula1>"Saldo der Vorperiode,Eigenmittel,Drittmittel,KMW-Mittel,Zinsertraege"</formula1>
    </dataValidation>
  </dataValidations>
  <pageMargins left="0.7" right="0.7" top="0.75" bottom="0.75" header="0.3" footer="0.3"/>
  <tableParts count="5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3:BT25"/>
  <sheetViews>
    <sheetView showGridLines="0" workbookViewId="0"/>
  </sheetViews>
  <sheetFormatPr defaultRowHeight="15" x14ac:dyDescent="0.25"/>
  <cols>
    <col min="2" max="2" width="25" customWidth="1"/>
    <col min="3" max="4" width="18" customWidth="1"/>
    <col min="6" max="6" width="25" customWidth="1"/>
    <col min="7" max="8" width="18" customWidth="1"/>
    <col min="10" max="10" width="25" customWidth="1"/>
    <col min="11" max="12" width="18" customWidth="1"/>
    <col min="14" max="14" width="25" customWidth="1"/>
    <col min="15" max="16" width="18" customWidth="1"/>
    <col min="18" max="18" width="25" customWidth="1"/>
    <col min="19" max="20" width="18" customWidth="1"/>
    <col min="22" max="22" width="25" customWidth="1"/>
    <col min="23" max="24" width="18" customWidth="1"/>
    <col min="26" max="26" width="25" customWidth="1"/>
    <col min="27" max="28" width="18" customWidth="1"/>
    <col min="30" max="30" width="25" customWidth="1"/>
    <col min="31" max="32" width="18" customWidth="1"/>
    <col min="34" max="34" width="25" customWidth="1"/>
    <col min="35" max="36" width="18" customWidth="1"/>
    <col min="38" max="38" width="25" customWidth="1"/>
    <col min="39" max="40" width="18" customWidth="1"/>
    <col min="42" max="42" width="25" customWidth="1"/>
    <col min="43" max="44" width="18" customWidth="1"/>
    <col min="46" max="46" width="25" customWidth="1"/>
    <col min="47" max="48" width="18" customWidth="1"/>
    <col min="50" max="50" width="25" customWidth="1"/>
    <col min="51" max="52" width="18" customWidth="1"/>
    <col min="54" max="54" width="25" customWidth="1"/>
    <col min="55" max="56" width="18" customWidth="1"/>
    <col min="58" max="58" width="25" customWidth="1"/>
    <col min="59" max="60" width="18" customWidth="1"/>
    <col min="62" max="62" width="25" customWidth="1"/>
    <col min="63" max="64" width="18" customWidth="1"/>
    <col min="66" max="66" width="25" customWidth="1"/>
    <col min="67" max="68" width="18" customWidth="1"/>
    <col min="70" max="70" width="25" customWidth="1"/>
    <col min="71" max="72" width="18" customWidth="1"/>
  </cols>
  <sheetData>
    <row r="3" spans="2:72" ht="37.5" x14ac:dyDescent="0.25">
      <c r="E3" s="123" t="s">
        <v>302</v>
      </c>
      <c r="I3" s="123" t="s">
        <v>302</v>
      </c>
      <c r="M3" s="123" t="s">
        <v>302</v>
      </c>
      <c r="Q3" s="123" t="s">
        <v>302</v>
      </c>
      <c r="U3" s="123" t="s">
        <v>302</v>
      </c>
      <c r="Y3" s="123" t="s">
        <v>302</v>
      </c>
      <c r="AC3" s="123" t="s">
        <v>302</v>
      </c>
      <c r="AG3" s="123" t="s">
        <v>302</v>
      </c>
      <c r="AK3" s="123" t="s">
        <v>302</v>
      </c>
      <c r="AO3" s="123" t="s">
        <v>302</v>
      </c>
      <c r="AS3" s="123" t="s">
        <v>302</v>
      </c>
      <c r="AW3" s="123" t="s">
        <v>302</v>
      </c>
      <c r="BA3" s="123" t="s">
        <v>302</v>
      </c>
      <c r="BE3" s="123" t="s">
        <v>302</v>
      </c>
      <c r="BI3" s="123" t="s">
        <v>302</v>
      </c>
      <c r="BM3" s="123" t="s">
        <v>302</v>
      </c>
      <c r="BQ3" s="123" t="s">
        <v>302</v>
      </c>
    </row>
    <row r="5" spans="2:72" ht="16.5" x14ac:dyDescent="0.25">
      <c r="B5" s="74" t="s">
        <v>267</v>
      </c>
      <c r="C5" s="164" t="s">
        <v>226</v>
      </c>
      <c r="D5" s="164"/>
      <c r="F5" s="74" t="s">
        <v>267</v>
      </c>
      <c r="G5" s="164" t="s">
        <v>227</v>
      </c>
      <c r="H5" s="164"/>
      <c r="J5" s="74" t="s">
        <v>267</v>
      </c>
      <c r="K5" s="164" t="s">
        <v>228</v>
      </c>
      <c r="L5" s="164"/>
      <c r="N5" s="74" t="s">
        <v>267</v>
      </c>
      <c r="O5" s="164" t="s">
        <v>229</v>
      </c>
      <c r="P5" s="164"/>
      <c r="R5" s="74" t="s">
        <v>267</v>
      </c>
      <c r="S5" s="164" t="s">
        <v>230</v>
      </c>
      <c r="T5" s="164"/>
      <c r="V5" s="74" t="s">
        <v>267</v>
      </c>
      <c r="W5" s="164" t="s">
        <v>231</v>
      </c>
      <c r="X5" s="164"/>
      <c r="Z5" s="74" t="s">
        <v>267</v>
      </c>
      <c r="AA5" s="164" t="s">
        <v>232</v>
      </c>
      <c r="AB5" s="164"/>
      <c r="AD5" s="74" t="s">
        <v>267</v>
      </c>
      <c r="AE5" s="164" t="s">
        <v>233</v>
      </c>
      <c r="AF5" s="164"/>
      <c r="AH5" s="74" t="s">
        <v>267</v>
      </c>
      <c r="AI5" s="164" t="s">
        <v>234</v>
      </c>
      <c r="AJ5" s="164"/>
      <c r="AL5" s="74" t="s">
        <v>267</v>
      </c>
      <c r="AM5" s="164" t="s">
        <v>235</v>
      </c>
      <c r="AN5" s="164"/>
      <c r="AP5" s="74" t="s">
        <v>267</v>
      </c>
      <c r="AQ5" s="164" t="s">
        <v>236</v>
      </c>
      <c r="AR5" s="164"/>
      <c r="AT5" s="74" t="s">
        <v>267</v>
      </c>
      <c r="AU5" s="164" t="s">
        <v>237</v>
      </c>
      <c r="AV5" s="164"/>
      <c r="AX5" s="74" t="s">
        <v>267</v>
      </c>
      <c r="AY5" s="164" t="s">
        <v>238</v>
      </c>
      <c r="AZ5" s="164"/>
      <c r="BB5" s="74" t="s">
        <v>267</v>
      </c>
      <c r="BC5" s="164" t="s">
        <v>239</v>
      </c>
      <c r="BD5" s="164"/>
      <c r="BF5" s="74" t="s">
        <v>267</v>
      </c>
      <c r="BG5" s="164" t="s">
        <v>240</v>
      </c>
      <c r="BH5" s="164"/>
      <c r="BJ5" s="74" t="s">
        <v>267</v>
      </c>
      <c r="BK5" s="164" t="s">
        <v>241</v>
      </c>
      <c r="BL5" s="164"/>
      <c r="BN5" s="74" t="s">
        <v>267</v>
      </c>
      <c r="BO5" s="164" t="s">
        <v>242</v>
      </c>
      <c r="BP5" s="164"/>
      <c r="BR5" s="74" t="s">
        <v>267</v>
      </c>
      <c r="BS5" s="164" t="s">
        <v>243</v>
      </c>
      <c r="BT5" s="164"/>
    </row>
    <row r="6" spans="2:72" ht="16.5" x14ac:dyDescent="0.25">
      <c r="B6" s="74" t="s">
        <v>268</v>
      </c>
      <c r="C6" s="165"/>
      <c r="D6" s="165"/>
      <c r="F6" s="74" t="s">
        <v>268</v>
      </c>
      <c r="G6" s="165"/>
      <c r="H6" s="165"/>
      <c r="J6" s="74" t="s">
        <v>268</v>
      </c>
      <c r="K6" s="165"/>
      <c r="L6" s="165"/>
      <c r="N6" s="74" t="s">
        <v>268</v>
      </c>
      <c r="O6" s="165"/>
      <c r="P6" s="165"/>
      <c r="R6" s="74" t="s">
        <v>268</v>
      </c>
      <c r="S6" s="165"/>
      <c r="T6" s="165"/>
      <c r="V6" s="74" t="s">
        <v>268</v>
      </c>
      <c r="W6" s="165"/>
      <c r="X6" s="165"/>
      <c r="Z6" s="74" t="s">
        <v>268</v>
      </c>
      <c r="AA6" s="165"/>
      <c r="AB6" s="165"/>
      <c r="AD6" s="74" t="s">
        <v>268</v>
      </c>
      <c r="AE6" s="165"/>
      <c r="AF6" s="165"/>
      <c r="AH6" s="74" t="s">
        <v>268</v>
      </c>
      <c r="AI6" s="165"/>
      <c r="AJ6" s="165"/>
      <c r="AL6" s="74" t="s">
        <v>268</v>
      </c>
      <c r="AM6" s="165"/>
      <c r="AN6" s="165"/>
      <c r="AP6" s="74" t="s">
        <v>268</v>
      </c>
      <c r="AQ6" s="165"/>
      <c r="AR6" s="165"/>
      <c r="AT6" s="74" t="s">
        <v>268</v>
      </c>
      <c r="AU6" s="165"/>
      <c r="AV6" s="165"/>
      <c r="AX6" s="74" t="s">
        <v>268</v>
      </c>
      <c r="AY6" s="165"/>
      <c r="AZ6" s="165"/>
      <c r="BB6" s="74" t="s">
        <v>268</v>
      </c>
      <c r="BC6" s="165"/>
      <c r="BD6" s="165"/>
      <c r="BF6" s="74" t="s">
        <v>268</v>
      </c>
      <c r="BG6" s="165"/>
      <c r="BH6" s="165"/>
      <c r="BJ6" s="74" t="s">
        <v>268</v>
      </c>
      <c r="BK6" s="165"/>
      <c r="BL6" s="165"/>
      <c r="BN6" s="74" t="s">
        <v>268</v>
      </c>
      <c r="BO6" s="165"/>
      <c r="BP6" s="165"/>
      <c r="BR6" s="74" t="s">
        <v>268</v>
      </c>
      <c r="BS6" s="165"/>
      <c r="BT6" s="165"/>
    </row>
    <row r="7" spans="2:72" ht="16.5" x14ac:dyDescent="0.25">
      <c r="B7" s="74" t="s">
        <v>305</v>
      </c>
      <c r="C7" s="166"/>
      <c r="D7" s="166"/>
      <c r="F7" s="74" t="s">
        <v>305</v>
      </c>
      <c r="G7" s="166"/>
      <c r="H7" s="166"/>
      <c r="J7" s="74" t="s">
        <v>305</v>
      </c>
      <c r="K7" s="166"/>
      <c r="L7" s="166"/>
      <c r="N7" s="74" t="s">
        <v>305</v>
      </c>
      <c r="O7" s="166"/>
      <c r="P7" s="166"/>
      <c r="R7" s="74" t="s">
        <v>305</v>
      </c>
      <c r="S7" s="166"/>
      <c r="T7" s="166"/>
      <c r="V7" s="74" t="s">
        <v>305</v>
      </c>
      <c r="W7" s="166"/>
      <c r="X7" s="166"/>
      <c r="Z7" s="74" t="s">
        <v>305</v>
      </c>
      <c r="AA7" s="166"/>
      <c r="AB7" s="166"/>
      <c r="AD7" s="74" t="s">
        <v>305</v>
      </c>
      <c r="AE7" s="166"/>
      <c r="AF7" s="166"/>
      <c r="AH7" s="74" t="s">
        <v>305</v>
      </c>
      <c r="AI7" s="166"/>
      <c r="AJ7" s="166"/>
      <c r="AL7" s="74" t="s">
        <v>305</v>
      </c>
      <c r="AM7" s="166"/>
      <c r="AN7" s="166"/>
      <c r="AP7" s="74" t="s">
        <v>305</v>
      </c>
      <c r="AQ7" s="166"/>
      <c r="AR7" s="166"/>
      <c r="AT7" s="74" t="s">
        <v>305</v>
      </c>
      <c r="AU7" s="166"/>
      <c r="AV7" s="166"/>
      <c r="AX7" s="74" t="s">
        <v>305</v>
      </c>
      <c r="AY7" s="166"/>
      <c r="AZ7" s="166"/>
      <c r="BB7" s="74" t="s">
        <v>305</v>
      </c>
      <c r="BC7" s="166"/>
      <c r="BD7" s="166"/>
      <c r="BF7" s="74" t="s">
        <v>305</v>
      </c>
      <c r="BG7" s="166"/>
      <c r="BH7" s="166"/>
      <c r="BJ7" s="74" t="s">
        <v>305</v>
      </c>
      <c r="BK7" s="166"/>
      <c r="BL7" s="166"/>
      <c r="BN7" s="74" t="s">
        <v>305</v>
      </c>
      <c r="BO7" s="166"/>
      <c r="BP7" s="166"/>
      <c r="BR7" s="74" t="s">
        <v>305</v>
      </c>
      <c r="BS7" s="166"/>
      <c r="BT7" s="166"/>
    </row>
    <row r="9" spans="2:72" ht="16.5" x14ac:dyDescent="0.25">
      <c r="B9" s="124" t="s">
        <v>202</v>
      </c>
      <c r="C9" s="124" t="s">
        <v>306</v>
      </c>
      <c r="D9" s="124" t="s">
        <v>307</v>
      </c>
      <c r="F9" s="124" t="s">
        <v>202</v>
      </c>
      <c r="G9" s="124" t="s">
        <v>306</v>
      </c>
      <c r="H9" s="124" t="s">
        <v>307</v>
      </c>
      <c r="J9" s="124" t="s">
        <v>202</v>
      </c>
      <c r="K9" s="124" t="s">
        <v>306</v>
      </c>
      <c r="L9" s="124" t="s">
        <v>307</v>
      </c>
      <c r="N9" s="124" t="s">
        <v>202</v>
      </c>
      <c r="O9" s="124" t="s">
        <v>306</v>
      </c>
      <c r="P9" s="124" t="s">
        <v>307</v>
      </c>
      <c r="R9" s="124" t="s">
        <v>202</v>
      </c>
      <c r="S9" s="124" t="s">
        <v>306</v>
      </c>
      <c r="T9" s="124" t="s">
        <v>307</v>
      </c>
      <c r="V9" s="124" t="s">
        <v>202</v>
      </c>
      <c r="W9" s="124" t="s">
        <v>306</v>
      </c>
      <c r="X9" s="124" t="s">
        <v>307</v>
      </c>
      <c r="Z9" s="124" t="s">
        <v>202</v>
      </c>
      <c r="AA9" s="124" t="s">
        <v>306</v>
      </c>
      <c r="AB9" s="124" t="s">
        <v>307</v>
      </c>
      <c r="AD9" s="124" t="s">
        <v>202</v>
      </c>
      <c r="AE9" s="124" t="s">
        <v>306</v>
      </c>
      <c r="AF9" s="124" t="s">
        <v>307</v>
      </c>
      <c r="AH9" s="124" t="s">
        <v>202</v>
      </c>
      <c r="AI9" s="124" t="s">
        <v>306</v>
      </c>
      <c r="AJ9" s="124" t="s">
        <v>307</v>
      </c>
      <c r="AL9" s="124" t="s">
        <v>202</v>
      </c>
      <c r="AM9" s="124" t="s">
        <v>306</v>
      </c>
      <c r="AN9" s="124" t="s">
        <v>307</v>
      </c>
      <c r="AP9" s="124" t="s">
        <v>202</v>
      </c>
      <c r="AQ9" s="124" t="s">
        <v>306</v>
      </c>
      <c r="AR9" s="124" t="s">
        <v>307</v>
      </c>
      <c r="AT9" s="124" t="s">
        <v>202</v>
      </c>
      <c r="AU9" s="124" t="s">
        <v>306</v>
      </c>
      <c r="AV9" s="124" t="s">
        <v>307</v>
      </c>
      <c r="AX9" s="124" t="s">
        <v>202</v>
      </c>
      <c r="AY9" s="124" t="s">
        <v>306</v>
      </c>
      <c r="AZ9" s="124" t="s">
        <v>307</v>
      </c>
      <c r="BB9" s="124" t="s">
        <v>202</v>
      </c>
      <c r="BC9" s="124" t="s">
        <v>306</v>
      </c>
      <c r="BD9" s="124" t="s">
        <v>307</v>
      </c>
      <c r="BF9" s="124" t="s">
        <v>202</v>
      </c>
      <c r="BG9" s="124" t="s">
        <v>306</v>
      </c>
      <c r="BH9" s="124" t="s">
        <v>307</v>
      </c>
      <c r="BJ9" s="124" t="s">
        <v>202</v>
      </c>
      <c r="BK9" s="124" t="s">
        <v>306</v>
      </c>
      <c r="BL9" s="124" t="s">
        <v>307</v>
      </c>
      <c r="BN9" s="124" t="s">
        <v>202</v>
      </c>
      <c r="BO9" s="124" t="s">
        <v>306</v>
      </c>
      <c r="BP9" s="124" t="s">
        <v>307</v>
      </c>
      <c r="BR9" s="124" t="s">
        <v>202</v>
      </c>
      <c r="BS9" s="124" t="s">
        <v>306</v>
      </c>
      <c r="BT9" s="124" t="s">
        <v>307</v>
      </c>
    </row>
    <row r="10" spans="2:72" ht="16.5" x14ac:dyDescent="0.25">
      <c r="B10" s="125" t="s">
        <v>205</v>
      </c>
      <c r="C10" s="20"/>
      <c r="D10" s="126">
        <f t="shared" ref="D10:D17" si="0">IFERROR(ROUND(C10/MA_Kurs_1,2),0)</f>
        <v>0</v>
      </c>
      <c r="F10" s="125" t="s">
        <v>205</v>
      </c>
      <c r="G10" s="20"/>
      <c r="H10" s="126">
        <f t="shared" ref="H10:H17" si="1">IFERROR(ROUND(G10/MA_Kurs_2,2),0)</f>
        <v>0</v>
      </c>
      <c r="J10" s="125" t="s">
        <v>205</v>
      </c>
      <c r="K10" s="20"/>
      <c r="L10" s="126">
        <f t="shared" ref="L10:L17" si="2">IFERROR(ROUND(K10/MA_Kurs_3,2),0)</f>
        <v>0</v>
      </c>
      <c r="N10" s="125" t="s">
        <v>205</v>
      </c>
      <c r="O10" s="20"/>
      <c r="P10" s="126">
        <f t="shared" ref="P10:P17" si="3">IFERROR(ROUND(O10/MA_Kurs_4,2),0)</f>
        <v>0</v>
      </c>
      <c r="R10" s="125" t="s">
        <v>205</v>
      </c>
      <c r="S10" s="20"/>
      <c r="T10" s="126">
        <f t="shared" ref="T10:T17" si="4">IFERROR(ROUND(S10/MA_Kurs_5,2),0)</f>
        <v>0</v>
      </c>
      <c r="V10" s="125" t="s">
        <v>205</v>
      </c>
      <c r="W10" s="20"/>
      <c r="X10" s="126">
        <f t="shared" ref="X10:X17" si="5">IFERROR(ROUND(W10/MA_Kurs_6,2),0)</f>
        <v>0</v>
      </c>
      <c r="Z10" s="125" t="s">
        <v>205</v>
      </c>
      <c r="AA10" s="20"/>
      <c r="AB10" s="126">
        <f t="shared" ref="AB10:AB17" si="6">IFERROR(ROUND(AA10/MA_Kurs_7,2),0)</f>
        <v>0</v>
      </c>
      <c r="AD10" s="125" t="s">
        <v>205</v>
      </c>
      <c r="AE10" s="20"/>
      <c r="AF10" s="126">
        <f t="shared" ref="AF10:AF17" si="7">IFERROR(ROUND(AE10/MA_Kurs_8,2),0)</f>
        <v>0</v>
      </c>
      <c r="AH10" s="125" t="s">
        <v>205</v>
      </c>
      <c r="AI10" s="20"/>
      <c r="AJ10" s="126">
        <f t="shared" ref="AJ10:AJ17" si="8">IFERROR(ROUND(AI10/MA_Kurs_9,2),0)</f>
        <v>0</v>
      </c>
      <c r="AL10" s="125" t="s">
        <v>205</v>
      </c>
      <c r="AM10" s="20"/>
      <c r="AN10" s="126">
        <f t="shared" ref="AN10:AN17" si="9">IFERROR(ROUND(AM10/MA_Kurs_10,2),0)</f>
        <v>0</v>
      </c>
      <c r="AP10" s="125" t="s">
        <v>205</v>
      </c>
      <c r="AQ10" s="20"/>
      <c r="AR10" s="126">
        <f t="shared" ref="AR10:AR17" si="10">IFERROR(ROUND(AQ10/MA_Kurs_11,2),0)</f>
        <v>0</v>
      </c>
      <c r="AT10" s="125" t="s">
        <v>205</v>
      </c>
      <c r="AU10" s="20"/>
      <c r="AV10" s="126">
        <f t="shared" ref="AV10:AV17" si="11">IFERROR(ROUND(AU10/MA_Kurs_12,2),0)</f>
        <v>0</v>
      </c>
      <c r="AX10" s="125" t="s">
        <v>205</v>
      </c>
      <c r="AY10" s="20"/>
      <c r="AZ10" s="126">
        <f t="shared" ref="AZ10:AZ17" si="12">IFERROR(ROUND(AY10/MA_Kurs_13,2),0)</f>
        <v>0</v>
      </c>
      <c r="BB10" s="125" t="s">
        <v>205</v>
      </c>
      <c r="BC10" s="20"/>
      <c r="BD10" s="126">
        <f t="shared" ref="BD10:BD17" si="13">IFERROR(ROUND(BC10/MA_Kurs_14,2),0)</f>
        <v>0</v>
      </c>
      <c r="BF10" s="125" t="s">
        <v>205</v>
      </c>
      <c r="BG10" s="20"/>
      <c r="BH10" s="126">
        <f t="shared" ref="BH10:BH17" si="14">IFERROR(ROUND(BG10/MA_Kurs_15,2),0)</f>
        <v>0</v>
      </c>
      <c r="BJ10" s="125" t="s">
        <v>205</v>
      </c>
      <c r="BK10" s="20"/>
      <c r="BL10" s="126">
        <f t="shared" ref="BL10:BL17" si="15">IFERROR(ROUND(BK10/MA_Kurs_16,2),0)</f>
        <v>0</v>
      </c>
      <c r="BN10" s="125" t="s">
        <v>205</v>
      </c>
      <c r="BO10" s="20"/>
      <c r="BP10" s="126">
        <f t="shared" ref="BP10:BP17" si="16">IFERROR(ROUND(BO10/MA_Kurs_17,2),0)</f>
        <v>0</v>
      </c>
      <c r="BR10" s="125" t="s">
        <v>205</v>
      </c>
      <c r="BS10" s="20"/>
      <c r="BT10" s="126">
        <f t="shared" ref="BT10:BT17" si="17">IFERROR(ROUND(BS10/MA_Kurs_18,2),0)</f>
        <v>0</v>
      </c>
    </row>
    <row r="11" spans="2:72" ht="16.5" x14ac:dyDescent="0.25">
      <c r="B11" s="125" t="s">
        <v>206</v>
      </c>
      <c r="C11" s="20"/>
      <c r="D11" s="126">
        <f t="shared" si="0"/>
        <v>0</v>
      </c>
      <c r="F11" s="125" t="s">
        <v>206</v>
      </c>
      <c r="G11" s="20"/>
      <c r="H11" s="126">
        <f t="shared" si="1"/>
        <v>0</v>
      </c>
      <c r="J11" s="125" t="s">
        <v>206</v>
      </c>
      <c r="K11" s="20"/>
      <c r="L11" s="126">
        <f t="shared" si="2"/>
        <v>0</v>
      </c>
      <c r="N11" s="125" t="s">
        <v>206</v>
      </c>
      <c r="O11" s="20"/>
      <c r="P11" s="126">
        <f t="shared" si="3"/>
        <v>0</v>
      </c>
      <c r="R11" s="125" t="s">
        <v>206</v>
      </c>
      <c r="S11" s="20"/>
      <c r="T11" s="126">
        <f t="shared" si="4"/>
        <v>0</v>
      </c>
      <c r="V11" s="125" t="s">
        <v>206</v>
      </c>
      <c r="W11" s="20"/>
      <c r="X11" s="126">
        <f t="shared" si="5"/>
        <v>0</v>
      </c>
      <c r="Z11" s="125" t="s">
        <v>206</v>
      </c>
      <c r="AA11" s="20"/>
      <c r="AB11" s="126">
        <f t="shared" si="6"/>
        <v>0</v>
      </c>
      <c r="AD11" s="125" t="s">
        <v>206</v>
      </c>
      <c r="AE11" s="20"/>
      <c r="AF11" s="126">
        <f t="shared" si="7"/>
        <v>0</v>
      </c>
      <c r="AH11" s="125" t="s">
        <v>206</v>
      </c>
      <c r="AI11" s="20"/>
      <c r="AJ11" s="126">
        <f t="shared" si="8"/>
        <v>0</v>
      </c>
      <c r="AL11" s="125" t="s">
        <v>206</v>
      </c>
      <c r="AM11" s="20"/>
      <c r="AN11" s="126">
        <f t="shared" si="9"/>
        <v>0</v>
      </c>
      <c r="AP11" s="125" t="s">
        <v>206</v>
      </c>
      <c r="AQ11" s="20"/>
      <c r="AR11" s="126">
        <f t="shared" si="10"/>
        <v>0</v>
      </c>
      <c r="AT11" s="125" t="s">
        <v>206</v>
      </c>
      <c r="AU11" s="20"/>
      <c r="AV11" s="126">
        <f t="shared" si="11"/>
        <v>0</v>
      </c>
      <c r="AX11" s="125" t="s">
        <v>206</v>
      </c>
      <c r="AY11" s="20"/>
      <c r="AZ11" s="126">
        <f t="shared" si="12"/>
        <v>0</v>
      </c>
      <c r="BB11" s="125" t="s">
        <v>206</v>
      </c>
      <c r="BC11" s="20"/>
      <c r="BD11" s="126">
        <f t="shared" si="13"/>
        <v>0</v>
      </c>
      <c r="BF11" s="125" t="s">
        <v>206</v>
      </c>
      <c r="BG11" s="20"/>
      <c r="BH11" s="126">
        <f t="shared" si="14"/>
        <v>0</v>
      </c>
      <c r="BJ11" s="125" t="s">
        <v>206</v>
      </c>
      <c r="BK11" s="20"/>
      <c r="BL11" s="126">
        <f t="shared" si="15"/>
        <v>0</v>
      </c>
      <c r="BN11" s="125" t="s">
        <v>206</v>
      </c>
      <c r="BO11" s="20"/>
      <c r="BP11" s="126">
        <f t="shared" si="16"/>
        <v>0</v>
      </c>
      <c r="BR11" s="125" t="s">
        <v>206</v>
      </c>
      <c r="BS11" s="20"/>
      <c r="BT11" s="126">
        <f t="shared" si="17"/>
        <v>0</v>
      </c>
    </row>
    <row r="12" spans="2:72" ht="16.5" x14ac:dyDescent="0.25">
      <c r="B12" s="125" t="s">
        <v>207</v>
      </c>
      <c r="C12" s="20"/>
      <c r="D12" s="126">
        <f t="shared" si="0"/>
        <v>0</v>
      </c>
      <c r="F12" s="125" t="s">
        <v>207</v>
      </c>
      <c r="G12" s="20"/>
      <c r="H12" s="126">
        <f t="shared" si="1"/>
        <v>0</v>
      </c>
      <c r="J12" s="125" t="s">
        <v>207</v>
      </c>
      <c r="K12" s="20"/>
      <c r="L12" s="126">
        <f t="shared" si="2"/>
        <v>0</v>
      </c>
      <c r="N12" s="125" t="s">
        <v>207</v>
      </c>
      <c r="O12" s="20"/>
      <c r="P12" s="126">
        <f t="shared" si="3"/>
        <v>0</v>
      </c>
      <c r="R12" s="125" t="s">
        <v>207</v>
      </c>
      <c r="S12" s="20"/>
      <c r="T12" s="126">
        <f t="shared" si="4"/>
        <v>0</v>
      </c>
      <c r="V12" s="125" t="s">
        <v>207</v>
      </c>
      <c r="W12" s="20"/>
      <c r="X12" s="126">
        <f t="shared" si="5"/>
        <v>0</v>
      </c>
      <c r="Z12" s="125" t="s">
        <v>207</v>
      </c>
      <c r="AA12" s="20"/>
      <c r="AB12" s="126">
        <f t="shared" si="6"/>
        <v>0</v>
      </c>
      <c r="AD12" s="125" t="s">
        <v>207</v>
      </c>
      <c r="AE12" s="20"/>
      <c r="AF12" s="126">
        <f t="shared" si="7"/>
        <v>0</v>
      </c>
      <c r="AH12" s="125" t="s">
        <v>207</v>
      </c>
      <c r="AI12" s="20"/>
      <c r="AJ12" s="126">
        <f t="shared" si="8"/>
        <v>0</v>
      </c>
      <c r="AL12" s="125" t="s">
        <v>207</v>
      </c>
      <c r="AM12" s="20"/>
      <c r="AN12" s="126">
        <f t="shared" si="9"/>
        <v>0</v>
      </c>
      <c r="AP12" s="125" t="s">
        <v>207</v>
      </c>
      <c r="AQ12" s="20"/>
      <c r="AR12" s="126">
        <f t="shared" si="10"/>
        <v>0</v>
      </c>
      <c r="AT12" s="125" t="s">
        <v>207</v>
      </c>
      <c r="AU12" s="20"/>
      <c r="AV12" s="126">
        <f t="shared" si="11"/>
        <v>0</v>
      </c>
      <c r="AX12" s="125" t="s">
        <v>207</v>
      </c>
      <c r="AY12" s="20"/>
      <c r="AZ12" s="126">
        <f t="shared" si="12"/>
        <v>0</v>
      </c>
      <c r="BB12" s="125" t="s">
        <v>207</v>
      </c>
      <c r="BC12" s="20"/>
      <c r="BD12" s="126">
        <f t="shared" si="13"/>
        <v>0</v>
      </c>
      <c r="BF12" s="125" t="s">
        <v>207</v>
      </c>
      <c r="BG12" s="20"/>
      <c r="BH12" s="126">
        <f t="shared" si="14"/>
        <v>0</v>
      </c>
      <c r="BJ12" s="125" t="s">
        <v>207</v>
      </c>
      <c r="BK12" s="20"/>
      <c r="BL12" s="126">
        <f t="shared" si="15"/>
        <v>0</v>
      </c>
      <c r="BN12" s="125" t="s">
        <v>207</v>
      </c>
      <c r="BO12" s="20"/>
      <c r="BP12" s="126">
        <f t="shared" si="16"/>
        <v>0</v>
      </c>
      <c r="BR12" s="125" t="s">
        <v>207</v>
      </c>
      <c r="BS12" s="20"/>
      <c r="BT12" s="126">
        <f t="shared" si="17"/>
        <v>0</v>
      </c>
    </row>
    <row r="13" spans="2:72" ht="16.5" x14ac:dyDescent="0.25">
      <c r="B13" s="125" t="s">
        <v>208</v>
      </c>
      <c r="C13" s="20"/>
      <c r="D13" s="126">
        <f t="shared" si="0"/>
        <v>0</v>
      </c>
      <c r="F13" s="125" t="s">
        <v>208</v>
      </c>
      <c r="G13" s="20"/>
      <c r="H13" s="126">
        <f t="shared" si="1"/>
        <v>0</v>
      </c>
      <c r="J13" s="125" t="s">
        <v>208</v>
      </c>
      <c r="K13" s="20"/>
      <c r="L13" s="126">
        <f t="shared" si="2"/>
        <v>0</v>
      </c>
      <c r="N13" s="125" t="s">
        <v>208</v>
      </c>
      <c r="O13" s="20"/>
      <c r="P13" s="126">
        <f t="shared" si="3"/>
        <v>0</v>
      </c>
      <c r="R13" s="125" t="s">
        <v>208</v>
      </c>
      <c r="S13" s="20"/>
      <c r="T13" s="126">
        <f t="shared" si="4"/>
        <v>0</v>
      </c>
      <c r="V13" s="125" t="s">
        <v>208</v>
      </c>
      <c r="W13" s="20"/>
      <c r="X13" s="126">
        <f t="shared" si="5"/>
        <v>0</v>
      </c>
      <c r="Z13" s="125" t="s">
        <v>208</v>
      </c>
      <c r="AA13" s="20"/>
      <c r="AB13" s="126">
        <f t="shared" si="6"/>
        <v>0</v>
      </c>
      <c r="AD13" s="125" t="s">
        <v>208</v>
      </c>
      <c r="AE13" s="20"/>
      <c r="AF13" s="126">
        <f t="shared" si="7"/>
        <v>0</v>
      </c>
      <c r="AH13" s="125" t="s">
        <v>208</v>
      </c>
      <c r="AI13" s="20"/>
      <c r="AJ13" s="126">
        <f t="shared" si="8"/>
        <v>0</v>
      </c>
      <c r="AL13" s="125" t="s">
        <v>208</v>
      </c>
      <c r="AM13" s="20"/>
      <c r="AN13" s="126">
        <f t="shared" si="9"/>
        <v>0</v>
      </c>
      <c r="AP13" s="125" t="s">
        <v>208</v>
      </c>
      <c r="AQ13" s="20"/>
      <c r="AR13" s="126">
        <f t="shared" si="10"/>
        <v>0</v>
      </c>
      <c r="AT13" s="125" t="s">
        <v>208</v>
      </c>
      <c r="AU13" s="20"/>
      <c r="AV13" s="126">
        <f t="shared" si="11"/>
        <v>0</v>
      </c>
      <c r="AX13" s="125" t="s">
        <v>208</v>
      </c>
      <c r="AY13" s="20"/>
      <c r="AZ13" s="126">
        <f t="shared" si="12"/>
        <v>0</v>
      </c>
      <c r="BB13" s="125" t="s">
        <v>208</v>
      </c>
      <c r="BC13" s="20"/>
      <c r="BD13" s="126">
        <f t="shared" si="13"/>
        <v>0</v>
      </c>
      <c r="BF13" s="125" t="s">
        <v>208</v>
      </c>
      <c r="BG13" s="20"/>
      <c r="BH13" s="126">
        <f t="shared" si="14"/>
        <v>0</v>
      </c>
      <c r="BJ13" s="125" t="s">
        <v>208</v>
      </c>
      <c r="BK13" s="20"/>
      <c r="BL13" s="126">
        <f t="shared" si="15"/>
        <v>0</v>
      </c>
      <c r="BN13" s="125" t="s">
        <v>208</v>
      </c>
      <c r="BO13" s="20"/>
      <c r="BP13" s="126">
        <f t="shared" si="16"/>
        <v>0</v>
      </c>
      <c r="BR13" s="125" t="s">
        <v>208</v>
      </c>
      <c r="BS13" s="20"/>
      <c r="BT13" s="126">
        <f t="shared" si="17"/>
        <v>0</v>
      </c>
    </row>
    <row r="14" spans="2:72" ht="16.5" x14ac:dyDescent="0.25">
      <c r="B14" s="125" t="s">
        <v>209</v>
      </c>
      <c r="C14" s="20"/>
      <c r="D14" s="126">
        <f t="shared" si="0"/>
        <v>0</v>
      </c>
      <c r="F14" s="125" t="s">
        <v>209</v>
      </c>
      <c r="G14" s="20"/>
      <c r="H14" s="126">
        <f t="shared" si="1"/>
        <v>0</v>
      </c>
      <c r="J14" s="125" t="s">
        <v>209</v>
      </c>
      <c r="K14" s="20"/>
      <c r="L14" s="126">
        <f t="shared" si="2"/>
        <v>0</v>
      </c>
      <c r="N14" s="125" t="s">
        <v>209</v>
      </c>
      <c r="O14" s="20"/>
      <c r="P14" s="126">
        <f t="shared" si="3"/>
        <v>0</v>
      </c>
      <c r="R14" s="125" t="s">
        <v>209</v>
      </c>
      <c r="S14" s="20"/>
      <c r="T14" s="126">
        <f t="shared" si="4"/>
        <v>0</v>
      </c>
      <c r="V14" s="125" t="s">
        <v>209</v>
      </c>
      <c r="W14" s="20"/>
      <c r="X14" s="126">
        <f t="shared" si="5"/>
        <v>0</v>
      </c>
      <c r="Z14" s="125" t="s">
        <v>209</v>
      </c>
      <c r="AA14" s="20"/>
      <c r="AB14" s="126">
        <f t="shared" si="6"/>
        <v>0</v>
      </c>
      <c r="AD14" s="125" t="s">
        <v>209</v>
      </c>
      <c r="AE14" s="20"/>
      <c r="AF14" s="126">
        <f t="shared" si="7"/>
        <v>0</v>
      </c>
      <c r="AH14" s="125" t="s">
        <v>209</v>
      </c>
      <c r="AI14" s="20"/>
      <c r="AJ14" s="126">
        <f t="shared" si="8"/>
        <v>0</v>
      </c>
      <c r="AL14" s="125" t="s">
        <v>209</v>
      </c>
      <c r="AM14" s="20"/>
      <c r="AN14" s="126">
        <f t="shared" si="9"/>
        <v>0</v>
      </c>
      <c r="AP14" s="125" t="s">
        <v>209</v>
      </c>
      <c r="AQ14" s="20"/>
      <c r="AR14" s="126">
        <f t="shared" si="10"/>
        <v>0</v>
      </c>
      <c r="AT14" s="125" t="s">
        <v>209</v>
      </c>
      <c r="AU14" s="20"/>
      <c r="AV14" s="126">
        <f t="shared" si="11"/>
        <v>0</v>
      </c>
      <c r="AX14" s="125" t="s">
        <v>209</v>
      </c>
      <c r="AY14" s="20"/>
      <c r="AZ14" s="126">
        <f t="shared" si="12"/>
        <v>0</v>
      </c>
      <c r="BB14" s="125" t="s">
        <v>209</v>
      </c>
      <c r="BC14" s="20"/>
      <c r="BD14" s="126">
        <f t="shared" si="13"/>
        <v>0</v>
      </c>
      <c r="BF14" s="125" t="s">
        <v>209</v>
      </c>
      <c r="BG14" s="20"/>
      <c r="BH14" s="126">
        <f t="shared" si="14"/>
        <v>0</v>
      </c>
      <c r="BJ14" s="125" t="s">
        <v>209</v>
      </c>
      <c r="BK14" s="20"/>
      <c r="BL14" s="126">
        <f t="shared" si="15"/>
        <v>0</v>
      </c>
      <c r="BN14" s="125" t="s">
        <v>209</v>
      </c>
      <c r="BO14" s="20"/>
      <c r="BP14" s="126">
        <f t="shared" si="16"/>
        <v>0</v>
      </c>
      <c r="BR14" s="125" t="s">
        <v>209</v>
      </c>
      <c r="BS14" s="20"/>
      <c r="BT14" s="126">
        <f t="shared" si="17"/>
        <v>0</v>
      </c>
    </row>
    <row r="15" spans="2:72" ht="16.5" x14ac:dyDescent="0.25">
      <c r="B15" s="125" t="s">
        <v>210</v>
      </c>
      <c r="C15" s="20"/>
      <c r="D15" s="126">
        <f t="shared" si="0"/>
        <v>0</v>
      </c>
      <c r="F15" s="125" t="s">
        <v>210</v>
      </c>
      <c r="G15" s="20"/>
      <c r="H15" s="126">
        <f t="shared" si="1"/>
        <v>0</v>
      </c>
      <c r="J15" s="125" t="s">
        <v>210</v>
      </c>
      <c r="K15" s="20"/>
      <c r="L15" s="126">
        <f t="shared" si="2"/>
        <v>0</v>
      </c>
      <c r="N15" s="125" t="s">
        <v>210</v>
      </c>
      <c r="O15" s="20"/>
      <c r="P15" s="126">
        <f t="shared" si="3"/>
        <v>0</v>
      </c>
      <c r="R15" s="125" t="s">
        <v>210</v>
      </c>
      <c r="S15" s="20"/>
      <c r="T15" s="126">
        <f t="shared" si="4"/>
        <v>0</v>
      </c>
      <c r="V15" s="125" t="s">
        <v>210</v>
      </c>
      <c r="W15" s="20"/>
      <c r="X15" s="126">
        <f t="shared" si="5"/>
        <v>0</v>
      </c>
      <c r="Z15" s="125" t="s">
        <v>210</v>
      </c>
      <c r="AA15" s="20"/>
      <c r="AB15" s="126">
        <f t="shared" si="6"/>
        <v>0</v>
      </c>
      <c r="AD15" s="125" t="s">
        <v>210</v>
      </c>
      <c r="AE15" s="20"/>
      <c r="AF15" s="126">
        <f t="shared" si="7"/>
        <v>0</v>
      </c>
      <c r="AH15" s="125" t="s">
        <v>210</v>
      </c>
      <c r="AI15" s="20"/>
      <c r="AJ15" s="126">
        <f t="shared" si="8"/>
        <v>0</v>
      </c>
      <c r="AL15" s="125" t="s">
        <v>210</v>
      </c>
      <c r="AM15" s="20"/>
      <c r="AN15" s="126">
        <f t="shared" si="9"/>
        <v>0</v>
      </c>
      <c r="AP15" s="125" t="s">
        <v>210</v>
      </c>
      <c r="AQ15" s="20"/>
      <c r="AR15" s="126">
        <f t="shared" si="10"/>
        <v>0</v>
      </c>
      <c r="AT15" s="125" t="s">
        <v>210</v>
      </c>
      <c r="AU15" s="20"/>
      <c r="AV15" s="126">
        <f t="shared" si="11"/>
        <v>0</v>
      </c>
      <c r="AX15" s="125" t="s">
        <v>210</v>
      </c>
      <c r="AY15" s="20"/>
      <c r="AZ15" s="126">
        <f t="shared" si="12"/>
        <v>0</v>
      </c>
      <c r="BB15" s="125" t="s">
        <v>210</v>
      </c>
      <c r="BC15" s="20"/>
      <c r="BD15" s="126">
        <f t="shared" si="13"/>
        <v>0</v>
      </c>
      <c r="BF15" s="125" t="s">
        <v>210</v>
      </c>
      <c r="BG15" s="20"/>
      <c r="BH15" s="126">
        <f t="shared" si="14"/>
        <v>0</v>
      </c>
      <c r="BJ15" s="125" t="s">
        <v>210</v>
      </c>
      <c r="BK15" s="20"/>
      <c r="BL15" s="126">
        <f t="shared" si="15"/>
        <v>0</v>
      </c>
      <c r="BN15" s="125" t="s">
        <v>210</v>
      </c>
      <c r="BO15" s="20"/>
      <c r="BP15" s="126">
        <f t="shared" si="16"/>
        <v>0</v>
      </c>
      <c r="BR15" s="125" t="s">
        <v>210</v>
      </c>
      <c r="BS15" s="20"/>
      <c r="BT15" s="126">
        <f t="shared" si="17"/>
        <v>0</v>
      </c>
    </row>
    <row r="16" spans="2:72" ht="16.5" x14ac:dyDescent="0.25">
      <c r="B16" s="125" t="s">
        <v>211</v>
      </c>
      <c r="C16" s="20"/>
      <c r="D16" s="126">
        <f t="shared" si="0"/>
        <v>0</v>
      </c>
      <c r="F16" s="125" t="s">
        <v>211</v>
      </c>
      <c r="G16" s="20"/>
      <c r="H16" s="126">
        <f t="shared" si="1"/>
        <v>0</v>
      </c>
      <c r="J16" s="125" t="s">
        <v>211</v>
      </c>
      <c r="K16" s="20"/>
      <c r="L16" s="126">
        <f t="shared" si="2"/>
        <v>0</v>
      </c>
      <c r="N16" s="125" t="s">
        <v>211</v>
      </c>
      <c r="O16" s="20"/>
      <c r="P16" s="126">
        <f t="shared" si="3"/>
        <v>0</v>
      </c>
      <c r="R16" s="125" t="s">
        <v>211</v>
      </c>
      <c r="S16" s="20"/>
      <c r="T16" s="126">
        <f t="shared" si="4"/>
        <v>0</v>
      </c>
      <c r="V16" s="125" t="s">
        <v>211</v>
      </c>
      <c r="W16" s="20"/>
      <c r="X16" s="126">
        <f t="shared" si="5"/>
        <v>0</v>
      </c>
      <c r="Z16" s="125" t="s">
        <v>211</v>
      </c>
      <c r="AA16" s="20"/>
      <c r="AB16" s="126">
        <f t="shared" si="6"/>
        <v>0</v>
      </c>
      <c r="AD16" s="125" t="s">
        <v>211</v>
      </c>
      <c r="AE16" s="20"/>
      <c r="AF16" s="126">
        <f t="shared" si="7"/>
        <v>0</v>
      </c>
      <c r="AH16" s="125" t="s">
        <v>211</v>
      </c>
      <c r="AI16" s="20"/>
      <c r="AJ16" s="126">
        <f t="shared" si="8"/>
        <v>0</v>
      </c>
      <c r="AL16" s="125" t="s">
        <v>211</v>
      </c>
      <c r="AM16" s="20"/>
      <c r="AN16" s="126">
        <f t="shared" si="9"/>
        <v>0</v>
      </c>
      <c r="AP16" s="125" t="s">
        <v>211</v>
      </c>
      <c r="AQ16" s="20"/>
      <c r="AR16" s="126">
        <f t="shared" si="10"/>
        <v>0</v>
      </c>
      <c r="AT16" s="125" t="s">
        <v>211</v>
      </c>
      <c r="AU16" s="20"/>
      <c r="AV16" s="126">
        <f t="shared" si="11"/>
        <v>0</v>
      </c>
      <c r="AX16" s="125" t="s">
        <v>211</v>
      </c>
      <c r="AY16" s="20"/>
      <c r="AZ16" s="126">
        <f t="shared" si="12"/>
        <v>0</v>
      </c>
      <c r="BB16" s="125" t="s">
        <v>211</v>
      </c>
      <c r="BC16" s="20"/>
      <c r="BD16" s="126">
        <f t="shared" si="13"/>
        <v>0</v>
      </c>
      <c r="BF16" s="125" t="s">
        <v>211</v>
      </c>
      <c r="BG16" s="20"/>
      <c r="BH16" s="126">
        <f t="shared" si="14"/>
        <v>0</v>
      </c>
      <c r="BJ16" s="125" t="s">
        <v>211</v>
      </c>
      <c r="BK16" s="20"/>
      <c r="BL16" s="126">
        <f t="shared" si="15"/>
        <v>0</v>
      </c>
      <c r="BN16" s="125" t="s">
        <v>211</v>
      </c>
      <c r="BO16" s="20"/>
      <c r="BP16" s="126">
        <f t="shared" si="16"/>
        <v>0</v>
      </c>
      <c r="BR16" s="125" t="s">
        <v>211</v>
      </c>
      <c r="BS16" s="20"/>
      <c r="BT16" s="126">
        <f t="shared" si="17"/>
        <v>0</v>
      </c>
    </row>
    <row r="17" spans="2:72" ht="16.5" x14ac:dyDescent="0.25">
      <c r="B17" s="125" t="s">
        <v>212</v>
      </c>
      <c r="C17" s="20"/>
      <c r="D17" s="126">
        <f t="shared" si="0"/>
        <v>0</v>
      </c>
      <c r="F17" s="125" t="s">
        <v>212</v>
      </c>
      <c r="G17" s="20"/>
      <c r="H17" s="126">
        <f t="shared" si="1"/>
        <v>0</v>
      </c>
      <c r="J17" s="125" t="s">
        <v>212</v>
      </c>
      <c r="K17" s="20"/>
      <c r="L17" s="126">
        <f t="shared" si="2"/>
        <v>0</v>
      </c>
      <c r="N17" s="125" t="s">
        <v>212</v>
      </c>
      <c r="O17" s="20"/>
      <c r="P17" s="126">
        <f t="shared" si="3"/>
        <v>0</v>
      </c>
      <c r="R17" s="125" t="s">
        <v>212</v>
      </c>
      <c r="S17" s="20"/>
      <c r="T17" s="126">
        <f t="shared" si="4"/>
        <v>0</v>
      </c>
      <c r="V17" s="125" t="s">
        <v>212</v>
      </c>
      <c r="W17" s="20"/>
      <c r="X17" s="126">
        <f t="shared" si="5"/>
        <v>0</v>
      </c>
      <c r="Z17" s="125" t="s">
        <v>212</v>
      </c>
      <c r="AA17" s="20"/>
      <c r="AB17" s="126">
        <f t="shared" si="6"/>
        <v>0</v>
      </c>
      <c r="AD17" s="125" t="s">
        <v>212</v>
      </c>
      <c r="AE17" s="20"/>
      <c r="AF17" s="126">
        <f t="shared" si="7"/>
        <v>0</v>
      </c>
      <c r="AH17" s="125" t="s">
        <v>212</v>
      </c>
      <c r="AI17" s="20"/>
      <c r="AJ17" s="126">
        <f t="shared" si="8"/>
        <v>0</v>
      </c>
      <c r="AL17" s="125" t="s">
        <v>212</v>
      </c>
      <c r="AM17" s="20"/>
      <c r="AN17" s="126">
        <f t="shared" si="9"/>
        <v>0</v>
      </c>
      <c r="AP17" s="125" t="s">
        <v>212</v>
      </c>
      <c r="AQ17" s="20"/>
      <c r="AR17" s="126">
        <f t="shared" si="10"/>
        <v>0</v>
      </c>
      <c r="AT17" s="125" t="s">
        <v>212</v>
      </c>
      <c r="AU17" s="20"/>
      <c r="AV17" s="126">
        <f t="shared" si="11"/>
        <v>0</v>
      </c>
      <c r="AX17" s="125" t="s">
        <v>212</v>
      </c>
      <c r="AY17" s="20"/>
      <c r="AZ17" s="126">
        <f t="shared" si="12"/>
        <v>0</v>
      </c>
      <c r="BB17" s="125" t="s">
        <v>212</v>
      </c>
      <c r="BC17" s="20"/>
      <c r="BD17" s="126">
        <f t="shared" si="13"/>
        <v>0</v>
      </c>
      <c r="BF17" s="125" t="s">
        <v>212</v>
      </c>
      <c r="BG17" s="20"/>
      <c r="BH17" s="126">
        <f t="shared" si="14"/>
        <v>0</v>
      </c>
      <c r="BJ17" s="125" t="s">
        <v>212</v>
      </c>
      <c r="BK17" s="20"/>
      <c r="BL17" s="126">
        <f t="shared" si="15"/>
        <v>0</v>
      </c>
      <c r="BN17" s="125" t="s">
        <v>212</v>
      </c>
      <c r="BO17" s="20"/>
      <c r="BP17" s="126">
        <f t="shared" si="16"/>
        <v>0</v>
      </c>
      <c r="BR17" s="125" t="s">
        <v>212</v>
      </c>
      <c r="BS17" s="20"/>
      <c r="BT17" s="126">
        <f t="shared" si="17"/>
        <v>0</v>
      </c>
    </row>
    <row r="18" spans="2:72" ht="16.5" x14ac:dyDescent="0.25">
      <c r="B18" s="127" t="s">
        <v>308</v>
      </c>
      <c r="C18" s="128">
        <f>ROUND(SUBTOTAL(109,MA_1[Angefordert (LC)]),2)</f>
        <v>0</v>
      </c>
      <c r="D18" s="129">
        <f>ROUND(SUBTOTAL(109,MA_1[Angefordert (EUR)]),2)</f>
        <v>0</v>
      </c>
      <c r="F18" s="127" t="s">
        <v>308</v>
      </c>
      <c r="G18" s="128">
        <f>ROUND(SUBTOTAL(109,MA_2[Angefordert (LC)]),2)</f>
        <v>0</v>
      </c>
      <c r="H18" s="129">
        <f>ROUND(SUBTOTAL(109,MA_2[Angefordert (EUR)]),2)</f>
        <v>0</v>
      </c>
      <c r="J18" s="127" t="s">
        <v>308</v>
      </c>
      <c r="K18" s="128">
        <f>ROUND(SUBTOTAL(109,MA_3[Angefordert (LC)]),2)</f>
        <v>0</v>
      </c>
      <c r="L18" s="129">
        <f>ROUND(SUBTOTAL(109,MA_3[Angefordert (EUR)]),2)</f>
        <v>0</v>
      </c>
      <c r="N18" s="127" t="s">
        <v>308</v>
      </c>
      <c r="O18" s="128">
        <f>ROUND(SUBTOTAL(109,MA_4[Angefordert (LC)]),2)</f>
        <v>0</v>
      </c>
      <c r="P18" s="129">
        <f>ROUND(SUBTOTAL(109,MA_4[Angefordert (EUR)]),2)</f>
        <v>0</v>
      </c>
      <c r="R18" s="127" t="s">
        <v>308</v>
      </c>
      <c r="S18" s="128">
        <f>ROUND(SUBTOTAL(109,MA_5[Angefordert (LC)]),2)</f>
        <v>0</v>
      </c>
      <c r="T18" s="129">
        <f>ROUND(SUBTOTAL(109,MA_5[Angefordert (EUR)]),2)</f>
        <v>0</v>
      </c>
      <c r="V18" s="127" t="s">
        <v>308</v>
      </c>
      <c r="W18" s="128">
        <f>ROUND(SUBTOTAL(109,MA_6[Angefordert (LC)]),2)</f>
        <v>0</v>
      </c>
      <c r="X18" s="129">
        <f>ROUND(SUBTOTAL(109,MA_6[Angefordert (EUR)]),2)</f>
        <v>0</v>
      </c>
      <c r="Z18" s="127" t="s">
        <v>308</v>
      </c>
      <c r="AA18" s="128">
        <f>ROUND(SUBTOTAL(109,MA_7[Angefordert (LC)]),2)</f>
        <v>0</v>
      </c>
      <c r="AB18" s="129">
        <f>ROUND(SUBTOTAL(109,MA_7[Angefordert (EUR)]),2)</f>
        <v>0</v>
      </c>
      <c r="AD18" s="127" t="s">
        <v>308</v>
      </c>
      <c r="AE18" s="128">
        <f>ROUND(SUBTOTAL(109,MA_8[Angefordert (LC)]),2)</f>
        <v>0</v>
      </c>
      <c r="AF18" s="129">
        <f>ROUND(SUBTOTAL(109,MA_8[Angefordert (EUR)]),2)</f>
        <v>0</v>
      </c>
      <c r="AH18" s="127" t="s">
        <v>308</v>
      </c>
      <c r="AI18" s="128">
        <f>ROUND(SUBTOTAL(109,MA_9[Angefordert (LC)]),2)</f>
        <v>0</v>
      </c>
      <c r="AJ18" s="129">
        <f>ROUND(SUBTOTAL(109,MA_9[Angefordert (EUR)]),2)</f>
        <v>0</v>
      </c>
      <c r="AL18" s="127" t="s">
        <v>308</v>
      </c>
      <c r="AM18" s="128">
        <f>ROUND(SUBTOTAL(109,MA_10[Angefordert (LC)]),2)</f>
        <v>0</v>
      </c>
      <c r="AN18" s="129">
        <f>ROUND(SUBTOTAL(109,MA_10[Angefordert (EUR)]),2)</f>
        <v>0</v>
      </c>
      <c r="AP18" s="127" t="s">
        <v>308</v>
      </c>
      <c r="AQ18" s="128">
        <f>ROUND(SUBTOTAL(109,MA_11[Angefordert (LC)]),2)</f>
        <v>0</v>
      </c>
      <c r="AR18" s="129">
        <f>ROUND(SUBTOTAL(109,MA_11[Angefordert (EUR)]),2)</f>
        <v>0</v>
      </c>
      <c r="AT18" s="127" t="s">
        <v>308</v>
      </c>
      <c r="AU18" s="128">
        <f>ROUND(SUBTOTAL(109,MA_12[Angefordert (LC)]),2)</f>
        <v>0</v>
      </c>
      <c r="AV18" s="129">
        <f>ROUND(SUBTOTAL(109,MA_12[Angefordert (EUR)]),2)</f>
        <v>0</v>
      </c>
      <c r="AX18" s="127" t="s">
        <v>308</v>
      </c>
      <c r="AY18" s="128">
        <f>ROUND(SUBTOTAL(109,MA_13[Angefordert (LC)]),2)</f>
        <v>0</v>
      </c>
      <c r="AZ18" s="129">
        <f>ROUND(SUBTOTAL(109,MA_13[Angefordert (EUR)]),2)</f>
        <v>0</v>
      </c>
      <c r="BB18" s="127" t="s">
        <v>308</v>
      </c>
      <c r="BC18" s="128">
        <f>ROUND(SUBTOTAL(109,MA_14[Angefordert (LC)]),2)</f>
        <v>0</v>
      </c>
      <c r="BD18" s="129">
        <f>ROUND(SUBTOTAL(109,MA_14[Angefordert (EUR)]),2)</f>
        <v>0</v>
      </c>
      <c r="BF18" s="127" t="s">
        <v>308</v>
      </c>
      <c r="BG18" s="128">
        <f>ROUND(SUBTOTAL(109,MA_15[Angefordert (LC)]),2)</f>
        <v>0</v>
      </c>
      <c r="BH18" s="129">
        <f>ROUND(SUBTOTAL(109,MA_15[Angefordert (EUR)]),2)</f>
        <v>0</v>
      </c>
      <c r="BJ18" s="127" t="s">
        <v>308</v>
      </c>
      <c r="BK18" s="128">
        <f>ROUND(SUBTOTAL(109,MA_16[Angefordert (LC)]),2)</f>
        <v>0</v>
      </c>
      <c r="BL18" s="129">
        <f>ROUND(SUBTOTAL(109,MA_16[Angefordert (EUR)]),2)</f>
        <v>0</v>
      </c>
      <c r="BN18" s="127" t="s">
        <v>308</v>
      </c>
      <c r="BO18" s="128">
        <f>ROUND(SUBTOTAL(109,MA_17[Angefordert (LC)]),2)</f>
        <v>0</v>
      </c>
      <c r="BP18" s="129">
        <f>ROUND(SUBTOTAL(109,MA_17[Angefordert (EUR)]),2)</f>
        <v>0</v>
      </c>
      <c r="BR18" s="127" t="s">
        <v>308</v>
      </c>
      <c r="BS18" s="128">
        <f>ROUND(SUBTOTAL(109,MA_18[Angefordert (LC)]),2)</f>
        <v>0</v>
      </c>
      <c r="BT18" s="129">
        <f>ROUND(SUBTOTAL(109,MA_18[Angefordert (EUR)]),2)</f>
        <v>0</v>
      </c>
    </row>
    <row r="20" spans="2:72" ht="16.5" x14ac:dyDescent="0.25">
      <c r="B20" t="s">
        <v>309</v>
      </c>
      <c r="C20" s="130">
        <f>ROUND($C$18,2)</f>
        <v>0</v>
      </c>
      <c r="D20" s="131">
        <f>ROUND($D$18,2)</f>
        <v>0</v>
      </c>
      <c r="F20" t="s">
        <v>309</v>
      </c>
      <c r="G20" s="130">
        <f>ROUND($G$18,2)</f>
        <v>0</v>
      </c>
      <c r="H20" s="131">
        <f>ROUND($H$18,2)</f>
        <v>0</v>
      </c>
      <c r="J20" t="s">
        <v>309</v>
      </c>
      <c r="K20" s="130">
        <f>ROUND($K$18,2)</f>
        <v>0</v>
      </c>
      <c r="L20" s="131">
        <f>ROUND($L$18,2)</f>
        <v>0</v>
      </c>
      <c r="N20" t="s">
        <v>309</v>
      </c>
      <c r="O20" s="130">
        <f>ROUND($O$18,2)</f>
        <v>0</v>
      </c>
      <c r="P20" s="131">
        <f>ROUND($P$18,2)</f>
        <v>0</v>
      </c>
      <c r="R20" t="s">
        <v>309</v>
      </c>
      <c r="S20" s="130">
        <f>ROUND($S$18,2)</f>
        <v>0</v>
      </c>
      <c r="T20" s="131">
        <f>ROUND($T$18,2)</f>
        <v>0</v>
      </c>
      <c r="V20" t="s">
        <v>309</v>
      </c>
      <c r="W20" s="130">
        <f>ROUND($W$18,2)</f>
        <v>0</v>
      </c>
      <c r="X20" s="131">
        <f>ROUND($X$18,2)</f>
        <v>0</v>
      </c>
      <c r="Z20" t="s">
        <v>309</v>
      </c>
      <c r="AA20" s="130">
        <f>ROUND($AA$18,2)</f>
        <v>0</v>
      </c>
      <c r="AB20" s="131">
        <f>ROUND($AB$18,2)</f>
        <v>0</v>
      </c>
      <c r="AD20" t="s">
        <v>309</v>
      </c>
      <c r="AE20" s="130">
        <f>ROUND($AE$18,2)</f>
        <v>0</v>
      </c>
      <c r="AF20" s="131">
        <f>ROUND($AF$18,2)</f>
        <v>0</v>
      </c>
      <c r="AH20" t="s">
        <v>309</v>
      </c>
      <c r="AI20" s="130">
        <f>ROUND($AI$18,2)</f>
        <v>0</v>
      </c>
      <c r="AJ20" s="131">
        <f>ROUND($AJ$18,2)</f>
        <v>0</v>
      </c>
      <c r="AL20" t="s">
        <v>309</v>
      </c>
      <c r="AM20" s="130">
        <f>ROUND($AM$18,2)</f>
        <v>0</v>
      </c>
      <c r="AN20" s="131">
        <f>ROUND($AN$18,2)</f>
        <v>0</v>
      </c>
      <c r="AP20" t="s">
        <v>309</v>
      </c>
      <c r="AQ20" s="130">
        <f>ROUND($AQ$18,2)</f>
        <v>0</v>
      </c>
      <c r="AR20" s="131">
        <f>ROUND($AR$18,2)</f>
        <v>0</v>
      </c>
      <c r="AT20" t="s">
        <v>309</v>
      </c>
      <c r="AU20" s="130">
        <f>ROUND($AU$18,2)</f>
        <v>0</v>
      </c>
      <c r="AV20" s="131">
        <f>ROUND($AV$18,2)</f>
        <v>0</v>
      </c>
      <c r="AX20" t="s">
        <v>309</v>
      </c>
      <c r="AY20" s="130">
        <f>ROUND($AY$18,2)</f>
        <v>0</v>
      </c>
      <c r="AZ20" s="131">
        <f>ROUND($AZ$18,2)</f>
        <v>0</v>
      </c>
      <c r="BB20" t="s">
        <v>309</v>
      </c>
      <c r="BC20" s="130">
        <f>ROUND($BC$18,2)</f>
        <v>0</v>
      </c>
      <c r="BD20" s="131">
        <f>ROUND($BD$18,2)</f>
        <v>0</v>
      </c>
      <c r="BF20" t="s">
        <v>309</v>
      </c>
      <c r="BG20" s="130">
        <f>ROUND($BG$18,2)</f>
        <v>0</v>
      </c>
      <c r="BH20" s="131">
        <f>ROUND($BH$18,2)</f>
        <v>0</v>
      </c>
      <c r="BJ20" t="s">
        <v>309</v>
      </c>
      <c r="BK20" s="130">
        <f>ROUND($BK$18,2)</f>
        <v>0</v>
      </c>
      <c r="BL20" s="131">
        <f>ROUND($BL$18,2)</f>
        <v>0</v>
      </c>
      <c r="BN20" t="s">
        <v>309</v>
      </c>
      <c r="BO20" s="130">
        <f>ROUND($BO$18,2)</f>
        <v>0</v>
      </c>
      <c r="BP20" s="131">
        <f>ROUND($BP$18,2)</f>
        <v>0</v>
      </c>
      <c r="BR20" t="s">
        <v>309</v>
      </c>
      <c r="BS20" s="130">
        <f>ROUND($BS$18,2)</f>
        <v>0</v>
      </c>
      <c r="BT20" s="131">
        <f>ROUND($BT$18,2)</f>
        <v>0</v>
      </c>
    </row>
    <row r="21" spans="2:72" ht="16.5" x14ac:dyDescent="0.25">
      <c r="B21" t="s">
        <v>310</v>
      </c>
      <c r="C21" s="20"/>
      <c r="D21" s="126">
        <f>IFERROR(ROUND($C$21/$C$7,2),0)</f>
        <v>0</v>
      </c>
      <c r="F21" t="s">
        <v>310</v>
      </c>
      <c r="G21" s="20"/>
      <c r="H21" s="126">
        <f>IFERROR(ROUND($G$21/$G$7,2),0)</f>
        <v>0</v>
      </c>
      <c r="J21" t="s">
        <v>310</v>
      </c>
      <c r="K21" s="20"/>
      <c r="L21" s="126">
        <f>IFERROR(ROUND($K$21/$K$7,2),0)</f>
        <v>0</v>
      </c>
      <c r="N21" t="s">
        <v>310</v>
      </c>
      <c r="O21" s="20"/>
      <c r="P21" s="126">
        <f>IFERROR(ROUND($O$21/$O$7,2),0)</f>
        <v>0</v>
      </c>
      <c r="R21" t="s">
        <v>310</v>
      </c>
      <c r="S21" s="20"/>
      <c r="T21" s="126">
        <f>IFERROR(ROUND($S$21/$S$7,2),0)</f>
        <v>0</v>
      </c>
      <c r="V21" t="s">
        <v>310</v>
      </c>
      <c r="W21" s="20"/>
      <c r="X21" s="126">
        <f>IFERROR(ROUND($W$21/$W$7,2),0)</f>
        <v>0</v>
      </c>
      <c r="Z21" t="s">
        <v>310</v>
      </c>
      <c r="AA21" s="20"/>
      <c r="AB21" s="126">
        <f>IFERROR(ROUND($AA$21/$AA$7,2),0)</f>
        <v>0</v>
      </c>
      <c r="AD21" t="s">
        <v>310</v>
      </c>
      <c r="AE21" s="20"/>
      <c r="AF21" s="126">
        <f>IFERROR(ROUND($AE$21/$AE$7,2),0)</f>
        <v>0</v>
      </c>
      <c r="AH21" t="s">
        <v>310</v>
      </c>
      <c r="AI21" s="20"/>
      <c r="AJ21" s="126">
        <f>IFERROR(ROUND($AI$21/$AI$7,2),0)</f>
        <v>0</v>
      </c>
      <c r="AL21" t="s">
        <v>310</v>
      </c>
      <c r="AM21" s="20"/>
      <c r="AN21" s="126">
        <f>IFERROR(ROUND($AM$21/$AM$7,2),0)</f>
        <v>0</v>
      </c>
      <c r="AP21" t="s">
        <v>310</v>
      </c>
      <c r="AQ21" s="20"/>
      <c r="AR21" s="126">
        <f>IFERROR(ROUND($AQ$21/$AQ$7,2),0)</f>
        <v>0</v>
      </c>
      <c r="AT21" t="s">
        <v>310</v>
      </c>
      <c r="AU21" s="20"/>
      <c r="AV21" s="126">
        <f>IFERROR(ROUND($AU$21/$AU$7,2),0)</f>
        <v>0</v>
      </c>
      <c r="AX21" t="s">
        <v>310</v>
      </c>
      <c r="AY21" s="20"/>
      <c r="AZ21" s="126">
        <f>IFERROR(ROUND($AY$21/$AY$7,2),0)</f>
        <v>0</v>
      </c>
      <c r="BB21" t="s">
        <v>310</v>
      </c>
      <c r="BC21" s="20"/>
      <c r="BD21" s="126">
        <f>IFERROR(ROUND($BC$21/$BC$7,2),0)</f>
        <v>0</v>
      </c>
      <c r="BF21" t="s">
        <v>310</v>
      </c>
      <c r="BG21" s="20"/>
      <c r="BH21" s="126">
        <f>IFERROR(ROUND($BG$21/$BG$7,2),0)</f>
        <v>0</v>
      </c>
      <c r="BJ21" t="s">
        <v>310</v>
      </c>
      <c r="BK21" s="20"/>
      <c r="BL21" s="126">
        <f>IFERROR(ROUND($BK$21/$BK$7,2),0)</f>
        <v>0</v>
      </c>
      <c r="BN21" t="s">
        <v>310</v>
      </c>
      <c r="BO21" s="20"/>
      <c r="BP21" s="126">
        <f>IFERROR(ROUND($BO$21/$BO$7,2),0)</f>
        <v>0</v>
      </c>
      <c r="BR21" t="s">
        <v>310</v>
      </c>
      <c r="BS21" s="20"/>
      <c r="BT21" s="126">
        <f>IFERROR(ROUND($BS$21/$BS$7,2),0)</f>
        <v>0</v>
      </c>
    </row>
    <row r="22" spans="2:72" ht="16.5" x14ac:dyDescent="0.25">
      <c r="B22" t="s">
        <v>311</v>
      </c>
      <c r="C22" s="20"/>
      <c r="D22" s="126">
        <f>IFERROR(ROUND($C$22/$C$7,2),0)</f>
        <v>0</v>
      </c>
      <c r="F22" t="s">
        <v>311</v>
      </c>
      <c r="G22" s="20"/>
      <c r="H22" s="126">
        <f>IFERROR(ROUND($G$22/$G$7,2),0)</f>
        <v>0</v>
      </c>
      <c r="J22" t="s">
        <v>311</v>
      </c>
      <c r="K22" s="20"/>
      <c r="L22" s="126">
        <f>IFERROR(ROUND($K$22/$K$7,2),0)</f>
        <v>0</v>
      </c>
      <c r="N22" t="s">
        <v>311</v>
      </c>
      <c r="O22" s="20"/>
      <c r="P22" s="126">
        <f>IFERROR(ROUND($O$22/$O$7,2),0)</f>
        <v>0</v>
      </c>
      <c r="R22" t="s">
        <v>311</v>
      </c>
      <c r="S22" s="20"/>
      <c r="T22" s="126">
        <f>IFERROR(ROUND($S$22/$S$7,2),0)</f>
        <v>0</v>
      </c>
      <c r="V22" t="s">
        <v>311</v>
      </c>
      <c r="W22" s="20"/>
      <c r="X22" s="126">
        <f>IFERROR(ROUND($W$22/$W$7,2),0)</f>
        <v>0</v>
      </c>
      <c r="Z22" t="s">
        <v>311</v>
      </c>
      <c r="AA22" s="20"/>
      <c r="AB22" s="126">
        <f>IFERROR(ROUND($AA$22/$AA$7,2),0)</f>
        <v>0</v>
      </c>
      <c r="AD22" t="s">
        <v>311</v>
      </c>
      <c r="AE22" s="20"/>
      <c r="AF22" s="126">
        <f>IFERROR(ROUND($AE$22/$AE$7,2),0)</f>
        <v>0</v>
      </c>
      <c r="AH22" t="s">
        <v>311</v>
      </c>
      <c r="AI22" s="20"/>
      <c r="AJ22" s="126">
        <f>IFERROR(ROUND($AI$22/$AI$7,2),0)</f>
        <v>0</v>
      </c>
      <c r="AL22" t="s">
        <v>311</v>
      </c>
      <c r="AM22" s="20"/>
      <c r="AN22" s="126">
        <f>IFERROR(ROUND($AM$22/$AM$7,2),0)</f>
        <v>0</v>
      </c>
      <c r="AP22" t="s">
        <v>311</v>
      </c>
      <c r="AQ22" s="20"/>
      <c r="AR22" s="126">
        <f>IFERROR(ROUND($AQ$22/$AQ$7,2),0)</f>
        <v>0</v>
      </c>
      <c r="AT22" t="s">
        <v>311</v>
      </c>
      <c r="AU22" s="20"/>
      <c r="AV22" s="126">
        <f>IFERROR(ROUND($AU$22/$AU$7,2),0)</f>
        <v>0</v>
      </c>
      <c r="AX22" t="s">
        <v>311</v>
      </c>
      <c r="AY22" s="20"/>
      <c r="AZ22" s="126">
        <f>IFERROR(ROUND($AY$22/$AY$7,2),0)</f>
        <v>0</v>
      </c>
      <c r="BB22" t="s">
        <v>311</v>
      </c>
      <c r="BC22" s="20"/>
      <c r="BD22" s="126">
        <f>IFERROR(ROUND($BC$22/$BC$7,2),0)</f>
        <v>0</v>
      </c>
      <c r="BF22" t="s">
        <v>311</v>
      </c>
      <c r="BG22" s="20"/>
      <c r="BH22" s="126">
        <f>IFERROR(ROUND($BG$22/$BG$7,2),0)</f>
        <v>0</v>
      </c>
      <c r="BJ22" t="s">
        <v>311</v>
      </c>
      <c r="BK22" s="20"/>
      <c r="BL22" s="126">
        <f>IFERROR(ROUND($BK$22/$BK$7,2),0)</f>
        <v>0</v>
      </c>
      <c r="BN22" t="s">
        <v>311</v>
      </c>
      <c r="BO22" s="20"/>
      <c r="BP22" s="126">
        <f>IFERROR(ROUND($BO$22/$BO$7,2),0)</f>
        <v>0</v>
      </c>
      <c r="BR22" t="s">
        <v>311</v>
      </c>
      <c r="BS22" s="20"/>
      <c r="BT22" s="126">
        <f>IFERROR(ROUND($BS$22/$BS$7,2),0)</f>
        <v>0</v>
      </c>
    </row>
    <row r="23" spans="2:72" ht="16.5" x14ac:dyDescent="0.25">
      <c r="B23" t="s">
        <v>312</v>
      </c>
      <c r="C23" s="132">
        <f>ROUND(IF(Saldovortrag_LW="",0,Saldovortrag_LW),2)</f>
        <v>0</v>
      </c>
      <c r="D23" s="126">
        <f>IFERROR(ROUND($C$23/$C$7,2),0)</f>
        <v>0</v>
      </c>
      <c r="F23" t="s">
        <v>314</v>
      </c>
      <c r="G23" s="132">
        <f>ROUND(IFERROR(FB_SaldoLC_1,0),2)</f>
        <v>0</v>
      </c>
      <c r="H23" s="126">
        <f>IFERROR(ROUND($G$23/$G$7,2),0)</f>
        <v>0</v>
      </c>
      <c r="J23" t="s">
        <v>314</v>
      </c>
      <c r="K23" s="132">
        <f>ROUND(IFERROR(FB_SaldoLC_2,0),2)</f>
        <v>0</v>
      </c>
      <c r="L23" s="126">
        <f>IFERROR(ROUND($K$23/$K$7,2),0)</f>
        <v>0</v>
      </c>
      <c r="N23" t="s">
        <v>314</v>
      </c>
      <c r="O23" s="132">
        <f>ROUND(IFERROR(FB_SaldoLC_3,0),2)</f>
        <v>0</v>
      </c>
      <c r="P23" s="126">
        <f>IFERROR(ROUND($O$23/$O$7,2),0)</f>
        <v>0</v>
      </c>
      <c r="R23" t="s">
        <v>314</v>
      </c>
      <c r="S23" s="132">
        <f>ROUND(IFERROR(FB_SaldoLC_4,0),2)</f>
        <v>0</v>
      </c>
      <c r="T23" s="126">
        <f>IFERROR(ROUND($S$23/$S$7,2),0)</f>
        <v>0</v>
      </c>
      <c r="V23" t="s">
        <v>314</v>
      </c>
      <c r="W23" s="132">
        <f>ROUND(IFERROR(FB_SaldoLC_5,0),2)</f>
        <v>0</v>
      </c>
      <c r="X23" s="126">
        <f>IFERROR(ROUND($W$23/$W$7,2),0)</f>
        <v>0</v>
      </c>
      <c r="Z23" t="s">
        <v>314</v>
      </c>
      <c r="AA23" s="132">
        <f>ROUND(IFERROR(FB_SaldoLC_6,0),2)</f>
        <v>0</v>
      </c>
      <c r="AB23" s="126">
        <f>IFERROR(ROUND($AA$23/$AA$7,2),0)</f>
        <v>0</v>
      </c>
      <c r="AD23" t="s">
        <v>314</v>
      </c>
      <c r="AE23" s="132">
        <f>ROUND(IFERROR(FB_SaldoLC_7,0),2)</f>
        <v>0</v>
      </c>
      <c r="AF23" s="126">
        <f>IFERROR(ROUND($AE$23/$AE$7,2),0)</f>
        <v>0</v>
      </c>
      <c r="AH23" t="s">
        <v>314</v>
      </c>
      <c r="AI23" s="132">
        <f>ROUND(IFERROR(FB_SaldoLC_8,0),2)</f>
        <v>0</v>
      </c>
      <c r="AJ23" s="126">
        <f>IFERROR(ROUND($AI$23/$AI$7,2),0)</f>
        <v>0</v>
      </c>
      <c r="AL23" t="s">
        <v>314</v>
      </c>
      <c r="AM23" s="132">
        <f>ROUND(IFERROR(FB_SaldoLC_9,0),2)</f>
        <v>0</v>
      </c>
      <c r="AN23" s="126">
        <f>IFERROR(ROUND($AM$23/$AM$7,2),0)</f>
        <v>0</v>
      </c>
      <c r="AP23" t="s">
        <v>314</v>
      </c>
      <c r="AQ23" s="132">
        <f>ROUND(IFERROR(FB_SaldoLC_10,0),2)</f>
        <v>0</v>
      </c>
      <c r="AR23" s="126">
        <f>IFERROR(ROUND($AQ$23/$AQ$7,2),0)</f>
        <v>0</v>
      </c>
      <c r="AT23" t="s">
        <v>314</v>
      </c>
      <c r="AU23" s="132">
        <f>ROUND(IFERROR(FB_SaldoLC_11,0),2)</f>
        <v>0</v>
      </c>
      <c r="AV23" s="126">
        <f>IFERROR(ROUND($AU$23/$AU$7,2),0)</f>
        <v>0</v>
      </c>
      <c r="AX23" t="s">
        <v>314</v>
      </c>
      <c r="AY23" s="132">
        <f>ROUND(IFERROR(FB_SaldoLC_12,0),2)</f>
        <v>0</v>
      </c>
      <c r="AZ23" s="126">
        <f>IFERROR(ROUND($AY$23/$AY$7,2),0)</f>
        <v>0</v>
      </c>
      <c r="BB23" t="s">
        <v>314</v>
      </c>
      <c r="BC23" s="132">
        <f>ROUND(IFERROR(FB_SaldoLC_13,0),2)</f>
        <v>0</v>
      </c>
      <c r="BD23" s="126">
        <f>IFERROR(ROUND($BC$23/$BC$7,2),0)</f>
        <v>0</v>
      </c>
      <c r="BF23" t="s">
        <v>314</v>
      </c>
      <c r="BG23" s="132">
        <f>ROUND(IFERROR(FB_SaldoLC_14,0),2)</f>
        <v>0</v>
      </c>
      <c r="BH23" s="126">
        <f>IFERROR(ROUND($BG$23/$BG$7,2),0)</f>
        <v>0</v>
      </c>
      <c r="BJ23" t="s">
        <v>314</v>
      </c>
      <c r="BK23" s="132">
        <f>ROUND(IFERROR(FB_SaldoLC_15,0),2)</f>
        <v>0</v>
      </c>
      <c r="BL23" s="126">
        <f>IFERROR(ROUND($BK$23/$BK$7,2),0)</f>
        <v>0</v>
      </c>
      <c r="BN23" t="s">
        <v>314</v>
      </c>
      <c r="BO23" s="132">
        <f>ROUND(IFERROR(FB_SaldoLC_16,0),2)</f>
        <v>0</v>
      </c>
      <c r="BP23" s="126">
        <f>IFERROR(ROUND($BO$23/$BO$7,2),0)</f>
        <v>0</v>
      </c>
      <c r="BR23" t="s">
        <v>314</v>
      </c>
      <c r="BS23" s="132">
        <f>ROUND(IFERROR(FB_SaldoLC_17,0),2)</f>
        <v>0</v>
      </c>
      <c r="BT23" s="126">
        <f>IFERROR(ROUND($BS$23/$BS$7,2),0)</f>
        <v>0</v>
      </c>
    </row>
    <row r="25" spans="2:72" ht="17.25" x14ac:dyDescent="0.25">
      <c r="B25" s="133" t="s">
        <v>313</v>
      </c>
      <c r="C25" s="134">
        <f>IFERROR(ROUND($C$18-$C$21-$C$22-$C$23,2),0)</f>
        <v>0</v>
      </c>
      <c r="D25" s="135">
        <f>IFERROR(ROUND($D$18-$D$21-$D$22-$D$23,2),0)</f>
        <v>0</v>
      </c>
      <c r="F25" s="133" t="s">
        <v>313</v>
      </c>
      <c r="G25" s="134">
        <f>IFERROR(ROUND($G$18-$G$21-$G$22-$G$23,2),0)</f>
        <v>0</v>
      </c>
      <c r="H25" s="135">
        <f>IFERROR(ROUND($H$18-$H$21-$H$22-$H$23,2),0)</f>
        <v>0</v>
      </c>
      <c r="J25" s="133" t="s">
        <v>313</v>
      </c>
      <c r="K25" s="134">
        <f>IFERROR(ROUND($K$18-$K$21-$K$22-$K$23,2),0)</f>
        <v>0</v>
      </c>
      <c r="L25" s="135">
        <f>IFERROR(ROUND($L$18-$L$21-$L$22-$L$23,2),0)</f>
        <v>0</v>
      </c>
      <c r="N25" s="133" t="s">
        <v>313</v>
      </c>
      <c r="O25" s="134">
        <f>IFERROR(ROUND($O$18-$O$21-$O$22-$O$23,2),0)</f>
        <v>0</v>
      </c>
      <c r="P25" s="135">
        <f>IFERROR(ROUND($P$18-$P$21-$P$22-$P$23,2),0)</f>
        <v>0</v>
      </c>
      <c r="R25" s="133" t="s">
        <v>313</v>
      </c>
      <c r="S25" s="134">
        <f>IFERROR(ROUND($S$18-$S$21-$S$22-$S$23,2),0)</f>
        <v>0</v>
      </c>
      <c r="T25" s="135">
        <f>IFERROR(ROUND($T$18-$T$21-$T$22-$T$23,2),0)</f>
        <v>0</v>
      </c>
      <c r="V25" s="133" t="s">
        <v>313</v>
      </c>
      <c r="W25" s="134">
        <f>IFERROR(ROUND($W$18-$W$21-$W$22-$W$23,2),0)</f>
        <v>0</v>
      </c>
      <c r="X25" s="135">
        <f>IFERROR(ROUND($X$18-$X$21-$X$22-$X$23,2),0)</f>
        <v>0</v>
      </c>
      <c r="Z25" s="133" t="s">
        <v>313</v>
      </c>
      <c r="AA25" s="134">
        <f>IFERROR(ROUND($AA$18-$AA$21-$AA$22-$AA$23,2),0)</f>
        <v>0</v>
      </c>
      <c r="AB25" s="135">
        <f>IFERROR(ROUND($AB$18-$AB$21-$AB$22-$AB$23,2),0)</f>
        <v>0</v>
      </c>
      <c r="AD25" s="133" t="s">
        <v>313</v>
      </c>
      <c r="AE25" s="134">
        <f>IFERROR(ROUND($AE$18-$AE$21-$AE$22-$AE$23,2),0)</f>
        <v>0</v>
      </c>
      <c r="AF25" s="135">
        <f>IFERROR(ROUND($AF$18-$AF$21-$AF$22-$AF$23,2),0)</f>
        <v>0</v>
      </c>
      <c r="AH25" s="133" t="s">
        <v>313</v>
      </c>
      <c r="AI25" s="134">
        <f>IFERROR(ROUND($AI$18-$AI$21-$AI$22-$AI$23,2),0)</f>
        <v>0</v>
      </c>
      <c r="AJ25" s="135">
        <f>IFERROR(ROUND($AJ$18-$AJ$21-$AJ$22-$AJ$23,2),0)</f>
        <v>0</v>
      </c>
      <c r="AL25" s="133" t="s">
        <v>313</v>
      </c>
      <c r="AM25" s="134">
        <f>IFERROR(ROUND($AM$18-$AM$21-$AM$22-$AM$23,2),0)</f>
        <v>0</v>
      </c>
      <c r="AN25" s="135">
        <f>IFERROR(ROUND($AN$18-$AN$21-$AN$22-$AN$23,2),0)</f>
        <v>0</v>
      </c>
      <c r="AP25" s="133" t="s">
        <v>313</v>
      </c>
      <c r="AQ25" s="134">
        <f>IFERROR(ROUND($AQ$18-$AQ$21-$AQ$22-$AQ$23,2),0)</f>
        <v>0</v>
      </c>
      <c r="AR25" s="135">
        <f>IFERROR(ROUND($AR$18-$AR$21-$AR$22-$AR$23,2),0)</f>
        <v>0</v>
      </c>
      <c r="AT25" s="133" t="s">
        <v>313</v>
      </c>
      <c r="AU25" s="134">
        <f>IFERROR(ROUND($AU$18-$AU$21-$AU$22-$AU$23,2),0)</f>
        <v>0</v>
      </c>
      <c r="AV25" s="135">
        <f>IFERROR(ROUND($AV$18-$AV$21-$AV$22-$AV$23,2),0)</f>
        <v>0</v>
      </c>
      <c r="AX25" s="133" t="s">
        <v>313</v>
      </c>
      <c r="AY25" s="134">
        <f>IFERROR(ROUND($AY$18-$AY$21-$AY$22-$AY$23,2),0)</f>
        <v>0</v>
      </c>
      <c r="AZ25" s="135">
        <f>IFERROR(ROUND($AZ$18-$AZ$21-$AZ$22-$AZ$23,2),0)</f>
        <v>0</v>
      </c>
      <c r="BB25" s="133" t="s">
        <v>313</v>
      </c>
      <c r="BC25" s="134">
        <f>IFERROR(ROUND($BC$18-$BC$21-$BC$22-$BC$23,2),0)</f>
        <v>0</v>
      </c>
      <c r="BD25" s="135">
        <f>IFERROR(ROUND($BD$18-$BD$21-$BD$22-$BD$23,2),0)</f>
        <v>0</v>
      </c>
      <c r="BF25" s="133" t="s">
        <v>313</v>
      </c>
      <c r="BG25" s="134">
        <f>IFERROR(ROUND($BG$18-$BG$21-$BG$22-$BG$23,2),0)</f>
        <v>0</v>
      </c>
      <c r="BH25" s="135">
        <f>IFERROR(ROUND($BH$18-$BH$21-$BH$22-$BH$23,2),0)</f>
        <v>0</v>
      </c>
      <c r="BJ25" s="133" t="s">
        <v>313</v>
      </c>
      <c r="BK25" s="134">
        <f>IFERROR(ROUND($BK$18-$BK$21-$BK$22-$BK$23,2),0)</f>
        <v>0</v>
      </c>
      <c r="BL25" s="135">
        <f>IFERROR(ROUND($BL$18-$BL$21-$BL$22-$BL$23,2),0)</f>
        <v>0</v>
      </c>
      <c r="BN25" s="133" t="s">
        <v>313</v>
      </c>
      <c r="BO25" s="134">
        <f>IFERROR(ROUND($BO$18-$BO$21-$BO$22-$BO$23,2),0)</f>
        <v>0</v>
      </c>
      <c r="BP25" s="135">
        <f>IFERROR(ROUND($BP$18-$BP$21-$BP$22-$BP$23,2),0)</f>
        <v>0</v>
      </c>
      <c r="BR25" s="133" t="s">
        <v>313</v>
      </c>
      <c r="BS25" s="134">
        <f>IFERROR(ROUND($BS$18-$BS$21-$BS$22-$BS$23,2),0)</f>
        <v>0</v>
      </c>
      <c r="BT25" s="135">
        <f>IFERROR(ROUND($BT$18-$BT$21-$BT$22-$BT$23,2),0)</f>
        <v>0</v>
      </c>
    </row>
  </sheetData>
  <mergeCells count="54">
    <mergeCell ref="BO5:BP5"/>
    <mergeCell ref="BO6:BP6"/>
    <mergeCell ref="BO7:BP7"/>
    <mergeCell ref="BS5:BT5"/>
    <mergeCell ref="BS6:BT6"/>
    <mergeCell ref="BS7:BT7"/>
    <mergeCell ref="BG5:BH5"/>
    <mergeCell ref="BG6:BH6"/>
    <mergeCell ref="BG7:BH7"/>
    <mergeCell ref="BK5:BL5"/>
    <mergeCell ref="BK6:BL6"/>
    <mergeCell ref="BK7:BL7"/>
    <mergeCell ref="AY5:AZ5"/>
    <mergeCell ref="AY6:AZ6"/>
    <mergeCell ref="AY7:AZ7"/>
    <mergeCell ref="BC5:BD5"/>
    <mergeCell ref="BC6:BD6"/>
    <mergeCell ref="BC7:BD7"/>
    <mergeCell ref="AQ5:AR5"/>
    <mergeCell ref="AQ6:AR6"/>
    <mergeCell ref="AQ7:AR7"/>
    <mergeCell ref="AU5:AV5"/>
    <mergeCell ref="AU6:AV6"/>
    <mergeCell ref="AU7:AV7"/>
    <mergeCell ref="AI5:AJ5"/>
    <mergeCell ref="AI6:AJ6"/>
    <mergeCell ref="AI7:AJ7"/>
    <mergeCell ref="AM5:AN5"/>
    <mergeCell ref="AM6:AN6"/>
    <mergeCell ref="AM7:AN7"/>
    <mergeCell ref="AA5:AB5"/>
    <mergeCell ref="AA6:AB6"/>
    <mergeCell ref="AA7:AB7"/>
    <mergeCell ref="AE5:AF5"/>
    <mergeCell ref="AE6:AF6"/>
    <mergeCell ref="AE7:AF7"/>
    <mergeCell ref="S5:T5"/>
    <mergeCell ref="S6:T6"/>
    <mergeCell ref="S7:T7"/>
    <mergeCell ref="W5:X5"/>
    <mergeCell ref="W6:X6"/>
    <mergeCell ref="W7:X7"/>
    <mergeCell ref="K5:L5"/>
    <mergeCell ref="K6:L6"/>
    <mergeCell ref="K7:L7"/>
    <mergeCell ref="O5:P5"/>
    <mergeCell ref="O6:P6"/>
    <mergeCell ref="O7:P7"/>
    <mergeCell ref="C5:D5"/>
    <mergeCell ref="C6:D6"/>
    <mergeCell ref="C7:D7"/>
    <mergeCell ref="G5:H5"/>
    <mergeCell ref="G6:H6"/>
    <mergeCell ref="G7:H7"/>
  </mergeCells>
  <pageMargins left="0.7" right="0.7" top="0.75" bottom="0.75" header="0.3" footer="0.3"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Daten!$A$1:$A$18</xm:f>
          </x14:formula1>
          <xm:sqref>C5 BS5 BO5 BK5 BG5 BC5 AY5 AU5 AQ5 AM5 AI5 AE5 AA5 W5 S5 O5 K5 G5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18"/>
  <sheetViews>
    <sheetView workbookViewId="0"/>
  </sheetViews>
  <sheetFormatPr defaultRowHeight="15" x14ac:dyDescent="0.25"/>
  <sheetData>
    <row r="1" spans="1:45" ht="16.5" x14ac:dyDescent="0.3">
      <c r="A1" t="s">
        <v>226</v>
      </c>
      <c r="C1" s="136" t="s">
        <v>315</v>
      </c>
      <c r="I1" s="136" t="s">
        <v>316</v>
      </c>
      <c r="O1" s="136" t="s">
        <v>317</v>
      </c>
      <c r="U1" s="136" t="s">
        <v>318</v>
      </c>
    </row>
    <row r="2" spans="1:45" x14ac:dyDescent="0.25">
      <c r="A2" t="s">
        <v>227</v>
      </c>
      <c r="AA2" t="str">
        <f>_xlfn.VSTACK('III. Finanzberichte'!$B$41:$F$45,'III. Finanzberichte'!$I$41:$M$45,'III. Finanzberichte'!$P$41:$T$45,'III. Finanzberichte'!$W$41:$AA$45,'III. Finanzberichte'!$AD$41:$AH$45,'III. Finanzberichte'!$AK$41:$AO$45,'III. Finanzberichte'!$AR$41:$AV$45,'III. Finanzberichte'!$AY$41:$BC$45,'III. Finanzberichte'!$BF$41:$BJ$45,'III. Finanzberichte'!$BM$41:$BQ$45,'III. Finanzberichte'!$BT$41:$BX$45,'III. Finanzberichte'!$CA$41:$CE$45,'III. Finanzberichte'!$CH$41:$CL$45,'III. Finanzberichte'!$CO$41:$CS$45,'III. Finanzberichte'!$CV$41:$CZ$45,'III. Finanzberichte'!$DC$41:$DG$45,'III. Finanzberichte'!$DJ$41:$DN$45,'III. Finanzberichte'!$DQ$41:$DU$45)</f>
        <v>Saldo des Vorprojekts</v>
      </c>
      <c r="AG2" t="str">
        <f>_xlfn.VSTACK('III. Finanzberichte'!$B$50:$F$55,'III. Finanzberichte'!$I$50:$M$55,'III. Finanzberichte'!$P$50:$T$55,'III. Finanzberichte'!$W$50:$AA$55,'III. Finanzberichte'!$AD$50:$AH$55,'III. Finanzberichte'!$AK$50:$AO$55,'III. Finanzberichte'!$AR$50:$AV$55,'III. Finanzberichte'!$AY$50:$BC$55,'III. Finanzberichte'!$BF$50:$BJ$55,'III. Finanzberichte'!$BM$50:$BQ$55,'III. Finanzberichte'!$BT$50:$BX$55,'III. Finanzberichte'!$CA$50:$CE$55,'III. Finanzberichte'!$CH$50:$CL$55,'III. Finanzberichte'!$CO$50:$CS$55,'III. Finanzberichte'!$CV$50:$CZ$55,'III. Finanzberichte'!$DC$50:$DG$55,'III. Finanzberichte'!$DJ$50:$DN$55,'III. Finanzberichte'!$DQ$50:$DU$55)</f>
        <v>Eigenmittel</v>
      </c>
      <c r="AM2" t="str">
        <f ca="1">_xlfn.VSTACK('III. Finanzberichte'!$B$19:$F$26,'III. Finanzberichte'!$I$19:$M$26,'III. Finanzberichte'!$P$19:$T$26,'III. Finanzberichte'!$W$19:$AA$26,'III. Finanzberichte'!$AD$19:$AH$26,'III. Finanzberichte'!$AK$19:$AO$26,'III. Finanzberichte'!$AR$19:$AV$26,'III. Finanzberichte'!$AY$19:$BC$26,'III. Finanzberichte'!$BF$19:$BJ$26,'III. Finanzberichte'!$BM$19:$BQ$26,'III. Finanzberichte'!$BT$19:$BX$26,'III. Finanzberichte'!$CA$19:$CE$26,'III. Finanzberichte'!$CH$19:$CL$26,'III. Finanzberichte'!$CO$19:$CS$26,'III. Finanzberichte'!$CV$19:$CZ$26,'III. Finanzberichte'!$DC$19:$DG$26,'III. Finanzberichte'!$DJ$19:$DN$26,'III. Finanzberichte'!$DQ$19:$DU$26)</f>
        <v/>
      </c>
      <c r="AS2" t="str">
        <f>_xlfn.VSTACK('IV. MA'!$B$10:$D$17,'IV. MA'!$F$10:$H$17,'IV. MA'!$J$10:$L$17,'IV. MA'!$N$10:$P$17,'IV. MA'!$R$10:$T$17,'IV. MA'!$V$10:$X$17,'IV. MA'!$Z$10:$AB$17,'IV. MA'!$AD$10:$AF$17,'IV. MA'!$AH$10:$AJ$17,'IV. MA'!$AL$10:$AN$17,'IV. MA'!$AP$10:$AR$17,'IV. MA'!$AT$10:$AV$17,'IV. MA'!$AX$10:$AZ$17,'IV. MA'!$BB$10:$BD$17,'IV. MA'!$BF$10:$BH$17,'IV. MA'!$BJ$10:$BL$17,'IV. MA'!$BN$10:$BP$17,'IV. MA'!$BR$10:$BT$17)</f>
        <v>Bauausgaben</v>
      </c>
    </row>
    <row r="3" spans="1:45" x14ac:dyDescent="0.25">
      <c r="A3" t="s">
        <v>228</v>
      </c>
    </row>
    <row r="4" spans="1:45" x14ac:dyDescent="0.25">
      <c r="A4" t="s">
        <v>229</v>
      </c>
    </row>
    <row r="5" spans="1:45" x14ac:dyDescent="0.25">
      <c r="A5" t="s">
        <v>230</v>
      </c>
    </row>
    <row r="6" spans="1:45" x14ac:dyDescent="0.25">
      <c r="A6" t="s">
        <v>231</v>
      </c>
    </row>
    <row r="7" spans="1:45" x14ac:dyDescent="0.25">
      <c r="A7" t="s">
        <v>232</v>
      </c>
    </row>
    <row r="8" spans="1:45" x14ac:dyDescent="0.25">
      <c r="A8" t="s">
        <v>233</v>
      </c>
    </row>
    <row r="9" spans="1:45" x14ac:dyDescent="0.25">
      <c r="A9" t="s">
        <v>234</v>
      </c>
    </row>
    <row r="10" spans="1:45" x14ac:dyDescent="0.25">
      <c r="A10" t="s">
        <v>235</v>
      </c>
    </row>
    <row r="11" spans="1:45" x14ac:dyDescent="0.25">
      <c r="A11" t="s">
        <v>236</v>
      </c>
    </row>
    <row r="12" spans="1:45" x14ac:dyDescent="0.25">
      <c r="A12" t="s">
        <v>237</v>
      </c>
    </row>
    <row r="13" spans="1:45" x14ac:dyDescent="0.25">
      <c r="A13" t="s">
        <v>238</v>
      </c>
    </row>
    <row r="14" spans="1:45" x14ac:dyDescent="0.25">
      <c r="A14" t="s">
        <v>239</v>
      </c>
    </row>
    <row r="15" spans="1:45" x14ac:dyDescent="0.25">
      <c r="A15" t="s">
        <v>240</v>
      </c>
    </row>
    <row r="16" spans="1:45" x14ac:dyDescent="0.25">
      <c r="A16" t="s">
        <v>241</v>
      </c>
    </row>
    <row r="17" spans="1:1" x14ac:dyDescent="0.25">
      <c r="A17" t="s">
        <v>242</v>
      </c>
    </row>
    <row r="18" spans="1:1" x14ac:dyDescent="0.25">
      <c r="A18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102</vt:i4>
      </vt:variant>
    </vt:vector>
  </HeadingPairs>
  <TitlesOfParts>
    <vt:vector size="108" baseType="lpstr">
      <vt:lpstr>Dashboard</vt:lpstr>
      <vt:lpstr>I. Budget</vt:lpstr>
      <vt:lpstr>II. KMW-Mittel</vt:lpstr>
      <vt:lpstr>III. Finanzberichte</vt:lpstr>
      <vt:lpstr>IV. MA</vt:lpstr>
      <vt:lpstr>Daten</vt:lpstr>
      <vt:lpstr>Budget_Kurs</vt:lpstr>
      <vt:lpstr>Drittmittel_EUR</vt:lpstr>
      <vt:lpstr>Drittmittel_LW</vt:lpstr>
      <vt:lpstr>Eigenmittel_EUR</vt:lpstr>
      <vt:lpstr>Eigenmittel_LW</vt:lpstr>
      <vt:lpstr>FB_Kurs_1</vt:lpstr>
      <vt:lpstr>FB_Kurs_10</vt:lpstr>
      <vt:lpstr>FB_Kurs_11</vt:lpstr>
      <vt:lpstr>FB_Kurs_12</vt:lpstr>
      <vt:lpstr>FB_Kurs_13</vt:lpstr>
      <vt:lpstr>FB_Kurs_14</vt:lpstr>
      <vt:lpstr>FB_Kurs_15</vt:lpstr>
      <vt:lpstr>FB_Kurs_16</vt:lpstr>
      <vt:lpstr>FB_Kurs_17</vt:lpstr>
      <vt:lpstr>FB_Kurs_18</vt:lpstr>
      <vt:lpstr>FB_Kurs_2</vt:lpstr>
      <vt:lpstr>FB_Kurs_3</vt:lpstr>
      <vt:lpstr>FB_Kurs_4</vt:lpstr>
      <vt:lpstr>FB_Kurs_5</vt:lpstr>
      <vt:lpstr>FB_Kurs_6</vt:lpstr>
      <vt:lpstr>FB_Kurs_7</vt:lpstr>
      <vt:lpstr>FB_Kurs_8</vt:lpstr>
      <vt:lpstr>FB_Kurs_9</vt:lpstr>
      <vt:lpstr>FB_SaldoEUR_1</vt:lpstr>
      <vt:lpstr>FB_SaldoEUR_10</vt:lpstr>
      <vt:lpstr>FB_SaldoEUR_11</vt:lpstr>
      <vt:lpstr>FB_SaldoEUR_12</vt:lpstr>
      <vt:lpstr>FB_SaldoEUR_13</vt:lpstr>
      <vt:lpstr>FB_SaldoEUR_14</vt:lpstr>
      <vt:lpstr>FB_SaldoEUR_15</vt:lpstr>
      <vt:lpstr>FB_SaldoEUR_16</vt:lpstr>
      <vt:lpstr>FB_SaldoEUR_17</vt:lpstr>
      <vt:lpstr>FB_SaldoEUR_18</vt:lpstr>
      <vt:lpstr>FB_SaldoEUR_2</vt:lpstr>
      <vt:lpstr>FB_SaldoEUR_3</vt:lpstr>
      <vt:lpstr>FB_SaldoEUR_4</vt:lpstr>
      <vt:lpstr>FB_SaldoEUR_5</vt:lpstr>
      <vt:lpstr>FB_SaldoEUR_6</vt:lpstr>
      <vt:lpstr>FB_SaldoEUR_7</vt:lpstr>
      <vt:lpstr>FB_SaldoEUR_8</vt:lpstr>
      <vt:lpstr>FB_SaldoEUR_9</vt:lpstr>
      <vt:lpstr>FB_SaldoLC_1</vt:lpstr>
      <vt:lpstr>FB_SaldoLC_10</vt:lpstr>
      <vt:lpstr>FB_SaldoLC_11</vt:lpstr>
      <vt:lpstr>FB_SaldoLC_12</vt:lpstr>
      <vt:lpstr>FB_SaldoLC_13</vt:lpstr>
      <vt:lpstr>FB_SaldoLC_14</vt:lpstr>
      <vt:lpstr>FB_SaldoLC_15</vt:lpstr>
      <vt:lpstr>FB_SaldoLC_16</vt:lpstr>
      <vt:lpstr>FB_SaldoLC_17</vt:lpstr>
      <vt:lpstr>FB_SaldoLC_18</vt:lpstr>
      <vt:lpstr>FB_SaldoLC_2</vt:lpstr>
      <vt:lpstr>FB_SaldoLC_3</vt:lpstr>
      <vt:lpstr>FB_SaldoLC_4</vt:lpstr>
      <vt:lpstr>FB_SaldoLC_5</vt:lpstr>
      <vt:lpstr>FB_SaldoLC_6</vt:lpstr>
      <vt:lpstr>FB_SaldoLC_7</vt:lpstr>
      <vt:lpstr>FB_SaldoLC_8</vt:lpstr>
      <vt:lpstr>FB_SaldoLC_9</vt:lpstr>
      <vt:lpstr>Gesamtausgaben_EUR</vt:lpstr>
      <vt:lpstr>Gesamtausgaben_LW</vt:lpstr>
      <vt:lpstr>Gesamtprojektmittel_EUR</vt:lpstr>
      <vt:lpstr>Gesamtprojektmittel_LW</vt:lpstr>
      <vt:lpstr>KMW_Mittel_EUR</vt:lpstr>
      <vt:lpstr>KMW_Mittel_LW</vt:lpstr>
      <vt:lpstr>Kosten_Audit_EUR</vt:lpstr>
      <vt:lpstr>Kosten_Audit_LW</vt:lpstr>
      <vt:lpstr>Kosten_Bauausgaben_EUR</vt:lpstr>
      <vt:lpstr>Kosten_Bauausgaben_LW</vt:lpstr>
      <vt:lpstr>Kosten_Evaluierung_EUR</vt:lpstr>
      <vt:lpstr>Kosten_Evaluierung_LW</vt:lpstr>
      <vt:lpstr>Kosten_Investitionen_EUR</vt:lpstr>
      <vt:lpstr>Kosten_Investitionen_LW</vt:lpstr>
      <vt:lpstr>Kosten_Personalkosten_EUR</vt:lpstr>
      <vt:lpstr>Kosten_Personalkosten_LW</vt:lpstr>
      <vt:lpstr>Kosten_Projektaktivitaeten_EUR</vt:lpstr>
      <vt:lpstr>Kosten_Projektaktivitaeten_LW</vt:lpstr>
      <vt:lpstr>Kosten_Projektverwaltung_EUR</vt:lpstr>
      <vt:lpstr>Kosten_Projektverwaltung_LW</vt:lpstr>
      <vt:lpstr>Kosten_Reserve_EUR</vt:lpstr>
      <vt:lpstr>Kosten_Reserve_LW</vt:lpstr>
      <vt:lpstr>MA_Kurs_1</vt:lpstr>
      <vt:lpstr>MA_Kurs_10</vt:lpstr>
      <vt:lpstr>MA_Kurs_11</vt:lpstr>
      <vt:lpstr>MA_Kurs_12</vt:lpstr>
      <vt:lpstr>MA_Kurs_13</vt:lpstr>
      <vt:lpstr>MA_Kurs_14</vt:lpstr>
      <vt:lpstr>MA_Kurs_15</vt:lpstr>
      <vt:lpstr>MA_Kurs_16</vt:lpstr>
      <vt:lpstr>MA_Kurs_17</vt:lpstr>
      <vt:lpstr>MA_Kurs_18</vt:lpstr>
      <vt:lpstr>MA_Kurs_2</vt:lpstr>
      <vt:lpstr>MA_Kurs_3</vt:lpstr>
      <vt:lpstr>MA_Kurs_4</vt:lpstr>
      <vt:lpstr>MA_Kurs_5</vt:lpstr>
      <vt:lpstr>MA_Kurs_6</vt:lpstr>
      <vt:lpstr>MA_Kurs_7</vt:lpstr>
      <vt:lpstr>MA_Kurs_8</vt:lpstr>
      <vt:lpstr>MA_Kurs_9</vt:lpstr>
      <vt:lpstr>Reserve_Freigabe</vt:lpstr>
      <vt:lpstr>Saldovortrag_EUR</vt:lpstr>
      <vt:lpstr>Saldovortrag_LW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2026-06-23T15:57:17Z</dcterms:modified>
</cp:coreProperties>
</file>